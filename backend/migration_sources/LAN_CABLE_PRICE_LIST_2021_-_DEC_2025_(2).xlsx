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ymeagroup.sharepoint.com/sites/EGS-China/Shared Documents/SYMEA SH/GENERAL PRICES/CHINA SUPPLIERS/LAN CABLE/"/>
    </mc:Choice>
  </mc:AlternateContent>
  <xr:revisionPtr revIDLastSave="4319" documentId="13_ncr:1_{44A5DF18-AB01-4E4F-9939-EB956AFFE675}" xr6:coauthVersionLast="47" xr6:coauthVersionMax="47" xr10:uidLastSave="{DCBD108F-6A49-40AA-9DB8-F1C20317186D}"/>
  <bookViews>
    <workbookView xWindow="22932" yWindow="-108" windowWidth="23256" windowHeight="12720" tabRatio="869" firstSheet="2" activeTab="3" xr2:uid="{00000000-000D-0000-FFFF-FFFF00000000}"/>
  </bookViews>
  <sheets>
    <sheet name="HT LAN 2025 under construction" sheetId="21" r:id="rId1"/>
    <sheet name="Sheet1" sheetId="25" r:id="rId2"/>
    <sheet name="CAT6 FUTP PE" sheetId="22" r:id="rId3"/>
    <sheet name="HT NOV 21 - DEC 25  ¥" sheetId="14" r:id="rId4"/>
    <sheet name="HT Cat5e" sheetId="18" r:id="rId5"/>
    <sheet name="ZD NOV 21 - JUNE 25 ¥" sheetId="15" r:id="rId6"/>
    <sheet name="ZD LAN" sheetId="24" r:id="rId7"/>
    <sheet name="AYP NOV 21 - DEC 25 ¥" sheetId="6" r:id="rId8"/>
    <sheet name="AYP CAT6 UTP CCA " sheetId="23" r:id="rId9"/>
    <sheet name="LINOYA" sheetId="16" r:id="rId10"/>
    <sheet name="GRADE 2TV&amp;3TV ($ ¥）" sheetId="7" r:id="rId11"/>
    <sheet name="ZD C6 UTP 24 CMP ETL" sheetId="9" r:id="rId12"/>
    <sheet name="HT CAT7 SFTP ECO" sheetId="10" r:id="rId13"/>
    <sheet name="HT UL" sheetId="20" r:id="rId14"/>
  </sheets>
  <definedNames>
    <definedName name="_xlnm._FilterDatabase" localSheetId="0" hidden="1">'HT LAN 2025 under construction'!$A$10:$V$131</definedName>
    <definedName name="_xlnm._FilterDatabase" localSheetId="3" hidden="1">'HT NOV 21 - DEC 25  ¥'!$A$8:$AZ$140</definedName>
    <definedName name="_xlnm._FilterDatabase" localSheetId="9" hidden="1">LINOYA!$A$46:$XEV$83</definedName>
    <definedName name="_xlnm._FilterDatabase" localSheetId="5" hidden="1">'ZD NOV 21 - JUNE 25 ¥'!$A$8:$BN$96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4" l="1"/>
  <c r="H4" i="24"/>
  <c r="I4" i="24"/>
  <c r="BX10" i="6"/>
  <c r="BX11" i="6"/>
  <c r="BX12" i="6"/>
  <c r="BX13" i="6"/>
  <c r="BX16" i="6"/>
  <c r="BX17" i="6"/>
  <c r="BX18" i="6"/>
  <c r="BX20" i="6"/>
  <c r="BX21" i="6"/>
  <c r="BX22" i="6"/>
  <c r="BX23" i="6"/>
  <c r="BX27" i="6"/>
  <c r="BX28" i="6"/>
  <c r="BX29" i="6"/>
  <c r="BX30" i="6"/>
  <c r="BX34" i="6"/>
  <c r="BX35" i="6"/>
  <c r="BX37" i="6"/>
  <c r="BX38" i="6"/>
  <c r="BX40" i="6"/>
  <c r="BX41" i="6"/>
  <c r="BX44" i="6"/>
  <c r="BX45" i="6"/>
  <c r="BX46" i="6"/>
  <c r="BX47" i="6"/>
  <c r="BX48" i="6"/>
  <c r="BX50" i="6"/>
  <c r="BX51" i="6"/>
  <c r="BX52" i="6"/>
  <c r="BX53" i="6"/>
  <c r="BX55" i="6"/>
  <c r="BX56" i="6"/>
  <c r="BX57" i="6"/>
  <c r="BX58" i="6"/>
  <c r="BX59" i="6"/>
  <c r="BR10" i="6"/>
  <c r="BS10" i="6"/>
  <c r="BT10" i="6"/>
  <c r="BU10" i="6"/>
  <c r="BV10" i="6"/>
  <c r="BW10" i="6"/>
  <c r="BR11" i="6"/>
  <c r="BS11" i="6"/>
  <c r="BT11" i="6"/>
  <c r="BU11" i="6"/>
  <c r="BV11" i="6"/>
  <c r="BW11" i="6"/>
  <c r="BR12" i="6"/>
  <c r="BS12" i="6"/>
  <c r="BT12" i="6"/>
  <c r="BU12" i="6"/>
  <c r="BV12" i="6" s="1"/>
  <c r="BW12" i="6" s="1"/>
  <c r="BR13" i="6"/>
  <c r="BS13" i="6"/>
  <c r="BT13" i="6"/>
  <c r="BU13" i="6"/>
  <c r="BV13" i="6"/>
  <c r="BW13" i="6"/>
  <c r="BR16" i="6"/>
  <c r="BS16" i="6"/>
  <c r="BT16" i="6" s="1"/>
  <c r="BU16" i="6" s="1"/>
  <c r="BV16" i="6" s="1"/>
  <c r="BW16" i="6" s="1"/>
  <c r="BR17" i="6"/>
  <c r="BS17" i="6"/>
  <c r="BT17" i="6" s="1"/>
  <c r="BU17" i="6" s="1"/>
  <c r="BV17" i="6" s="1"/>
  <c r="BW17" i="6" s="1"/>
  <c r="BR18" i="6"/>
  <c r="BS18" i="6"/>
  <c r="BT18" i="6"/>
  <c r="BU18" i="6"/>
  <c r="BV18" i="6"/>
  <c r="BW18" i="6"/>
  <c r="BR20" i="6"/>
  <c r="BS20" i="6"/>
  <c r="BT20" i="6"/>
  <c r="BU20" i="6"/>
  <c r="BV20" i="6"/>
  <c r="BW20" i="6"/>
  <c r="BR21" i="6"/>
  <c r="BS21" i="6"/>
  <c r="BT21" i="6"/>
  <c r="BU21" i="6"/>
  <c r="BV21" i="6"/>
  <c r="BW21" i="6"/>
  <c r="BR22" i="6"/>
  <c r="BS22" i="6"/>
  <c r="BT22" i="6"/>
  <c r="BU22" i="6"/>
  <c r="BV22" i="6"/>
  <c r="BW22" i="6"/>
  <c r="BR23" i="6"/>
  <c r="BS23" i="6"/>
  <c r="BT23" i="6"/>
  <c r="BU23" i="6"/>
  <c r="BV23" i="6" s="1"/>
  <c r="BW23" i="6" s="1"/>
  <c r="BR27" i="6"/>
  <c r="BS27" i="6"/>
  <c r="BT27" i="6"/>
  <c r="BU27" i="6"/>
  <c r="BV27" i="6"/>
  <c r="BW27" i="6"/>
  <c r="BR28" i="6"/>
  <c r="BS28" i="6"/>
  <c r="BT28" i="6"/>
  <c r="BU28" i="6"/>
  <c r="BV28" i="6"/>
  <c r="BW28" i="6"/>
  <c r="BR29" i="6"/>
  <c r="BS29" i="6"/>
  <c r="BT29" i="6" s="1"/>
  <c r="BU29" i="6" s="1"/>
  <c r="BV29" i="6" s="1"/>
  <c r="BW29" i="6" s="1"/>
  <c r="BR30" i="6"/>
  <c r="BS30" i="6"/>
  <c r="BT30" i="6"/>
  <c r="BU30" i="6"/>
  <c r="BV30" i="6"/>
  <c r="BW30" i="6"/>
  <c r="BR34" i="6"/>
  <c r="BS34" i="6"/>
  <c r="BT34" i="6"/>
  <c r="BU34" i="6"/>
  <c r="BV34" i="6"/>
  <c r="BW34" i="6"/>
  <c r="BR35" i="6"/>
  <c r="BS35" i="6"/>
  <c r="BT35" i="6"/>
  <c r="BU35" i="6"/>
  <c r="BV35" i="6"/>
  <c r="BW35" i="6"/>
  <c r="BR37" i="6"/>
  <c r="BS37" i="6"/>
  <c r="BT37" i="6"/>
  <c r="BU37" i="6"/>
  <c r="BV37" i="6"/>
  <c r="BW37" i="6"/>
  <c r="BR38" i="6"/>
  <c r="BS38" i="6"/>
  <c r="BT38" i="6"/>
  <c r="BU38" i="6"/>
  <c r="BV38" i="6" s="1"/>
  <c r="BW38" i="6" s="1"/>
  <c r="BR40" i="6"/>
  <c r="BS40" i="6"/>
  <c r="BT40" i="6"/>
  <c r="BU40" i="6"/>
  <c r="BV40" i="6"/>
  <c r="BW40" i="6"/>
  <c r="BR41" i="6"/>
  <c r="BS41" i="6"/>
  <c r="BT41" i="6"/>
  <c r="BU41" i="6"/>
  <c r="BV41" i="6"/>
  <c r="BW41" i="6"/>
  <c r="BR44" i="6"/>
  <c r="BS44" i="6"/>
  <c r="BT44" i="6" s="1"/>
  <c r="BU44" i="6" s="1"/>
  <c r="BV44" i="6" s="1"/>
  <c r="BW44" i="6" s="1"/>
  <c r="BR45" i="6"/>
  <c r="BS45" i="6"/>
  <c r="BT45" i="6"/>
  <c r="BU45" i="6"/>
  <c r="BV45" i="6"/>
  <c r="BW45" i="6"/>
  <c r="BR46" i="6"/>
  <c r="BS46" i="6"/>
  <c r="BT46" i="6"/>
  <c r="BU46" i="6"/>
  <c r="BV46" i="6"/>
  <c r="BW46" i="6"/>
  <c r="BR47" i="6"/>
  <c r="BS47" i="6"/>
  <c r="BT47" i="6"/>
  <c r="BU47" i="6"/>
  <c r="BV47" i="6"/>
  <c r="BW47" i="6"/>
  <c r="BR48" i="6"/>
  <c r="BS48" i="6"/>
  <c r="BT48" i="6"/>
  <c r="BU48" i="6"/>
  <c r="BV48" i="6"/>
  <c r="BW48" i="6"/>
  <c r="BR50" i="6"/>
  <c r="BS50" i="6"/>
  <c r="BT50" i="6"/>
  <c r="BU50" i="6"/>
  <c r="BV50" i="6" s="1"/>
  <c r="BW50" i="6" s="1"/>
  <c r="BR51" i="6"/>
  <c r="BS51" i="6"/>
  <c r="BT51" i="6"/>
  <c r="BU51" i="6"/>
  <c r="BV51" i="6"/>
  <c r="BW51" i="6"/>
  <c r="BR52" i="6"/>
  <c r="BS52" i="6"/>
  <c r="BT52" i="6"/>
  <c r="BU52" i="6"/>
  <c r="BV52" i="6"/>
  <c r="BW52" i="6"/>
  <c r="BR53" i="6"/>
  <c r="BS53" i="6"/>
  <c r="BT53" i="6" s="1"/>
  <c r="BU53" i="6" s="1"/>
  <c r="BV53" i="6" s="1"/>
  <c r="BW53" i="6" s="1"/>
  <c r="BR55" i="6"/>
  <c r="BS55" i="6"/>
  <c r="BT55" i="6"/>
  <c r="BU55" i="6"/>
  <c r="BV55" i="6"/>
  <c r="BW55" i="6"/>
  <c r="BR56" i="6"/>
  <c r="BS56" i="6"/>
  <c r="BT56" i="6"/>
  <c r="BU56" i="6"/>
  <c r="BV56" i="6"/>
  <c r="BW56" i="6"/>
  <c r="BR57" i="6"/>
  <c r="BS57" i="6"/>
  <c r="BT57" i="6"/>
  <c r="BU57" i="6"/>
  <c r="BV57" i="6"/>
  <c r="BW57" i="6"/>
  <c r="BR58" i="6"/>
  <c r="BS58" i="6"/>
  <c r="BT58" i="6"/>
  <c r="BU58" i="6"/>
  <c r="BV58" i="6"/>
  <c r="BW58" i="6"/>
  <c r="BR59" i="6"/>
  <c r="BS59" i="6"/>
  <c r="BT59" i="6"/>
  <c r="BU59" i="6"/>
  <c r="BV59" i="6" s="1"/>
  <c r="BW59" i="6" s="1"/>
  <c r="BD10" i="6"/>
  <c r="BE10" i="6" s="1"/>
  <c r="BF10" i="6"/>
  <c r="BG10" i="6"/>
  <c r="BH10" i="6"/>
  <c r="BI10" i="6"/>
  <c r="BJ10" i="6" s="1"/>
  <c r="BK10" i="6" s="1"/>
  <c r="BL10" i="6" s="1"/>
  <c r="BM10" i="6" s="1"/>
  <c r="BN10" i="6" s="1"/>
  <c r="BO10" i="6" s="1"/>
  <c r="BP10" i="6" s="1"/>
  <c r="BQ10" i="6" s="1"/>
  <c r="BD11" i="6"/>
  <c r="BE11" i="6"/>
  <c r="BF11" i="6"/>
  <c r="BG11" i="6" s="1"/>
  <c r="BH11" i="6"/>
  <c r="BI11" i="6"/>
  <c r="BJ11" i="6"/>
  <c r="BK11" i="6" s="1"/>
  <c r="BL11" i="6" s="1"/>
  <c r="BM11" i="6" s="1"/>
  <c r="BN11" i="6" s="1"/>
  <c r="BO11" i="6" s="1"/>
  <c r="BP11" i="6" s="1"/>
  <c r="BQ11" i="6" s="1"/>
  <c r="BD12" i="6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D13" i="6"/>
  <c r="BE13" i="6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D16" i="6"/>
  <c r="BE16" i="6"/>
  <c r="BF16" i="6"/>
  <c r="BG16" i="6"/>
  <c r="BH16" i="6"/>
  <c r="BI16" i="6"/>
  <c r="BJ16" i="6" s="1"/>
  <c r="BK16" i="6" s="1"/>
  <c r="BL16" i="6" s="1"/>
  <c r="BM16" i="6" s="1"/>
  <c r="BN16" i="6" s="1"/>
  <c r="BO16" i="6" s="1"/>
  <c r="BP16" i="6" s="1"/>
  <c r="BQ16" i="6" s="1"/>
  <c r="BD17" i="6"/>
  <c r="BE17" i="6" s="1"/>
  <c r="BF17" i="6" s="1"/>
  <c r="BG17" i="6" s="1"/>
  <c r="BH17" i="6"/>
  <c r="BI17" i="6"/>
  <c r="BJ17" i="6"/>
  <c r="BK17" i="6"/>
  <c r="BL17" i="6"/>
  <c r="BM17" i="6"/>
  <c r="BN17" i="6"/>
  <c r="BO17" i="6" s="1"/>
  <c r="BP17" i="6" s="1"/>
  <c r="BQ17" i="6" s="1"/>
  <c r="BD18" i="6"/>
  <c r="BE18" i="6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D20" i="6"/>
  <c r="BE20" i="6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D21" i="6"/>
  <c r="BE21" i="6"/>
  <c r="BF21" i="6"/>
  <c r="BG21" i="6"/>
  <c r="BH21" i="6"/>
  <c r="BI21" i="6"/>
  <c r="BJ21" i="6"/>
  <c r="BK21" i="6" s="1"/>
  <c r="BL21" i="6" s="1"/>
  <c r="BM21" i="6" s="1"/>
  <c r="BN21" i="6" s="1"/>
  <c r="BO21" i="6" s="1"/>
  <c r="BP21" i="6" s="1"/>
  <c r="BQ21" i="6" s="1"/>
  <c r="BD22" i="6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D23" i="6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D27" i="6"/>
  <c r="BE27" i="6"/>
  <c r="BF27" i="6"/>
  <c r="BG27" i="6"/>
  <c r="BH27" i="6"/>
  <c r="BI27" i="6"/>
  <c r="BJ27" i="6" s="1"/>
  <c r="BK27" i="6" s="1"/>
  <c r="BL27" i="6" s="1"/>
  <c r="BM27" i="6" s="1"/>
  <c r="BN27" i="6" s="1"/>
  <c r="BO27" i="6" s="1"/>
  <c r="BP27" i="6" s="1"/>
  <c r="BQ27" i="6" s="1"/>
  <c r="BD28" i="6"/>
  <c r="BE28" i="6"/>
  <c r="BF28" i="6"/>
  <c r="BG28" i="6"/>
  <c r="BH28" i="6"/>
  <c r="BI28" i="6"/>
  <c r="BJ28" i="6"/>
  <c r="BK28" i="6"/>
  <c r="BL28" i="6"/>
  <c r="BM28" i="6" s="1"/>
  <c r="BN28" i="6" s="1"/>
  <c r="BO28" i="6" s="1"/>
  <c r="BP28" i="6" s="1"/>
  <c r="BQ28" i="6" s="1"/>
  <c r="BD29" i="6"/>
  <c r="BE29" i="6" s="1"/>
  <c r="BF29" i="6" s="1"/>
  <c r="BG29" i="6" s="1"/>
  <c r="BH29" i="6"/>
  <c r="BI29" i="6"/>
  <c r="BJ29" i="6"/>
  <c r="BK29" i="6"/>
  <c r="BL29" i="6"/>
  <c r="BM29" i="6"/>
  <c r="BN29" i="6"/>
  <c r="BO29" i="6"/>
  <c r="BP29" i="6"/>
  <c r="BQ29" i="6"/>
  <c r="BD30" i="6"/>
  <c r="BE30" i="6" s="1"/>
  <c r="BF30" i="6" s="1"/>
  <c r="BG30" i="6" s="1"/>
  <c r="BH30" i="6" s="1"/>
  <c r="BI30" i="6" s="1"/>
  <c r="BJ30" i="6" s="1"/>
  <c r="BK30" i="6" s="1"/>
  <c r="BL30" i="6" s="1"/>
  <c r="BM30" i="6" s="1"/>
  <c r="BN30" i="6" s="1"/>
  <c r="BO30" i="6" s="1"/>
  <c r="BP30" i="6" s="1"/>
  <c r="BQ30" i="6" s="1"/>
  <c r="BD34" i="6"/>
  <c r="BE34" i="6"/>
  <c r="BF34" i="6"/>
  <c r="BG34" i="6"/>
  <c r="BH34" i="6"/>
  <c r="BI34" i="6" s="1"/>
  <c r="BJ34" i="6" s="1"/>
  <c r="BK34" i="6" s="1"/>
  <c r="BL34" i="6" s="1"/>
  <c r="BM34" i="6" s="1"/>
  <c r="BN34" i="6" s="1"/>
  <c r="BO34" i="6" s="1"/>
  <c r="BP34" i="6" s="1"/>
  <c r="BQ34" i="6" s="1"/>
  <c r="BD35" i="6"/>
  <c r="BE35" i="6"/>
  <c r="BF35" i="6"/>
  <c r="BG35" i="6"/>
  <c r="BH35" i="6"/>
  <c r="BI35" i="6"/>
  <c r="BJ35" i="6"/>
  <c r="BK35" i="6" s="1"/>
  <c r="BL35" i="6" s="1"/>
  <c r="BM35" i="6" s="1"/>
  <c r="BN35" i="6"/>
  <c r="BO35" i="6"/>
  <c r="BP35" i="6"/>
  <c r="BQ35" i="6" s="1"/>
  <c r="BD37" i="6"/>
  <c r="BE37" i="6"/>
  <c r="BF37" i="6"/>
  <c r="BG37" i="6"/>
  <c r="BH37" i="6"/>
  <c r="BI37" i="6"/>
  <c r="BJ37" i="6"/>
  <c r="BK37" i="6"/>
  <c r="BL37" i="6"/>
  <c r="BM37" i="6" s="1"/>
  <c r="BN37" i="6" s="1"/>
  <c r="BO37" i="6" s="1"/>
  <c r="BP37" i="6"/>
  <c r="BQ37" i="6"/>
  <c r="BD38" i="6"/>
  <c r="BE38" i="6"/>
  <c r="BF38" i="6"/>
  <c r="BG38" i="6"/>
  <c r="BH38" i="6" s="1"/>
  <c r="BI38" i="6" s="1"/>
  <c r="BJ38" i="6" s="1"/>
  <c r="BK38" i="6" s="1"/>
  <c r="BL38" i="6" s="1"/>
  <c r="BM38" i="6" s="1"/>
  <c r="BN38" i="6" s="1"/>
  <c r="BO38" i="6" s="1"/>
  <c r="BP38" i="6" s="1"/>
  <c r="BQ38" i="6" s="1"/>
  <c r="BD40" i="6"/>
  <c r="BE40" i="6"/>
  <c r="BF40" i="6"/>
  <c r="BG40" i="6"/>
  <c r="BH40" i="6"/>
  <c r="BI40" i="6"/>
  <c r="BJ40" i="6"/>
  <c r="BK40" i="6"/>
  <c r="BL40" i="6"/>
  <c r="BM40" i="6" s="1"/>
  <c r="BN40" i="6" s="1"/>
  <c r="BO40" i="6" s="1"/>
  <c r="BP40" i="6" s="1"/>
  <c r="BQ40" i="6" s="1"/>
  <c r="BD41" i="6"/>
  <c r="BE41" i="6"/>
  <c r="BF41" i="6"/>
  <c r="BG41" i="6"/>
  <c r="BH41" i="6"/>
  <c r="BI41" i="6"/>
  <c r="BJ41" i="6"/>
  <c r="BK41" i="6"/>
  <c r="BL41" i="6"/>
  <c r="BM41" i="6"/>
  <c r="BN41" i="6"/>
  <c r="BO41" i="6"/>
  <c r="BP41" i="6" s="1"/>
  <c r="BQ41" i="6" s="1"/>
  <c r="BD44" i="6"/>
  <c r="BE44" i="6" s="1"/>
  <c r="BF44" i="6" s="1"/>
  <c r="BG44" i="6" s="1"/>
  <c r="BH44" i="6"/>
  <c r="BI44" i="6"/>
  <c r="BJ44" i="6"/>
  <c r="BK44" i="6"/>
  <c r="BL44" i="6"/>
  <c r="BM44" i="6"/>
  <c r="BN44" i="6"/>
  <c r="BO44" i="6"/>
  <c r="BP44" i="6"/>
  <c r="BQ44" i="6"/>
  <c r="BD45" i="6"/>
  <c r="BE45" i="6"/>
  <c r="BF45" i="6"/>
  <c r="BG45" i="6" s="1"/>
  <c r="BH45" i="6" s="1"/>
  <c r="BI45" i="6" s="1"/>
  <c r="BJ45" i="6" s="1"/>
  <c r="BK45" i="6" s="1"/>
  <c r="BL45" i="6" s="1"/>
  <c r="BM45" i="6" s="1"/>
  <c r="BN45" i="6" s="1"/>
  <c r="BO45" i="6" s="1"/>
  <c r="BP45" i="6" s="1"/>
  <c r="BQ45" i="6" s="1"/>
  <c r="BD46" i="6"/>
  <c r="BE46" i="6"/>
  <c r="BF46" i="6"/>
  <c r="BG46" i="6"/>
  <c r="BH46" i="6"/>
  <c r="BI46" i="6" s="1"/>
  <c r="BJ46" i="6" s="1"/>
  <c r="BK46" i="6" s="1"/>
  <c r="BL46" i="6"/>
  <c r="BM46" i="6"/>
  <c r="BN46" i="6"/>
  <c r="BO46" i="6" s="1"/>
  <c r="BP46" i="6" s="1"/>
  <c r="BQ46" i="6" s="1"/>
  <c r="BD47" i="6"/>
  <c r="BE47" i="6"/>
  <c r="BF47" i="6"/>
  <c r="BG47" i="6"/>
  <c r="BH47" i="6"/>
  <c r="BI47" i="6"/>
  <c r="BJ47" i="6"/>
  <c r="BK47" i="6" s="1"/>
  <c r="BL47" i="6" s="1"/>
  <c r="BM47" i="6" s="1"/>
  <c r="BN47" i="6"/>
  <c r="BO47" i="6"/>
  <c r="BP47" i="6"/>
  <c r="BQ47" i="6"/>
  <c r="BD48" i="6"/>
  <c r="BE48" i="6"/>
  <c r="BF48" i="6" s="1"/>
  <c r="BG48" i="6" s="1"/>
  <c r="BH48" i="6" s="1"/>
  <c r="BI48" i="6" s="1"/>
  <c r="BJ48" i="6" s="1"/>
  <c r="BK48" i="6" s="1"/>
  <c r="BL48" i="6" s="1"/>
  <c r="BM48" i="6" s="1"/>
  <c r="BN48" i="6" s="1"/>
  <c r="BO48" i="6" s="1"/>
  <c r="BP48" i="6" s="1"/>
  <c r="BQ48" i="6" s="1"/>
  <c r="BD50" i="6"/>
  <c r="BE50" i="6"/>
  <c r="BF50" i="6"/>
  <c r="BG50" i="6"/>
  <c r="BH50" i="6"/>
  <c r="BI50" i="6"/>
  <c r="BJ50" i="6"/>
  <c r="BK50" i="6" s="1"/>
  <c r="BL50" i="6" s="1"/>
  <c r="BM50" i="6" s="1"/>
  <c r="BN50" i="6" s="1"/>
  <c r="BO50" i="6" s="1"/>
  <c r="BP50" i="6" s="1"/>
  <c r="BQ50" i="6" s="1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 s="1"/>
  <c r="BQ51" i="6" s="1"/>
  <c r="BD52" i="6"/>
  <c r="BE52" i="6"/>
  <c r="BF52" i="6"/>
  <c r="BG52" i="6"/>
  <c r="BH52" i="6"/>
  <c r="BI52" i="6"/>
  <c r="BJ52" i="6"/>
  <c r="BK52" i="6"/>
  <c r="BL52" i="6"/>
  <c r="BM52" i="6"/>
  <c r="BN52" i="6"/>
  <c r="BO52" i="6"/>
  <c r="BP52" i="6"/>
  <c r="BQ52" i="6" s="1"/>
  <c r="BD53" i="6"/>
  <c r="BE53" i="6" s="1"/>
  <c r="BF53" i="6" s="1"/>
  <c r="BG53" i="6" s="1"/>
  <c r="BH53" i="6" s="1"/>
  <c r="BI53" i="6" s="1"/>
  <c r="BJ53" i="6" s="1"/>
  <c r="BK53" i="6" s="1"/>
  <c r="BL53" i="6" s="1"/>
  <c r="BM53" i="6" s="1"/>
  <c r="BN53" i="6" s="1"/>
  <c r="BO53" i="6" s="1"/>
  <c r="BP53" i="6" s="1"/>
  <c r="BQ53" i="6" s="1"/>
  <c r="BD55" i="6"/>
  <c r="BE55" i="6"/>
  <c r="BF55" i="6"/>
  <c r="BG55" i="6" s="1"/>
  <c r="BH55" i="6" s="1"/>
  <c r="BI55" i="6" s="1"/>
  <c r="BJ55" i="6"/>
  <c r="BK55" i="6"/>
  <c r="BL55" i="6"/>
  <c r="BM55" i="6" s="1"/>
  <c r="BN55" i="6" s="1"/>
  <c r="BO55" i="6" s="1"/>
  <c r="BP55" i="6" s="1"/>
  <c r="BQ55" i="6" s="1"/>
  <c r="BD56" i="6"/>
  <c r="BE56" i="6"/>
  <c r="BF56" i="6"/>
  <c r="BG56" i="6"/>
  <c r="BH56" i="6"/>
  <c r="BI56" i="6" s="1"/>
  <c r="BJ56" i="6" s="1"/>
  <c r="BK56" i="6" s="1"/>
  <c r="BL56" i="6"/>
  <c r="BM56" i="6"/>
  <c r="BN56" i="6"/>
  <c r="BO56" i="6"/>
  <c r="BP56" i="6"/>
  <c r="BQ56" i="6"/>
  <c r="BD57" i="6"/>
  <c r="BE57" i="6" s="1"/>
  <c r="BF57" i="6" s="1"/>
  <c r="BG57" i="6" s="1"/>
  <c r="BH57" i="6" s="1"/>
  <c r="BI57" i="6" s="1"/>
  <c r="BJ57" i="6" s="1"/>
  <c r="BK57" i="6" s="1"/>
  <c r="BL57" i="6" s="1"/>
  <c r="BM57" i="6" s="1"/>
  <c r="BN57" i="6" s="1"/>
  <c r="BO57" i="6" s="1"/>
  <c r="BP57" i="6" s="1"/>
  <c r="BQ57" i="6" s="1"/>
  <c r="BD58" i="6"/>
  <c r="BE58" i="6"/>
  <c r="BF58" i="6"/>
  <c r="BG58" i="6"/>
  <c r="BH58" i="6"/>
  <c r="BI58" i="6" s="1"/>
  <c r="BJ58" i="6" s="1"/>
  <c r="BK58" i="6" s="1"/>
  <c r="BL58" i="6" s="1"/>
  <c r="BM58" i="6" s="1"/>
  <c r="BN58" i="6" s="1"/>
  <c r="BO58" i="6" s="1"/>
  <c r="BP58" i="6" s="1"/>
  <c r="BQ58" i="6" s="1"/>
  <c r="BD59" i="6"/>
  <c r="BE59" i="6"/>
  <c r="BF59" i="6"/>
  <c r="BG59" i="6"/>
  <c r="BH59" i="6"/>
  <c r="BI59" i="6"/>
  <c r="BJ59" i="6"/>
  <c r="BK59" i="6"/>
  <c r="BL59" i="6"/>
  <c r="BM59" i="6"/>
  <c r="BN59" i="6" s="1"/>
  <c r="BO59" i="6" s="1"/>
  <c r="BP59" i="6" s="1"/>
  <c r="BQ59" i="6" s="1"/>
  <c r="BU8" i="6"/>
  <c r="BV8" i="6"/>
  <c r="BW8" i="6"/>
  <c r="BX8" i="6"/>
  <c r="BR8" i="6"/>
  <c r="BS8" i="6" s="1"/>
  <c r="BT8" i="6" s="1"/>
  <c r="BK8" i="6"/>
  <c r="BL8" i="6" s="1"/>
  <c r="BM8" i="6" s="1"/>
  <c r="BN8" i="6" s="1"/>
  <c r="BO8" i="6" s="1"/>
  <c r="BP8" i="6" s="1"/>
  <c r="BQ8" i="6" s="1"/>
  <c r="BD8" i="6"/>
  <c r="BE8" i="6"/>
  <c r="BF8" i="6"/>
  <c r="BG8" i="6"/>
  <c r="BH8" i="6"/>
  <c r="BI8" i="6"/>
  <c r="BJ8" i="6"/>
  <c r="BR46" i="16" l="1"/>
  <c r="BS46" i="16"/>
  <c r="BT46" i="16"/>
  <c r="BU46" i="16"/>
  <c r="BV46" i="16"/>
  <c r="BW46" i="16"/>
  <c r="BX46" i="16"/>
  <c r="BY46" i="16"/>
  <c r="BZ46" i="16"/>
  <c r="CA46" i="16"/>
  <c r="BC65" i="7"/>
  <c r="BD65" i="7" s="1"/>
  <c r="BE65" i="7" s="1"/>
  <c r="BF65" i="7" s="1"/>
  <c r="BG65" i="7" s="1"/>
  <c r="BE89" i="16"/>
  <c r="BF89" i="16" s="1"/>
  <c r="BG89" i="16" s="1"/>
  <c r="BH89" i="16" s="1"/>
  <c r="BI89" i="16" s="1"/>
  <c r="BJ89" i="16" s="1"/>
  <c r="BK89" i="16" s="1"/>
  <c r="BL89" i="16" s="1"/>
  <c r="BM89" i="16" s="1"/>
  <c r="BN89" i="16" s="1"/>
  <c r="BO89" i="16" s="1"/>
  <c r="BP89" i="16" s="1"/>
  <c r="BQ89" i="16" s="1"/>
  <c r="BC89" i="16"/>
  <c r="BB89" i="16" s="1"/>
  <c r="BA89" i="16" s="1"/>
  <c r="AZ89" i="16" s="1"/>
  <c r="AY89" i="16" s="1"/>
  <c r="AX89" i="16" s="1"/>
  <c r="AW89" i="16" s="1"/>
  <c r="AV89" i="16" s="1"/>
  <c r="AU89" i="16" s="1"/>
  <c r="AT89" i="16" s="1"/>
  <c r="AS89" i="16" s="1"/>
  <c r="AR89" i="16" s="1"/>
  <c r="AQ89" i="16" s="1"/>
  <c r="AP89" i="16" s="1"/>
  <c r="AO89" i="16" s="1"/>
  <c r="AN89" i="16" s="1"/>
  <c r="AM89" i="16" s="1"/>
  <c r="AL89" i="16" s="1"/>
  <c r="AK89" i="16" s="1"/>
  <c r="AJ89" i="16" s="1"/>
  <c r="AI89" i="16" s="1"/>
  <c r="AH89" i="16" s="1"/>
  <c r="AG89" i="16" s="1"/>
  <c r="AF89" i="16" s="1"/>
  <c r="AE89" i="16" s="1"/>
  <c r="AD89" i="16" s="1"/>
  <c r="AC89" i="16" s="1"/>
  <c r="AB89" i="16" s="1"/>
  <c r="AA89" i="16" s="1"/>
  <c r="Z89" i="16" s="1"/>
  <c r="Y89" i="16" s="1"/>
  <c r="X89" i="16" s="1"/>
  <c r="W89" i="16" s="1"/>
  <c r="V89" i="16" s="1"/>
  <c r="U89" i="16" s="1"/>
  <c r="T89" i="16" s="1"/>
  <c r="S89" i="16" s="1"/>
  <c r="R89" i="16" s="1"/>
  <c r="Q89" i="16" s="1"/>
  <c r="P89" i="16" s="1"/>
  <c r="O89" i="16" s="1"/>
  <c r="N89" i="16" s="1"/>
  <c r="M89" i="16" s="1"/>
  <c r="L89" i="16" s="1"/>
  <c r="K89" i="16" s="1"/>
  <c r="J89" i="16" s="1"/>
  <c r="I89" i="16" s="1"/>
  <c r="H89" i="16" s="1"/>
  <c r="G89" i="16" s="1"/>
  <c r="F89" i="16" s="1"/>
  <c r="BC10" i="6"/>
  <c r="BC11" i="6"/>
  <c r="BC12" i="6"/>
  <c r="BC13" i="6"/>
  <c r="BC16" i="6"/>
  <c r="BC17" i="6"/>
  <c r="BC18" i="6"/>
  <c r="BC20" i="6"/>
  <c r="BC21" i="6"/>
  <c r="BC22" i="6"/>
  <c r="BC23" i="6"/>
  <c r="BC27" i="6"/>
  <c r="BC28" i="6"/>
  <c r="BC29" i="6"/>
  <c r="BC30" i="6"/>
  <c r="BC34" i="6"/>
  <c r="BC35" i="6"/>
  <c r="BC37" i="6"/>
  <c r="BC38" i="6"/>
  <c r="BC40" i="6"/>
  <c r="BC41" i="6"/>
  <c r="BC44" i="6"/>
  <c r="BC45" i="6"/>
  <c r="BC46" i="6"/>
  <c r="BC47" i="6"/>
  <c r="BC48" i="6"/>
  <c r="BC50" i="6"/>
  <c r="BC51" i="6"/>
  <c r="BC52" i="6"/>
  <c r="BC53" i="6"/>
  <c r="BC55" i="6"/>
  <c r="BC56" i="6"/>
  <c r="BC57" i="6"/>
  <c r="BC58" i="6"/>
  <c r="BC59" i="6"/>
  <c r="BC8" i="6"/>
  <c r="AL89" i="21"/>
  <c r="AL48" i="21" l="1"/>
  <c r="J8" i="25" l="1"/>
  <c r="J9" i="25"/>
  <c r="J7" i="25"/>
  <c r="AE148" i="21"/>
  <c r="AE147" i="21"/>
  <c r="L134" i="21"/>
  <c r="M134" i="21" s="1"/>
  <c r="N134" i="21" s="1"/>
  <c r="O134" i="21" s="1"/>
  <c r="P134" i="21" s="1"/>
  <c r="Q134" i="21" s="1"/>
  <c r="R134" i="21" s="1"/>
  <c r="S134" i="21" s="1"/>
  <c r="T134" i="21" s="1"/>
  <c r="U134" i="21" s="1"/>
  <c r="V134" i="21" s="1"/>
  <c r="W134" i="21" s="1"/>
  <c r="X134" i="21" s="1"/>
  <c r="Y134" i="21" s="1"/>
  <c r="Z134" i="21" s="1"/>
  <c r="AA134" i="21" s="1"/>
  <c r="AB134" i="21" s="1"/>
  <c r="AC134" i="21" s="1"/>
  <c r="AD134" i="21" s="1"/>
  <c r="AE134" i="21" s="1"/>
  <c r="AF134" i="21" s="1"/>
  <c r="AG134" i="21" s="1"/>
  <c r="AH134" i="21" s="1"/>
  <c r="AI134" i="21" s="1"/>
  <c r="AJ134" i="21" s="1"/>
  <c r="AK134" i="21" s="1"/>
  <c r="L133" i="21"/>
  <c r="AL133" i="21" s="1"/>
  <c r="AF138" i="21" l="1"/>
  <c r="M133" i="21"/>
  <c r="N133" i="21" s="1"/>
  <c r="O133" i="21" s="1"/>
  <c r="P133" i="21" s="1"/>
  <c r="Q133" i="21" s="1"/>
  <c r="R133" i="21" s="1"/>
  <c r="S133" i="21" s="1"/>
  <c r="T133" i="21" s="1"/>
  <c r="U133" i="21" s="1"/>
  <c r="V133" i="21" s="1"/>
  <c r="W133" i="21" s="1"/>
  <c r="AL134" i="21"/>
  <c r="L135" i="21"/>
  <c r="X133" i="21" l="1"/>
  <c r="M137" i="21"/>
  <c r="AL135" i="21"/>
  <c r="M135" i="21"/>
  <c r="N135" i="21" s="1"/>
  <c r="O135" i="21" s="1"/>
  <c r="P135" i="21" s="1"/>
  <c r="Q135" i="21" s="1"/>
  <c r="R135" i="21" s="1"/>
  <c r="S135" i="21" s="1"/>
  <c r="T135" i="21" s="1"/>
  <c r="U135" i="21" s="1"/>
  <c r="V135" i="21" s="1"/>
  <c r="W135" i="21" s="1"/>
  <c r="X135" i="21" s="1"/>
  <c r="Y135" i="21" s="1"/>
  <c r="Z135" i="21" s="1"/>
  <c r="AA135" i="21" s="1"/>
  <c r="AB135" i="21" s="1"/>
  <c r="AC135" i="21" s="1"/>
  <c r="AD135" i="21" s="1"/>
  <c r="AE135" i="21" s="1"/>
  <c r="AF135" i="21" l="1"/>
  <c r="AG135" i="21" s="1"/>
  <c r="AH135" i="21" s="1"/>
  <c r="AI135" i="21" s="1"/>
  <c r="AJ135" i="21" s="1"/>
  <c r="AK135" i="21" s="1"/>
  <c r="AF139" i="21"/>
  <c r="Y133" i="21"/>
  <c r="N137" i="21"/>
  <c r="AL90" i="21"/>
  <c r="AL91" i="21"/>
  <c r="AL92" i="21"/>
  <c r="AL93" i="21"/>
  <c r="AM138" i="21" s="1"/>
  <c r="AL94" i="21"/>
  <c r="AM139" i="21" s="1"/>
  <c r="AL95" i="21"/>
  <c r="AM140" i="21" s="1"/>
  <c r="H5" i="24"/>
  <c r="H6" i="24"/>
  <c r="H7" i="24"/>
  <c r="H8" i="24"/>
  <c r="H9" i="24"/>
  <c r="H12" i="24"/>
  <c r="H13" i="24"/>
  <c r="H14" i="24"/>
  <c r="Z133" i="21" l="1"/>
  <c r="O137" i="21"/>
  <c r="AD56" i="6"/>
  <c r="AC56" i="6" s="1"/>
  <c r="AB56" i="6" s="1"/>
  <c r="AA56" i="6" s="1"/>
  <c r="Z56" i="6" s="1"/>
  <c r="Y56" i="6" s="1"/>
  <c r="X56" i="6" s="1"/>
  <c r="W56" i="6" s="1"/>
  <c r="V56" i="6" s="1"/>
  <c r="U56" i="6" s="1"/>
  <c r="T56" i="6" s="1"/>
  <c r="S56" i="6" s="1"/>
  <c r="R56" i="6" s="1"/>
  <c r="Q56" i="6" s="1"/>
  <c r="P56" i="6" s="1"/>
  <c r="O56" i="6" s="1"/>
  <c r="N56" i="6" s="1"/>
  <c r="M56" i="6" s="1"/>
  <c r="L56" i="6" s="1"/>
  <c r="K56" i="6" s="1"/>
  <c r="AD57" i="6"/>
  <c r="AC57" i="6" s="1"/>
  <c r="AB57" i="6" s="1"/>
  <c r="AA57" i="6" s="1"/>
  <c r="Z57" i="6" s="1"/>
  <c r="Y57" i="6" s="1"/>
  <c r="X57" i="6" s="1"/>
  <c r="W57" i="6" s="1"/>
  <c r="V57" i="6" s="1"/>
  <c r="U57" i="6" s="1"/>
  <c r="T57" i="6" s="1"/>
  <c r="S57" i="6" s="1"/>
  <c r="R57" i="6" s="1"/>
  <c r="Q57" i="6" s="1"/>
  <c r="P57" i="6" s="1"/>
  <c r="O57" i="6" s="1"/>
  <c r="N57" i="6" s="1"/>
  <c r="M57" i="6" s="1"/>
  <c r="L57" i="6" s="1"/>
  <c r="K57" i="6" s="1"/>
  <c r="AD58" i="6"/>
  <c r="AC58" i="6" s="1"/>
  <c r="AB58" i="6" s="1"/>
  <c r="AA58" i="6" s="1"/>
  <c r="Z58" i="6" s="1"/>
  <c r="Y58" i="6" s="1"/>
  <c r="X58" i="6" s="1"/>
  <c r="W58" i="6" s="1"/>
  <c r="V58" i="6" s="1"/>
  <c r="U58" i="6" s="1"/>
  <c r="T58" i="6" s="1"/>
  <c r="S58" i="6" s="1"/>
  <c r="R58" i="6" s="1"/>
  <c r="Q58" i="6" s="1"/>
  <c r="P58" i="6" s="1"/>
  <c r="O58" i="6" s="1"/>
  <c r="N58" i="6" s="1"/>
  <c r="M58" i="6" s="1"/>
  <c r="L58" i="6" s="1"/>
  <c r="K58" i="6" s="1"/>
  <c r="AD59" i="6"/>
  <c r="AC59" i="6" s="1"/>
  <c r="AB59" i="6" s="1"/>
  <c r="AA59" i="6" s="1"/>
  <c r="Z59" i="6" s="1"/>
  <c r="Y59" i="6" s="1"/>
  <c r="X59" i="6" s="1"/>
  <c r="W59" i="6" s="1"/>
  <c r="V59" i="6" s="1"/>
  <c r="U59" i="6" s="1"/>
  <c r="T59" i="6" s="1"/>
  <c r="S59" i="6" s="1"/>
  <c r="R59" i="6" s="1"/>
  <c r="Q59" i="6" s="1"/>
  <c r="P59" i="6" s="1"/>
  <c r="O59" i="6" s="1"/>
  <c r="N59" i="6" s="1"/>
  <c r="M59" i="6" s="1"/>
  <c r="L59" i="6" s="1"/>
  <c r="K59" i="6" s="1"/>
  <c r="AD55" i="6"/>
  <c r="AC55" i="6" s="1"/>
  <c r="AB55" i="6" s="1"/>
  <c r="AA55" i="6" s="1"/>
  <c r="Z55" i="6" s="1"/>
  <c r="Y55" i="6" s="1"/>
  <c r="X55" i="6" s="1"/>
  <c r="W55" i="6" s="1"/>
  <c r="V55" i="6" s="1"/>
  <c r="U55" i="6" s="1"/>
  <c r="T55" i="6" s="1"/>
  <c r="S55" i="6" s="1"/>
  <c r="R55" i="6" s="1"/>
  <c r="Q55" i="6" s="1"/>
  <c r="P55" i="6" s="1"/>
  <c r="O55" i="6" s="1"/>
  <c r="N55" i="6" s="1"/>
  <c r="M55" i="6" s="1"/>
  <c r="L55" i="6" s="1"/>
  <c r="K55" i="6" s="1"/>
  <c r="AD45" i="6"/>
  <c r="AC45" i="6" s="1"/>
  <c r="AB45" i="6" s="1"/>
  <c r="AA45" i="6" s="1"/>
  <c r="Z45" i="6" s="1"/>
  <c r="Y45" i="6" s="1"/>
  <c r="X45" i="6" s="1"/>
  <c r="W45" i="6" s="1"/>
  <c r="V45" i="6" s="1"/>
  <c r="U45" i="6" s="1"/>
  <c r="T45" i="6" s="1"/>
  <c r="S45" i="6" s="1"/>
  <c r="R45" i="6" s="1"/>
  <c r="Q45" i="6" s="1"/>
  <c r="P45" i="6" s="1"/>
  <c r="O45" i="6" s="1"/>
  <c r="N45" i="6" s="1"/>
  <c r="M45" i="6" s="1"/>
  <c r="L45" i="6" s="1"/>
  <c r="K45" i="6" s="1"/>
  <c r="AF45" i="6"/>
  <c r="AG45" i="6" s="1"/>
  <c r="AH45" i="6" s="1"/>
  <c r="AI45" i="6" s="1"/>
  <c r="AJ45" i="6" s="1"/>
  <c r="AK45" i="6" s="1"/>
  <c r="AL45" i="6" s="1"/>
  <c r="AM45" i="6" s="1"/>
  <c r="AN45" i="6" s="1"/>
  <c r="AO45" i="6" s="1"/>
  <c r="AP45" i="6" s="1"/>
  <c r="AQ45" i="6" s="1"/>
  <c r="AR45" i="6" s="1"/>
  <c r="AS45" i="6" s="1"/>
  <c r="AT45" i="6" s="1"/>
  <c r="AU45" i="6" s="1"/>
  <c r="AV45" i="6" s="1"/>
  <c r="AW45" i="6" s="1"/>
  <c r="AX45" i="6" s="1"/>
  <c r="AY45" i="6" s="1"/>
  <c r="AZ45" i="6" s="1"/>
  <c r="BA45" i="6" s="1"/>
  <c r="BB45" i="6" s="1"/>
  <c r="K41" i="23"/>
  <c r="K38" i="23"/>
  <c r="K35" i="23"/>
  <c r="K31" i="23"/>
  <c r="K28" i="23"/>
  <c r="K21" i="23"/>
  <c r="K11" i="23"/>
  <c r="K5" i="23"/>
  <c r="M11" i="21"/>
  <c r="N11" i="21" s="1"/>
  <c r="O11" i="21" s="1"/>
  <c r="P11" i="21" s="1"/>
  <c r="Q11" i="21" s="1"/>
  <c r="R11" i="21" s="1"/>
  <c r="S11" i="21" s="1"/>
  <c r="T11" i="21" s="1"/>
  <c r="U11" i="21" s="1"/>
  <c r="V11" i="21" s="1"/>
  <c r="W11" i="21" s="1"/>
  <c r="X11" i="21" s="1"/>
  <c r="Y11" i="21" s="1"/>
  <c r="Z11" i="21" s="1"/>
  <c r="AA11" i="21" s="1"/>
  <c r="AB11" i="21" s="1"/>
  <c r="AC11" i="21" s="1"/>
  <c r="AD11" i="21" s="1"/>
  <c r="AE11" i="21" s="1"/>
  <c r="AF11" i="21" s="1"/>
  <c r="AG11" i="21" s="1"/>
  <c r="AH11" i="21" s="1"/>
  <c r="AI11" i="21" s="1"/>
  <c r="AJ11" i="21" s="1"/>
  <c r="AK11" i="21" s="1"/>
  <c r="K40" i="21"/>
  <c r="L40" i="21"/>
  <c r="K31" i="21"/>
  <c r="L31" i="21"/>
  <c r="L32" i="21" s="1"/>
  <c r="J10" i="22"/>
  <c r="G6" i="22"/>
  <c r="G10" i="22"/>
  <c r="G4" i="22"/>
  <c r="F5" i="22"/>
  <c r="F7" i="22" s="1"/>
  <c r="G7" i="22" s="1"/>
  <c r="H11" i="22"/>
  <c r="F11" i="22"/>
  <c r="G11" i="22" s="1"/>
  <c r="F9" i="22"/>
  <c r="G9" i="22" s="1"/>
  <c r="M41" i="21"/>
  <c r="N41" i="21" s="1"/>
  <c r="O41" i="21" s="1"/>
  <c r="P41" i="21" s="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AG41" i="21" s="1"/>
  <c r="AH41" i="21" s="1"/>
  <c r="AI41" i="21" s="1"/>
  <c r="AJ41" i="21" s="1"/>
  <c r="AK41" i="21" s="1"/>
  <c r="AF64" i="6"/>
  <c r="AF62" i="6"/>
  <c r="AF59" i="6"/>
  <c r="AG59" i="6" s="1"/>
  <c r="AH59" i="6" s="1"/>
  <c r="AI59" i="6" s="1"/>
  <c r="AJ59" i="6" s="1"/>
  <c r="AK59" i="6" s="1"/>
  <c r="AL59" i="6" s="1"/>
  <c r="AM59" i="6" s="1"/>
  <c r="AN59" i="6" s="1"/>
  <c r="AO59" i="6" s="1"/>
  <c r="AP59" i="6" s="1"/>
  <c r="AQ59" i="6" s="1"/>
  <c r="AR59" i="6" s="1"/>
  <c r="AS59" i="6" s="1"/>
  <c r="AT59" i="6" s="1"/>
  <c r="AU59" i="6" s="1"/>
  <c r="AV59" i="6" s="1"/>
  <c r="AW59" i="6" s="1"/>
  <c r="AX59" i="6" s="1"/>
  <c r="AY59" i="6" s="1"/>
  <c r="AZ59" i="6" s="1"/>
  <c r="BA59" i="6" s="1"/>
  <c r="BB59" i="6" s="1"/>
  <c r="K34" i="21"/>
  <c r="K15" i="21"/>
  <c r="M15" i="21" s="1"/>
  <c r="N15" i="21" s="1"/>
  <c r="O15" i="21" s="1"/>
  <c r="P15" i="21" s="1"/>
  <c r="Q15" i="21" s="1"/>
  <c r="R15" i="21" s="1"/>
  <c r="S15" i="21" s="1"/>
  <c r="T15" i="21" s="1"/>
  <c r="U15" i="21" s="1"/>
  <c r="V15" i="21" s="1"/>
  <c r="W15" i="21" s="1"/>
  <c r="X15" i="21" s="1"/>
  <c r="Y15" i="21" s="1"/>
  <c r="Z15" i="21" s="1"/>
  <c r="AA15" i="21" s="1"/>
  <c r="AB15" i="21" s="1"/>
  <c r="AC15" i="21" s="1"/>
  <c r="AD15" i="21" s="1"/>
  <c r="AE15" i="21" s="1"/>
  <c r="AF15" i="21" s="1"/>
  <c r="AG15" i="21" s="1"/>
  <c r="AH15" i="21" s="1"/>
  <c r="AI15" i="21" s="1"/>
  <c r="AJ15" i="21" s="1"/>
  <c r="AK15" i="21" s="1"/>
  <c r="L34" i="21"/>
  <c r="BK98" i="15"/>
  <c r="BJ98" i="15" s="1"/>
  <c r="BI98" i="15" s="1"/>
  <c r="BH98" i="15" s="1"/>
  <c r="BH99" i="15" s="1"/>
  <c r="BM98" i="15"/>
  <c r="BM99" i="15" s="1"/>
  <c r="BL99" i="15"/>
  <c r="I99" i="15"/>
  <c r="M97" i="21"/>
  <c r="N97" i="21" s="1"/>
  <c r="O97" i="21" s="1"/>
  <c r="P97" i="21" s="1"/>
  <c r="Q97" i="21" s="1"/>
  <c r="R97" i="21" s="1"/>
  <c r="S97" i="21" s="1"/>
  <c r="T97" i="21" s="1"/>
  <c r="U97" i="21" s="1"/>
  <c r="V97" i="21" s="1"/>
  <c r="W97" i="21" s="1"/>
  <c r="X97" i="21" s="1"/>
  <c r="Y97" i="21" s="1"/>
  <c r="Z97" i="21" s="1"/>
  <c r="AA97" i="21" s="1"/>
  <c r="AB97" i="21" s="1"/>
  <c r="AC97" i="21" s="1"/>
  <c r="AD97" i="21" s="1"/>
  <c r="AE97" i="21" s="1"/>
  <c r="AF97" i="21" s="1"/>
  <c r="AG97" i="21" s="1"/>
  <c r="AH97" i="21" s="1"/>
  <c r="AI97" i="21" s="1"/>
  <c r="AJ97" i="21" s="1"/>
  <c r="AK97" i="21" s="1"/>
  <c r="AP10" i="6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AF58" i="6"/>
  <c r="AG58" i="6" s="1"/>
  <c r="AH58" i="6" s="1"/>
  <c r="AI58" i="6" s="1"/>
  <c r="AJ58" i="6" s="1"/>
  <c r="AK58" i="6" s="1"/>
  <c r="AL58" i="6" s="1"/>
  <c r="AM58" i="6" s="1"/>
  <c r="AN58" i="6" s="1"/>
  <c r="AO58" i="6" s="1"/>
  <c r="AP58" i="6" s="1"/>
  <c r="AQ58" i="6" s="1"/>
  <c r="AR58" i="6" s="1"/>
  <c r="AS58" i="6" s="1"/>
  <c r="AT58" i="6" s="1"/>
  <c r="AU58" i="6" s="1"/>
  <c r="AV58" i="6" s="1"/>
  <c r="AW58" i="6" s="1"/>
  <c r="AX58" i="6" s="1"/>
  <c r="AY58" i="6" s="1"/>
  <c r="AZ58" i="6" s="1"/>
  <c r="BA58" i="6" s="1"/>
  <c r="BB58" i="6" s="1"/>
  <c r="AF57" i="6"/>
  <c r="AG57" i="6" s="1"/>
  <c r="AH57" i="6" s="1"/>
  <c r="AI57" i="6" s="1"/>
  <c r="AJ57" i="6" s="1"/>
  <c r="AK57" i="6" s="1"/>
  <c r="AL57" i="6" s="1"/>
  <c r="AM57" i="6" s="1"/>
  <c r="AN57" i="6" s="1"/>
  <c r="AO57" i="6" s="1"/>
  <c r="AP57" i="6" s="1"/>
  <c r="AQ57" i="6" s="1"/>
  <c r="AR57" i="6" s="1"/>
  <c r="AS57" i="6" s="1"/>
  <c r="AT57" i="6" s="1"/>
  <c r="AU57" i="6" s="1"/>
  <c r="AV57" i="6" s="1"/>
  <c r="AW57" i="6" s="1"/>
  <c r="AX57" i="6" s="1"/>
  <c r="AY57" i="6" s="1"/>
  <c r="AZ57" i="6" s="1"/>
  <c r="BA57" i="6" s="1"/>
  <c r="BB57" i="6" s="1"/>
  <c r="M96" i="21"/>
  <c r="N96" i="21" s="1"/>
  <c r="O96" i="21" s="1"/>
  <c r="P96" i="21" s="1"/>
  <c r="Q96" i="21" s="1"/>
  <c r="R96" i="21" s="1"/>
  <c r="S96" i="21" s="1"/>
  <c r="T96" i="21" s="1"/>
  <c r="U96" i="21" s="1"/>
  <c r="V96" i="21" s="1"/>
  <c r="W96" i="21" s="1"/>
  <c r="X96" i="21" s="1"/>
  <c r="Y96" i="21" s="1"/>
  <c r="Z96" i="21" s="1"/>
  <c r="AA96" i="21" s="1"/>
  <c r="AB96" i="21" s="1"/>
  <c r="AC96" i="21" s="1"/>
  <c r="AD96" i="21" s="1"/>
  <c r="AE96" i="21" s="1"/>
  <c r="AF96" i="21" s="1"/>
  <c r="AG96" i="21" s="1"/>
  <c r="AH96" i="21" s="1"/>
  <c r="AI96" i="21" s="1"/>
  <c r="AJ96" i="21" s="1"/>
  <c r="AK96" i="21" s="1"/>
  <c r="AP83" i="14"/>
  <c r="L59" i="21"/>
  <c r="L63" i="21"/>
  <c r="K63" i="21"/>
  <c r="K59" i="21"/>
  <c r="M83" i="21"/>
  <c r="N83" i="21" s="1"/>
  <c r="O83" i="21" s="1"/>
  <c r="P83" i="21" s="1"/>
  <c r="Q83" i="21" s="1"/>
  <c r="R83" i="21" s="1"/>
  <c r="S83" i="21" s="1"/>
  <c r="T83" i="21" s="1"/>
  <c r="U83" i="21" s="1"/>
  <c r="V83" i="21" s="1"/>
  <c r="W83" i="21" s="1"/>
  <c r="X83" i="21" s="1"/>
  <c r="Y83" i="21" s="1"/>
  <c r="Z83" i="21" s="1"/>
  <c r="AA83" i="21" s="1"/>
  <c r="AB83" i="21" s="1"/>
  <c r="AC83" i="21" s="1"/>
  <c r="AD83" i="21" s="1"/>
  <c r="AE83" i="21" s="1"/>
  <c r="AF83" i="21" s="1"/>
  <c r="AG83" i="21" s="1"/>
  <c r="AH83" i="21" s="1"/>
  <c r="AI83" i="21" s="1"/>
  <c r="AJ83" i="21" s="1"/>
  <c r="AK83" i="21" s="1"/>
  <c r="L79" i="21"/>
  <c r="M12" i="2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AB12" i="21" s="1"/>
  <c r="AC12" i="21" s="1"/>
  <c r="AD12" i="21" s="1"/>
  <c r="AE12" i="21" s="1"/>
  <c r="AF12" i="21" s="1"/>
  <c r="AG12" i="21" s="1"/>
  <c r="AH12" i="21" s="1"/>
  <c r="AI12" i="21" s="1"/>
  <c r="AJ12" i="21" s="1"/>
  <c r="AK12" i="21" s="1"/>
  <c r="M13" i="21"/>
  <c r="N13" i="21" s="1"/>
  <c r="O13" i="21" s="1"/>
  <c r="P13" i="21" s="1"/>
  <c r="Q13" i="21" s="1"/>
  <c r="R13" i="21" s="1"/>
  <c r="S13" i="21" s="1"/>
  <c r="T13" i="21" s="1"/>
  <c r="U13" i="21" s="1"/>
  <c r="V13" i="21" s="1"/>
  <c r="W13" i="21" s="1"/>
  <c r="X13" i="21" s="1"/>
  <c r="Y13" i="21" s="1"/>
  <c r="Z13" i="21" s="1"/>
  <c r="AA13" i="21" s="1"/>
  <c r="AB13" i="21" s="1"/>
  <c r="AC13" i="21" s="1"/>
  <c r="AD13" i="21" s="1"/>
  <c r="AE13" i="21" s="1"/>
  <c r="AF13" i="21" s="1"/>
  <c r="AG13" i="21" s="1"/>
  <c r="AH13" i="21" s="1"/>
  <c r="AI13" i="21" s="1"/>
  <c r="AJ13" i="21" s="1"/>
  <c r="AK13" i="21" s="1"/>
  <c r="M14" i="2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AG14" i="21" s="1"/>
  <c r="AH14" i="21" s="1"/>
  <c r="AI14" i="21" s="1"/>
  <c r="AJ14" i="21" s="1"/>
  <c r="AK14" i="21" s="1"/>
  <c r="M16" i="21"/>
  <c r="N16" i="21" s="1"/>
  <c r="O16" i="21" s="1"/>
  <c r="P16" i="21" s="1"/>
  <c r="Q16" i="21" s="1"/>
  <c r="R16" i="21" s="1"/>
  <c r="S16" i="21" s="1"/>
  <c r="T16" i="21" s="1"/>
  <c r="U16" i="21" s="1"/>
  <c r="V16" i="21" s="1"/>
  <c r="W16" i="21" s="1"/>
  <c r="X16" i="21" s="1"/>
  <c r="Y16" i="21" s="1"/>
  <c r="Z16" i="21" s="1"/>
  <c r="AA16" i="21" s="1"/>
  <c r="AB16" i="21" s="1"/>
  <c r="AC16" i="21" s="1"/>
  <c r="AD16" i="21" s="1"/>
  <c r="AE16" i="21" s="1"/>
  <c r="AF16" i="21" s="1"/>
  <c r="AG16" i="21" s="1"/>
  <c r="AH16" i="21" s="1"/>
  <c r="AI16" i="21" s="1"/>
  <c r="AJ16" i="21" s="1"/>
  <c r="AK16" i="21" s="1"/>
  <c r="M17" i="21"/>
  <c r="N17" i="21" s="1"/>
  <c r="O17" i="21" s="1"/>
  <c r="P17" i="21" s="1"/>
  <c r="Q17" i="21" s="1"/>
  <c r="R17" i="21" s="1"/>
  <c r="S17" i="21" s="1"/>
  <c r="T17" i="21" s="1"/>
  <c r="U17" i="21" s="1"/>
  <c r="V17" i="21" s="1"/>
  <c r="W17" i="21" s="1"/>
  <c r="X17" i="21" s="1"/>
  <c r="Y17" i="21" s="1"/>
  <c r="Z17" i="21" s="1"/>
  <c r="AA17" i="21" s="1"/>
  <c r="AB17" i="21" s="1"/>
  <c r="AC17" i="21" s="1"/>
  <c r="AD17" i="21" s="1"/>
  <c r="AE17" i="21" s="1"/>
  <c r="AF17" i="21" s="1"/>
  <c r="AG17" i="21" s="1"/>
  <c r="AH17" i="21" s="1"/>
  <c r="AI17" i="21" s="1"/>
  <c r="AJ17" i="21" s="1"/>
  <c r="AK17" i="21" s="1"/>
  <c r="M18" i="21"/>
  <c r="N18" i="21" s="1"/>
  <c r="O18" i="21" s="1"/>
  <c r="P18" i="21" s="1"/>
  <c r="Q18" i="21" s="1"/>
  <c r="R18" i="21" s="1"/>
  <c r="S18" i="21" s="1"/>
  <c r="T18" i="21" s="1"/>
  <c r="U18" i="21" s="1"/>
  <c r="V18" i="21" s="1"/>
  <c r="W18" i="21" s="1"/>
  <c r="X18" i="21" s="1"/>
  <c r="Y18" i="21" s="1"/>
  <c r="Z18" i="21" s="1"/>
  <c r="AA18" i="21" s="1"/>
  <c r="AB18" i="21" s="1"/>
  <c r="AC18" i="21" s="1"/>
  <c r="AD18" i="21" s="1"/>
  <c r="AE18" i="21" s="1"/>
  <c r="AF18" i="21" s="1"/>
  <c r="AG18" i="21" s="1"/>
  <c r="AH18" i="21" s="1"/>
  <c r="AI18" i="21" s="1"/>
  <c r="AJ18" i="21" s="1"/>
  <c r="AK18" i="21" s="1"/>
  <c r="M19" i="21"/>
  <c r="N19" i="21" s="1"/>
  <c r="O19" i="21" s="1"/>
  <c r="P19" i="21" s="1"/>
  <c r="Q19" i="21" s="1"/>
  <c r="R19" i="21" s="1"/>
  <c r="S19" i="21" s="1"/>
  <c r="T19" i="21" s="1"/>
  <c r="U19" i="21" s="1"/>
  <c r="V19" i="21" s="1"/>
  <c r="W19" i="21" s="1"/>
  <c r="X19" i="21" s="1"/>
  <c r="Y19" i="21" s="1"/>
  <c r="Z19" i="21" s="1"/>
  <c r="AA19" i="21" s="1"/>
  <c r="AB19" i="21" s="1"/>
  <c r="AC19" i="21" s="1"/>
  <c r="AD19" i="21" s="1"/>
  <c r="AE19" i="21" s="1"/>
  <c r="AF19" i="21" s="1"/>
  <c r="AG19" i="21" s="1"/>
  <c r="AH19" i="21" s="1"/>
  <c r="AI19" i="21" s="1"/>
  <c r="AJ19" i="21" s="1"/>
  <c r="AK19" i="21" s="1"/>
  <c r="M20" i="21"/>
  <c r="N20" i="21" s="1"/>
  <c r="O20" i="21" s="1"/>
  <c r="P20" i="21" s="1"/>
  <c r="Q20" i="21" s="1"/>
  <c r="R20" i="21" s="1"/>
  <c r="S20" i="21" s="1"/>
  <c r="T20" i="21" s="1"/>
  <c r="U20" i="21" s="1"/>
  <c r="V20" i="21" s="1"/>
  <c r="W20" i="21" s="1"/>
  <c r="X20" i="21" s="1"/>
  <c r="Y20" i="21" s="1"/>
  <c r="Z20" i="21" s="1"/>
  <c r="AA20" i="21" s="1"/>
  <c r="AB20" i="21" s="1"/>
  <c r="AC20" i="21" s="1"/>
  <c r="AD20" i="21" s="1"/>
  <c r="AE20" i="21" s="1"/>
  <c r="AF20" i="21" s="1"/>
  <c r="AG20" i="21" s="1"/>
  <c r="AH20" i="21" s="1"/>
  <c r="AI20" i="21" s="1"/>
  <c r="AJ20" i="21" s="1"/>
  <c r="AK20" i="21" s="1"/>
  <c r="M21" i="21"/>
  <c r="N21" i="21" s="1"/>
  <c r="O21" i="21" s="1"/>
  <c r="P21" i="21" s="1"/>
  <c r="Q21" i="21" s="1"/>
  <c r="R21" i="21" s="1"/>
  <c r="S21" i="21" s="1"/>
  <c r="T21" i="21" s="1"/>
  <c r="U21" i="21" s="1"/>
  <c r="V21" i="21" s="1"/>
  <c r="W21" i="21" s="1"/>
  <c r="X21" i="21" s="1"/>
  <c r="Y21" i="21" s="1"/>
  <c r="Z21" i="21" s="1"/>
  <c r="AA21" i="21" s="1"/>
  <c r="AB21" i="21" s="1"/>
  <c r="AC21" i="21" s="1"/>
  <c r="AD21" i="21" s="1"/>
  <c r="AE21" i="21" s="1"/>
  <c r="AF21" i="21" s="1"/>
  <c r="AG21" i="21" s="1"/>
  <c r="AH21" i="21" s="1"/>
  <c r="AI21" i="21" s="1"/>
  <c r="AJ21" i="21" s="1"/>
  <c r="AK21" i="21" s="1"/>
  <c r="M22" i="21"/>
  <c r="N22" i="21" s="1"/>
  <c r="O22" i="21" s="1"/>
  <c r="P22" i="21" s="1"/>
  <c r="Q22" i="21" s="1"/>
  <c r="R22" i="21" s="1"/>
  <c r="S22" i="21" s="1"/>
  <c r="T22" i="21" s="1"/>
  <c r="U22" i="21" s="1"/>
  <c r="V22" i="21" s="1"/>
  <c r="W22" i="21" s="1"/>
  <c r="X22" i="21" s="1"/>
  <c r="Y22" i="21" s="1"/>
  <c r="Z22" i="21" s="1"/>
  <c r="AA22" i="21" s="1"/>
  <c r="AB22" i="21" s="1"/>
  <c r="AC22" i="21" s="1"/>
  <c r="AD22" i="21" s="1"/>
  <c r="AE22" i="21" s="1"/>
  <c r="AF22" i="21" s="1"/>
  <c r="AG22" i="21" s="1"/>
  <c r="AH22" i="21" s="1"/>
  <c r="AI22" i="21" s="1"/>
  <c r="AJ22" i="21" s="1"/>
  <c r="AK22" i="21" s="1"/>
  <c r="M23" i="21"/>
  <c r="N23" i="21" s="1"/>
  <c r="O23" i="21" s="1"/>
  <c r="P23" i="21" s="1"/>
  <c r="Q23" i="21" s="1"/>
  <c r="R23" i="21" s="1"/>
  <c r="S23" i="21" s="1"/>
  <c r="T23" i="21" s="1"/>
  <c r="U23" i="21" s="1"/>
  <c r="V23" i="21" s="1"/>
  <c r="W23" i="21" s="1"/>
  <c r="X23" i="21" s="1"/>
  <c r="Y23" i="21" s="1"/>
  <c r="Z23" i="21" s="1"/>
  <c r="AA23" i="21" s="1"/>
  <c r="AB23" i="21" s="1"/>
  <c r="AC23" i="21" s="1"/>
  <c r="AD23" i="21" s="1"/>
  <c r="AE23" i="21" s="1"/>
  <c r="AF23" i="21" s="1"/>
  <c r="AG23" i="21" s="1"/>
  <c r="AH23" i="21" s="1"/>
  <c r="AI23" i="21" s="1"/>
  <c r="AJ23" i="21" s="1"/>
  <c r="AK23" i="21" s="1"/>
  <c r="M24" i="21"/>
  <c r="N24" i="21" s="1"/>
  <c r="O24" i="21" s="1"/>
  <c r="P24" i="21" s="1"/>
  <c r="Q24" i="21" s="1"/>
  <c r="R24" i="21" s="1"/>
  <c r="S24" i="21" s="1"/>
  <c r="T24" i="21" s="1"/>
  <c r="U24" i="21" s="1"/>
  <c r="V24" i="21" s="1"/>
  <c r="W24" i="21" s="1"/>
  <c r="X24" i="21" s="1"/>
  <c r="Y24" i="21" s="1"/>
  <c r="Z24" i="21" s="1"/>
  <c r="AA24" i="21" s="1"/>
  <c r="AB24" i="21" s="1"/>
  <c r="AC24" i="21" s="1"/>
  <c r="AD24" i="21" s="1"/>
  <c r="AE24" i="21" s="1"/>
  <c r="AF24" i="21" s="1"/>
  <c r="AG24" i="21" s="1"/>
  <c r="AH24" i="21" s="1"/>
  <c r="AI24" i="21" s="1"/>
  <c r="AJ24" i="21" s="1"/>
  <c r="AK24" i="21" s="1"/>
  <c r="M25" i="21"/>
  <c r="N25" i="21" s="1"/>
  <c r="O25" i="21" s="1"/>
  <c r="P25" i="21" s="1"/>
  <c r="Q25" i="21" s="1"/>
  <c r="R25" i="21" s="1"/>
  <c r="S25" i="21" s="1"/>
  <c r="T25" i="21" s="1"/>
  <c r="U25" i="21" s="1"/>
  <c r="V25" i="21" s="1"/>
  <c r="W25" i="21" s="1"/>
  <c r="X25" i="21" s="1"/>
  <c r="Y25" i="21" s="1"/>
  <c r="Z25" i="21" s="1"/>
  <c r="AA25" i="21" s="1"/>
  <c r="AB25" i="21" s="1"/>
  <c r="AC25" i="21" s="1"/>
  <c r="AD25" i="21" s="1"/>
  <c r="AE25" i="21" s="1"/>
  <c r="AF25" i="21" s="1"/>
  <c r="AG25" i="21" s="1"/>
  <c r="AH25" i="21" s="1"/>
  <c r="AI25" i="21" s="1"/>
  <c r="AJ25" i="21" s="1"/>
  <c r="AK25" i="21" s="1"/>
  <c r="M26" i="21"/>
  <c r="N26" i="21" s="1"/>
  <c r="O26" i="21" s="1"/>
  <c r="P26" i="21" s="1"/>
  <c r="Q26" i="21" s="1"/>
  <c r="R26" i="21" s="1"/>
  <c r="S26" i="21" s="1"/>
  <c r="T26" i="21" s="1"/>
  <c r="U26" i="21" s="1"/>
  <c r="V26" i="21" s="1"/>
  <c r="W26" i="21" s="1"/>
  <c r="X26" i="21" s="1"/>
  <c r="Y26" i="21" s="1"/>
  <c r="Z26" i="21" s="1"/>
  <c r="AA26" i="21" s="1"/>
  <c r="AB26" i="21" s="1"/>
  <c r="AC26" i="21" s="1"/>
  <c r="AD26" i="21" s="1"/>
  <c r="AE26" i="21" s="1"/>
  <c r="AF26" i="21" s="1"/>
  <c r="AG26" i="21" s="1"/>
  <c r="AH26" i="21" s="1"/>
  <c r="AI26" i="21" s="1"/>
  <c r="AJ26" i="21" s="1"/>
  <c r="AK26" i="21" s="1"/>
  <c r="M27" i="21"/>
  <c r="N27" i="21" s="1"/>
  <c r="O27" i="21" s="1"/>
  <c r="P27" i="21" s="1"/>
  <c r="Q27" i="21" s="1"/>
  <c r="R27" i="21" s="1"/>
  <c r="S27" i="21" s="1"/>
  <c r="T27" i="21" s="1"/>
  <c r="U27" i="21" s="1"/>
  <c r="V27" i="21" s="1"/>
  <c r="W27" i="21" s="1"/>
  <c r="X27" i="21" s="1"/>
  <c r="Y27" i="21" s="1"/>
  <c r="Z27" i="21" s="1"/>
  <c r="AA27" i="21" s="1"/>
  <c r="AB27" i="21" s="1"/>
  <c r="AC27" i="21" s="1"/>
  <c r="AD27" i="21" s="1"/>
  <c r="AE27" i="21" s="1"/>
  <c r="AF27" i="21" s="1"/>
  <c r="AG27" i="21" s="1"/>
  <c r="AH27" i="21" s="1"/>
  <c r="AI27" i="21" s="1"/>
  <c r="AJ27" i="21" s="1"/>
  <c r="AK27" i="21" s="1"/>
  <c r="M28" i="21"/>
  <c r="N28" i="21" s="1"/>
  <c r="O28" i="21" s="1"/>
  <c r="P28" i="21" s="1"/>
  <c r="Q28" i="21" s="1"/>
  <c r="R28" i="21" s="1"/>
  <c r="S28" i="21" s="1"/>
  <c r="T28" i="21" s="1"/>
  <c r="U28" i="21" s="1"/>
  <c r="V28" i="21" s="1"/>
  <c r="W28" i="21" s="1"/>
  <c r="X28" i="21" s="1"/>
  <c r="Y28" i="21" s="1"/>
  <c r="Z28" i="21" s="1"/>
  <c r="AA28" i="21" s="1"/>
  <c r="AB28" i="21" s="1"/>
  <c r="AC28" i="21" s="1"/>
  <c r="AD28" i="21" s="1"/>
  <c r="AE28" i="21" s="1"/>
  <c r="AF28" i="21" s="1"/>
  <c r="AG28" i="21" s="1"/>
  <c r="AH28" i="21" s="1"/>
  <c r="AI28" i="21" s="1"/>
  <c r="AJ28" i="21" s="1"/>
  <c r="AK28" i="21" s="1"/>
  <c r="M29" i="2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AG29" i="21" s="1"/>
  <c r="AH29" i="21" s="1"/>
  <c r="AI29" i="21" s="1"/>
  <c r="AJ29" i="21" s="1"/>
  <c r="AK29" i="21" s="1"/>
  <c r="M30" i="21"/>
  <c r="N30" i="21" s="1"/>
  <c r="O30" i="21" s="1"/>
  <c r="P30" i="21" s="1"/>
  <c r="Q30" i="21" s="1"/>
  <c r="R30" i="21" s="1"/>
  <c r="S30" i="21" s="1"/>
  <c r="T30" i="21" s="1"/>
  <c r="U30" i="21" s="1"/>
  <c r="V30" i="21" s="1"/>
  <c r="W30" i="21" s="1"/>
  <c r="X30" i="21" s="1"/>
  <c r="Y30" i="21" s="1"/>
  <c r="Z30" i="21" s="1"/>
  <c r="AA30" i="21" s="1"/>
  <c r="AB30" i="21" s="1"/>
  <c r="AC30" i="21" s="1"/>
  <c r="AD30" i="21" s="1"/>
  <c r="AE30" i="21" s="1"/>
  <c r="AF30" i="21" s="1"/>
  <c r="AG30" i="21" s="1"/>
  <c r="AH30" i="21" s="1"/>
  <c r="AI30" i="21" s="1"/>
  <c r="AJ30" i="21" s="1"/>
  <c r="AK30" i="21" s="1"/>
  <c r="M42" i="21"/>
  <c r="N42" i="21" s="1"/>
  <c r="O42" i="21" s="1"/>
  <c r="P42" i="21" s="1"/>
  <c r="Q42" i="21" s="1"/>
  <c r="R42" i="21" s="1"/>
  <c r="S42" i="21" s="1"/>
  <c r="T42" i="21" s="1"/>
  <c r="U42" i="21" s="1"/>
  <c r="V42" i="21" s="1"/>
  <c r="W42" i="21" s="1"/>
  <c r="X42" i="21" s="1"/>
  <c r="Y42" i="21" s="1"/>
  <c r="Z42" i="21" s="1"/>
  <c r="AA42" i="21" s="1"/>
  <c r="AB42" i="21" s="1"/>
  <c r="AC42" i="21" s="1"/>
  <c r="AD42" i="21" s="1"/>
  <c r="AE42" i="21" s="1"/>
  <c r="AF42" i="21" s="1"/>
  <c r="AG42" i="21" s="1"/>
  <c r="AH42" i="21" s="1"/>
  <c r="AI42" i="21" s="1"/>
  <c r="AJ42" i="21" s="1"/>
  <c r="AK42" i="21" s="1"/>
  <c r="M43" i="21"/>
  <c r="N43" i="21" s="1"/>
  <c r="O43" i="21" s="1"/>
  <c r="P43" i="21" s="1"/>
  <c r="Q43" i="21" s="1"/>
  <c r="R43" i="21" s="1"/>
  <c r="S43" i="21" s="1"/>
  <c r="T43" i="21" s="1"/>
  <c r="U43" i="21" s="1"/>
  <c r="V43" i="21" s="1"/>
  <c r="W43" i="21" s="1"/>
  <c r="X43" i="21" s="1"/>
  <c r="Y43" i="21" s="1"/>
  <c r="Z43" i="21" s="1"/>
  <c r="AA43" i="21" s="1"/>
  <c r="AB43" i="21" s="1"/>
  <c r="AC43" i="21" s="1"/>
  <c r="AD43" i="21" s="1"/>
  <c r="AE43" i="21" s="1"/>
  <c r="AF43" i="21" s="1"/>
  <c r="AG43" i="21" s="1"/>
  <c r="AH43" i="21" s="1"/>
  <c r="AI43" i="21" s="1"/>
  <c r="AJ43" i="21" s="1"/>
  <c r="AK43" i="21" s="1"/>
  <c r="M44" i="21"/>
  <c r="N44" i="21" s="1"/>
  <c r="O44" i="21" s="1"/>
  <c r="P44" i="21" s="1"/>
  <c r="Q44" i="21" s="1"/>
  <c r="R44" i="21" s="1"/>
  <c r="S44" i="21" s="1"/>
  <c r="T44" i="21" s="1"/>
  <c r="U44" i="21" s="1"/>
  <c r="V44" i="21" s="1"/>
  <c r="W44" i="21" s="1"/>
  <c r="X44" i="21" s="1"/>
  <c r="Y44" i="21" s="1"/>
  <c r="Z44" i="21" s="1"/>
  <c r="AA44" i="21" s="1"/>
  <c r="AB44" i="21" s="1"/>
  <c r="AC44" i="21" s="1"/>
  <c r="AD44" i="21" s="1"/>
  <c r="AE44" i="21" s="1"/>
  <c r="AF44" i="21" s="1"/>
  <c r="AG44" i="21" s="1"/>
  <c r="AH44" i="21" s="1"/>
  <c r="AI44" i="21" s="1"/>
  <c r="AJ44" i="21" s="1"/>
  <c r="AK44" i="21" s="1"/>
  <c r="M45" i="21"/>
  <c r="N45" i="21" s="1"/>
  <c r="O45" i="21" s="1"/>
  <c r="P45" i="21" s="1"/>
  <c r="Q45" i="21" s="1"/>
  <c r="R45" i="21" s="1"/>
  <c r="S45" i="21" s="1"/>
  <c r="T45" i="21" s="1"/>
  <c r="U45" i="21" s="1"/>
  <c r="V45" i="21" s="1"/>
  <c r="W45" i="21" s="1"/>
  <c r="X45" i="21" s="1"/>
  <c r="Y45" i="21" s="1"/>
  <c r="Z45" i="21" s="1"/>
  <c r="AA45" i="21" s="1"/>
  <c r="AB45" i="21" s="1"/>
  <c r="AC45" i="21" s="1"/>
  <c r="AD45" i="21" s="1"/>
  <c r="AE45" i="21" s="1"/>
  <c r="AF45" i="21" s="1"/>
  <c r="AG45" i="21" s="1"/>
  <c r="AH45" i="21" s="1"/>
  <c r="AI45" i="21" s="1"/>
  <c r="AJ45" i="21" s="1"/>
  <c r="AK45" i="21" s="1"/>
  <c r="M46" i="21"/>
  <c r="N46" i="21" s="1"/>
  <c r="O46" i="21" s="1"/>
  <c r="P46" i="21" s="1"/>
  <c r="Q46" i="21" s="1"/>
  <c r="R46" i="21" s="1"/>
  <c r="S46" i="21" s="1"/>
  <c r="T46" i="21" s="1"/>
  <c r="U46" i="21" s="1"/>
  <c r="V46" i="21" s="1"/>
  <c r="W46" i="21" s="1"/>
  <c r="X46" i="21" s="1"/>
  <c r="Y46" i="21" s="1"/>
  <c r="Z46" i="21" s="1"/>
  <c r="AA46" i="21" s="1"/>
  <c r="AB46" i="21" s="1"/>
  <c r="AC46" i="21" s="1"/>
  <c r="AD46" i="21" s="1"/>
  <c r="AE46" i="21" s="1"/>
  <c r="AF46" i="21" s="1"/>
  <c r="AG46" i="21" s="1"/>
  <c r="AH46" i="21" s="1"/>
  <c r="AI46" i="21" s="1"/>
  <c r="AJ46" i="21" s="1"/>
  <c r="AK46" i="21" s="1"/>
  <c r="M47" i="21"/>
  <c r="N47" i="21" s="1"/>
  <c r="O47" i="21" s="1"/>
  <c r="P47" i="21" s="1"/>
  <c r="Q47" i="21" s="1"/>
  <c r="R47" i="21" s="1"/>
  <c r="S47" i="21" s="1"/>
  <c r="T47" i="21" s="1"/>
  <c r="U47" i="21" s="1"/>
  <c r="V47" i="21" s="1"/>
  <c r="W47" i="21" s="1"/>
  <c r="X47" i="21" s="1"/>
  <c r="Y47" i="21" s="1"/>
  <c r="Z47" i="21" s="1"/>
  <c r="AA47" i="21" s="1"/>
  <c r="AB47" i="21" s="1"/>
  <c r="AC47" i="21" s="1"/>
  <c r="AD47" i="21" s="1"/>
  <c r="AE47" i="21" s="1"/>
  <c r="AF47" i="21" s="1"/>
  <c r="AG47" i="21" s="1"/>
  <c r="AH47" i="21" s="1"/>
  <c r="AI47" i="21" s="1"/>
  <c r="AJ47" i="21" s="1"/>
  <c r="AK47" i="21" s="1"/>
  <c r="M48" i="21"/>
  <c r="N48" i="21" s="1"/>
  <c r="O48" i="21" s="1"/>
  <c r="P48" i="21" s="1"/>
  <c r="Q48" i="21" s="1"/>
  <c r="R48" i="21" s="1"/>
  <c r="S48" i="21" s="1"/>
  <c r="T48" i="21" s="1"/>
  <c r="U48" i="21" s="1"/>
  <c r="V48" i="21" s="1"/>
  <c r="W48" i="21" s="1"/>
  <c r="X48" i="21" s="1"/>
  <c r="Y48" i="21" s="1"/>
  <c r="Z48" i="21" s="1"/>
  <c r="AA48" i="21" s="1"/>
  <c r="AB48" i="21" s="1"/>
  <c r="AC48" i="21" s="1"/>
  <c r="AD48" i="21" s="1"/>
  <c r="AE48" i="21" s="1"/>
  <c r="AF48" i="21" s="1"/>
  <c r="AG48" i="21" s="1"/>
  <c r="AH48" i="21" s="1"/>
  <c r="AI48" i="21" s="1"/>
  <c r="AJ48" i="21" s="1"/>
  <c r="AK48" i="21" s="1"/>
  <c r="M49" i="21"/>
  <c r="N49" i="21" s="1"/>
  <c r="O49" i="21" s="1"/>
  <c r="P49" i="21" s="1"/>
  <c r="Q49" i="21" s="1"/>
  <c r="R49" i="21" s="1"/>
  <c r="S49" i="21" s="1"/>
  <c r="T49" i="21" s="1"/>
  <c r="U49" i="21" s="1"/>
  <c r="V49" i="21" s="1"/>
  <c r="W49" i="21" s="1"/>
  <c r="X49" i="21" s="1"/>
  <c r="Y49" i="21" s="1"/>
  <c r="Z49" i="21" s="1"/>
  <c r="AA49" i="21" s="1"/>
  <c r="AB49" i="21" s="1"/>
  <c r="AC49" i="21" s="1"/>
  <c r="AD49" i="21" s="1"/>
  <c r="AE49" i="21" s="1"/>
  <c r="AF49" i="21" s="1"/>
  <c r="AG49" i="21" s="1"/>
  <c r="AH49" i="21" s="1"/>
  <c r="AI49" i="21" s="1"/>
  <c r="AJ49" i="21" s="1"/>
  <c r="AK49" i="21" s="1"/>
  <c r="M50" i="21"/>
  <c r="N50" i="21" s="1"/>
  <c r="O50" i="21" s="1"/>
  <c r="P50" i="21" s="1"/>
  <c r="Q50" i="21" s="1"/>
  <c r="R50" i="21" s="1"/>
  <c r="S50" i="21" s="1"/>
  <c r="T50" i="21" s="1"/>
  <c r="U50" i="21" s="1"/>
  <c r="V50" i="21" s="1"/>
  <c r="W50" i="21" s="1"/>
  <c r="X50" i="21" s="1"/>
  <c r="Y50" i="21" s="1"/>
  <c r="Z50" i="21" s="1"/>
  <c r="AA50" i="21" s="1"/>
  <c r="AB50" i="21" s="1"/>
  <c r="AC50" i="21" s="1"/>
  <c r="AD50" i="21" s="1"/>
  <c r="AE50" i="21" s="1"/>
  <c r="AF50" i="21" s="1"/>
  <c r="AG50" i="21" s="1"/>
  <c r="AH50" i="21" s="1"/>
  <c r="AI50" i="21" s="1"/>
  <c r="AJ50" i="21" s="1"/>
  <c r="AK50" i="21" s="1"/>
  <c r="M51" i="21"/>
  <c r="N51" i="21" s="1"/>
  <c r="O51" i="21" s="1"/>
  <c r="P51" i="21" s="1"/>
  <c r="Q51" i="21" s="1"/>
  <c r="R51" i="21" s="1"/>
  <c r="S51" i="21" s="1"/>
  <c r="T51" i="21" s="1"/>
  <c r="U51" i="21" s="1"/>
  <c r="V51" i="21" s="1"/>
  <c r="W51" i="21" s="1"/>
  <c r="X51" i="21" s="1"/>
  <c r="Y51" i="21" s="1"/>
  <c r="Z51" i="21" s="1"/>
  <c r="AA51" i="21" s="1"/>
  <c r="AB51" i="21" s="1"/>
  <c r="AC51" i="21" s="1"/>
  <c r="AD51" i="21" s="1"/>
  <c r="AE51" i="21" s="1"/>
  <c r="AF51" i="21" s="1"/>
  <c r="AG51" i="21" s="1"/>
  <c r="AH51" i="21" s="1"/>
  <c r="AI51" i="21" s="1"/>
  <c r="AJ51" i="21" s="1"/>
  <c r="AK51" i="21" s="1"/>
  <c r="M52" i="21"/>
  <c r="N52" i="21" s="1"/>
  <c r="O52" i="21" s="1"/>
  <c r="P52" i="21" s="1"/>
  <c r="Q52" i="21" s="1"/>
  <c r="R52" i="21" s="1"/>
  <c r="S52" i="21" s="1"/>
  <c r="T52" i="21" s="1"/>
  <c r="U52" i="21" s="1"/>
  <c r="V52" i="21" s="1"/>
  <c r="W52" i="21" s="1"/>
  <c r="X52" i="21" s="1"/>
  <c r="Y52" i="21" s="1"/>
  <c r="Z52" i="21" s="1"/>
  <c r="AA52" i="21" s="1"/>
  <c r="AB52" i="21" s="1"/>
  <c r="AC52" i="21" s="1"/>
  <c r="AD52" i="21" s="1"/>
  <c r="AE52" i="21" s="1"/>
  <c r="AF52" i="21" s="1"/>
  <c r="AG52" i="21" s="1"/>
  <c r="AH52" i="21" s="1"/>
  <c r="AI52" i="21" s="1"/>
  <c r="AJ52" i="21" s="1"/>
  <c r="AK52" i="21" s="1"/>
  <c r="M53" i="21"/>
  <c r="N53" i="21" s="1"/>
  <c r="O53" i="21" s="1"/>
  <c r="P53" i="21" s="1"/>
  <c r="Q53" i="21" s="1"/>
  <c r="R53" i="21" s="1"/>
  <c r="S53" i="21" s="1"/>
  <c r="T53" i="21" s="1"/>
  <c r="U53" i="21" s="1"/>
  <c r="V53" i="21" s="1"/>
  <c r="W53" i="21" s="1"/>
  <c r="X53" i="21" s="1"/>
  <c r="Y53" i="21" s="1"/>
  <c r="Z53" i="21" s="1"/>
  <c r="AA53" i="21" s="1"/>
  <c r="AB53" i="21" s="1"/>
  <c r="AC53" i="21" s="1"/>
  <c r="AD53" i="21" s="1"/>
  <c r="AE53" i="21" s="1"/>
  <c r="AF53" i="21" s="1"/>
  <c r="AG53" i="21" s="1"/>
  <c r="AH53" i="21" s="1"/>
  <c r="AI53" i="21" s="1"/>
  <c r="AJ53" i="21" s="1"/>
  <c r="AK53" i="21" s="1"/>
  <c r="M54" i="21"/>
  <c r="N54" i="21" s="1"/>
  <c r="O54" i="21" s="1"/>
  <c r="P54" i="21" s="1"/>
  <c r="Q54" i="21" s="1"/>
  <c r="R54" i="21" s="1"/>
  <c r="S54" i="21" s="1"/>
  <c r="T54" i="21" s="1"/>
  <c r="U54" i="21" s="1"/>
  <c r="V54" i="21" s="1"/>
  <c r="W54" i="21" s="1"/>
  <c r="X54" i="21" s="1"/>
  <c r="Y54" i="21" s="1"/>
  <c r="Z54" i="21" s="1"/>
  <c r="AA54" i="21" s="1"/>
  <c r="AB54" i="21" s="1"/>
  <c r="AC54" i="21" s="1"/>
  <c r="AD54" i="21" s="1"/>
  <c r="AE54" i="21" s="1"/>
  <c r="AF54" i="21" s="1"/>
  <c r="AG54" i="21" s="1"/>
  <c r="AH54" i="21" s="1"/>
  <c r="AI54" i="21" s="1"/>
  <c r="AJ54" i="21" s="1"/>
  <c r="AK54" i="21" s="1"/>
  <c r="M55" i="21"/>
  <c r="N55" i="21" s="1"/>
  <c r="O55" i="21" s="1"/>
  <c r="P55" i="21" s="1"/>
  <c r="Q55" i="21" s="1"/>
  <c r="R55" i="21" s="1"/>
  <c r="S55" i="21" s="1"/>
  <c r="T55" i="21" s="1"/>
  <c r="U55" i="21" s="1"/>
  <c r="V55" i="21" s="1"/>
  <c r="W55" i="21" s="1"/>
  <c r="X55" i="21" s="1"/>
  <c r="Y55" i="21" s="1"/>
  <c r="Z55" i="21" s="1"/>
  <c r="AA55" i="21" s="1"/>
  <c r="AB55" i="21" s="1"/>
  <c r="AC55" i="21" s="1"/>
  <c r="AD55" i="21" s="1"/>
  <c r="AE55" i="21" s="1"/>
  <c r="AF55" i="21" s="1"/>
  <c r="AG55" i="21" s="1"/>
  <c r="AH55" i="21" s="1"/>
  <c r="AI55" i="21" s="1"/>
  <c r="AJ55" i="21" s="1"/>
  <c r="AK55" i="21" s="1"/>
  <c r="M56" i="21"/>
  <c r="N56" i="21" s="1"/>
  <c r="O56" i="21" s="1"/>
  <c r="P56" i="21" s="1"/>
  <c r="Q56" i="21" s="1"/>
  <c r="R56" i="21" s="1"/>
  <c r="S56" i="21" s="1"/>
  <c r="T56" i="21" s="1"/>
  <c r="U56" i="21" s="1"/>
  <c r="V56" i="21" s="1"/>
  <c r="W56" i="21" s="1"/>
  <c r="X56" i="21" s="1"/>
  <c r="Y56" i="21" s="1"/>
  <c r="Z56" i="21" s="1"/>
  <c r="AA56" i="21" s="1"/>
  <c r="AB56" i="21" s="1"/>
  <c r="AC56" i="21" s="1"/>
  <c r="AD56" i="21" s="1"/>
  <c r="AE56" i="21" s="1"/>
  <c r="AF56" i="21" s="1"/>
  <c r="AG56" i="21" s="1"/>
  <c r="AH56" i="21" s="1"/>
  <c r="AI56" i="21" s="1"/>
  <c r="AJ56" i="21" s="1"/>
  <c r="AK56" i="21" s="1"/>
  <c r="M57" i="21"/>
  <c r="N57" i="21" s="1"/>
  <c r="O57" i="21" s="1"/>
  <c r="P57" i="21" s="1"/>
  <c r="Q57" i="21" s="1"/>
  <c r="R57" i="21" s="1"/>
  <c r="S57" i="21" s="1"/>
  <c r="T57" i="21" s="1"/>
  <c r="U57" i="21" s="1"/>
  <c r="V57" i="21" s="1"/>
  <c r="W57" i="21" s="1"/>
  <c r="X57" i="21" s="1"/>
  <c r="Y57" i="21" s="1"/>
  <c r="Z57" i="21" s="1"/>
  <c r="AA57" i="21" s="1"/>
  <c r="AB57" i="21" s="1"/>
  <c r="AC57" i="21" s="1"/>
  <c r="AD57" i="21" s="1"/>
  <c r="AE57" i="21" s="1"/>
  <c r="AF57" i="21" s="1"/>
  <c r="AG57" i="21" s="1"/>
  <c r="AH57" i="21" s="1"/>
  <c r="AI57" i="21" s="1"/>
  <c r="AJ57" i="21" s="1"/>
  <c r="AK57" i="21" s="1"/>
  <c r="M58" i="21"/>
  <c r="N58" i="21" s="1"/>
  <c r="O58" i="21" s="1"/>
  <c r="P58" i="21" s="1"/>
  <c r="Q58" i="21" s="1"/>
  <c r="R58" i="21" s="1"/>
  <c r="S58" i="21" s="1"/>
  <c r="T58" i="21" s="1"/>
  <c r="U58" i="21" s="1"/>
  <c r="V58" i="21" s="1"/>
  <c r="W58" i="21" s="1"/>
  <c r="X58" i="21" s="1"/>
  <c r="Y58" i="21" s="1"/>
  <c r="Z58" i="21" s="1"/>
  <c r="AA58" i="21" s="1"/>
  <c r="AB58" i="21" s="1"/>
  <c r="AC58" i="21" s="1"/>
  <c r="AD58" i="21" s="1"/>
  <c r="AE58" i="21" s="1"/>
  <c r="AF58" i="21" s="1"/>
  <c r="AG58" i="21" s="1"/>
  <c r="AH58" i="21" s="1"/>
  <c r="AI58" i="21" s="1"/>
  <c r="AJ58" i="21" s="1"/>
  <c r="AK58" i="21" s="1"/>
  <c r="M60" i="21"/>
  <c r="N60" i="21" s="1"/>
  <c r="O60" i="21" s="1"/>
  <c r="P60" i="21" s="1"/>
  <c r="Q60" i="21" s="1"/>
  <c r="R60" i="21" s="1"/>
  <c r="S60" i="21" s="1"/>
  <c r="T60" i="21" s="1"/>
  <c r="U60" i="21" s="1"/>
  <c r="V60" i="21" s="1"/>
  <c r="W60" i="21" s="1"/>
  <c r="X60" i="21" s="1"/>
  <c r="Y60" i="21" s="1"/>
  <c r="Z60" i="21" s="1"/>
  <c r="AA60" i="21" s="1"/>
  <c r="AB60" i="21" s="1"/>
  <c r="AC60" i="21" s="1"/>
  <c r="AD60" i="21" s="1"/>
  <c r="AE60" i="21" s="1"/>
  <c r="AF60" i="21" s="1"/>
  <c r="AG60" i="21" s="1"/>
  <c r="AH60" i="21" s="1"/>
  <c r="AI60" i="21" s="1"/>
  <c r="AJ60" i="21" s="1"/>
  <c r="AK60" i="21" s="1"/>
  <c r="M61" i="21"/>
  <c r="N61" i="21" s="1"/>
  <c r="O61" i="21" s="1"/>
  <c r="P61" i="21" s="1"/>
  <c r="Q61" i="21" s="1"/>
  <c r="R61" i="21" s="1"/>
  <c r="S61" i="21" s="1"/>
  <c r="T61" i="21" s="1"/>
  <c r="U61" i="21" s="1"/>
  <c r="V61" i="21" s="1"/>
  <c r="W61" i="21" s="1"/>
  <c r="X61" i="21" s="1"/>
  <c r="Y61" i="21" s="1"/>
  <c r="Z61" i="21" s="1"/>
  <c r="AA61" i="21" s="1"/>
  <c r="AB61" i="21" s="1"/>
  <c r="AC61" i="21" s="1"/>
  <c r="AD61" i="21" s="1"/>
  <c r="AE61" i="21" s="1"/>
  <c r="AF61" i="21" s="1"/>
  <c r="AG61" i="21" s="1"/>
  <c r="AH61" i="21" s="1"/>
  <c r="AI61" i="21" s="1"/>
  <c r="AJ61" i="21" s="1"/>
  <c r="AK61" i="21" s="1"/>
  <c r="M62" i="21"/>
  <c r="M79" i="21" s="1"/>
  <c r="M64" i="21"/>
  <c r="N64" i="21" s="1"/>
  <c r="O64" i="21" s="1"/>
  <c r="P64" i="21" s="1"/>
  <c r="Q64" i="21" s="1"/>
  <c r="R64" i="21" s="1"/>
  <c r="S64" i="21" s="1"/>
  <c r="T64" i="21" s="1"/>
  <c r="U64" i="21" s="1"/>
  <c r="V64" i="21" s="1"/>
  <c r="W64" i="21" s="1"/>
  <c r="X64" i="21" s="1"/>
  <c r="Y64" i="21" s="1"/>
  <c r="Z64" i="21" s="1"/>
  <c r="AA64" i="21" s="1"/>
  <c r="AB64" i="21" s="1"/>
  <c r="AC64" i="21" s="1"/>
  <c r="AD64" i="21" s="1"/>
  <c r="AE64" i="21" s="1"/>
  <c r="AF64" i="21" s="1"/>
  <c r="AG64" i="21" s="1"/>
  <c r="AH64" i="21" s="1"/>
  <c r="AI64" i="21" s="1"/>
  <c r="AJ64" i="21" s="1"/>
  <c r="AK64" i="21" s="1"/>
  <c r="M65" i="21"/>
  <c r="N65" i="21" s="1"/>
  <c r="O65" i="21" s="1"/>
  <c r="P65" i="21" s="1"/>
  <c r="Q65" i="21" s="1"/>
  <c r="R65" i="21" s="1"/>
  <c r="S65" i="21" s="1"/>
  <c r="T65" i="21" s="1"/>
  <c r="U65" i="21" s="1"/>
  <c r="V65" i="21" s="1"/>
  <c r="W65" i="21" s="1"/>
  <c r="X65" i="21" s="1"/>
  <c r="Y65" i="21" s="1"/>
  <c r="Z65" i="21" s="1"/>
  <c r="AA65" i="21" s="1"/>
  <c r="AB65" i="21" s="1"/>
  <c r="AC65" i="21" s="1"/>
  <c r="AD65" i="21" s="1"/>
  <c r="AE65" i="21" s="1"/>
  <c r="AF65" i="21" s="1"/>
  <c r="AG65" i="21" s="1"/>
  <c r="AH65" i="21" s="1"/>
  <c r="AI65" i="21" s="1"/>
  <c r="AJ65" i="21" s="1"/>
  <c r="AK65" i="21" s="1"/>
  <c r="M66" i="21"/>
  <c r="N66" i="21" s="1"/>
  <c r="O66" i="21" s="1"/>
  <c r="P66" i="21" s="1"/>
  <c r="Q66" i="21" s="1"/>
  <c r="R66" i="21" s="1"/>
  <c r="S66" i="21" s="1"/>
  <c r="T66" i="21" s="1"/>
  <c r="U66" i="21" s="1"/>
  <c r="V66" i="21" s="1"/>
  <c r="W66" i="21" s="1"/>
  <c r="X66" i="21" s="1"/>
  <c r="Y66" i="21" s="1"/>
  <c r="Z66" i="21" s="1"/>
  <c r="AA66" i="21" s="1"/>
  <c r="AB66" i="21" s="1"/>
  <c r="AC66" i="21" s="1"/>
  <c r="AD66" i="21" s="1"/>
  <c r="AE66" i="21" s="1"/>
  <c r="AF66" i="21" s="1"/>
  <c r="AG66" i="21" s="1"/>
  <c r="AH66" i="21" s="1"/>
  <c r="AI66" i="21" s="1"/>
  <c r="AJ66" i="21" s="1"/>
  <c r="AK66" i="21" s="1"/>
  <c r="M67" i="21"/>
  <c r="N67" i="21" s="1"/>
  <c r="O67" i="21" s="1"/>
  <c r="P67" i="21" s="1"/>
  <c r="Q67" i="21" s="1"/>
  <c r="R67" i="21" s="1"/>
  <c r="S67" i="21" s="1"/>
  <c r="T67" i="21" s="1"/>
  <c r="U67" i="21" s="1"/>
  <c r="V67" i="21" s="1"/>
  <c r="W67" i="21" s="1"/>
  <c r="X67" i="21" s="1"/>
  <c r="Y67" i="21" s="1"/>
  <c r="Z67" i="21" s="1"/>
  <c r="AA67" i="21" s="1"/>
  <c r="AB67" i="21" s="1"/>
  <c r="AC67" i="21" s="1"/>
  <c r="AD67" i="21" s="1"/>
  <c r="AE67" i="21" s="1"/>
  <c r="AF67" i="21" s="1"/>
  <c r="AG67" i="21" s="1"/>
  <c r="AH67" i="21" s="1"/>
  <c r="AI67" i="21" s="1"/>
  <c r="AJ67" i="21" s="1"/>
  <c r="AK67" i="21" s="1"/>
  <c r="M68" i="21"/>
  <c r="N68" i="21" s="1"/>
  <c r="O68" i="21" s="1"/>
  <c r="P68" i="21" s="1"/>
  <c r="Q68" i="21" s="1"/>
  <c r="R68" i="21" s="1"/>
  <c r="S68" i="21" s="1"/>
  <c r="T68" i="21" s="1"/>
  <c r="U68" i="21" s="1"/>
  <c r="V68" i="21" s="1"/>
  <c r="W68" i="21" s="1"/>
  <c r="X68" i="21" s="1"/>
  <c r="Y68" i="21" s="1"/>
  <c r="Z68" i="21" s="1"/>
  <c r="AA68" i="21" s="1"/>
  <c r="AB68" i="21" s="1"/>
  <c r="AC68" i="21" s="1"/>
  <c r="AD68" i="21" s="1"/>
  <c r="AE68" i="21" s="1"/>
  <c r="AF68" i="21" s="1"/>
  <c r="AG68" i="21" s="1"/>
  <c r="AH68" i="21" s="1"/>
  <c r="AI68" i="21" s="1"/>
  <c r="AJ68" i="21" s="1"/>
  <c r="AK68" i="21" s="1"/>
  <c r="M69" i="21"/>
  <c r="N69" i="21" s="1"/>
  <c r="O69" i="21" s="1"/>
  <c r="P69" i="21" s="1"/>
  <c r="Q69" i="21" s="1"/>
  <c r="R69" i="21" s="1"/>
  <c r="S69" i="21" s="1"/>
  <c r="T69" i="21" s="1"/>
  <c r="U69" i="21" s="1"/>
  <c r="V69" i="21" s="1"/>
  <c r="W69" i="21" s="1"/>
  <c r="X69" i="21" s="1"/>
  <c r="Y69" i="21" s="1"/>
  <c r="Z69" i="21" s="1"/>
  <c r="AA69" i="21" s="1"/>
  <c r="AB69" i="21" s="1"/>
  <c r="AC69" i="21" s="1"/>
  <c r="AD69" i="21" s="1"/>
  <c r="AE69" i="21" s="1"/>
  <c r="AF69" i="21" s="1"/>
  <c r="AG69" i="21" s="1"/>
  <c r="AH69" i="21" s="1"/>
  <c r="AI69" i="21" s="1"/>
  <c r="AJ69" i="21" s="1"/>
  <c r="AK69" i="21" s="1"/>
  <c r="M70" i="21"/>
  <c r="N70" i="21" s="1"/>
  <c r="O70" i="21" s="1"/>
  <c r="P70" i="21" s="1"/>
  <c r="Q70" i="21" s="1"/>
  <c r="R70" i="21" s="1"/>
  <c r="S70" i="21" s="1"/>
  <c r="T70" i="21" s="1"/>
  <c r="U70" i="21" s="1"/>
  <c r="V70" i="21" s="1"/>
  <c r="W70" i="21" s="1"/>
  <c r="X70" i="21" s="1"/>
  <c r="Y70" i="21" s="1"/>
  <c r="Z70" i="21" s="1"/>
  <c r="AA70" i="21" s="1"/>
  <c r="AB70" i="21" s="1"/>
  <c r="AC70" i="21" s="1"/>
  <c r="AD70" i="21" s="1"/>
  <c r="AE70" i="21" s="1"/>
  <c r="AF70" i="21" s="1"/>
  <c r="AG70" i="21" s="1"/>
  <c r="AH70" i="21" s="1"/>
  <c r="AI70" i="21" s="1"/>
  <c r="AJ70" i="21" s="1"/>
  <c r="AK70" i="21" s="1"/>
  <c r="M71" i="21"/>
  <c r="N71" i="21" s="1"/>
  <c r="O71" i="21" s="1"/>
  <c r="P71" i="21" s="1"/>
  <c r="Q71" i="21" s="1"/>
  <c r="R71" i="21" s="1"/>
  <c r="S71" i="21" s="1"/>
  <c r="T71" i="21" s="1"/>
  <c r="U71" i="21" s="1"/>
  <c r="V71" i="21" s="1"/>
  <c r="W71" i="21" s="1"/>
  <c r="X71" i="21" s="1"/>
  <c r="Y71" i="21" s="1"/>
  <c r="Z71" i="21" s="1"/>
  <c r="AA71" i="21" s="1"/>
  <c r="AB71" i="21" s="1"/>
  <c r="AC71" i="21" s="1"/>
  <c r="AD71" i="21" s="1"/>
  <c r="AE71" i="21" s="1"/>
  <c r="AF71" i="21" s="1"/>
  <c r="AG71" i="21" s="1"/>
  <c r="AH71" i="21" s="1"/>
  <c r="AI71" i="21" s="1"/>
  <c r="AJ71" i="21" s="1"/>
  <c r="AK71" i="21" s="1"/>
  <c r="M72" i="21"/>
  <c r="N72" i="21" s="1"/>
  <c r="O72" i="21" s="1"/>
  <c r="P72" i="21" s="1"/>
  <c r="Q72" i="21" s="1"/>
  <c r="R72" i="21" s="1"/>
  <c r="S72" i="21" s="1"/>
  <c r="T72" i="21" s="1"/>
  <c r="U72" i="21" s="1"/>
  <c r="V72" i="21" s="1"/>
  <c r="W72" i="21" s="1"/>
  <c r="X72" i="21" s="1"/>
  <c r="Y72" i="21" s="1"/>
  <c r="Z72" i="21" s="1"/>
  <c r="AA72" i="21" s="1"/>
  <c r="AB72" i="21" s="1"/>
  <c r="AC72" i="21" s="1"/>
  <c r="AD72" i="21" s="1"/>
  <c r="AE72" i="21" s="1"/>
  <c r="AF72" i="21" s="1"/>
  <c r="AG72" i="21" s="1"/>
  <c r="AH72" i="21" s="1"/>
  <c r="AI72" i="21" s="1"/>
  <c r="AJ72" i="21" s="1"/>
  <c r="AK72" i="21" s="1"/>
  <c r="M73" i="21"/>
  <c r="N73" i="21" s="1"/>
  <c r="O73" i="21" s="1"/>
  <c r="P73" i="21" s="1"/>
  <c r="Q73" i="21" s="1"/>
  <c r="R73" i="21" s="1"/>
  <c r="S73" i="21" s="1"/>
  <c r="T73" i="21" s="1"/>
  <c r="U73" i="21" s="1"/>
  <c r="V73" i="21" s="1"/>
  <c r="W73" i="21" s="1"/>
  <c r="X73" i="21" s="1"/>
  <c r="Y73" i="21" s="1"/>
  <c r="Z73" i="21" s="1"/>
  <c r="AA73" i="21" s="1"/>
  <c r="AB73" i="21" s="1"/>
  <c r="AC73" i="21" s="1"/>
  <c r="AD73" i="21" s="1"/>
  <c r="AE73" i="21" s="1"/>
  <c r="AF73" i="21" s="1"/>
  <c r="AG73" i="21" s="1"/>
  <c r="AH73" i="21" s="1"/>
  <c r="AI73" i="21" s="1"/>
  <c r="AJ73" i="21" s="1"/>
  <c r="AK73" i="21" s="1"/>
  <c r="M74" i="21"/>
  <c r="N74" i="21" s="1"/>
  <c r="O74" i="21" s="1"/>
  <c r="P74" i="21" s="1"/>
  <c r="Q74" i="21" s="1"/>
  <c r="R74" i="21" s="1"/>
  <c r="S74" i="21" s="1"/>
  <c r="T74" i="21" s="1"/>
  <c r="U74" i="21" s="1"/>
  <c r="V74" i="21" s="1"/>
  <c r="W74" i="21" s="1"/>
  <c r="X74" i="21" s="1"/>
  <c r="Y74" i="21" s="1"/>
  <c r="Z74" i="21" s="1"/>
  <c r="AA74" i="21" s="1"/>
  <c r="AB74" i="21" s="1"/>
  <c r="AC74" i="21" s="1"/>
  <c r="AD74" i="21" s="1"/>
  <c r="AE74" i="21" s="1"/>
  <c r="AF74" i="21" s="1"/>
  <c r="AG74" i="21" s="1"/>
  <c r="AH74" i="21" s="1"/>
  <c r="AI74" i="21" s="1"/>
  <c r="AJ74" i="21" s="1"/>
  <c r="AK74" i="21" s="1"/>
  <c r="M75" i="21"/>
  <c r="N75" i="21" s="1"/>
  <c r="O75" i="21" s="1"/>
  <c r="P75" i="21" s="1"/>
  <c r="Q75" i="21" s="1"/>
  <c r="R75" i="21" s="1"/>
  <c r="S75" i="21" s="1"/>
  <c r="T75" i="21" s="1"/>
  <c r="U75" i="21" s="1"/>
  <c r="V75" i="21" s="1"/>
  <c r="W75" i="21" s="1"/>
  <c r="X75" i="21" s="1"/>
  <c r="Y75" i="21" s="1"/>
  <c r="Z75" i="21" s="1"/>
  <c r="AA75" i="21" s="1"/>
  <c r="AB75" i="21" s="1"/>
  <c r="AC75" i="21" s="1"/>
  <c r="AD75" i="21" s="1"/>
  <c r="AE75" i="21" s="1"/>
  <c r="AF75" i="21" s="1"/>
  <c r="AG75" i="21" s="1"/>
  <c r="AH75" i="21" s="1"/>
  <c r="AI75" i="21" s="1"/>
  <c r="AJ75" i="21" s="1"/>
  <c r="AK75" i="21" s="1"/>
  <c r="M76" i="21"/>
  <c r="N76" i="21" s="1"/>
  <c r="O76" i="21" s="1"/>
  <c r="P76" i="21" s="1"/>
  <c r="Q76" i="21" s="1"/>
  <c r="R76" i="21" s="1"/>
  <c r="S76" i="21" s="1"/>
  <c r="T76" i="21" s="1"/>
  <c r="U76" i="21" s="1"/>
  <c r="V76" i="21" s="1"/>
  <c r="W76" i="21" s="1"/>
  <c r="X76" i="21" s="1"/>
  <c r="Y76" i="21" s="1"/>
  <c r="Z76" i="21" s="1"/>
  <c r="AA76" i="21" s="1"/>
  <c r="AB76" i="21" s="1"/>
  <c r="AC76" i="21" s="1"/>
  <c r="AD76" i="21" s="1"/>
  <c r="AE76" i="21" s="1"/>
  <c r="AF76" i="21" s="1"/>
  <c r="AG76" i="21" s="1"/>
  <c r="AH76" i="21" s="1"/>
  <c r="AI76" i="21" s="1"/>
  <c r="AJ76" i="21" s="1"/>
  <c r="AK76" i="21" s="1"/>
  <c r="M77" i="21"/>
  <c r="N77" i="21" s="1"/>
  <c r="O77" i="21" s="1"/>
  <c r="P77" i="21" s="1"/>
  <c r="Q77" i="21" s="1"/>
  <c r="R77" i="21" s="1"/>
  <c r="S77" i="21" s="1"/>
  <c r="T77" i="21" s="1"/>
  <c r="U77" i="21" s="1"/>
  <c r="V77" i="21" s="1"/>
  <c r="W77" i="21" s="1"/>
  <c r="X77" i="21" s="1"/>
  <c r="Y77" i="21" s="1"/>
  <c r="Z77" i="21" s="1"/>
  <c r="AA77" i="21" s="1"/>
  <c r="AB77" i="21" s="1"/>
  <c r="AC77" i="21" s="1"/>
  <c r="AD77" i="21" s="1"/>
  <c r="AE77" i="21" s="1"/>
  <c r="AF77" i="21" s="1"/>
  <c r="AG77" i="21" s="1"/>
  <c r="AH77" i="21" s="1"/>
  <c r="AI77" i="21" s="1"/>
  <c r="AJ77" i="21" s="1"/>
  <c r="AK77" i="21" s="1"/>
  <c r="M78" i="21"/>
  <c r="N78" i="21" s="1"/>
  <c r="O78" i="21" s="1"/>
  <c r="P78" i="21" s="1"/>
  <c r="Q78" i="21" s="1"/>
  <c r="R78" i="21" s="1"/>
  <c r="S78" i="21" s="1"/>
  <c r="T78" i="21" s="1"/>
  <c r="U78" i="21" s="1"/>
  <c r="V78" i="21" s="1"/>
  <c r="W78" i="21" s="1"/>
  <c r="X78" i="21" s="1"/>
  <c r="Y78" i="21" s="1"/>
  <c r="Z78" i="21" s="1"/>
  <c r="AA78" i="21" s="1"/>
  <c r="AB78" i="21" s="1"/>
  <c r="AC78" i="21" s="1"/>
  <c r="AD78" i="21" s="1"/>
  <c r="AE78" i="21" s="1"/>
  <c r="AF78" i="21" s="1"/>
  <c r="AG78" i="21" s="1"/>
  <c r="AH78" i="21" s="1"/>
  <c r="AI78" i="21" s="1"/>
  <c r="AJ78" i="21" s="1"/>
  <c r="AK78" i="21" s="1"/>
  <c r="M80" i="21"/>
  <c r="N80" i="21" s="1"/>
  <c r="O80" i="21" s="1"/>
  <c r="P80" i="21" s="1"/>
  <c r="Q80" i="21" s="1"/>
  <c r="R80" i="21" s="1"/>
  <c r="S80" i="21" s="1"/>
  <c r="T80" i="21" s="1"/>
  <c r="U80" i="21" s="1"/>
  <c r="V80" i="21" s="1"/>
  <c r="W80" i="21" s="1"/>
  <c r="X80" i="21" s="1"/>
  <c r="Y80" i="21" s="1"/>
  <c r="Z80" i="21" s="1"/>
  <c r="AA80" i="21" s="1"/>
  <c r="AB80" i="21" s="1"/>
  <c r="AC80" i="21" s="1"/>
  <c r="AD80" i="21" s="1"/>
  <c r="AE80" i="21" s="1"/>
  <c r="AF80" i="21" s="1"/>
  <c r="AG80" i="21" s="1"/>
  <c r="AH80" i="21" s="1"/>
  <c r="AI80" i="21" s="1"/>
  <c r="AJ80" i="21" s="1"/>
  <c r="AK80" i="21" s="1"/>
  <c r="M81" i="21"/>
  <c r="N81" i="21" s="1"/>
  <c r="O81" i="21" s="1"/>
  <c r="P81" i="21" s="1"/>
  <c r="Q81" i="21" s="1"/>
  <c r="R81" i="21" s="1"/>
  <c r="S81" i="21" s="1"/>
  <c r="T81" i="21" s="1"/>
  <c r="U81" i="21" s="1"/>
  <c r="V81" i="21" s="1"/>
  <c r="W81" i="21" s="1"/>
  <c r="X81" i="21" s="1"/>
  <c r="Y81" i="21" s="1"/>
  <c r="Z81" i="21" s="1"/>
  <c r="AA81" i="21" s="1"/>
  <c r="AB81" i="21" s="1"/>
  <c r="AC81" i="21" s="1"/>
  <c r="AD81" i="21" s="1"/>
  <c r="AE81" i="21" s="1"/>
  <c r="AF81" i="21" s="1"/>
  <c r="AG81" i="21" s="1"/>
  <c r="AH81" i="21" s="1"/>
  <c r="AI81" i="21" s="1"/>
  <c r="AJ81" i="21" s="1"/>
  <c r="AK81" i="21" s="1"/>
  <c r="M82" i="21"/>
  <c r="N82" i="21" s="1"/>
  <c r="O82" i="21" s="1"/>
  <c r="P82" i="21" s="1"/>
  <c r="Q82" i="21" s="1"/>
  <c r="R82" i="21" s="1"/>
  <c r="S82" i="21" s="1"/>
  <c r="T82" i="21" s="1"/>
  <c r="U82" i="21" s="1"/>
  <c r="V82" i="21" s="1"/>
  <c r="W82" i="21" s="1"/>
  <c r="X82" i="21" s="1"/>
  <c r="Y82" i="21" s="1"/>
  <c r="Z82" i="21" s="1"/>
  <c r="AA82" i="21" s="1"/>
  <c r="AB82" i="21" s="1"/>
  <c r="AC82" i="21" s="1"/>
  <c r="AD82" i="21" s="1"/>
  <c r="AE82" i="21" s="1"/>
  <c r="AF82" i="21" s="1"/>
  <c r="AG82" i="21" s="1"/>
  <c r="AH82" i="21" s="1"/>
  <c r="AI82" i="21" s="1"/>
  <c r="AJ82" i="21" s="1"/>
  <c r="AK82" i="21" s="1"/>
  <c r="M84" i="21"/>
  <c r="N84" i="21" s="1"/>
  <c r="O84" i="21" s="1"/>
  <c r="P84" i="21" s="1"/>
  <c r="Q84" i="21" s="1"/>
  <c r="R84" i="21" s="1"/>
  <c r="S84" i="21" s="1"/>
  <c r="T84" i="21" s="1"/>
  <c r="U84" i="21" s="1"/>
  <c r="V84" i="21" s="1"/>
  <c r="W84" i="21" s="1"/>
  <c r="X84" i="21" s="1"/>
  <c r="Y84" i="21" s="1"/>
  <c r="Z84" i="21" s="1"/>
  <c r="AA84" i="21" s="1"/>
  <c r="AB84" i="21" s="1"/>
  <c r="AC84" i="21" s="1"/>
  <c r="AD84" i="21" s="1"/>
  <c r="AE84" i="21" s="1"/>
  <c r="AF84" i="21" s="1"/>
  <c r="AG84" i="21" s="1"/>
  <c r="AH84" i="21" s="1"/>
  <c r="AI84" i="21" s="1"/>
  <c r="AJ84" i="21" s="1"/>
  <c r="AK84" i="21" s="1"/>
  <c r="M85" i="21"/>
  <c r="N85" i="21" s="1"/>
  <c r="O85" i="21" s="1"/>
  <c r="P85" i="21" s="1"/>
  <c r="Q85" i="21" s="1"/>
  <c r="R85" i="21" s="1"/>
  <c r="S85" i="21" s="1"/>
  <c r="T85" i="21" s="1"/>
  <c r="U85" i="21" s="1"/>
  <c r="V85" i="21" s="1"/>
  <c r="W85" i="21" s="1"/>
  <c r="X85" i="21" s="1"/>
  <c r="Y85" i="21" s="1"/>
  <c r="Z85" i="21" s="1"/>
  <c r="AA85" i="21" s="1"/>
  <c r="AB85" i="21" s="1"/>
  <c r="AC85" i="21" s="1"/>
  <c r="AD85" i="21" s="1"/>
  <c r="AE85" i="21" s="1"/>
  <c r="AF85" i="21" s="1"/>
  <c r="AG85" i="21" s="1"/>
  <c r="AH85" i="21" s="1"/>
  <c r="AI85" i="21" s="1"/>
  <c r="AJ85" i="21" s="1"/>
  <c r="AK85" i="21" s="1"/>
  <c r="M86" i="21"/>
  <c r="N86" i="21" s="1"/>
  <c r="O86" i="21" s="1"/>
  <c r="P86" i="21" s="1"/>
  <c r="Q86" i="21" s="1"/>
  <c r="R86" i="21" s="1"/>
  <c r="S86" i="21" s="1"/>
  <c r="T86" i="21" s="1"/>
  <c r="U86" i="21" s="1"/>
  <c r="V86" i="21" s="1"/>
  <c r="W86" i="21" s="1"/>
  <c r="X86" i="21" s="1"/>
  <c r="Y86" i="21" s="1"/>
  <c r="Z86" i="21" s="1"/>
  <c r="AA86" i="21" s="1"/>
  <c r="AB86" i="21" s="1"/>
  <c r="AC86" i="21" s="1"/>
  <c r="AD86" i="21" s="1"/>
  <c r="AE86" i="21" s="1"/>
  <c r="AF86" i="21" s="1"/>
  <c r="AG86" i="21" s="1"/>
  <c r="AH86" i="21" s="1"/>
  <c r="AI86" i="21" s="1"/>
  <c r="AJ86" i="21" s="1"/>
  <c r="AK86" i="21" s="1"/>
  <c r="M87" i="21"/>
  <c r="N87" i="21" s="1"/>
  <c r="O87" i="21" s="1"/>
  <c r="P87" i="21" s="1"/>
  <c r="Q87" i="21" s="1"/>
  <c r="R87" i="21" s="1"/>
  <c r="S87" i="21" s="1"/>
  <c r="T87" i="21" s="1"/>
  <c r="U87" i="21" s="1"/>
  <c r="V87" i="21" s="1"/>
  <c r="W87" i="21" s="1"/>
  <c r="X87" i="21" s="1"/>
  <c r="Y87" i="21" s="1"/>
  <c r="Z87" i="21" s="1"/>
  <c r="AA87" i="21" s="1"/>
  <c r="AB87" i="21" s="1"/>
  <c r="AC87" i="21" s="1"/>
  <c r="AD87" i="21" s="1"/>
  <c r="AE87" i="21" s="1"/>
  <c r="AF87" i="21" s="1"/>
  <c r="AG87" i="21" s="1"/>
  <c r="AH87" i="21" s="1"/>
  <c r="AI87" i="21" s="1"/>
  <c r="AJ87" i="21" s="1"/>
  <c r="AK87" i="21" s="1"/>
  <c r="M88" i="21"/>
  <c r="N88" i="21" s="1"/>
  <c r="O88" i="21" s="1"/>
  <c r="P88" i="21" s="1"/>
  <c r="Q88" i="21" s="1"/>
  <c r="R88" i="21" s="1"/>
  <c r="S88" i="21" s="1"/>
  <c r="T88" i="21" s="1"/>
  <c r="U88" i="21" s="1"/>
  <c r="V88" i="21" s="1"/>
  <c r="W88" i="21" s="1"/>
  <c r="X88" i="21" s="1"/>
  <c r="Y88" i="21" s="1"/>
  <c r="Z88" i="21" s="1"/>
  <c r="AA88" i="21" s="1"/>
  <c r="AB88" i="21" s="1"/>
  <c r="AC88" i="21" s="1"/>
  <c r="AD88" i="21" s="1"/>
  <c r="AE88" i="21" s="1"/>
  <c r="AF88" i="21" s="1"/>
  <c r="AG88" i="21" s="1"/>
  <c r="AH88" i="21" s="1"/>
  <c r="AI88" i="21" s="1"/>
  <c r="AJ88" i="21" s="1"/>
  <c r="AK88" i="21" s="1"/>
  <c r="M89" i="21"/>
  <c r="N89" i="21" s="1"/>
  <c r="O89" i="21" s="1"/>
  <c r="P89" i="21" s="1"/>
  <c r="Q89" i="21" s="1"/>
  <c r="R89" i="21" s="1"/>
  <c r="S89" i="21" s="1"/>
  <c r="T89" i="21" s="1"/>
  <c r="U89" i="21" s="1"/>
  <c r="V89" i="21" s="1"/>
  <c r="W89" i="21" s="1"/>
  <c r="X89" i="21" s="1"/>
  <c r="Y89" i="21" s="1"/>
  <c r="Z89" i="21" s="1"/>
  <c r="AA89" i="21" s="1"/>
  <c r="AB89" i="21" s="1"/>
  <c r="AC89" i="21" s="1"/>
  <c r="AD89" i="21" s="1"/>
  <c r="AE89" i="21" s="1"/>
  <c r="M90" i="21"/>
  <c r="N90" i="21" s="1"/>
  <c r="O90" i="21" s="1"/>
  <c r="P90" i="21" s="1"/>
  <c r="Q90" i="21" s="1"/>
  <c r="R90" i="21" s="1"/>
  <c r="S90" i="21" s="1"/>
  <c r="T90" i="21" s="1"/>
  <c r="U90" i="21" s="1"/>
  <c r="V90" i="21" s="1"/>
  <c r="W90" i="21" s="1"/>
  <c r="X90" i="21" s="1"/>
  <c r="Y90" i="21" s="1"/>
  <c r="Z90" i="21" s="1"/>
  <c r="AA90" i="21" s="1"/>
  <c r="AB90" i="21" s="1"/>
  <c r="AC90" i="21" s="1"/>
  <c r="AD90" i="21" s="1"/>
  <c r="AE90" i="21" s="1"/>
  <c r="AF90" i="21" s="1"/>
  <c r="AG90" i="21" s="1"/>
  <c r="AH90" i="21" s="1"/>
  <c r="AI90" i="21" s="1"/>
  <c r="AJ90" i="21" s="1"/>
  <c r="AK90" i="21" s="1"/>
  <c r="M91" i="21"/>
  <c r="N91" i="21" s="1"/>
  <c r="O91" i="21" s="1"/>
  <c r="P91" i="21" s="1"/>
  <c r="Q91" i="21" s="1"/>
  <c r="R91" i="21" s="1"/>
  <c r="S91" i="21" s="1"/>
  <c r="T91" i="21" s="1"/>
  <c r="U91" i="21" s="1"/>
  <c r="V91" i="21" s="1"/>
  <c r="W91" i="21" s="1"/>
  <c r="X91" i="21" s="1"/>
  <c r="Y91" i="21" s="1"/>
  <c r="Z91" i="21" s="1"/>
  <c r="AA91" i="21" s="1"/>
  <c r="AB91" i="21" s="1"/>
  <c r="AC91" i="21" s="1"/>
  <c r="AD91" i="21" s="1"/>
  <c r="AE91" i="21" s="1"/>
  <c r="M92" i="21"/>
  <c r="N92" i="21" s="1"/>
  <c r="O92" i="21" s="1"/>
  <c r="P92" i="21" s="1"/>
  <c r="Q92" i="21" s="1"/>
  <c r="R92" i="21" s="1"/>
  <c r="S92" i="21" s="1"/>
  <c r="T92" i="21" s="1"/>
  <c r="U92" i="21" s="1"/>
  <c r="V92" i="21" s="1"/>
  <c r="W92" i="21" s="1"/>
  <c r="X92" i="21" s="1"/>
  <c r="Y92" i="21" s="1"/>
  <c r="Z92" i="21" s="1"/>
  <c r="AA92" i="21" s="1"/>
  <c r="AB92" i="21" s="1"/>
  <c r="AC92" i="21" s="1"/>
  <c r="AD92" i="21" s="1"/>
  <c r="AE92" i="21" s="1"/>
  <c r="M93" i="21"/>
  <c r="N93" i="21" s="1"/>
  <c r="O93" i="21" s="1"/>
  <c r="P93" i="21" s="1"/>
  <c r="Q93" i="21" s="1"/>
  <c r="R93" i="21" s="1"/>
  <c r="S93" i="21" s="1"/>
  <c r="T93" i="21" s="1"/>
  <c r="U93" i="21" s="1"/>
  <c r="V93" i="21" s="1"/>
  <c r="W93" i="21" s="1"/>
  <c r="X93" i="21" s="1"/>
  <c r="Y93" i="21" s="1"/>
  <c r="Z93" i="21" s="1"/>
  <c r="AA93" i="21" s="1"/>
  <c r="AB93" i="21" s="1"/>
  <c r="AC93" i="21" s="1"/>
  <c r="AD93" i="21" s="1"/>
  <c r="AE93" i="21" s="1"/>
  <c r="M94" i="21"/>
  <c r="N94" i="21" s="1"/>
  <c r="O94" i="21" s="1"/>
  <c r="P94" i="21" s="1"/>
  <c r="Q94" i="21" s="1"/>
  <c r="R94" i="21" s="1"/>
  <c r="S94" i="21" s="1"/>
  <c r="T94" i="21" s="1"/>
  <c r="U94" i="21" s="1"/>
  <c r="V94" i="21" s="1"/>
  <c r="W94" i="21" s="1"/>
  <c r="X94" i="21" s="1"/>
  <c r="Y94" i="21" s="1"/>
  <c r="Z94" i="21" s="1"/>
  <c r="AA94" i="21" s="1"/>
  <c r="AB94" i="21" s="1"/>
  <c r="AC94" i="21" s="1"/>
  <c r="AD94" i="21" s="1"/>
  <c r="AE94" i="21" s="1"/>
  <c r="M95" i="21"/>
  <c r="N95" i="21" s="1"/>
  <c r="O95" i="21" s="1"/>
  <c r="P95" i="21" s="1"/>
  <c r="Q95" i="21" s="1"/>
  <c r="R95" i="21" s="1"/>
  <c r="S95" i="21" s="1"/>
  <c r="T95" i="21" s="1"/>
  <c r="U95" i="21" s="1"/>
  <c r="V95" i="21" s="1"/>
  <c r="W95" i="21" s="1"/>
  <c r="X95" i="21" s="1"/>
  <c r="Y95" i="21" s="1"/>
  <c r="Z95" i="21" s="1"/>
  <c r="AA95" i="21" s="1"/>
  <c r="AB95" i="21" s="1"/>
  <c r="AC95" i="21" s="1"/>
  <c r="AD95" i="21" s="1"/>
  <c r="AE95" i="21" s="1"/>
  <c r="M98" i="21"/>
  <c r="N98" i="21" s="1"/>
  <c r="O98" i="21" s="1"/>
  <c r="P98" i="21" s="1"/>
  <c r="Q98" i="21" s="1"/>
  <c r="R98" i="21" s="1"/>
  <c r="S98" i="21" s="1"/>
  <c r="T98" i="21" s="1"/>
  <c r="U98" i="21" s="1"/>
  <c r="V98" i="21" s="1"/>
  <c r="W98" i="21" s="1"/>
  <c r="X98" i="21" s="1"/>
  <c r="Y98" i="21" s="1"/>
  <c r="Z98" i="21" s="1"/>
  <c r="AA98" i="21" s="1"/>
  <c r="AB98" i="21" s="1"/>
  <c r="AC98" i="21" s="1"/>
  <c r="AD98" i="21" s="1"/>
  <c r="AE98" i="21" s="1"/>
  <c r="AF98" i="21" s="1"/>
  <c r="AG98" i="21" s="1"/>
  <c r="AH98" i="21" s="1"/>
  <c r="AI98" i="21" s="1"/>
  <c r="AJ98" i="21" s="1"/>
  <c r="AK98" i="21" s="1"/>
  <c r="M99" i="21"/>
  <c r="N99" i="21" s="1"/>
  <c r="O99" i="21" s="1"/>
  <c r="P99" i="21" s="1"/>
  <c r="Q99" i="21" s="1"/>
  <c r="R99" i="21" s="1"/>
  <c r="S99" i="21" s="1"/>
  <c r="T99" i="21" s="1"/>
  <c r="U99" i="21" s="1"/>
  <c r="V99" i="21" s="1"/>
  <c r="W99" i="21" s="1"/>
  <c r="X99" i="21" s="1"/>
  <c r="Y99" i="21" s="1"/>
  <c r="Z99" i="21" s="1"/>
  <c r="AA99" i="21" s="1"/>
  <c r="AB99" i="21" s="1"/>
  <c r="AC99" i="21" s="1"/>
  <c r="AD99" i="21" s="1"/>
  <c r="AE99" i="21" s="1"/>
  <c r="AF99" i="21" s="1"/>
  <c r="AG99" i="21" s="1"/>
  <c r="AH99" i="21" s="1"/>
  <c r="AI99" i="21" s="1"/>
  <c r="AJ99" i="21" s="1"/>
  <c r="AK99" i="21" s="1"/>
  <c r="M100" i="21"/>
  <c r="N100" i="21" s="1"/>
  <c r="O100" i="21" s="1"/>
  <c r="P100" i="21" s="1"/>
  <c r="Q100" i="21" s="1"/>
  <c r="R100" i="21" s="1"/>
  <c r="S100" i="21" s="1"/>
  <c r="T100" i="21" s="1"/>
  <c r="U100" i="21" s="1"/>
  <c r="V100" i="21" s="1"/>
  <c r="W100" i="21" s="1"/>
  <c r="X100" i="21" s="1"/>
  <c r="Y100" i="21" s="1"/>
  <c r="Z100" i="21" s="1"/>
  <c r="AA100" i="21" s="1"/>
  <c r="AB100" i="21" s="1"/>
  <c r="AC100" i="21" s="1"/>
  <c r="AD100" i="21" s="1"/>
  <c r="AE100" i="21" s="1"/>
  <c r="AF100" i="21" s="1"/>
  <c r="AG100" i="21" s="1"/>
  <c r="AH100" i="21" s="1"/>
  <c r="AI100" i="21" s="1"/>
  <c r="AJ100" i="21" s="1"/>
  <c r="AK100" i="21" s="1"/>
  <c r="M101" i="21"/>
  <c r="N101" i="21" s="1"/>
  <c r="O101" i="21" s="1"/>
  <c r="P101" i="21" s="1"/>
  <c r="Q101" i="21" s="1"/>
  <c r="R101" i="21" s="1"/>
  <c r="S101" i="21" s="1"/>
  <c r="T101" i="21" s="1"/>
  <c r="U101" i="21" s="1"/>
  <c r="V101" i="21" s="1"/>
  <c r="W101" i="21" s="1"/>
  <c r="X101" i="21" s="1"/>
  <c r="Y101" i="21" s="1"/>
  <c r="Z101" i="21" s="1"/>
  <c r="AA101" i="21" s="1"/>
  <c r="AB101" i="21" s="1"/>
  <c r="AC101" i="21" s="1"/>
  <c r="AD101" i="21" s="1"/>
  <c r="AE101" i="21" s="1"/>
  <c r="AF101" i="21" s="1"/>
  <c r="AG101" i="21" s="1"/>
  <c r="AH101" i="21" s="1"/>
  <c r="AI101" i="21" s="1"/>
  <c r="AJ101" i="21" s="1"/>
  <c r="AK101" i="21" s="1"/>
  <c r="M102" i="21"/>
  <c r="N102" i="21" s="1"/>
  <c r="O102" i="21" s="1"/>
  <c r="P102" i="21" s="1"/>
  <c r="Q102" i="21" s="1"/>
  <c r="R102" i="21" s="1"/>
  <c r="S102" i="21" s="1"/>
  <c r="T102" i="21" s="1"/>
  <c r="U102" i="21" s="1"/>
  <c r="V102" i="21" s="1"/>
  <c r="W102" i="21" s="1"/>
  <c r="X102" i="21" s="1"/>
  <c r="Y102" i="21" s="1"/>
  <c r="Z102" i="21" s="1"/>
  <c r="AA102" i="21" s="1"/>
  <c r="AB102" i="21" s="1"/>
  <c r="AC102" i="21" s="1"/>
  <c r="AD102" i="21" s="1"/>
  <c r="AE102" i="21" s="1"/>
  <c r="AF102" i="21" s="1"/>
  <c r="AG102" i="21" s="1"/>
  <c r="AH102" i="21" s="1"/>
  <c r="AI102" i="21" s="1"/>
  <c r="AJ102" i="21" s="1"/>
  <c r="AK102" i="21" s="1"/>
  <c r="M103" i="21"/>
  <c r="N103" i="21" s="1"/>
  <c r="O103" i="21" s="1"/>
  <c r="P103" i="21" s="1"/>
  <c r="Q103" i="21" s="1"/>
  <c r="R103" i="21" s="1"/>
  <c r="S103" i="21" s="1"/>
  <c r="T103" i="21" s="1"/>
  <c r="U103" i="21" s="1"/>
  <c r="V103" i="21" s="1"/>
  <c r="W103" i="21" s="1"/>
  <c r="X103" i="21" s="1"/>
  <c r="Y103" i="21" s="1"/>
  <c r="Z103" i="21" s="1"/>
  <c r="AA103" i="21" s="1"/>
  <c r="AB103" i="21" s="1"/>
  <c r="AC103" i="21" s="1"/>
  <c r="AD103" i="21" s="1"/>
  <c r="AE103" i="21" s="1"/>
  <c r="AF103" i="21" s="1"/>
  <c r="AG103" i="21" s="1"/>
  <c r="AH103" i="21" s="1"/>
  <c r="AI103" i="21" s="1"/>
  <c r="AJ103" i="21" s="1"/>
  <c r="AK103" i="21" s="1"/>
  <c r="M104" i="21"/>
  <c r="N104" i="21" s="1"/>
  <c r="O104" i="21" s="1"/>
  <c r="P104" i="21" s="1"/>
  <c r="Q104" i="21" s="1"/>
  <c r="R104" i="21" s="1"/>
  <c r="S104" i="21" s="1"/>
  <c r="T104" i="21" s="1"/>
  <c r="U104" i="21" s="1"/>
  <c r="V104" i="21" s="1"/>
  <c r="W104" i="21" s="1"/>
  <c r="X104" i="21" s="1"/>
  <c r="Y104" i="21" s="1"/>
  <c r="Z104" i="21" s="1"/>
  <c r="AA104" i="21" s="1"/>
  <c r="AB104" i="21" s="1"/>
  <c r="AC104" i="21" s="1"/>
  <c r="AD104" i="21" s="1"/>
  <c r="AE104" i="21" s="1"/>
  <c r="AF104" i="21" s="1"/>
  <c r="AG104" i="21" s="1"/>
  <c r="AH104" i="21" s="1"/>
  <c r="AI104" i="21" s="1"/>
  <c r="AJ104" i="21" s="1"/>
  <c r="AK104" i="21" s="1"/>
  <c r="M105" i="21"/>
  <c r="N105" i="21" s="1"/>
  <c r="O105" i="21" s="1"/>
  <c r="P105" i="21" s="1"/>
  <c r="Q105" i="21" s="1"/>
  <c r="R105" i="21" s="1"/>
  <c r="S105" i="21" s="1"/>
  <c r="T105" i="21" s="1"/>
  <c r="U105" i="21" s="1"/>
  <c r="V105" i="21" s="1"/>
  <c r="W105" i="21" s="1"/>
  <c r="X105" i="21" s="1"/>
  <c r="Y105" i="21" s="1"/>
  <c r="Z105" i="21" s="1"/>
  <c r="AA105" i="21" s="1"/>
  <c r="AB105" i="21" s="1"/>
  <c r="AC105" i="21" s="1"/>
  <c r="AD105" i="21" s="1"/>
  <c r="AE105" i="21" s="1"/>
  <c r="AF105" i="21" s="1"/>
  <c r="AG105" i="21" s="1"/>
  <c r="AH105" i="21" s="1"/>
  <c r="AI105" i="21" s="1"/>
  <c r="AJ105" i="21" s="1"/>
  <c r="AK105" i="21" s="1"/>
  <c r="M106" i="21"/>
  <c r="N106" i="21" s="1"/>
  <c r="O106" i="21" s="1"/>
  <c r="P106" i="21" s="1"/>
  <c r="Q106" i="21" s="1"/>
  <c r="R106" i="21" s="1"/>
  <c r="S106" i="21" s="1"/>
  <c r="T106" i="21" s="1"/>
  <c r="U106" i="21" s="1"/>
  <c r="V106" i="21" s="1"/>
  <c r="W106" i="21" s="1"/>
  <c r="X106" i="21" s="1"/>
  <c r="Y106" i="21" s="1"/>
  <c r="Z106" i="21" s="1"/>
  <c r="AA106" i="21" s="1"/>
  <c r="AB106" i="21" s="1"/>
  <c r="AC106" i="21" s="1"/>
  <c r="AD106" i="21" s="1"/>
  <c r="AE106" i="21" s="1"/>
  <c r="AF106" i="21" s="1"/>
  <c r="AG106" i="21" s="1"/>
  <c r="AH106" i="21" s="1"/>
  <c r="AI106" i="21" s="1"/>
  <c r="AJ106" i="21" s="1"/>
  <c r="AK106" i="21" s="1"/>
  <c r="M107" i="21"/>
  <c r="N107" i="21" s="1"/>
  <c r="O107" i="21" s="1"/>
  <c r="P107" i="21" s="1"/>
  <c r="Q107" i="21" s="1"/>
  <c r="R107" i="21" s="1"/>
  <c r="S107" i="21" s="1"/>
  <c r="T107" i="21" s="1"/>
  <c r="U107" i="21" s="1"/>
  <c r="V107" i="21" s="1"/>
  <c r="W107" i="21" s="1"/>
  <c r="X107" i="21" s="1"/>
  <c r="Y107" i="21" s="1"/>
  <c r="Z107" i="21" s="1"/>
  <c r="AA107" i="21" s="1"/>
  <c r="AB107" i="21" s="1"/>
  <c r="AC107" i="21" s="1"/>
  <c r="AD107" i="21" s="1"/>
  <c r="AE107" i="21" s="1"/>
  <c r="AF107" i="21" s="1"/>
  <c r="AG107" i="21" s="1"/>
  <c r="AH107" i="21" s="1"/>
  <c r="AI107" i="21" s="1"/>
  <c r="AJ107" i="21" s="1"/>
  <c r="AK107" i="21" s="1"/>
  <c r="M108" i="21"/>
  <c r="N108" i="21" s="1"/>
  <c r="O108" i="21" s="1"/>
  <c r="P108" i="21" s="1"/>
  <c r="Q108" i="21" s="1"/>
  <c r="R108" i="21" s="1"/>
  <c r="S108" i="21" s="1"/>
  <c r="T108" i="21" s="1"/>
  <c r="U108" i="21" s="1"/>
  <c r="V108" i="21" s="1"/>
  <c r="W108" i="21" s="1"/>
  <c r="X108" i="21" s="1"/>
  <c r="Y108" i="21" s="1"/>
  <c r="Z108" i="21" s="1"/>
  <c r="AA108" i="21" s="1"/>
  <c r="AB108" i="21" s="1"/>
  <c r="AC108" i="21" s="1"/>
  <c r="AD108" i="21" s="1"/>
  <c r="AE108" i="21" s="1"/>
  <c r="AF108" i="21" s="1"/>
  <c r="AG108" i="21" s="1"/>
  <c r="AH108" i="21" s="1"/>
  <c r="AI108" i="21" s="1"/>
  <c r="AJ108" i="21" s="1"/>
  <c r="AK108" i="21" s="1"/>
  <c r="M109" i="21"/>
  <c r="N109" i="21" s="1"/>
  <c r="O109" i="21" s="1"/>
  <c r="P109" i="21" s="1"/>
  <c r="Q109" i="21" s="1"/>
  <c r="R109" i="21" s="1"/>
  <c r="S109" i="21" s="1"/>
  <c r="T109" i="21" s="1"/>
  <c r="U109" i="21" s="1"/>
  <c r="V109" i="21" s="1"/>
  <c r="W109" i="21" s="1"/>
  <c r="X109" i="21" s="1"/>
  <c r="Y109" i="21" s="1"/>
  <c r="Z109" i="21" s="1"/>
  <c r="AA109" i="21" s="1"/>
  <c r="AB109" i="21" s="1"/>
  <c r="AC109" i="21" s="1"/>
  <c r="AD109" i="21" s="1"/>
  <c r="AE109" i="21" s="1"/>
  <c r="AF109" i="21" s="1"/>
  <c r="AG109" i="21" s="1"/>
  <c r="AH109" i="21" s="1"/>
  <c r="AI109" i="21" s="1"/>
  <c r="AJ109" i="21" s="1"/>
  <c r="AK109" i="21" s="1"/>
  <c r="M110" i="21"/>
  <c r="N110" i="21" s="1"/>
  <c r="O110" i="21" s="1"/>
  <c r="P110" i="21" s="1"/>
  <c r="Q110" i="21" s="1"/>
  <c r="R110" i="21" s="1"/>
  <c r="S110" i="21" s="1"/>
  <c r="T110" i="21" s="1"/>
  <c r="U110" i="21" s="1"/>
  <c r="V110" i="21" s="1"/>
  <c r="W110" i="21" s="1"/>
  <c r="X110" i="21" s="1"/>
  <c r="Y110" i="21" s="1"/>
  <c r="Z110" i="21" s="1"/>
  <c r="AA110" i="21" s="1"/>
  <c r="AB110" i="21" s="1"/>
  <c r="AC110" i="21" s="1"/>
  <c r="AD110" i="21" s="1"/>
  <c r="AE110" i="21" s="1"/>
  <c r="AF110" i="21" s="1"/>
  <c r="AG110" i="21" s="1"/>
  <c r="AH110" i="21" s="1"/>
  <c r="AI110" i="21" s="1"/>
  <c r="AJ110" i="21" s="1"/>
  <c r="AK110" i="21" s="1"/>
  <c r="M111" i="21"/>
  <c r="N111" i="21" s="1"/>
  <c r="O111" i="21" s="1"/>
  <c r="P111" i="21" s="1"/>
  <c r="Q111" i="21" s="1"/>
  <c r="R111" i="21" s="1"/>
  <c r="S111" i="21" s="1"/>
  <c r="T111" i="21" s="1"/>
  <c r="U111" i="21" s="1"/>
  <c r="V111" i="21" s="1"/>
  <c r="W111" i="21" s="1"/>
  <c r="X111" i="21" s="1"/>
  <c r="Y111" i="21" s="1"/>
  <c r="Z111" i="21" s="1"/>
  <c r="AA111" i="21" s="1"/>
  <c r="AB111" i="21" s="1"/>
  <c r="AC111" i="21" s="1"/>
  <c r="AD111" i="21" s="1"/>
  <c r="AE111" i="21" s="1"/>
  <c r="AF111" i="21" s="1"/>
  <c r="AG111" i="21" s="1"/>
  <c r="AH111" i="21" s="1"/>
  <c r="AI111" i="21" s="1"/>
  <c r="AJ111" i="21" s="1"/>
  <c r="AK111" i="21" s="1"/>
  <c r="M112" i="21"/>
  <c r="N112" i="21" s="1"/>
  <c r="O112" i="21" s="1"/>
  <c r="P112" i="21" s="1"/>
  <c r="Q112" i="21" s="1"/>
  <c r="R112" i="21" s="1"/>
  <c r="S112" i="21" s="1"/>
  <c r="T112" i="21" s="1"/>
  <c r="U112" i="21" s="1"/>
  <c r="V112" i="21" s="1"/>
  <c r="W112" i="21" s="1"/>
  <c r="X112" i="21" s="1"/>
  <c r="Y112" i="21" s="1"/>
  <c r="Z112" i="21" s="1"/>
  <c r="AA112" i="21" s="1"/>
  <c r="AB112" i="21" s="1"/>
  <c r="AC112" i="21" s="1"/>
  <c r="AD112" i="21" s="1"/>
  <c r="AE112" i="21" s="1"/>
  <c r="AF112" i="21" s="1"/>
  <c r="AG112" i="21" s="1"/>
  <c r="AH112" i="21" s="1"/>
  <c r="AI112" i="21" s="1"/>
  <c r="AJ112" i="21" s="1"/>
  <c r="AK112" i="21" s="1"/>
  <c r="M113" i="21"/>
  <c r="N113" i="21" s="1"/>
  <c r="O113" i="21" s="1"/>
  <c r="P113" i="21" s="1"/>
  <c r="Q113" i="21" s="1"/>
  <c r="R113" i="21" s="1"/>
  <c r="S113" i="21" s="1"/>
  <c r="T113" i="21" s="1"/>
  <c r="U113" i="21" s="1"/>
  <c r="V113" i="21" s="1"/>
  <c r="W113" i="21" s="1"/>
  <c r="X113" i="21" s="1"/>
  <c r="Y113" i="21" s="1"/>
  <c r="Z113" i="21" s="1"/>
  <c r="AA113" i="21" s="1"/>
  <c r="AB113" i="21" s="1"/>
  <c r="AC113" i="21" s="1"/>
  <c r="AD113" i="21" s="1"/>
  <c r="AE113" i="21" s="1"/>
  <c r="AF113" i="21" s="1"/>
  <c r="AG113" i="21" s="1"/>
  <c r="AH113" i="21" s="1"/>
  <c r="AI113" i="21" s="1"/>
  <c r="AJ113" i="21" s="1"/>
  <c r="AK113" i="21" s="1"/>
  <c r="M114" i="21"/>
  <c r="N114" i="21" s="1"/>
  <c r="O114" i="21" s="1"/>
  <c r="P114" i="21" s="1"/>
  <c r="Q114" i="21" s="1"/>
  <c r="R114" i="21" s="1"/>
  <c r="S114" i="21" s="1"/>
  <c r="T114" i="21" s="1"/>
  <c r="U114" i="21" s="1"/>
  <c r="V114" i="21" s="1"/>
  <c r="W114" i="21" s="1"/>
  <c r="X114" i="21" s="1"/>
  <c r="Y114" i="21" s="1"/>
  <c r="Z114" i="21" s="1"/>
  <c r="AA114" i="21" s="1"/>
  <c r="AB114" i="21" s="1"/>
  <c r="AC114" i="21" s="1"/>
  <c r="AD114" i="21" s="1"/>
  <c r="AE114" i="21" s="1"/>
  <c r="AF114" i="21" s="1"/>
  <c r="AG114" i="21" s="1"/>
  <c r="AH114" i="21" s="1"/>
  <c r="AI114" i="21" s="1"/>
  <c r="AJ114" i="21" s="1"/>
  <c r="AK114" i="21" s="1"/>
  <c r="M115" i="21"/>
  <c r="N115" i="21" s="1"/>
  <c r="O115" i="21" s="1"/>
  <c r="P115" i="21" s="1"/>
  <c r="Q115" i="21" s="1"/>
  <c r="R115" i="21" s="1"/>
  <c r="S115" i="21" s="1"/>
  <c r="T115" i="21" s="1"/>
  <c r="U115" i="21" s="1"/>
  <c r="V115" i="21" s="1"/>
  <c r="W115" i="21" s="1"/>
  <c r="X115" i="21" s="1"/>
  <c r="Y115" i="21" s="1"/>
  <c r="Z115" i="21" s="1"/>
  <c r="AA115" i="21" s="1"/>
  <c r="AB115" i="21" s="1"/>
  <c r="AC115" i="21" s="1"/>
  <c r="AD115" i="21" s="1"/>
  <c r="AE115" i="21" s="1"/>
  <c r="AF115" i="21" s="1"/>
  <c r="AG115" i="21" s="1"/>
  <c r="AH115" i="21" s="1"/>
  <c r="AI115" i="21" s="1"/>
  <c r="AJ115" i="21" s="1"/>
  <c r="AK115" i="21" s="1"/>
  <c r="M116" i="21"/>
  <c r="N116" i="21" s="1"/>
  <c r="O116" i="21" s="1"/>
  <c r="P116" i="21" s="1"/>
  <c r="Q116" i="21" s="1"/>
  <c r="R116" i="21" s="1"/>
  <c r="S116" i="21" s="1"/>
  <c r="T116" i="21" s="1"/>
  <c r="U116" i="21" s="1"/>
  <c r="V116" i="21" s="1"/>
  <c r="W116" i="21" s="1"/>
  <c r="X116" i="21" s="1"/>
  <c r="Y116" i="21" s="1"/>
  <c r="Z116" i="21" s="1"/>
  <c r="AA116" i="21" s="1"/>
  <c r="AB116" i="21" s="1"/>
  <c r="AC116" i="21" s="1"/>
  <c r="AD116" i="21" s="1"/>
  <c r="AE116" i="21" s="1"/>
  <c r="AF116" i="21" s="1"/>
  <c r="AG116" i="21" s="1"/>
  <c r="AH116" i="21" s="1"/>
  <c r="AI116" i="21" s="1"/>
  <c r="AJ116" i="21" s="1"/>
  <c r="AK116" i="21" s="1"/>
  <c r="M117" i="21"/>
  <c r="N117" i="21" s="1"/>
  <c r="O117" i="21" s="1"/>
  <c r="P117" i="21" s="1"/>
  <c r="Q117" i="21" s="1"/>
  <c r="R117" i="21" s="1"/>
  <c r="S117" i="21" s="1"/>
  <c r="T117" i="21" s="1"/>
  <c r="U117" i="21" s="1"/>
  <c r="V117" i="21" s="1"/>
  <c r="W117" i="21" s="1"/>
  <c r="X117" i="21" s="1"/>
  <c r="Y117" i="21" s="1"/>
  <c r="Z117" i="21" s="1"/>
  <c r="AA117" i="21" s="1"/>
  <c r="AB117" i="21" s="1"/>
  <c r="AC117" i="21" s="1"/>
  <c r="AD117" i="21" s="1"/>
  <c r="AE117" i="21" s="1"/>
  <c r="AF117" i="21" s="1"/>
  <c r="AG117" i="21" s="1"/>
  <c r="AH117" i="21" s="1"/>
  <c r="AI117" i="21" s="1"/>
  <c r="AJ117" i="21" s="1"/>
  <c r="AK117" i="21" s="1"/>
  <c r="M118" i="21"/>
  <c r="N118" i="21" s="1"/>
  <c r="O118" i="21" s="1"/>
  <c r="P118" i="21" s="1"/>
  <c r="Q118" i="21" s="1"/>
  <c r="R118" i="21" s="1"/>
  <c r="S118" i="21" s="1"/>
  <c r="T118" i="21" s="1"/>
  <c r="U118" i="21" s="1"/>
  <c r="V118" i="21" s="1"/>
  <c r="W118" i="21" s="1"/>
  <c r="X118" i="21" s="1"/>
  <c r="Y118" i="21" s="1"/>
  <c r="Z118" i="21" s="1"/>
  <c r="AA118" i="21" s="1"/>
  <c r="AB118" i="21" s="1"/>
  <c r="AC118" i="21" s="1"/>
  <c r="AD118" i="21" s="1"/>
  <c r="AE118" i="21" s="1"/>
  <c r="AF118" i="21" s="1"/>
  <c r="AG118" i="21" s="1"/>
  <c r="AH118" i="21" s="1"/>
  <c r="AI118" i="21" s="1"/>
  <c r="AJ118" i="21" s="1"/>
  <c r="AK118" i="21" s="1"/>
  <c r="M119" i="21"/>
  <c r="N119" i="21" s="1"/>
  <c r="O119" i="21" s="1"/>
  <c r="P119" i="21" s="1"/>
  <c r="Q119" i="21" s="1"/>
  <c r="R119" i="21" s="1"/>
  <c r="S119" i="21" s="1"/>
  <c r="T119" i="21" s="1"/>
  <c r="U119" i="21" s="1"/>
  <c r="V119" i="21" s="1"/>
  <c r="W119" i="21" s="1"/>
  <c r="X119" i="21" s="1"/>
  <c r="Y119" i="21" s="1"/>
  <c r="Z119" i="21" s="1"/>
  <c r="AA119" i="21" s="1"/>
  <c r="AB119" i="21" s="1"/>
  <c r="AC119" i="21" s="1"/>
  <c r="AD119" i="21" s="1"/>
  <c r="AE119" i="21" s="1"/>
  <c r="AF119" i="21" s="1"/>
  <c r="AG119" i="21" s="1"/>
  <c r="AH119" i="21" s="1"/>
  <c r="AI119" i="21" s="1"/>
  <c r="AJ119" i="21" s="1"/>
  <c r="AK119" i="21" s="1"/>
  <c r="M120" i="21"/>
  <c r="N120" i="21" s="1"/>
  <c r="O120" i="21" s="1"/>
  <c r="P120" i="21" s="1"/>
  <c r="Q120" i="21" s="1"/>
  <c r="R120" i="21" s="1"/>
  <c r="S120" i="21" s="1"/>
  <c r="T120" i="21" s="1"/>
  <c r="U120" i="21" s="1"/>
  <c r="V120" i="21" s="1"/>
  <c r="W120" i="21" s="1"/>
  <c r="X120" i="21" s="1"/>
  <c r="Y120" i="21" s="1"/>
  <c r="Z120" i="21" s="1"/>
  <c r="AA120" i="21" s="1"/>
  <c r="AB120" i="21" s="1"/>
  <c r="AC120" i="21" s="1"/>
  <c r="AD120" i="21" s="1"/>
  <c r="AE120" i="21" s="1"/>
  <c r="AF120" i="21" s="1"/>
  <c r="AG120" i="21" s="1"/>
  <c r="AH120" i="21" s="1"/>
  <c r="AI120" i="21" s="1"/>
  <c r="AJ120" i="21" s="1"/>
  <c r="AK120" i="21" s="1"/>
  <c r="M121" i="21"/>
  <c r="N121" i="21" s="1"/>
  <c r="O121" i="21" s="1"/>
  <c r="P121" i="21" s="1"/>
  <c r="Q121" i="21" s="1"/>
  <c r="R121" i="21" s="1"/>
  <c r="S121" i="21" s="1"/>
  <c r="T121" i="21" s="1"/>
  <c r="U121" i="21" s="1"/>
  <c r="V121" i="21" s="1"/>
  <c r="W121" i="21" s="1"/>
  <c r="X121" i="21" s="1"/>
  <c r="Y121" i="21" s="1"/>
  <c r="Z121" i="21" s="1"/>
  <c r="AA121" i="21" s="1"/>
  <c r="AB121" i="21" s="1"/>
  <c r="AC121" i="21" s="1"/>
  <c r="AD121" i="21" s="1"/>
  <c r="AE121" i="21" s="1"/>
  <c r="AF121" i="21" s="1"/>
  <c r="AG121" i="21" s="1"/>
  <c r="AH121" i="21" s="1"/>
  <c r="AI121" i="21" s="1"/>
  <c r="AJ121" i="21" s="1"/>
  <c r="AK121" i="21" s="1"/>
  <c r="M122" i="21"/>
  <c r="N122" i="21" s="1"/>
  <c r="O122" i="21" s="1"/>
  <c r="P122" i="21" s="1"/>
  <c r="Q122" i="21" s="1"/>
  <c r="R122" i="21" s="1"/>
  <c r="S122" i="21" s="1"/>
  <c r="T122" i="21" s="1"/>
  <c r="U122" i="21" s="1"/>
  <c r="V122" i="21" s="1"/>
  <c r="W122" i="21" s="1"/>
  <c r="X122" i="21" s="1"/>
  <c r="Y122" i="21" s="1"/>
  <c r="Z122" i="21" s="1"/>
  <c r="AA122" i="21" s="1"/>
  <c r="AB122" i="21" s="1"/>
  <c r="AC122" i="21" s="1"/>
  <c r="AD122" i="21" s="1"/>
  <c r="AE122" i="21" s="1"/>
  <c r="AF122" i="21" s="1"/>
  <c r="AG122" i="21" s="1"/>
  <c r="AH122" i="21" s="1"/>
  <c r="AI122" i="21" s="1"/>
  <c r="AJ122" i="21" s="1"/>
  <c r="AK122" i="21" s="1"/>
  <c r="M123" i="21"/>
  <c r="N123" i="21" s="1"/>
  <c r="O123" i="21" s="1"/>
  <c r="P123" i="21" s="1"/>
  <c r="Q123" i="21" s="1"/>
  <c r="R123" i="21" s="1"/>
  <c r="S123" i="21" s="1"/>
  <c r="T123" i="21" s="1"/>
  <c r="U123" i="21" s="1"/>
  <c r="V123" i="21" s="1"/>
  <c r="W123" i="21" s="1"/>
  <c r="X123" i="21" s="1"/>
  <c r="Y123" i="21" s="1"/>
  <c r="Z123" i="21" s="1"/>
  <c r="AA123" i="21" s="1"/>
  <c r="AB123" i="21" s="1"/>
  <c r="AC123" i="21" s="1"/>
  <c r="AD123" i="21" s="1"/>
  <c r="AE123" i="21" s="1"/>
  <c r="AF123" i="21" s="1"/>
  <c r="AG123" i="21" s="1"/>
  <c r="AH123" i="21" s="1"/>
  <c r="AI123" i="21" s="1"/>
  <c r="AJ123" i="21" s="1"/>
  <c r="AK123" i="21" s="1"/>
  <c r="M124" i="21"/>
  <c r="N124" i="21" s="1"/>
  <c r="O124" i="21" s="1"/>
  <c r="P124" i="21" s="1"/>
  <c r="Q124" i="21" s="1"/>
  <c r="R124" i="21" s="1"/>
  <c r="S124" i="21" s="1"/>
  <c r="T124" i="21" s="1"/>
  <c r="U124" i="21" s="1"/>
  <c r="V124" i="21" s="1"/>
  <c r="W124" i="21" s="1"/>
  <c r="X124" i="21" s="1"/>
  <c r="Y124" i="21" s="1"/>
  <c r="Z124" i="21" s="1"/>
  <c r="AA124" i="21" s="1"/>
  <c r="AB124" i="21" s="1"/>
  <c r="AC124" i="21" s="1"/>
  <c r="AD124" i="21" s="1"/>
  <c r="AE124" i="21" s="1"/>
  <c r="AF124" i="21" s="1"/>
  <c r="AG124" i="21" s="1"/>
  <c r="AH124" i="21" s="1"/>
  <c r="AI124" i="21" s="1"/>
  <c r="AJ124" i="21" s="1"/>
  <c r="AK124" i="21" s="1"/>
  <c r="M125" i="21"/>
  <c r="N125" i="21" s="1"/>
  <c r="O125" i="21" s="1"/>
  <c r="P125" i="21" s="1"/>
  <c r="Q125" i="21" s="1"/>
  <c r="R125" i="21" s="1"/>
  <c r="S125" i="21" s="1"/>
  <c r="T125" i="21" s="1"/>
  <c r="U125" i="21" s="1"/>
  <c r="V125" i="21" s="1"/>
  <c r="W125" i="21" s="1"/>
  <c r="X125" i="21" s="1"/>
  <c r="Y125" i="21" s="1"/>
  <c r="Z125" i="21" s="1"/>
  <c r="AA125" i="21" s="1"/>
  <c r="AB125" i="21" s="1"/>
  <c r="AC125" i="21" s="1"/>
  <c r="AD125" i="21" s="1"/>
  <c r="AE125" i="21" s="1"/>
  <c r="AF125" i="21" s="1"/>
  <c r="AG125" i="21" s="1"/>
  <c r="AH125" i="21" s="1"/>
  <c r="AI125" i="21" s="1"/>
  <c r="AJ125" i="21" s="1"/>
  <c r="AK125" i="21" s="1"/>
  <c r="M126" i="21"/>
  <c r="N126" i="21" s="1"/>
  <c r="O126" i="21" s="1"/>
  <c r="P126" i="21" s="1"/>
  <c r="Q126" i="21" s="1"/>
  <c r="R126" i="21" s="1"/>
  <c r="S126" i="21" s="1"/>
  <c r="T126" i="21" s="1"/>
  <c r="U126" i="21" s="1"/>
  <c r="V126" i="21" s="1"/>
  <c r="W126" i="21" s="1"/>
  <c r="X126" i="21" s="1"/>
  <c r="Y126" i="21" s="1"/>
  <c r="Z126" i="21" s="1"/>
  <c r="AA126" i="21" s="1"/>
  <c r="AB126" i="21" s="1"/>
  <c r="AC126" i="21" s="1"/>
  <c r="AD126" i="21" s="1"/>
  <c r="AE126" i="21" s="1"/>
  <c r="AF126" i="21" s="1"/>
  <c r="AG126" i="21" s="1"/>
  <c r="AH126" i="21" s="1"/>
  <c r="AI126" i="21" s="1"/>
  <c r="AJ126" i="21" s="1"/>
  <c r="AK126" i="21" s="1"/>
  <c r="M127" i="21"/>
  <c r="N127" i="21" s="1"/>
  <c r="O127" i="21" s="1"/>
  <c r="P127" i="21" s="1"/>
  <c r="Q127" i="21" s="1"/>
  <c r="R127" i="21" s="1"/>
  <c r="S127" i="21" s="1"/>
  <c r="T127" i="21" s="1"/>
  <c r="U127" i="21" s="1"/>
  <c r="V127" i="21" s="1"/>
  <c r="W127" i="21" s="1"/>
  <c r="X127" i="21" s="1"/>
  <c r="Y127" i="21" s="1"/>
  <c r="Z127" i="21" s="1"/>
  <c r="AA127" i="21" s="1"/>
  <c r="AB127" i="21" s="1"/>
  <c r="AC127" i="21" s="1"/>
  <c r="AD127" i="21" s="1"/>
  <c r="AE127" i="21" s="1"/>
  <c r="AF127" i="21" s="1"/>
  <c r="AG127" i="21" s="1"/>
  <c r="AH127" i="21" s="1"/>
  <c r="AI127" i="21" s="1"/>
  <c r="AJ127" i="21" s="1"/>
  <c r="AK127" i="21" s="1"/>
  <c r="M128" i="21"/>
  <c r="N128" i="21" s="1"/>
  <c r="O128" i="21" s="1"/>
  <c r="P128" i="21" s="1"/>
  <c r="Q128" i="21" s="1"/>
  <c r="R128" i="21" s="1"/>
  <c r="S128" i="21" s="1"/>
  <c r="T128" i="21" s="1"/>
  <c r="U128" i="21" s="1"/>
  <c r="V128" i="21" s="1"/>
  <c r="W128" i="21" s="1"/>
  <c r="X128" i="21" s="1"/>
  <c r="Y128" i="21" s="1"/>
  <c r="Z128" i="21" s="1"/>
  <c r="AA128" i="21" s="1"/>
  <c r="AB128" i="21" s="1"/>
  <c r="AC128" i="21" s="1"/>
  <c r="AD128" i="21" s="1"/>
  <c r="AE128" i="21" s="1"/>
  <c r="AF128" i="21" s="1"/>
  <c r="AG128" i="21" s="1"/>
  <c r="AH128" i="21" s="1"/>
  <c r="AI128" i="21" s="1"/>
  <c r="AJ128" i="21" s="1"/>
  <c r="AK128" i="21" s="1"/>
  <c r="M129" i="21"/>
  <c r="N129" i="21" s="1"/>
  <c r="O129" i="21" s="1"/>
  <c r="P129" i="21" s="1"/>
  <c r="Q129" i="21" s="1"/>
  <c r="R129" i="21" s="1"/>
  <c r="S129" i="21" s="1"/>
  <c r="T129" i="21" s="1"/>
  <c r="U129" i="21" s="1"/>
  <c r="V129" i="21" s="1"/>
  <c r="W129" i="21" s="1"/>
  <c r="X129" i="21" s="1"/>
  <c r="Y129" i="21" s="1"/>
  <c r="Z129" i="21" s="1"/>
  <c r="AA129" i="21" s="1"/>
  <c r="AB129" i="21" s="1"/>
  <c r="AC129" i="21" s="1"/>
  <c r="AD129" i="21" s="1"/>
  <c r="AE129" i="21" s="1"/>
  <c r="AF129" i="21" s="1"/>
  <c r="AG129" i="21" s="1"/>
  <c r="AH129" i="21" s="1"/>
  <c r="AI129" i="21" s="1"/>
  <c r="AJ129" i="21" s="1"/>
  <c r="AK129" i="21" s="1"/>
  <c r="M130" i="21"/>
  <c r="N130" i="21" s="1"/>
  <c r="O130" i="21" s="1"/>
  <c r="P130" i="21" s="1"/>
  <c r="Q130" i="21" s="1"/>
  <c r="R130" i="21" s="1"/>
  <c r="S130" i="21" s="1"/>
  <c r="T130" i="21" s="1"/>
  <c r="U130" i="21" s="1"/>
  <c r="V130" i="21" s="1"/>
  <c r="W130" i="21" s="1"/>
  <c r="X130" i="21" s="1"/>
  <c r="Y130" i="21" s="1"/>
  <c r="Z130" i="21" s="1"/>
  <c r="AA130" i="21" s="1"/>
  <c r="AB130" i="21" s="1"/>
  <c r="AC130" i="21" s="1"/>
  <c r="AD130" i="21" s="1"/>
  <c r="AE130" i="21" s="1"/>
  <c r="AF130" i="21" s="1"/>
  <c r="AG130" i="21" s="1"/>
  <c r="AH130" i="21" s="1"/>
  <c r="AI130" i="21" s="1"/>
  <c r="AJ130" i="21" s="1"/>
  <c r="AK130" i="21" s="1"/>
  <c r="M131" i="21"/>
  <c r="N131" i="21" s="1"/>
  <c r="O131" i="21" s="1"/>
  <c r="P131" i="21" s="1"/>
  <c r="Q131" i="21" s="1"/>
  <c r="R131" i="21" s="1"/>
  <c r="S131" i="21" s="1"/>
  <c r="T131" i="21" s="1"/>
  <c r="U131" i="21" s="1"/>
  <c r="V131" i="21" s="1"/>
  <c r="W131" i="21" s="1"/>
  <c r="X131" i="21" s="1"/>
  <c r="Y131" i="21" s="1"/>
  <c r="Z131" i="21" s="1"/>
  <c r="AA131" i="21" s="1"/>
  <c r="AB131" i="21" s="1"/>
  <c r="AC131" i="21" s="1"/>
  <c r="AD131" i="21" s="1"/>
  <c r="AE131" i="21" s="1"/>
  <c r="AF131" i="21" s="1"/>
  <c r="AG131" i="21" s="1"/>
  <c r="AH131" i="21" s="1"/>
  <c r="AI131" i="21" s="1"/>
  <c r="AJ131" i="21" s="1"/>
  <c r="AK131" i="21" s="1"/>
  <c r="AZ31" i="14"/>
  <c r="L76" i="14"/>
  <c r="L77" i="14"/>
  <c r="L79" i="14"/>
  <c r="L80" i="14"/>
  <c r="L81" i="14"/>
  <c r="L75" i="14"/>
  <c r="K78" i="14"/>
  <c r="AP71" i="14"/>
  <c r="AO71" i="14" s="1"/>
  <c r="AN71" i="14" s="1"/>
  <c r="AM71" i="14" s="1"/>
  <c r="AL71" i="14" s="1"/>
  <c r="AK71" i="14" s="1"/>
  <c r="AJ71" i="14" s="1"/>
  <c r="AI71" i="14" s="1"/>
  <c r="AH71" i="14" s="1"/>
  <c r="AG71" i="14" s="1"/>
  <c r="AF71" i="14" s="1"/>
  <c r="AE71" i="14" s="1"/>
  <c r="AD71" i="14" s="1"/>
  <c r="AC71" i="14" s="1"/>
  <c r="AB71" i="14" s="1"/>
  <c r="AA71" i="14" s="1"/>
  <c r="Z71" i="14" s="1"/>
  <c r="Y71" i="14" s="1"/>
  <c r="X71" i="14" s="1"/>
  <c r="W71" i="14" s="1"/>
  <c r="V71" i="14" s="1"/>
  <c r="U71" i="14" s="1"/>
  <c r="T71" i="14" s="1"/>
  <c r="S71" i="14" s="1"/>
  <c r="R71" i="14" s="1"/>
  <c r="Q71" i="14" s="1"/>
  <c r="P71" i="14" s="1"/>
  <c r="O71" i="14" s="1"/>
  <c r="N71" i="14" s="1"/>
  <c r="M71" i="14" s="1"/>
  <c r="L71" i="14" s="1"/>
  <c r="L78" i="14" s="1"/>
  <c r="AF56" i="6"/>
  <c r="AG56" i="6" s="1"/>
  <c r="AH56" i="6" s="1"/>
  <c r="AI56" i="6" s="1"/>
  <c r="AJ56" i="6" s="1"/>
  <c r="AK56" i="6" s="1"/>
  <c r="AL56" i="6" s="1"/>
  <c r="AM56" i="6" s="1"/>
  <c r="AN56" i="6" s="1"/>
  <c r="AO56" i="6" s="1"/>
  <c r="AP56" i="6" s="1"/>
  <c r="AQ56" i="6" s="1"/>
  <c r="AR56" i="6" s="1"/>
  <c r="AS56" i="6" s="1"/>
  <c r="AT56" i="6" s="1"/>
  <c r="AU56" i="6" s="1"/>
  <c r="AV56" i="6" s="1"/>
  <c r="AW56" i="6" s="1"/>
  <c r="AX56" i="6" s="1"/>
  <c r="AY56" i="6" s="1"/>
  <c r="AZ56" i="6" s="1"/>
  <c r="BA56" i="6" s="1"/>
  <c r="BB56" i="6" s="1"/>
  <c r="AF55" i="6"/>
  <c r="AG55" i="6" s="1"/>
  <c r="AH55" i="6" s="1"/>
  <c r="AI55" i="6" s="1"/>
  <c r="AJ55" i="6" s="1"/>
  <c r="AK55" i="6" s="1"/>
  <c r="AL55" i="6" s="1"/>
  <c r="AM55" i="6" s="1"/>
  <c r="AN55" i="6" s="1"/>
  <c r="AO55" i="6" s="1"/>
  <c r="AP55" i="6" s="1"/>
  <c r="AQ55" i="6" s="1"/>
  <c r="AR55" i="6" s="1"/>
  <c r="AS55" i="6" s="1"/>
  <c r="AT55" i="6" s="1"/>
  <c r="AU55" i="6" s="1"/>
  <c r="AV55" i="6" s="1"/>
  <c r="AW55" i="6" s="1"/>
  <c r="AX55" i="6" s="1"/>
  <c r="AY55" i="6" s="1"/>
  <c r="AZ55" i="6" s="1"/>
  <c r="BA55" i="6" s="1"/>
  <c r="BB55" i="6" s="1"/>
  <c r="AP50" i="6"/>
  <c r="AQ50" i="6" s="1"/>
  <c r="AR50" i="6" s="1"/>
  <c r="AS50" i="6" s="1"/>
  <c r="AT50" i="6" s="1"/>
  <c r="AU50" i="6" s="1"/>
  <c r="AV50" i="6" s="1"/>
  <c r="AW50" i="6" s="1"/>
  <c r="AX50" i="6" s="1"/>
  <c r="AY50" i="6" s="1"/>
  <c r="AZ50" i="6" s="1"/>
  <c r="BA50" i="6" s="1"/>
  <c r="BB50" i="6" s="1"/>
  <c r="AN51" i="6"/>
  <c r="AM51" i="6" s="1"/>
  <c r="AL51" i="6" s="1"/>
  <c r="AK51" i="6" s="1"/>
  <c r="AJ51" i="6" s="1"/>
  <c r="AI51" i="6" s="1"/>
  <c r="AH51" i="6" s="1"/>
  <c r="AG51" i="6" s="1"/>
  <c r="AF51" i="6" s="1"/>
  <c r="AE51" i="6" s="1"/>
  <c r="AD51" i="6" s="1"/>
  <c r="AC51" i="6" s="1"/>
  <c r="AB51" i="6" s="1"/>
  <c r="AA51" i="6" s="1"/>
  <c r="Z51" i="6" s="1"/>
  <c r="Y51" i="6" s="1"/>
  <c r="X51" i="6" s="1"/>
  <c r="W51" i="6" s="1"/>
  <c r="V51" i="6" s="1"/>
  <c r="U51" i="6" s="1"/>
  <c r="T51" i="6" s="1"/>
  <c r="S51" i="6" s="1"/>
  <c r="R51" i="6" s="1"/>
  <c r="Q51" i="6" s="1"/>
  <c r="P51" i="6" s="1"/>
  <c r="O51" i="6" s="1"/>
  <c r="N51" i="6" s="1"/>
  <c r="M51" i="6" s="1"/>
  <c r="L51" i="6" s="1"/>
  <c r="K51" i="6" s="1"/>
  <c r="AN52" i="6"/>
  <c r="AM52" i="6" s="1"/>
  <c r="AL52" i="6" s="1"/>
  <c r="AK52" i="6" s="1"/>
  <c r="AJ52" i="6" s="1"/>
  <c r="AI52" i="6" s="1"/>
  <c r="AH52" i="6" s="1"/>
  <c r="AG52" i="6" s="1"/>
  <c r="AF52" i="6" s="1"/>
  <c r="AE52" i="6" s="1"/>
  <c r="AD52" i="6" s="1"/>
  <c r="AC52" i="6" s="1"/>
  <c r="AB52" i="6" s="1"/>
  <c r="AA52" i="6" s="1"/>
  <c r="Z52" i="6" s="1"/>
  <c r="Y52" i="6" s="1"/>
  <c r="X52" i="6" s="1"/>
  <c r="W52" i="6" s="1"/>
  <c r="V52" i="6" s="1"/>
  <c r="U52" i="6" s="1"/>
  <c r="T52" i="6" s="1"/>
  <c r="S52" i="6" s="1"/>
  <c r="R52" i="6" s="1"/>
  <c r="Q52" i="6" s="1"/>
  <c r="P52" i="6" s="1"/>
  <c r="O52" i="6" s="1"/>
  <c r="N52" i="6" s="1"/>
  <c r="M52" i="6" s="1"/>
  <c r="L52" i="6" s="1"/>
  <c r="K52" i="6" s="1"/>
  <c r="AN53" i="6"/>
  <c r="AM53" i="6" s="1"/>
  <c r="AL53" i="6" s="1"/>
  <c r="AK53" i="6" s="1"/>
  <c r="AJ53" i="6" s="1"/>
  <c r="AI53" i="6" s="1"/>
  <c r="AH53" i="6" s="1"/>
  <c r="AG53" i="6" s="1"/>
  <c r="AF53" i="6" s="1"/>
  <c r="AE53" i="6" s="1"/>
  <c r="AD53" i="6" s="1"/>
  <c r="AC53" i="6" s="1"/>
  <c r="AB53" i="6" s="1"/>
  <c r="AA53" i="6" s="1"/>
  <c r="Z53" i="6" s="1"/>
  <c r="Y53" i="6" s="1"/>
  <c r="X53" i="6" s="1"/>
  <c r="W53" i="6" s="1"/>
  <c r="V53" i="6" s="1"/>
  <c r="U53" i="6" s="1"/>
  <c r="T53" i="6" s="1"/>
  <c r="S53" i="6" s="1"/>
  <c r="R53" i="6" s="1"/>
  <c r="Q53" i="6" s="1"/>
  <c r="P53" i="6" s="1"/>
  <c r="O53" i="6" s="1"/>
  <c r="N53" i="6" s="1"/>
  <c r="M53" i="6" s="1"/>
  <c r="L53" i="6" s="1"/>
  <c r="K53" i="6" s="1"/>
  <c r="AN50" i="6"/>
  <c r="AM50" i="6" s="1"/>
  <c r="AL50" i="6" s="1"/>
  <c r="AK50" i="6" s="1"/>
  <c r="AJ50" i="6" s="1"/>
  <c r="AI50" i="6" s="1"/>
  <c r="AH50" i="6" s="1"/>
  <c r="AG50" i="6" s="1"/>
  <c r="AF50" i="6" s="1"/>
  <c r="AE50" i="6" s="1"/>
  <c r="AD50" i="6" s="1"/>
  <c r="AC50" i="6" s="1"/>
  <c r="AB50" i="6" s="1"/>
  <c r="AA50" i="6" s="1"/>
  <c r="Z50" i="6" s="1"/>
  <c r="Y50" i="6" s="1"/>
  <c r="X50" i="6" s="1"/>
  <c r="W50" i="6" s="1"/>
  <c r="V50" i="6" s="1"/>
  <c r="U50" i="6" s="1"/>
  <c r="T50" i="6" s="1"/>
  <c r="S50" i="6" s="1"/>
  <c r="R50" i="6" s="1"/>
  <c r="Q50" i="6" s="1"/>
  <c r="P50" i="6" s="1"/>
  <c r="O50" i="6" s="1"/>
  <c r="N50" i="6" s="1"/>
  <c r="M50" i="6" s="1"/>
  <c r="L50" i="6" s="1"/>
  <c r="K50" i="6" s="1"/>
  <c r="AP51" i="6"/>
  <c r="AQ51" i="6" s="1"/>
  <c r="AR51" i="6" s="1"/>
  <c r="AS51" i="6" s="1"/>
  <c r="AT51" i="6" s="1"/>
  <c r="AU51" i="6" s="1"/>
  <c r="AV51" i="6" s="1"/>
  <c r="AW51" i="6" s="1"/>
  <c r="AX51" i="6" s="1"/>
  <c r="AY51" i="6" s="1"/>
  <c r="AZ51" i="6" s="1"/>
  <c r="BA51" i="6" s="1"/>
  <c r="BB51" i="6" s="1"/>
  <c r="AP52" i="6"/>
  <c r="AQ52" i="6" s="1"/>
  <c r="AR52" i="6" s="1"/>
  <c r="AS52" i="6" s="1"/>
  <c r="AT52" i="6" s="1"/>
  <c r="AU52" i="6" s="1"/>
  <c r="AV52" i="6" s="1"/>
  <c r="AW52" i="6" s="1"/>
  <c r="AX52" i="6" s="1"/>
  <c r="AY52" i="6" s="1"/>
  <c r="AZ52" i="6" s="1"/>
  <c r="BA52" i="6" s="1"/>
  <c r="BB52" i="6" s="1"/>
  <c r="AP53" i="6"/>
  <c r="AQ53" i="6" s="1"/>
  <c r="AR53" i="6" s="1"/>
  <c r="AS53" i="6" s="1"/>
  <c r="AT53" i="6" s="1"/>
  <c r="AU53" i="6" s="1"/>
  <c r="AV53" i="6" s="1"/>
  <c r="AW53" i="6" s="1"/>
  <c r="AX53" i="6" s="1"/>
  <c r="AY53" i="6" s="1"/>
  <c r="AZ53" i="6" s="1"/>
  <c r="BA53" i="6" s="1"/>
  <c r="BB53" i="6" s="1"/>
  <c r="CB8" i="16"/>
  <c r="BE8" i="16" s="1"/>
  <c r="BF8" i="16" s="1"/>
  <c r="CB9" i="16"/>
  <c r="BE9" i="16" s="1"/>
  <c r="BF9" i="16" s="1"/>
  <c r="CB10" i="16"/>
  <c r="BE10" i="16" s="1"/>
  <c r="BF10" i="16" s="1"/>
  <c r="BG10" i="16" s="1"/>
  <c r="CB11" i="16"/>
  <c r="BE11" i="16" s="1"/>
  <c r="BE51" i="16" s="1"/>
  <c r="CB12" i="16"/>
  <c r="BE12" i="16" s="1"/>
  <c r="BE52" i="16" s="1"/>
  <c r="CB13" i="16"/>
  <c r="BE13" i="16" s="1"/>
  <c r="CB15" i="16"/>
  <c r="BE15" i="16" s="1"/>
  <c r="BE55" i="16" s="1"/>
  <c r="CB16" i="16"/>
  <c r="BE16" i="16" s="1"/>
  <c r="CB17" i="16"/>
  <c r="BE17" i="16" s="1"/>
  <c r="CB18" i="16"/>
  <c r="BE18" i="16" s="1"/>
  <c r="CB19" i="16"/>
  <c r="BE19" i="16" s="1"/>
  <c r="CB20" i="16"/>
  <c r="BE20" i="16" s="1"/>
  <c r="BE60" i="16" s="1"/>
  <c r="CB22" i="16"/>
  <c r="BE22" i="16" s="1"/>
  <c r="BF22" i="16" s="1"/>
  <c r="BG22" i="16" s="1"/>
  <c r="BH22" i="16" s="1"/>
  <c r="CB24" i="16"/>
  <c r="BE24" i="16" s="1"/>
  <c r="CB25" i="16"/>
  <c r="BE25" i="16" s="1"/>
  <c r="BF25" i="16" s="1"/>
  <c r="BF65" i="16" s="1"/>
  <c r="CB26" i="16"/>
  <c r="BE26" i="16" s="1"/>
  <c r="BF26" i="16" s="1"/>
  <c r="CB27" i="16"/>
  <c r="BE27" i="16" s="1"/>
  <c r="CB28" i="16"/>
  <c r="BE28" i="16" s="1"/>
  <c r="CB29" i="16"/>
  <c r="BE29" i="16" s="1"/>
  <c r="CB30" i="16"/>
  <c r="BE30" i="16" s="1"/>
  <c r="BF30" i="16" s="1"/>
  <c r="CB31" i="16"/>
  <c r="BE31" i="16" s="1"/>
  <c r="BE71" i="16" s="1"/>
  <c r="CB32" i="16"/>
  <c r="BE32" i="16" s="1"/>
  <c r="CB33" i="16"/>
  <c r="BE33" i="16" s="1"/>
  <c r="BF33" i="16" s="1"/>
  <c r="CB34" i="16"/>
  <c r="BE34" i="16" s="1"/>
  <c r="BE74" i="16" s="1"/>
  <c r="CB35" i="16"/>
  <c r="BE35" i="16" s="1"/>
  <c r="CB36" i="16"/>
  <c r="BE36" i="16" s="1"/>
  <c r="CB39" i="16"/>
  <c r="CB40" i="16"/>
  <c r="CB7" i="16"/>
  <c r="BE7" i="16" s="1"/>
  <c r="BD38" i="16"/>
  <c r="CB38" i="16" s="1"/>
  <c r="AP8" i="6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AH67" i="7"/>
  <c r="AS14" i="15"/>
  <c r="AR14" i="15" s="1"/>
  <c r="AQ14" i="15" s="1"/>
  <c r="AP14" i="15" s="1"/>
  <c r="AO14" i="15" s="1"/>
  <c r="AN14" i="15" s="1"/>
  <c r="AM14" i="15" s="1"/>
  <c r="AL14" i="15" s="1"/>
  <c r="AK14" i="15" s="1"/>
  <c r="AJ14" i="15" s="1"/>
  <c r="AI14" i="15" s="1"/>
  <c r="AH14" i="15" s="1"/>
  <c r="AG14" i="15" s="1"/>
  <c r="AF14" i="15" s="1"/>
  <c r="AE14" i="15" s="1"/>
  <c r="AD14" i="15" s="1"/>
  <c r="AC14" i="15" s="1"/>
  <c r="AB14" i="15" s="1"/>
  <c r="AA14" i="15" s="1"/>
  <c r="Z14" i="15" s="1"/>
  <c r="Y14" i="15" s="1"/>
  <c r="X14" i="15" s="1"/>
  <c r="W14" i="15" s="1"/>
  <c r="V14" i="15" s="1"/>
  <c r="U14" i="15" s="1"/>
  <c r="T14" i="15" s="1"/>
  <c r="S14" i="15" s="1"/>
  <c r="R14" i="15" s="1"/>
  <c r="Q14" i="15" s="1"/>
  <c r="P14" i="15" s="1"/>
  <c r="O14" i="15" s="1"/>
  <c r="N14" i="15" s="1"/>
  <c r="M14" i="15" s="1"/>
  <c r="L14" i="15" s="1"/>
  <c r="K14" i="15" s="1"/>
  <c r="J14" i="15" s="1"/>
  <c r="AU14" i="15"/>
  <c r="AV14" i="15" s="1"/>
  <c r="AW14" i="15" s="1"/>
  <c r="AX14" i="15" s="1"/>
  <c r="AY14" i="15" s="1"/>
  <c r="AZ14" i="15" s="1"/>
  <c r="BA14" i="15" s="1"/>
  <c r="BB14" i="15" s="1"/>
  <c r="BC14" i="15" s="1"/>
  <c r="BD14" i="15" s="1"/>
  <c r="BE14" i="15" s="1"/>
  <c r="BF14" i="15" s="1"/>
  <c r="BG14" i="15" s="1"/>
  <c r="BH14" i="15" s="1"/>
  <c r="BI14" i="15" s="1"/>
  <c r="BJ14" i="15" s="1"/>
  <c r="BK14" i="15" s="1"/>
  <c r="BL14" i="15" s="1"/>
  <c r="BM14" i="15" s="1"/>
  <c r="BN14" i="15" s="1"/>
  <c r="BO14" i="15" s="1"/>
  <c r="BP14" i="15" s="1"/>
  <c r="BQ14" i="15" s="1"/>
  <c r="BR14" i="15" s="1"/>
  <c r="BS14" i="15" s="1"/>
  <c r="BT14" i="15" s="1"/>
  <c r="BU14" i="15" s="1"/>
  <c r="BV14" i="15" s="1"/>
  <c r="BW14" i="15" s="1"/>
  <c r="BX14" i="15" s="1"/>
  <c r="BY14" i="15" s="1"/>
  <c r="BZ14" i="15" s="1"/>
  <c r="CA14" i="15" s="1"/>
  <c r="CB14" i="15" s="1"/>
  <c r="CC14" i="15" s="1"/>
  <c r="CD14" i="15" s="1"/>
  <c r="CE14" i="15" s="1"/>
  <c r="CF14" i="15" s="1"/>
  <c r="CG14" i="15" s="1"/>
  <c r="CH14" i="15" s="1"/>
  <c r="CI14" i="15" s="1"/>
  <c r="CJ14" i="15" s="1"/>
  <c r="CK14" i="15" s="1"/>
  <c r="CL14" i="15" s="1"/>
  <c r="CM14" i="15" s="1"/>
  <c r="CN14" i="15" s="1"/>
  <c r="CO14" i="15" s="1"/>
  <c r="CP14" i="15" s="1"/>
  <c r="CQ14" i="15" s="1"/>
  <c r="CR14" i="15" s="1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AP42" i="14"/>
  <c r="AO48" i="14"/>
  <c r="AQ48" i="14"/>
  <c r="AQ42" i="14" s="1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R35" i="14"/>
  <c r="AS35" i="14"/>
  <c r="AT35" i="14"/>
  <c r="AU35" i="14"/>
  <c r="AV35" i="14"/>
  <c r="AW35" i="14"/>
  <c r="AX35" i="14"/>
  <c r="AY35" i="14"/>
  <c r="AZ35" i="14"/>
  <c r="AQ35" i="14"/>
  <c r="AP35" i="14"/>
  <c r="K123" i="14"/>
  <c r="AP123" i="14"/>
  <c r="AQ122" i="14"/>
  <c r="AQ123" i="14" s="1"/>
  <c r="AO122" i="14"/>
  <c r="AN122" i="14" s="1"/>
  <c r="AO127" i="14"/>
  <c r="AN127" i="14" s="1"/>
  <c r="AM127" i="14" s="1"/>
  <c r="AL127" i="14" s="1"/>
  <c r="AK127" i="14" s="1"/>
  <c r="AJ127" i="14" s="1"/>
  <c r="AI127" i="14" s="1"/>
  <c r="AH127" i="14" s="1"/>
  <c r="AG127" i="14" s="1"/>
  <c r="AF127" i="14" s="1"/>
  <c r="AE127" i="14" s="1"/>
  <c r="AD127" i="14" s="1"/>
  <c r="AC127" i="14" s="1"/>
  <c r="AB127" i="14" s="1"/>
  <c r="AA127" i="14" s="1"/>
  <c r="Z127" i="14" s="1"/>
  <c r="Y127" i="14" s="1"/>
  <c r="X127" i="14" s="1"/>
  <c r="W127" i="14" s="1"/>
  <c r="V127" i="14" s="1"/>
  <c r="U127" i="14" s="1"/>
  <c r="T127" i="14" s="1"/>
  <c r="S127" i="14" s="1"/>
  <c r="R127" i="14" s="1"/>
  <c r="Q127" i="14" s="1"/>
  <c r="P127" i="14" s="1"/>
  <c r="O127" i="14" s="1"/>
  <c r="N127" i="14" s="1"/>
  <c r="M127" i="14" s="1"/>
  <c r="L127" i="14" s="1"/>
  <c r="AQ13" i="14"/>
  <c r="AR13" i="14" s="1"/>
  <c r="AS13" i="14" s="1"/>
  <c r="AT13" i="14" s="1"/>
  <c r="AU13" i="14" s="1"/>
  <c r="AV13" i="14" s="1"/>
  <c r="AW13" i="14" s="1"/>
  <c r="AX13" i="14" s="1"/>
  <c r="AY13" i="14" s="1"/>
  <c r="AZ13" i="14" s="1"/>
  <c r="BA13" i="14" s="1"/>
  <c r="BB13" i="14" s="1"/>
  <c r="BC13" i="14" s="1"/>
  <c r="BD13" i="14" s="1"/>
  <c r="BE13" i="14" s="1"/>
  <c r="BF13" i="14" s="1"/>
  <c r="BG13" i="14" s="1"/>
  <c r="BH13" i="14" s="1"/>
  <c r="BI13" i="14" s="1"/>
  <c r="BJ13" i="14" s="1"/>
  <c r="BK13" i="14" s="1"/>
  <c r="AQ12" i="14"/>
  <c r="AR12" i="14" s="1"/>
  <c r="AS12" i="14" s="1"/>
  <c r="AT12" i="14" s="1"/>
  <c r="AU12" i="14" s="1"/>
  <c r="AV12" i="14" s="1"/>
  <c r="AW12" i="14" s="1"/>
  <c r="AX12" i="14" s="1"/>
  <c r="AY12" i="14" s="1"/>
  <c r="AZ12" i="14" s="1"/>
  <c r="BA12" i="14" s="1"/>
  <c r="BB12" i="14" s="1"/>
  <c r="BC12" i="14" s="1"/>
  <c r="BD12" i="14" s="1"/>
  <c r="BE12" i="14" s="1"/>
  <c r="BF12" i="14" s="1"/>
  <c r="BG12" i="14" s="1"/>
  <c r="BH12" i="14" s="1"/>
  <c r="BI12" i="14" s="1"/>
  <c r="BJ12" i="14" s="1"/>
  <c r="BK12" i="14" s="1"/>
  <c r="I95" i="15"/>
  <c r="BL95" i="15"/>
  <c r="BE96" i="15"/>
  <c r="I96" i="15"/>
  <c r="AQ140" i="14"/>
  <c r="AR140" i="14" s="1"/>
  <c r="AS140" i="14" s="1"/>
  <c r="AT140" i="14" s="1"/>
  <c r="AU140" i="14" s="1"/>
  <c r="AV140" i="14" s="1"/>
  <c r="AW140" i="14" s="1"/>
  <c r="AX140" i="14" s="1"/>
  <c r="AY140" i="14" s="1"/>
  <c r="AZ140" i="14" s="1"/>
  <c r="BA140" i="14" s="1"/>
  <c r="BB140" i="14" s="1"/>
  <c r="BC140" i="14" s="1"/>
  <c r="BD140" i="14" s="1"/>
  <c r="BE140" i="14" s="1"/>
  <c r="BF140" i="14" s="1"/>
  <c r="BG140" i="14" s="1"/>
  <c r="BH140" i="14" s="1"/>
  <c r="BI140" i="14" s="1"/>
  <c r="BJ140" i="14" s="1"/>
  <c r="BK140" i="14" s="1"/>
  <c r="AO140" i="14"/>
  <c r="AN140" i="14" s="1"/>
  <c r="AM140" i="14" s="1"/>
  <c r="AL140" i="14" s="1"/>
  <c r="AK140" i="14" s="1"/>
  <c r="AJ140" i="14" s="1"/>
  <c r="AI140" i="14" s="1"/>
  <c r="AH140" i="14" s="1"/>
  <c r="AG140" i="14" s="1"/>
  <c r="AF140" i="14" s="1"/>
  <c r="AE140" i="14" s="1"/>
  <c r="AD140" i="14" s="1"/>
  <c r="AC140" i="14" s="1"/>
  <c r="AB140" i="14" s="1"/>
  <c r="AA140" i="14" s="1"/>
  <c r="Z140" i="14" s="1"/>
  <c r="Y140" i="14" s="1"/>
  <c r="X140" i="14" s="1"/>
  <c r="W140" i="14" s="1"/>
  <c r="V140" i="14" s="1"/>
  <c r="U140" i="14" s="1"/>
  <c r="T140" i="14" s="1"/>
  <c r="S140" i="14" s="1"/>
  <c r="R140" i="14" s="1"/>
  <c r="Q140" i="14" s="1"/>
  <c r="P140" i="14" s="1"/>
  <c r="O140" i="14" s="1"/>
  <c r="N140" i="14" s="1"/>
  <c r="M140" i="14" s="1"/>
  <c r="L140" i="14" s="1"/>
  <c r="L10" i="20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L8" i="20"/>
  <c r="M8" i="20" s="1"/>
  <c r="N8" i="20" s="1"/>
  <c r="O8" i="20" s="1"/>
  <c r="P8" i="20" s="1"/>
  <c r="Q8" i="20" s="1"/>
  <c r="R8" i="20" s="1"/>
  <c r="S8" i="20" s="1"/>
  <c r="T8" i="20" s="1"/>
  <c r="U8" i="20" s="1"/>
  <c r="V8" i="20" s="1"/>
  <c r="W8" i="20" s="1"/>
  <c r="X8" i="20" s="1"/>
  <c r="Y8" i="20" s="1"/>
  <c r="Z8" i="20" s="1"/>
  <c r="AA8" i="20" s="1"/>
  <c r="L7" i="20"/>
  <c r="M7" i="20" s="1"/>
  <c r="N7" i="20" s="1"/>
  <c r="O7" i="20" s="1"/>
  <c r="P7" i="20" s="1"/>
  <c r="Q7" i="20" s="1"/>
  <c r="R7" i="20" s="1"/>
  <c r="S7" i="20" s="1"/>
  <c r="T7" i="20" s="1"/>
  <c r="U7" i="20" s="1"/>
  <c r="V7" i="20" s="1"/>
  <c r="W7" i="20" s="1"/>
  <c r="X7" i="20" s="1"/>
  <c r="Y7" i="20" s="1"/>
  <c r="Z7" i="20" s="1"/>
  <c r="AA7" i="20" s="1"/>
  <c r="I6" i="20"/>
  <c r="J6" i="20" s="1"/>
  <c r="K6" i="20" s="1"/>
  <c r="L6" i="20" s="1"/>
  <c r="M6" i="20" s="1"/>
  <c r="N6" i="20" s="1"/>
  <c r="O6" i="20" s="1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Q127" i="14"/>
  <c r="AR127" i="14" s="1"/>
  <c r="AS127" i="14" s="1"/>
  <c r="AT127" i="14" s="1"/>
  <c r="AU127" i="14" s="1"/>
  <c r="AV127" i="14" s="1"/>
  <c r="AW127" i="14" s="1"/>
  <c r="AX127" i="14" s="1"/>
  <c r="AY127" i="14" s="1"/>
  <c r="AZ127" i="14" s="1"/>
  <c r="BA127" i="14" s="1"/>
  <c r="BB127" i="14" s="1"/>
  <c r="BC127" i="14" s="1"/>
  <c r="BD127" i="14" s="1"/>
  <c r="BE127" i="14" s="1"/>
  <c r="BF127" i="14" s="1"/>
  <c r="BG127" i="14" s="1"/>
  <c r="BH127" i="14" s="1"/>
  <c r="BI127" i="14" s="1"/>
  <c r="BJ127" i="14" s="1"/>
  <c r="BK127" i="14" s="1"/>
  <c r="AO134" i="14"/>
  <c r="AN134" i="14" s="1"/>
  <c r="AM134" i="14" s="1"/>
  <c r="AL134" i="14" s="1"/>
  <c r="AK134" i="14" s="1"/>
  <c r="AJ134" i="14" s="1"/>
  <c r="AI134" i="14" s="1"/>
  <c r="AH134" i="14" s="1"/>
  <c r="AG134" i="14" s="1"/>
  <c r="AF134" i="14" s="1"/>
  <c r="AE134" i="14" s="1"/>
  <c r="AD134" i="14" s="1"/>
  <c r="AC134" i="14" s="1"/>
  <c r="AB134" i="14" s="1"/>
  <c r="AA134" i="14" s="1"/>
  <c r="Z134" i="14" s="1"/>
  <c r="Y134" i="14" s="1"/>
  <c r="X134" i="14" s="1"/>
  <c r="W134" i="14" s="1"/>
  <c r="V134" i="14" s="1"/>
  <c r="U134" i="14" s="1"/>
  <c r="T134" i="14" s="1"/>
  <c r="S134" i="14" s="1"/>
  <c r="R134" i="14" s="1"/>
  <c r="Q134" i="14" s="1"/>
  <c r="P134" i="14" s="1"/>
  <c r="O134" i="14" s="1"/>
  <c r="N134" i="14" s="1"/>
  <c r="M134" i="14" s="1"/>
  <c r="L134" i="14" s="1"/>
  <c r="AO135" i="14"/>
  <c r="AN135" i="14" s="1"/>
  <c r="AM135" i="14" s="1"/>
  <c r="AL135" i="14" s="1"/>
  <c r="AK135" i="14" s="1"/>
  <c r="AJ135" i="14" s="1"/>
  <c r="AI135" i="14" s="1"/>
  <c r="AH135" i="14" s="1"/>
  <c r="AG135" i="14" s="1"/>
  <c r="AF135" i="14" s="1"/>
  <c r="AE135" i="14" s="1"/>
  <c r="AD135" i="14" s="1"/>
  <c r="AC135" i="14" s="1"/>
  <c r="AB135" i="14" s="1"/>
  <c r="AA135" i="14" s="1"/>
  <c r="Z135" i="14" s="1"/>
  <c r="Y135" i="14" s="1"/>
  <c r="X135" i="14" s="1"/>
  <c r="W135" i="14" s="1"/>
  <c r="V135" i="14" s="1"/>
  <c r="U135" i="14" s="1"/>
  <c r="T135" i="14" s="1"/>
  <c r="S135" i="14" s="1"/>
  <c r="R135" i="14" s="1"/>
  <c r="Q135" i="14" s="1"/>
  <c r="P135" i="14" s="1"/>
  <c r="O135" i="14" s="1"/>
  <c r="N135" i="14" s="1"/>
  <c r="M135" i="14" s="1"/>
  <c r="L135" i="14" s="1"/>
  <c r="AO136" i="14"/>
  <c r="AN136" i="14" s="1"/>
  <c r="AM136" i="14" s="1"/>
  <c r="AL136" i="14" s="1"/>
  <c r="AK136" i="14" s="1"/>
  <c r="AJ136" i="14" s="1"/>
  <c r="AI136" i="14" s="1"/>
  <c r="AH136" i="14" s="1"/>
  <c r="AG136" i="14" s="1"/>
  <c r="AF136" i="14" s="1"/>
  <c r="AE136" i="14" s="1"/>
  <c r="AD136" i="14" s="1"/>
  <c r="AC136" i="14" s="1"/>
  <c r="AB136" i="14" s="1"/>
  <c r="AA136" i="14" s="1"/>
  <c r="Z136" i="14" s="1"/>
  <c r="Y136" i="14" s="1"/>
  <c r="X136" i="14" s="1"/>
  <c r="W136" i="14" s="1"/>
  <c r="V136" i="14" s="1"/>
  <c r="U136" i="14" s="1"/>
  <c r="T136" i="14" s="1"/>
  <c r="S136" i="14" s="1"/>
  <c r="R136" i="14" s="1"/>
  <c r="Q136" i="14" s="1"/>
  <c r="P136" i="14" s="1"/>
  <c r="O136" i="14" s="1"/>
  <c r="N136" i="14" s="1"/>
  <c r="M136" i="14" s="1"/>
  <c r="L136" i="14" s="1"/>
  <c r="AO137" i="14"/>
  <c r="AN137" i="14" s="1"/>
  <c r="AM137" i="14" s="1"/>
  <c r="AL137" i="14" s="1"/>
  <c r="AK137" i="14" s="1"/>
  <c r="AJ137" i="14" s="1"/>
  <c r="AI137" i="14" s="1"/>
  <c r="AH137" i="14" s="1"/>
  <c r="AG137" i="14" s="1"/>
  <c r="AF137" i="14" s="1"/>
  <c r="AE137" i="14" s="1"/>
  <c r="AD137" i="14" s="1"/>
  <c r="AC137" i="14" s="1"/>
  <c r="AB137" i="14" s="1"/>
  <c r="AA137" i="14" s="1"/>
  <c r="Z137" i="14" s="1"/>
  <c r="Y137" i="14" s="1"/>
  <c r="X137" i="14" s="1"/>
  <c r="W137" i="14" s="1"/>
  <c r="V137" i="14" s="1"/>
  <c r="U137" i="14" s="1"/>
  <c r="T137" i="14" s="1"/>
  <c r="S137" i="14" s="1"/>
  <c r="R137" i="14" s="1"/>
  <c r="Q137" i="14" s="1"/>
  <c r="P137" i="14" s="1"/>
  <c r="O137" i="14" s="1"/>
  <c r="N137" i="14" s="1"/>
  <c r="M137" i="14" s="1"/>
  <c r="L137" i="14" s="1"/>
  <c r="AO138" i="14"/>
  <c r="AN138" i="14" s="1"/>
  <c r="AM138" i="14" s="1"/>
  <c r="AL138" i="14" s="1"/>
  <c r="AK138" i="14" s="1"/>
  <c r="AJ138" i="14" s="1"/>
  <c r="AI138" i="14" s="1"/>
  <c r="AH138" i="14" s="1"/>
  <c r="AG138" i="14" s="1"/>
  <c r="AF138" i="14" s="1"/>
  <c r="AE138" i="14" s="1"/>
  <c r="AD138" i="14" s="1"/>
  <c r="AC138" i="14" s="1"/>
  <c r="AB138" i="14" s="1"/>
  <c r="AA138" i="14" s="1"/>
  <c r="Z138" i="14" s="1"/>
  <c r="Y138" i="14" s="1"/>
  <c r="X138" i="14" s="1"/>
  <c r="W138" i="14" s="1"/>
  <c r="V138" i="14" s="1"/>
  <c r="U138" i="14" s="1"/>
  <c r="T138" i="14" s="1"/>
  <c r="S138" i="14" s="1"/>
  <c r="R138" i="14" s="1"/>
  <c r="Q138" i="14" s="1"/>
  <c r="P138" i="14" s="1"/>
  <c r="O138" i="14" s="1"/>
  <c r="N138" i="14" s="1"/>
  <c r="M138" i="14" s="1"/>
  <c r="L138" i="14" s="1"/>
  <c r="AO139" i="14"/>
  <c r="AN139" i="14" s="1"/>
  <c r="AM139" i="14" s="1"/>
  <c r="AL139" i="14" s="1"/>
  <c r="AK139" i="14" s="1"/>
  <c r="AJ139" i="14" s="1"/>
  <c r="AI139" i="14" s="1"/>
  <c r="AH139" i="14" s="1"/>
  <c r="AG139" i="14" s="1"/>
  <c r="AF139" i="14" s="1"/>
  <c r="AE139" i="14" s="1"/>
  <c r="AD139" i="14" s="1"/>
  <c r="AC139" i="14" s="1"/>
  <c r="AB139" i="14" s="1"/>
  <c r="AA139" i="14" s="1"/>
  <c r="Z139" i="14" s="1"/>
  <c r="Y139" i="14" s="1"/>
  <c r="X139" i="14" s="1"/>
  <c r="W139" i="14" s="1"/>
  <c r="V139" i="14" s="1"/>
  <c r="U139" i="14" s="1"/>
  <c r="T139" i="14" s="1"/>
  <c r="S139" i="14" s="1"/>
  <c r="R139" i="14" s="1"/>
  <c r="Q139" i="14" s="1"/>
  <c r="P139" i="14" s="1"/>
  <c r="O139" i="14" s="1"/>
  <c r="N139" i="14" s="1"/>
  <c r="M139" i="14" s="1"/>
  <c r="L139" i="14" s="1"/>
  <c r="AQ134" i="14"/>
  <c r="AR134" i="14" s="1"/>
  <c r="AS134" i="14" s="1"/>
  <c r="AT134" i="14" s="1"/>
  <c r="AU134" i="14" s="1"/>
  <c r="AV134" i="14" s="1"/>
  <c r="AW134" i="14" s="1"/>
  <c r="AX134" i="14" s="1"/>
  <c r="AY134" i="14" s="1"/>
  <c r="AZ134" i="14" s="1"/>
  <c r="BA134" i="14" s="1"/>
  <c r="BB134" i="14" s="1"/>
  <c r="BC134" i="14" s="1"/>
  <c r="BD134" i="14" s="1"/>
  <c r="BE134" i="14" s="1"/>
  <c r="BF134" i="14" s="1"/>
  <c r="BG134" i="14" s="1"/>
  <c r="BH134" i="14" s="1"/>
  <c r="BI134" i="14" s="1"/>
  <c r="BJ134" i="14" s="1"/>
  <c r="BK134" i="14" s="1"/>
  <c r="AQ135" i="14"/>
  <c r="AR135" i="14" s="1"/>
  <c r="AS135" i="14" s="1"/>
  <c r="AT135" i="14" s="1"/>
  <c r="AU135" i="14" s="1"/>
  <c r="AV135" i="14" s="1"/>
  <c r="AW135" i="14" s="1"/>
  <c r="AX135" i="14" s="1"/>
  <c r="AY135" i="14" s="1"/>
  <c r="AZ135" i="14" s="1"/>
  <c r="BA135" i="14" s="1"/>
  <c r="BB135" i="14" s="1"/>
  <c r="BC135" i="14" s="1"/>
  <c r="BD135" i="14" s="1"/>
  <c r="BE135" i="14" s="1"/>
  <c r="BF135" i="14" s="1"/>
  <c r="BG135" i="14" s="1"/>
  <c r="BH135" i="14" s="1"/>
  <c r="BI135" i="14" s="1"/>
  <c r="BJ135" i="14" s="1"/>
  <c r="BK135" i="14" s="1"/>
  <c r="AQ136" i="14"/>
  <c r="AR136" i="14" s="1"/>
  <c r="AS136" i="14" s="1"/>
  <c r="AT136" i="14" s="1"/>
  <c r="AU136" i="14" s="1"/>
  <c r="AV136" i="14" s="1"/>
  <c r="AW136" i="14" s="1"/>
  <c r="AX136" i="14" s="1"/>
  <c r="AY136" i="14" s="1"/>
  <c r="AZ136" i="14" s="1"/>
  <c r="BA136" i="14" s="1"/>
  <c r="BB136" i="14" s="1"/>
  <c r="BC136" i="14" s="1"/>
  <c r="BD136" i="14" s="1"/>
  <c r="BE136" i="14" s="1"/>
  <c r="BF136" i="14" s="1"/>
  <c r="BG136" i="14" s="1"/>
  <c r="BH136" i="14" s="1"/>
  <c r="BI136" i="14" s="1"/>
  <c r="BJ136" i="14" s="1"/>
  <c r="BK136" i="14" s="1"/>
  <c r="AQ137" i="14"/>
  <c r="AR137" i="14" s="1"/>
  <c r="AS137" i="14" s="1"/>
  <c r="AT137" i="14" s="1"/>
  <c r="AU137" i="14" s="1"/>
  <c r="AV137" i="14" s="1"/>
  <c r="AW137" i="14" s="1"/>
  <c r="AX137" i="14" s="1"/>
  <c r="AY137" i="14" s="1"/>
  <c r="AZ137" i="14" s="1"/>
  <c r="BA137" i="14" s="1"/>
  <c r="BB137" i="14" s="1"/>
  <c r="BC137" i="14" s="1"/>
  <c r="BD137" i="14" s="1"/>
  <c r="BE137" i="14" s="1"/>
  <c r="BF137" i="14" s="1"/>
  <c r="BG137" i="14" s="1"/>
  <c r="BH137" i="14" s="1"/>
  <c r="BI137" i="14" s="1"/>
  <c r="BJ137" i="14" s="1"/>
  <c r="BK137" i="14" s="1"/>
  <c r="AQ138" i="14"/>
  <c r="AR138" i="14" s="1"/>
  <c r="AS138" i="14" s="1"/>
  <c r="AT138" i="14" s="1"/>
  <c r="AU138" i="14" s="1"/>
  <c r="AV138" i="14" s="1"/>
  <c r="AW138" i="14" s="1"/>
  <c r="AX138" i="14" s="1"/>
  <c r="AY138" i="14" s="1"/>
  <c r="AZ138" i="14" s="1"/>
  <c r="BA138" i="14" s="1"/>
  <c r="BB138" i="14" s="1"/>
  <c r="BC138" i="14" s="1"/>
  <c r="BD138" i="14" s="1"/>
  <c r="BE138" i="14" s="1"/>
  <c r="BF138" i="14" s="1"/>
  <c r="BG138" i="14" s="1"/>
  <c r="BH138" i="14" s="1"/>
  <c r="BI138" i="14" s="1"/>
  <c r="BJ138" i="14" s="1"/>
  <c r="BK138" i="14" s="1"/>
  <c r="AQ139" i="14"/>
  <c r="AR139" i="14" s="1"/>
  <c r="AS139" i="14" s="1"/>
  <c r="AT139" i="14" s="1"/>
  <c r="AU139" i="14" s="1"/>
  <c r="AV139" i="14" s="1"/>
  <c r="AW139" i="14" s="1"/>
  <c r="AX139" i="14" s="1"/>
  <c r="AY139" i="14" s="1"/>
  <c r="AZ139" i="14" s="1"/>
  <c r="BA139" i="14" s="1"/>
  <c r="BB139" i="14" s="1"/>
  <c r="BC139" i="14" s="1"/>
  <c r="BD139" i="14" s="1"/>
  <c r="BE139" i="14" s="1"/>
  <c r="BF139" i="14" s="1"/>
  <c r="BG139" i="14" s="1"/>
  <c r="BH139" i="14" s="1"/>
  <c r="BI139" i="14" s="1"/>
  <c r="BJ139" i="14" s="1"/>
  <c r="BK139" i="14" s="1"/>
  <c r="AQ133" i="14"/>
  <c r="AR133" i="14" s="1"/>
  <c r="AS133" i="14" s="1"/>
  <c r="AT133" i="14" s="1"/>
  <c r="AU133" i="14" s="1"/>
  <c r="AV133" i="14" s="1"/>
  <c r="AW133" i="14" s="1"/>
  <c r="AX133" i="14" s="1"/>
  <c r="AY133" i="14" s="1"/>
  <c r="AZ133" i="14" s="1"/>
  <c r="BA133" i="14" s="1"/>
  <c r="BB133" i="14" s="1"/>
  <c r="BC133" i="14" s="1"/>
  <c r="BD133" i="14" s="1"/>
  <c r="BE133" i="14" s="1"/>
  <c r="BF133" i="14" s="1"/>
  <c r="BG133" i="14" s="1"/>
  <c r="BH133" i="14" s="1"/>
  <c r="BI133" i="14" s="1"/>
  <c r="BJ133" i="14" s="1"/>
  <c r="BK133" i="14" s="1"/>
  <c r="AJ74" i="7"/>
  <c r="AI73" i="7"/>
  <c r="AI70" i="7"/>
  <c r="AH70" i="7"/>
  <c r="AE48" i="6"/>
  <c r="AF48" i="6" s="1"/>
  <c r="AG48" i="6" s="1"/>
  <c r="AH48" i="6" s="1"/>
  <c r="AI48" i="6" s="1"/>
  <c r="AJ48" i="6" s="1"/>
  <c r="AK48" i="6" s="1"/>
  <c r="AL48" i="6" s="1"/>
  <c r="AM48" i="6" s="1"/>
  <c r="AN48" i="6" s="1"/>
  <c r="AO48" i="6" s="1"/>
  <c r="AP48" i="6" s="1"/>
  <c r="AQ48" i="6" s="1"/>
  <c r="AR48" i="6" s="1"/>
  <c r="AS48" i="6" s="1"/>
  <c r="AT48" i="6" s="1"/>
  <c r="AU48" i="6" s="1"/>
  <c r="AV48" i="6" s="1"/>
  <c r="AW48" i="6" s="1"/>
  <c r="AX48" i="6" s="1"/>
  <c r="AY48" i="6" s="1"/>
  <c r="AZ48" i="6" s="1"/>
  <c r="BA48" i="6" s="1"/>
  <c r="BB48" i="6" s="1"/>
  <c r="AD47" i="6"/>
  <c r="AC47" i="6" s="1"/>
  <c r="AB47" i="6" s="1"/>
  <c r="AA47" i="6" s="1"/>
  <c r="Z47" i="6" s="1"/>
  <c r="Y47" i="6" s="1"/>
  <c r="X47" i="6" s="1"/>
  <c r="W47" i="6" s="1"/>
  <c r="V47" i="6" s="1"/>
  <c r="U47" i="6" s="1"/>
  <c r="T47" i="6" s="1"/>
  <c r="S47" i="6" s="1"/>
  <c r="R47" i="6" s="1"/>
  <c r="Q47" i="6" s="1"/>
  <c r="P47" i="6" s="1"/>
  <c r="O47" i="6" s="1"/>
  <c r="N47" i="6" s="1"/>
  <c r="M47" i="6" s="1"/>
  <c r="L47" i="6" s="1"/>
  <c r="K47" i="6" s="1"/>
  <c r="AF47" i="6"/>
  <c r="AG47" i="6" s="1"/>
  <c r="AH47" i="6" s="1"/>
  <c r="AI47" i="6" s="1"/>
  <c r="AJ47" i="6" s="1"/>
  <c r="AK47" i="6" s="1"/>
  <c r="AL47" i="6" s="1"/>
  <c r="AM47" i="6" s="1"/>
  <c r="AN47" i="6" s="1"/>
  <c r="AO47" i="6" s="1"/>
  <c r="AP47" i="6" s="1"/>
  <c r="AQ47" i="6" s="1"/>
  <c r="AR47" i="6" s="1"/>
  <c r="AS47" i="6" s="1"/>
  <c r="AT47" i="6" s="1"/>
  <c r="AU47" i="6" s="1"/>
  <c r="AV47" i="6" s="1"/>
  <c r="AW47" i="6" s="1"/>
  <c r="AX47" i="6" s="1"/>
  <c r="AY47" i="6" s="1"/>
  <c r="AZ47" i="6" s="1"/>
  <c r="BA47" i="6" s="1"/>
  <c r="BB47" i="6" s="1"/>
  <c r="AD46" i="6"/>
  <c r="AC46" i="6" s="1"/>
  <c r="AB46" i="6" s="1"/>
  <c r="AA46" i="6" s="1"/>
  <c r="Z46" i="6" s="1"/>
  <c r="Y46" i="6" s="1"/>
  <c r="X46" i="6" s="1"/>
  <c r="W46" i="6" s="1"/>
  <c r="V46" i="6" s="1"/>
  <c r="U46" i="6" s="1"/>
  <c r="T46" i="6" s="1"/>
  <c r="S46" i="6" s="1"/>
  <c r="R46" i="6" s="1"/>
  <c r="Q46" i="6" s="1"/>
  <c r="P46" i="6" s="1"/>
  <c r="O46" i="6" s="1"/>
  <c r="N46" i="6" s="1"/>
  <c r="M46" i="6" s="1"/>
  <c r="L46" i="6" s="1"/>
  <c r="K46" i="6" s="1"/>
  <c r="AF46" i="6"/>
  <c r="AG46" i="6" s="1"/>
  <c r="AH46" i="6" s="1"/>
  <c r="AI46" i="6" s="1"/>
  <c r="AJ46" i="6" s="1"/>
  <c r="AK46" i="6" s="1"/>
  <c r="AL46" i="6" s="1"/>
  <c r="AM46" i="6" s="1"/>
  <c r="AN46" i="6" s="1"/>
  <c r="AO46" i="6" s="1"/>
  <c r="AP46" i="6" s="1"/>
  <c r="AQ46" i="6" s="1"/>
  <c r="AR46" i="6" s="1"/>
  <c r="AS46" i="6" s="1"/>
  <c r="AT46" i="6" s="1"/>
  <c r="AU46" i="6" s="1"/>
  <c r="AV46" i="6" s="1"/>
  <c r="AW46" i="6" s="1"/>
  <c r="AX46" i="6" s="1"/>
  <c r="AY46" i="6" s="1"/>
  <c r="AZ46" i="6" s="1"/>
  <c r="BA46" i="6" s="1"/>
  <c r="BB46" i="6" s="1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AQ71" i="14"/>
  <c r="AR71" i="14"/>
  <c r="AS71" i="14"/>
  <c r="AT71" i="14"/>
  <c r="AU71" i="14"/>
  <c r="AV71" i="14"/>
  <c r="AW71" i="14"/>
  <c r="AX71" i="14"/>
  <c r="AY71" i="14"/>
  <c r="AZ71" i="14"/>
  <c r="AP12" i="6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AP13" i="6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AP16" i="6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AP17" i="6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AP18" i="6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AP20" i="6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AP21" i="6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AP22" i="6"/>
  <c r="AQ22" i="6" s="1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AP23" i="6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AP27" i="6"/>
  <c r="AQ27" i="6" s="1"/>
  <c r="AR27" i="6" s="1"/>
  <c r="AS27" i="6" s="1"/>
  <c r="AT27" i="6" s="1"/>
  <c r="AU27" i="6" s="1"/>
  <c r="AV27" i="6" s="1"/>
  <c r="AW27" i="6" s="1"/>
  <c r="AX27" i="6" s="1"/>
  <c r="AY27" i="6" s="1"/>
  <c r="AZ27" i="6" s="1"/>
  <c r="BA27" i="6" s="1"/>
  <c r="BB27" i="6" s="1"/>
  <c r="AP28" i="6"/>
  <c r="AQ28" i="6" s="1"/>
  <c r="AR28" i="6" s="1"/>
  <c r="AS28" i="6" s="1"/>
  <c r="AT28" i="6" s="1"/>
  <c r="AU28" i="6" s="1"/>
  <c r="AV28" i="6" s="1"/>
  <c r="AW28" i="6" s="1"/>
  <c r="AX28" i="6" s="1"/>
  <c r="AY28" i="6" s="1"/>
  <c r="AZ28" i="6" s="1"/>
  <c r="BA28" i="6" s="1"/>
  <c r="BB28" i="6" s="1"/>
  <c r="AP29" i="6"/>
  <c r="AQ29" i="6" s="1"/>
  <c r="AR29" i="6" s="1"/>
  <c r="AS29" i="6" s="1"/>
  <c r="AT29" i="6" s="1"/>
  <c r="AU29" i="6" s="1"/>
  <c r="AV29" i="6" s="1"/>
  <c r="AW29" i="6" s="1"/>
  <c r="AX29" i="6" s="1"/>
  <c r="AY29" i="6" s="1"/>
  <c r="AZ29" i="6" s="1"/>
  <c r="BA29" i="6" s="1"/>
  <c r="BB29" i="6" s="1"/>
  <c r="AP30" i="6"/>
  <c r="AQ30" i="6" s="1"/>
  <c r="AR30" i="6" s="1"/>
  <c r="AS30" i="6" s="1"/>
  <c r="AT30" i="6" s="1"/>
  <c r="AU30" i="6" s="1"/>
  <c r="AV30" i="6" s="1"/>
  <c r="AW30" i="6" s="1"/>
  <c r="AX30" i="6" s="1"/>
  <c r="AY30" i="6" s="1"/>
  <c r="AZ30" i="6" s="1"/>
  <c r="BA30" i="6" s="1"/>
  <c r="BB30" i="6" s="1"/>
  <c r="AP34" i="6"/>
  <c r="AQ34" i="6" s="1"/>
  <c r="AR34" i="6" s="1"/>
  <c r="AS34" i="6" s="1"/>
  <c r="AT34" i="6" s="1"/>
  <c r="AU34" i="6" s="1"/>
  <c r="AV34" i="6" s="1"/>
  <c r="AW34" i="6" s="1"/>
  <c r="AX34" i="6" s="1"/>
  <c r="AY34" i="6" s="1"/>
  <c r="AZ34" i="6" s="1"/>
  <c r="BA34" i="6" s="1"/>
  <c r="BB34" i="6" s="1"/>
  <c r="AP35" i="6"/>
  <c r="AQ35" i="6" s="1"/>
  <c r="AR35" i="6" s="1"/>
  <c r="AS35" i="6" s="1"/>
  <c r="AT35" i="6" s="1"/>
  <c r="AU35" i="6" s="1"/>
  <c r="AV35" i="6" s="1"/>
  <c r="AW35" i="6" s="1"/>
  <c r="AX35" i="6" s="1"/>
  <c r="AY35" i="6" s="1"/>
  <c r="AZ35" i="6" s="1"/>
  <c r="BA35" i="6" s="1"/>
  <c r="BB35" i="6" s="1"/>
  <c r="AP37" i="6"/>
  <c r="AQ37" i="6" s="1"/>
  <c r="AR37" i="6" s="1"/>
  <c r="AS37" i="6" s="1"/>
  <c r="AT37" i="6" s="1"/>
  <c r="AU37" i="6" s="1"/>
  <c r="AV37" i="6" s="1"/>
  <c r="AW37" i="6" s="1"/>
  <c r="AX37" i="6" s="1"/>
  <c r="AY37" i="6" s="1"/>
  <c r="AZ37" i="6" s="1"/>
  <c r="BA37" i="6" s="1"/>
  <c r="BB37" i="6" s="1"/>
  <c r="AP38" i="6"/>
  <c r="AQ38" i="6" s="1"/>
  <c r="AR38" i="6" s="1"/>
  <c r="AS38" i="6" s="1"/>
  <c r="AT38" i="6" s="1"/>
  <c r="AU38" i="6" s="1"/>
  <c r="AV38" i="6" s="1"/>
  <c r="AW38" i="6" s="1"/>
  <c r="AX38" i="6" s="1"/>
  <c r="AY38" i="6" s="1"/>
  <c r="AZ38" i="6" s="1"/>
  <c r="BA38" i="6" s="1"/>
  <c r="BB38" i="6" s="1"/>
  <c r="AP40" i="6"/>
  <c r="AQ40" i="6" s="1"/>
  <c r="AR40" i="6" s="1"/>
  <c r="AS40" i="6" s="1"/>
  <c r="AT40" i="6" s="1"/>
  <c r="AU40" i="6" s="1"/>
  <c r="AV40" i="6" s="1"/>
  <c r="AW40" i="6" s="1"/>
  <c r="AX40" i="6" s="1"/>
  <c r="AY40" i="6" s="1"/>
  <c r="AZ40" i="6" s="1"/>
  <c r="BA40" i="6" s="1"/>
  <c r="BB40" i="6" s="1"/>
  <c r="AP44" i="6"/>
  <c r="AQ44" i="6" s="1"/>
  <c r="AR44" i="6" s="1"/>
  <c r="AS44" i="6" s="1"/>
  <c r="AT44" i="6" s="1"/>
  <c r="AU44" i="6" s="1"/>
  <c r="AV44" i="6" s="1"/>
  <c r="AW44" i="6" s="1"/>
  <c r="AX44" i="6" s="1"/>
  <c r="AY44" i="6" s="1"/>
  <c r="AZ44" i="6" s="1"/>
  <c r="BA44" i="6" s="1"/>
  <c r="BB44" i="6" s="1"/>
  <c r="AP11" i="6"/>
  <c r="AQ11" i="6" s="1"/>
  <c r="AR11" i="6" s="1"/>
  <c r="AS11" i="6" s="1"/>
  <c r="AT11" i="6" s="1"/>
  <c r="AU11" i="6" s="1"/>
  <c r="AV11" i="6" s="1"/>
  <c r="AW11" i="6" s="1"/>
  <c r="AX11" i="6" s="1"/>
  <c r="AY11" i="6" s="1"/>
  <c r="AZ11" i="6" s="1"/>
  <c r="BA11" i="6" s="1"/>
  <c r="BB11" i="6" s="1"/>
  <c r="AO129" i="14"/>
  <c r="AN129" i="14" s="1"/>
  <c r="AM129" i="14" s="1"/>
  <c r="AL129" i="14" s="1"/>
  <c r="AK129" i="14" s="1"/>
  <c r="AJ129" i="14" s="1"/>
  <c r="AI129" i="14" s="1"/>
  <c r="AH129" i="14" s="1"/>
  <c r="AG129" i="14" s="1"/>
  <c r="AF129" i="14" s="1"/>
  <c r="AE129" i="14" s="1"/>
  <c r="AD129" i="14" s="1"/>
  <c r="AC129" i="14" s="1"/>
  <c r="AB129" i="14" s="1"/>
  <c r="AA129" i="14" s="1"/>
  <c r="Z129" i="14" s="1"/>
  <c r="Y129" i="14" s="1"/>
  <c r="X129" i="14" s="1"/>
  <c r="W129" i="14" s="1"/>
  <c r="V129" i="14" s="1"/>
  <c r="U129" i="14" s="1"/>
  <c r="T129" i="14" s="1"/>
  <c r="S129" i="14" s="1"/>
  <c r="R129" i="14" s="1"/>
  <c r="Q129" i="14" s="1"/>
  <c r="P129" i="14" s="1"/>
  <c r="O129" i="14" s="1"/>
  <c r="N129" i="14" s="1"/>
  <c r="M129" i="14" s="1"/>
  <c r="L129" i="14" s="1"/>
  <c r="AO130" i="14"/>
  <c r="AN130" i="14" s="1"/>
  <c r="AM130" i="14" s="1"/>
  <c r="AL130" i="14" s="1"/>
  <c r="AK130" i="14" s="1"/>
  <c r="AJ130" i="14" s="1"/>
  <c r="AI130" i="14" s="1"/>
  <c r="AH130" i="14" s="1"/>
  <c r="AG130" i="14" s="1"/>
  <c r="AF130" i="14" s="1"/>
  <c r="AE130" i="14" s="1"/>
  <c r="AD130" i="14" s="1"/>
  <c r="AC130" i="14" s="1"/>
  <c r="AB130" i="14" s="1"/>
  <c r="AA130" i="14" s="1"/>
  <c r="Z130" i="14" s="1"/>
  <c r="Y130" i="14" s="1"/>
  <c r="X130" i="14" s="1"/>
  <c r="W130" i="14" s="1"/>
  <c r="V130" i="14" s="1"/>
  <c r="U130" i="14" s="1"/>
  <c r="T130" i="14" s="1"/>
  <c r="S130" i="14" s="1"/>
  <c r="R130" i="14" s="1"/>
  <c r="Q130" i="14" s="1"/>
  <c r="P130" i="14" s="1"/>
  <c r="O130" i="14" s="1"/>
  <c r="N130" i="14" s="1"/>
  <c r="M130" i="14" s="1"/>
  <c r="L130" i="14" s="1"/>
  <c r="AO131" i="14"/>
  <c r="AN131" i="14" s="1"/>
  <c r="AM131" i="14" s="1"/>
  <c r="AL131" i="14" s="1"/>
  <c r="AK131" i="14" s="1"/>
  <c r="AJ131" i="14" s="1"/>
  <c r="AI131" i="14" s="1"/>
  <c r="AH131" i="14" s="1"/>
  <c r="AG131" i="14" s="1"/>
  <c r="AF131" i="14" s="1"/>
  <c r="AE131" i="14" s="1"/>
  <c r="AD131" i="14" s="1"/>
  <c r="AC131" i="14" s="1"/>
  <c r="AB131" i="14" s="1"/>
  <c r="AA131" i="14" s="1"/>
  <c r="Z131" i="14" s="1"/>
  <c r="Y131" i="14" s="1"/>
  <c r="X131" i="14" s="1"/>
  <c r="W131" i="14" s="1"/>
  <c r="V131" i="14" s="1"/>
  <c r="U131" i="14" s="1"/>
  <c r="T131" i="14" s="1"/>
  <c r="S131" i="14" s="1"/>
  <c r="R131" i="14" s="1"/>
  <c r="Q131" i="14" s="1"/>
  <c r="P131" i="14" s="1"/>
  <c r="O131" i="14" s="1"/>
  <c r="N131" i="14" s="1"/>
  <c r="M131" i="14" s="1"/>
  <c r="L131" i="14" s="1"/>
  <c r="AO125" i="14"/>
  <c r="AN125" i="14" s="1"/>
  <c r="AM125" i="14" s="1"/>
  <c r="AL125" i="14" s="1"/>
  <c r="AK125" i="14" s="1"/>
  <c r="AJ125" i="14" s="1"/>
  <c r="AI125" i="14" s="1"/>
  <c r="AH125" i="14" s="1"/>
  <c r="AG125" i="14" s="1"/>
  <c r="AF125" i="14" s="1"/>
  <c r="AE125" i="14" s="1"/>
  <c r="AD125" i="14" s="1"/>
  <c r="AC125" i="14" s="1"/>
  <c r="AB125" i="14" s="1"/>
  <c r="AA125" i="14" s="1"/>
  <c r="Z125" i="14" s="1"/>
  <c r="Y125" i="14" s="1"/>
  <c r="X125" i="14" s="1"/>
  <c r="W125" i="14" s="1"/>
  <c r="V125" i="14" s="1"/>
  <c r="U125" i="14" s="1"/>
  <c r="T125" i="14" s="1"/>
  <c r="S125" i="14" s="1"/>
  <c r="R125" i="14" s="1"/>
  <c r="Q125" i="14" s="1"/>
  <c r="P125" i="14" s="1"/>
  <c r="O125" i="14" s="1"/>
  <c r="N125" i="14" s="1"/>
  <c r="M125" i="14" s="1"/>
  <c r="L125" i="14" s="1"/>
  <c r="AO126" i="14"/>
  <c r="AN126" i="14" s="1"/>
  <c r="AM126" i="14" s="1"/>
  <c r="AL126" i="14" s="1"/>
  <c r="AK126" i="14" s="1"/>
  <c r="AJ126" i="14" s="1"/>
  <c r="AI126" i="14" s="1"/>
  <c r="AH126" i="14" s="1"/>
  <c r="AG126" i="14" s="1"/>
  <c r="AF126" i="14" s="1"/>
  <c r="AE126" i="14" s="1"/>
  <c r="AD126" i="14" s="1"/>
  <c r="AC126" i="14" s="1"/>
  <c r="AB126" i="14" s="1"/>
  <c r="AA126" i="14" s="1"/>
  <c r="Z126" i="14" s="1"/>
  <c r="Y126" i="14" s="1"/>
  <c r="X126" i="14" s="1"/>
  <c r="W126" i="14" s="1"/>
  <c r="V126" i="14" s="1"/>
  <c r="U126" i="14" s="1"/>
  <c r="T126" i="14" s="1"/>
  <c r="S126" i="14" s="1"/>
  <c r="R126" i="14" s="1"/>
  <c r="Q126" i="14" s="1"/>
  <c r="P126" i="14" s="1"/>
  <c r="O126" i="14" s="1"/>
  <c r="N126" i="14" s="1"/>
  <c r="M126" i="14" s="1"/>
  <c r="L126" i="14" s="1"/>
  <c r="AO132" i="14"/>
  <c r="AN132" i="14" s="1"/>
  <c r="AM132" i="14" s="1"/>
  <c r="AL132" i="14" s="1"/>
  <c r="AK132" i="14" s="1"/>
  <c r="AJ132" i="14" s="1"/>
  <c r="AI132" i="14" s="1"/>
  <c r="AH132" i="14" s="1"/>
  <c r="AG132" i="14" s="1"/>
  <c r="AF132" i="14" s="1"/>
  <c r="AE132" i="14" s="1"/>
  <c r="AD132" i="14" s="1"/>
  <c r="AC132" i="14" s="1"/>
  <c r="AB132" i="14" s="1"/>
  <c r="AA132" i="14" s="1"/>
  <c r="Z132" i="14" s="1"/>
  <c r="Y132" i="14" s="1"/>
  <c r="X132" i="14" s="1"/>
  <c r="W132" i="14" s="1"/>
  <c r="V132" i="14" s="1"/>
  <c r="U132" i="14" s="1"/>
  <c r="T132" i="14" s="1"/>
  <c r="S132" i="14" s="1"/>
  <c r="R132" i="14" s="1"/>
  <c r="Q132" i="14" s="1"/>
  <c r="P132" i="14" s="1"/>
  <c r="O132" i="14" s="1"/>
  <c r="N132" i="14" s="1"/>
  <c r="M132" i="14" s="1"/>
  <c r="L132" i="14" s="1"/>
  <c r="AO133" i="14"/>
  <c r="AN133" i="14" s="1"/>
  <c r="AM133" i="14" s="1"/>
  <c r="AL133" i="14" s="1"/>
  <c r="AK133" i="14" s="1"/>
  <c r="AJ133" i="14" s="1"/>
  <c r="AI133" i="14" s="1"/>
  <c r="AH133" i="14" s="1"/>
  <c r="AG133" i="14" s="1"/>
  <c r="AF133" i="14" s="1"/>
  <c r="AE133" i="14" s="1"/>
  <c r="AD133" i="14" s="1"/>
  <c r="AC133" i="14" s="1"/>
  <c r="AB133" i="14" s="1"/>
  <c r="AA133" i="14" s="1"/>
  <c r="Z133" i="14" s="1"/>
  <c r="Y133" i="14" s="1"/>
  <c r="X133" i="14" s="1"/>
  <c r="W133" i="14" s="1"/>
  <c r="V133" i="14" s="1"/>
  <c r="U133" i="14" s="1"/>
  <c r="T133" i="14" s="1"/>
  <c r="S133" i="14" s="1"/>
  <c r="R133" i="14" s="1"/>
  <c r="Q133" i="14" s="1"/>
  <c r="P133" i="14" s="1"/>
  <c r="O133" i="14" s="1"/>
  <c r="N133" i="14" s="1"/>
  <c r="M133" i="14" s="1"/>
  <c r="L133" i="14" s="1"/>
  <c r="AO128" i="14"/>
  <c r="AN128" i="14" s="1"/>
  <c r="AM128" i="14" s="1"/>
  <c r="AL128" i="14" s="1"/>
  <c r="AK128" i="14" s="1"/>
  <c r="AJ128" i="14" s="1"/>
  <c r="AI128" i="14" s="1"/>
  <c r="AH128" i="14" s="1"/>
  <c r="AG128" i="14" s="1"/>
  <c r="AF128" i="14" s="1"/>
  <c r="AE128" i="14" s="1"/>
  <c r="AD128" i="14" s="1"/>
  <c r="AC128" i="14" s="1"/>
  <c r="AB128" i="14" s="1"/>
  <c r="AA128" i="14" s="1"/>
  <c r="Z128" i="14" s="1"/>
  <c r="Y128" i="14" s="1"/>
  <c r="X128" i="14" s="1"/>
  <c r="W128" i="14" s="1"/>
  <c r="V128" i="14" s="1"/>
  <c r="U128" i="14" s="1"/>
  <c r="T128" i="14" s="1"/>
  <c r="S128" i="14" s="1"/>
  <c r="R128" i="14" s="1"/>
  <c r="Q128" i="14" s="1"/>
  <c r="P128" i="14" s="1"/>
  <c r="O128" i="14" s="1"/>
  <c r="N128" i="14" s="1"/>
  <c r="M128" i="14" s="1"/>
  <c r="L128" i="14" s="1"/>
  <c r="AQ129" i="14"/>
  <c r="AR129" i="14" s="1"/>
  <c r="AS129" i="14" s="1"/>
  <c r="AT129" i="14" s="1"/>
  <c r="AU129" i="14" s="1"/>
  <c r="AV129" i="14" s="1"/>
  <c r="AW129" i="14" s="1"/>
  <c r="AX129" i="14" s="1"/>
  <c r="AY129" i="14" s="1"/>
  <c r="AZ129" i="14" s="1"/>
  <c r="BA129" i="14" s="1"/>
  <c r="BB129" i="14" s="1"/>
  <c r="BC129" i="14" s="1"/>
  <c r="BD129" i="14" s="1"/>
  <c r="BE129" i="14" s="1"/>
  <c r="BF129" i="14" s="1"/>
  <c r="BG129" i="14" s="1"/>
  <c r="BH129" i="14" s="1"/>
  <c r="BI129" i="14" s="1"/>
  <c r="BJ129" i="14" s="1"/>
  <c r="BK129" i="14" s="1"/>
  <c r="AQ130" i="14"/>
  <c r="AR130" i="14" s="1"/>
  <c r="AS130" i="14" s="1"/>
  <c r="AT130" i="14" s="1"/>
  <c r="AU130" i="14" s="1"/>
  <c r="AV130" i="14" s="1"/>
  <c r="AW130" i="14" s="1"/>
  <c r="AX130" i="14" s="1"/>
  <c r="AY130" i="14" s="1"/>
  <c r="AZ130" i="14" s="1"/>
  <c r="BA130" i="14" s="1"/>
  <c r="BB130" i="14" s="1"/>
  <c r="BC130" i="14" s="1"/>
  <c r="BD130" i="14" s="1"/>
  <c r="BE130" i="14" s="1"/>
  <c r="BF130" i="14" s="1"/>
  <c r="BG130" i="14" s="1"/>
  <c r="BH130" i="14" s="1"/>
  <c r="BI130" i="14" s="1"/>
  <c r="BJ130" i="14" s="1"/>
  <c r="BK130" i="14" s="1"/>
  <c r="AQ131" i="14"/>
  <c r="AR131" i="14" s="1"/>
  <c r="AS131" i="14" s="1"/>
  <c r="AT131" i="14" s="1"/>
  <c r="AU131" i="14" s="1"/>
  <c r="AV131" i="14" s="1"/>
  <c r="AW131" i="14" s="1"/>
  <c r="AX131" i="14" s="1"/>
  <c r="AY131" i="14" s="1"/>
  <c r="AZ131" i="14" s="1"/>
  <c r="BA131" i="14" s="1"/>
  <c r="BB131" i="14" s="1"/>
  <c r="BC131" i="14" s="1"/>
  <c r="BD131" i="14" s="1"/>
  <c r="BE131" i="14" s="1"/>
  <c r="BF131" i="14" s="1"/>
  <c r="BG131" i="14" s="1"/>
  <c r="BH131" i="14" s="1"/>
  <c r="BI131" i="14" s="1"/>
  <c r="BJ131" i="14" s="1"/>
  <c r="BK131" i="14" s="1"/>
  <c r="AQ125" i="14"/>
  <c r="AR125" i="14" s="1"/>
  <c r="AS125" i="14" s="1"/>
  <c r="AT125" i="14" s="1"/>
  <c r="AU125" i="14" s="1"/>
  <c r="AV125" i="14" s="1"/>
  <c r="AW125" i="14" s="1"/>
  <c r="AX125" i="14" s="1"/>
  <c r="AY125" i="14" s="1"/>
  <c r="AZ125" i="14" s="1"/>
  <c r="BA125" i="14" s="1"/>
  <c r="BB125" i="14" s="1"/>
  <c r="BC125" i="14" s="1"/>
  <c r="BD125" i="14" s="1"/>
  <c r="BE125" i="14" s="1"/>
  <c r="BF125" i="14" s="1"/>
  <c r="BG125" i="14" s="1"/>
  <c r="BH125" i="14" s="1"/>
  <c r="BI125" i="14" s="1"/>
  <c r="BJ125" i="14" s="1"/>
  <c r="BK125" i="14" s="1"/>
  <c r="AQ126" i="14"/>
  <c r="AR126" i="14" s="1"/>
  <c r="AS126" i="14" s="1"/>
  <c r="AT126" i="14" s="1"/>
  <c r="AU126" i="14" s="1"/>
  <c r="AV126" i="14" s="1"/>
  <c r="AW126" i="14" s="1"/>
  <c r="AX126" i="14" s="1"/>
  <c r="AY126" i="14" s="1"/>
  <c r="AZ126" i="14" s="1"/>
  <c r="BA126" i="14" s="1"/>
  <c r="BB126" i="14" s="1"/>
  <c r="BC126" i="14" s="1"/>
  <c r="BD126" i="14" s="1"/>
  <c r="BE126" i="14" s="1"/>
  <c r="BF126" i="14" s="1"/>
  <c r="BG126" i="14" s="1"/>
  <c r="BH126" i="14" s="1"/>
  <c r="BI126" i="14" s="1"/>
  <c r="BJ126" i="14" s="1"/>
  <c r="BK126" i="14" s="1"/>
  <c r="AQ132" i="14"/>
  <c r="AR132" i="14" s="1"/>
  <c r="AS132" i="14" s="1"/>
  <c r="AT132" i="14" s="1"/>
  <c r="AU132" i="14" s="1"/>
  <c r="AV132" i="14" s="1"/>
  <c r="AW132" i="14" s="1"/>
  <c r="AX132" i="14" s="1"/>
  <c r="AY132" i="14" s="1"/>
  <c r="AZ132" i="14" s="1"/>
  <c r="BA132" i="14" s="1"/>
  <c r="BB132" i="14" s="1"/>
  <c r="BC132" i="14" s="1"/>
  <c r="BD132" i="14" s="1"/>
  <c r="BE132" i="14" s="1"/>
  <c r="BF132" i="14" s="1"/>
  <c r="BG132" i="14" s="1"/>
  <c r="BH132" i="14" s="1"/>
  <c r="BI132" i="14" s="1"/>
  <c r="BJ132" i="14" s="1"/>
  <c r="BK132" i="14" s="1"/>
  <c r="AQ128" i="14"/>
  <c r="AR128" i="14" s="1"/>
  <c r="AS128" i="14" s="1"/>
  <c r="AT128" i="14" s="1"/>
  <c r="AU128" i="14" s="1"/>
  <c r="AV128" i="14" s="1"/>
  <c r="AW128" i="14" s="1"/>
  <c r="AX128" i="14" s="1"/>
  <c r="AY128" i="14" s="1"/>
  <c r="AZ128" i="14" s="1"/>
  <c r="BA128" i="14" s="1"/>
  <c r="BB128" i="14" s="1"/>
  <c r="BC128" i="14" s="1"/>
  <c r="BD128" i="14" s="1"/>
  <c r="BE128" i="14" s="1"/>
  <c r="BF128" i="14" s="1"/>
  <c r="BG128" i="14" s="1"/>
  <c r="BH128" i="14" s="1"/>
  <c r="BI128" i="14" s="1"/>
  <c r="BJ128" i="14" s="1"/>
  <c r="BK128" i="14" s="1"/>
  <c r="BR92" i="15"/>
  <c r="BQ92" i="15" s="1"/>
  <c r="BP92" i="15" s="1"/>
  <c r="BO92" i="15" s="1"/>
  <c r="BN92" i="15" s="1"/>
  <c r="BM92" i="15" s="1"/>
  <c r="BL92" i="15" s="1"/>
  <c r="BK92" i="15" s="1"/>
  <c r="BJ92" i="15" s="1"/>
  <c r="BI92" i="15" s="1"/>
  <c r="BH92" i="15" s="1"/>
  <c r="BG92" i="15" s="1"/>
  <c r="BF92" i="15" s="1"/>
  <c r="BE92" i="15" s="1"/>
  <c r="BD92" i="15" s="1"/>
  <c r="BC92" i="15" s="1"/>
  <c r="BB92" i="15" s="1"/>
  <c r="BA92" i="15" s="1"/>
  <c r="AZ92" i="15" s="1"/>
  <c r="AY92" i="15" s="1"/>
  <c r="AX92" i="15" s="1"/>
  <c r="AW92" i="15" s="1"/>
  <c r="AV92" i="15" s="1"/>
  <c r="AU92" i="15" s="1"/>
  <c r="AT92" i="15" s="1"/>
  <c r="AS92" i="15" s="1"/>
  <c r="AR92" i="15" s="1"/>
  <c r="AQ92" i="15" s="1"/>
  <c r="AP92" i="15" s="1"/>
  <c r="AO92" i="15" s="1"/>
  <c r="AN92" i="15" s="1"/>
  <c r="AM92" i="15" s="1"/>
  <c r="AL92" i="15" s="1"/>
  <c r="AK92" i="15" s="1"/>
  <c r="AJ92" i="15" s="1"/>
  <c r="AI92" i="15" s="1"/>
  <c r="AH92" i="15" s="1"/>
  <c r="AG92" i="15" s="1"/>
  <c r="AF92" i="15" s="1"/>
  <c r="AE92" i="15" s="1"/>
  <c r="AD92" i="15" s="1"/>
  <c r="AC92" i="15" s="1"/>
  <c r="AB92" i="15" s="1"/>
  <c r="AA92" i="15" s="1"/>
  <c r="Z92" i="15" s="1"/>
  <c r="Y92" i="15" s="1"/>
  <c r="X92" i="15" s="1"/>
  <c r="W92" i="15" s="1"/>
  <c r="V92" i="15" s="1"/>
  <c r="U92" i="15" s="1"/>
  <c r="T92" i="15" s="1"/>
  <c r="S92" i="15" s="1"/>
  <c r="R92" i="15" s="1"/>
  <c r="Q92" i="15" s="1"/>
  <c r="P92" i="15" s="1"/>
  <c r="O92" i="15" s="1"/>
  <c r="N92" i="15" s="1"/>
  <c r="M92" i="15" s="1"/>
  <c r="L92" i="15" s="1"/>
  <c r="K92" i="15" s="1"/>
  <c r="J92" i="15" s="1"/>
  <c r="BR93" i="15"/>
  <c r="BQ93" i="15" s="1"/>
  <c r="BP93" i="15" s="1"/>
  <c r="BO93" i="15" s="1"/>
  <c r="BN93" i="15" s="1"/>
  <c r="BM93" i="15" s="1"/>
  <c r="BL93" i="15" s="1"/>
  <c r="BK93" i="15" s="1"/>
  <c r="BJ93" i="15" s="1"/>
  <c r="BI93" i="15" s="1"/>
  <c r="BH93" i="15" s="1"/>
  <c r="BG93" i="15" s="1"/>
  <c r="BF93" i="15" s="1"/>
  <c r="BE93" i="15" s="1"/>
  <c r="BD93" i="15" s="1"/>
  <c r="BC93" i="15" s="1"/>
  <c r="BB93" i="15" s="1"/>
  <c r="BA93" i="15" s="1"/>
  <c r="AZ93" i="15" s="1"/>
  <c r="AY93" i="15" s="1"/>
  <c r="AX93" i="15" s="1"/>
  <c r="AW93" i="15" s="1"/>
  <c r="AV93" i="15" s="1"/>
  <c r="AU93" i="15" s="1"/>
  <c r="AT93" i="15" s="1"/>
  <c r="AS93" i="15" s="1"/>
  <c r="AR93" i="15" s="1"/>
  <c r="AQ93" i="15" s="1"/>
  <c r="AP93" i="15" s="1"/>
  <c r="AO93" i="15" s="1"/>
  <c r="AN93" i="15" s="1"/>
  <c r="AM93" i="15" s="1"/>
  <c r="AL93" i="15" s="1"/>
  <c r="AK93" i="15" s="1"/>
  <c r="AJ93" i="15" s="1"/>
  <c r="AI93" i="15" s="1"/>
  <c r="AH93" i="15" s="1"/>
  <c r="AG93" i="15" s="1"/>
  <c r="AF93" i="15" s="1"/>
  <c r="AE93" i="15" s="1"/>
  <c r="AD93" i="15" s="1"/>
  <c r="AC93" i="15" s="1"/>
  <c r="AB93" i="15" s="1"/>
  <c r="AA93" i="15" s="1"/>
  <c r="Z93" i="15" s="1"/>
  <c r="Y93" i="15" s="1"/>
  <c r="X93" i="15" s="1"/>
  <c r="W93" i="15" s="1"/>
  <c r="V93" i="15" s="1"/>
  <c r="U93" i="15" s="1"/>
  <c r="T93" i="15" s="1"/>
  <c r="S93" i="15" s="1"/>
  <c r="R93" i="15" s="1"/>
  <c r="Q93" i="15" s="1"/>
  <c r="P93" i="15" s="1"/>
  <c r="O93" i="15" s="1"/>
  <c r="N93" i="15" s="1"/>
  <c r="M93" i="15" s="1"/>
  <c r="L93" i="15" s="1"/>
  <c r="K93" i="15" s="1"/>
  <c r="J93" i="15" s="1"/>
  <c r="BR94" i="15"/>
  <c r="BQ94" i="15" s="1"/>
  <c r="BP94" i="15" s="1"/>
  <c r="BO94" i="15" s="1"/>
  <c r="BN94" i="15" s="1"/>
  <c r="BM94" i="15" s="1"/>
  <c r="BL94" i="15" s="1"/>
  <c r="BK94" i="15" s="1"/>
  <c r="BJ94" i="15" s="1"/>
  <c r="BI94" i="15" s="1"/>
  <c r="BH94" i="15" s="1"/>
  <c r="BG94" i="15" s="1"/>
  <c r="BF94" i="15" s="1"/>
  <c r="BE94" i="15" s="1"/>
  <c r="BD94" i="15" s="1"/>
  <c r="BC94" i="15" s="1"/>
  <c r="BB94" i="15" s="1"/>
  <c r="BA94" i="15" s="1"/>
  <c r="AZ94" i="15" s="1"/>
  <c r="AY94" i="15" s="1"/>
  <c r="AX94" i="15" s="1"/>
  <c r="AW94" i="15" s="1"/>
  <c r="AV94" i="15" s="1"/>
  <c r="AU94" i="15" s="1"/>
  <c r="AT94" i="15" s="1"/>
  <c r="AS94" i="15" s="1"/>
  <c r="AR94" i="15" s="1"/>
  <c r="AQ94" i="15" s="1"/>
  <c r="AP94" i="15" s="1"/>
  <c r="AO94" i="15" s="1"/>
  <c r="AN94" i="15" s="1"/>
  <c r="AM94" i="15" s="1"/>
  <c r="AL94" i="15" s="1"/>
  <c r="AK94" i="15" s="1"/>
  <c r="AJ94" i="15" s="1"/>
  <c r="AI94" i="15" s="1"/>
  <c r="AH94" i="15" s="1"/>
  <c r="AG94" i="15" s="1"/>
  <c r="AF94" i="15" s="1"/>
  <c r="AE94" i="15" s="1"/>
  <c r="AD94" i="15" s="1"/>
  <c r="AC94" i="15" s="1"/>
  <c r="AB94" i="15" s="1"/>
  <c r="AA94" i="15" s="1"/>
  <c r="Z94" i="15" s="1"/>
  <c r="Y94" i="15" s="1"/>
  <c r="X94" i="15" s="1"/>
  <c r="W94" i="15" s="1"/>
  <c r="V94" i="15" s="1"/>
  <c r="U94" i="15" s="1"/>
  <c r="T94" i="15" s="1"/>
  <c r="S94" i="15" s="1"/>
  <c r="R94" i="15" s="1"/>
  <c r="Q94" i="15" s="1"/>
  <c r="P94" i="15" s="1"/>
  <c r="O94" i="15" s="1"/>
  <c r="N94" i="15" s="1"/>
  <c r="M94" i="15" s="1"/>
  <c r="L94" i="15" s="1"/>
  <c r="K94" i="15" s="1"/>
  <c r="J94" i="15" s="1"/>
  <c r="BR91" i="15"/>
  <c r="BQ91" i="15" s="1"/>
  <c r="BP91" i="15" s="1"/>
  <c r="BO91" i="15" s="1"/>
  <c r="BN91" i="15" s="1"/>
  <c r="BM91" i="15" s="1"/>
  <c r="BL91" i="15" s="1"/>
  <c r="BK91" i="15" s="1"/>
  <c r="BJ91" i="15" s="1"/>
  <c r="BI91" i="15" s="1"/>
  <c r="BH91" i="15" s="1"/>
  <c r="BG91" i="15" s="1"/>
  <c r="BF91" i="15" s="1"/>
  <c r="BE91" i="15" s="1"/>
  <c r="BD91" i="15" s="1"/>
  <c r="BC91" i="15" s="1"/>
  <c r="BB91" i="15" s="1"/>
  <c r="BA91" i="15" s="1"/>
  <c r="AZ91" i="15" s="1"/>
  <c r="AY91" i="15" s="1"/>
  <c r="AX91" i="15" s="1"/>
  <c r="AW91" i="15" s="1"/>
  <c r="AV91" i="15" s="1"/>
  <c r="AU91" i="15" s="1"/>
  <c r="AT91" i="15" s="1"/>
  <c r="AS91" i="15" s="1"/>
  <c r="AR91" i="15" s="1"/>
  <c r="AQ91" i="15" s="1"/>
  <c r="AP91" i="15" s="1"/>
  <c r="AO91" i="15" s="1"/>
  <c r="AN91" i="15" s="1"/>
  <c r="AM91" i="15" s="1"/>
  <c r="AL91" i="15" s="1"/>
  <c r="AK91" i="15" s="1"/>
  <c r="AJ91" i="15" s="1"/>
  <c r="AI91" i="15" s="1"/>
  <c r="AH91" i="15" s="1"/>
  <c r="AG91" i="15" s="1"/>
  <c r="AF91" i="15" s="1"/>
  <c r="AE91" i="15" s="1"/>
  <c r="AD91" i="15" s="1"/>
  <c r="AC91" i="15" s="1"/>
  <c r="AB91" i="15" s="1"/>
  <c r="AA91" i="15" s="1"/>
  <c r="Z91" i="15" s="1"/>
  <c r="Y91" i="15" s="1"/>
  <c r="X91" i="15" s="1"/>
  <c r="W91" i="15" s="1"/>
  <c r="V91" i="15" s="1"/>
  <c r="U91" i="15" s="1"/>
  <c r="T91" i="15" s="1"/>
  <c r="S91" i="15" s="1"/>
  <c r="R91" i="15" s="1"/>
  <c r="Q91" i="15" s="1"/>
  <c r="P91" i="15" s="1"/>
  <c r="O91" i="15" s="1"/>
  <c r="N91" i="15" s="1"/>
  <c r="M91" i="15" s="1"/>
  <c r="L91" i="15" s="1"/>
  <c r="K91" i="15" s="1"/>
  <c r="J91" i="15" s="1"/>
  <c r="BT92" i="15"/>
  <c r="BU92" i="15" s="1"/>
  <c r="BV92" i="15" s="1"/>
  <c r="BW92" i="15" s="1"/>
  <c r="BX92" i="15" s="1"/>
  <c r="BY92" i="15" s="1"/>
  <c r="BZ92" i="15" s="1"/>
  <c r="CA92" i="15" s="1"/>
  <c r="CB92" i="15" s="1"/>
  <c r="CC92" i="15" s="1"/>
  <c r="CD92" i="15" s="1"/>
  <c r="CE92" i="15" s="1"/>
  <c r="CF92" i="15" s="1"/>
  <c r="CG92" i="15" s="1"/>
  <c r="CH92" i="15" s="1"/>
  <c r="CI92" i="15" s="1"/>
  <c r="CJ92" i="15" s="1"/>
  <c r="CK92" i="15" s="1"/>
  <c r="CL92" i="15" s="1"/>
  <c r="CM92" i="15" s="1"/>
  <c r="CN92" i="15" s="1"/>
  <c r="CO92" i="15" s="1"/>
  <c r="CP92" i="15" s="1"/>
  <c r="CQ92" i="15" s="1"/>
  <c r="CR92" i="15" s="1"/>
  <c r="BT93" i="15"/>
  <c r="BU93" i="15" s="1"/>
  <c r="BV93" i="15" s="1"/>
  <c r="BW93" i="15" s="1"/>
  <c r="BX93" i="15" s="1"/>
  <c r="BY93" i="15" s="1"/>
  <c r="BZ93" i="15" s="1"/>
  <c r="CA93" i="15" s="1"/>
  <c r="CB93" i="15" s="1"/>
  <c r="CC93" i="15" s="1"/>
  <c r="CD93" i="15" s="1"/>
  <c r="CE93" i="15" s="1"/>
  <c r="CF93" i="15" s="1"/>
  <c r="CG93" i="15" s="1"/>
  <c r="CH93" i="15" s="1"/>
  <c r="CI93" i="15" s="1"/>
  <c r="CJ93" i="15" s="1"/>
  <c r="CK93" i="15" s="1"/>
  <c r="CL93" i="15" s="1"/>
  <c r="CM93" i="15" s="1"/>
  <c r="CN93" i="15" s="1"/>
  <c r="CO93" i="15" s="1"/>
  <c r="CP93" i="15" s="1"/>
  <c r="CQ93" i="15" s="1"/>
  <c r="CR93" i="15" s="1"/>
  <c r="BT94" i="15"/>
  <c r="BU94" i="15" s="1"/>
  <c r="BV94" i="15" s="1"/>
  <c r="BW94" i="15" s="1"/>
  <c r="BX94" i="15" s="1"/>
  <c r="BY94" i="15" s="1"/>
  <c r="BZ94" i="15" s="1"/>
  <c r="CA94" i="15" s="1"/>
  <c r="CB94" i="15" s="1"/>
  <c r="CC94" i="15" s="1"/>
  <c r="CD94" i="15" s="1"/>
  <c r="CE94" i="15" s="1"/>
  <c r="CF94" i="15" s="1"/>
  <c r="CG94" i="15" s="1"/>
  <c r="CH94" i="15" s="1"/>
  <c r="CI94" i="15" s="1"/>
  <c r="CJ94" i="15" s="1"/>
  <c r="CK94" i="15" s="1"/>
  <c r="CL94" i="15" s="1"/>
  <c r="CM94" i="15" s="1"/>
  <c r="CN94" i="15" s="1"/>
  <c r="CO94" i="15" s="1"/>
  <c r="CP94" i="15" s="1"/>
  <c r="CQ94" i="15" s="1"/>
  <c r="CR94" i="15" s="1"/>
  <c r="BT91" i="15"/>
  <c r="BU91" i="15" s="1"/>
  <c r="BV91" i="15" s="1"/>
  <c r="BW91" i="15" s="1"/>
  <c r="BX91" i="15" s="1"/>
  <c r="BY91" i="15" s="1"/>
  <c r="BZ91" i="15" s="1"/>
  <c r="CA91" i="15" s="1"/>
  <c r="CB91" i="15" s="1"/>
  <c r="CC91" i="15" s="1"/>
  <c r="CD91" i="15" s="1"/>
  <c r="CE91" i="15" s="1"/>
  <c r="CF91" i="15" s="1"/>
  <c r="CG91" i="15" s="1"/>
  <c r="CH91" i="15" s="1"/>
  <c r="CI91" i="15" s="1"/>
  <c r="CJ91" i="15" s="1"/>
  <c r="CK91" i="15" s="1"/>
  <c r="CL91" i="15" s="1"/>
  <c r="CM91" i="15" s="1"/>
  <c r="CN91" i="15" s="1"/>
  <c r="CO91" i="15" s="1"/>
  <c r="CP91" i="15" s="1"/>
  <c r="CQ91" i="15" s="1"/>
  <c r="CR91" i="15" s="1"/>
  <c r="BO8" i="15"/>
  <c r="BP8" i="15" s="1"/>
  <c r="BQ8" i="15" s="1"/>
  <c r="BR8" i="15" s="1"/>
  <c r="BS8" i="15" s="1"/>
  <c r="BT8" i="15" s="1"/>
  <c r="BU8" i="15" s="1"/>
  <c r="BV8" i="15" s="1"/>
  <c r="BW8" i="15" s="1"/>
  <c r="BX8" i="15" s="1"/>
  <c r="BY8" i="15" s="1"/>
  <c r="BZ8" i="15" s="1"/>
  <c r="CA8" i="15" s="1"/>
  <c r="CB8" i="15" s="1"/>
  <c r="CC8" i="15" s="1"/>
  <c r="CD8" i="15" s="1"/>
  <c r="CE8" i="15" s="1"/>
  <c r="CF8" i="15" s="1"/>
  <c r="CG8" i="15" s="1"/>
  <c r="AY66" i="16"/>
  <c r="Q32" i="10"/>
  <c r="R32" i="10" s="1"/>
  <c r="S32" i="10" s="1"/>
  <c r="T32" i="10" s="1"/>
  <c r="U32" i="10" s="1"/>
  <c r="V32" i="10" s="1"/>
  <c r="W32" i="10" s="1"/>
  <c r="X32" i="10" s="1"/>
  <c r="Y32" i="10" s="1"/>
  <c r="Z32" i="10" s="1"/>
  <c r="AA32" i="10" s="1"/>
  <c r="AG66" i="7"/>
  <c r="AF66" i="7" s="1"/>
  <c r="AE66" i="7" s="1"/>
  <c r="AE67" i="7" s="1"/>
  <c r="AI66" i="7"/>
  <c r="AI67" i="7" s="1"/>
  <c r="I34" i="15"/>
  <c r="AU34" i="15" s="1"/>
  <c r="AV34" i="15" s="1"/>
  <c r="AW34" i="15" s="1"/>
  <c r="AX34" i="15" s="1"/>
  <c r="AY34" i="15" s="1"/>
  <c r="AZ34" i="15" s="1"/>
  <c r="BA34" i="15" s="1"/>
  <c r="BB34" i="15" s="1"/>
  <c r="BC34" i="15" s="1"/>
  <c r="BD34" i="15" s="1"/>
  <c r="BE34" i="15" s="1"/>
  <c r="BF34" i="15" s="1"/>
  <c r="BG34" i="15" s="1"/>
  <c r="BH34" i="15" s="1"/>
  <c r="BI34" i="15" s="1"/>
  <c r="BJ34" i="15" s="1"/>
  <c r="BK34" i="15" s="1"/>
  <c r="BL34" i="15" s="1"/>
  <c r="BM34" i="15" s="1"/>
  <c r="BN34" i="15" s="1"/>
  <c r="BO34" i="15" s="1"/>
  <c r="BP34" i="15" s="1"/>
  <c r="BQ34" i="15" s="1"/>
  <c r="BR34" i="15" s="1"/>
  <c r="BS34" i="15" s="1"/>
  <c r="BT34" i="15" s="1"/>
  <c r="BU34" i="15" s="1"/>
  <c r="BV34" i="15" s="1"/>
  <c r="BW34" i="15" s="1"/>
  <c r="BX34" i="15" s="1"/>
  <c r="BY34" i="15" s="1"/>
  <c r="BZ34" i="15" s="1"/>
  <c r="CA34" i="15" s="1"/>
  <c r="CB34" i="15" s="1"/>
  <c r="CC34" i="15" s="1"/>
  <c r="CD34" i="15" s="1"/>
  <c r="CE34" i="15" s="1"/>
  <c r="CF34" i="15" s="1"/>
  <c r="CG34" i="15" s="1"/>
  <c r="CH34" i="15" s="1"/>
  <c r="CI34" i="15" s="1"/>
  <c r="CJ34" i="15" s="1"/>
  <c r="CK34" i="15" s="1"/>
  <c r="CL34" i="15" s="1"/>
  <c r="CM34" i="15" s="1"/>
  <c r="CN34" i="15" s="1"/>
  <c r="CO34" i="15" s="1"/>
  <c r="CP34" i="15" s="1"/>
  <c r="CQ34" i="15" s="1"/>
  <c r="CR34" i="15" s="1"/>
  <c r="BA67" i="14"/>
  <c r="BB67" i="14" s="1"/>
  <c r="BC67" i="14" s="1"/>
  <c r="BD67" i="14" s="1"/>
  <c r="BE67" i="14" s="1"/>
  <c r="BF67" i="14" s="1"/>
  <c r="BG67" i="14" s="1"/>
  <c r="BH67" i="14" s="1"/>
  <c r="BI67" i="14" s="1"/>
  <c r="BJ67" i="14" s="1"/>
  <c r="BK67" i="14" s="1"/>
  <c r="BA82" i="14"/>
  <c r="BB82" i="14" s="1"/>
  <c r="BC82" i="14" s="1"/>
  <c r="BD82" i="14" s="1"/>
  <c r="BE82" i="14" s="1"/>
  <c r="BF82" i="14" s="1"/>
  <c r="BG82" i="14" s="1"/>
  <c r="BH82" i="14" s="1"/>
  <c r="BI82" i="14" s="1"/>
  <c r="BJ82" i="14" s="1"/>
  <c r="BK82" i="14" s="1"/>
  <c r="BA20" i="14"/>
  <c r="BB20" i="14" s="1"/>
  <c r="BC20" i="14" s="1"/>
  <c r="BD20" i="14" s="1"/>
  <c r="BE20" i="14" s="1"/>
  <c r="BF20" i="14" s="1"/>
  <c r="BG20" i="14" s="1"/>
  <c r="BH20" i="14" s="1"/>
  <c r="BI20" i="14" s="1"/>
  <c r="BJ20" i="14" s="1"/>
  <c r="BK20" i="14" s="1"/>
  <c r="BA8" i="14"/>
  <c r="BB8" i="14" s="1"/>
  <c r="BC8" i="14" s="1"/>
  <c r="BD8" i="14" s="1"/>
  <c r="BE8" i="14" s="1"/>
  <c r="BF8" i="14" s="1"/>
  <c r="BG8" i="14" s="1"/>
  <c r="BH8" i="14" s="1"/>
  <c r="BI8" i="14" s="1"/>
  <c r="BJ8" i="14" s="1"/>
  <c r="BK8" i="14" s="1"/>
  <c r="AS50" i="7"/>
  <c r="AT50" i="7" s="1"/>
  <c r="AU50" i="7" s="1"/>
  <c r="AV50" i="7" s="1"/>
  <c r="AW50" i="7" s="1"/>
  <c r="AX50" i="7" s="1"/>
  <c r="AY50" i="7" s="1"/>
  <c r="AZ50" i="7" s="1"/>
  <c r="BA50" i="7" s="1"/>
  <c r="BB50" i="7" s="1"/>
  <c r="AS37" i="7"/>
  <c r="AT37" i="7" s="1"/>
  <c r="AU37" i="7" s="1"/>
  <c r="AV37" i="7" s="1"/>
  <c r="AW37" i="7" s="1"/>
  <c r="AX37" i="7" s="1"/>
  <c r="AY37" i="7" s="1"/>
  <c r="AZ37" i="7" s="1"/>
  <c r="BA37" i="7" s="1"/>
  <c r="BB37" i="7" s="1"/>
  <c r="BC21" i="7"/>
  <c r="AS21" i="7" s="1"/>
  <c r="AT21" i="7" s="1"/>
  <c r="AU21" i="7" s="1"/>
  <c r="BC22" i="7"/>
  <c r="AS22" i="7" s="1"/>
  <c r="AT22" i="7" s="1"/>
  <c r="BC23" i="7"/>
  <c r="AS23" i="7" s="1"/>
  <c r="BC24" i="7"/>
  <c r="AS24" i="7" s="1"/>
  <c r="BC25" i="7"/>
  <c r="AS25" i="7" s="1"/>
  <c r="BC26" i="7"/>
  <c r="AS26" i="7" s="1"/>
  <c r="BC27" i="7"/>
  <c r="AS27" i="7" s="1"/>
  <c r="AS45" i="7" s="1"/>
  <c r="AS58" i="7" s="1"/>
  <c r="BC28" i="7"/>
  <c r="AS28" i="7" s="1"/>
  <c r="AS46" i="7" s="1"/>
  <c r="AS59" i="7" s="1"/>
  <c r="BC29" i="7"/>
  <c r="AS29" i="7" s="1"/>
  <c r="AT29" i="7" s="1"/>
  <c r="BC30" i="7"/>
  <c r="AS30" i="7" s="1"/>
  <c r="AT30" i="7" s="1"/>
  <c r="AU30" i="7" s="1"/>
  <c r="AV30" i="7" s="1"/>
  <c r="AW30" i="7" s="1"/>
  <c r="AX30" i="7" s="1"/>
  <c r="AY30" i="7" s="1"/>
  <c r="AZ30" i="7" s="1"/>
  <c r="BA30" i="7" s="1"/>
  <c r="BB30" i="7" s="1"/>
  <c r="BC31" i="7"/>
  <c r="AS31" i="7" s="1"/>
  <c r="AT31" i="7" s="1"/>
  <c r="AU31" i="7" s="1"/>
  <c r="AV31" i="7" s="1"/>
  <c r="AW31" i="7" s="1"/>
  <c r="AX31" i="7" s="1"/>
  <c r="AY31" i="7" s="1"/>
  <c r="AZ31" i="7" s="1"/>
  <c r="BA31" i="7" s="1"/>
  <c r="BB31" i="7" s="1"/>
  <c r="BC20" i="7"/>
  <c r="AS20" i="7" s="1"/>
  <c r="AS19" i="7"/>
  <c r="AT19" i="7" s="1"/>
  <c r="AU19" i="7" s="1"/>
  <c r="AV19" i="7" s="1"/>
  <c r="AW19" i="7" s="1"/>
  <c r="AX19" i="7" s="1"/>
  <c r="AY19" i="7" s="1"/>
  <c r="AZ19" i="7" s="1"/>
  <c r="BA19" i="7" s="1"/>
  <c r="BB19" i="7" s="1"/>
  <c r="AO17" i="14"/>
  <c r="AN17" i="14" s="1"/>
  <c r="AM17" i="14" s="1"/>
  <c r="AL17" i="14" s="1"/>
  <c r="AK17" i="14" s="1"/>
  <c r="AJ17" i="14" s="1"/>
  <c r="AI17" i="14" s="1"/>
  <c r="AH17" i="14" s="1"/>
  <c r="AG17" i="14" s="1"/>
  <c r="AF17" i="14" s="1"/>
  <c r="AE17" i="14" s="1"/>
  <c r="AD17" i="14" s="1"/>
  <c r="AC17" i="14" s="1"/>
  <c r="AB17" i="14" s="1"/>
  <c r="AA17" i="14" s="1"/>
  <c r="Z17" i="14" s="1"/>
  <c r="Y17" i="14" s="1"/>
  <c r="X17" i="14" s="1"/>
  <c r="W17" i="14" s="1"/>
  <c r="V17" i="14" s="1"/>
  <c r="U17" i="14" s="1"/>
  <c r="T17" i="14" s="1"/>
  <c r="S17" i="14" s="1"/>
  <c r="R17" i="14" s="1"/>
  <c r="Q17" i="14" s="1"/>
  <c r="P17" i="14" s="1"/>
  <c r="O17" i="14" s="1"/>
  <c r="N17" i="14" s="1"/>
  <c r="M17" i="14" s="1"/>
  <c r="L17" i="14" s="1"/>
  <c r="AQ17" i="14"/>
  <c r="AR17" i="14" s="1"/>
  <c r="AS17" i="14" s="1"/>
  <c r="AT17" i="14" s="1"/>
  <c r="AU17" i="14" s="1"/>
  <c r="AV17" i="14" s="1"/>
  <c r="AW17" i="14" s="1"/>
  <c r="AX17" i="14" s="1"/>
  <c r="AY17" i="14" s="1"/>
  <c r="AZ17" i="14" s="1"/>
  <c r="BA17" i="14" s="1"/>
  <c r="BB17" i="14" s="1"/>
  <c r="BC17" i="14" s="1"/>
  <c r="BD17" i="14" s="1"/>
  <c r="BE17" i="14" s="1"/>
  <c r="BF17" i="14" s="1"/>
  <c r="BG17" i="14" s="1"/>
  <c r="BH17" i="14" s="1"/>
  <c r="BI17" i="14" s="1"/>
  <c r="BJ17" i="14" s="1"/>
  <c r="BK17" i="14" s="1"/>
  <c r="AO64" i="14"/>
  <c r="AN64" i="14" s="1"/>
  <c r="AM64" i="14" s="1"/>
  <c r="AL64" i="14" s="1"/>
  <c r="AK64" i="14" s="1"/>
  <c r="AJ64" i="14" s="1"/>
  <c r="AI64" i="14" s="1"/>
  <c r="AH64" i="14" s="1"/>
  <c r="AG64" i="14" s="1"/>
  <c r="AF64" i="14" s="1"/>
  <c r="AE64" i="14" s="1"/>
  <c r="AD64" i="14" s="1"/>
  <c r="AC64" i="14" s="1"/>
  <c r="AB64" i="14" s="1"/>
  <c r="AA64" i="14" s="1"/>
  <c r="Z64" i="14" s="1"/>
  <c r="Y64" i="14" s="1"/>
  <c r="X64" i="14" s="1"/>
  <c r="W64" i="14" s="1"/>
  <c r="V64" i="14" s="1"/>
  <c r="U64" i="14" s="1"/>
  <c r="T64" i="14" s="1"/>
  <c r="S64" i="14" s="1"/>
  <c r="R64" i="14" s="1"/>
  <c r="Q64" i="14" s="1"/>
  <c r="P64" i="14" s="1"/>
  <c r="O64" i="14" s="1"/>
  <c r="N64" i="14" s="1"/>
  <c r="M64" i="14" s="1"/>
  <c r="L64" i="14" s="1"/>
  <c r="AQ64" i="14"/>
  <c r="AR64" i="14" s="1"/>
  <c r="AS64" i="14" s="1"/>
  <c r="AT64" i="14" s="1"/>
  <c r="AU64" i="14" s="1"/>
  <c r="AV64" i="14" s="1"/>
  <c r="AW64" i="14" s="1"/>
  <c r="AX64" i="14" s="1"/>
  <c r="AY64" i="14" s="1"/>
  <c r="AZ64" i="14" s="1"/>
  <c r="BA64" i="14" s="1"/>
  <c r="BB64" i="14" s="1"/>
  <c r="BC64" i="14" s="1"/>
  <c r="BD64" i="14" s="1"/>
  <c r="BE64" i="14" s="1"/>
  <c r="BF64" i="14" s="1"/>
  <c r="BG64" i="14" s="1"/>
  <c r="BH64" i="14" s="1"/>
  <c r="BI64" i="14" s="1"/>
  <c r="BJ64" i="14" s="1"/>
  <c r="BK64" i="14" s="1"/>
  <c r="AO104" i="14"/>
  <c r="AN104" i="14" s="1"/>
  <c r="AM104" i="14" s="1"/>
  <c r="AL104" i="14" s="1"/>
  <c r="AK104" i="14" s="1"/>
  <c r="AJ104" i="14" s="1"/>
  <c r="AI104" i="14" s="1"/>
  <c r="AH104" i="14" s="1"/>
  <c r="AG104" i="14" s="1"/>
  <c r="AF104" i="14" s="1"/>
  <c r="AE104" i="14" s="1"/>
  <c r="AD104" i="14" s="1"/>
  <c r="AC104" i="14" s="1"/>
  <c r="AB104" i="14" s="1"/>
  <c r="AA104" i="14" s="1"/>
  <c r="Z104" i="14" s="1"/>
  <c r="Y104" i="14" s="1"/>
  <c r="X104" i="14" s="1"/>
  <c r="W104" i="14" s="1"/>
  <c r="V104" i="14" s="1"/>
  <c r="U104" i="14" s="1"/>
  <c r="T104" i="14" s="1"/>
  <c r="S104" i="14" s="1"/>
  <c r="R104" i="14" s="1"/>
  <c r="Q104" i="14" s="1"/>
  <c r="P104" i="14" s="1"/>
  <c r="O104" i="14" s="1"/>
  <c r="N104" i="14" s="1"/>
  <c r="M104" i="14" s="1"/>
  <c r="L104" i="14" s="1"/>
  <c r="AO105" i="14"/>
  <c r="AN105" i="14" s="1"/>
  <c r="AM105" i="14" s="1"/>
  <c r="AL105" i="14" s="1"/>
  <c r="AK105" i="14" s="1"/>
  <c r="AJ105" i="14" s="1"/>
  <c r="AI105" i="14" s="1"/>
  <c r="AH105" i="14" s="1"/>
  <c r="AG105" i="14" s="1"/>
  <c r="AF105" i="14" s="1"/>
  <c r="AE105" i="14" s="1"/>
  <c r="AD105" i="14" s="1"/>
  <c r="AC105" i="14" s="1"/>
  <c r="AB105" i="14" s="1"/>
  <c r="AA105" i="14" s="1"/>
  <c r="Z105" i="14" s="1"/>
  <c r="Y105" i="14" s="1"/>
  <c r="X105" i="14" s="1"/>
  <c r="W105" i="14" s="1"/>
  <c r="V105" i="14" s="1"/>
  <c r="U105" i="14" s="1"/>
  <c r="T105" i="14" s="1"/>
  <c r="S105" i="14" s="1"/>
  <c r="R105" i="14" s="1"/>
  <c r="Q105" i="14" s="1"/>
  <c r="P105" i="14" s="1"/>
  <c r="O105" i="14" s="1"/>
  <c r="N105" i="14" s="1"/>
  <c r="M105" i="14" s="1"/>
  <c r="L105" i="14" s="1"/>
  <c r="AQ104" i="14"/>
  <c r="AR104" i="14" s="1"/>
  <c r="AS104" i="14" s="1"/>
  <c r="AT104" i="14" s="1"/>
  <c r="AU104" i="14" s="1"/>
  <c r="AV104" i="14" s="1"/>
  <c r="AW104" i="14" s="1"/>
  <c r="AX104" i="14" s="1"/>
  <c r="AY104" i="14" s="1"/>
  <c r="AZ104" i="14" s="1"/>
  <c r="BA104" i="14" s="1"/>
  <c r="BB104" i="14" s="1"/>
  <c r="BC104" i="14" s="1"/>
  <c r="BD104" i="14" s="1"/>
  <c r="BE104" i="14" s="1"/>
  <c r="BF104" i="14" s="1"/>
  <c r="BG104" i="14" s="1"/>
  <c r="BH104" i="14" s="1"/>
  <c r="BI104" i="14" s="1"/>
  <c r="BJ104" i="14" s="1"/>
  <c r="BK104" i="14" s="1"/>
  <c r="AQ105" i="14"/>
  <c r="AR105" i="14" s="1"/>
  <c r="AS105" i="14" s="1"/>
  <c r="AT105" i="14" s="1"/>
  <c r="AU105" i="14" s="1"/>
  <c r="AV105" i="14" s="1"/>
  <c r="AW105" i="14" s="1"/>
  <c r="AX105" i="14" s="1"/>
  <c r="AY105" i="14" s="1"/>
  <c r="AZ105" i="14" s="1"/>
  <c r="BA105" i="14" s="1"/>
  <c r="BB105" i="14" s="1"/>
  <c r="BC105" i="14" s="1"/>
  <c r="BD105" i="14" s="1"/>
  <c r="BE105" i="14" s="1"/>
  <c r="BF105" i="14" s="1"/>
  <c r="BG105" i="14" s="1"/>
  <c r="BH105" i="14" s="1"/>
  <c r="BI105" i="14" s="1"/>
  <c r="BJ105" i="14" s="1"/>
  <c r="BK105" i="14" s="1"/>
  <c r="AO103" i="14"/>
  <c r="AN103" i="14" s="1"/>
  <c r="AM103" i="14" s="1"/>
  <c r="AL103" i="14" s="1"/>
  <c r="AK103" i="14" s="1"/>
  <c r="AJ103" i="14" s="1"/>
  <c r="AI103" i="14" s="1"/>
  <c r="AH103" i="14" s="1"/>
  <c r="AG103" i="14" s="1"/>
  <c r="AF103" i="14" s="1"/>
  <c r="AE103" i="14" s="1"/>
  <c r="AD103" i="14" s="1"/>
  <c r="AC103" i="14" s="1"/>
  <c r="AB103" i="14" s="1"/>
  <c r="AA103" i="14" s="1"/>
  <c r="Z103" i="14" s="1"/>
  <c r="Y103" i="14" s="1"/>
  <c r="X103" i="14" s="1"/>
  <c r="W103" i="14" s="1"/>
  <c r="V103" i="14" s="1"/>
  <c r="U103" i="14" s="1"/>
  <c r="T103" i="14" s="1"/>
  <c r="S103" i="14" s="1"/>
  <c r="R103" i="14" s="1"/>
  <c r="Q103" i="14" s="1"/>
  <c r="P103" i="14" s="1"/>
  <c r="O103" i="14" s="1"/>
  <c r="N103" i="14" s="1"/>
  <c r="M103" i="14" s="1"/>
  <c r="L103" i="14" s="1"/>
  <c r="AQ103" i="14"/>
  <c r="AR103" i="14" s="1"/>
  <c r="AS103" i="14" s="1"/>
  <c r="AT103" i="14" s="1"/>
  <c r="AU103" i="14" s="1"/>
  <c r="AV103" i="14" s="1"/>
  <c r="AW103" i="14" s="1"/>
  <c r="AX103" i="14" s="1"/>
  <c r="AY103" i="14" s="1"/>
  <c r="AZ103" i="14" s="1"/>
  <c r="BA103" i="14" s="1"/>
  <c r="BB103" i="14" s="1"/>
  <c r="BC103" i="14" s="1"/>
  <c r="BD103" i="14" s="1"/>
  <c r="BE103" i="14" s="1"/>
  <c r="BF103" i="14" s="1"/>
  <c r="BG103" i="14" s="1"/>
  <c r="BH103" i="14" s="1"/>
  <c r="BI103" i="14" s="1"/>
  <c r="BJ103" i="14" s="1"/>
  <c r="BK103" i="14" s="1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 s="1"/>
  <c r="AQ41" i="6" s="1"/>
  <c r="AR41" i="6" s="1"/>
  <c r="AS41" i="6" s="1"/>
  <c r="AT41" i="6" s="1"/>
  <c r="AU41" i="6" s="1"/>
  <c r="AV41" i="6" s="1"/>
  <c r="AW41" i="6" s="1"/>
  <c r="AX41" i="6" s="1"/>
  <c r="AY41" i="6" s="1"/>
  <c r="AZ41" i="6" s="1"/>
  <c r="BA41" i="6" s="1"/>
  <c r="BB41" i="6" s="1"/>
  <c r="Z41" i="6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L33" i="14"/>
  <c r="AM80" i="16"/>
  <c r="AL80" i="16" s="1"/>
  <c r="AK80" i="16" s="1"/>
  <c r="AJ80" i="16" s="1"/>
  <c r="AI80" i="16" s="1"/>
  <c r="AH80" i="16" s="1"/>
  <c r="AG80" i="16" s="1"/>
  <c r="AF80" i="16" s="1"/>
  <c r="AE80" i="16" s="1"/>
  <c r="AD80" i="16" s="1"/>
  <c r="AC80" i="16" s="1"/>
  <c r="AB80" i="16" s="1"/>
  <c r="AA80" i="16" s="1"/>
  <c r="Z80" i="16" s="1"/>
  <c r="Y80" i="16" s="1"/>
  <c r="X80" i="16" s="1"/>
  <c r="W80" i="16" s="1"/>
  <c r="V80" i="16" s="1"/>
  <c r="U80" i="16" s="1"/>
  <c r="T80" i="16" s="1"/>
  <c r="S80" i="16" s="1"/>
  <c r="R80" i="16" s="1"/>
  <c r="Q80" i="16" s="1"/>
  <c r="P80" i="16" s="1"/>
  <c r="O80" i="16" s="1"/>
  <c r="N80" i="16" s="1"/>
  <c r="M80" i="16" s="1"/>
  <c r="L80" i="16" s="1"/>
  <c r="K80" i="16" s="1"/>
  <c r="J80" i="16" s="1"/>
  <c r="I80" i="16" s="1"/>
  <c r="H80" i="16" s="1"/>
  <c r="G80" i="16" s="1"/>
  <c r="F80" i="16" s="1"/>
  <c r="AM79" i="16"/>
  <c r="AL79" i="16" s="1"/>
  <c r="AK79" i="16" s="1"/>
  <c r="AJ79" i="16" s="1"/>
  <c r="AI79" i="16" s="1"/>
  <c r="AH79" i="16" s="1"/>
  <c r="AG79" i="16" s="1"/>
  <c r="AF79" i="16" s="1"/>
  <c r="AE79" i="16" s="1"/>
  <c r="AD79" i="16" s="1"/>
  <c r="AC79" i="16" s="1"/>
  <c r="AB79" i="16" s="1"/>
  <c r="AA79" i="16" s="1"/>
  <c r="Z79" i="16" s="1"/>
  <c r="Y79" i="16" s="1"/>
  <c r="X79" i="16" s="1"/>
  <c r="W79" i="16" s="1"/>
  <c r="V79" i="16" s="1"/>
  <c r="U79" i="16" s="1"/>
  <c r="T79" i="16" s="1"/>
  <c r="S79" i="16" s="1"/>
  <c r="R79" i="16" s="1"/>
  <c r="Q79" i="16" s="1"/>
  <c r="P79" i="16" s="1"/>
  <c r="O79" i="16" s="1"/>
  <c r="N79" i="16" s="1"/>
  <c r="M79" i="16" s="1"/>
  <c r="L79" i="16" s="1"/>
  <c r="K79" i="16" s="1"/>
  <c r="J79" i="16" s="1"/>
  <c r="I79" i="16" s="1"/>
  <c r="H79" i="16" s="1"/>
  <c r="G79" i="16" s="1"/>
  <c r="F79" i="16" s="1"/>
  <c r="AM78" i="16"/>
  <c r="AN78" i="16" s="1"/>
  <c r="AO78" i="16" s="1"/>
  <c r="AP78" i="16" s="1"/>
  <c r="AQ78" i="16" s="1"/>
  <c r="AR78" i="16" s="1"/>
  <c r="AS78" i="16" s="1"/>
  <c r="AT78" i="16" s="1"/>
  <c r="AU78" i="16" s="1"/>
  <c r="AV78" i="16" s="1"/>
  <c r="AW78" i="16" s="1"/>
  <c r="AX78" i="16" s="1"/>
  <c r="AY78" i="16" s="1"/>
  <c r="AZ78" i="16" s="1"/>
  <c r="BA78" i="16" s="1"/>
  <c r="BB78" i="16" s="1"/>
  <c r="BC78" i="16" s="1"/>
  <c r="BD78" i="16" s="1"/>
  <c r="BE78" i="16" s="1"/>
  <c r="BF78" i="16" s="1"/>
  <c r="BG78" i="16" s="1"/>
  <c r="BH78" i="16" s="1"/>
  <c r="BI78" i="16" s="1"/>
  <c r="BJ78" i="16" s="1"/>
  <c r="BK78" i="16" s="1"/>
  <c r="BL78" i="16" s="1"/>
  <c r="BM78" i="16" s="1"/>
  <c r="BN78" i="16" s="1"/>
  <c r="BO78" i="16" s="1"/>
  <c r="BP78" i="16" s="1"/>
  <c r="BQ78" i="16" s="1"/>
  <c r="BR78" i="16" s="1"/>
  <c r="BS78" i="16" s="1"/>
  <c r="BT78" i="16" s="1"/>
  <c r="BU78" i="16" s="1"/>
  <c r="BV78" i="16" s="1"/>
  <c r="BW78" i="16" s="1"/>
  <c r="BX78" i="16" s="1"/>
  <c r="BY78" i="16" s="1"/>
  <c r="BZ78" i="16" s="1"/>
  <c r="CA78" i="16" s="1"/>
  <c r="AM77" i="16"/>
  <c r="AO51" i="16"/>
  <c r="AN51" i="16"/>
  <c r="AO59" i="16"/>
  <c r="AN59" i="16"/>
  <c r="AO67" i="16"/>
  <c r="AN67" i="16"/>
  <c r="AO75" i="16"/>
  <c r="AN75" i="16"/>
  <c r="AP46" i="16"/>
  <c r="AQ46" i="16" s="1"/>
  <c r="AR46" i="16" s="1"/>
  <c r="AS46" i="16" s="1"/>
  <c r="AT46" i="16" s="1"/>
  <c r="AU46" i="16" s="1"/>
  <c r="AV46" i="16" s="1"/>
  <c r="AW46" i="16" s="1"/>
  <c r="AX46" i="16" s="1"/>
  <c r="AY46" i="16" s="1"/>
  <c r="AZ46" i="16" s="1"/>
  <c r="BA46" i="16" s="1"/>
  <c r="BB46" i="16" s="1"/>
  <c r="BC46" i="16" s="1"/>
  <c r="BD46" i="16" s="1"/>
  <c r="BE46" i="16" s="1"/>
  <c r="BF46" i="16" s="1"/>
  <c r="BG46" i="16" s="1"/>
  <c r="BH46" i="16" s="1"/>
  <c r="BI46" i="16" s="1"/>
  <c r="BJ46" i="16" s="1"/>
  <c r="BK46" i="16" s="1"/>
  <c r="BL46" i="16" s="1"/>
  <c r="BM46" i="16" s="1"/>
  <c r="BN46" i="16" s="1"/>
  <c r="BO46" i="16" s="1"/>
  <c r="BP46" i="16" s="1"/>
  <c r="BQ46" i="16" s="1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I59" i="16"/>
  <c r="AJ59" i="16"/>
  <c r="AK59" i="16"/>
  <c r="AL59" i="16"/>
  <c r="AM59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J21" i="16"/>
  <c r="J61" i="16" s="1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F65" i="16"/>
  <c r="F64" i="16"/>
  <c r="F62" i="16"/>
  <c r="F60" i="16"/>
  <c r="F59" i="16"/>
  <c r="F5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AD48" i="16"/>
  <c r="AE48" i="16"/>
  <c r="AF48" i="16"/>
  <c r="AG48" i="16"/>
  <c r="AH48" i="16"/>
  <c r="AI48" i="16"/>
  <c r="AJ48" i="16"/>
  <c r="AK48" i="16"/>
  <c r="AL48" i="16"/>
  <c r="AM48" i="16"/>
  <c r="AN48" i="16"/>
  <c r="AO48" i="16"/>
  <c r="AP48" i="16"/>
  <c r="AQ48" i="16"/>
  <c r="AR48" i="16"/>
  <c r="AS48" i="16"/>
  <c r="AT48" i="16"/>
  <c r="AU48" i="16"/>
  <c r="AV48" i="16"/>
  <c r="AW48" i="16"/>
  <c r="AX48" i="16"/>
  <c r="AY48" i="16"/>
  <c r="AZ48" i="16"/>
  <c r="BA48" i="16"/>
  <c r="BB48" i="16"/>
  <c r="BC48" i="16"/>
  <c r="BD48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W49" i="16"/>
  <c r="X49" i="16"/>
  <c r="Y49" i="16"/>
  <c r="Z49" i="16"/>
  <c r="AA49" i="16"/>
  <c r="AB49" i="16"/>
  <c r="AC49" i="16"/>
  <c r="AD49" i="16"/>
  <c r="AE49" i="16"/>
  <c r="AF49" i="16"/>
  <c r="AG49" i="16"/>
  <c r="AH49" i="16"/>
  <c r="AI49" i="16"/>
  <c r="AJ49" i="16"/>
  <c r="AK49" i="16"/>
  <c r="AL49" i="16"/>
  <c r="AM49" i="16"/>
  <c r="AN49" i="16"/>
  <c r="AO49" i="16"/>
  <c r="AP49" i="16"/>
  <c r="AQ49" i="16"/>
  <c r="AR49" i="16"/>
  <c r="AS49" i="16"/>
  <c r="AT49" i="16"/>
  <c r="AU49" i="16"/>
  <c r="AV49" i="16"/>
  <c r="AW49" i="16"/>
  <c r="AX49" i="16"/>
  <c r="AY49" i="16"/>
  <c r="AZ49" i="16"/>
  <c r="BA49" i="16"/>
  <c r="BB49" i="16"/>
  <c r="BC49" i="16"/>
  <c r="BD49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H51" i="16"/>
  <c r="AI51" i="16"/>
  <c r="AJ51" i="16"/>
  <c r="AK51" i="16"/>
  <c r="AL51" i="16"/>
  <c r="AM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V56" i="16"/>
  <c r="W56" i="16"/>
  <c r="X56" i="16"/>
  <c r="Y56" i="16"/>
  <c r="Z56" i="16"/>
  <c r="AA56" i="16"/>
  <c r="AB56" i="16"/>
  <c r="AC56" i="16"/>
  <c r="AD56" i="16"/>
  <c r="AE56" i="16"/>
  <c r="AF56" i="16"/>
  <c r="AG56" i="16"/>
  <c r="AH56" i="16"/>
  <c r="AI56" i="16"/>
  <c r="AJ56" i="16"/>
  <c r="AK56" i="16"/>
  <c r="AL56" i="16"/>
  <c r="AM56" i="16"/>
  <c r="AN56" i="16"/>
  <c r="AO56" i="16"/>
  <c r="AP56" i="16"/>
  <c r="AQ56" i="16"/>
  <c r="AR56" i="16"/>
  <c r="AS56" i="16"/>
  <c r="AT56" i="16"/>
  <c r="AU56" i="16"/>
  <c r="AV56" i="16"/>
  <c r="AW56" i="16"/>
  <c r="AX56" i="16"/>
  <c r="AY56" i="16"/>
  <c r="AZ56" i="16"/>
  <c r="BA56" i="16"/>
  <c r="BB56" i="16"/>
  <c r="BC56" i="16"/>
  <c r="BD56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Z66" i="16"/>
  <c r="BA66" i="16"/>
  <c r="BB66" i="16"/>
  <c r="BC66" i="16"/>
  <c r="BD66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G68" i="16"/>
  <c r="H68" i="16"/>
  <c r="I68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V68" i="16"/>
  <c r="W68" i="16"/>
  <c r="X68" i="16"/>
  <c r="Y68" i="16"/>
  <c r="Z68" i="16"/>
  <c r="AA68" i="16"/>
  <c r="AB68" i="16"/>
  <c r="AC68" i="16"/>
  <c r="AD68" i="16"/>
  <c r="AE68" i="16"/>
  <c r="AF68" i="16"/>
  <c r="AG68" i="16"/>
  <c r="AH68" i="16"/>
  <c r="AI68" i="16"/>
  <c r="AJ68" i="16"/>
  <c r="AK68" i="16"/>
  <c r="AL68" i="16"/>
  <c r="AM68" i="16"/>
  <c r="AN68" i="16"/>
  <c r="AO68" i="16"/>
  <c r="AP68" i="16"/>
  <c r="AQ68" i="16"/>
  <c r="AR68" i="16"/>
  <c r="AS68" i="16"/>
  <c r="AT68" i="16"/>
  <c r="AU68" i="16"/>
  <c r="AV68" i="16"/>
  <c r="AW68" i="16"/>
  <c r="AX68" i="16"/>
  <c r="AY68" i="16"/>
  <c r="AZ68" i="16"/>
  <c r="BA68" i="16"/>
  <c r="BB68" i="16"/>
  <c r="BC68" i="16"/>
  <c r="BD68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V69" i="16"/>
  <c r="W69" i="16"/>
  <c r="X69" i="16"/>
  <c r="Y69" i="16"/>
  <c r="Z69" i="16"/>
  <c r="AA69" i="16"/>
  <c r="AB69" i="16"/>
  <c r="AC69" i="16"/>
  <c r="AD69" i="16"/>
  <c r="AE69" i="16"/>
  <c r="AF69" i="16"/>
  <c r="AG69" i="16"/>
  <c r="AH69" i="16"/>
  <c r="AI69" i="16"/>
  <c r="AJ69" i="16"/>
  <c r="AK69" i="16"/>
  <c r="AL69" i="16"/>
  <c r="AM69" i="16"/>
  <c r="AN69" i="16"/>
  <c r="AO69" i="16"/>
  <c r="AP69" i="16"/>
  <c r="AQ69" i="16"/>
  <c r="AR69" i="16"/>
  <c r="AS69" i="16"/>
  <c r="AT69" i="16"/>
  <c r="AU69" i="16"/>
  <c r="AV69" i="16"/>
  <c r="AW69" i="16"/>
  <c r="AX69" i="16"/>
  <c r="AY69" i="16"/>
  <c r="AZ69" i="16"/>
  <c r="BA69" i="16"/>
  <c r="BB69" i="16"/>
  <c r="BC69" i="16"/>
  <c r="BD69" i="16"/>
  <c r="G70" i="16"/>
  <c r="H70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W70" i="16"/>
  <c r="X70" i="16"/>
  <c r="Y70" i="16"/>
  <c r="Z70" i="16"/>
  <c r="AA70" i="16"/>
  <c r="AB70" i="16"/>
  <c r="AC70" i="16"/>
  <c r="AD70" i="16"/>
  <c r="AE70" i="16"/>
  <c r="AF70" i="16"/>
  <c r="AG70" i="16"/>
  <c r="AH70" i="16"/>
  <c r="AI70" i="16"/>
  <c r="AJ70" i="16"/>
  <c r="AK70" i="16"/>
  <c r="AL70" i="16"/>
  <c r="AM70" i="16"/>
  <c r="AN70" i="16"/>
  <c r="AO70" i="16"/>
  <c r="AP70" i="16"/>
  <c r="AQ70" i="16"/>
  <c r="AR70" i="16"/>
  <c r="AS70" i="16"/>
  <c r="AT70" i="16"/>
  <c r="AU70" i="16"/>
  <c r="AV70" i="16"/>
  <c r="AW70" i="16"/>
  <c r="AX70" i="16"/>
  <c r="AY70" i="16"/>
  <c r="AZ70" i="16"/>
  <c r="BA70" i="16"/>
  <c r="BB70" i="16"/>
  <c r="BC70" i="16"/>
  <c r="BD70" i="16"/>
  <c r="G71" i="16"/>
  <c r="H71" i="16"/>
  <c r="I71" i="16"/>
  <c r="J71" i="16"/>
  <c r="K71" i="16"/>
  <c r="L71" i="16"/>
  <c r="M71" i="16"/>
  <c r="N71" i="16"/>
  <c r="O71" i="16"/>
  <c r="P71" i="16"/>
  <c r="Q71" i="16"/>
  <c r="R71" i="16"/>
  <c r="S71" i="16"/>
  <c r="T71" i="16"/>
  <c r="U71" i="16"/>
  <c r="V71" i="16"/>
  <c r="W71" i="16"/>
  <c r="X71" i="16"/>
  <c r="Y71" i="16"/>
  <c r="Z71" i="16"/>
  <c r="AA71" i="16"/>
  <c r="AB71" i="16"/>
  <c r="AC71" i="16"/>
  <c r="AD71" i="16"/>
  <c r="AE71" i="16"/>
  <c r="AF71" i="16"/>
  <c r="AG71" i="16"/>
  <c r="AH71" i="16"/>
  <c r="AI71" i="16"/>
  <c r="AJ71" i="16"/>
  <c r="AK71" i="16"/>
  <c r="AL71" i="16"/>
  <c r="AM71" i="16"/>
  <c r="AN71" i="16"/>
  <c r="AO71" i="16"/>
  <c r="AP71" i="16"/>
  <c r="AQ71" i="16"/>
  <c r="AR71" i="16"/>
  <c r="AS71" i="16"/>
  <c r="AT71" i="16"/>
  <c r="AU71" i="16"/>
  <c r="AV71" i="16"/>
  <c r="AW71" i="16"/>
  <c r="AX71" i="16"/>
  <c r="AY71" i="16"/>
  <c r="AZ71" i="16"/>
  <c r="BA71" i="16"/>
  <c r="BB71" i="16"/>
  <c r="BC71" i="16"/>
  <c r="BD71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AG72" i="16"/>
  <c r="AH72" i="16"/>
  <c r="AI72" i="16"/>
  <c r="AJ72" i="16"/>
  <c r="AK72" i="16"/>
  <c r="AL72" i="16"/>
  <c r="AM72" i="16"/>
  <c r="AN72" i="16"/>
  <c r="AO72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AG73" i="16"/>
  <c r="AH73" i="16"/>
  <c r="AI73" i="16"/>
  <c r="AJ73" i="16"/>
  <c r="AK73" i="16"/>
  <c r="AL73" i="16"/>
  <c r="AM73" i="16"/>
  <c r="AN73" i="16"/>
  <c r="AO73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AG74" i="16"/>
  <c r="AH74" i="16"/>
  <c r="AI74" i="16"/>
  <c r="AJ74" i="16"/>
  <c r="AK74" i="16"/>
  <c r="AL74" i="16"/>
  <c r="AM74" i="16"/>
  <c r="AN74" i="16"/>
  <c r="AO74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G76" i="16"/>
  <c r="H76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AG76" i="16"/>
  <c r="AH76" i="16"/>
  <c r="AI76" i="16"/>
  <c r="AJ76" i="16"/>
  <c r="AK76" i="16"/>
  <c r="AL76" i="16"/>
  <c r="AM76" i="16"/>
  <c r="AN76" i="16"/>
  <c r="AO76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F48" i="16"/>
  <c r="F49" i="16"/>
  <c r="F50" i="16"/>
  <c r="F51" i="16"/>
  <c r="F52" i="16"/>
  <c r="F53" i="16"/>
  <c r="F55" i="16"/>
  <c r="F56" i="16"/>
  <c r="F57" i="16"/>
  <c r="F66" i="16"/>
  <c r="F67" i="16"/>
  <c r="F68" i="16"/>
  <c r="F69" i="16"/>
  <c r="F70" i="16"/>
  <c r="F71" i="16"/>
  <c r="F72" i="16"/>
  <c r="F73" i="16"/>
  <c r="F74" i="16"/>
  <c r="F75" i="16"/>
  <c r="F76" i="16"/>
  <c r="AK47" i="16"/>
  <c r="AL47" i="16"/>
  <c r="AM47" i="16"/>
  <c r="AN47" i="16"/>
  <c r="AO47" i="16"/>
  <c r="AP47" i="16"/>
  <c r="AQ47" i="16"/>
  <c r="AR47" i="16"/>
  <c r="AS47" i="16"/>
  <c r="AT47" i="16"/>
  <c r="AU47" i="16"/>
  <c r="AV47" i="16"/>
  <c r="AW47" i="16"/>
  <c r="AX47" i="16"/>
  <c r="AY47" i="16"/>
  <c r="AZ47" i="16"/>
  <c r="BA47" i="16"/>
  <c r="BB47" i="16"/>
  <c r="BC47" i="16"/>
  <c r="BD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W47" i="16"/>
  <c r="X47" i="16"/>
  <c r="Y47" i="16"/>
  <c r="Z47" i="16"/>
  <c r="AA47" i="16"/>
  <c r="AB47" i="16"/>
  <c r="AC47" i="16"/>
  <c r="AD47" i="16"/>
  <c r="AE47" i="16"/>
  <c r="AF47" i="16"/>
  <c r="AG47" i="16"/>
  <c r="AH47" i="16"/>
  <c r="AI47" i="16"/>
  <c r="AJ47" i="16"/>
  <c r="F47" i="16"/>
  <c r="AU38" i="16"/>
  <c r="AV38" i="16"/>
  <c r="AW38" i="16"/>
  <c r="AX38" i="16"/>
  <c r="AY38" i="16"/>
  <c r="AZ38" i="16"/>
  <c r="BA38" i="16"/>
  <c r="BB38" i="16"/>
  <c r="BC38" i="16"/>
  <c r="BD23" i="16"/>
  <c r="BD63" i="16" s="1"/>
  <c r="BC23" i="16"/>
  <c r="BC63" i="16" s="1"/>
  <c r="BB23" i="16"/>
  <c r="BB63" i="16" s="1"/>
  <c r="BA23" i="16"/>
  <c r="BA63" i="16" s="1"/>
  <c r="AZ23" i="16"/>
  <c r="AZ63" i="16" s="1"/>
  <c r="AY23" i="16"/>
  <c r="AY63" i="16" s="1"/>
  <c r="AX23" i="16"/>
  <c r="AX63" i="16" s="1"/>
  <c r="AW23" i="16"/>
  <c r="AW63" i="16" s="1"/>
  <c r="AV23" i="16"/>
  <c r="AV63" i="16" s="1"/>
  <c r="AU23" i="16"/>
  <c r="AU63" i="16" s="1"/>
  <c r="AT23" i="16"/>
  <c r="AT63" i="16" s="1"/>
  <c r="AS23" i="16"/>
  <c r="AS63" i="16" s="1"/>
  <c r="AR23" i="16"/>
  <c r="AR63" i="16" s="1"/>
  <c r="AQ23" i="16"/>
  <c r="AQ63" i="16" s="1"/>
  <c r="AP23" i="16"/>
  <c r="AP63" i="16" s="1"/>
  <c r="AO23" i="16"/>
  <c r="AO63" i="16" s="1"/>
  <c r="AN23" i="16"/>
  <c r="AN63" i="16" s="1"/>
  <c r="AM23" i="16"/>
  <c r="AM63" i="16" s="1"/>
  <c r="AL23" i="16"/>
  <c r="AL63" i="16" s="1"/>
  <c r="AK23" i="16"/>
  <c r="AK63" i="16" s="1"/>
  <c r="AJ23" i="16"/>
  <c r="AJ63" i="16" s="1"/>
  <c r="AI23" i="16"/>
  <c r="AI63" i="16" s="1"/>
  <c r="AH23" i="16"/>
  <c r="AH63" i="16" s="1"/>
  <c r="AG23" i="16"/>
  <c r="AG63" i="16" s="1"/>
  <c r="AF23" i="16"/>
  <c r="AF63" i="16" s="1"/>
  <c r="AE23" i="16"/>
  <c r="AE63" i="16" s="1"/>
  <c r="AD23" i="16"/>
  <c r="AD63" i="16" s="1"/>
  <c r="AC23" i="16"/>
  <c r="AC63" i="16" s="1"/>
  <c r="AB23" i="16"/>
  <c r="AB63" i="16" s="1"/>
  <c r="AA23" i="16"/>
  <c r="AA63" i="16" s="1"/>
  <c r="Z23" i="16"/>
  <c r="Z63" i="16" s="1"/>
  <c r="Y23" i="16"/>
  <c r="Y63" i="16" s="1"/>
  <c r="X23" i="16"/>
  <c r="X63" i="16" s="1"/>
  <c r="W23" i="16"/>
  <c r="W63" i="16" s="1"/>
  <c r="V23" i="16"/>
  <c r="V63" i="16" s="1"/>
  <c r="U23" i="16"/>
  <c r="U63" i="16" s="1"/>
  <c r="T23" i="16"/>
  <c r="T63" i="16" s="1"/>
  <c r="S23" i="16"/>
  <c r="S63" i="16" s="1"/>
  <c r="R23" i="16"/>
  <c r="R63" i="16" s="1"/>
  <c r="Q23" i="16"/>
  <c r="Q63" i="16" s="1"/>
  <c r="P23" i="16"/>
  <c r="P63" i="16" s="1"/>
  <c r="O23" i="16"/>
  <c r="O63" i="16" s="1"/>
  <c r="N23" i="16"/>
  <c r="N63" i="16" s="1"/>
  <c r="M23" i="16"/>
  <c r="M63" i="16" s="1"/>
  <c r="L23" i="16"/>
  <c r="L63" i="16" s="1"/>
  <c r="K23" i="16"/>
  <c r="K63" i="16" s="1"/>
  <c r="J23" i="16"/>
  <c r="J63" i="16" s="1"/>
  <c r="I23" i="16"/>
  <c r="I63" i="16" s="1"/>
  <c r="H23" i="16"/>
  <c r="H63" i="16" s="1"/>
  <c r="G23" i="16"/>
  <c r="G63" i="16" s="1"/>
  <c r="F23" i="16"/>
  <c r="F63" i="16" s="1"/>
  <c r="BD21" i="16"/>
  <c r="BD61" i="16" s="1"/>
  <c r="BC21" i="16"/>
  <c r="BC61" i="16" s="1"/>
  <c r="BB21" i="16"/>
  <c r="BB61" i="16" s="1"/>
  <c r="BA21" i="16"/>
  <c r="BA61" i="16" s="1"/>
  <c r="AZ21" i="16"/>
  <c r="AZ61" i="16" s="1"/>
  <c r="AY21" i="16"/>
  <c r="AY61" i="16" s="1"/>
  <c r="AX21" i="16"/>
  <c r="AX61" i="16" s="1"/>
  <c r="AW21" i="16"/>
  <c r="AW61" i="16" s="1"/>
  <c r="AV21" i="16"/>
  <c r="AV61" i="16" s="1"/>
  <c r="AU21" i="16"/>
  <c r="AU61" i="16" s="1"/>
  <c r="AT21" i="16"/>
  <c r="AT61" i="16" s="1"/>
  <c r="AS21" i="16"/>
  <c r="AS61" i="16" s="1"/>
  <c r="AR21" i="16"/>
  <c r="AR61" i="16" s="1"/>
  <c r="AQ21" i="16"/>
  <c r="AQ61" i="16" s="1"/>
  <c r="AP21" i="16"/>
  <c r="AP61" i="16" s="1"/>
  <c r="AO21" i="16"/>
  <c r="AO61" i="16" s="1"/>
  <c r="AN21" i="16"/>
  <c r="AN61" i="16" s="1"/>
  <c r="AM21" i="16"/>
  <c r="AM61" i="16" s="1"/>
  <c r="AL21" i="16"/>
  <c r="AL61" i="16" s="1"/>
  <c r="AK21" i="16"/>
  <c r="AK61" i="16" s="1"/>
  <c r="AJ21" i="16"/>
  <c r="AJ61" i="16" s="1"/>
  <c r="AI21" i="16"/>
  <c r="AI61" i="16" s="1"/>
  <c r="AH21" i="16"/>
  <c r="AH61" i="16" s="1"/>
  <c r="AG21" i="16"/>
  <c r="AG61" i="16" s="1"/>
  <c r="AF21" i="16"/>
  <c r="AF61" i="16" s="1"/>
  <c r="AE21" i="16"/>
  <c r="AE61" i="16" s="1"/>
  <c r="AD21" i="16"/>
  <c r="AD61" i="16" s="1"/>
  <c r="AC21" i="16"/>
  <c r="AC61" i="16" s="1"/>
  <c r="AB21" i="16"/>
  <c r="AB61" i="16" s="1"/>
  <c r="AA21" i="16"/>
  <c r="AA61" i="16" s="1"/>
  <c r="Z21" i="16"/>
  <c r="Z61" i="16" s="1"/>
  <c r="Y21" i="16"/>
  <c r="Y61" i="16" s="1"/>
  <c r="X21" i="16"/>
  <c r="X61" i="16" s="1"/>
  <c r="W21" i="16"/>
  <c r="W61" i="16" s="1"/>
  <c r="V21" i="16"/>
  <c r="V61" i="16" s="1"/>
  <c r="U21" i="16"/>
  <c r="U61" i="16" s="1"/>
  <c r="T21" i="16"/>
  <c r="T61" i="16" s="1"/>
  <c r="S21" i="16"/>
  <c r="S61" i="16" s="1"/>
  <c r="R21" i="16"/>
  <c r="R61" i="16" s="1"/>
  <c r="Q21" i="16"/>
  <c r="Q61" i="16" s="1"/>
  <c r="P21" i="16"/>
  <c r="P61" i="16" s="1"/>
  <c r="O21" i="16"/>
  <c r="O61" i="16" s="1"/>
  <c r="N21" i="16"/>
  <c r="N61" i="16" s="1"/>
  <c r="M21" i="16"/>
  <c r="M61" i="16" s="1"/>
  <c r="L21" i="16"/>
  <c r="L61" i="16" s="1"/>
  <c r="K21" i="16"/>
  <c r="K61" i="16" s="1"/>
  <c r="I21" i="16"/>
  <c r="I61" i="16" s="1"/>
  <c r="H21" i="16"/>
  <c r="H61" i="16" s="1"/>
  <c r="G21" i="16"/>
  <c r="G61" i="16" s="1"/>
  <c r="F21" i="16"/>
  <c r="F61" i="16" s="1"/>
  <c r="BD14" i="16"/>
  <c r="BD54" i="16" s="1"/>
  <c r="BC14" i="16"/>
  <c r="BC54" i="16" s="1"/>
  <c r="BB14" i="16"/>
  <c r="BB54" i="16" s="1"/>
  <c r="BA14" i="16"/>
  <c r="BA54" i="16" s="1"/>
  <c r="AZ14" i="16"/>
  <c r="AZ54" i="16" s="1"/>
  <c r="AY14" i="16"/>
  <c r="AY54" i="16" s="1"/>
  <c r="AX14" i="16"/>
  <c r="AX54" i="16" s="1"/>
  <c r="AW14" i="16"/>
  <c r="AW54" i="16" s="1"/>
  <c r="AV14" i="16"/>
  <c r="AV54" i="16" s="1"/>
  <c r="AU14" i="16"/>
  <c r="AU54" i="16" s="1"/>
  <c r="AT14" i="16"/>
  <c r="AT54" i="16" s="1"/>
  <c r="AS14" i="16"/>
  <c r="AS54" i="16" s="1"/>
  <c r="AR14" i="16"/>
  <c r="AR54" i="16" s="1"/>
  <c r="AQ14" i="16"/>
  <c r="AQ54" i="16" s="1"/>
  <c r="AP14" i="16"/>
  <c r="AP54" i="16" s="1"/>
  <c r="AO14" i="16"/>
  <c r="AO54" i="16" s="1"/>
  <c r="AN14" i="16"/>
  <c r="AN54" i="16" s="1"/>
  <c r="AM14" i="16"/>
  <c r="AM54" i="16" s="1"/>
  <c r="AL14" i="16"/>
  <c r="AL54" i="16" s="1"/>
  <c r="AK14" i="16"/>
  <c r="AK54" i="16" s="1"/>
  <c r="AJ14" i="16"/>
  <c r="AJ54" i="16" s="1"/>
  <c r="AI14" i="16"/>
  <c r="AI54" i="16" s="1"/>
  <c r="AH14" i="16"/>
  <c r="AH54" i="16" s="1"/>
  <c r="AG14" i="16"/>
  <c r="AG54" i="16" s="1"/>
  <c r="AF14" i="16"/>
  <c r="AF54" i="16" s="1"/>
  <c r="AE14" i="16"/>
  <c r="AE54" i="16" s="1"/>
  <c r="AD14" i="16"/>
  <c r="AD54" i="16" s="1"/>
  <c r="AC14" i="16"/>
  <c r="AC54" i="16" s="1"/>
  <c r="AB14" i="16"/>
  <c r="AB54" i="16" s="1"/>
  <c r="AA14" i="16"/>
  <c r="AA54" i="16" s="1"/>
  <c r="Z14" i="16"/>
  <c r="Z54" i="16" s="1"/>
  <c r="Y14" i="16"/>
  <c r="Y54" i="16" s="1"/>
  <c r="X14" i="16"/>
  <c r="X54" i="16" s="1"/>
  <c r="W14" i="16"/>
  <c r="W54" i="16" s="1"/>
  <c r="V14" i="16"/>
  <c r="V54" i="16" s="1"/>
  <c r="U14" i="16"/>
  <c r="U54" i="16" s="1"/>
  <c r="T14" i="16"/>
  <c r="T54" i="16" s="1"/>
  <c r="S14" i="16"/>
  <c r="S54" i="16" s="1"/>
  <c r="R14" i="16"/>
  <c r="R54" i="16" s="1"/>
  <c r="Q14" i="16"/>
  <c r="Q54" i="16" s="1"/>
  <c r="P14" i="16"/>
  <c r="P54" i="16" s="1"/>
  <c r="O14" i="16"/>
  <c r="O54" i="16" s="1"/>
  <c r="N14" i="16"/>
  <c r="N54" i="16" s="1"/>
  <c r="M14" i="16"/>
  <c r="M54" i="16" s="1"/>
  <c r="L14" i="16"/>
  <c r="L54" i="16" s="1"/>
  <c r="K14" i="16"/>
  <c r="K54" i="16" s="1"/>
  <c r="J14" i="16"/>
  <c r="J54" i="16" s="1"/>
  <c r="I14" i="16"/>
  <c r="I54" i="16" s="1"/>
  <c r="H14" i="16"/>
  <c r="H54" i="16" s="1"/>
  <c r="G14" i="16"/>
  <c r="G54" i="16" s="1"/>
  <c r="F14" i="16"/>
  <c r="F54" i="16" s="1"/>
  <c r="AP6" i="16"/>
  <c r="AQ6" i="16" s="1"/>
  <c r="AR6" i="16" s="1"/>
  <c r="AS6" i="16" s="1"/>
  <c r="AT6" i="16" s="1"/>
  <c r="AU6" i="16" s="1"/>
  <c r="AV6" i="16" s="1"/>
  <c r="AW6" i="16" s="1"/>
  <c r="AX6" i="16" s="1"/>
  <c r="AY6" i="16" s="1"/>
  <c r="AZ6" i="16" s="1"/>
  <c r="BA6" i="16" s="1"/>
  <c r="BB6" i="16" s="1"/>
  <c r="BC6" i="16" s="1"/>
  <c r="BD6" i="16" s="1"/>
  <c r="BE6" i="16" s="1"/>
  <c r="BF6" i="16" s="1"/>
  <c r="BG6" i="16" s="1"/>
  <c r="BH6" i="16" s="1"/>
  <c r="BI6" i="16" s="1"/>
  <c r="BJ6" i="16" s="1"/>
  <c r="BK6" i="16" s="1"/>
  <c r="BL6" i="16" s="1"/>
  <c r="BM6" i="16" s="1"/>
  <c r="BN6" i="16" s="1"/>
  <c r="BO6" i="16" s="1"/>
  <c r="BP6" i="16" s="1"/>
  <c r="BQ6" i="16" s="1"/>
  <c r="BR6" i="16" s="1"/>
  <c r="BS6" i="16" s="1"/>
  <c r="BT6" i="16" s="1"/>
  <c r="BU6" i="16" s="1"/>
  <c r="BV6" i="16" s="1"/>
  <c r="BW6" i="16" s="1"/>
  <c r="BX6" i="16" s="1"/>
  <c r="BY6" i="16" s="1"/>
  <c r="BZ6" i="16" s="1"/>
  <c r="CA6" i="16" s="1"/>
  <c r="K26" i="14"/>
  <c r="BA26" i="14" s="1"/>
  <c r="BB26" i="14" s="1"/>
  <c r="BC26" i="14" s="1"/>
  <c r="BD26" i="14" s="1"/>
  <c r="BE26" i="14" s="1"/>
  <c r="BF26" i="14" s="1"/>
  <c r="BG26" i="14" s="1"/>
  <c r="BH26" i="14" s="1"/>
  <c r="BI26" i="14" s="1"/>
  <c r="BJ26" i="14" s="1"/>
  <c r="BK26" i="14" s="1"/>
  <c r="K27" i="14"/>
  <c r="BA27" i="14" s="1"/>
  <c r="BB27" i="14" s="1"/>
  <c r="BC27" i="14" s="1"/>
  <c r="BD27" i="14" s="1"/>
  <c r="BE27" i="14" s="1"/>
  <c r="BF27" i="14" s="1"/>
  <c r="BG27" i="14" s="1"/>
  <c r="BH27" i="14" s="1"/>
  <c r="BI27" i="14" s="1"/>
  <c r="BJ27" i="14" s="1"/>
  <c r="BK27" i="14" s="1"/>
  <c r="K28" i="14"/>
  <c r="BA28" i="14" s="1"/>
  <c r="BB28" i="14" s="1"/>
  <c r="BC28" i="14" s="1"/>
  <c r="BD28" i="14" s="1"/>
  <c r="BE28" i="14" s="1"/>
  <c r="BF28" i="14" s="1"/>
  <c r="BG28" i="14" s="1"/>
  <c r="BH28" i="14" s="1"/>
  <c r="BI28" i="14" s="1"/>
  <c r="BJ28" i="14" s="1"/>
  <c r="BK28" i="14" s="1"/>
  <c r="K29" i="14"/>
  <c r="BA29" i="14" s="1"/>
  <c r="BB29" i="14" s="1"/>
  <c r="BC29" i="14" s="1"/>
  <c r="BD29" i="14" s="1"/>
  <c r="BE29" i="14" s="1"/>
  <c r="BF29" i="14" s="1"/>
  <c r="BG29" i="14" s="1"/>
  <c r="BH29" i="14" s="1"/>
  <c r="BI29" i="14" s="1"/>
  <c r="BJ29" i="14" s="1"/>
  <c r="BK29" i="14" s="1"/>
  <c r="K30" i="14"/>
  <c r="BA30" i="14" s="1"/>
  <c r="K32" i="14"/>
  <c r="BA32" i="14" s="1"/>
  <c r="BB32" i="14" s="1"/>
  <c r="BC32" i="14" s="1"/>
  <c r="BD32" i="14" s="1"/>
  <c r="BE32" i="14" s="1"/>
  <c r="BF32" i="14" s="1"/>
  <c r="BG32" i="14" s="1"/>
  <c r="BH32" i="14" s="1"/>
  <c r="BI32" i="14" s="1"/>
  <c r="BJ32" i="14" s="1"/>
  <c r="BK32" i="14" s="1"/>
  <c r="K34" i="14"/>
  <c r="BA34" i="14" s="1"/>
  <c r="K36" i="14"/>
  <c r="BA36" i="14" s="1"/>
  <c r="BB36" i="14" s="1"/>
  <c r="BC36" i="14" s="1"/>
  <c r="BD36" i="14" s="1"/>
  <c r="BE36" i="14" s="1"/>
  <c r="BF36" i="14" s="1"/>
  <c r="BG36" i="14" s="1"/>
  <c r="BH36" i="14" s="1"/>
  <c r="BI36" i="14" s="1"/>
  <c r="BJ36" i="14" s="1"/>
  <c r="BK36" i="14" s="1"/>
  <c r="K38" i="14"/>
  <c r="BA38" i="14" s="1"/>
  <c r="BB38" i="14" s="1"/>
  <c r="BC38" i="14" s="1"/>
  <c r="BD38" i="14" s="1"/>
  <c r="BE38" i="14" s="1"/>
  <c r="BF38" i="14" s="1"/>
  <c r="BG38" i="14" s="1"/>
  <c r="BH38" i="14" s="1"/>
  <c r="BI38" i="14" s="1"/>
  <c r="BJ38" i="14" s="1"/>
  <c r="BK38" i="14" s="1"/>
  <c r="K39" i="14"/>
  <c r="BA39" i="14" s="1"/>
  <c r="BB39" i="14" s="1"/>
  <c r="BC39" i="14" s="1"/>
  <c r="BD39" i="14" s="1"/>
  <c r="BE39" i="14" s="1"/>
  <c r="BF39" i="14" s="1"/>
  <c r="BG39" i="14" s="1"/>
  <c r="BH39" i="14" s="1"/>
  <c r="BI39" i="14" s="1"/>
  <c r="BJ39" i="14" s="1"/>
  <c r="BK39" i="14" s="1"/>
  <c r="K40" i="14"/>
  <c r="BA40" i="14" s="1"/>
  <c r="BB40" i="14" s="1"/>
  <c r="BC40" i="14" s="1"/>
  <c r="BD40" i="14" s="1"/>
  <c r="BE40" i="14" s="1"/>
  <c r="BF40" i="14" s="1"/>
  <c r="BG40" i="14" s="1"/>
  <c r="BH40" i="14" s="1"/>
  <c r="BI40" i="14" s="1"/>
  <c r="BJ40" i="14" s="1"/>
  <c r="BK40" i="14" s="1"/>
  <c r="K41" i="14"/>
  <c r="BA41" i="14" s="1"/>
  <c r="BB41" i="14" s="1"/>
  <c r="BC41" i="14" s="1"/>
  <c r="BD41" i="14" s="1"/>
  <c r="BE41" i="14" s="1"/>
  <c r="BF41" i="14" s="1"/>
  <c r="BG41" i="14" s="1"/>
  <c r="BH41" i="14" s="1"/>
  <c r="BI41" i="14" s="1"/>
  <c r="BJ41" i="14" s="1"/>
  <c r="BK41" i="14" s="1"/>
  <c r="K43" i="14"/>
  <c r="BA43" i="14" s="1"/>
  <c r="BB43" i="14" s="1"/>
  <c r="BC43" i="14" s="1"/>
  <c r="BD43" i="14" s="1"/>
  <c r="BE43" i="14" s="1"/>
  <c r="BF43" i="14" s="1"/>
  <c r="BG43" i="14" s="1"/>
  <c r="BH43" i="14" s="1"/>
  <c r="BI43" i="14" s="1"/>
  <c r="BJ43" i="14" s="1"/>
  <c r="BK43" i="14" s="1"/>
  <c r="K44" i="14"/>
  <c r="BA44" i="14" s="1"/>
  <c r="BB44" i="14" s="1"/>
  <c r="BC44" i="14" s="1"/>
  <c r="BD44" i="14" s="1"/>
  <c r="BE44" i="14" s="1"/>
  <c r="BF44" i="14" s="1"/>
  <c r="BG44" i="14" s="1"/>
  <c r="BH44" i="14" s="1"/>
  <c r="BI44" i="14" s="1"/>
  <c r="BJ44" i="14" s="1"/>
  <c r="BK44" i="14" s="1"/>
  <c r="K45" i="14"/>
  <c r="BA45" i="14" s="1"/>
  <c r="BB45" i="14" s="1"/>
  <c r="BC45" i="14" s="1"/>
  <c r="BD45" i="14" s="1"/>
  <c r="BE45" i="14" s="1"/>
  <c r="BF45" i="14" s="1"/>
  <c r="BG45" i="14" s="1"/>
  <c r="BH45" i="14" s="1"/>
  <c r="BI45" i="14" s="1"/>
  <c r="BJ45" i="14" s="1"/>
  <c r="BK45" i="14" s="1"/>
  <c r="K46" i="14"/>
  <c r="BA46" i="14" s="1"/>
  <c r="BB46" i="14" s="1"/>
  <c r="BC46" i="14" s="1"/>
  <c r="BD46" i="14" s="1"/>
  <c r="BE46" i="14" s="1"/>
  <c r="BF46" i="14" s="1"/>
  <c r="BG46" i="14" s="1"/>
  <c r="BH46" i="14" s="1"/>
  <c r="BI46" i="14" s="1"/>
  <c r="BJ46" i="14" s="1"/>
  <c r="BK46" i="14" s="1"/>
  <c r="K47" i="14"/>
  <c r="BA47" i="14" s="1"/>
  <c r="BB47" i="14" s="1"/>
  <c r="BC47" i="14" s="1"/>
  <c r="BD47" i="14" s="1"/>
  <c r="BE47" i="14" s="1"/>
  <c r="BF47" i="14" s="1"/>
  <c r="BG47" i="14" s="1"/>
  <c r="BH47" i="14" s="1"/>
  <c r="BI47" i="14" s="1"/>
  <c r="BJ47" i="14" s="1"/>
  <c r="BK47" i="14" s="1"/>
  <c r="K49" i="14"/>
  <c r="BA49" i="14" s="1"/>
  <c r="BB49" i="14" s="1"/>
  <c r="BC49" i="14" s="1"/>
  <c r="BD49" i="14" s="1"/>
  <c r="BE49" i="14" s="1"/>
  <c r="BF49" i="14" s="1"/>
  <c r="BG49" i="14" s="1"/>
  <c r="BH49" i="14" s="1"/>
  <c r="BI49" i="14" s="1"/>
  <c r="BJ49" i="14" s="1"/>
  <c r="BK49" i="14" s="1"/>
  <c r="K50" i="14"/>
  <c r="BA50" i="14" s="1"/>
  <c r="BB50" i="14" s="1"/>
  <c r="BC50" i="14" s="1"/>
  <c r="BD50" i="14" s="1"/>
  <c r="BE50" i="14" s="1"/>
  <c r="BF50" i="14" s="1"/>
  <c r="BG50" i="14" s="1"/>
  <c r="BH50" i="14" s="1"/>
  <c r="BI50" i="14" s="1"/>
  <c r="BJ50" i="14" s="1"/>
  <c r="BK50" i="14" s="1"/>
  <c r="K51" i="14"/>
  <c r="BA51" i="14" s="1"/>
  <c r="BB51" i="14" s="1"/>
  <c r="BC51" i="14" s="1"/>
  <c r="BD51" i="14" s="1"/>
  <c r="BE51" i="14" s="1"/>
  <c r="BF51" i="14" s="1"/>
  <c r="BG51" i="14" s="1"/>
  <c r="BH51" i="14" s="1"/>
  <c r="BI51" i="14" s="1"/>
  <c r="BJ51" i="14" s="1"/>
  <c r="BK51" i="14" s="1"/>
  <c r="K52" i="14"/>
  <c r="BA52" i="14" s="1"/>
  <c r="BB52" i="14" s="1"/>
  <c r="BC52" i="14" s="1"/>
  <c r="BD52" i="14" s="1"/>
  <c r="BE52" i="14" s="1"/>
  <c r="BF52" i="14" s="1"/>
  <c r="BG52" i="14" s="1"/>
  <c r="BH52" i="14" s="1"/>
  <c r="BI52" i="14" s="1"/>
  <c r="BJ52" i="14" s="1"/>
  <c r="BK52" i="14" s="1"/>
  <c r="K53" i="14"/>
  <c r="BA53" i="14" s="1"/>
  <c r="BB53" i="14" s="1"/>
  <c r="BC53" i="14" s="1"/>
  <c r="BD53" i="14" s="1"/>
  <c r="BE53" i="14" s="1"/>
  <c r="BF53" i="14" s="1"/>
  <c r="BG53" i="14" s="1"/>
  <c r="BH53" i="14" s="1"/>
  <c r="BI53" i="14" s="1"/>
  <c r="BJ53" i="14" s="1"/>
  <c r="BK53" i="14" s="1"/>
  <c r="K54" i="14"/>
  <c r="BA54" i="14" s="1"/>
  <c r="BB54" i="14" s="1"/>
  <c r="BC54" i="14" s="1"/>
  <c r="BD54" i="14" s="1"/>
  <c r="BE54" i="14" s="1"/>
  <c r="BF54" i="14" s="1"/>
  <c r="BG54" i="14" s="1"/>
  <c r="BH54" i="14" s="1"/>
  <c r="BI54" i="14" s="1"/>
  <c r="BJ54" i="14" s="1"/>
  <c r="BK54" i="14" s="1"/>
  <c r="K55" i="14"/>
  <c r="BA55" i="14" s="1"/>
  <c r="BB55" i="14" s="1"/>
  <c r="BC55" i="14" s="1"/>
  <c r="BD55" i="14" s="1"/>
  <c r="BE55" i="14" s="1"/>
  <c r="BF55" i="14" s="1"/>
  <c r="BG55" i="14" s="1"/>
  <c r="BH55" i="14" s="1"/>
  <c r="BI55" i="14" s="1"/>
  <c r="BJ55" i="14" s="1"/>
  <c r="BK55" i="14" s="1"/>
  <c r="K56" i="14"/>
  <c r="BA56" i="14" s="1"/>
  <c r="BB56" i="14" s="1"/>
  <c r="BC56" i="14" s="1"/>
  <c r="BD56" i="14" s="1"/>
  <c r="BE56" i="14" s="1"/>
  <c r="BF56" i="14" s="1"/>
  <c r="BG56" i="14" s="1"/>
  <c r="BH56" i="14" s="1"/>
  <c r="BI56" i="14" s="1"/>
  <c r="BJ56" i="14" s="1"/>
  <c r="BK56" i="14" s="1"/>
  <c r="K57" i="14"/>
  <c r="BA57" i="14" s="1"/>
  <c r="BB57" i="14" s="1"/>
  <c r="BC57" i="14" s="1"/>
  <c r="BD57" i="14" s="1"/>
  <c r="BE57" i="14" s="1"/>
  <c r="BF57" i="14" s="1"/>
  <c r="BG57" i="14" s="1"/>
  <c r="BH57" i="14" s="1"/>
  <c r="BI57" i="14" s="1"/>
  <c r="BJ57" i="14" s="1"/>
  <c r="BK57" i="14" s="1"/>
  <c r="K58" i="14"/>
  <c r="BA58" i="14" s="1"/>
  <c r="BB58" i="14" s="1"/>
  <c r="BC58" i="14" s="1"/>
  <c r="BD58" i="14" s="1"/>
  <c r="BE58" i="14" s="1"/>
  <c r="BF58" i="14" s="1"/>
  <c r="BG58" i="14" s="1"/>
  <c r="BH58" i="14" s="1"/>
  <c r="BI58" i="14" s="1"/>
  <c r="BJ58" i="14" s="1"/>
  <c r="BK58" i="14" s="1"/>
  <c r="K59" i="14"/>
  <c r="BA59" i="14" s="1"/>
  <c r="BB59" i="14" s="1"/>
  <c r="BC59" i="14" s="1"/>
  <c r="BD59" i="14" s="1"/>
  <c r="BE59" i="14" s="1"/>
  <c r="BF59" i="14" s="1"/>
  <c r="BG59" i="14" s="1"/>
  <c r="BH59" i="14" s="1"/>
  <c r="BI59" i="14" s="1"/>
  <c r="BJ59" i="14" s="1"/>
  <c r="BK59" i="14" s="1"/>
  <c r="K60" i="14"/>
  <c r="BA60" i="14" s="1"/>
  <c r="BB60" i="14" s="1"/>
  <c r="BC60" i="14" s="1"/>
  <c r="BD60" i="14" s="1"/>
  <c r="BE60" i="14" s="1"/>
  <c r="BF60" i="14" s="1"/>
  <c r="BG60" i="14" s="1"/>
  <c r="BH60" i="14" s="1"/>
  <c r="BI60" i="14" s="1"/>
  <c r="BJ60" i="14" s="1"/>
  <c r="BK60" i="14" s="1"/>
  <c r="K61" i="14"/>
  <c r="BA61" i="14" s="1"/>
  <c r="BB61" i="14" s="1"/>
  <c r="BC61" i="14" s="1"/>
  <c r="BD61" i="14" s="1"/>
  <c r="BE61" i="14" s="1"/>
  <c r="BF61" i="14" s="1"/>
  <c r="BG61" i="14" s="1"/>
  <c r="BH61" i="14" s="1"/>
  <c r="BI61" i="14" s="1"/>
  <c r="BJ61" i="14" s="1"/>
  <c r="BK61" i="14" s="1"/>
  <c r="K62" i="14"/>
  <c r="K66" i="14" s="1"/>
  <c r="K63" i="14"/>
  <c r="BA63" i="14" s="1"/>
  <c r="BB63" i="14" s="1"/>
  <c r="BC63" i="14" s="1"/>
  <c r="BD63" i="14" s="1"/>
  <c r="BE63" i="14" s="1"/>
  <c r="BF63" i="14" s="1"/>
  <c r="BG63" i="14" s="1"/>
  <c r="BH63" i="14" s="1"/>
  <c r="BI63" i="14" s="1"/>
  <c r="BJ63" i="14" s="1"/>
  <c r="BK63" i="14" s="1"/>
  <c r="K68" i="14"/>
  <c r="BA68" i="14" s="1"/>
  <c r="BB68" i="14" s="1"/>
  <c r="BC68" i="14" s="1"/>
  <c r="BD68" i="14" s="1"/>
  <c r="BE68" i="14" s="1"/>
  <c r="BF68" i="14" s="1"/>
  <c r="BG68" i="14" s="1"/>
  <c r="BH68" i="14" s="1"/>
  <c r="BI68" i="14" s="1"/>
  <c r="BJ68" i="14" s="1"/>
  <c r="BK68" i="14" s="1"/>
  <c r="K69" i="14"/>
  <c r="K76" i="14" s="1"/>
  <c r="K70" i="14"/>
  <c r="BA70" i="14" s="1"/>
  <c r="BB70" i="14" s="1"/>
  <c r="K72" i="14"/>
  <c r="BA72" i="14" s="1"/>
  <c r="BB72" i="14" s="1"/>
  <c r="BC72" i="14" s="1"/>
  <c r="BD72" i="14" s="1"/>
  <c r="BE72" i="14" s="1"/>
  <c r="BF72" i="14" s="1"/>
  <c r="BG72" i="14" s="1"/>
  <c r="BH72" i="14" s="1"/>
  <c r="BI72" i="14" s="1"/>
  <c r="BJ72" i="14" s="1"/>
  <c r="BK72" i="14" s="1"/>
  <c r="K73" i="14"/>
  <c r="K74" i="14"/>
  <c r="BA74" i="14" s="1"/>
  <c r="BB74" i="14" s="1"/>
  <c r="BC74" i="14" s="1"/>
  <c r="BD74" i="14" s="1"/>
  <c r="BE74" i="14" s="1"/>
  <c r="BF74" i="14" s="1"/>
  <c r="BG74" i="14" s="1"/>
  <c r="BH74" i="14" s="1"/>
  <c r="BI74" i="14" s="1"/>
  <c r="BJ74" i="14" s="1"/>
  <c r="BK74" i="14" s="1"/>
  <c r="K84" i="14"/>
  <c r="BA84" i="14" s="1"/>
  <c r="BB84" i="14" s="1"/>
  <c r="BC84" i="14" s="1"/>
  <c r="BD84" i="14" s="1"/>
  <c r="BE84" i="14" s="1"/>
  <c r="BF84" i="14" s="1"/>
  <c r="BG84" i="14" s="1"/>
  <c r="BH84" i="14" s="1"/>
  <c r="BI84" i="14" s="1"/>
  <c r="BJ84" i="14" s="1"/>
  <c r="BK84" i="14" s="1"/>
  <c r="K85" i="14"/>
  <c r="BA85" i="14" s="1"/>
  <c r="BB85" i="14" s="1"/>
  <c r="BC85" i="14" s="1"/>
  <c r="BD85" i="14" s="1"/>
  <c r="BE85" i="14" s="1"/>
  <c r="BF85" i="14" s="1"/>
  <c r="BG85" i="14" s="1"/>
  <c r="BH85" i="14" s="1"/>
  <c r="BI85" i="14" s="1"/>
  <c r="BJ85" i="14" s="1"/>
  <c r="BK85" i="14" s="1"/>
  <c r="K86" i="14"/>
  <c r="BA86" i="14" s="1"/>
  <c r="BB86" i="14" s="1"/>
  <c r="BC86" i="14" s="1"/>
  <c r="BD86" i="14" s="1"/>
  <c r="BE86" i="14" s="1"/>
  <c r="BF86" i="14" s="1"/>
  <c r="BG86" i="14" s="1"/>
  <c r="BH86" i="14" s="1"/>
  <c r="BI86" i="14" s="1"/>
  <c r="BJ86" i="14" s="1"/>
  <c r="BK86" i="14" s="1"/>
  <c r="K87" i="14"/>
  <c r="BA87" i="14" s="1"/>
  <c r="BB87" i="14" s="1"/>
  <c r="BC87" i="14" s="1"/>
  <c r="BD87" i="14" s="1"/>
  <c r="BE87" i="14" s="1"/>
  <c r="BF87" i="14" s="1"/>
  <c r="BG87" i="14" s="1"/>
  <c r="BH87" i="14" s="1"/>
  <c r="BI87" i="14" s="1"/>
  <c r="BJ87" i="14" s="1"/>
  <c r="BK87" i="14" s="1"/>
  <c r="K88" i="14"/>
  <c r="BA88" i="14" s="1"/>
  <c r="BB88" i="14" s="1"/>
  <c r="BC88" i="14" s="1"/>
  <c r="BD88" i="14" s="1"/>
  <c r="BE88" i="14" s="1"/>
  <c r="BF88" i="14" s="1"/>
  <c r="BG88" i="14" s="1"/>
  <c r="BH88" i="14" s="1"/>
  <c r="BI88" i="14" s="1"/>
  <c r="BJ88" i="14" s="1"/>
  <c r="BK88" i="14" s="1"/>
  <c r="K89" i="14"/>
  <c r="BA89" i="14" s="1"/>
  <c r="BB89" i="14" s="1"/>
  <c r="BC89" i="14" s="1"/>
  <c r="BD89" i="14" s="1"/>
  <c r="BE89" i="14" s="1"/>
  <c r="BF89" i="14" s="1"/>
  <c r="BG89" i="14" s="1"/>
  <c r="BH89" i="14" s="1"/>
  <c r="BI89" i="14" s="1"/>
  <c r="BJ89" i="14" s="1"/>
  <c r="BK89" i="14" s="1"/>
  <c r="K90" i="14"/>
  <c r="BA90" i="14" s="1"/>
  <c r="BB90" i="14" s="1"/>
  <c r="BC90" i="14" s="1"/>
  <c r="BD90" i="14" s="1"/>
  <c r="BE90" i="14" s="1"/>
  <c r="BF90" i="14" s="1"/>
  <c r="BG90" i="14" s="1"/>
  <c r="BH90" i="14" s="1"/>
  <c r="BI90" i="14" s="1"/>
  <c r="BJ90" i="14" s="1"/>
  <c r="BK90" i="14" s="1"/>
  <c r="K91" i="14"/>
  <c r="BA91" i="14" s="1"/>
  <c r="BB91" i="14" s="1"/>
  <c r="BC91" i="14" s="1"/>
  <c r="BD91" i="14" s="1"/>
  <c r="BE91" i="14" s="1"/>
  <c r="BF91" i="14" s="1"/>
  <c r="BG91" i="14" s="1"/>
  <c r="BH91" i="14" s="1"/>
  <c r="BI91" i="14" s="1"/>
  <c r="BJ91" i="14" s="1"/>
  <c r="BK91" i="14" s="1"/>
  <c r="K92" i="14"/>
  <c r="BA92" i="14" s="1"/>
  <c r="BB92" i="14" s="1"/>
  <c r="BC92" i="14" s="1"/>
  <c r="BD92" i="14" s="1"/>
  <c r="BE92" i="14" s="1"/>
  <c r="BF92" i="14" s="1"/>
  <c r="BG92" i="14" s="1"/>
  <c r="BH92" i="14" s="1"/>
  <c r="BI92" i="14" s="1"/>
  <c r="BJ92" i="14" s="1"/>
  <c r="BK92" i="14" s="1"/>
  <c r="K93" i="14"/>
  <c r="BA93" i="14" s="1"/>
  <c r="BB93" i="14" s="1"/>
  <c r="BC93" i="14" s="1"/>
  <c r="BD93" i="14" s="1"/>
  <c r="BE93" i="14" s="1"/>
  <c r="BF93" i="14" s="1"/>
  <c r="BG93" i="14" s="1"/>
  <c r="BH93" i="14" s="1"/>
  <c r="BI93" i="14" s="1"/>
  <c r="BJ93" i="14" s="1"/>
  <c r="BK93" i="14" s="1"/>
  <c r="K94" i="14"/>
  <c r="BA94" i="14" s="1"/>
  <c r="BB94" i="14" s="1"/>
  <c r="BC94" i="14" s="1"/>
  <c r="BD94" i="14" s="1"/>
  <c r="BE94" i="14" s="1"/>
  <c r="BF94" i="14" s="1"/>
  <c r="BG94" i="14" s="1"/>
  <c r="BH94" i="14" s="1"/>
  <c r="BI94" i="14" s="1"/>
  <c r="BJ94" i="14" s="1"/>
  <c r="BK94" i="14" s="1"/>
  <c r="K95" i="14"/>
  <c r="BA95" i="14" s="1"/>
  <c r="BB95" i="14" s="1"/>
  <c r="BC95" i="14" s="1"/>
  <c r="BD95" i="14" s="1"/>
  <c r="BE95" i="14" s="1"/>
  <c r="BF95" i="14" s="1"/>
  <c r="BG95" i="14" s="1"/>
  <c r="BH95" i="14" s="1"/>
  <c r="BI95" i="14" s="1"/>
  <c r="BJ95" i="14" s="1"/>
  <c r="BK95" i="14" s="1"/>
  <c r="K96" i="14"/>
  <c r="BA96" i="14" s="1"/>
  <c r="BB96" i="14" s="1"/>
  <c r="BC96" i="14" s="1"/>
  <c r="BD96" i="14" s="1"/>
  <c r="BE96" i="14" s="1"/>
  <c r="BF96" i="14" s="1"/>
  <c r="BG96" i="14" s="1"/>
  <c r="BH96" i="14" s="1"/>
  <c r="BI96" i="14" s="1"/>
  <c r="BJ96" i="14" s="1"/>
  <c r="BK96" i="14" s="1"/>
  <c r="K97" i="14"/>
  <c r="BA97" i="14" s="1"/>
  <c r="BB97" i="14" s="1"/>
  <c r="BC97" i="14" s="1"/>
  <c r="BD97" i="14" s="1"/>
  <c r="BE97" i="14" s="1"/>
  <c r="BF97" i="14" s="1"/>
  <c r="BG97" i="14" s="1"/>
  <c r="BH97" i="14" s="1"/>
  <c r="BI97" i="14" s="1"/>
  <c r="BJ97" i="14" s="1"/>
  <c r="BK97" i="14" s="1"/>
  <c r="K98" i="14"/>
  <c r="BA98" i="14" s="1"/>
  <c r="BB98" i="14" s="1"/>
  <c r="BC98" i="14" s="1"/>
  <c r="BD98" i="14" s="1"/>
  <c r="BE98" i="14" s="1"/>
  <c r="BF98" i="14" s="1"/>
  <c r="BG98" i="14" s="1"/>
  <c r="BH98" i="14" s="1"/>
  <c r="BI98" i="14" s="1"/>
  <c r="BJ98" i="14" s="1"/>
  <c r="BK98" i="14" s="1"/>
  <c r="K99" i="14"/>
  <c r="BA99" i="14" s="1"/>
  <c r="BB99" i="14" s="1"/>
  <c r="BC99" i="14" s="1"/>
  <c r="BD99" i="14" s="1"/>
  <c r="BE99" i="14" s="1"/>
  <c r="BF99" i="14" s="1"/>
  <c r="BG99" i="14" s="1"/>
  <c r="BH99" i="14" s="1"/>
  <c r="BI99" i="14" s="1"/>
  <c r="BJ99" i="14" s="1"/>
  <c r="BK99" i="14" s="1"/>
  <c r="K100" i="14"/>
  <c r="BA100" i="14" s="1"/>
  <c r="BB100" i="14" s="1"/>
  <c r="BC100" i="14" s="1"/>
  <c r="BD100" i="14" s="1"/>
  <c r="BE100" i="14" s="1"/>
  <c r="BF100" i="14" s="1"/>
  <c r="BG100" i="14" s="1"/>
  <c r="BH100" i="14" s="1"/>
  <c r="BI100" i="14" s="1"/>
  <c r="BJ100" i="14" s="1"/>
  <c r="BK100" i="14" s="1"/>
  <c r="K101" i="14"/>
  <c r="BA101" i="14" s="1"/>
  <c r="BB101" i="14" s="1"/>
  <c r="BC101" i="14" s="1"/>
  <c r="BD101" i="14" s="1"/>
  <c r="BE101" i="14" s="1"/>
  <c r="BF101" i="14" s="1"/>
  <c r="BG101" i="14" s="1"/>
  <c r="BH101" i="14" s="1"/>
  <c r="BI101" i="14" s="1"/>
  <c r="BJ101" i="14" s="1"/>
  <c r="BK101" i="14" s="1"/>
  <c r="K102" i="14"/>
  <c r="BA102" i="14" s="1"/>
  <c r="BB102" i="14" s="1"/>
  <c r="BC102" i="14" s="1"/>
  <c r="BD102" i="14" s="1"/>
  <c r="BE102" i="14" s="1"/>
  <c r="BF102" i="14" s="1"/>
  <c r="BG102" i="14" s="1"/>
  <c r="BH102" i="14" s="1"/>
  <c r="BI102" i="14" s="1"/>
  <c r="BJ102" i="14" s="1"/>
  <c r="BK102" i="14" s="1"/>
  <c r="K106" i="14"/>
  <c r="BA106" i="14" s="1"/>
  <c r="BB106" i="14" s="1"/>
  <c r="BC106" i="14" s="1"/>
  <c r="BD106" i="14" s="1"/>
  <c r="BE106" i="14" s="1"/>
  <c r="BF106" i="14" s="1"/>
  <c r="BG106" i="14" s="1"/>
  <c r="BH106" i="14" s="1"/>
  <c r="BI106" i="14" s="1"/>
  <c r="BJ106" i="14" s="1"/>
  <c r="BK106" i="14" s="1"/>
  <c r="K107" i="14"/>
  <c r="BA107" i="14" s="1"/>
  <c r="BB107" i="14" s="1"/>
  <c r="BC107" i="14" s="1"/>
  <c r="BD107" i="14" s="1"/>
  <c r="BE107" i="14" s="1"/>
  <c r="BF107" i="14" s="1"/>
  <c r="BG107" i="14" s="1"/>
  <c r="BH107" i="14" s="1"/>
  <c r="BI107" i="14" s="1"/>
  <c r="BJ107" i="14" s="1"/>
  <c r="BK107" i="14" s="1"/>
  <c r="K108" i="14"/>
  <c r="BA108" i="14" s="1"/>
  <c r="BB108" i="14" s="1"/>
  <c r="BC108" i="14" s="1"/>
  <c r="BD108" i="14" s="1"/>
  <c r="BE108" i="14" s="1"/>
  <c r="BF108" i="14" s="1"/>
  <c r="BG108" i="14" s="1"/>
  <c r="BH108" i="14" s="1"/>
  <c r="BI108" i="14" s="1"/>
  <c r="BJ108" i="14" s="1"/>
  <c r="BK108" i="14" s="1"/>
  <c r="K109" i="14"/>
  <c r="BA109" i="14" s="1"/>
  <c r="BB109" i="14" s="1"/>
  <c r="BC109" i="14" s="1"/>
  <c r="BD109" i="14" s="1"/>
  <c r="BE109" i="14" s="1"/>
  <c r="BF109" i="14" s="1"/>
  <c r="BG109" i="14" s="1"/>
  <c r="BH109" i="14" s="1"/>
  <c r="BI109" i="14" s="1"/>
  <c r="BJ109" i="14" s="1"/>
  <c r="BK109" i="14" s="1"/>
  <c r="K110" i="14"/>
  <c r="BA110" i="14" s="1"/>
  <c r="BB110" i="14" s="1"/>
  <c r="BC110" i="14" s="1"/>
  <c r="BD110" i="14" s="1"/>
  <c r="BE110" i="14" s="1"/>
  <c r="BF110" i="14" s="1"/>
  <c r="BG110" i="14" s="1"/>
  <c r="BH110" i="14" s="1"/>
  <c r="BI110" i="14" s="1"/>
  <c r="BJ110" i="14" s="1"/>
  <c r="BK110" i="14" s="1"/>
  <c r="K111" i="14"/>
  <c r="BA111" i="14" s="1"/>
  <c r="BB111" i="14" s="1"/>
  <c r="BC111" i="14" s="1"/>
  <c r="BD111" i="14" s="1"/>
  <c r="BE111" i="14" s="1"/>
  <c r="BF111" i="14" s="1"/>
  <c r="BG111" i="14" s="1"/>
  <c r="BH111" i="14" s="1"/>
  <c r="BI111" i="14" s="1"/>
  <c r="BJ111" i="14" s="1"/>
  <c r="BK111" i="14" s="1"/>
  <c r="K112" i="14"/>
  <c r="BA112" i="14" s="1"/>
  <c r="BB112" i="14" s="1"/>
  <c r="BC112" i="14" s="1"/>
  <c r="BD112" i="14" s="1"/>
  <c r="BE112" i="14" s="1"/>
  <c r="BF112" i="14" s="1"/>
  <c r="BG112" i="14" s="1"/>
  <c r="BH112" i="14" s="1"/>
  <c r="BI112" i="14" s="1"/>
  <c r="BJ112" i="14" s="1"/>
  <c r="BK112" i="14" s="1"/>
  <c r="K113" i="14"/>
  <c r="BA113" i="14" s="1"/>
  <c r="BB113" i="14" s="1"/>
  <c r="BC113" i="14" s="1"/>
  <c r="BD113" i="14" s="1"/>
  <c r="BE113" i="14" s="1"/>
  <c r="BF113" i="14" s="1"/>
  <c r="BG113" i="14" s="1"/>
  <c r="BH113" i="14" s="1"/>
  <c r="BI113" i="14" s="1"/>
  <c r="BJ113" i="14" s="1"/>
  <c r="BK113" i="14" s="1"/>
  <c r="K114" i="14"/>
  <c r="BA114" i="14" s="1"/>
  <c r="BB114" i="14" s="1"/>
  <c r="BC114" i="14" s="1"/>
  <c r="BD114" i="14" s="1"/>
  <c r="BE114" i="14" s="1"/>
  <c r="BF114" i="14" s="1"/>
  <c r="BG114" i="14" s="1"/>
  <c r="BH114" i="14" s="1"/>
  <c r="BI114" i="14" s="1"/>
  <c r="BJ114" i="14" s="1"/>
  <c r="BK114" i="14" s="1"/>
  <c r="K115" i="14"/>
  <c r="BA115" i="14" s="1"/>
  <c r="BB115" i="14" s="1"/>
  <c r="BC115" i="14" s="1"/>
  <c r="BD115" i="14" s="1"/>
  <c r="BE115" i="14" s="1"/>
  <c r="BF115" i="14" s="1"/>
  <c r="BG115" i="14" s="1"/>
  <c r="BH115" i="14" s="1"/>
  <c r="BI115" i="14" s="1"/>
  <c r="BJ115" i="14" s="1"/>
  <c r="BK115" i="14" s="1"/>
  <c r="K116" i="14"/>
  <c r="BA116" i="14" s="1"/>
  <c r="BB116" i="14" s="1"/>
  <c r="BC116" i="14" s="1"/>
  <c r="BD116" i="14" s="1"/>
  <c r="BE116" i="14" s="1"/>
  <c r="BF116" i="14" s="1"/>
  <c r="BG116" i="14" s="1"/>
  <c r="BH116" i="14" s="1"/>
  <c r="BI116" i="14" s="1"/>
  <c r="BJ116" i="14" s="1"/>
  <c r="BK116" i="14" s="1"/>
  <c r="K117" i="14"/>
  <c r="BA117" i="14" s="1"/>
  <c r="BB117" i="14" s="1"/>
  <c r="BC117" i="14" s="1"/>
  <c r="BD117" i="14" s="1"/>
  <c r="BE117" i="14" s="1"/>
  <c r="BF117" i="14" s="1"/>
  <c r="BG117" i="14" s="1"/>
  <c r="BH117" i="14" s="1"/>
  <c r="BI117" i="14" s="1"/>
  <c r="BJ117" i="14" s="1"/>
  <c r="BK117" i="14" s="1"/>
  <c r="K118" i="14"/>
  <c r="BA118" i="14" s="1"/>
  <c r="BB118" i="14" s="1"/>
  <c r="BC118" i="14" s="1"/>
  <c r="BD118" i="14" s="1"/>
  <c r="BE118" i="14" s="1"/>
  <c r="BF118" i="14" s="1"/>
  <c r="BG118" i="14" s="1"/>
  <c r="BH118" i="14" s="1"/>
  <c r="BI118" i="14" s="1"/>
  <c r="BJ118" i="14" s="1"/>
  <c r="BK118" i="14" s="1"/>
  <c r="K119" i="14"/>
  <c r="BA119" i="14" s="1"/>
  <c r="BB119" i="14" s="1"/>
  <c r="BC119" i="14" s="1"/>
  <c r="BD119" i="14" s="1"/>
  <c r="BE119" i="14" s="1"/>
  <c r="BF119" i="14" s="1"/>
  <c r="BG119" i="14" s="1"/>
  <c r="BH119" i="14" s="1"/>
  <c r="BI119" i="14" s="1"/>
  <c r="BJ119" i="14" s="1"/>
  <c r="BK119" i="14" s="1"/>
  <c r="K120" i="14"/>
  <c r="BA120" i="14" s="1"/>
  <c r="BB120" i="14" s="1"/>
  <c r="BC120" i="14" s="1"/>
  <c r="BD120" i="14" s="1"/>
  <c r="BE120" i="14" s="1"/>
  <c r="BF120" i="14" s="1"/>
  <c r="BG120" i="14" s="1"/>
  <c r="BH120" i="14" s="1"/>
  <c r="BI120" i="14" s="1"/>
  <c r="BJ120" i="14" s="1"/>
  <c r="BK120" i="14" s="1"/>
  <c r="K121" i="14"/>
  <c r="BA121" i="14" s="1"/>
  <c r="BB121" i="14" s="1"/>
  <c r="BC121" i="14" s="1"/>
  <c r="BD121" i="14" s="1"/>
  <c r="BE121" i="14" s="1"/>
  <c r="BF121" i="14" s="1"/>
  <c r="BG121" i="14" s="1"/>
  <c r="BH121" i="14" s="1"/>
  <c r="BI121" i="14" s="1"/>
  <c r="BJ121" i="14" s="1"/>
  <c r="BK121" i="14" s="1"/>
  <c r="K65" i="14"/>
  <c r="BA65" i="14" s="1"/>
  <c r="BB65" i="14" s="1"/>
  <c r="BC65" i="14" s="1"/>
  <c r="BD65" i="14" s="1"/>
  <c r="BE65" i="14" s="1"/>
  <c r="BF65" i="14" s="1"/>
  <c r="BG65" i="14" s="1"/>
  <c r="BH65" i="14" s="1"/>
  <c r="BI65" i="14" s="1"/>
  <c r="BJ65" i="14" s="1"/>
  <c r="BK65" i="14" s="1"/>
  <c r="K124" i="14"/>
  <c r="BA124" i="14" s="1"/>
  <c r="BB124" i="14" s="1"/>
  <c r="BC124" i="14" s="1"/>
  <c r="BD124" i="14" s="1"/>
  <c r="BE124" i="14" s="1"/>
  <c r="BF124" i="14" s="1"/>
  <c r="BG124" i="14" s="1"/>
  <c r="BH124" i="14" s="1"/>
  <c r="BI124" i="14" s="1"/>
  <c r="BJ124" i="14" s="1"/>
  <c r="BK124" i="14" s="1"/>
  <c r="K37" i="14"/>
  <c r="BA37" i="14" s="1"/>
  <c r="BB37" i="14" s="1"/>
  <c r="BC37" i="14" s="1"/>
  <c r="BD37" i="14" s="1"/>
  <c r="BE37" i="14" s="1"/>
  <c r="BF37" i="14" s="1"/>
  <c r="BG37" i="14" s="1"/>
  <c r="BH37" i="14" s="1"/>
  <c r="BI37" i="14" s="1"/>
  <c r="BJ37" i="14" s="1"/>
  <c r="BK37" i="14" s="1"/>
  <c r="K23" i="14"/>
  <c r="BA23" i="14" s="1"/>
  <c r="BB23" i="14" s="1"/>
  <c r="BC23" i="14" s="1"/>
  <c r="BD23" i="14" s="1"/>
  <c r="BE23" i="14" s="1"/>
  <c r="BF23" i="14" s="1"/>
  <c r="BG23" i="14" s="1"/>
  <c r="BH23" i="14" s="1"/>
  <c r="BI23" i="14" s="1"/>
  <c r="BJ23" i="14" s="1"/>
  <c r="BK23" i="14" s="1"/>
  <c r="K24" i="14"/>
  <c r="BA24" i="14" s="1"/>
  <c r="BB24" i="14" s="1"/>
  <c r="BC24" i="14" s="1"/>
  <c r="BD24" i="14" s="1"/>
  <c r="BE24" i="14" s="1"/>
  <c r="BF24" i="14" s="1"/>
  <c r="BG24" i="14" s="1"/>
  <c r="BH24" i="14" s="1"/>
  <c r="BI24" i="14" s="1"/>
  <c r="BJ24" i="14" s="1"/>
  <c r="BK24" i="14" s="1"/>
  <c r="K25" i="14"/>
  <c r="BA25" i="14" s="1"/>
  <c r="BB25" i="14" s="1"/>
  <c r="BC25" i="14" s="1"/>
  <c r="BD25" i="14" s="1"/>
  <c r="BE25" i="14" s="1"/>
  <c r="BF25" i="14" s="1"/>
  <c r="BG25" i="14" s="1"/>
  <c r="BH25" i="14" s="1"/>
  <c r="BI25" i="14" s="1"/>
  <c r="BJ25" i="14" s="1"/>
  <c r="BK25" i="14" s="1"/>
  <c r="K21" i="14"/>
  <c r="BA21" i="14" s="1"/>
  <c r="BB21" i="14" s="1"/>
  <c r="BC21" i="14" s="1"/>
  <c r="BD21" i="14" s="1"/>
  <c r="BE21" i="14" s="1"/>
  <c r="BF21" i="14" s="1"/>
  <c r="BG21" i="14" s="1"/>
  <c r="BH21" i="14" s="1"/>
  <c r="BI21" i="14" s="1"/>
  <c r="BJ21" i="14" s="1"/>
  <c r="BK21" i="14" s="1"/>
  <c r="K22" i="14"/>
  <c r="BA22" i="14" s="1"/>
  <c r="BB22" i="14" s="1"/>
  <c r="BC22" i="14" s="1"/>
  <c r="BD22" i="14" s="1"/>
  <c r="BE22" i="14" s="1"/>
  <c r="BF22" i="14" s="1"/>
  <c r="BG22" i="14" s="1"/>
  <c r="BH22" i="14" s="1"/>
  <c r="BI22" i="14" s="1"/>
  <c r="BJ22" i="14" s="1"/>
  <c r="BK22" i="14" s="1"/>
  <c r="K16" i="14"/>
  <c r="BA16" i="14" s="1"/>
  <c r="BB16" i="14" s="1"/>
  <c r="BC16" i="14" s="1"/>
  <c r="BD16" i="14" s="1"/>
  <c r="BE16" i="14" s="1"/>
  <c r="BF16" i="14" s="1"/>
  <c r="BG16" i="14" s="1"/>
  <c r="BH16" i="14" s="1"/>
  <c r="BI16" i="14" s="1"/>
  <c r="BJ16" i="14" s="1"/>
  <c r="BK16" i="14" s="1"/>
  <c r="K18" i="14"/>
  <c r="BA18" i="14" s="1"/>
  <c r="BB18" i="14" s="1"/>
  <c r="BC18" i="14" s="1"/>
  <c r="BD18" i="14" s="1"/>
  <c r="BE18" i="14" s="1"/>
  <c r="BF18" i="14" s="1"/>
  <c r="BG18" i="14" s="1"/>
  <c r="BH18" i="14" s="1"/>
  <c r="BI18" i="14" s="1"/>
  <c r="BJ18" i="14" s="1"/>
  <c r="BK18" i="14" s="1"/>
  <c r="K19" i="14"/>
  <c r="BA19" i="14" s="1"/>
  <c r="BB19" i="14" s="1"/>
  <c r="BC19" i="14" s="1"/>
  <c r="BD19" i="14" s="1"/>
  <c r="BE19" i="14" s="1"/>
  <c r="BF19" i="14" s="1"/>
  <c r="BG19" i="14" s="1"/>
  <c r="BH19" i="14" s="1"/>
  <c r="BI19" i="14" s="1"/>
  <c r="BJ19" i="14" s="1"/>
  <c r="BK19" i="14" s="1"/>
  <c r="K10" i="14"/>
  <c r="BA10" i="14" s="1"/>
  <c r="BB10" i="14" s="1"/>
  <c r="BC10" i="14" s="1"/>
  <c r="BD10" i="14" s="1"/>
  <c r="BE10" i="14" s="1"/>
  <c r="BF10" i="14" s="1"/>
  <c r="BG10" i="14" s="1"/>
  <c r="BH10" i="14" s="1"/>
  <c r="BI10" i="14" s="1"/>
  <c r="BJ10" i="14" s="1"/>
  <c r="BK10" i="14" s="1"/>
  <c r="K11" i="14"/>
  <c r="BA11" i="14" s="1"/>
  <c r="BB11" i="14" s="1"/>
  <c r="BC11" i="14" s="1"/>
  <c r="BD11" i="14" s="1"/>
  <c r="BE11" i="14" s="1"/>
  <c r="BF11" i="14" s="1"/>
  <c r="BG11" i="14" s="1"/>
  <c r="BH11" i="14" s="1"/>
  <c r="BI11" i="14" s="1"/>
  <c r="BJ11" i="14" s="1"/>
  <c r="BK11" i="14" s="1"/>
  <c r="K14" i="14"/>
  <c r="BA14" i="14" s="1"/>
  <c r="BB14" i="14" s="1"/>
  <c r="BC14" i="14" s="1"/>
  <c r="BD14" i="14" s="1"/>
  <c r="BE14" i="14" s="1"/>
  <c r="BF14" i="14" s="1"/>
  <c r="BG14" i="14" s="1"/>
  <c r="BH14" i="14" s="1"/>
  <c r="BI14" i="14" s="1"/>
  <c r="BJ14" i="14" s="1"/>
  <c r="BK14" i="14" s="1"/>
  <c r="K9" i="14"/>
  <c r="BA9" i="14" s="1"/>
  <c r="BB9" i="14" s="1"/>
  <c r="BC9" i="14" s="1"/>
  <c r="BD9" i="14" s="1"/>
  <c r="BE9" i="14" s="1"/>
  <c r="BF9" i="14" s="1"/>
  <c r="BG9" i="14" s="1"/>
  <c r="BH9" i="14" s="1"/>
  <c r="BI9" i="14" s="1"/>
  <c r="BJ9" i="14" s="1"/>
  <c r="BK9" i="14" s="1"/>
  <c r="I12" i="15"/>
  <c r="BO12" i="15" s="1"/>
  <c r="BP12" i="15" s="1"/>
  <c r="BQ12" i="15" s="1"/>
  <c r="BR12" i="15" s="1"/>
  <c r="BS12" i="15" s="1"/>
  <c r="BT12" i="15" s="1"/>
  <c r="BU12" i="15" s="1"/>
  <c r="BV12" i="15" s="1"/>
  <c r="BW12" i="15" s="1"/>
  <c r="BX12" i="15" s="1"/>
  <c r="BY12" i="15" s="1"/>
  <c r="BZ12" i="15" s="1"/>
  <c r="CA12" i="15" s="1"/>
  <c r="CB12" i="15" s="1"/>
  <c r="CC12" i="15" s="1"/>
  <c r="CD12" i="15" s="1"/>
  <c r="CE12" i="15" s="1"/>
  <c r="CF12" i="15" s="1"/>
  <c r="CG12" i="15" s="1"/>
  <c r="CH12" i="15" s="1"/>
  <c r="CI12" i="15" s="1"/>
  <c r="CJ12" i="15" s="1"/>
  <c r="CK12" i="15" s="1"/>
  <c r="CL12" i="15" s="1"/>
  <c r="CM12" i="15" s="1"/>
  <c r="CN12" i="15" s="1"/>
  <c r="CO12" i="15" s="1"/>
  <c r="CP12" i="15" s="1"/>
  <c r="CQ12" i="15" s="1"/>
  <c r="CR12" i="15" s="1"/>
  <c r="I13" i="15"/>
  <c r="BO13" i="15" s="1"/>
  <c r="BP13" i="15" s="1"/>
  <c r="BQ13" i="15" s="1"/>
  <c r="BR13" i="15" s="1"/>
  <c r="BS13" i="15" s="1"/>
  <c r="BT13" i="15" s="1"/>
  <c r="BU13" i="15" s="1"/>
  <c r="BV13" i="15" s="1"/>
  <c r="BW13" i="15" s="1"/>
  <c r="BX13" i="15" s="1"/>
  <c r="BY13" i="15" s="1"/>
  <c r="BZ13" i="15" s="1"/>
  <c r="CA13" i="15" s="1"/>
  <c r="CB13" i="15" s="1"/>
  <c r="CC13" i="15" s="1"/>
  <c r="CD13" i="15" s="1"/>
  <c r="CE13" i="15" s="1"/>
  <c r="CF13" i="15" s="1"/>
  <c r="CG13" i="15" s="1"/>
  <c r="CH13" i="15" s="1"/>
  <c r="CI13" i="15" s="1"/>
  <c r="CJ13" i="15" s="1"/>
  <c r="CK13" i="15" s="1"/>
  <c r="CL13" i="15" s="1"/>
  <c r="CM13" i="15" s="1"/>
  <c r="CN13" i="15" s="1"/>
  <c r="CO13" i="15" s="1"/>
  <c r="CP13" i="15" s="1"/>
  <c r="CQ13" i="15" s="1"/>
  <c r="CR13" i="15" s="1"/>
  <c r="I15" i="15"/>
  <c r="BO15" i="15" s="1"/>
  <c r="BP15" i="15" s="1"/>
  <c r="BQ15" i="15" s="1"/>
  <c r="BR15" i="15" s="1"/>
  <c r="BS15" i="15" s="1"/>
  <c r="BT15" i="15" s="1"/>
  <c r="BU15" i="15" s="1"/>
  <c r="BV15" i="15" s="1"/>
  <c r="BW15" i="15" s="1"/>
  <c r="BX15" i="15" s="1"/>
  <c r="BY15" i="15" s="1"/>
  <c r="BZ15" i="15" s="1"/>
  <c r="CA15" i="15" s="1"/>
  <c r="CB15" i="15" s="1"/>
  <c r="CC15" i="15" s="1"/>
  <c r="CD15" i="15" s="1"/>
  <c r="CE15" i="15" s="1"/>
  <c r="CF15" i="15" s="1"/>
  <c r="CG15" i="15" s="1"/>
  <c r="CH15" i="15" s="1"/>
  <c r="CI15" i="15" s="1"/>
  <c r="CJ15" i="15" s="1"/>
  <c r="CK15" i="15" s="1"/>
  <c r="CL15" i="15" s="1"/>
  <c r="CM15" i="15" s="1"/>
  <c r="CN15" i="15" s="1"/>
  <c r="CO15" i="15" s="1"/>
  <c r="CP15" i="15" s="1"/>
  <c r="CQ15" i="15" s="1"/>
  <c r="CR15" i="15" s="1"/>
  <c r="I16" i="15"/>
  <c r="BO16" i="15" s="1"/>
  <c r="BP16" i="15" s="1"/>
  <c r="BQ16" i="15" s="1"/>
  <c r="BR16" i="15" s="1"/>
  <c r="BS16" i="15" s="1"/>
  <c r="BT16" i="15" s="1"/>
  <c r="BU16" i="15" s="1"/>
  <c r="BV16" i="15" s="1"/>
  <c r="BW16" i="15" s="1"/>
  <c r="BX16" i="15" s="1"/>
  <c r="BY16" i="15" s="1"/>
  <c r="BZ16" i="15" s="1"/>
  <c r="CA16" i="15" s="1"/>
  <c r="CB16" i="15" s="1"/>
  <c r="CC16" i="15" s="1"/>
  <c r="CD16" i="15" s="1"/>
  <c r="CE16" i="15" s="1"/>
  <c r="CF16" i="15" s="1"/>
  <c r="CG16" i="15" s="1"/>
  <c r="CH16" i="15" s="1"/>
  <c r="CI16" i="15" s="1"/>
  <c r="CJ16" i="15" s="1"/>
  <c r="CK16" i="15" s="1"/>
  <c r="CL16" i="15" s="1"/>
  <c r="CM16" i="15" s="1"/>
  <c r="CN16" i="15" s="1"/>
  <c r="CO16" i="15" s="1"/>
  <c r="CP16" i="15" s="1"/>
  <c r="CQ16" i="15" s="1"/>
  <c r="CR16" i="15" s="1"/>
  <c r="I17" i="15"/>
  <c r="BO17" i="15" s="1"/>
  <c r="BP17" i="15" s="1"/>
  <c r="BQ17" i="15" s="1"/>
  <c r="BR17" i="15" s="1"/>
  <c r="BS17" i="15" s="1"/>
  <c r="BT17" i="15" s="1"/>
  <c r="BU17" i="15" s="1"/>
  <c r="BV17" i="15" s="1"/>
  <c r="BW17" i="15" s="1"/>
  <c r="BX17" i="15" s="1"/>
  <c r="BY17" i="15" s="1"/>
  <c r="BZ17" i="15" s="1"/>
  <c r="CA17" i="15" s="1"/>
  <c r="CB17" i="15" s="1"/>
  <c r="CC17" i="15" s="1"/>
  <c r="CD17" i="15" s="1"/>
  <c r="CE17" i="15" s="1"/>
  <c r="CF17" i="15" s="1"/>
  <c r="CG17" i="15" s="1"/>
  <c r="CH17" i="15" s="1"/>
  <c r="CI17" i="15" s="1"/>
  <c r="CJ17" i="15" s="1"/>
  <c r="CK17" i="15" s="1"/>
  <c r="CL17" i="15" s="1"/>
  <c r="CM17" i="15" s="1"/>
  <c r="CN17" i="15" s="1"/>
  <c r="CO17" i="15" s="1"/>
  <c r="CP17" i="15" s="1"/>
  <c r="CQ17" i="15" s="1"/>
  <c r="CR17" i="15" s="1"/>
  <c r="I18" i="15"/>
  <c r="BO18" i="15" s="1"/>
  <c r="BP18" i="15" s="1"/>
  <c r="BQ18" i="15" s="1"/>
  <c r="BR18" i="15" s="1"/>
  <c r="BS18" i="15" s="1"/>
  <c r="BT18" i="15" s="1"/>
  <c r="BU18" i="15" s="1"/>
  <c r="BV18" i="15" s="1"/>
  <c r="BW18" i="15" s="1"/>
  <c r="BX18" i="15" s="1"/>
  <c r="BY18" i="15" s="1"/>
  <c r="BZ18" i="15" s="1"/>
  <c r="CA18" i="15" s="1"/>
  <c r="CB18" i="15" s="1"/>
  <c r="CC18" i="15" s="1"/>
  <c r="CD18" i="15" s="1"/>
  <c r="CE18" i="15" s="1"/>
  <c r="CF18" i="15" s="1"/>
  <c r="CG18" i="15" s="1"/>
  <c r="CH18" i="15" s="1"/>
  <c r="CI18" i="15" s="1"/>
  <c r="CJ18" i="15" s="1"/>
  <c r="CK18" i="15" s="1"/>
  <c r="CL18" i="15" s="1"/>
  <c r="CM18" i="15" s="1"/>
  <c r="CN18" i="15" s="1"/>
  <c r="CO18" i="15" s="1"/>
  <c r="CP18" i="15" s="1"/>
  <c r="CQ18" i="15" s="1"/>
  <c r="CR18" i="15" s="1"/>
  <c r="I19" i="15"/>
  <c r="BO19" i="15" s="1"/>
  <c r="BP19" i="15" s="1"/>
  <c r="BQ19" i="15" s="1"/>
  <c r="BR19" i="15" s="1"/>
  <c r="BS19" i="15" s="1"/>
  <c r="BT19" i="15" s="1"/>
  <c r="BU19" i="15" s="1"/>
  <c r="BV19" i="15" s="1"/>
  <c r="BW19" i="15" s="1"/>
  <c r="BX19" i="15" s="1"/>
  <c r="BY19" i="15" s="1"/>
  <c r="BZ19" i="15" s="1"/>
  <c r="CA19" i="15" s="1"/>
  <c r="CB19" i="15" s="1"/>
  <c r="CC19" i="15" s="1"/>
  <c r="CD19" i="15" s="1"/>
  <c r="CE19" i="15" s="1"/>
  <c r="CF19" i="15" s="1"/>
  <c r="CG19" i="15" s="1"/>
  <c r="CH19" i="15" s="1"/>
  <c r="CI19" i="15" s="1"/>
  <c r="CJ19" i="15" s="1"/>
  <c r="CK19" i="15" s="1"/>
  <c r="CL19" i="15" s="1"/>
  <c r="CM19" i="15" s="1"/>
  <c r="CN19" i="15" s="1"/>
  <c r="CO19" i="15" s="1"/>
  <c r="CP19" i="15" s="1"/>
  <c r="CQ19" i="15" s="1"/>
  <c r="CR19" i="15" s="1"/>
  <c r="I20" i="15"/>
  <c r="BO20" i="15" s="1"/>
  <c r="BP20" i="15" s="1"/>
  <c r="BQ20" i="15" s="1"/>
  <c r="BR20" i="15" s="1"/>
  <c r="BS20" i="15" s="1"/>
  <c r="BT20" i="15" s="1"/>
  <c r="BU20" i="15" s="1"/>
  <c r="BV20" i="15" s="1"/>
  <c r="BW20" i="15" s="1"/>
  <c r="BX20" i="15" s="1"/>
  <c r="BY20" i="15" s="1"/>
  <c r="BZ20" i="15" s="1"/>
  <c r="CA20" i="15" s="1"/>
  <c r="CB20" i="15" s="1"/>
  <c r="CC20" i="15" s="1"/>
  <c r="CD20" i="15" s="1"/>
  <c r="CE20" i="15" s="1"/>
  <c r="CF20" i="15" s="1"/>
  <c r="CG20" i="15" s="1"/>
  <c r="CH20" i="15" s="1"/>
  <c r="CI20" i="15" s="1"/>
  <c r="CJ20" i="15" s="1"/>
  <c r="CK20" i="15" s="1"/>
  <c r="CL20" i="15" s="1"/>
  <c r="CM20" i="15" s="1"/>
  <c r="CN20" i="15" s="1"/>
  <c r="CO20" i="15" s="1"/>
  <c r="CP20" i="15" s="1"/>
  <c r="CQ20" i="15" s="1"/>
  <c r="CR20" i="15" s="1"/>
  <c r="I23" i="15"/>
  <c r="BO23" i="15" s="1"/>
  <c r="BP23" i="15" s="1"/>
  <c r="BQ23" i="15" s="1"/>
  <c r="BR23" i="15" s="1"/>
  <c r="BS23" i="15" s="1"/>
  <c r="BT23" i="15" s="1"/>
  <c r="BU23" i="15" s="1"/>
  <c r="BV23" i="15" s="1"/>
  <c r="BW23" i="15" s="1"/>
  <c r="BX23" i="15" s="1"/>
  <c r="BY23" i="15" s="1"/>
  <c r="BZ23" i="15" s="1"/>
  <c r="CA23" i="15" s="1"/>
  <c r="CB23" i="15" s="1"/>
  <c r="CC23" i="15" s="1"/>
  <c r="CD23" i="15" s="1"/>
  <c r="CE23" i="15" s="1"/>
  <c r="CF23" i="15" s="1"/>
  <c r="CG23" i="15" s="1"/>
  <c r="CH23" i="15" s="1"/>
  <c r="CI23" i="15" s="1"/>
  <c r="CJ23" i="15" s="1"/>
  <c r="CK23" i="15" s="1"/>
  <c r="CL23" i="15" s="1"/>
  <c r="CM23" i="15" s="1"/>
  <c r="CN23" i="15" s="1"/>
  <c r="CO23" i="15" s="1"/>
  <c r="CP23" i="15" s="1"/>
  <c r="CQ23" i="15" s="1"/>
  <c r="CR23" i="15" s="1"/>
  <c r="I24" i="15"/>
  <c r="BO24" i="15" s="1"/>
  <c r="BP24" i="15" s="1"/>
  <c r="BQ24" i="15" s="1"/>
  <c r="BR24" i="15" s="1"/>
  <c r="BS24" i="15" s="1"/>
  <c r="BT24" i="15" s="1"/>
  <c r="BU24" i="15" s="1"/>
  <c r="BV24" i="15" s="1"/>
  <c r="BW24" i="15" s="1"/>
  <c r="BX24" i="15" s="1"/>
  <c r="BY24" i="15" s="1"/>
  <c r="BZ24" i="15" s="1"/>
  <c r="CA24" i="15" s="1"/>
  <c r="CB24" i="15" s="1"/>
  <c r="CC24" i="15" s="1"/>
  <c r="CD24" i="15" s="1"/>
  <c r="CE24" i="15" s="1"/>
  <c r="CF24" i="15" s="1"/>
  <c r="CG24" i="15" s="1"/>
  <c r="CH24" i="15" s="1"/>
  <c r="CI24" i="15" s="1"/>
  <c r="CJ24" i="15" s="1"/>
  <c r="CK24" i="15" s="1"/>
  <c r="CL24" i="15" s="1"/>
  <c r="CM24" i="15" s="1"/>
  <c r="CN24" i="15" s="1"/>
  <c r="CO24" i="15" s="1"/>
  <c r="CP24" i="15" s="1"/>
  <c r="CQ24" i="15" s="1"/>
  <c r="CR24" i="15" s="1"/>
  <c r="I26" i="15"/>
  <c r="BO26" i="15" s="1"/>
  <c r="BP26" i="15" s="1"/>
  <c r="BQ26" i="15" s="1"/>
  <c r="BR26" i="15" s="1"/>
  <c r="BS26" i="15" s="1"/>
  <c r="BT26" i="15" s="1"/>
  <c r="BU26" i="15" s="1"/>
  <c r="BV26" i="15" s="1"/>
  <c r="BW26" i="15" s="1"/>
  <c r="BX26" i="15" s="1"/>
  <c r="BY26" i="15" s="1"/>
  <c r="BZ26" i="15" s="1"/>
  <c r="CA26" i="15" s="1"/>
  <c r="CB26" i="15" s="1"/>
  <c r="CC26" i="15" s="1"/>
  <c r="CD26" i="15" s="1"/>
  <c r="CE26" i="15" s="1"/>
  <c r="CF26" i="15" s="1"/>
  <c r="CG26" i="15" s="1"/>
  <c r="CH26" i="15" s="1"/>
  <c r="CI26" i="15" s="1"/>
  <c r="CJ26" i="15" s="1"/>
  <c r="CK26" i="15" s="1"/>
  <c r="CL26" i="15" s="1"/>
  <c r="CM26" i="15" s="1"/>
  <c r="CN26" i="15" s="1"/>
  <c r="CO26" i="15" s="1"/>
  <c r="CP26" i="15" s="1"/>
  <c r="CQ26" i="15" s="1"/>
  <c r="CR26" i="15" s="1"/>
  <c r="I27" i="15"/>
  <c r="BO27" i="15" s="1"/>
  <c r="BP27" i="15" s="1"/>
  <c r="BQ27" i="15" s="1"/>
  <c r="BR27" i="15" s="1"/>
  <c r="BS27" i="15" s="1"/>
  <c r="BT27" i="15" s="1"/>
  <c r="BU27" i="15" s="1"/>
  <c r="BV27" i="15" s="1"/>
  <c r="BW27" i="15" s="1"/>
  <c r="BX27" i="15" s="1"/>
  <c r="BY27" i="15" s="1"/>
  <c r="BZ27" i="15" s="1"/>
  <c r="CA27" i="15" s="1"/>
  <c r="CB27" i="15" s="1"/>
  <c r="CC27" i="15" s="1"/>
  <c r="CD27" i="15" s="1"/>
  <c r="CE27" i="15" s="1"/>
  <c r="CF27" i="15" s="1"/>
  <c r="CG27" i="15" s="1"/>
  <c r="CH27" i="15" s="1"/>
  <c r="CI27" i="15" s="1"/>
  <c r="CJ27" i="15" s="1"/>
  <c r="CK27" i="15" s="1"/>
  <c r="CL27" i="15" s="1"/>
  <c r="CM27" i="15" s="1"/>
  <c r="CN27" i="15" s="1"/>
  <c r="CO27" i="15" s="1"/>
  <c r="CP27" i="15" s="1"/>
  <c r="CQ27" i="15" s="1"/>
  <c r="CR27" i="15" s="1"/>
  <c r="I28" i="15"/>
  <c r="BO28" i="15" s="1"/>
  <c r="BP28" i="15" s="1"/>
  <c r="BQ28" i="15" s="1"/>
  <c r="BR28" i="15" s="1"/>
  <c r="BS28" i="15" s="1"/>
  <c r="BT28" i="15" s="1"/>
  <c r="BU28" i="15" s="1"/>
  <c r="BV28" i="15" s="1"/>
  <c r="BW28" i="15" s="1"/>
  <c r="BX28" i="15" s="1"/>
  <c r="BY28" i="15" s="1"/>
  <c r="BZ28" i="15" s="1"/>
  <c r="CA28" i="15" s="1"/>
  <c r="CB28" i="15" s="1"/>
  <c r="CC28" i="15" s="1"/>
  <c r="CD28" i="15" s="1"/>
  <c r="CE28" i="15" s="1"/>
  <c r="CF28" i="15" s="1"/>
  <c r="CG28" i="15" s="1"/>
  <c r="CH28" i="15" s="1"/>
  <c r="CI28" i="15" s="1"/>
  <c r="CJ28" i="15" s="1"/>
  <c r="CK28" i="15" s="1"/>
  <c r="CL28" i="15" s="1"/>
  <c r="CM28" i="15" s="1"/>
  <c r="CN28" i="15" s="1"/>
  <c r="CO28" i="15" s="1"/>
  <c r="CP28" i="15" s="1"/>
  <c r="CQ28" i="15" s="1"/>
  <c r="CR28" i="15" s="1"/>
  <c r="I29" i="15"/>
  <c r="BO29" i="15" s="1"/>
  <c r="BP29" i="15" s="1"/>
  <c r="BQ29" i="15" s="1"/>
  <c r="BR29" i="15" s="1"/>
  <c r="BS29" i="15" s="1"/>
  <c r="BT29" i="15" s="1"/>
  <c r="BU29" i="15" s="1"/>
  <c r="BV29" i="15" s="1"/>
  <c r="BW29" i="15" s="1"/>
  <c r="BX29" i="15" s="1"/>
  <c r="BY29" i="15" s="1"/>
  <c r="BZ29" i="15" s="1"/>
  <c r="CA29" i="15" s="1"/>
  <c r="CB29" i="15" s="1"/>
  <c r="CC29" i="15" s="1"/>
  <c r="CD29" i="15" s="1"/>
  <c r="CE29" i="15" s="1"/>
  <c r="CF29" i="15" s="1"/>
  <c r="CG29" i="15" s="1"/>
  <c r="CH29" i="15" s="1"/>
  <c r="CI29" i="15" s="1"/>
  <c r="CJ29" i="15" s="1"/>
  <c r="CK29" i="15" s="1"/>
  <c r="CL29" i="15" s="1"/>
  <c r="CM29" i="15" s="1"/>
  <c r="CN29" i="15" s="1"/>
  <c r="CO29" i="15" s="1"/>
  <c r="CP29" i="15" s="1"/>
  <c r="CQ29" i="15" s="1"/>
  <c r="CR29" i="15" s="1"/>
  <c r="I30" i="15"/>
  <c r="BO30" i="15" s="1"/>
  <c r="BP30" i="15" s="1"/>
  <c r="BQ30" i="15" s="1"/>
  <c r="BR30" i="15" s="1"/>
  <c r="BS30" i="15" s="1"/>
  <c r="BT30" i="15" s="1"/>
  <c r="BU30" i="15" s="1"/>
  <c r="BV30" i="15" s="1"/>
  <c r="BW30" i="15" s="1"/>
  <c r="BX30" i="15" s="1"/>
  <c r="BY30" i="15" s="1"/>
  <c r="BZ30" i="15" s="1"/>
  <c r="CA30" i="15" s="1"/>
  <c r="CB30" i="15" s="1"/>
  <c r="CC30" i="15" s="1"/>
  <c r="CD30" i="15" s="1"/>
  <c r="CE30" i="15" s="1"/>
  <c r="CF30" i="15" s="1"/>
  <c r="CG30" i="15" s="1"/>
  <c r="CH30" i="15" s="1"/>
  <c r="CI30" i="15" s="1"/>
  <c r="CJ30" i="15" s="1"/>
  <c r="CK30" i="15" s="1"/>
  <c r="CL30" i="15" s="1"/>
  <c r="CM30" i="15" s="1"/>
  <c r="CN30" i="15" s="1"/>
  <c r="CO30" i="15" s="1"/>
  <c r="CP30" i="15" s="1"/>
  <c r="CQ30" i="15" s="1"/>
  <c r="CR30" i="15" s="1"/>
  <c r="I31" i="15"/>
  <c r="BO31" i="15" s="1"/>
  <c r="BP31" i="15" s="1"/>
  <c r="BQ31" i="15" s="1"/>
  <c r="BR31" i="15" s="1"/>
  <c r="BS31" i="15" s="1"/>
  <c r="BT31" i="15" s="1"/>
  <c r="BU31" i="15" s="1"/>
  <c r="BV31" i="15" s="1"/>
  <c r="BW31" i="15" s="1"/>
  <c r="BX31" i="15" s="1"/>
  <c r="BY31" i="15" s="1"/>
  <c r="BZ31" i="15" s="1"/>
  <c r="CA31" i="15" s="1"/>
  <c r="CB31" i="15" s="1"/>
  <c r="CC31" i="15" s="1"/>
  <c r="CD31" i="15" s="1"/>
  <c r="CE31" i="15" s="1"/>
  <c r="CF31" i="15" s="1"/>
  <c r="CG31" i="15" s="1"/>
  <c r="CH31" i="15" s="1"/>
  <c r="CI31" i="15" s="1"/>
  <c r="CJ31" i="15" s="1"/>
  <c r="CK31" i="15" s="1"/>
  <c r="CL31" i="15" s="1"/>
  <c r="CM31" i="15" s="1"/>
  <c r="CN31" i="15" s="1"/>
  <c r="CO31" i="15" s="1"/>
  <c r="CP31" i="15" s="1"/>
  <c r="CQ31" i="15" s="1"/>
  <c r="CR31" i="15" s="1"/>
  <c r="I33" i="15"/>
  <c r="I36" i="15"/>
  <c r="BO36" i="15" s="1"/>
  <c r="BP36" i="15" s="1"/>
  <c r="BQ36" i="15" s="1"/>
  <c r="BR36" i="15" s="1"/>
  <c r="BS36" i="15" s="1"/>
  <c r="BT36" i="15" s="1"/>
  <c r="BU36" i="15" s="1"/>
  <c r="BV36" i="15" s="1"/>
  <c r="BW36" i="15" s="1"/>
  <c r="BX36" i="15" s="1"/>
  <c r="BY36" i="15" s="1"/>
  <c r="BZ36" i="15" s="1"/>
  <c r="CA36" i="15" s="1"/>
  <c r="CB36" i="15" s="1"/>
  <c r="CC36" i="15" s="1"/>
  <c r="CD36" i="15" s="1"/>
  <c r="CE36" i="15" s="1"/>
  <c r="CF36" i="15" s="1"/>
  <c r="CG36" i="15" s="1"/>
  <c r="CH36" i="15" s="1"/>
  <c r="CI36" i="15" s="1"/>
  <c r="CJ36" i="15" s="1"/>
  <c r="CK36" i="15" s="1"/>
  <c r="CL36" i="15" s="1"/>
  <c r="CM36" i="15" s="1"/>
  <c r="CN36" i="15" s="1"/>
  <c r="CO36" i="15" s="1"/>
  <c r="CP36" i="15" s="1"/>
  <c r="CQ36" i="15" s="1"/>
  <c r="CR36" i="15" s="1"/>
  <c r="I37" i="15"/>
  <c r="BO37" i="15" s="1"/>
  <c r="BP37" i="15" s="1"/>
  <c r="BQ37" i="15" s="1"/>
  <c r="BR37" i="15" s="1"/>
  <c r="BS37" i="15" s="1"/>
  <c r="BT37" i="15" s="1"/>
  <c r="BU37" i="15" s="1"/>
  <c r="BV37" i="15" s="1"/>
  <c r="BW37" i="15" s="1"/>
  <c r="BX37" i="15" s="1"/>
  <c r="BY37" i="15" s="1"/>
  <c r="BZ37" i="15" s="1"/>
  <c r="CA37" i="15" s="1"/>
  <c r="CB37" i="15" s="1"/>
  <c r="CC37" i="15" s="1"/>
  <c r="CD37" i="15" s="1"/>
  <c r="CE37" i="15" s="1"/>
  <c r="CF37" i="15" s="1"/>
  <c r="CG37" i="15" s="1"/>
  <c r="CH37" i="15" s="1"/>
  <c r="CI37" i="15" s="1"/>
  <c r="CJ37" i="15" s="1"/>
  <c r="CK37" i="15" s="1"/>
  <c r="CL37" i="15" s="1"/>
  <c r="CM37" i="15" s="1"/>
  <c r="CN37" i="15" s="1"/>
  <c r="CO37" i="15" s="1"/>
  <c r="CP37" i="15" s="1"/>
  <c r="CQ37" i="15" s="1"/>
  <c r="CR37" i="15" s="1"/>
  <c r="I38" i="15"/>
  <c r="BO38" i="15" s="1"/>
  <c r="BP38" i="15" s="1"/>
  <c r="BQ38" i="15" s="1"/>
  <c r="BR38" i="15" s="1"/>
  <c r="BS38" i="15" s="1"/>
  <c r="BT38" i="15" s="1"/>
  <c r="BU38" i="15" s="1"/>
  <c r="BV38" i="15" s="1"/>
  <c r="BW38" i="15" s="1"/>
  <c r="BX38" i="15" s="1"/>
  <c r="BY38" i="15" s="1"/>
  <c r="BZ38" i="15" s="1"/>
  <c r="CA38" i="15" s="1"/>
  <c r="CB38" i="15" s="1"/>
  <c r="CC38" i="15" s="1"/>
  <c r="CD38" i="15" s="1"/>
  <c r="CE38" i="15" s="1"/>
  <c r="CF38" i="15" s="1"/>
  <c r="CG38" i="15" s="1"/>
  <c r="CH38" i="15" s="1"/>
  <c r="CI38" i="15" s="1"/>
  <c r="CJ38" i="15" s="1"/>
  <c r="CK38" i="15" s="1"/>
  <c r="CL38" i="15" s="1"/>
  <c r="CM38" i="15" s="1"/>
  <c r="CN38" i="15" s="1"/>
  <c r="CO38" i="15" s="1"/>
  <c r="CP38" i="15" s="1"/>
  <c r="CQ38" i="15" s="1"/>
  <c r="CR38" i="15" s="1"/>
  <c r="I39" i="15"/>
  <c r="BO39" i="15" s="1"/>
  <c r="BP39" i="15" s="1"/>
  <c r="BQ39" i="15" s="1"/>
  <c r="BR39" i="15" s="1"/>
  <c r="BS39" i="15" s="1"/>
  <c r="BT39" i="15" s="1"/>
  <c r="BU39" i="15" s="1"/>
  <c r="BV39" i="15" s="1"/>
  <c r="BW39" i="15" s="1"/>
  <c r="BX39" i="15" s="1"/>
  <c r="BY39" i="15" s="1"/>
  <c r="BZ39" i="15" s="1"/>
  <c r="CA39" i="15" s="1"/>
  <c r="CB39" i="15" s="1"/>
  <c r="CC39" i="15" s="1"/>
  <c r="CD39" i="15" s="1"/>
  <c r="CE39" i="15" s="1"/>
  <c r="CF39" i="15" s="1"/>
  <c r="CG39" i="15" s="1"/>
  <c r="CH39" i="15" s="1"/>
  <c r="CI39" i="15" s="1"/>
  <c r="CJ39" i="15" s="1"/>
  <c r="CK39" i="15" s="1"/>
  <c r="CL39" i="15" s="1"/>
  <c r="CM39" i="15" s="1"/>
  <c r="CN39" i="15" s="1"/>
  <c r="CO39" i="15" s="1"/>
  <c r="CP39" i="15" s="1"/>
  <c r="CQ39" i="15" s="1"/>
  <c r="CR39" i="15" s="1"/>
  <c r="I40" i="15"/>
  <c r="BO40" i="15" s="1"/>
  <c r="BP40" i="15" s="1"/>
  <c r="BQ40" i="15" s="1"/>
  <c r="BR40" i="15" s="1"/>
  <c r="BS40" i="15" s="1"/>
  <c r="BT40" i="15" s="1"/>
  <c r="BU40" i="15" s="1"/>
  <c r="BV40" i="15" s="1"/>
  <c r="BW40" i="15" s="1"/>
  <c r="BX40" i="15" s="1"/>
  <c r="BY40" i="15" s="1"/>
  <c r="BZ40" i="15" s="1"/>
  <c r="CA40" i="15" s="1"/>
  <c r="CB40" i="15" s="1"/>
  <c r="CC40" i="15" s="1"/>
  <c r="CD40" i="15" s="1"/>
  <c r="CE40" i="15" s="1"/>
  <c r="CF40" i="15" s="1"/>
  <c r="CG40" i="15" s="1"/>
  <c r="CH40" i="15" s="1"/>
  <c r="CI40" i="15" s="1"/>
  <c r="CJ40" i="15" s="1"/>
  <c r="CK40" i="15" s="1"/>
  <c r="CL40" i="15" s="1"/>
  <c r="CM40" i="15" s="1"/>
  <c r="CN40" i="15" s="1"/>
  <c r="CO40" i="15" s="1"/>
  <c r="CP40" i="15" s="1"/>
  <c r="CQ40" i="15" s="1"/>
  <c r="CR40" i="15" s="1"/>
  <c r="I41" i="15"/>
  <c r="BO41" i="15" s="1"/>
  <c r="BP41" i="15" s="1"/>
  <c r="BQ41" i="15" s="1"/>
  <c r="BR41" i="15" s="1"/>
  <c r="BS41" i="15" s="1"/>
  <c r="BT41" i="15" s="1"/>
  <c r="BU41" i="15" s="1"/>
  <c r="BV41" i="15" s="1"/>
  <c r="BW41" i="15" s="1"/>
  <c r="BX41" i="15" s="1"/>
  <c r="BY41" i="15" s="1"/>
  <c r="BZ41" i="15" s="1"/>
  <c r="CA41" i="15" s="1"/>
  <c r="CB41" i="15" s="1"/>
  <c r="CC41" i="15" s="1"/>
  <c r="CD41" i="15" s="1"/>
  <c r="CE41" i="15" s="1"/>
  <c r="CF41" i="15" s="1"/>
  <c r="CG41" i="15" s="1"/>
  <c r="CH41" i="15" s="1"/>
  <c r="CI41" i="15" s="1"/>
  <c r="CJ41" i="15" s="1"/>
  <c r="CK41" i="15" s="1"/>
  <c r="CL41" i="15" s="1"/>
  <c r="CM41" i="15" s="1"/>
  <c r="CN41" i="15" s="1"/>
  <c r="CO41" i="15" s="1"/>
  <c r="CP41" i="15" s="1"/>
  <c r="CQ41" i="15" s="1"/>
  <c r="CR41" i="15" s="1"/>
  <c r="I42" i="15"/>
  <c r="BO42" i="15" s="1"/>
  <c r="BP42" i="15" s="1"/>
  <c r="BQ42" i="15" s="1"/>
  <c r="BR42" i="15" s="1"/>
  <c r="BS42" i="15" s="1"/>
  <c r="BT42" i="15" s="1"/>
  <c r="BU42" i="15" s="1"/>
  <c r="BV42" i="15" s="1"/>
  <c r="BW42" i="15" s="1"/>
  <c r="BX42" i="15" s="1"/>
  <c r="BY42" i="15" s="1"/>
  <c r="BZ42" i="15" s="1"/>
  <c r="CA42" i="15" s="1"/>
  <c r="CB42" i="15" s="1"/>
  <c r="CC42" i="15" s="1"/>
  <c r="CD42" i="15" s="1"/>
  <c r="CE42" i="15" s="1"/>
  <c r="CF42" i="15" s="1"/>
  <c r="CG42" i="15" s="1"/>
  <c r="CH42" i="15" s="1"/>
  <c r="CI42" i="15" s="1"/>
  <c r="CJ42" i="15" s="1"/>
  <c r="CK42" i="15" s="1"/>
  <c r="CL42" i="15" s="1"/>
  <c r="CM42" i="15" s="1"/>
  <c r="CN42" i="15" s="1"/>
  <c r="CO42" i="15" s="1"/>
  <c r="CP42" i="15" s="1"/>
  <c r="CQ42" i="15" s="1"/>
  <c r="CR42" i="15" s="1"/>
  <c r="I43" i="15"/>
  <c r="BO43" i="15" s="1"/>
  <c r="BP43" i="15" s="1"/>
  <c r="BQ43" i="15" s="1"/>
  <c r="BR43" i="15" s="1"/>
  <c r="BS43" i="15" s="1"/>
  <c r="BT43" i="15" s="1"/>
  <c r="BU43" i="15" s="1"/>
  <c r="BV43" i="15" s="1"/>
  <c r="BW43" i="15" s="1"/>
  <c r="BX43" i="15" s="1"/>
  <c r="BY43" i="15" s="1"/>
  <c r="BZ43" i="15" s="1"/>
  <c r="CA43" i="15" s="1"/>
  <c r="CB43" i="15" s="1"/>
  <c r="CC43" i="15" s="1"/>
  <c r="CD43" i="15" s="1"/>
  <c r="CE43" i="15" s="1"/>
  <c r="CF43" i="15" s="1"/>
  <c r="CG43" i="15" s="1"/>
  <c r="CH43" i="15" s="1"/>
  <c r="CI43" i="15" s="1"/>
  <c r="CJ43" i="15" s="1"/>
  <c r="CK43" i="15" s="1"/>
  <c r="CL43" i="15" s="1"/>
  <c r="CM43" i="15" s="1"/>
  <c r="CN43" i="15" s="1"/>
  <c r="CO43" i="15" s="1"/>
  <c r="CP43" i="15" s="1"/>
  <c r="CQ43" i="15" s="1"/>
  <c r="CR43" i="15" s="1"/>
  <c r="I44" i="15"/>
  <c r="BO44" i="15" s="1"/>
  <c r="BP44" i="15" s="1"/>
  <c r="BQ44" i="15" s="1"/>
  <c r="BR44" i="15" s="1"/>
  <c r="BS44" i="15" s="1"/>
  <c r="BT44" i="15" s="1"/>
  <c r="BU44" i="15" s="1"/>
  <c r="BV44" i="15" s="1"/>
  <c r="BW44" i="15" s="1"/>
  <c r="BX44" i="15" s="1"/>
  <c r="BY44" i="15" s="1"/>
  <c r="BZ44" i="15" s="1"/>
  <c r="CA44" i="15" s="1"/>
  <c r="CB44" i="15" s="1"/>
  <c r="CC44" i="15" s="1"/>
  <c r="CD44" i="15" s="1"/>
  <c r="CE44" i="15" s="1"/>
  <c r="CF44" i="15" s="1"/>
  <c r="CG44" i="15" s="1"/>
  <c r="CH44" i="15" s="1"/>
  <c r="CI44" i="15" s="1"/>
  <c r="CJ44" i="15" s="1"/>
  <c r="CK44" i="15" s="1"/>
  <c r="CL44" i="15" s="1"/>
  <c r="CM44" i="15" s="1"/>
  <c r="CN44" i="15" s="1"/>
  <c r="CO44" i="15" s="1"/>
  <c r="CP44" i="15" s="1"/>
  <c r="CQ44" i="15" s="1"/>
  <c r="CR44" i="15" s="1"/>
  <c r="I54" i="15"/>
  <c r="BO54" i="15" s="1"/>
  <c r="BP54" i="15" s="1"/>
  <c r="BQ54" i="15" s="1"/>
  <c r="BR54" i="15" s="1"/>
  <c r="BS54" i="15" s="1"/>
  <c r="BT54" i="15" s="1"/>
  <c r="BU54" i="15" s="1"/>
  <c r="BV54" i="15" s="1"/>
  <c r="BW54" i="15" s="1"/>
  <c r="BX54" i="15" s="1"/>
  <c r="BY54" i="15" s="1"/>
  <c r="BZ54" i="15" s="1"/>
  <c r="CA54" i="15" s="1"/>
  <c r="CB54" i="15" s="1"/>
  <c r="CC54" i="15" s="1"/>
  <c r="CD54" i="15" s="1"/>
  <c r="CE54" i="15" s="1"/>
  <c r="CF54" i="15" s="1"/>
  <c r="CG54" i="15" s="1"/>
  <c r="CH54" i="15" s="1"/>
  <c r="CI54" i="15" s="1"/>
  <c r="CJ54" i="15" s="1"/>
  <c r="CK54" i="15" s="1"/>
  <c r="CL54" i="15" s="1"/>
  <c r="CM54" i="15" s="1"/>
  <c r="CN54" i="15" s="1"/>
  <c r="CO54" i="15" s="1"/>
  <c r="CP54" i="15" s="1"/>
  <c r="CQ54" i="15" s="1"/>
  <c r="CR54" i="15" s="1"/>
  <c r="I55" i="15"/>
  <c r="BO55" i="15" s="1"/>
  <c r="BP55" i="15" s="1"/>
  <c r="BQ55" i="15" s="1"/>
  <c r="BR55" i="15" s="1"/>
  <c r="BS55" i="15" s="1"/>
  <c r="BT55" i="15" s="1"/>
  <c r="BU55" i="15" s="1"/>
  <c r="BV55" i="15" s="1"/>
  <c r="BW55" i="15" s="1"/>
  <c r="BX55" i="15" s="1"/>
  <c r="BY55" i="15" s="1"/>
  <c r="BZ55" i="15" s="1"/>
  <c r="CA55" i="15" s="1"/>
  <c r="CB55" i="15" s="1"/>
  <c r="CC55" i="15" s="1"/>
  <c r="CD55" i="15" s="1"/>
  <c r="CE55" i="15" s="1"/>
  <c r="CF55" i="15" s="1"/>
  <c r="CG55" i="15" s="1"/>
  <c r="CH55" i="15" s="1"/>
  <c r="CI55" i="15" s="1"/>
  <c r="CJ55" i="15" s="1"/>
  <c r="CK55" i="15" s="1"/>
  <c r="CL55" i="15" s="1"/>
  <c r="CM55" i="15" s="1"/>
  <c r="CN55" i="15" s="1"/>
  <c r="CO55" i="15" s="1"/>
  <c r="CP55" i="15" s="1"/>
  <c r="CQ55" i="15" s="1"/>
  <c r="CR55" i="15" s="1"/>
  <c r="I56" i="15"/>
  <c r="BO56" i="15" s="1"/>
  <c r="BP56" i="15" s="1"/>
  <c r="BQ56" i="15" s="1"/>
  <c r="BR56" i="15" s="1"/>
  <c r="BS56" i="15" s="1"/>
  <c r="BT56" i="15" s="1"/>
  <c r="BU56" i="15" s="1"/>
  <c r="BV56" i="15" s="1"/>
  <c r="BW56" i="15" s="1"/>
  <c r="BX56" i="15" s="1"/>
  <c r="BY56" i="15" s="1"/>
  <c r="BZ56" i="15" s="1"/>
  <c r="CA56" i="15" s="1"/>
  <c r="CB56" i="15" s="1"/>
  <c r="CC56" i="15" s="1"/>
  <c r="CD56" i="15" s="1"/>
  <c r="CE56" i="15" s="1"/>
  <c r="CF56" i="15" s="1"/>
  <c r="CG56" i="15" s="1"/>
  <c r="CH56" i="15" s="1"/>
  <c r="CI56" i="15" s="1"/>
  <c r="CJ56" i="15" s="1"/>
  <c r="CK56" i="15" s="1"/>
  <c r="CL56" i="15" s="1"/>
  <c r="CM56" i="15" s="1"/>
  <c r="CN56" i="15" s="1"/>
  <c r="CO56" i="15" s="1"/>
  <c r="CP56" i="15" s="1"/>
  <c r="CQ56" i="15" s="1"/>
  <c r="CR56" i="15" s="1"/>
  <c r="I57" i="15"/>
  <c r="BO57" i="15" s="1"/>
  <c r="BP57" i="15" s="1"/>
  <c r="BQ57" i="15" s="1"/>
  <c r="BR57" i="15" s="1"/>
  <c r="BS57" i="15" s="1"/>
  <c r="BT57" i="15" s="1"/>
  <c r="BU57" i="15" s="1"/>
  <c r="BV57" i="15" s="1"/>
  <c r="BW57" i="15" s="1"/>
  <c r="BX57" i="15" s="1"/>
  <c r="BY57" i="15" s="1"/>
  <c r="BZ57" i="15" s="1"/>
  <c r="CA57" i="15" s="1"/>
  <c r="CB57" i="15" s="1"/>
  <c r="CC57" i="15" s="1"/>
  <c r="CD57" i="15" s="1"/>
  <c r="CE57" i="15" s="1"/>
  <c r="CF57" i="15" s="1"/>
  <c r="CG57" i="15" s="1"/>
  <c r="CH57" i="15" s="1"/>
  <c r="CI57" i="15" s="1"/>
  <c r="CJ57" i="15" s="1"/>
  <c r="CK57" i="15" s="1"/>
  <c r="CL57" i="15" s="1"/>
  <c r="CM57" i="15" s="1"/>
  <c r="CN57" i="15" s="1"/>
  <c r="CO57" i="15" s="1"/>
  <c r="CP57" i="15" s="1"/>
  <c r="CQ57" i="15" s="1"/>
  <c r="CR57" i="15" s="1"/>
  <c r="I58" i="15"/>
  <c r="BO58" i="15" s="1"/>
  <c r="BP58" i="15" s="1"/>
  <c r="BQ58" i="15" s="1"/>
  <c r="BR58" i="15" s="1"/>
  <c r="BS58" i="15" s="1"/>
  <c r="BT58" i="15" s="1"/>
  <c r="BU58" i="15" s="1"/>
  <c r="BV58" i="15" s="1"/>
  <c r="BW58" i="15" s="1"/>
  <c r="BX58" i="15" s="1"/>
  <c r="BY58" i="15" s="1"/>
  <c r="BZ58" i="15" s="1"/>
  <c r="CA58" i="15" s="1"/>
  <c r="CB58" i="15" s="1"/>
  <c r="CC58" i="15" s="1"/>
  <c r="CD58" i="15" s="1"/>
  <c r="CE58" i="15" s="1"/>
  <c r="CF58" i="15" s="1"/>
  <c r="CG58" i="15" s="1"/>
  <c r="CH58" i="15" s="1"/>
  <c r="CI58" i="15" s="1"/>
  <c r="CJ58" i="15" s="1"/>
  <c r="CK58" i="15" s="1"/>
  <c r="CL58" i="15" s="1"/>
  <c r="CM58" i="15" s="1"/>
  <c r="CN58" i="15" s="1"/>
  <c r="CO58" i="15" s="1"/>
  <c r="CP58" i="15" s="1"/>
  <c r="CQ58" i="15" s="1"/>
  <c r="CR58" i="15" s="1"/>
  <c r="I61" i="15"/>
  <c r="BO61" i="15" s="1"/>
  <c r="BP61" i="15" s="1"/>
  <c r="BQ61" i="15" s="1"/>
  <c r="BR61" i="15" s="1"/>
  <c r="BS61" i="15" s="1"/>
  <c r="BT61" i="15" s="1"/>
  <c r="BU61" i="15" s="1"/>
  <c r="BV61" i="15" s="1"/>
  <c r="BW61" i="15" s="1"/>
  <c r="BX61" i="15" s="1"/>
  <c r="BY61" i="15" s="1"/>
  <c r="BZ61" i="15" s="1"/>
  <c r="CA61" i="15" s="1"/>
  <c r="CB61" i="15" s="1"/>
  <c r="CC61" i="15" s="1"/>
  <c r="CD61" i="15" s="1"/>
  <c r="CE61" i="15" s="1"/>
  <c r="CF61" i="15" s="1"/>
  <c r="CG61" i="15" s="1"/>
  <c r="CH61" i="15" s="1"/>
  <c r="CI61" i="15" s="1"/>
  <c r="CJ61" i="15" s="1"/>
  <c r="CK61" i="15" s="1"/>
  <c r="CL61" i="15" s="1"/>
  <c r="CM61" i="15" s="1"/>
  <c r="CN61" i="15" s="1"/>
  <c r="CO61" i="15" s="1"/>
  <c r="CP61" i="15" s="1"/>
  <c r="CQ61" i="15" s="1"/>
  <c r="CR61" i="15" s="1"/>
  <c r="I71" i="15"/>
  <c r="BO71" i="15" s="1"/>
  <c r="BP71" i="15" s="1"/>
  <c r="BQ71" i="15" s="1"/>
  <c r="BR71" i="15" s="1"/>
  <c r="BS71" i="15" s="1"/>
  <c r="BT71" i="15" s="1"/>
  <c r="BU71" i="15" s="1"/>
  <c r="BV71" i="15" s="1"/>
  <c r="BW71" i="15" s="1"/>
  <c r="BX71" i="15" s="1"/>
  <c r="BY71" i="15" s="1"/>
  <c r="BZ71" i="15" s="1"/>
  <c r="CA71" i="15" s="1"/>
  <c r="CB71" i="15" s="1"/>
  <c r="CC71" i="15" s="1"/>
  <c r="CD71" i="15" s="1"/>
  <c r="CE71" i="15" s="1"/>
  <c r="CF71" i="15" s="1"/>
  <c r="CG71" i="15" s="1"/>
  <c r="CH71" i="15" s="1"/>
  <c r="CI71" i="15" s="1"/>
  <c r="CJ71" i="15" s="1"/>
  <c r="CK71" i="15" s="1"/>
  <c r="CL71" i="15" s="1"/>
  <c r="CM71" i="15" s="1"/>
  <c r="CN71" i="15" s="1"/>
  <c r="CO71" i="15" s="1"/>
  <c r="CP71" i="15" s="1"/>
  <c r="CQ71" i="15" s="1"/>
  <c r="CR71" i="15" s="1"/>
  <c r="I72" i="15"/>
  <c r="BO72" i="15" s="1"/>
  <c r="BP72" i="15" s="1"/>
  <c r="BQ72" i="15" s="1"/>
  <c r="BR72" i="15" s="1"/>
  <c r="BS72" i="15" s="1"/>
  <c r="BT72" i="15" s="1"/>
  <c r="BU72" i="15" s="1"/>
  <c r="BV72" i="15" s="1"/>
  <c r="BW72" i="15" s="1"/>
  <c r="BX72" i="15" s="1"/>
  <c r="BY72" i="15" s="1"/>
  <c r="BZ72" i="15" s="1"/>
  <c r="CA72" i="15" s="1"/>
  <c r="CB72" i="15" s="1"/>
  <c r="CC72" i="15" s="1"/>
  <c r="CD72" i="15" s="1"/>
  <c r="CE72" i="15" s="1"/>
  <c r="CF72" i="15" s="1"/>
  <c r="CG72" i="15" s="1"/>
  <c r="CH72" i="15" s="1"/>
  <c r="CI72" i="15" s="1"/>
  <c r="CJ72" i="15" s="1"/>
  <c r="CK72" i="15" s="1"/>
  <c r="CL72" i="15" s="1"/>
  <c r="CM72" i="15" s="1"/>
  <c r="CN72" i="15" s="1"/>
  <c r="CO72" i="15" s="1"/>
  <c r="CP72" i="15" s="1"/>
  <c r="CQ72" i="15" s="1"/>
  <c r="CR72" i="15" s="1"/>
  <c r="I73" i="15"/>
  <c r="BO73" i="15" s="1"/>
  <c r="BP73" i="15" s="1"/>
  <c r="BQ73" i="15" s="1"/>
  <c r="BR73" i="15" s="1"/>
  <c r="BS73" i="15" s="1"/>
  <c r="BT73" i="15" s="1"/>
  <c r="BU73" i="15" s="1"/>
  <c r="BV73" i="15" s="1"/>
  <c r="BW73" i="15" s="1"/>
  <c r="BX73" i="15" s="1"/>
  <c r="BY73" i="15" s="1"/>
  <c r="BZ73" i="15" s="1"/>
  <c r="CA73" i="15" s="1"/>
  <c r="CB73" i="15" s="1"/>
  <c r="CC73" i="15" s="1"/>
  <c r="CD73" i="15" s="1"/>
  <c r="CE73" i="15" s="1"/>
  <c r="CF73" i="15" s="1"/>
  <c r="CG73" i="15" s="1"/>
  <c r="CH73" i="15" s="1"/>
  <c r="CI73" i="15" s="1"/>
  <c r="CJ73" i="15" s="1"/>
  <c r="CK73" i="15" s="1"/>
  <c r="CL73" i="15" s="1"/>
  <c r="CM73" i="15" s="1"/>
  <c r="CN73" i="15" s="1"/>
  <c r="CO73" i="15" s="1"/>
  <c r="CP73" i="15" s="1"/>
  <c r="CQ73" i="15" s="1"/>
  <c r="CR73" i="15" s="1"/>
  <c r="I89" i="15"/>
  <c r="BO89" i="15" s="1"/>
  <c r="BP89" i="15" s="1"/>
  <c r="BQ89" i="15" s="1"/>
  <c r="BR89" i="15" s="1"/>
  <c r="BS89" i="15" s="1"/>
  <c r="BT89" i="15" s="1"/>
  <c r="BU89" i="15" s="1"/>
  <c r="BV89" i="15" s="1"/>
  <c r="BW89" i="15" s="1"/>
  <c r="BX89" i="15" s="1"/>
  <c r="BY89" i="15" s="1"/>
  <c r="BZ89" i="15" s="1"/>
  <c r="CA89" i="15" s="1"/>
  <c r="CB89" i="15" s="1"/>
  <c r="CC89" i="15" s="1"/>
  <c r="CD89" i="15" s="1"/>
  <c r="CE89" i="15" s="1"/>
  <c r="CF89" i="15" s="1"/>
  <c r="CG89" i="15" s="1"/>
  <c r="CH89" i="15" s="1"/>
  <c r="CI89" i="15" s="1"/>
  <c r="CJ89" i="15" s="1"/>
  <c r="CK89" i="15" s="1"/>
  <c r="CL89" i="15" s="1"/>
  <c r="CM89" i="15" s="1"/>
  <c r="CN89" i="15" s="1"/>
  <c r="CO89" i="15" s="1"/>
  <c r="CP89" i="15" s="1"/>
  <c r="CQ89" i="15" s="1"/>
  <c r="CR89" i="15" s="1"/>
  <c r="I90" i="15"/>
  <c r="BO90" i="15" s="1"/>
  <c r="BP90" i="15" s="1"/>
  <c r="BQ90" i="15" s="1"/>
  <c r="BR90" i="15" s="1"/>
  <c r="BS90" i="15" s="1"/>
  <c r="BT90" i="15" s="1"/>
  <c r="BU90" i="15" s="1"/>
  <c r="BV90" i="15" s="1"/>
  <c r="BW90" i="15" s="1"/>
  <c r="BX90" i="15" s="1"/>
  <c r="BY90" i="15" s="1"/>
  <c r="BZ90" i="15" s="1"/>
  <c r="CA90" i="15" s="1"/>
  <c r="CB90" i="15" s="1"/>
  <c r="CC90" i="15" s="1"/>
  <c r="CD90" i="15" s="1"/>
  <c r="CE90" i="15" s="1"/>
  <c r="CF90" i="15" s="1"/>
  <c r="CG90" i="15" s="1"/>
  <c r="CH90" i="15" s="1"/>
  <c r="CI90" i="15" s="1"/>
  <c r="CJ90" i="15" s="1"/>
  <c r="CK90" i="15" s="1"/>
  <c r="CL90" i="15" s="1"/>
  <c r="CM90" i="15" s="1"/>
  <c r="CN90" i="15" s="1"/>
  <c r="CO90" i="15" s="1"/>
  <c r="CP90" i="15" s="1"/>
  <c r="CQ90" i="15" s="1"/>
  <c r="CR90" i="15" s="1"/>
  <c r="I11" i="15"/>
  <c r="BO11" i="15" s="1"/>
  <c r="BP11" i="15" s="1"/>
  <c r="BQ11" i="15" s="1"/>
  <c r="BR11" i="15" s="1"/>
  <c r="BS11" i="15" s="1"/>
  <c r="BT11" i="15" s="1"/>
  <c r="BU11" i="15" s="1"/>
  <c r="BV11" i="15" s="1"/>
  <c r="BW11" i="15" s="1"/>
  <c r="BX11" i="15" s="1"/>
  <c r="BY11" i="15" s="1"/>
  <c r="BZ11" i="15" s="1"/>
  <c r="CA11" i="15" s="1"/>
  <c r="CB11" i="15" s="1"/>
  <c r="CC11" i="15" s="1"/>
  <c r="CD11" i="15" s="1"/>
  <c r="CE11" i="15" s="1"/>
  <c r="CF11" i="15" s="1"/>
  <c r="CG11" i="15" s="1"/>
  <c r="CH11" i="15" s="1"/>
  <c r="CI11" i="15" s="1"/>
  <c r="CJ11" i="15" s="1"/>
  <c r="CK11" i="15" s="1"/>
  <c r="CL11" i="15" s="1"/>
  <c r="CM11" i="15" s="1"/>
  <c r="CN11" i="15" s="1"/>
  <c r="CO11" i="15" s="1"/>
  <c r="CP11" i="15" s="1"/>
  <c r="CQ11" i="15" s="1"/>
  <c r="CR11" i="15" s="1"/>
  <c r="AG65" i="7"/>
  <c r="AF65" i="7" s="1"/>
  <c r="AE65" i="7" s="1"/>
  <c r="AD65" i="7" s="1"/>
  <c r="AC65" i="7" s="1"/>
  <c r="AB65" i="7" s="1"/>
  <c r="AA65" i="7" s="1"/>
  <c r="Z65" i="7" s="1"/>
  <c r="Y65" i="7" s="1"/>
  <c r="X65" i="7" s="1"/>
  <c r="W65" i="7" s="1"/>
  <c r="V65" i="7" s="1"/>
  <c r="U65" i="7" s="1"/>
  <c r="T65" i="7" s="1"/>
  <c r="S65" i="7" s="1"/>
  <c r="R65" i="7" s="1"/>
  <c r="Q65" i="7" s="1"/>
  <c r="P65" i="7" s="1"/>
  <c r="O65" i="7" s="1"/>
  <c r="N65" i="7" s="1"/>
  <c r="M65" i="7" s="1"/>
  <c r="L65" i="7" s="1"/>
  <c r="K65" i="7" s="1"/>
  <c r="J65" i="7" s="1"/>
  <c r="I65" i="7" s="1"/>
  <c r="AI65" i="7"/>
  <c r="AJ65" i="7" s="1"/>
  <c r="AK65" i="7" s="1"/>
  <c r="AL65" i="7" s="1"/>
  <c r="AM65" i="7" s="1"/>
  <c r="AN65" i="7" s="1"/>
  <c r="AO65" i="7" s="1"/>
  <c r="AP65" i="7" s="1"/>
  <c r="AQ65" i="7" s="1"/>
  <c r="AR65" i="7" s="1"/>
  <c r="L9" i="9"/>
  <c r="L10" i="9"/>
  <c r="L7" i="9"/>
  <c r="L8" i="9"/>
  <c r="M6" i="9"/>
  <c r="N6" i="9" s="1"/>
  <c r="O6" i="9" s="1"/>
  <c r="P6" i="9" s="1"/>
  <c r="Q6" i="9" s="1"/>
  <c r="R6" i="9" s="1"/>
  <c r="S6" i="9" s="1"/>
  <c r="T6" i="9" s="1"/>
  <c r="U6" i="9" s="1"/>
  <c r="V6" i="9" s="1"/>
  <c r="W6" i="9" s="1"/>
  <c r="X6" i="9" s="1"/>
  <c r="Y6" i="9" s="1"/>
  <c r="Z6" i="9" s="1"/>
  <c r="AA6" i="9" s="1"/>
  <c r="AB6" i="9" s="1"/>
  <c r="AC6" i="9" s="1"/>
  <c r="AD6" i="9" s="1"/>
  <c r="AE6" i="9" s="1"/>
  <c r="AF6" i="9" s="1"/>
  <c r="AG6" i="9" s="1"/>
  <c r="AH6" i="9" s="1"/>
  <c r="AI6" i="9" s="1"/>
  <c r="AJ6" i="9" s="1"/>
  <c r="AK6" i="9" s="1"/>
  <c r="AL6" i="9" s="1"/>
  <c r="AM6" i="9" s="1"/>
  <c r="AN6" i="9" s="1"/>
  <c r="AO6" i="9" s="1"/>
  <c r="AP6" i="9" s="1"/>
  <c r="AQ6" i="9" s="1"/>
  <c r="AR6" i="9" s="1"/>
  <c r="AS6" i="9" s="1"/>
  <c r="AT6" i="9" s="1"/>
  <c r="AU6" i="9" s="1"/>
  <c r="AV6" i="9" s="1"/>
  <c r="K6" i="9"/>
  <c r="J6" i="9" s="1"/>
  <c r="I6" i="9" s="1"/>
  <c r="H6" i="9" s="1"/>
  <c r="H49" i="10"/>
  <c r="I49" i="10" s="1"/>
  <c r="J49" i="10" s="1"/>
  <c r="K49" i="10" s="1"/>
  <c r="L49" i="10" s="1"/>
  <c r="M49" i="10" s="1"/>
  <c r="N49" i="10" s="1"/>
  <c r="O49" i="10" s="1"/>
  <c r="P49" i="10" s="1"/>
  <c r="Q49" i="10" s="1"/>
  <c r="R49" i="10" s="1"/>
  <c r="S49" i="10" s="1"/>
  <c r="T49" i="10" s="1"/>
  <c r="U49" i="10" s="1"/>
  <c r="V49" i="10" s="1"/>
  <c r="W49" i="10" s="1"/>
  <c r="X49" i="10" s="1"/>
  <c r="Y49" i="10" s="1"/>
  <c r="Z49" i="10" s="1"/>
  <c r="AA49" i="10" s="1"/>
  <c r="H48" i="10"/>
  <c r="I48" i="10" s="1"/>
  <c r="J48" i="10" s="1"/>
  <c r="K48" i="10" s="1"/>
  <c r="L48" i="10" s="1"/>
  <c r="M48" i="10" s="1"/>
  <c r="N48" i="10" s="1"/>
  <c r="O48" i="10" s="1"/>
  <c r="P48" i="10" s="1"/>
  <c r="Q48" i="10" s="1"/>
  <c r="R48" i="10" s="1"/>
  <c r="S48" i="10" s="1"/>
  <c r="T48" i="10" s="1"/>
  <c r="U48" i="10" s="1"/>
  <c r="V48" i="10" s="1"/>
  <c r="W48" i="10" s="1"/>
  <c r="X48" i="10" s="1"/>
  <c r="Y48" i="10" s="1"/>
  <c r="Z48" i="10" s="1"/>
  <c r="AA48" i="10" s="1"/>
  <c r="H47" i="10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H45" i="10"/>
  <c r="I45" i="10" s="1"/>
  <c r="J45" i="10" s="1"/>
  <c r="K45" i="10" s="1"/>
  <c r="L45" i="10" s="1"/>
  <c r="M45" i="10" s="1"/>
  <c r="N45" i="10" s="1"/>
  <c r="O45" i="10" s="1"/>
  <c r="P45" i="10" s="1"/>
  <c r="Q45" i="10" s="1"/>
  <c r="R45" i="10" s="1"/>
  <c r="S45" i="10" s="1"/>
  <c r="T45" i="10" s="1"/>
  <c r="U45" i="10" s="1"/>
  <c r="V45" i="10" s="1"/>
  <c r="W45" i="10" s="1"/>
  <c r="X45" i="10" s="1"/>
  <c r="Y45" i="10" s="1"/>
  <c r="Z45" i="10" s="1"/>
  <c r="AA45" i="10" s="1"/>
  <c r="H44" i="10"/>
  <c r="I44" i="10" s="1"/>
  <c r="J44" i="10" s="1"/>
  <c r="K44" i="10" s="1"/>
  <c r="L44" i="10" s="1"/>
  <c r="M44" i="10" s="1"/>
  <c r="N44" i="10" s="1"/>
  <c r="O44" i="10" s="1"/>
  <c r="P44" i="10" s="1"/>
  <c r="Q44" i="10" s="1"/>
  <c r="R44" i="10" s="1"/>
  <c r="S44" i="10" s="1"/>
  <c r="T44" i="10" s="1"/>
  <c r="U44" i="10" s="1"/>
  <c r="V44" i="10" s="1"/>
  <c r="W44" i="10" s="1"/>
  <c r="X44" i="10" s="1"/>
  <c r="Y44" i="10" s="1"/>
  <c r="Z44" i="10" s="1"/>
  <c r="AA44" i="10" s="1"/>
  <c r="H43" i="10"/>
  <c r="I43" i="10" s="1"/>
  <c r="J43" i="10" s="1"/>
  <c r="K43" i="10" s="1"/>
  <c r="L43" i="10" s="1"/>
  <c r="M43" i="10" s="1"/>
  <c r="N43" i="10" s="1"/>
  <c r="O43" i="10" s="1"/>
  <c r="P43" i="10" s="1"/>
  <c r="Q43" i="10" s="1"/>
  <c r="R43" i="10" s="1"/>
  <c r="S43" i="10" s="1"/>
  <c r="T43" i="10" s="1"/>
  <c r="U43" i="10" s="1"/>
  <c r="V43" i="10" s="1"/>
  <c r="W43" i="10" s="1"/>
  <c r="X43" i="10" s="1"/>
  <c r="Y43" i="10" s="1"/>
  <c r="Z43" i="10" s="1"/>
  <c r="AA43" i="10" s="1"/>
  <c r="H41" i="10"/>
  <c r="I41" i="10" s="1"/>
  <c r="J41" i="10" s="1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W41" i="10" s="1"/>
  <c r="X41" i="10" s="1"/>
  <c r="Y41" i="10" s="1"/>
  <c r="Z41" i="10" s="1"/>
  <c r="AA41" i="10" s="1"/>
  <c r="H40" i="10"/>
  <c r="I40" i="10" s="1"/>
  <c r="J40" i="10" s="1"/>
  <c r="K40" i="10" s="1"/>
  <c r="L40" i="10" s="1"/>
  <c r="M40" i="10" s="1"/>
  <c r="N40" i="10" s="1"/>
  <c r="O40" i="10" s="1"/>
  <c r="P40" i="10" s="1"/>
  <c r="Q40" i="10" s="1"/>
  <c r="R40" i="10" s="1"/>
  <c r="S40" i="10" s="1"/>
  <c r="T40" i="10" s="1"/>
  <c r="U40" i="10" s="1"/>
  <c r="V40" i="10" s="1"/>
  <c r="W40" i="10" s="1"/>
  <c r="X40" i="10" s="1"/>
  <c r="Y40" i="10" s="1"/>
  <c r="Z40" i="10" s="1"/>
  <c r="AA40" i="10" s="1"/>
  <c r="H39" i="10"/>
  <c r="I39" i="10" s="1"/>
  <c r="J39" i="10" s="1"/>
  <c r="K39" i="10" s="1"/>
  <c r="L39" i="10" s="1"/>
  <c r="M39" i="10" s="1"/>
  <c r="N39" i="10" s="1"/>
  <c r="O39" i="10" s="1"/>
  <c r="P39" i="10" s="1"/>
  <c r="Q39" i="10" s="1"/>
  <c r="R39" i="10" s="1"/>
  <c r="S39" i="10" s="1"/>
  <c r="T39" i="10" s="1"/>
  <c r="U39" i="10" s="1"/>
  <c r="V39" i="10" s="1"/>
  <c r="W39" i="10" s="1"/>
  <c r="X39" i="10" s="1"/>
  <c r="Y39" i="10" s="1"/>
  <c r="Z39" i="10" s="1"/>
  <c r="AA39" i="10" s="1"/>
  <c r="AB39" i="10" s="1"/>
  <c r="AC39" i="10" s="1"/>
  <c r="AD39" i="10" s="1"/>
  <c r="S38" i="10"/>
  <c r="T38" i="10" s="1"/>
  <c r="U38" i="10" s="1"/>
  <c r="V38" i="10" s="1"/>
  <c r="W38" i="10" s="1"/>
  <c r="X38" i="10" s="1"/>
  <c r="Y38" i="10" s="1"/>
  <c r="Z38" i="10" s="1"/>
  <c r="AA38" i="10" s="1"/>
  <c r="O38" i="10"/>
  <c r="N38" i="10" s="1"/>
  <c r="M38" i="10" s="1"/>
  <c r="L38" i="10" s="1"/>
  <c r="K38" i="10" s="1"/>
  <c r="J38" i="10" s="1"/>
  <c r="I38" i="10" s="1"/>
  <c r="H38" i="10" s="1"/>
  <c r="G38" i="10" s="1"/>
  <c r="O32" i="10"/>
  <c r="N32" i="10" s="1"/>
  <c r="M32" i="10" s="1"/>
  <c r="L32" i="10" s="1"/>
  <c r="K32" i="10" s="1"/>
  <c r="J32" i="10" s="1"/>
  <c r="I32" i="10" s="1"/>
  <c r="H32" i="10" s="1"/>
  <c r="G32" i="10" s="1"/>
  <c r="R31" i="10"/>
  <c r="S31" i="10" s="1"/>
  <c r="T31" i="10" s="1"/>
  <c r="U31" i="10" s="1"/>
  <c r="V31" i="10" s="1"/>
  <c r="W31" i="10" s="1"/>
  <c r="X31" i="10" s="1"/>
  <c r="Y31" i="10" s="1"/>
  <c r="Z31" i="10" s="1"/>
  <c r="AA31" i="10" s="1"/>
  <c r="O31" i="10"/>
  <c r="N31" i="10" s="1"/>
  <c r="M31" i="10" s="1"/>
  <c r="L31" i="10" s="1"/>
  <c r="K31" i="10" s="1"/>
  <c r="J31" i="10" s="1"/>
  <c r="I31" i="10" s="1"/>
  <c r="H31" i="10" s="1"/>
  <c r="G31" i="10" s="1"/>
  <c r="R30" i="10"/>
  <c r="S30" i="10" s="1"/>
  <c r="T30" i="10" s="1"/>
  <c r="U30" i="10" s="1"/>
  <c r="V30" i="10" s="1"/>
  <c r="W30" i="10" s="1"/>
  <c r="X30" i="10" s="1"/>
  <c r="Y30" i="10" s="1"/>
  <c r="Z30" i="10" s="1"/>
  <c r="AA30" i="10" s="1"/>
  <c r="AB30" i="10" s="1"/>
  <c r="AC30" i="10" s="1"/>
  <c r="AD30" i="10" s="1"/>
  <c r="O30" i="10"/>
  <c r="N30" i="10" s="1"/>
  <c r="M30" i="10" s="1"/>
  <c r="L30" i="10" s="1"/>
  <c r="K30" i="10" s="1"/>
  <c r="J30" i="10" s="1"/>
  <c r="I30" i="10" s="1"/>
  <c r="H30" i="10" s="1"/>
  <c r="G30" i="10" s="1"/>
  <c r="S29" i="10"/>
  <c r="T29" i="10" s="1"/>
  <c r="U29" i="10" s="1"/>
  <c r="V29" i="10" s="1"/>
  <c r="W29" i="10" s="1"/>
  <c r="X29" i="10" s="1"/>
  <c r="Y29" i="10" s="1"/>
  <c r="Z29" i="10" s="1"/>
  <c r="AA29" i="10" s="1"/>
  <c r="O29" i="10"/>
  <c r="N29" i="10" s="1"/>
  <c r="M29" i="10" s="1"/>
  <c r="L29" i="10" s="1"/>
  <c r="K29" i="10" s="1"/>
  <c r="J29" i="10" s="1"/>
  <c r="I29" i="10" s="1"/>
  <c r="H29" i="10" s="1"/>
  <c r="G29" i="10" s="1"/>
  <c r="R25" i="10"/>
  <c r="S25" i="10" s="1"/>
  <c r="T25" i="10" s="1"/>
  <c r="U25" i="10" s="1"/>
  <c r="V25" i="10" s="1"/>
  <c r="W25" i="10" s="1"/>
  <c r="X25" i="10" s="1"/>
  <c r="Y25" i="10" s="1"/>
  <c r="Z25" i="10" s="1"/>
  <c r="AA25" i="10" s="1"/>
  <c r="O25" i="10"/>
  <c r="N25" i="10" s="1"/>
  <c r="M25" i="10" s="1"/>
  <c r="L25" i="10" s="1"/>
  <c r="K25" i="10" s="1"/>
  <c r="J25" i="10" s="1"/>
  <c r="I25" i="10" s="1"/>
  <c r="H25" i="10" s="1"/>
  <c r="G25" i="10" s="1"/>
  <c r="R24" i="10"/>
  <c r="S24" i="10" s="1"/>
  <c r="T24" i="10" s="1"/>
  <c r="U24" i="10" s="1"/>
  <c r="V24" i="10" s="1"/>
  <c r="W24" i="10" s="1"/>
  <c r="X24" i="10" s="1"/>
  <c r="Y24" i="10" s="1"/>
  <c r="Z24" i="10" s="1"/>
  <c r="AA24" i="10" s="1"/>
  <c r="O24" i="10"/>
  <c r="N24" i="10" s="1"/>
  <c r="M24" i="10" s="1"/>
  <c r="L24" i="10" s="1"/>
  <c r="K24" i="10" s="1"/>
  <c r="J24" i="10" s="1"/>
  <c r="I24" i="10" s="1"/>
  <c r="H24" i="10" s="1"/>
  <c r="G24" i="10" s="1"/>
  <c r="R23" i="10"/>
  <c r="S23" i="10" s="1"/>
  <c r="T23" i="10" s="1"/>
  <c r="U23" i="10" s="1"/>
  <c r="V23" i="10" s="1"/>
  <c r="W23" i="10" s="1"/>
  <c r="X23" i="10" s="1"/>
  <c r="Y23" i="10" s="1"/>
  <c r="Z23" i="10" s="1"/>
  <c r="AA23" i="10" s="1"/>
  <c r="O23" i="10"/>
  <c r="N23" i="10" s="1"/>
  <c r="M23" i="10" s="1"/>
  <c r="L23" i="10" s="1"/>
  <c r="K23" i="10" s="1"/>
  <c r="J23" i="10" s="1"/>
  <c r="I23" i="10" s="1"/>
  <c r="H23" i="10" s="1"/>
  <c r="G23" i="10" s="1"/>
  <c r="S22" i="10"/>
  <c r="T22" i="10" s="1"/>
  <c r="U22" i="10" s="1"/>
  <c r="V22" i="10" s="1"/>
  <c r="W22" i="10" s="1"/>
  <c r="X22" i="10" s="1"/>
  <c r="Y22" i="10" s="1"/>
  <c r="Z22" i="10" s="1"/>
  <c r="AA22" i="10" s="1"/>
  <c r="O22" i="10"/>
  <c r="N22" i="10" s="1"/>
  <c r="M22" i="10" s="1"/>
  <c r="L22" i="10" s="1"/>
  <c r="K22" i="10" s="1"/>
  <c r="J22" i="10" s="1"/>
  <c r="I22" i="10" s="1"/>
  <c r="H22" i="10" s="1"/>
  <c r="G22" i="10" s="1"/>
  <c r="R8" i="10"/>
  <c r="S8" i="10" s="1"/>
  <c r="T8" i="10" s="1"/>
  <c r="U8" i="10" s="1"/>
  <c r="V8" i="10" s="1"/>
  <c r="W8" i="10" s="1"/>
  <c r="X8" i="10" s="1"/>
  <c r="Y8" i="10" s="1"/>
  <c r="Z8" i="10" s="1"/>
  <c r="AA8" i="10" s="1"/>
  <c r="O8" i="10"/>
  <c r="N8" i="10" s="1"/>
  <c r="M8" i="10" s="1"/>
  <c r="L8" i="10" s="1"/>
  <c r="K8" i="10" s="1"/>
  <c r="J8" i="10" s="1"/>
  <c r="I8" i="10" s="1"/>
  <c r="H8" i="10" s="1"/>
  <c r="G8" i="10" s="1"/>
  <c r="R7" i="10"/>
  <c r="S7" i="10" s="1"/>
  <c r="T7" i="10" s="1"/>
  <c r="U7" i="10" s="1"/>
  <c r="V7" i="10" s="1"/>
  <c r="W7" i="10" s="1"/>
  <c r="X7" i="10" s="1"/>
  <c r="Y7" i="10" s="1"/>
  <c r="Z7" i="10" s="1"/>
  <c r="AA7" i="10" s="1"/>
  <c r="O7" i="10"/>
  <c r="N7" i="10" s="1"/>
  <c r="M7" i="10" s="1"/>
  <c r="L7" i="10" s="1"/>
  <c r="K7" i="10" s="1"/>
  <c r="J7" i="10" s="1"/>
  <c r="I7" i="10" s="1"/>
  <c r="H7" i="10" s="1"/>
  <c r="G7" i="10" s="1"/>
  <c r="R6" i="10"/>
  <c r="S6" i="10" s="1"/>
  <c r="T6" i="10" s="1"/>
  <c r="U6" i="10" s="1"/>
  <c r="V6" i="10" s="1"/>
  <c r="W6" i="10" s="1"/>
  <c r="X6" i="10" s="1"/>
  <c r="Y6" i="10" s="1"/>
  <c r="Z6" i="10" s="1"/>
  <c r="AA6" i="10" s="1"/>
  <c r="O6" i="10"/>
  <c r="N6" i="10" s="1"/>
  <c r="M6" i="10" s="1"/>
  <c r="L6" i="10" s="1"/>
  <c r="K6" i="10" s="1"/>
  <c r="J6" i="10" s="1"/>
  <c r="I6" i="10" s="1"/>
  <c r="H6" i="10" s="1"/>
  <c r="G6" i="10" s="1"/>
  <c r="S5" i="10"/>
  <c r="T5" i="10" s="1"/>
  <c r="U5" i="10" s="1"/>
  <c r="V5" i="10" s="1"/>
  <c r="W5" i="10" s="1"/>
  <c r="X5" i="10" s="1"/>
  <c r="Y5" i="10" s="1"/>
  <c r="Z5" i="10" s="1"/>
  <c r="AA5" i="10" s="1"/>
  <c r="O5" i="10"/>
  <c r="N5" i="10" s="1"/>
  <c r="M5" i="10" s="1"/>
  <c r="L5" i="10" s="1"/>
  <c r="K5" i="10" s="1"/>
  <c r="J5" i="10" s="1"/>
  <c r="I5" i="10" s="1"/>
  <c r="H5" i="10" s="1"/>
  <c r="G5" i="10" s="1"/>
  <c r="M4" i="9"/>
  <c r="M8" i="9" s="1"/>
  <c r="K4" i="9"/>
  <c r="K8" i="9" s="1"/>
  <c r="M3" i="9"/>
  <c r="M9" i="9" s="1"/>
  <c r="K3" i="9"/>
  <c r="K7" i="9" s="1"/>
  <c r="M2" i="9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AG2" i="9" s="1"/>
  <c r="AH2" i="9" s="1"/>
  <c r="AI2" i="9" s="1"/>
  <c r="AJ2" i="9" s="1"/>
  <c r="AK2" i="9" s="1"/>
  <c r="AL2" i="9" s="1"/>
  <c r="AM2" i="9" s="1"/>
  <c r="AN2" i="9" s="1"/>
  <c r="AO2" i="9" s="1"/>
  <c r="AP2" i="9" s="1"/>
  <c r="AQ2" i="9" s="1"/>
  <c r="AR2" i="9" s="1"/>
  <c r="AS2" i="9" s="1"/>
  <c r="AT2" i="9" s="1"/>
  <c r="AU2" i="9" s="1"/>
  <c r="AV2" i="9" s="1"/>
  <c r="K2" i="9"/>
  <c r="J2" i="9" s="1"/>
  <c r="I2" i="9" s="1"/>
  <c r="H2" i="9" s="1"/>
  <c r="W50" i="7"/>
  <c r="V50" i="7" s="1"/>
  <c r="U50" i="7" s="1"/>
  <c r="T50" i="7" s="1"/>
  <c r="S50" i="7" s="1"/>
  <c r="R50" i="7" s="1"/>
  <c r="Q50" i="7" s="1"/>
  <c r="P50" i="7" s="1"/>
  <c r="O50" i="7" s="1"/>
  <c r="N50" i="7" s="1"/>
  <c r="M50" i="7" s="1"/>
  <c r="L50" i="7" s="1"/>
  <c r="K50" i="7" s="1"/>
  <c r="J50" i="7" s="1"/>
  <c r="I50" i="7" s="1"/>
  <c r="W37" i="7"/>
  <c r="V37" i="7" s="1"/>
  <c r="U37" i="7" s="1"/>
  <c r="T37" i="7" s="1"/>
  <c r="S37" i="7" s="1"/>
  <c r="R37" i="7" s="1"/>
  <c r="Q37" i="7" s="1"/>
  <c r="P37" i="7" s="1"/>
  <c r="O37" i="7" s="1"/>
  <c r="N37" i="7" s="1"/>
  <c r="M37" i="7" s="1"/>
  <c r="L37" i="7" s="1"/>
  <c r="K37" i="7" s="1"/>
  <c r="J37" i="7" s="1"/>
  <c r="I37" i="7" s="1"/>
  <c r="W21" i="7"/>
  <c r="W39" i="7" s="1"/>
  <c r="W52" i="7" s="1"/>
  <c r="W22" i="7"/>
  <c r="V22" i="7" s="1"/>
  <c r="V40" i="7" s="1"/>
  <c r="V53" i="7" s="1"/>
  <c r="V62" i="7" s="1"/>
  <c r="W23" i="7"/>
  <c r="W41" i="7" s="1"/>
  <c r="W54" i="7" s="1"/>
  <c r="W63" i="7" s="1"/>
  <c r="W24" i="7"/>
  <c r="W42" i="7" s="1"/>
  <c r="W55" i="7" s="1"/>
  <c r="W25" i="7"/>
  <c r="V25" i="7" s="1"/>
  <c r="V43" i="7" s="1"/>
  <c r="V56" i="7" s="1"/>
  <c r="W26" i="7"/>
  <c r="W27" i="7"/>
  <c r="W28" i="7"/>
  <c r="W29" i="7"/>
  <c r="W47" i="7" s="1"/>
  <c r="W60" i="7" s="1"/>
  <c r="W30" i="7"/>
  <c r="V30" i="7" s="1"/>
  <c r="U30" i="7" s="1"/>
  <c r="T30" i="7" s="1"/>
  <c r="S30" i="7" s="1"/>
  <c r="R30" i="7" s="1"/>
  <c r="Q30" i="7" s="1"/>
  <c r="P30" i="7" s="1"/>
  <c r="O30" i="7" s="1"/>
  <c r="N30" i="7" s="1"/>
  <c r="M30" i="7" s="1"/>
  <c r="L30" i="7" s="1"/>
  <c r="K30" i="7" s="1"/>
  <c r="J30" i="7" s="1"/>
  <c r="I30" i="7" s="1"/>
  <c r="W31" i="7"/>
  <c r="V31" i="7" s="1"/>
  <c r="U31" i="7" s="1"/>
  <c r="T31" i="7" s="1"/>
  <c r="S31" i="7" s="1"/>
  <c r="R31" i="7" s="1"/>
  <c r="Q31" i="7" s="1"/>
  <c r="P31" i="7" s="1"/>
  <c r="O31" i="7" s="1"/>
  <c r="N31" i="7" s="1"/>
  <c r="M31" i="7" s="1"/>
  <c r="L31" i="7" s="1"/>
  <c r="K31" i="7" s="1"/>
  <c r="J31" i="7" s="1"/>
  <c r="I31" i="7" s="1"/>
  <c r="W20" i="7"/>
  <c r="W19" i="7"/>
  <c r="V19" i="7" s="1"/>
  <c r="U19" i="7" s="1"/>
  <c r="T19" i="7" s="1"/>
  <c r="S19" i="7" s="1"/>
  <c r="R19" i="7" s="1"/>
  <c r="Q19" i="7" s="1"/>
  <c r="P19" i="7" s="1"/>
  <c r="O19" i="7" s="1"/>
  <c r="N19" i="7" s="1"/>
  <c r="M19" i="7" s="1"/>
  <c r="L19" i="7" s="1"/>
  <c r="K19" i="7" s="1"/>
  <c r="J19" i="7" s="1"/>
  <c r="I19" i="7" s="1"/>
  <c r="W5" i="7"/>
  <c r="V5" i="7" s="1"/>
  <c r="U5" i="7" s="1"/>
  <c r="T5" i="7" s="1"/>
  <c r="S5" i="7" s="1"/>
  <c r="R5" i="7" s="1"/>
  <c r="Q5" i="7" s="1"/>
  <c r="P5" i="7" s="1"/>
  <c r="O5" i="7" s="1"/>
  <c r="N5" i="7" s="1"/>
  <c r="M5" i="7" s="1"/>
  <c r="L5" i="7" s="1"/>
  <c r="K5" i="7" s="1"/>
  <c r="J5" i="7" s="1"/>
  <c r="I5" i="7" s="1"/>
  <c r="W6" i="7"/>
  <c r="V6" i="7" s="1"/>
  <c r="U6" i="7" s="1"/>
  <c r="T6" i="7" s="1"/>
  <c r="S6" i="7" s="1"/>
  <c r="R6" i="7" s="1"/>
  <c r="Q6" i="7" s="1"/>
  <c r="P6" i="7" s="1"/>
  <c r="O6" i="7" s="1"/>
  <c r="N6" i="7" s="1"/>
  <c r="M6" i="7" s="1"/>
  <c r="L6" i="7" s="1"/>
  <c r="K6" i="7" s="1"/>
  <c r="J6" i="7" s="1"/>
  <c r="I6" i="7" s="1"/>
  <c r="W7" i="7"/>
  <c r="V7" i="7" s="1"/>
  <c r="U7" i="7" s="1"/>
  <c r="T7" i="7" s="1"/>
  <c r="S7" i="7" s="1"/>
  <c r="R7" i="7" s="1"/>
  <c r="Q7" i="7" s="1"/>
  <c r="P7" i="7" s="1"/>
  <c r="O7" i="7" s="1"/>
  <c r="N7" i="7" s="1"/>
  <c r="M7" i="7" s="1"/>
  <c r="L7" i="7" s="1"/>
  <c r="K7" i="7" s="1"/>
  <c r="J7" i="7" s="1"/>
  <c r="I7" i="7" s="1"/>
  <c r="W8" i="7"/>
  <c r="V8" i="7" s="1"/>
  <c r="U8" i="7" s="1"/>
  <c r="T8" i="7" s="1"/>
  <c r="S8" i="7" s="1"/>
  <c r="R8" i="7" s="1"/>
  <c r="Q8" i="7" s="1"/>
  <c r="P8" i="7" s="1"/>
  <c r="O8" i="7" s="1"/>
  <c r="N8" i="7" s="1"/>
  <c r="M8" i="7" s="1"/>
  <c r="L8" i="7" s="1"/>
  <c r="K8" i="7" s="1"/>
  <c r="J8" i="7" s="1"/>
  <c r="I8" i="7" s="1"/>
  <c r="W10" i="7"/>
  <c r="V10" i="7" s="1"/>
  <c r="U10" i="7" s="1"/>
  <c r="T10" i="7" s="1"/>
  <c r="S10" i="7" s="1"/>
  <c r="R10" i="7" s="1"/>
  <c r="Q10" i="7" s="1"/>
  <c r="P10" i="7" s="1"/>
  <c r="O10" i="7" s="1"/>
  <c r="N10" i="7" s="1"/>
  <c r="M10" i="7" s="1"/>
  <c r="L10" i="7" s="1"/>
  <c r="K10" i="7" s="1"/>
  <c r="J10" i="7" s="1"/>
  <c r="I10" i="7" s="1"/>
  <c r="W11" i="7"/>
  <c r="V11" i="7" s="1"/>
  <c r="U11" i="7" s="1"/>
  <c r="T11" i="7" s="1"/>
  <c r="S11" i="7" s="1"/>
  <c r="R11" i="7" s="1"/>
  <c r="Q11" i="7" s="1"/>
  <c r="P11" i="7" s="1"/>
  <c r="O11" i="7" s="1"/>
  <c r="N11" i="7" s="1"/>
  <c r="M11" i="7" s="1"/>
  <c r="L11" i="7" s="1"/>
  <c r="K11" i="7" s="1"/>
  <c r="J11" i="7" s="1"/>
  <c r="I11" i="7" s="1"/>
  <c r="W12" i="7"/>
  <c r="V12" i="7" s="1"/>
  <c r="U12" i="7" s="1"/>
  <c r="T12" i="7" s="1"/>
  <c r="S12" i="7" s="1"/>
  <c r="R12" i="7" s="1"/>
  <c r="Q12" i="7" s="1"/>
  <c r="P12" i="7" s="1"/>
  <c r="O12" i="7" s="1"/>
  <c r="N12" i="7" s="1"/>
  <c r="M12" i="7" s="1"/>
  <c r="L12" i="7" s="1"/>
  <c r="K12" i="7" s="1"/>
  <c r="J12" i="7" s="1"/>
  <c r="I12" i="7" s="1"/>
  <c r="W13" i="7"/>
  <c r="V13" i="7" s="1"/>
  <c r="U13" i="7" s="1"/>
  <c r="T13" i="7" s="1"/>
  <c r="S13" i="7" s="1"/>
  <c r="R13" i="7" s="1"/>
  <c r="Q13" i="7" s="1"/>
  <c r="P13" i="7" s="1"/>
  <c r="O13" i="7" s="1"/>
  <c r="N13" i="7" s="1"/>
  <c r="M13" i="7" s="1"/>
  <c r="L13" i="7" s="1"/>
  <c r="K13" i="7" s="1"/>
  <c r="J13" i="7" s="1"/>
  <c r="I13" i="7" s="1"/>
  <c r="W4" i="7"/>
  <c r="V4" i="7" s="1"/>
  <c r="U4" i="7" s="1"/>
  <c r="T4" i="7" s="1"/>
  <c r="S4" i="7" s="1"/>
  <c r="R4" i="7" s="1"/>
  <c r="Q4" i="7" s="1"/>
  <c r="P4" i="7" s="1"/>
  <c r="O4" i="7" s="1"/>
  <c r="N4" i="7" s="1"/>
  <c r="M4" i="7" s="1"/>
  <c r="L4" i="7" s="1"/>
  <c r="K4" i="7" s="1"/>
  <c r="J4" i="7" s="1"/>
  <c r="I4" i="7" s="1"/>
  <c r="W3" i="7"/>
  <c r="V3" i="7" s="1"/>
  <c r="U3" i="7" s="1"/>
  <c r="T3" i="7" s="1"/>
  <c r="S3" i="7" s="1"/>
  <c r="R3" i="7" s="1"/>
  <c r="Q3" i="7" s="1"/>
  <c r="P3" i="7" s="1"/>
  <c r="O3" i="7" s="1"/>
  <c r="N3" i="7" s="1"/>
  <c r="M3" i="7" s="1"/>
  <c r="L3" i="7" s="1"/>
  <c r="K3" i="7" s="1"/>
  <c r="J3" i="7" s="1"/>
  <c r="I3" i="7" s="1"/>
  <c r="X38" i="7"/>
  <c r="X51" i="7" s="1"/>
  <c r="Y38" i="7"/>
  <c r="Z38" i="7"/>
  <c r="Z51" i="7" s="1"/>
  <c r="AA38" i="7"/>
  <c r="AA51" i="7" s="1"/>
  <c r="AB38" i="7"/>
  <c r="AB51" i="7" s="1"/>
  <c r="AC38" i="7"/>
  <c r="AC51" i="7" s="1"/>
  <c r="AD38" i="7"/>
  <c r="AD51" i="7" s="1"/>
  <c r="AE38" i="7"/>
  <c r="AE51" i="7" s="1"/>
  <c r="AF38" i="7"/>
  <c r="AF51" i="7" s="1"/>
  <c r="AG38" i="7"/>
  <c r="AG51" i="7" s="1"/>
  <c r="AH38" i="7"/>
  <c r="AH51" i="7" s="1"/>
  <c r="AI38" i="7"/>
  <c r="AI51" i="7" s="1"/>
  <c r="AJ38" i="7"/>
  <c r="AJ51" i="7" s="1"/>
  <c r="AK38" i="7"/>
  <c r="AK51" i="7" s="1"/>
  <c r="AL38" i="7"/>
  <c r="AL51" i="7" s="1"/>
  <c r="AM38" i="7"/>
  <c r="AM51" i="7" s="1"/>
  <c r="AN38" i="7"/>
  <c r="AN51" i="7" s="1"/>
  <c r="AO38" i="7"/>
  <c r="AO51" i="7" s="1"/>
  <c r="AP38" i="7"/>
  <c r="AP51" i="7" s="1"/>
  <c r="AQ38" i="7"/>
  <c r="AQ51" i="7" s="1"/>
  <c r="AR38" i="7"/>
  <c r="AR51" i="7" s="1"/>
  <c r="X39" i="7"/>
  <c r="X52" i="7" s="1"/>
  <c r="Y39" i="7"/>
  <c r="Z39" i="7"/>
  <c r="Z52" i="7" s="1"/>
  <c r="AA39" i="7"/>
  <c r="AA52" i="7" s="1"/>
  <c r="AB39" i="7"/>
  <c r="AB52" i="7" s="1"/>
  <c r="AC39" i="7"/>
  <c r="AC52" i="7" s="1"/>
  <c r="AD39" i="7"/>
  <c r="AD52" i="7" s="1"/>
  <c r="AE39" i="7"/>
  <c r="AE52" i="7" s="1"/>
  <c r="AF39" i="7"/>
  <c r="AF52" i="7" s="1"/>
  <c r="AG39" i="7"/>
  <c r="AG52" i="7" s="1"/>
  <c r="AH39" i="7"/>
  <c r="AH52" i="7" s="1"/>
  <c r="AI39" i="7"/>
  <c r="AI52" i="7" s="1"/>
  <c r="AJ39" i="7"/>
  <c r="AJ52" i="7" s="1"/>
  <c r="AK39" i="7"/>
  <c r="AK52" i="7" s="1"/>
  <c r="AL39" i="7"/>
  <c r="AL52" i="7" s="1"/>
  <c r="AM39" i="7"/>
  <c r="AM52" i="7" s="1"/>
  <c r="AN39" i="7"/>
  <c r="AN52" i="7" s="1"/>
  <c r="AO39" i="7"/>
  <c r="AO52" i="7" s="1"/>
  <c r="AP39" i="7"/>
  <c r="AP52" i="7" s="1"/>
  <c r="AQ39" i="7"/>
  <c r="AQ52" i="7" s="1"/>
  <c r="AR39" i="7"/>
  <c r="AR52" i="7" s="1"/>
  <c r="X40" i="7"/>
  <c r="X53" i="7" s="1"/>
  <c r="X62" i="7" s="1"/>
  <c r="Y40" i="7"/>
  <c r="Z40" i="7"/>
  <c r="Z53" i="7" s="1"/>
  <c r="Z62" i="7" s="1"/>
  <c r="AA40" i="7"/>
  <c r="AA53" i="7" s="1"/>
  <c r="AA62" i="7" s="1"/>
  <c r="AB40" i="7"/>
  <c r="AB53" i="7" s="1"/>
  <c r="AB62" i="7" s="1"/>
  <c r="AC40" i="7"/>
  <c r="AC53" i="7" s="1"/>
  <c r="AC62" i="7" s="1"/>
  <c r="AD40" i="7"/>
  <c r="AD53" i="7" s="1"/>
  <c r="AD62" i="7" s="1"/>
  <c r="AE40" i="7"/>
  <c r="AE53" i="7" s="1"/>
  <c r="AE62" i="7" s="1"/>
  <c r="AF40" i="7"/>
  <c r="AF53" i="7" s="1"/>
  <c r="AF62" i="7" s="1"/>
  <c r="AG40" i="7"/>
  <c r="AG53" i="7" s="1"/>
  <c r="AG62" i="7" s="1"/>
  <c r="AH40" i="7"/>
  <c r="AH53" i="7" s="1"/>
  <c r="AH62" i="7" s="1"/>
  <c r="AI40" i="7"/>
  <c r="AI53" i="7" s="1"/>
  <c r="AI62" i="7" s="1"/>
  <c r="AJ40" i="7"/>
  <c r="AJ53" i="7" s="1"/>
  <c r="AJ62" i="7" s="1"/>
  <c r="AK40" i="7"/>
  <c r="AK53" i="7" s="1"/>
  <c r="AK62" i="7" s="1"/>
  <c r="AL40" i="7"/>
  <c r="AL53" i="7" s="1"/>
  <c r="AL62" i="7" s="1"/>
  <c r="AM40" i="7"/>
  <c r="AM53" i="7" s="1"/>
  <c r="AM62" i="7" s="1"/>
  <c r="AN40" i="7"/>
  <c r="AN53" i="7" s="1"/>
  <c r="AN62" i="7" s="1"/>
  <c r="AO40" i="7"/>
  <c r="AO53" i="7" s="1"/>
  <c r="AO62" i="7" s="1"/>
  <c r="AP40" i="7"/>
  <c r="AP53" i="7" s="1"/>
  <c r="AP62" i="7" s="1"/>
  <c r="AQ40" i="7"/>
  <c r="AQ53" i="7" s="1"/>
  <c r="AQ62" i="7" s="1"/>
  <c r="AR40" i="7"/>
  <c r="AR53" i="7" s="1"/>
  <c r="AR62" i="7" s="1"/>
  <c r="X41" i="7"/>
  <c r="X54" i="7" s="1"/>
  <c r="X63" i="7" s="1"/>
  <c r="Y41" i="7"/>
  <c r="Y54" i="7" s="1"/>
  <c r="Y63" i="7" s="1"/>
  <c r="Z41" i="7"/>
  <c r="Z54" i="7" s="1"/>
  <c r="Z63" i="7" s="1"/>
  <c r="AA41" i="7"/>
  <c r="AA54" i="7" s="1"/>
  <c r="AA63" i="7" s="1"/>
  <c r="AB41" i="7"/>
  <c r="AB54" i="7" s="1"/>
  <c r="AB63" i="7" s="1"/>
  <c r="AC41" i="7"/>
  <c r="AC54" i="7" s="1"/>
  <c r="AC63" i="7" s="1"/>
  <c r="AD41" i="7"/>
  <c r="AD54" i="7" s="1"/>
  <c r="AD63" i="7" s="1"/>
  <c r="AE41" i="7"/>
  <c r="AE54" i="7" s="1"/>
  <c r="AE63" i="7" s="1"/>
  <c r="AF41" i="7"/>
  <c r="AF54" i="7" s="1"/>
  <c r="AF63" i="7" s="1"/>
  <c r="AG41" i="7"/>
  <c r="AG54" i="7" s="1"/>
  <c r="AG63" i="7" s="1"/>
  <c r="AH41" i="7"/>
  <c r="AH54" i="7" s="1"/>
  <c r="AH63" i="7" s="1"/>
  <c r="AI41" i="7"/>
  <c r="AI54" i="7" s="1"/>
  <c r="AI63" i="7" s="1"/>
  <c r="AJ41" i="7"/>
  <c r="AJ54" i="7" s="1"/>
  <c r="AJ63" i="7" s="1"/>
  <c r="AK41" i="7"/>
  <c r="AK54" i="7" s="1"/>
  <c r="AK63" i="7" s="1"/>
  <c r="AL41" i="7"/>
  <c r="AL54" i="7" s="1"/>
  <c r="AL63" i="7" s="1"/>
  <c r="AM41" i="7"/>
  <c r="AM54" i="7" s="1"/>
  <c r="AM63" i="7" s="1"/>
  <c r="AN41" i="7"/>
  <c r="AN54" i="7" s="1"/>
  <c r="AN63" i="7" s="1"/>
  <c r="AO41" i="7"/>
  <c r="AO54" i="7" s="1"/>
  <c r="AO63" i="7" s="1"/>
  <c r="AP41" i="7"/>
  <c r="AP54" i="7" s="1"/>
  <c r="AP63" i="7" s="1"/>
  <c r="AQ41" i="7"/>
  <c r="AQ54" i="7" s="1"/>
  <c r="AQ63" i="7" s="1"/>
  <c r="AR41" i="7"/>
  <c r="AR54" i="7" s="1"/>
  <c r="AR63" i="7" s="1"/>
  <c r="AR43" i="7"/>
  <c r="AR56" i="7" s="1"/>
  <c r="X42" i="7"/>
  <c r="X55" i="7" s="1"/>
  <c r="Y42" i="7"/>
  <c r="Y55" i="7" s="1"/>
  <c r="Z42" i="7"/>
  <c r="Z55" i="7" s="1"/>
  <c r="AA42" i="7"/>
  <c r="AA55" i="7" s="1"/>
  <c r="AB42" i="7"/>
  <c r="AB55" i="7" s="1"/>
  <c r="AC42" i="7"/>
  <c r="AC55" i="7" s="1"/>
  <c r="AD42" i="7"/>
  <c r="AD55" i="7" s="1"/>
  <c r="AE42" i="7"/>
  <c r="AE55" i="7" s="1"/>
  <c r="AF42" i="7"/>
  <c r="AF55" i="7" s="1"/>
  <c r="AG42" i="7"/>
  <c r="AG55" i="7" s="1"/>
  <c r="AH42" i="7"/>
  <c r="AH55" i="7" s="1"/>
  <c r="AI42" i="7"/>
  <c r="AI55" i="7" s="1"/>
  <c r="AJ42" i="7"/>
  <c r="AJ55" i="7" s="1"/>
  <c r="AK42" i="7"/>
  <c r="AK55" i="7" s="1"/>
  <c r="AL42" i="7"/>
  <c r="AL55" i="7" s="1"/>
  <c r="AM42" i="7"/>
  <c r="AM55" i="7" s="1"/>
  <c r="AN42" i="7"/>
  <c r="AN55" i="7" s="1"/>
  <c r="AO42" i="7"/>
  <c r="AO55" i="7" s="1"/>
  <c r="AP42" i="7"/>
  <c r="AP55" i="7" s="1"/>
  <c r="AQ42" i="7"/>
  <c r="AQ55" i="7" s="1"/>
  <c r="AR42" i="7"/>
  <c r="AR55" i="7" s="1"/>
  <c r="X43" i="7"/>
  <c r="X56" i="7" s="1"/>
  <c r="Y43" i="7"/>
  <c r="Y56" i="7" s="1"/>
  <c r="Z43" i="7"/>
  <c r="Z56" i="7" s="1"/>
  <c r="AA43" i="7"/>
  <c r="AA56" i="7" s="1"/>
  <c r="AB43" i="7"/>
  <c r="AB56" i="7" s="1"/>
  <c r="AC43" i="7"/>
  <c r="AC56" i="7" s="1"/>
  <c r="AD43" i="7"/>
  <c r="AD56" i="7" s="1"/>
  <c r="AE43" i="7"/>
  <c r="AE56" i="7" s="1"/>
  <c r="AF43" i="7"/>
  <c r="AF56" i="7" s="1"/>
  <c r="AG43" i="7"/>
  <c r="AG56" i="7" s="1"/>
  <c r="AH43" i="7"/>
  <c r="AH56" i="7" s="1"/>
  <c r="AI43" i="7"/>
  <c r="AI56" i="7" s="1"/>
  <c r="AJ43" i="7"/>
  <c r="AJ56" i="7" s="1"/>
  <c r="AK43" i="7"/>
  <c r="AK56" i="7" s="1"/>
  <c r="AL43" i="7"/>
  <c r="AL56" i="7" s="1"/>
  <c r="AM43" i="7"/>
  <c r="AM56" i="7" s="1"/>
  <c r="AN43" i="7"/>
  <c r="AN56" i="7" s="1"/>
  <c r="AO43" i="7"/>
  <c r="AO56" i="7" s="1"/>
  <c r="AP43" i="7"/>
  <c r="AP56" i="7" s="1"/>
  <c r="AQ43" i="7"/>
  <c r="AQ56" i="7" s="1"/>
  <c r="X44" i="7"/>
  <c r="X57" i="7" s="1"/>
  <c r="Y44" i="7"/>
  <c r="Y57" i="7" s="1"/>
  <c r="Z44" i="7"/>
  <c r="Z57" i="7" s="1"/>
  <c r="AA44" i="7"/>
  <c r="AA57" i="7" s="1"/>
  <c r="AB44" i="7"/>
  <c r="AB57" i="7" s="1"/>
  <c r="AC44" i="7"/>
  <c r="AC57" i="7" s="1"/>
  <c r="AD44" i="7"/>
  <c r="AD57" i="7" s="1"/>
  <c r="AE44" i="7"/>
  <c r="AE57" i="7" s="1"/>
  <c r="AF44" i="7"/>
  <c r="AF57" i="7" s="1"/>
  <c r="AG44" i="7"/>
  <c r="AG57" i="7" s="1"/>
  <c r="AH44" i="7"/>
  <c r="AH57" i="7" s="1"/>
  <c r="AI44" i="7"/>
  <c r="AI57" i="7" s="1"/>
  <c r="AJ44" i="7"/>
  <c r="AJ57" i="7" s="1"/>
  <c r="AK44" i="7"/>
  <c r="AK57" i="7" s="1"/>
  <c r="AL44" i="7"/>
  <c r="AL57" i="7" s="1"/>
  <c r="AM44" i="7"/>
  <c r="AM57" i="7" s="1"/>
  <c r="AN44" i="7"/>
  <c r="AN57" i="7" s="1"/>
  <c r="AO44" i="7"/>
  <c r="AO57" i="7" s="1"/>
  <c r="AP44" i="7"/>
  <c r="AP57" i="7" s="1"/>
  <c r="AQ44" i="7"/>
  <c r="AQ57" i="7" s="1"/>
  <c r="AR44" i="7"/>
  <c r="AR57" i="7" s="1"/>
  <c r="X45" i="7"/>
  <c r="X58" i="7" s="1"/>
  <c r="Y45" i="7"/>
  <c r="Y58" i="7" s="1"/>
  <c r="Z45" i="7"/>
  <c r="Z58" i="7" s="1"/>
  <c r="AA45" i="7"/>
  <c r="AA58" i="7" s="1"/>
  <c r="AB45" i="7"/>
  <c r="AB58" i="7" s="1"/>
  <c r="AC45" i="7"/>
  <c r="AC58" i="7" s="1"/>
  <c r="AD45" i="7"/>
  <c r="AD58" i="7" s="1"/>
  <c r="AE45" i="7"/>
  <c r="AE58" i="7" s="1"/>
  <c r="AF45" i="7"/>
  <c r="AF58" i="7" s="1"/>
  <c r="AG45" i="7"/>
  <c r="AG58" i="7" s="1"/>
  <c r="AH45" i="7"/>
  <c r="AH58" i="7" s="1"/>
  <c r="AI45" i="7"/>
  <c r="AI58" i="7" s="1"/>
  <c r="AJ45" i="7"/>
  <c r="AJ58" i="7" s="1"/>
  <c r="AK45" i="7"/>
  <c r="AK58" i="7" s="1"/>
  <c r="AL45" i="7"/>
  <c r="AL58" i="7" s="1"/>
  <c r="AM45" i="7"/>
  <c r="AM58" i="7" s="1"/>
  <c r="AN45" i="7"/>
  <c r="AN58" i="7" s="1"/>
  <c r="AO45" i="7"/>
  <c r="AO58" i="7" s="1"/>
  <c r="AP45" i="7"/>
  <c r="AP58" i="7" s="1"/>
  <c r="AQ45" i="7"/>
  <c r="AQ58" i="7" s="1"/>
  <c r="AR45" i="7"/>
  <c r="AR58" i="7" s="1"/>
  <c r="X46" i="7"/>
  <c r="X59" i="7" s="1"/>
  <c r="Y46" i="7"/>
  <c r="Y59" i="7" s="1"/>
  <c r="Z46" i="7"/>
  <c r="Z59" i="7" s="1"/>
  <c r="AA46" i="7"/>
  <c r="AA59" i="7" s="1"/>
  <c r="AB46" i="7"/>
  <c r="AB59" i="7" s="1"/>
  <c r="AC46" i="7"/>
  <c r="AC59" i="7" s="1"/>
  <c r="AD46" i="7"/>
  <c r="AD59" i="7" s="1"/>
  <c r="AE46" i="7"/>
  <c r="AE59" i="7" s="1"/>
  <c r="AF46" i="7"/>
  <c r="AF59" i="7" s="1"/>
  <c r="AG46" i="7"/>
  <c r="AG59" i="7" s="1"/>
  <c r="AH46" i="7"/>
  <c r="AH59" i="7" s="1"/>
  <c r="AI46" i="7"/>
  <c r="AI59" i="7" s="1"/>
  <c r="AJ46" i="7"/>
  <c r="AJ59" i="7" s="1"/>
  <c r="AK46" i="7"/>
  <c r="AK59" i="7" s="1"/>
  <c r="AL46" i="7"/>
  <c r="AL59" i="7" s="1"/>
  <c r="AM46" i="7"/>
  <c r="AM59" i="7" s="1"/>
  <c r="AN46" i="7"/>
  <c r="AN59" i="7" s="1"/>
  <c r="AO46" i="7"/>
  <c r="AO59" i="7" s="1"/>
  <c r="AP46" i="7"/>
  <c r="AP59" i="7" s="1"/>
  <c r="AQ46" i="7"/>
  <c r="AQ59" i="7" s="1"/>
  <c r="AR46" i="7"/>
  <c r="AR59" i="7" s="1"/>
  <c r="X47" i="7"/>
  <c r="X60" i="7" s="1"/>
  <c r="Y47" i="7"/>
  <c r="Z47" i="7"/>
  <c r="Z60" i="7" s="1"/>
  <c r="AA47" i="7"/>
  <c r="AA60" i="7" s="1"/>
  <c r="AB47" i="7"/>
  <c r="AB60" i="7" s="1"/>
  <c r="AC47" i="7"/>
  <c r="AC60" i="7" s="1"/>
  <c r="AD47" i="7"/>
  <c r="AD60" i="7" s="1"/>
  <c r="AE47" i="7"/>
  <c r="AE60" i="7" s="1"/>
  <c r="AF47" i="7"/>
  <c r="AF60" i="7" s="1"/>
  <c r="AG47" i="7"/>
  <c r="AG60" i="7" s="1"/>
  <c r="AH47" i="7"/>
  <c r="AH60" i="7" s="1"/>
  <c r="AI47" i="7"/>
  <c r="AI60" i="7" s="1"/>
  <c r="AJ47" i="7"/>
  <c r="AJ60" i="7" s="1"/>
  <c r="AK47" i="7"/>
  <c r="AK60" i="7" s="1"/>
  <c r="AL47" i="7"/>
  <c r="AL60" i="7" s="1"/>
  <c r="AM47" i="7"/>
  <c r="AM60" i="7" s="1"/>
  <c r="AN47" i="7"/>
  <c r="AN60" i="7" s="1"/>
  <c r="AO47" i="7"/>
  <c r="AO60" i="7" s="1"/>
  <c r="AP47" i="7"/>
  <c r="AP60" i="7" s="1"/>
  <c r="AQ47" i="7"/>
  <c r="AQ60" i="7" s="1"/>
  <c r="AR47" i="7"/>
  <c r="AR60" i="7" s="1"/>
  <c r="AJ9" i="7"/>
  <c r="AK9" i="7" s="1"/>
  <c r="AL9" i="7" s="1"/>
  <c r="AM9" i="7" s="1"/>
  <c r="AN9" i="7" s="1"/>
  <c r="AO9" i="7" s="1"/>
  <c r="AP9" i="7" s="1"/>
  <c r="AQ9" i="7" s="1"/>
  <c r="AR9" i="7" s="1"/>
  <c r="AH9" i="7"/>
  <c r="AG9" i="7" s="1"/>
  <c r="AF9" i="7" s="1"/>
  <c r="AE9" i="7" s="1"/>
  <c r="AD9" i="7" s="1"/>
  <c r="AC9" i="7" s="1"/>
  <c r="AB9" i="7" s="1"/>
  <c r="AA9" i="7" s="1"/>
  <c r="Z9" i="7" s="1"/>
  <c r="Y9" i="7" s="1"/>
  <c r="X9" i="7" s="1"/>
  <c r="W9" i="7" s="1"/>
  <c r="V9" i="7" s="1"/>
  <c r="U9" i="7" s="1"/>
  <c r="T9" i="7" s="1"/>
  <c r="S9" i="7" s="1"/>
  <c r="R9" i="7" s="1"/>
  <c r="Q9" i="7" s="1"/>
  <c r="P9" i="7" s="1"/>
  <c r="O9" i="7" s="1"/>
  <c r="N9" i="7" s="1"/>
  <c r="M9" i="7" s="1"/>
  <c r="L9" i="7" s="1"/>
  <c r="K9" i="7" s="1"/>
  <c r="J9" i="7" s="1"/>
  <c r="I9" i="7" s="1"/>
  <c r="M15" i="14"/>
  <c r="N15" i="14" s="1"/>
  <c r="O15" i="14" s="1"/>
  <c r="P15" i="14" s="1"/>
  <c r="Q15" i="14" s="1"/>
  <c r="R15" i="14" s="1"/>
  <c r="S15" i="14" s="1"/>
  <c r="T15" i="14" s="1"/>
  <c r="U15" i="14" s="1"/>
  <c r="V15" i="14" s="1"/>
  <c r="W15" i="14" s="1"/>
  <c r="X15" i="14" s="1"/>
  <c r="Y15" i="14" s="1"/>
  <c r="Z15" i="14" s="1"/>
  <c r="AA15" i="14" s="1"/>
  <c r="AB15" i="14" s="1"/>
  <c r="AC15" i="14" s="1"/>
  <c r="AD15" i="14" s="1"/>
  <c r="AE15" i="14" s="1"/>
  <c r="AF15" i="14" s="1"/>
  <c r="AG15" i="14" s="1"/>
  <c r="AH15" i="14" s="1"/>
  <c r="AI15" i="14" s="1"/>
  <c r="AJ15" i="14" s="1"/>
  <c r="AK15" i="14" s="1"/>
  <c r="AL15" i="14" s="1"/>
  <c r="AM15" i="14" s="1"/>
  <c r="AN15" i="14" s="1"/>
  <c r="AO15" i="14" s="1"/>
  <c r="AP15" i="14" s="1"/>
  <c r="AQ15" i="14" s="1"/>
  <c r="AR15" i="14" s="1"/>
  <c r="AS15" i="14" s="1"/>
  <c r="AT15" i="14" s="1"/>
  <c r="AU15" i="14" s="1"/>
  <c r="AV15" i="14" s="1"/>
  <c r="AW15" i="14" s="1"/>
  <c r="AX15" i="14" s="1"/>
  <c r="AY15" i="14" s="1"/>
  <c r="AZ15" i="14" s="1"/>
  <c r="BA15" i="14" s="1"/>
  <c r="BB15" i="14" s="1"/>
  <c r="BC15" i="14" s="1"/>
  <c r="BD15" i="14" s="1"/>
  <c r="BE15" i="14" s="1"/>
  <c r="BF15" i="14" s="1"/>
  <c r="BG15" i="14" s="1"/>
  <c r="BH15" i="14" s="1"/>
  <c r="BI15" i="14" s="1"/>
  <c r="BJ15" i="14" s="1"/>
  <c r="BK15" i="14" s="1"/>
  <c r="BI99" i="15" l="1"/>
  <c r="BJ99" i="15"/>
  <c r="BK99" i="15"/>
  <c r="J9" i="22"/>
  <c r="D47" i="16"/>
  <c r="AS34" i="15"/>
  <c r="AR34" i="15" s="1"/>
  <c r="AQ34" i="15" s="1"/>
  <c r="AP34" i="15" s="1"/>
  <c r="AO34" i="15" s="1"/>
  <c r="AN34" i="15" s="1"/>
  <c r="AM34" i="15" s="1"/>
  <c r="AL34" i="15" s="1"/>
  <c r="AK34" i="15" s="1"/>
  <c r="AJ34" i="15" s="1"/>
  <c r="D72" i="16"/>
  <c r="D59" i="16"/>
  <c r="AN80" i="16"/>
  <c r="AO80" i="16" s="1"/>
  <c r="AP80" i="16" s="1"/>
  <c r="AQ80" i="16" s="1"/>
  <c r="AR80" i="16" s="1"/>
  <c r="AS80" i="16" s="1"/>
  <c r="AT80" i="16" s="1"/>
  <c r="AU80" i="16" s="1"/>
  <c r="AV80" i="16" s="1"/>
  <c r="AW80" i="16" s="1"/>
  <c r="AX80" i="16" s="1"/>
  <c r="AY80" i="16" s="1"/>
  <c r="AZ80" i="16" s="1"/>
  <c r="BA80" i="16" s="1"/>
  <c r="BB80" i="16" s="1"/>
  <c r="BC80" i="16" s="1"/>
  <c r="BD80" i="16" s="1"/>
  <c r="BE80" i="16" s="1"/>
  <c r="BF80" i="16" s="1"/>
  <c r="BG80" i="16" s="1"/>
  <c r="BH80" i="16" s="1"/>
  <c r="BI80" i="16" s="1"/>
  <c r="BJ80" i="16" s="1"/>
  <c r="BK80" i="16" s="1"/>
  <c r="BL80" i="16" s="1"/>
  <c r="BM80" i="16" s="1"/>
  <c r="BN80" i="16" s="1"/>
  <c r="BO80" i="16" s="1"/>
  <c r="BP80" i="16" s="1"/>
  <c r="BQ80" i="16" s="1"/>
  <c r="BR80" i="16" s="1"/>
  <c r="BS80" i="16" s="1"/>
  <c r="BT80" i="16" s="1"/>
  <c r="BU80" i="16" s="1"/>
  <c r="BV80" i="16" s="1"/>
  <c r="BW80" i="16" s="1"/>
  <c r="BX80" i="16" s="1"/>
  <c r="BY80" i="16" s="1"/>
  <c r="BZ80" i="16" s="1"/>
  <c r="CA80" i="16" s="1"/>
  <c r="H40" i="7"/>
  <c r="H53" i="7" s="1"/>
  <c r="BF24" i="16"/>
  <c r="BG24" i="16" s="1"/>
  <c r="BE64" i="16"/>
  <c r="J5" i="22"/>
  <c r="D56" i="16"/>
  <c r="D73" i="16"/>
  <c r="AU29" i="7"/>
  <c r="AT47" i="7"/>
  <c r="AT60" i="7" s="1"/>
  <c r="V21" i="7"/>
  <c r="V39" i="7" s="1"/>
  <c r="V52" i="7" s="1"/>
  <c r="D55" i="16"/>
  <c r="CB14" i="16"/>
  <c r="BE14" i="16" s="1"/>
  <c r="BF14" i="16" s="1"/>
  <c r="D70" i="16"/>
  <c r="D67" i="16"/>
  <c r="BE70" i="16"/>
  <c r="H41" i="7"/>
  <c r="H54" i="7" s="1"/>
  <c r="AF67" i="7"/>
  <c r="V24" i="7"/>
  <c r="J4" i="9"/>
  <c r="J10" i="9" s="1"/>
  <c r="D76" i="16"/>
  <c r="D58" i="16"/>
  <c r="AT28" i="7"/>
  <c r="AT46" i="7" s="1"/>
  <c r="AT59" i="7" s="1"/>
  <c r="D68" i="16"/>
  <c r="J3" i="9"/>
  <c r="I3" i="9" s="1"/>
  <c r="I7" i="9" s="1"/>
  <c r="BE38" i="16"/>
  <c r="BF38" i="16" s="1"/>
  <c r="BG38" i="16" s="1"/>
  <c r="BH38" i="16" s="1"/>
  <c r="BI38" i="16" s="1"/>
  <c r="BJ38" i="16" s="1"/>
  <c r="BK38" i="16" s="1"/>
  <c r="BL38" i="16" s="1"/>
  <c r="BM38" i="16" s="1"/>
  <c r="BN38" i="16" s="1"/>
  <c r="BO38" i="16" s="1"/>
  <c r="BP38" i="16" s="1"/>
  <c r="BQ38" i="16" s="1"/>
  <c r="BR38" i="16" s="1"/>
  <c r="BS38" i="16" s="1"/>
  <c r="BT38" i="16" s="1"/>
  <c r="BU38" i="16" s="1"/>
  <c r="BV38" i="16" s="1"/>
  <c r="BW38" i="16" s="1"/>
  <c r="BX38" i="16" s="1"/>
  <c r="BY38" i="16" s="1"/>
  <c r="BZ38" i="16" s="1"/>
  <c r="CA38" i="16" s="1"/>
  <c r="D57" i="16"/>
  <c r="H39" i="7"/>
  <c r="H52" i="7" s="1"/>
  <c r="D65" i="16"/>
  <c r="H45" i="7"/>
  <c r="H58" i="7" s="1"/>
  <c r="D50" i="16"/>
  <c r="D74" i="16"/>
  <c r="BE73" i="16"/>
  <c r="BF20" i="16"/>
  <c r="BG20" i="16" s="1"/>
  <c r="BH20" i="16" s="1"/>
  <c r="H47" i="7"/>
  <c r="H60" i="7" s="1"/>
  <c r="AT27" i="7"/>
  <c r="AT45" i="7" s="1"/>
  <c r="AT58" i="7" s="1"/>
  <c r="D53" i="16"/>
  <c r="BE62" i="16"/>
  <c r="W40" i="7"/>
  <c r="W53" i="7" s="1"/>
  <c r="W62" i="7" s="1"/>
  <c r="V29" i="7"/>
  <c r="V47" i="7" s="1"/>
  <c r="V60" i="7" s="1"/>
  <c r="D51" i="16"/>
  <c r="AN79" i="16"/>
  <c r="AO79" i="16" s="1"/>
  <c r="AP79" i="16" s="1"/>
  <c r="AQ79" i="16" s="1"/>
  <c r="AR79" i="16" s="1"/>
  <c r="AS79" i="16" s="1"/>
  <c r="AT79" i="16" s="1"/>
  <c r="AU79" i="16" s="1"/>
  <c r="AV79" i="16" s="1"/>
  <c r="AW79" i="16" s="1"/>
  <c r="AX79" i="16" s="1"/>
  <c r="AY79" i="16" s="1"/>
  <c r="AZ79" i="16" s="1"/>
  <c r="BA79" i="16" s="1"/>
  <c r="BB79" i="16" s="1"/>
  <c r="BC79" i="16" s="1"/>
  <c r="BD79" i="16" s="1"/>
  <c r="BE79" i="16" s="1"/>
  <c r="BF79" i="16" s="1"/>
  <c r="BG79" i="16" s="1"/>
  <c r="BH79" i="16" s="1"/>
  <c r="BI79" i="16" s="1"/>
  <c r="BJ79" i="16" s="1"/>
  <c r="BK79" i="16" s="1"/>
  <c r="BL79" i="16" s="1"/>
  <c r="BM79" i="16" s="1"/>
  <c r="BN79" i="16" s="1"/>
  <c r="BO79" i="16" s="1"/>
  <c r="BP79" i="16" s="1"/>
  <c r="BQ79" i="16" s="1"/>
  <c r="BR79" i="16" s="1"/>
  <c r="BS79" i="16" s="1"/>
  <c r="BT79" i="16" s="1"/>
  <c r="BU79" i="16" s="1"/>
  <c r="BV79" i="16" s="1"/>
  <c r="BW79" i="16" s="1"/>
  <c r="BX79" i="16" s="1"/>
  <c r="BY79" i="16" s="1"/>
  <c r="BZ79" i="16" s="1"/>
  <c r="CA79" i="16" s="1"/>
  <c r="BE66" i="16"/>
  <c r="H43" i="7"/>
  <c r="H56" i="7" s="1"/>
  <c r="V23" i="7"/>
  <c r="BF62" i="16"/>
  <c r="H42" i="7"/>
  <c r="H55" i="7" s="1"/>
  <c r="H38" i="7"/>
  <c r="H51" i="7" s="1"/>
  <c r="AG67" i="7"/>
  <c r="BE57" i="16"/>
  <c r="BF17" i="16"/>
  <c r="BE53" i="16"/>
  <c r="BF13" i="16"/>
  <c r="BF53" i="16" s="1"/>
  <c r="Y53" i="7"/>
  <c r="Y62" i="7" s="1"/>
  <c r="BN98" i="15"/>
  <c r="BE49" i="16"/>
  <c r="BG98" i="15"/>
  <c r="N3" i="9"/>
  <c r="D71" i="16"/>
  <c r="D52" i="16"/>
  <c r="D64" i="16"/>
  <c r="W43" i="7"/>
  <c r="W56" i="7" s="1"/>
  <c r="BF12" i="16"/>
  <c r="BF52" i="16" s="1"/>
  <c r="CB21" i="16"/>
  <c r="BE21" i="16" s="1"/>
  <c r="BF34" i="16"/>
  <c r="BF74" i="16" s="1"/>
  <c r="K9" i="9"/>
  <c r="Y51" i="7"/>
  <c r="D54" i="16"/>
  <c r="D69" i="16"/>
  <c r="BF15" i="16"/>
  <c r="G5" i="22"/>
  <c r="AT39" i="7"/>
  <c r="AT52" i="7" s="1"/>
  <c r="AS39" i="7"/>
  <c r="AS52" i="7" s="1"/>
  <c r="AD66" i="7"/>
  <c r="AD67" i="7" s="1"/>
  <c r="BF31" i="16"/>
  <c r="BE50" i="16"/>
  <c r="K10" i="9"/>
  <c r="Y60" i="7"/>
  <c r="Y52" i="7"/>
  <c r="D49" i="16"/>
  <c r="D60" i="16"/>
  <c r="BF11" i="16"/>
  <c r="BF50" i="16"/>
  <c r="CB23" i="16"/>
  <c r="BE23" i="16" s="1"/>
  <c r="AL78" i="16"/>
  <c r="AK78" i="16" s="1"/>
  <c r="AJ78" i="16" s="1"/>
  <c r="AI78" i="16" s="1"/>
  <c r="AH78" i="16" s="1"/>
  <c r="AG78" i="16" s="1"/>
  <c r="AF78" i="16" s="1"/>
  <c r="AE78" i="16" s="1"/>
  <c r="AD78" i="16" s="1"/>
  <c r="AC78" i="16" s="1"/>
  <c r="AB78" i="16" s="1"/>
  <c r="AA78" i="16" s="1"/>
  <c r="Z78" i="16" s="1"/>
  <c r="Y78" i="16" s="1"/>
  <c r="X78" i="16" s="1"/>
  <c r="W78" i="16" s="1"/>
  <c r="V78" i="16" s="1"/>
  <c r="U78" i="16" s="1"/>
  <c r="T78" i="16" s="1"/>
  <c r="S78" i="16" s="1"/>
  <c r="R78" i="16" s="1"/>
  <c r="Q78" i="16" s="1"/>
  <c r="P78" i="16" s="1"/>
  <c r="O78" i="16" s="1"/>
  <c r="N78" i="16" s="1"/>
  <c r="M78" i="16" s="1"/>
  <c r="L78" i="16" s="1"/>
  <c r="K78" i="16" s="1"/>
  <c r="J78" i="16" s="1"/>
  <c r="I78" i="16" s="1"/>
  <c r="H78" i="16" s="1"/>
  <c r="G78" i="16" s="1"/>
  <c r="F78" i="16" s="1"/>
  <c r="AJ66" i="7"/>
  <c r="AK66" i="7" s="1"/>
  <c r="M7" i="9"/>
  <c r="D66" i="16"/>
  <c r="D48" i="16"/>
  <c r="BG8" i="16"/>
  <c r="BF48" i="16"/>
  <c r="AS42" i="7"/>
  <c r="AS55" i="7" s="1"/>
  <c r="AT24" i="7"/>
  <c r="BE69" i="16"/>
  <c r="BF29" i="16"/>
  <c r="BE58" i="16"/>
  <c r="BF18" i="16"/>
  <c r="AU22" i="7"/>
  <c r="AT40" i="7"/>
  <c r="AT53" i="7" s="1"/>
  <c r="AT62" i="7" s="1"/>
  <c r="AR70" i="7"/>
  <c r="AS65" i="7"/>
  <c r="AT65" i="7" s="1"/>
  <c r="AU65" i="7" s="1"/>
  <c r="AV65" i="7" s="1"/>
  <c r="AW65" i="7" s="1"/>
  <c r="AX65" i="7" s="1"/>
  <c r="AY65" i="7" s="1"/>
  <c r="AZ65" i="7" s="1"/>
  <c r="BA65" i="7" s="1"/>
  <c r="BB65" i="7" s="1"/>
  <c r="BE56" i="16"/>
  <c r="BF16" i="16"/>
  <c r="BE48" i="16"/>
  <c r="AT23" i="7"/>
  <c r="AS41" i="7"/>
  <c r="AS54" i="7" s="1"/>
  <c r="AS63" i="7" s="1"/>
  <c r="BF28" i="16"/>
  <c r="BE68" i="16"/>
  <c r="BF66" i="16"/>
  <c r="BG26" i="16"/>
  <c r="BE47" i="16"/>
  <c r="BF7" i="16"/>
  <c r="BG62" i="16"/>
  <c r="M10" i="9"/>
  <c r="D61" i="16"/>
  <c r="AN77" i="16"/>
  <c r="AO77" i="16" s="1"/>
  <c r="AP77" i="16" s="1"/>
  <c r="AQ77" i="16" s="1"/>
  <c r="AR77" i="16" s="1"/>
  <c r="AS77" i="16" s="1"/>
  <c r="AT77" i="16" s="1"/>
  <c r="AU77" i="16" s="1"/>
  <c r="AV77" i="16" s="1"/>
  <c r="AW77" i="16" s="1"/>
  <c r="AX77" i="16" s="1"/>
  <c r="AY77" i="16" s="1"/>
  <c r="AZ77" i="16" s="1"/>
  <c r="BA77" i="16" s="1"/>
  <c r="BB77" i="16" s="1"/>
  <c r="BC77" i="16" s="1"/>
  <c r="BD77" i="16" s="1"/>
  <c r="BE77" i="16" s="1"/>
  <c r="BF77" i="16" s="1"/>
  <c r="BG77" i="16" s="1"/>
  <c r="BH77" i="16" s="1"/>
  <c r="BI77" i="16" s="1"/>
  <c r="BJ77" i="16" s="1"/>
  <c r="BK77" i="16" s="1"/>
  <c r="BL77" i="16" s="1"/>
  <c r="BM77" i="16" s="1"/>
  <c r="BN77" i="16" s="1"/>
  <c r="BO77" i="16" s="1"/>
  <c r="BP77" i="16" s="1"/>
  <c r="BQ77" i="16" s="1"/>
  <c r="BR77" i="16" s="1"/>
  <c r="BS77" i="16" s="1"/>
  <c r="BT77" i="16" s="1"/>
  <c r="BU77" i="16" s="1"/>
  <c r="BV77" i="16" s="1"/>
  <c r="BW77" i="16" s="1"/>
  <c r="BX77" i="16" s="1"/>
  <c r="BY77" i="16" s="1"/>
  <c r="BZ77" i="16" s="1"/>
  <c r="CA77" i="16" s="1"/>
  <c r="AL77" i="16"/>
  <c r="AK77" i="16" s="1"/>
  <c r="AJ77" i="16" s="1"/>
  <c r="AI77" i="16" s="1"/>
  <c r="AH77" i="16" s="1"/>
  <c r="AG77" i="16" s="1"/>
  <c r="AF77" i="16" s="1"/>
  <c r="AE77" i="16" s="1"/>
  <c r="AD77" i="16" s="1"/>
  <c r="AC77" i="16" s="1"/>
  <c r="AB77" i="16" s="1"/>
  <c r="AA77" i="16" s="1"/>
  <c r="Z77" i="16" s="1"/>
  <c r="Y77" i="16" s="1"/>
  <c r="X77" i="16" s="1"/>
  <c r="W77" i="16" s="1"/>
  <c r="V77" i="16" s="1"/>
  <c r="U77" i="16" s="1"/>
  <c r="T77" i="16" s="1"/>
  <c r="S77" i="16" s="1"/>
  <c r="R77" i="16" s="1"/>
  <c r="Q77" i="16" s="1"/>
  <c r="P77" i="16" s="1"/>
  <c r="O77" i="16" s="1"/>
  <c r="N77" i="16" s="1"/>
  <c r="M77" i="16" s="1"/>
  <c r="L77" i="16" s="1"/>
  <c r="K77" i="16" s="1"/>
  <c r="J77" i="16" s="1"/>
  <c r="I77" i="16" s="1"/>
  <c r="H77" i="16" s="1"/>
  <c r="G77" i="16" s="1"/>
  <c r="F77" i="16" s="1"/>
  <c r="BE75" i="16"/>
  <c r="BF35" i="16"/>
  <c r="J11" i="22"/>
  <c r="N4" i="9"/>
  <c r="BK95" i="15"/>
  <c r="BJ95" i="15" s="1"/>
  <c r="BI95" i="15" s="1"/>
  <c r="BH95" i="15" s="1"/>
  <c r="BG95" i="15" s="1"/>
  <c r="BF95" i="15" s="1"/>
  <c r="BE95" i="15" s="1"/>
  <c r="BD95" i="15" s="1"/>
  <c r="BC95" i="15" s="1"/>
  <c r="BB95" i="15" s="1"/>
  <c r="BA95" i="15" s="1"/>
  <c r="AZ95" i="15" s="1"/>
  <c r="AY95" i="15" s="1"/>
  <c r="AX95" i="15" s="1"/>
  <c r="AW95" i="15" s="1"/>
  <c r="AV95" i="15" s="1"/>
  <c r="AU95" i="15" s="1"/>
  <c r="AT95" i="15" s="1"/>
  <c r="AS95" i="15" s="1"/>
  <c r="AR95" i="15" s="1"/>
  <c r="AQ95" i="15" s="1"/>
  <c r="AP95" i="15" s="1"/>
  <c r="AO95" i="15" s="1"/>
  <c r="AN95" i="15" s="1"/>
  <c r="AM95" i="15" s="1"/>
  <c r="AL95" i="15" s="1"/>
  <c r="AK95" i="15" s="1"/>
  <c r="AJ95" i="15" s="1"/>
  <c r="AI95" i="15" s="1"/>
  <c r="AH95" i="15" s="1"/>
  <c r="AG95" i="15" s="1"/>
  <c r="AF95" i="15" s="1"/>
  <c r="AE95" i="15" s="1"/>
  <c r="AD95" i="15" s="1"/>
  <c r="AC95" i="15" s="1"/>
  <c r="AB95" i="15" s="1"/>
  <c r="AA95" i="15" s="1"/>
  <c r="Z95" i="15" s="1"/>
  <c r="Y95" i="15" s="1"/>
  <c r="X95" i="15" s="1"/>
  <c r="W95" i="15" s="1"/>
  <c r="V95" i="15" s="1"/>
  <c r="U95" i="15" s="1"/>
  <c r="T95" i="15" s="1"/>
  <c r="S95" i="15" s="1"/>
  <c r="R95" i="15" s="1"/>
  <c r="Q95" i="15" s="1"/>
  <c r="P95" i="15" s="1"/>
  <c r="O95" i="15" s="1"/>
  <c r="N95" i="15" s="1"/>
  <c r="M95" i="15" s="1"/>
  <c r="L95" i="15" s="1"/>
  <c r="K95" i="15" s="1"/>
  <c r="J95" i="15" s="1"/>
  <c r="BM95" i="15"/>
  <c r="BN95" i="15" s="1"/>
  <c r="BO95" i="15" s="1"/>
  <c r="BP95" i="15" s="1"/>
  <c r="BQ95" i="15" s="1"/>
  <c r="BR95" i="15" s="1"/>
  <c r="BS95" i="15" s="1"/>
  <c r="BT95" i="15" s="1"/>
  <c r="BU95" i="15" s="1"/>
  <c r="BV95" i="15" s="1"/>
  <c r="BW95" i="15" s="1"/>
  <c r="BX95" i="15" s="1"/>
  <c r="BY95" i="15" s="1"/>
  <c r="BZ95" i="15" s="1"/>
  <c r="CA95" i="15" s="1"/>
  <c r="CB95" i="15" s="1"/>
  <c r="CC95" i="15" s="1"/>
  <c r="CD95" i="15" s="1"/>
  <c r="CE95" i="15" s="1"/>
  <c r="CF95" i="15" s="1"/>
  <c r="CG95" i="15" s="1"/>
  <c r="CH95" i="15" s="1"/>
  <c r="CI95" i="15" s="1"/>
  <c r="CJ95" i="15" s="1"/>
  <c r="CK95" i="15" s="1"/>
  <c r="CL95" i="15" s="1"/>
  <c r="CM95" i="15" s="1"/>
  <c r="CN95" i="15" s="1"/>
  <c r="CO95" i="15" s="1"/>
  <c r="CP95" i="15" s="1"/>
  <c r="CQ95" i="15" s="1"/>
  <c r="CR95" i="15" s="1"/>
  <c r="BI22" i="16"/>
  <c r="BH62" i="16"/>
  <c r="BF36" i="16"/>
  <c r="BE76" i="16"/>
  <c r="BG25" i="16"/>
  <c r="K77" i="14"/>
  <c r="M77" i="14" s="1"/>
  <c r="N77" i="14" s="1"/>
  <c r="O77" i="14" s="1"/>
  <c r="P77" i="14" s="1"/>
  <c r="Q77" i="14" s="1"/>
  <c r="R77" i="14" s="1"/>
  <c r="S77" i="14" s="1"/>
  <c r="T77" i="14" s="1"/>
  <c r="U77" i="14" s="1"/>
  <c r="V77" i="14" s="1"/>
  <c r="W77" i="14" s="1"/>
  <c r="X77" i="14" s="1"/>
  <c r="Y77" i="14" s="1"/>
  <c r="Z77" i="14" s="1"/>
  <c r="AA77" i="14" s="1"/>
  <c r="AB77" i="14" s="1"/>
  <c r="AC77" i="14" s="1"/>
  <c r="AD77" i="14" s="1"/>
  <c r="AE77" i="14" s="1"/>
  <c r="AF77" i="14" s="1"/>
  <c r="AG77" i="14" s="1"/>
  <c r="AH77" i="14" s="1"/>
  <c r="AI77" i="14" s="1"/>
  <c r="AJ77" i="14" s="1"/>
  <c r="AK77" i="14" s="1"/>
  <c r="AL77" i="14" s="1"/>
  <c r="AM77" i="14" s="1"/>
  <c r="AN77" i="14" s="1"/>
  <c r="AO77" i="14" s="1"/>
  <c r="AP77" i="14" s="1"/>
  <c r="AQ77" i="14" s="1"/>
  <c r="AR77" i="14" s="1"/>
  <c r="AS77" i="14" s="1"/>
  <c r="AT77" i="14" s="1"/>
  <c r="AU77" i="14" s="1"/>
  <c r="AV77" i="14" s="1"/>
  <c r="AW77" i="14" s="1"/>
  <c r="AX77" i="14" s="1"/>
  <c r="AY77" i="14" s="1"/>
  <c r="AZ77" i="14" s="1"/>
  <c r="BA77" i="14" s="1"/>
  <c r="BB77" i="14" s="1"/>
  <c r="BC77" i="14" s="1"/>
  <c r="BD77" i="14" s="1"/>
  <c r="BE77" i="14" s="1"/>
  <c r="BF77" i="14" s="1"/>
  <c r="BG77" i="14" s="1"/>
  <c r="BH77" i="14" s="1"/>
  <c r="BI77" i="14" s="1"/>
  <c r="BJ77" i="14" s="1"/>
  <c r="BK77" i="14" s="1"/>
  <c r="BG33" i="16"/>
  <c r="BF73" i="16"/>
  <c r="AS40" i="7"/>
  <c r="AS53" i="7" s="1"/>
  <c r="AS62" i="7" s="1"/>
  <c r="W45" i="7"/>
  <c r="W58" i="7" s="1"/>
  <c r="V27" i="7"/>
  <c r="AS44" i="7"/>
  <c r="AS57" i="7" s="1"/>
  <c r="AT26" i="7"/>
  <c r="BE65" i="16"/>
  <c r="V20" i="7"/>
  <c r="W38" i="7"/>
  <c r="W51" i="7" s="1"/>
  <c r="V26" i="7"/>
  <c r="W44" i="7"/>
  <c r="W57" i="7" s="1"/>
  <c r="BH10" i="16"/>
  <c r="BG50" i="16"/>
  <c r="BD96" i="15"/>
  <c r="BC96" i="15" s="1"/>
  <c r="BB96" i="15" s="1"/>
  <c r="BA96" i="15" s="1"/>
  <c r="AZ96" i="15" s="1"/>
  <c r="AY96" i="15" s="1"/>
  <c r="AX96" i="15" s="1"/>
  <c r="AW96" i="15" s="1"/>
  <c r="AV96" i="15" s="1"/>
  <c r="AU96" i="15" s="1"/>
  <c r="AT96" i="15" s="1"/>
  <c r="AS96" i="15" s="1"/>
  <c r="AR96" i="15" s="1"/>
  <c r="AQ96" i="15" s="1"/>
  <c r="AP96" i="15" s="1"/>
  <c r="AO96" i="15" s="1"/>
  <c r="AN96" i="15" s="1"/>
  <c r="AM96" i="15" s="1"/>
  <c r="AL96" i="15" s="1"/>
  <c r="AK96" i="15" s="1"/>
  <c r="AJ96" i="15" s="1"/>
  <c r="AI96" i="15" s="1"/>
  <c r="AH96" i="15" s="1"/>
  <c r="AG96" i="15" s="1"/>
  <c r="AF96" i="15" s="1"/>
  <c r="AE96" i="15" s="1"/>
  <c r="AD96" i="15" s="1"/>
  <c r="AC96" i="15" s="1"/>
  <c r="AB96" i="15" s="1"/>
  <c r="AA96" i="15" s="1"/>
  <c r="Z96" i="15" s="1"/>
  <c r="Y96" i="15" s="1"/>
  <c r="X96" i="15" s="1"/>
  <c r="W96" i="15" s="1"/>
  <c r="V96" i="15" s="1"/>
  <c r="U96" i="15" s="1"/>
  <c r="T96" i="15" s="1"/>
  <c r="S96" i="15" s="1"/>
  <c r="R96" i="15" s="1"/>
  <c r="Q96" i="15" s="1"/>
  <c r="P96" i="15" s="1"/>
  <c r="O96" i="15" s="1"/>
  <c r="N96" i="15" s="1"/>
  <c r="M96" i="15" s="1"/>
  <c r="L96" i="15" s="1"/>
  <c r="K96" i="15" s="1"/>
  <c r="J96" i="15" s="1"/>
  <c r="BF96" i="15"/>
  <c r="BG96" i="15" s="1"/>
  <c r="BH96" i="15" s="1"/>
  <c r="BI96" i="15" s="1"/>
  <c r="BJ96" i="15" s="1"/>
  <c r="BK96" i="15" s="1"/>
  <c r="BL96" i="15" s="1"/>
  <c r="BM96" i="15" s="1"/>
  <c r="BN96" i="15" s="1"/>
  <c r="BO96" i="15" s="1"/>
  <c r="BP96" i="15" s="1"/>
  <c r="BQ96" i="15" s="1"/>
  <c r="BR96" i="15" s="1"/>
  <c r="BS96" i="15" s="1"/>
  <c r="BT96" i="15" s="1"/>
  <c r="BU96" i="15" s="1"/>
  <c r="BV96" i="15" s="1"/>
  <c r="BW96" i="15" s="1"/>
  <c r="BX96" i="15" s="1"/>
  <c r="BY96" i="15" s="1"/>
  <c r="BZ96" i="15" s="1"/>
  <c r="CA96" i="15" s="1"/>
  <c r="CB96" i="15" s="1"/>
  <c r="CC96" i="15" s="1"/>
  <c r="CD96" i="15" s="1"/>
  <c r="CE96" i="15" s="1"/>
  <c r="CF96" i="15" s="1"/>
  <c r="CG96" i="15" s="1"/>
  <c r="CH96" i="15" s="1"/>
  <c r="CI96" i="15" s="1"/>
  <c r="CJ96" i="15" s="1"/>
  <c r="CK96" i="15" s="1"/>
  <c r="CL96" i="15" s="1"/>
  <c r="CM96" i="15" s="1"/>
  <c r="CN96" i="15" s="1"/>
  <c r="CO96" i="15" s="1"/>
  <c r="CP96" i="15" s="1"/>
  <c r="CQ96" i="15" s="1"/>
  <c r="CR96" i="15" s="1"/>
  <c r="U25" i="7"/>
  <c r="AT25" i="7"/>
  <c r="AS43" i="7"/>
  <c r="AS56" i="7" s="1"/>
  <c r="BF49" i="16"/>
  <c r="BG9" i="16"/>
  <c r="BF70" i="16"/>
  <c r="BG30" i="16"/>
  <c r="BF19" i="16"/>
  <c r="BE59" i="16"/>
  <c r="BE67" i="16"/>
  <c r="BF27" i="16"/>
  <c r="H44" i="7"/>
  <c r="H57" i="7" s="1"/>
  <c r="D62" i="16"/>
  <c r="AT20" i="7"/>
  <c r="AS38" i="7"/>
  <c r="AS51" i="7" s="1"/>
  <c r="AV21" i="7"/>
  <c r="AU39" i="7"/>
  <c r="AU52" i="7" s="1"/>
  <c r="XEV46" i="16"/>
  <c r="BF32" i="16"/>
  <c r="BE72" i="16"/>
  <c r="U22" i="7"/>
  <c r="AS47" i="7"/>
  <c r="AS60" i="7" s="1"/>
  <c r="H46" i="7"/>
  <c r="H59" i="7" s="1"/>
  <c r="V28" i="7"/>
  <c r="W46" i="7"/>
  <c r="W59" i="7" s="1"/>
  <c r="D63" i="16"/>
  <c r="D75" i="16"/>
  <c r="AO42" i="14"/>
  <c r="AN48" i="14"/>
  <c r="AN42" i="14" s="1"/>
  <c r="L33" i="21"/>
  <c r="AA133" i="21"/>
  <c r="P137" i="21"/>
  <c r="AF95" i="21"/>
  <c r="AG95" i="21" s="1"/>
  <c r="AH95" i="21" s="1"/>
  <c r="AI95" i="21" s="1"/>
  <c r="AJ95" i="21" s="1"/>
  <c r="AK95" i="21" s="1"/>
  <c r="AE139" i="21"/>
  <c r="AG139" i="21" s="1"/>
  <c r="AF93" i="21"/>
  <c r="AG93" i="21" s="1"/>
  <c r="AH93" i="21" s="1"/>
  <c r="AI93" i="21" s="1"/>
  <c r="AJ93" i="21" s="1"/>
  <c r="AK93" i="21" s="1"/>
  <c r="AE137" i="21"/>
  <c r="AF94" i="21"/>
  <c r="AG94" i="21" s="1"/>
  <c r="AH94" i="21" s="1"/>
  <c r="AI94" i="21" s="1"/>
  <c r="AJ94" i="21" s="1"/>
  <c r="AK94" i="21" s="1"/>
  <c r="AE138" i="21"/>
  <c r="AG138" i="21" s="1"/>
  <c r="M40" i="21"/>
  <c r="N40" i="21" s="1"/>
  <c r="O40" i="21" s="1"/>
  <c r="P40" i="21" s="1"/>
  <c r="Q40" i="21" s="1"/>
  <c r="R40" i="21" s="1"/>
  <c r="S40" i="21" s="1"/>
  <c r="T40" i="21" s="1"/>
  <c r="U40" i="21" s="1"/>
  <c r="V40" i="21" s="1"/>
  <c r="W40" i="21" s="1"/>
  <c r="X40" i="21" s="1"/>
  <c r="Y40" i="21" s="1"/>
  <c r="Z40" i="21" s="1"/>
  <c r="AA40" i="21" s="1"/>
  <c r="AB40" i="21" s="1"/>
  <c r="AC40" i="21" s="1"/>
  <c r="AD40" i="21" s="1"/>
  <c r="AE40" i="21" s="1"/>
  <c r="AF40" i="21" s="1"/>
  <c r="AG40" i="21" s="1"/>
  <c r="AH40" i="21" s="1"/>
  <c r="AI40" i="21" s="1"/>
  <c r="AJ40" i="21" s="1"/>
  <c r="AK40" i="21" s="1"/>
  <c r="AF92" i="21"/>
  <c r="AG92" i="21" s="1"/>
  <c r="AH92" i="21" s="1"/>
  <c r="AI92" i="21" s="1"/>
  <c r="AJ92" i="21" s="1"/>
  <c r="AK92" i="21" s="1"/>
  <c r="AM92" i="21"/>
  <c r="AF89" i="21"/>
  <c r="AG89" i="21" s="1"/>
  <c r="AH89" i="21" s="1"/>
  <c r="AI89" i="21" s="1"/>
  <c r="AJ89" i="21" s="1"/>
  <c r="AK89" i="21" s="1"/>
  <c r="AM89" i="21"/>
  <c r="AM90" i="21"/>
  <c r="AM93" i="21"/>
  <c r="AF91" i="21"/>
  <c r="AG91" i="21" s="1"/>
  <c r="AH91" i="21" s="1"/>
  <c r="AI91" i="21" s="1"/>
  <c r="AJ91" i="21" s="1"/>
  <c r="AK91" i="21" s="1"/>
  <c r="AM91" i="21"/>
  <c r="AM94" i="21"/>
  <c r="AM95" i="21"/>
  <c r="K81" i="14"/>
  <c r="M81" i="14" s="1"/>
  <c r="N81" i="14" s="1"/>
  <c r="O81" i="14" s="1"/>
  <c r="P81" i="14" s="1"/>
  <c r="Q81" i="14" s="1"/>
  <c r="R81" i="14" s="1"/>
  <c r="S81" i="14" s="1"/>
  <c r="T81" i="14" s="1"/>
  <c r="U81" i="14" s="1"/>
  <c r="V81" i="14" s="1"/>
  <c r="W81" i="14" s="1"/>
  <c r="X81" i="14" s="1"/>
  <c r="Y81" i="14" s="1"/>
  <c r="Z81" i="14" s="1"/>
  <c r="AA81" i="14" s="1"/>
  <c r="AB81" i="14" s="1"/>
  <c r="AC81" i="14" s="1"/>
  <c r="AD81" i="14" s="1"/>
  <c r="AE81" i="14" s="1"/>
  <c r="AF81" i="14" s="1"/>
  <c r="AG81" i="14" s="1"/>
  <c r="AH81" i="14" s="1"/>
  <c r="AI81" i="14" s="1"/>
  <c r="AJ81" i="14" s="1"/>
  <c r="AK81" i="14" s="1"/>
  <c r="AL81" i="14" s="1"/>
  <c r="AM81" i="14" s="1"/>
  <c r="AN81" i="14" s="1"/>
  <c r="AO81" i="14" s="1"/>
  <c r="AP81" i="14" s="1"/>
  <c r="AQ81" i="14" s="1"/>
  <c r="AR81" i="14" s="1"/>
  <c r="AS81" i="14" s="1"/>
  <c r="AT81" i="14" s="1"/>
  <c r="AU81" i="14" s="1"/>
  <c r="AV81" i="14" s="1"/>
  <c r="AW81" i="14" s="1"/>
  <c r="AX81" i="14" s="1"/>
  <c r="AY81" i="14" s="1"/>
  <c r="AZ81" i="14" s="1"/>
  <c r="BA81" i="14" s="1"/>
  <c r="BB81" i="14" s="1"/>
  <c r="BC81" i="14" s="1"/>
  <c r="BD81" i="14" s="1"/>
  <c r="BE81" i="14" s="1"/>
  <c r="BF81" i="14" s="1"/>
  <c r="BG81" i="14" s="1"/>
  <c r="BH81" i="14" s="1"/>
  <c r="BI81" i="14" s="1"/>
  <c r="BJ81" i="14" s="1"/>
  <c r="BK81" i="14" s="1"/>
  <c r="M34" i="21"/>
  <c r="N34" i="21" s="1"/>
  <c r="O34" i="21" s="1"/>
  <c r="P34" i="21" s="1"/>
  <c r="Q34" i="21" s="1"/>
  <c r="R34" i="21" s="1"/>
  <c r="S34" i="21" s="1"/>
  <c r="T34" i="21" s="1"/>
  <c r="U34" i="21" s="1"/>
  <c r="V34" i="21" s="1"/>
  <c r="W34" i="21" s="1"/>
  <c r="X34" i="21" s="1"/>
  <c r="Y34" i="21" s="1"/>
  <c r="Z34" i="21" s="1"/>
  <c r="AA34" i="21" s="1"/>
  <c r="AB34" i="21" s="1"/>
  <c r="AC34" i="21" s="1"/>
  <c r="AD34" i="21" s="1"/>
  <c r="AE34" i="21" s="1"/>
  <c r="AF34" i="21" s="1"/>
  <c r="AG34" i="21" s="1"/>
  <c r="AH34" i="21" s="1"/>
  <c r="AI34" i="21" s="1"/>
  <c r="AJ34" i="21" s="1"/>
  <c r="AK34" i="21" s="1"/>
  <c r="L35" i="21"/>
  <c r="L36" i="21" s="1"/>
  <c r="K33" i="21"/>
  <c r="K32" i="21"/>
  <c r="K35" i="21"/>
  <c r="K39" i="21" s="1"/>
  <c r="M31" i="21"/>
  <c r="N31" i="21" s="1"/>
  <c r="O31" i="21" s="1"/>
  <c r="P31" i="21" s="1"/>
  <c r="Q31" i="21" s="1"/>
  <c r="R31" i="21" s="1"/>
  <c r="S31" i="21" s="1"/>
  <c r="T31" i="21" s="1"/>
  <c r="U31" i="21" s="1"/>
  <c r="V31" i="21" s="1"/>
  <c r="W31" i="21" s="1"/>
  <c r="X31" i="21" s="1"/>
  <c r="Y31" i="21" s="1"/>
  <c r="Z31" i="21" s="1"/>
  <c r="AA31" i="21" s="1"/>
  <c r="AB31" i="21" s="1"/>
  <c r="AC31" i="21" s="1"/>
  <c r="K35" i="14"/>
  <c r="K31" i="14"/>
  <c r="K75" i="14"/>
  <c r="M75" i="14" s="1"/>
  <c r="N75" i="14" s="1"/>
  <c r="O75" i="14" s="1"/>
  <c r="P75" i="14" s="1"/>
  <c r="Q75" i="14" s="1"/>
  <c r="R75" i="14" s="1"/>
  <c r="S75" i="14" s="1"/>
  <c r="T75" i="14" s="1"/>
  <c r="U75" i="14" s="1"/>
  <c r="V75" i="14" s="1"/>
  <c r="W75" i="14" s="1"/>
  <c r="X75" i="14" s="1"/>
  <c r="Y75" i="14" s="1"/>
  <c r="Z75" i="14" s="1"/>
  <c r="AA75" i="14" s="1"/>
  <c r="AB75" i="14" s="1"/>
  <c r="AC75" i="14" s="1"/>
  <c r="AD75" i="14" s="1"/>
  <c r="AE75" i="14" s="1"/>
  <c r="AF75" i="14" s="1"/>
  <c r="AG75" i="14" s="1"/>
  <c r="AH75" i="14" s="1"/>
  <c r="AI75" i="14" s="1"/>
  <c r="AJ75" i="14" s="1"/>
  <c r="AK75" i="14" s="1"/>
  <c r="AL75" i="14" s="1"/>
  <c r="AM75" i="14" s="1"/>
  <c r="AN75" i="14" s="1"/>
  <c r="AO75" i="14" s="1"/>
  <c r="AP75" i="14" s="1"/>
  <c r="AQ75" i="14" s="1"/>
  <c r="AR75" i="14" s="1"/>
  <c r="AS75" i="14" s="1"/>
  <c r="AT75" i="14" s="1"/>
  <c r="AU75" i="14" s="1"/>
  <c r="AV75" i="14" s="1"/>
  <c r="AW75" i="14" s="1"/>
  <c r="AX75" i="14" s="1"/>
  <c r="AY75" i="14" s="1"/>
  <c r="AZ75" i="14" s="1"/>
  <c r="BA75" i="14" s="1"/>
  <c r="BB75" i="14" s="1"/>
  <c r="BC75" i="14" s="1"/>
  <c r="BD75" i="14" s="1"/>
  <c r="BE75" i="14" s="1"/>
  <c r="BF75" i="14" s="1"/>
  <c r="BG75" i="14" s="1"/>
  <c r="BH75" i="14" s="1"/>
  <c r="BI75" i="14" s="1"/>
  <c r="BJ75" i="14" s="1"/>
  <c r="BK75" i="14" s="1"/>
  <c r="AD48" i="6"/>
  <c r="AC48" i="6" s="1"/>
  <c r="AB48" i="6" s="1"/>
  <c r="AA48" i="6" s="1"/>
  <c r="Z48" i="6" s="1"/>
  <c r="Y48" i="6" s="1"/>
  <c r="X48" i="6" s="1"/>
  <c r="W48" i="6" s="1"/>
  <c r="V48" i="6" s="1"/>
  <c r="U48" i="6" s="1"/>
  <c r="T48" i="6" s="1"/>
  <c r="S48" i="6" s="1"/>
  <c r="R48" i="6" s="1"/>
  <c r="Q48" i="6" s="1"/>
  <c r="P48" i="6" s="1"/>
  <c r="O48" i="6" s="1"/>
  <c r="N48" i="6" s="1"/>
  <c r="M48" i="6" s="1"/>
  <c r="L48" i="6" s="1"/>
  <c r="K48" i="6" s="1"/>
  <c r="M59" i="21"/>
  <c r="N59" i="21" s="1"/>
  <c r="O59" i="21" s="1"/>
  <c r="P59" i="21" s="1"/>
  <c r="Q59" i="21" s="1"/>
  <c r="R59" i="21" s="1"/>
  <c r="S59" i="21" s="1"/>
  <c r="T59" i="21" s="1"/>
  <c r="U59" i="21" s="1"/>
  <c r="V59" i="21" s="1"/>
  <c r="W59" i="21" s="1"/>
  <c r="X59" i="21" s="1"/>
  <c r="Y59" i="21" s="1"/>
  <c r="Z59" i="21" s="1"/>
  <c r="AA59" i="21" s="1"/>
  <c r="AB59" i="21" s="1"/>
  <c r="AC59" i="21" s="1"/>
  <c r="AD59" i="21" s="1"/>
  <c r="AE59" i="21" s="1"/>
  <c r="AF59" i="21" s="1"/>
  <c r="AG59" i="21" s="1"/>
  <c r="AH59" i="21" s="1"/>
  <c r="AI59" i="21" s="1"/>
  <c r="AJ59" i="21" s="1"/>
  <c r="AK59" i="21" s="1"/>
  <c r="M76" i="14"/>
  <c r="N76" i="14" s="1"/>
  <c r="O76" i="14" s="1"/>
  <c r="P76" i="14" s="1"/>
  <c r="Q76" i="14" s="1"/>
  <c r="R76" i="14" s="1"/>
  <c r="S76" i="14" s="1"/>
  <c r="T76" i="14" s="1"/>
  <c r="U76" i="14" s="1"/>
  <c r="V76" i="14" s="1"/>
  <c r="W76" i="14" s="1"/>
  <c r="X76" i="14" s="1"/>
  <c r="Y76" i="14" s="1"/>
  <c r="Z76" i="14" s="1"/>
  <c r="AA76" i="14" s="1"/>
  <c r="AB76" i="14" s="1"/>
  <c r="AC76" i="14" s="1"/>
  <c r="AD76" i="14" s="1"/>
  <c r="AE76" i="14" s="1"/>
  <c r="AF76" i="14" s="1"/>
  <c r="AG76" i="14" s="1"/>
  <c r="AH76" i="14" s="1"/>
  <c r="AI76" i="14" s="1"/>
  <c r="AJ76" i="14" s="1"/>
  <c r="AK76" i="14" s="1"/>
  <c r="AL76" i="14" s="1"/>
  <c r="AM76" i="14" s="1"/>
  <c r="AN76" i="14" s="1"/>
  <c r="AO76" i="14" s="1"/>
  <c r="AP76" i="14" s="1"/>
  <c r="AQ76" i="14" s="1"/>
  <c r="AR76" i="14" s="1"/>
  <c r="AS76" i="14" s="1"/>
  <c r="AT76" i="14" s="1"/>
  <c r="AU76" i="14" s="1"/>
  <c r="AV76" i="14" s="1"/>
  <c r="AW76" i="14" s="1"/>
  <c r="AX76" i="14" s="1"/>
  <c r="AY76" i="14" s="1"/>
  <c r="AZ76" i="14" s="1"/>
  <c r="BA76" i="14" s="1"/>
  <c r="BB76" i="14" s="1"/>
  <c r="BC76" i="14" s="1"/>
  <c r="BD76" i="14" s="1"/>
  <c r="BE76" i="14" s="1"/>
  <c r="BF76" i="14" s="1"/>
  <c r="BG76" i="14" s="1"/>
  <c r="BH76" i="14" s="1"/>
  <c r="BI76" i="14" s="1"/>
  <c r="BJ76" i="14" s="1"/>
  <c r="BK76" i="14" s="1"/>
  <c r="AO123" i="14"/>
  <c r="K42" i="14"/>
  <c r="AR122" i="14"/>
  <c r="AS122" i="14" s="1"/>
  <c r="AT122" i="14" s="1"/>
  <c r="AT123" i="14" s="1"/>
  <c r="M78" i="14"/>
  <c r="N78" i="14" s="1"/>
  <c r="O78" i="14" s="1"/>
  <c r="P78" i="14" s="1"/>
  <c r="Q78" i="14" s="1"/>
  <c r="R78" i="14" s="1"/>
  <c r="S78" i="14" s="1"/>
  <c r="T78" i="14" s="1"/>
  <c r="U78" i="14" s="1"/>
  <c r="V78" i="14" s="1"/>
  <c r="W78" i="14" s="1"/>
  <c r="X78" i="14" s="1"/>
  <c r="Y78" i="14" s="1"/>
  <c r="Z78" i="14" s="1"/>
  <c r="AA78" i="14" s="1"/>
  <c r="AB78" i="14" s="1"/>
  <c r="AC78" i="14" s="1"/>
  <c r="AD78" i="14" s="1"/>
  <c r="AE78" i="14" s="1"/>
  <c r="AF78" i="14" s="1"/>
  <c r="AG78" i="14" s="1"/>
  <c r="AH78" i="14" s="1"/>
  <c r="AI78" i="14" s="1"/>
  <c r="AJ78" i="14" s="1"/>
  <c r="AK78" i="14" s="1"/>
  <c r="AL78" i="14" s="1"/>
  <c r="AM78" i="14" s="1"/>
  <c r="AN78" i="14" s="1"/>
  <c r="AO78" i="14" s="1"/>
  <c r="AP78" i="14" s="1"/>
  <c r="AQ78" i="14" s="1"/>
  <c r="AR78" i="14" s="1"/>
  <c r="AS78" i="14" s="1"/>
  <c r="AT78" i="14" s="1"/>
  <c r="AU78" i="14" s="1"/>
  <c r="AV78" i="14" s="1"/>
  <c r="AW78" i="14" s="1"/>
  <c r="AX78" i="14" s="1"/>
  <c r="AY78" i="14" s="1"/>
  <c r="AZ78" i="14" s="1"/>
  <c r="BA78" i="14" s="1"/>
  <c r="BB78" i="14" s="1"/>
  <c r="BC78" i="14" s="1"/>
  <c r="BD78" i="14" s="1"/>
  <c r="BE78" i="14" s="1"/>
  <c r="BF78" i="14" s="1"/>
  <c r="BG78" i="14" s="1"/>
  <c r="BH78" i="14" s="1"/>
  <c r="BI78" i="14" s="1"/>
  <c r="BJ78" i="14" s="1"/>
  <c r="BK78" i="14" s="1"/>
  <c r="K79" i="14"/>
  <c r="M79" i="14" s="1"/>
  <c r="N79" i="14" s="1"/>
  <c r="O79" i="14" s="1"/>
  <c r="P79" i="14" s="1"/>
  <c r="Q79" i="14" s="1"/>
  <c r="R79" i="14" s="1"/>
  <c r="S79" i="14" s="1"/>
  <c r="T79" i="14" s="1"/>
  <c r="U79" i="14" s="1"/>
  <c r="V79" i="14" s="1"/>
  <c r="W79" i="14" s="1"/>
  <c r="X79" i="14" s="1"/>
  <c r="Y79" i="14" s="1"/>
  <c r="Z79" i="14" s="1"/>
  <c r="AA79" i="14" s="1"/>
  <c r="AB79" i="14" s="1"/>
  <c r="AC79" i="14" s="1"/>
  <c r="AD79" i="14" s="1"/>
  <c r="AE79" i="14" s="1"/>
  <c r="AF79" i="14" s="1"/>
  <c r="AG79" i="14" s="1"/>
  <c r="AH79" i="14" s="1"/>
  <c r="AI79" i="14" s="1"/>
  <c r="AJ79" i="14" s="1"/>
  <c r="AK79" i="14" s="1"/>
  <c r="AL79" i="14" s="1"/>
  <c r="AM79" i="14" s="1"/>
  <c r="AN79" i="14" s="1"/>
  <c r="AO79" i="14" s="1"/>
  <c r="AP79" i="14" s="1"/>
  <c r="AQ79" i="14" s="1"/>
  <c r="AR79" i="14" s="1"/>
  <c r="AS79" i="14" s="1"/>
  <c r="AT79" i="14" s="1"/>
  <c r="AU79" i="14" s="1"/>
  <c r="AV79" i="14" s="1"/>
  <c r="AW79" i="14" s="1"/>
  <c r="AX79" i="14" s="1"/>
  <c r="AY79" i="14" s="1"/>
  <c r="AZ79" i="14" s="1"/>
  <c r="BA79" i="14" s="1"/>
  <c r="BB79" i="14" s="1"/>
  <c r="BC79" i="14" s="1"/>
  <c r="BD79" i="14" s="1"/>
  <c r="BE79" i="14" s="1"/>
  <c r="BF79" i="14" s="1"/>
  <c r="BG79" i="14" s="1"/>
  <c r="BH79" i="14" s="1"/>
  <c r="BI79" i="14" s="1"/>
  <c r="BJ79" i="14" s="1"/>
  <c r="BK79" i="14" s="1"/>
  <c r="K33" i="14"/>
  <c r="BA33" i="14" s="1"/>
  <c r="BB33" i="14" s="1"/>
  <c r="BC33" i="14" s="1"/>
  <c r="BD33" i="14" s="1"/>
  <c r="BE33" i="14" s="1"/>
  <c r="BF33" i="14" s="1"/>
  <c r="BG33" i="14" s="1"/>
  <c r="BH33" i="14" s="1"/>
  <c r="BI33" i="14" s="1"/>
  <c r="BJ33" i="14" s="1"/>
  <c r="BK33" i="14" s="1"/>
  <c r="AR48" i="14"/>
  <c r="N62" i="21"/>
  <c r="M63" i="21"/>
  <c r="N63" i="21" s="1"/>
  <c r="O63" i="21" s="1"/>
  <c r="P63" i="21" s="1"/>
  <c r="Q63" i="21" s="1"/>
  <c r="R63" i="21" s="1"/>
  <c r="S63" i="21" s="1"/>
  <c r="T63" i="21" s="1"/>
  <c r="U63" i="21" s="1"/>
  <c r="V63" i="21" s="1"/>
  <c r="W63" i="21" s="1"/>
  <c r="X63" i="21" s="1"/>
  <c r="Y63" i="21" s="1"/>
  <c r="Z63" i="21" s="1"/>
  <c r="AA63" i="21" s="1"/>
  <c r="AB63" i="21" s="1"/>
  <c r="AC63" i="21" s="1"/>
  <c r="AD63" i="21" s="1"/>
  <c r="AE63" i="21" s="1"/>
  <c r="AF63" i="21" s="1"/>
  <c r="AG63" i="21" s="1"/>
  <c r="AH63" i="21" s="1"/>
  <c r="AI63" i="21" s="1"/>
  <c r="AJ63" i="21" s="1"/>
  <c r="AK63" i="21" s="1"/>
  <c r="BB34" i="14"/>
  <c r="BA35" i="14"/>
  <c r="AN123" i="14"/>
  <c r="AM122" i="14"/>
  <c r="BB30" i="14"/>
  <c r="BA31" i="14"/>
  <c r="BA71" i="14"/>
  <c r="BA62" i="14"/>
  <c r="BA73" i="14"/>
  <c r="BB73" i="14" s="1"/>
  <c r="BC73" i="14" s="1"/>
  <c r="BD73" i="14" s="1"/>
  <c r="BE73" i="14" s="1"/>
  <c r="BF73" i="14" s="1"/>
  <c r="BG73" i="14" s="1"/>
  <c r="BH73" i="14" s="1"/>
  <c r="BI73" i="14" s="1"/>
  <c r="BJ73" i="14" s="1"/>
  <c r="BK73" i="14" s="1"/>
  <c r="K80" i="14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 s="1"/>
  <c r="Z80" i="14" s="1"/>
  <c r="AA80" i="14" s="1"/>
  <c r="AB80" i="14" s="1"/>
  <c r="AC80" i="14" s="1"/>
  <c r="AD80" i="14" s="1"/>
  <c r="AE80" i="14" s="1"/>
  <c r="AF80" i="14" s="1"/>
  <c r="AG80" i="14" s="1"/>
  <c r="AH80" i="14" s="1"/>
  <c r="AI80" i="14" s="1"/>
  <c r="AJ80" i="14" s="1"/>
  <c r="AK80" i="14" s="1"/>
  <c r="AL80" i="14" s="1"/>
  <c r="AM80" i="14" s="1"/>
  <c r="AN80" i="14" s="1"/>
  <c r="AO80" i="14" s="1"/>
  <c r="AP80" i="14" s="1"/>
  <c r="AQ80" i="14" s="1"/>
  <c r="AR80" i="14" s="1"/>
  <c r="AS80" i="14" s="1"/>
  <c r="AT80" i="14" s="1"/>
  <c r="AU80" i="14" s="1"/>
  <c r="AV80" i="14" s="1"/>
  <c r="AW80" i="14" s="1"/>
  <c r="AX80" i="14" s="1"/>
  <c r="AY80" i="14" s="1"/>
  <c r="AZ80" i="14" s="1"/>
  <c r="BA80" i="14" s="1"/>
  <c r="BB80" i="14" s="1"/>
  <c r="BC80" i="14" s="1"/>
  <c r="BD80" i="14" s="1"/>
  <c r="BE80" i="14" s="1"/>
  <c r="BF80" i="14" s="1"/>
  <c r="BG80" i="14" s="1"/>
  <c r="BH80" i="14" s="1"/>
  <c r="BI80" i="14" s="1"/>
  <c r="BJ80" i="14" s="1"/>
  <c r="BK80" i="14" s="1"/>
  <c r="BB71" i="14"/>
  <c r="BC70" i="14"/>
  <c r="BA69" i="14"/>
  <c r="BB69" i="14" s="1"/>
  <c r="BC69" i="14" s="1"/>
  <c r="BD69" i="14" s="1"/>
  <c r="BE69" i="14" s="1"/>
  <c r="BF69" i="14" s="1"/>
  <c r="BG69" i="14" s="1"/>
  <c r="BH69" i="14" s="1"/>
  <c r="BI69" i="14" s="1"/>
  <c r="BJ69" i="14" s="1"/>
  <c r="BK69" i="14" s="1"/>
  <c r="AO83" i="14"/>
  <c r="AN83" i="14" s="1"/>
  <c r="AM83" i="14" s="1"/>
  <c r="AL83" i="14" s="1"/>
  <c r="AK83" i="14" s="1"/>
  <c r="AJ83" i="14" s="1"/>
  <c r="AI83" i="14" s="1"/>
  <c r="AH83" i="14" s="1"/>
  <c r="AG83" i="14" s="1"/>
  <c r="AF83" i="14" s="1"/>
  <c r="AE83" i="14" s="1"/>
  <c r="AD83" i="14" s="1"/>
  <c r="AC83" i="14" s="1"/>
  <c r="AB83" i="14" s="1"/>
  <c r="AA83" i="14" s="1"/>
  <c r="Z83" i="14" s="1"/>
  <c r="Y83" i="14" s="1"/>
  <c r="X83" i="14" s="1"/>
  <c r="W83" i="14" s="1"/>
  <c r="V83" i="14" s="1"/>
  <c r="U83" i="14" s="1"/>
  <c r="T83" i="14" s="1"/>
  <c r="S83" i="14" s="1"/>
  <c r="R83" i="14" s="1"/>
  <c r="Q83" i="14" s="1"/>
  <c r="P83" i="14" s="1"/>
  <c r="O83" i="14" s="1"/>
  <c r="N83" i="14" s="1"/>
  <c r="M83" i="14" s="1"/>
  <c r="L83" i="14" s="1"/>
  <c r="AQ83" i="14"/>
  <c r="AR83" i="14" s="1"/>
  <c r="AS83" i="14" s="1"/>
  <c r="AT83" i="14" s="1"/>
  <c r="AU83" i="14" s="1"/>
  <c r="AV83" i="14" s="1"/>
  <c r="AW83" i="14" s="1"/>
  <c r="AX83" i="14" s="1"/>
  <c r="AY83" i="14" s="1"/>
  <c r="AZ83" i="14" s="1"/>
  <c r="BA83" i="14" s="1"/>
  <c r="BB83" i="14" s="1"/>
  <c r="BC83" i="14" s="1"/>
  <c r="BD83" i="14" s="1"/>
  <c r="BE83" i="14" s="1"/>
  <c r="BF83" i="14" s="1"/>
  <c r="BG83" i="14" s="1"/>
  <c r="BH83" i="14" s="1"/>
  <c r="BI83" i="14" s="1"/>
  <c r="BJ83" i="14" s="1"/>
  <c r="BK83" i="14" s="1"/>
  <c r="BF57" i="16" l="1"/>
  <c r="BF64" i="16"/>
  <c r="U21" i="7"/>
  <c r="U39" i="7" s="1"/>
  <c r="U52" i="7" s="1"/>
  <c r="BF54" i="16"/>
  <c r="BG14" i="16"/>
  <c r="BH14" i="16" s="1"/>
  <c r="BI14" i="16" s="1"/>
  <c r="BJ14" i="16" s="1"/>
  <c r="BE54" i="16"/>
  <c r="J8" i="9"/>
  <c r="U24" i="7"/>
  <c r="V42" i="7"/>
  <c r="V55" i="7" s="1"/>
  <c r="AU27" i="7"/>
  <c r="AU45" i="7" s="1"/>
  <c r="AU58" i="7" s="1"/>
  <c r="BG60" i="16"/>
  <c r="AC66" i="7"/>
  <c r="AC67" i="7" s="1"/>
  <c r="I4" i="9"/>
  <c r="I10" i="9" s="1"/>
  <c r="BF60" i="16"/>
  <c r="BG17" i="16"/>
  <c r="AU28" i="7"/>
  <c r="AU46" i="7" s="1"/>
  <c r="AU59" i="7" s="1"/>
  <c r="BG34" i="16"/>
  <c r="BG74" i="16" s="1"/>
  <c r="AV29" i="7"/>
  <c r="AU47" i="7"/>
  <c r="AU60" i="7" s="1"/>
  <c r="J7" i="9"/>
  <c r="J9" i="9"/>
  <c r="BG12" i="16"/>
  <c r="BG52" i="16" s="1"/>
  <c r="U23" i="7"/>
  <c r="V41" i="7"/>
  <c r="V54" i="7" s="1"/>
  <c r="V63" i="7" s="1"/>
  <c r="U29" i="7"/>
  <c r="T29" i="7" s="1"/>
  <c r="BF23" i="16"/>
  <c r="BG23" i="16" s="1"/>
  <c r="BE63" i="16"/>
  <c r="BF51" i="16"/>
  <c r="BG11" i="16"/>
  <c r="BF98" i="15"/>
  <c r="BG99" i="15"/>
  <c r="AJ67" i="7"/>
  <c r="BG13" i="16"/>
  <c r="BG53" i="16" s="1"/>
  <c r="H3" i="9"/>
  <c r="H9" i="9" s="1"/>
  <c r="I9" i="9"/>
  <c r="BG15" i="16"/>
  <c r="BF55" i="16"/>
  <c r="N7" i="9"/>
  <c r="N9" i="9"/>
  <c r="O3" i="9"/>
  <c r="BN99" i="15"/>
  <c r="BO98" i="15"/>
  <c r="BG31" i="16"/>
  <c r="BF71" i="16"/>
  <c r="BF76" i="16"/>
  <c r="BG36" i="16"/>
  <c r="BG28" i="16"/>
  <c r="BF68" i="16"/>
  <c r="N8" i="9"/>
  <c r="O4" i="9"/>
  <c r="N10" i="9"/>
  <c r="BF58" i="16"/>
  <c r="BG18" i="16"/>
  <c r="AK67" i="7"/>
  <c r="AL66" i="7"/>
  <c r="BG49" i="16"/>
  <c r="BH9" i="16"/>
  <c r="BF56" i="16"/>
  <c r="BG16" i="16"/>
  <c r="AU26" i="7"/>
  <c r="AT44" i="7"/>
  <c r="AT57" i="7" s="1"/>
  <c r="AM48" i="14"/>
  <c r="AM42" i="14" s="1"/>
  <c r="BI20" i="16"/>
  <c r="BH60" i="16"/>
  <c r="BF59" i="16"/>
  <c r="BG19" i="16"/>
  <c r="V45" i="7"/>
  <c r="V58" i="7" s="1"/>
  <c r="U27" i="7"/>
  <c r="BH24" i="16"/>
  <c r="BG64" i="16"/>
  <c r="BF47" i="16"/>
  <c r="BG7" i="16"/>
  <c r="AU24" i="7"/>
  <c r="AT42" i="7"/>
  <c r="AT55" i="7" s="1"/>
  <c r="AU20" i="7"/>
  <c r="AT38" i="7"/>
  <c r="AT51" i="7" s="1"/>
  <c r="BG27" i="16"/>
  <c r="BF67" i="16"/>
  <c r="BG70" i="16"/>
  <c r="BH30" i="16"/>
  <c r="U26" i="7"/>
  <c r="V44" i="7"/>
  <c r="V57" i="7" s="1"/>
  <c r="BG29" i="16"/>
  <c r="BF69" i="16"/>
  <c r="T22" i="7"/>
  <c r="U40" i="7"/>
  <c r="U53" i="7" s="1"/>
  <c r="U62" i="7" s="1"/>
  <c r="BJ22" i="16"/>
  <c r="BI62" i="16"/>
  <c r="AU23" i="7"/>
  <c r="AT41" i="7"/>
  <c r="AT54" i="7" s="1"/>
  <c r="AT63" i="7" s="1"/>
  <c r="BH50" i="16"/>
  <c r="BI10" i="16"/>
  <c r="U28" i="7"/>
  <c r="V46" i="7"/>
  <c r="V59" i="7" s="1"/>
  <c r="U20" i="7"/>
  <c r="V38" i="7"/>
  <c r="V51" i="7" s="1"/>
  <c r="BF21" i="16"/>
  <c r="BE61" i="16"/>
  <c r="BG73" i="16"/>
  <c r="BH33" i="16"/>
  <c r="AW21" i="7"/>
  <c r="AV39" i="7"/>
  <c r="AV52" i="7" s="1"/>
  <c r="AU25" i="7"/>
  <c r="AT43" i="7"/>
  <c r="AT56" i="7" s="1"/>
  <c r="BH25" i="16"/>
  <c r="BG65" i="16"/>
  <c r="BG35" i="16"/>
  <c r="BF75" i="16"/>
  <c r="BH26" i="16"/>
  <c r="BG66" i="16"/>
  <c r="AV22" i="7"/>
  <c r="AU40" i="7"/>
  <c r="AU53" i="7" s="1"/>
  <c r="AU62" i="7" s="1"/>
  <c r="BG32" i="16"/>
  <c r="BF72" i="16"/>
  <c r="U43" i="7"/>
  <c r="U56" i="7" s="1"/>
  <c r="T25" i="7"/>
  <c r="BH8" i="16"/>
  <c r="BG48" i="16"/>
  <c r="M33" i="21"/>
  <c r="N33" i="21" s="1"/>
  <c r="O33" i="21" s="1"/>
  <c r="P33" i="21" s="1"/>
  <c r="Q33" i="21" s="1"/>
  <c r="R33" i="21" s="1"/>
  <c r="S33" i="21" s="1"/>
  <c r="T33" i="21" s="1"/>
  <c r="U33" i="21" s="1"/>
  <c r="V33" i="21" s="1"/>
  <c r="W33" i="21" s="1"/>
  <c r="X33" i="21" s="1"/>
  <c r="Y33" i="21" s="1"/>
  <c r="Z33" i="21" s="1"/>
  <c r="AA33" i="21" s="1"/>
  <c r="AB33" i="21" s="1"/>
  <c r="AC33" i="21" s="1"/>
  <c r="AD33" i="21" s="1"/>
  <c r="AE33" i="21" s="1"/>
  <c r="AF33" i="21" s="1"/>
  <c r="AG33" i="21" s="1"/>
  <c r="AH33" i="21" s="1"/>
  <c r="AI33" i="21" s="1"/>
  <c r="AJ33" i="21" s="1"/>
  <c r="AK33" i="21" s="1"/>
  <c r="AB133" i="21"/>
  <c r="Q137" i="21"/>
  <c r="AD31" i="21"/>
  <c r="AE31" i="21" s="1"/>
  <c r="AF31" i="21" s="1"/>
  <c r="AG31" i="21" s="1"/>
  <c r="AH31" i="21" s="1"/>
  <c r="AI31" i="21" s="1"/>
  <c r="AJ31" i="21" s="1"/>
  <c r="AK31" i="21" s="1"/>
  <c r="AC3" i="21"/>
  <c r="L37" i="21"/>
  <c r="L39" i="21"/>
  <c r="M39" i="21" s="1"/>
  <c r="N39" i="21" s="1"/>
  <c r="O39" i="21" s="1"/>
  <c r="P39" i="21" s="1"/>
  <c r="Q39" i="21" s="1"/>
  <c r="R39" i="21" s="1"/>
  <c r="S39" i="21" s="1"/>
  <c r="T39" i="21" s="1"/>
  <c r="U39" i="21" s="1"/>
  <c r="V39" i="21" s="1"/>
  <c r="W39" i="21" s="1"/>
  <c r="X39" i="21" s="1"/>
  <c r="Y39" i="21" s="1"/>
  <c r="Z39" i="21" s="1"/>
  <c r="AA39" i="21" s="1"/>
  <c r="AB39" i="21" s="1"/>
  <c r="AC39" i="21" s="1"/>
  <c r="AD39" i="21" s="1"/>
  <c r="AE39" i="21" s="1"/>
  <c r="AF39" i="21" s="1"/>
  <c r="AG39" i="21" s="1"/>
  <c r="AH39" i="21" s="1"/>
  <c r="AI39" i="21" s="1"/>
  <c r="AJ39" i="21" s="1"/>
  <c r="AK39" i="21" s="1"/>
  <c r="M35" i="21"/>
  <c r="N35" i="21" s="1"/>
  <c r="M32" i="21"/>
  <c r="N32" i="21" s="1"/>
  <c r="O32" i="21" s="1"/>
  <c r="P32" i="21" s="1"/>
  <c r="Q32" i="21" s="1"/>
  <c r="R32" i="21" s="1"/>
  <c r="S32" i="21" s="1"/>
  <c r="T32" i="21" s="1"/>
  <c r="U32" i="21" s="1"/>
  <c r="V32" i="21" s="1"/>
  <c r="W32" i="21" s="1"/>
  <c r="X32" i="21" s="1"/>
  <c r="Y32" i="21" s="1"/>
  <c r="Z32" i="21" s="1"/>
  <c r="AA32" i="21" s="1"/>
  <c r="AB32" i="21" s="1"/>
  <c r="AC32" i="21" s="1"/>
  <c r="AD32" i="21" s="1"/>
  <c r="AE32" i="21" s="1"/>
  <c r="AF32" i="21" s="1"/>
  <c r="AG32" i="21" s="1"/>
  <c r="AH32" i="21" s="1"/>
  <c r="AI32" i="21" s="1"/>
  <c r="AJ32" i="21" s="1"/>
  <c r="AK32" i="21" s="1"/>
  <c r="L38" i="21"/>
  <c r="K38" i="21"/>
  <c r="K37" i="21"/>
  <c r="K36" i="21"/>
  <c r="AR123" i="14"/>
  <c r="AS123" i="14"/>
  <c r="AU122" i="14"/>
  <c r="AV122" i="14" s="1"/>
  <c r="AR42" i="14"/>
  <c r="AS48" i="14"/>
  <c r="N79" i="21"/>
  <c r="O62" i="21"/>
  <c r="BC34" i="14"/>
  <c r="BB35" i="14"/>
  <c r="BB62" i="14"/>
  <c r="BA66" i="14"/>
  <c r="BC30" i="14"/>
  <c r="BB31" i="14"/>
  <c r="AM123" i="14"/>
  <c r="AL122" i="14"/>
  <c r="BD70" i="14"/>
  <c r="BC71" i="14"/>
  <c r="BH17" i="16" l="1"/>
  <c r="BI54" i="16"/>
  <c r="BH54" i="16"/>
  <c r="T21" i="7"/>
  <c r="T39" i="7" s="1"/>
  <c r="T52" i="7" s="1"/>
  <c r="BH12" i="16"/>
  <c r="BH52" i="16" s="1"/>
  <c r="AV27" i="7"/>
  <c r="AW27" i="7" s="1"/>
  <c r="AW45" i="7" s="1"/>
  <c r="AW58" i="7" s="1"/>
  <c r="BG54" i="16"/>
  <c r="BG57" i="16"/>
  <c r="AB66" i="7"/>
  <c r="AB67" i="7" s="1"/>
  <c r="BH34" i="16"/>
  <c r="BI34" i="16" s="1"/>
  <c r="AW29" i="7"/>
  <c r="AV47" i="7"/>
  <c r="AV60" i="7" s="1"/>
  <c r="H7" i="9"/>
  <c r="AV28" i="7"/>
  <c r="AV46" i="7" s="1"/>
  <c r="AV59" i="7" s="1"/>
  <c r="H4" i="9"/>
  <c r="H10" i="9" s="1"/>
  <c r="T24" i="7"/>
  <c r="U42" i="7"/>
  <c r="U55" i="7" s="1"/>
  <c r="I8" i="9"/>
  <c r="U47" i="7"/>
  <c r="U60" i="7" s="1"/>
  <c r="BF63" i="16"/>
  <c r="AL48" i="14"/>
  <c r="AK48" i="14" s="1"/>
  <c r="AK42" i="14" s="1"/>
  <c r="AU123" i="14"/>
  <c r="U41" i="7"/>
  <c r="U54" i="7" s="1"/>
  <c r="U63" i="7" s="1"/>
  <c r="T23" i="7"/>
  <c r="BH13" i="16"/>
  <c r="BH53" i="16" s="1"/>
  <c r="BG71" i="16"/>
  <c r="BH31" i="16"/>
  <c r="BG55" i="16"/>
  <c r="BH15" i="16"/>
  <c r="BE98" i="15"/>
  <c r="BF99" i="15"/>
  <c r="S29" i="7"/>
  <c r="T47" i="7"/>
  <c r="T60" i="7" s="1"/>
  <c r="BP98" i="15"/>
  <c r="BO99" i="15"/>
  <c r="O9" i="9"/>
  <c r="P3" i="9"/>
  <c r="O7" i="9"/>
  <c r="BH11" i="16"/>
  <c r="BG51" i="16"/>
  <c r="BH23" i="16"/>
  <c r="BG63" i="16"/>
  <c r="BG59" i="16"/>
  <c r="BH19" i="16"/>
  <c r="U45" i="7"/>
  <c r="U58" i="7" s="1"/>
  <c r="T27" i="7"/>
  <c r="BG58" i="16"/>
  <c r="BH18" i="16"/>
  <c r="BG75" i="16"/>
  <c r="BH35" i="16"/>
  <c r="BK22" i="16"/>
  <c r="BJ62" i="16"/>
  <c r="T43" i="7"/>
  <c r="T56" i="7" s="1"/>
  <c r="S25" i="7"/>
  <c r="O10" i="9"/>
  <c r="O8" i="9"/>
  <c r="P4" i="9"/>
  <c r="BH65" i="16"/>
  <c r="BI25" i="16"/>
  <c r="BJ20" i="16"/>
  <c r="BI60" i="16"/>
  <c r="BJ10" i="16"/>
  <c r="BI50" i="16"/>
  <c r="BH29" i="16"/>
  <c r="BG69" i="16"/>
  <c r="BH16" i="16"/>
  <c r="BG56" i="16"/>
  <c r="AW22" i="7"/>
  <c r="AV40" i="7"/>
  <c r="AV53" i="7" s="1"/>
  <c r="AV62" i="7" s="1"/>
  <c r="BG47" i="16"/>
  <c r="BH7" i="16"/>
  <c r="AV23" i="7"/>
  <c r="AU41" i="7"/>
  <c r="AU54" i="7" s="1"/>
  <c r="AU63" i="7" s="1"/>
  <c r="BH49" i="16"/>
  <c r="BI9" i="16"/>
  <c r="BG68" i="16"/>
  <c r="BH28" i="16"/>
  <c r="AL67" i="7"/>
  <c r="AM66" i="7"/>
  <c r="BH48" i="16"/>
  <c r="BI8" i="16"/>
  <c r="T20" i="7"/>
  <c r="U38" i="7"/>
  <c r="U51" i="7" s="1"/>
  <c r="U46" i="7"/>
  <c r="U59" i="7" s="1"/>
  <c r="T28" i="7"/>
  <c r="AV25" i="7"/>
  <c r="AU43" i="7"/>
  <c r="AU56" i="7" s="1"/>
  <c r="AV24" i="7"/>
  <c r="AU42" i="7"/>
  <c r="AU55" i="7" s="1"/>
  <c r="U44" i="7"/>
  <c r="U57" i="7" s="1"/>
  <c r="T26" i="7"/>
  <c r="BI30" i="16"/>
  <c r="BH70" i="16"/>
  <c r="AV26" i="7"/>
  <c r="AU44" i="7"/>
  <c r="AU57" i="7" s="1"/>
  <c r="BI33" i="16"/>
  <c r="BH73" i="16"/>
  <c r="BG76" i="16"/>
  <c r="BH36" i="16"/>
  <c r="BG21" i="16"/>
  <c r="BF61" i="16"/>
  <c r="BH27" i="16"/>
  <c r="BG67" i="16"/>
  <c r="BH66" i="16"/>
  <c r="BI26" i="16"/>
  <c r="S22" i="7"/>
  <c r="T40" i="7"/>
  <c r="T53" i="7" s="1"/>
  <c r="T62" i="7" s="1"/>
  <c r="BH32" i="16"/>
  <c r="BG72" i="16"/>
  <c r="AV20" i="7"/>
  <c r="AU38" i="7"/>
  <c r="AU51" i="7" s="1"/>
  <c r="AW39" i="7"/>
  <c r="AW52" i="7" s="1"/>
  <c r="AX21" i="7"/>
  <c r="BK14" i="16"/>
  <c r="BJ54" i="16"/>
  <c r="BH64" i="16"/>
  <c r="BI24" i="16"/>
  <c r="AC133" i="21"/>
  <c r="R137" i="21"/>
  <c r="M36" i="21"/>
  <c r="M38" i="21"/>
  <c r="N38" i="21" s="1"/>
  <c r="O38" i="21" s="1"/>
  <c r="P38" i="21" s="1"/>
  <c r="Q38" i="21" s="1"/>
  <c r="R38" i="21" s="1"/>
  <c r="S38" i="21" s="1"/>
  <c r="T38" i="21" s="1"/>
  <c r="U38" i="21" s="1"/>
  <c r="V38" i="21" s="1"/>
  <c r="W38" i="21" s="1"/>
  <c r="X38" i="21" s="1"/>
  <c r="Y38" i="21" s="1"/>
  <c r="Z38" i="21" s="1"/>
  <c r="AA38" i="21" s="1"/>
  <c r="AB38" i="21" s="1"/>
  <c r="AC38" i="21" s="1"/>
  <c r="AD38" i="21" s="1"/>
  <c r="AE38" i="21" s="1"/>
  <c r="AF38" i="21" s="1"/>
  <c r="AG38" i="21" s="1"/>
  <c r="AH38" i="21" s="1"/>
  <c r="AI38" i="21" s="1"/>
  <c r="AJ38" i="21" s="1"/>
  <c r="AK38" i="21" s="1"/>
  <c r="M37" i="21"/>
  <c r="N37" i="21" s="1"/>
  <c r="O37" i="21" s="1"/>
  <c r="P37" i="21" s="1"/>
  <c r="Q37" i="21" s="1"/>
  <c r="R37" i="21" s="1"/>
  <c r="S37" i="21" s="1"/>
  <c r="T37" i="21" s="1"/>
  <c r="U37" i="21" s="1"/>
  <c r="V37" i="21" s="1"/>
  <c r="W37" i="21" s="1"/>
  <c r="X37" i="21" s="1"/>
  <c r="Y37" i="21" s="1"/>
  <c r="Z37" i="21" s="1"/>
  <c r="AA37" i="21" s="1"/>
  <c r="AB37" i="21" s="1"/>
  <c r="AC37" i="21" s="1"/>
  <c r="AD37" i="21" s="1"/>
  <c r="AE37" i="21" s="1"/>
  <c r="AF37" i="21" s="1"/>
  <c r="AG37" i="21" s="1"/>
  <c r="AH37" i="21" s="1"/>
  <c r="AI37" i="21" s="1"/>
  <c r="AJ37" i="21" s="1"/>
  <c r="AK37" i="21" s="1"/>
  <c r="AS42" i="14"/>
  <c r="AT48" i="14"/>
  <c r="O79" i="21"/>
  <c r="P62" i="21"/>
  <c r="O35" i="21"/>
  <c r="N36" i="21"/>
  <c r="BC35" i="14"/>
  <c r="BD34" i="14"/>
  <c r="AK122" i="14"/>
  <c r="AL123" i="14"/>
  <c r="BC31" i="14"/>
  <c r="BD30" i="14"/>
  <c r="BB66" i="14"/>
  <c r="BC62" i="14"/>
  <c r="BE70" i="14"/>
  <c r="BD71" i="14"/>
  <c r="AW122" i="14"/>
  <c r="AV123" i="14"/>
  <c r="BI17" i="16" l="1"/>
  <c r="BH57" i="16"/>
  <c r="AX27" i="7"/>
  <c r="AY27" i="7" s="1"/>
  <c r="BI12" i="16"/>
  <c r="BI52" i="16" s="1"/>
  <c r="S21" i="7"/>
  <c r="R21" i="7" s="1"/>
  <c r="BH74" i="16"/>
  <c r="AV45" i="7"/>
  <c r="AV58" i="7" s="1"/>
  <c r="H8" i="9"/>
  <c r="AW28" i="7"/>
  <c r="AX28" i="7" s="1"/>
  <c r="AA66" i="7"/>
  <c r="AA67" i="7" s="1"/>
  <c r="AJ48" i="14"/>
  <c r="AJ42" i="14" s="1"/>
  <c r="S24" i="7"/>
  <c r="T42" i="7"/>
  <c r="T55" i="7" s="1"/>
  <c r="AL42" i="14"/>
  <c r="AX29" i="7"/>
  <c r="AW47" i="7"/>
  <c r="AW60" i="7" s="1"/>
  <c r="BI13" i="16"/>
  <c r="BJ13" i="16" s="1"/>
  <c r="T41" i="7"/>
  <c r="T54" i="7" s="1"/>
  <c r="T63" i="7" s="1"/>
  <c r="S23" i="7"/>
  <c r="BE99" i="15"/>
  <c r="BD98" i="15"/>
  <c r="BI15" i="16"/>
  <c r="BH55" i="16"/>
  <c r="BI11" i="16"/>
  <c r="BH51" i="16"/>
  <c r="S47" i="7"/>
  <c r="S60" i="7" s="1"/>
  <c r="R29" i="7"/>
  <c r="BH71" i="16"/>
  <c r="BI31" i="16"/>
  <c r="BP99" i="15"/>
  <c r="BQ98" i="15"/>
  <c r="Q3" i="9"/>
  <c r="P9" i="9"/>
  <c r="P7" i="9"/>
  <c r="S26" i="7"/>
  <c r="T44" i="7"/>
  <c r="T57" i="7" s="1"/>
  <c r="AY21" i="7"/>
  <c r="AX39" i="7"/>
  <c r="AX52" i="7" s="1"/>
  <c r="BH67" i="16"/>
  <c r="BI27" i="16"/>
  <c r="BH75" i="16"/>
  <c r="BI35" i="16"/>
  <c r="T38" i="7"/>
  <c r="T51" i="7" s="1"/>
  <c r="S20" i="7"/>
  <c r="BI64" i="16"/>
  <c r="BJ24" i="16"/>
  <c r="BH21" i="16"/>
  <c r="BG61" i="16"/>
  <c r="AW40" i="7"/>
  <c r="AW53" i="7" s="1"/>
  <c r="AW62" i="7" s="1"/>
  <c r="AX22" i="7"/>
  <c r="S27" i="7"/>
  <c r="T45" i="7"/>
  <c r="T58" i="7" s="1"/>
  <c r="BH69" i="16"/>
  <c r="BI29" i="16"/>
  <c r="AW20" i="7"/>
  <c r="AV38" i="7"/>
  <c r="AV51" i="7" s="1"/>
  <c r="BJ50" i="16"/>
  <c r="BK10" i="16"/>
  <c r="BI66" i="16"/>
  <c r="BJ26" i="16"/>
  <c r="BI70" i="16"/>
  <c r="BJ30" i="16"/>
  <c r="BI48" i="16"/>
  <c r="BJ8" i="16"/>
  <c r="Q4" i="9"/>
  <c r="P8" i="9"/>
  <c r="P10" i="9"/>
  <c r="BL14" i="16"/>
  <c r="BK54" i="16"/>
  <c r="S43" i="7"/>
  <c r="S56" i="7" s="1"/>
  <c r="R25" i="7"/>
  <c r="BH68" i="16"/>
  <c r="BI28" i="16"/>
  <c r="T46" i="7"/>
  <c r="T59" i="7" s="1"/>
  <c r="S28" i="7"/>
  <c r="BI49" i="16"/>
  <c r="BJ9" i="16"/>
  <c r="BI73" i="16"/>
  <c r="BJ33" i="16"/>
  <c r="AM67" i="7"/>
  <c r="AN66" i="7"/>
  <c r="BI18" i="16"/>
  <c r="BH58" i="16"/>
  <c r="BI36" i="16"/>
  <c r="BH76" i="16"/>
  <c r="BI57" i="16"/>
  <c r="BJ17" i="16"/>
  <c r="AW25" i="7"/>
  <c r="AV43" i="7"/>
  <c r="AV56" i="7" s="1"/>
  <c r="BI19" i="16"/>
  <c r="BH59" i="16"/>
  <c r="AW26" i="7"/>
  <c r="AV44" i="7"/>
  <c r="AV57" i="7" s="1"/>
  <c r="AW23" i="7"/>
  <c r="AV41" i="7"/>
  <c r="AV54" i="7" s="1"/>
  <c r="AV63" i="7" s="1"/>
  <c r="BJ60" i="16"/>
  <c r="BK20" i="16"/>
  <c r="BJ34" i="16"/>
  <c r="BI74" i="16"/>
  <c r="AW24" i="7"/>
  <c r="AV42" i="7"/>
  <c r="AV55" i="7" s="1"/>
  <c r="BI16" i="16"/>
  <c r="BH56" i="16"/>
  <c r="BH72" i="16"/>
  <c r="BI32" i="16"/>
  <c r="S40" i="7"/>
  <c r="S53" i="7" s="1"/>
  <c r="S62" i="7" s="1"/>
  <c r="R22" i="7"/>
  <c r="BI7" i="16"/>
  <c r="BH47" i="16"/>
  <c r="BI65" i="16"/>
  <c r="BJ25" i="16"/>
  <c r="BK62" i="16"/>
  <c r="BL22" i="16"/>
  <c r="BH63" i="16"/>
  <c r="BI23" i="16"/>
  <c r="AD133" i="21"/>
  <c r="S137" i="21"/>
  <c r="AT42" i="14"/>
  <c r="AU48" i="14"/>
  <c r="P79" i="21"/>
  <c r="Q62" i="21"/>
  <c r="P35" i="21"/>
  <c r="O36" i="21"/>
  <c r="BE34" i="14"/>
  <c r="BD35" i="14"/>
  <c r="BD62" i="14"/>
  <c r="BC66" i="14"/>
  <c r="BD31" i="14"/>
  <c r="BE30" i="14"/>
  <c r="AK123" i="14"/>
  <c r="AJ122" i="14"/>
  <c r="AX122" i="14"/>
  <c r="AW123" i="14"/>
  <c r="BE71" i="14"/>
  <c r="BF70" i="14"/>
  <c r="AX45" i="7" l="1"/>
  <c r="AX58" i="7" s="1"/>
  <c r="BJ12" i="16"/>
  <c r="BK12" i="16" s="1"/>
  <c r="AW46" i="7"/>
  <c r="AW59" i="7" s="1"/>
  <c r="AI48" i="14"/>
  <c r="AH48" i="14" s="1"/>
  <c r="S39" i="7"/>
  <c r="S52" i="7" s="1"/>
  <c r="Z66" i="7"/>
  <c r="Y66" i="7" s="1"/>
  <c r="BI53" i="16"/>
  <c r="S42" i="7"/>
  <c r="S55" i="7" s="1"/>
  <c r="R24" i="7"/>
  <c r="AX47" i="7"/>
  <c r="AX60" i="7" s="1"/>
  <c r="AY29" i="7"/>
  <c r="AY28" i="7"/>
  <c r="AX46" i="7"/>
  <c r="AX59" i="7" s="1"/>
  <c r="R23" i="7"/>
  <c r="S41" i="7"/>
  <c r="S54" i="7" s="1"/>
  <c r="S63" i="7" s="1"/>
  <c r="BI51" i="16"/>
  <c r="BJ11" i="16"/>
  <c r="BQ99" i="15"/>
  <c r="BR98" i="15"/>
  <c r="BI71" i="16"/>
  <c r="BJ31" i="16"/>
  <c r="Q9" i="9"/>
  <c r="Q7" i="9"/>
  <c r="R3" i="9"/>
  <c r="R47" i="7"/>
  <c r="R60" i="7" s="1"/>
  <c r="Q29" i="7"/>
  <c r="BI55" i="16"/>
  <c r="BJ15" i="16"/>
  <c r="BD99" i="15"/>
  <c r="BC98" i="15"/>
  <c r="R27" i="7"/>
  <c r="S45" i="7"/>
  <c r="S58" i="7" s="1"/>
  <c r="AX23" i="7"/>
  <c r="AW41" i="7"/>
  <c r="AW54" i="7" s="1"/>
  <c r="AW63" i="7" s="1"/>
  <c r="BK8" i="16"/>
  <c r="BJ48" i="16"/>
  <c r="BI75" i="16"/>
  <c r="BJ35" i="16"/>
  <c r="AZ27" i="7"/>
  <c r="AY45" i="7"/>
  <c r="AY58" i="7" s="1"/>
  <c r="AX26" i="7"/>
  <c r="AW44" i="7"/>
  <c r="AW57" i="7" s="1"/>
  <c r="R20" i="7"/>
  <c r="S38" i="7"/>
  <c r="S51" i="7" s="1"/>
  <c r="R4" i="9"/>
  <c r="Q8" i="9"/>
  <c r="Q10" i="9"/>
  <c r="BJ70" i="16"/>
  <c r="BK30" i="16"/>
  <c r="BK25" i="16"/>
  <c r="BJ65" i="16"/>
  <c r="BI58" i="16"/>
  <c r="BJ18" i="16"/>
  <c r="BK9" i="16"/>
  <c r="BJ49" i="16"/>
  <c r="AX40" i="7"/>
  <c r="AX53" i="7" s="1"/>
  <c r="AX62" i="7" s="1"/>
  <c r="AY22" i="7"/>
  <c r="BM22" i="16"/>
  <c r="BL62" i="16"/>
  <c r="R43" i="7"/>
  <c r="R56" i="7" s="1"/>
  <c r="Q25" i="7"/>
  <c r="AO66" i="7"/>
  <c r="AN67" i="7"/>
  <c r="AY39" i="7"/>
  <c r="AY52" i="7" s="1"/>
  <c r="AZ21" i="7"/>
  <c r="BI47" i="16"/>
  <c r="BJ7" i="16"/>
  <c r="BK34" i="16"/>
  <c r="BJ74" i="16"/>
  <c r="AW38" i="7"/>
  <c r="AW51" i="7" s="1"/>
  <c r="AX20" i="7"/>
  <c r="R26" i="7"/>
  <c r="S44" i="7"/>
  <c r="S57" i="7" s="1"/>
  <c r="BL20" i="16"/>
  <c r="BK60" i="16"/>
  <c r="BJ32" i="16"/>
  <c r="BI72" i="16"/>
  <c r="R28" i="7"/>
  <c r="S46" i="7"/>
  <c r="S59" i="7" s="1"/>
  <c r="BI21" i="16"/>
  <c r="BH61" i="16"/>
  <c r="BJ23" i="16"/>
  <c r="BI63" i="16"/>
  <c r="BI56" i="16"/>
  <c r="BJ16" i="16"/>
  <c r="BI68" i="16"/>
  <c r="BJ28" i="16"/>
  <c r="BJ36" i="16"/>
  <c r="BI76" i="16"/>
  <c r="BJ27" i="16"/>
  <c r="BI67" i="16"/>
  <c r="R39" i="7"/>
  <c r="R52" i="7" s="1"/>
  <c r="Q21" i="7"/>
  <c r="BK50" i="16"/>
  <c r="BL10" i="16"/>
  <c r="BM14" i="16"/>
  <c r="BL54" i="16"/>
  <c r="R40" i="7"/>
  <c r="R53" i="7" s="1"/>
  <c r="R62" i="7" s="1"/>
  <c r="Q22" i="7"/>
  <c r="BI59" i="16"/>
  <c r="BJ19" i="16"/>
  <c r="BJ53" i="16"/>
  <c r="BK13" i="16"/>
  <c r="BJ29" i="16"/>
  <c r="BI69" i="16"/>
  <c r="AW43" i="7"/>
  <c r="AW56" i="7" s="1"/>
  <c r="AX25" i="7"/>
  <c r="BJ64" i="16"/>
  <c r="BK24" i="16"/>
  <c r="BJ57" i="16"/>
  <c r="BK17" i="16"/>
  <c r="BJ66" i="16"/>
  <c r="BK26" i="16"/>
  <c r="AW42" i="7"/>
  <c r="AW55" i="7" s="1"/>
  <c r="AX24" i="7"/>
  <c r="BK33" i="16"/>
  <c r="BJ73" i="16"/>
  <c r="AE133" i="21"/>
  <c r="T137" i="21"/>
  <c r="AU42" i="14"/>
  <c r="AV48" i="14"/>
  <c r="P36" i="21"/>
  <c r="Q35" i="21"/>
  <c r="Q79" i="21"/>
  <c r="R62" i="21"/>
  <c r="BF34" i="14"/>
  <c r="BE35" i="14"/>
  <c r="BE62" i="14"/>
  <c r="BD66" i="14"/>
  <c r="BE31" i="14"/>
  <c r="BF30" i="14"/>
  <c r="AI122" i="14"/>
  <c r="AJ123" i="14"/>
  <c r="BF71" i="14"/>
  <c r="BG70" i="14"/>
  <c r="AY122" i="14"/>
  <c r="AX123" i="14"/>
  <c r="AI42" i="14" l="1"/>
  <c r="BJ52" i="16"/>
  <c r="Z67" i="7"/>
  <c r="AY47" i="7"/>
  <c r="AY60" i="7" s="1"/>
  <c r="AZ29" i="7"/>
  <c r="Q24" i="7"/>
  <c r="R42" i="7"/>
  <c r="R55" i="7" s="1"/>
  <c r="R41" i="7"/>
  <c r="R54" i="7" s="1"/>
  <c r="R63" i="7" s="1"/>
  <c r="Q23" i="7"/>
  <c r="AZ28" i="7"/>
  <c r="AY46" i="7"/>
  <c r="AY59" i="7" s="1"/>
  <c r="BK31" i="16"/>
  <c r="BJ71" i="16"/>
  <c r="BR99" i="15"/>
  <c r="BS98" i="15"/>
  <c r="P29" i="7"/>
  <c r="Q47" i="7"/>
  <c r="Q60" i="7" s="1"/>
  <c r="S3" i="9"/>
  <c r="R7" i="9"/>
  <c r="R9" i="9"/>
  <c r="BB98" i="15"/>
  <c r="BC99" i="15"/>
  <c r="BK11" i="16"/>
  <c r="BJ51" i="16"/>
  <c r="BJ55" i="16"/>
  <c r="BK15" i="16"/>
  <c r="BA27" i="7"/>
  <c r="AZ45" i="7"/>
  <c r="AZ58" i="7" s="1"/>
  <c r="BM20" i="16"/>
  <c r="BL60" i="16"/>
  <c r="BJ58" i="16"/>
  <c r="BK18" i="16"/>
  <c r="AO67" i="7"/>
  <c r="AP66" i="7"/>
  <c r="BJ68" i="16"/>
  <c r="BK28" i="16"/>
  <c r="Q43" i="7"/>
  <c r="Q56" i="7" s="1"/>
  <c r="P25" i="7"/>
  <c r="BJ56" i="16"/>
  <c r="BK16" i="16"/>
  <c r="R44" i="7"/>
  <c r="R57" i="7" s="1"/>
  <c r="Q26" i="7"/>
  <c r="BK48" i="16"/>
  <c r="BL8" i="16"/>
  <c r="BK64" i="16"/>
  <c r="BL24" i="16"/>
  <c r="BL9" i="16"/>
  <c r="BK49" i="16"/>
  <c r="AY24" i="7"/>
  <c r="AX42" i="7"/>
  <c r="AX55" i="7" s="1"/>
  <c r="BJ76" i="16"/>
  <c r="BK36" i="16"/>
  <c r="BJ72" i="16"/>
  <c r="BK32" i="16"/>
  <c r="BK53" i="16"/>
  <c r="BL13" i="16"/>
  <c r="BK35" i="16"/>
  <c r="BJ75" i="16"/>
  <c r="BK65" i="16"/>
  <c r="BL25" i="16"/>
  <c r="BK19" i="16"/>
  <c r="BJ59" i="16"/>
  <c r="BM62" i="16"/>
  <c r="BN22" i="16"/>
  <c r="Q40" i="7"/>
  <c r="Q53" i="7" s="1"/>
  <c r="Q62" i="7" s="1"/>
  <c r="P22" i="7"/>
  <c r="BL30" i="16"/>
  <c r="BK70" i="16"/>
  <c r="BL33" i="16"/>
  <c r="BK73" i="16"/>
  <c r="BL34" i="16"/>
  <c r="BK74" i="16"/>
  <c r="BK7" i="16"/>
  <c r="BJ47" i="16"/>
  <c r="X66" i="7"/>
  <c r="Y67" i="7"/>
  <c r="R38" i="7"/>
  <c r="R51" i="7" s="1"/>
  <c r="Q20" i="7"/>
  <c r="AY23" i="7"/>
  <c r="AX41" i="7"/>
  <c r="AX54" i="7" s="1"/>
  <c r="AX63" i="7" s="1"/>
  <c r="BL26" i="16"/>
  <c r="BK66" i="16"/>
  <c r="AY20" i="7"/>
  <c r="AX38" i="7"/>
  <c r="AX51" i="7" s="1"/>
  <c r="AZ22" i="7"/>
  <c r="AY40" i="7"/>
  <c r="AY53" i="7" s="1"/>
  <c r="AY62" i="7" s="1"/>
  <c r="BK23" i="16"/>
  <c r="BJ63" i="16"/>
  <c r="BM10" i="16"/>
  <c r="BL50" i="16"/>
  <c r="R8" i="9"/>
  <c r="S4" i="9"/>
  <c r="R10" i="9"/>
  <c r="P21" i="7"/>
  <c r="Q39" i="7"/>
  <c r="Q52" i="7" s="1"/>
  <c r="BA21" i="7"/>
  <c r="AZ39" i="7"/>
  <c r="AZ52" i="7" s="1"/>
  <c r="BL17" i="16"/>
  <c r="BK57" i="16"/>
  <c r="BN14" i="16"/>
  <c r="BM54" i="16"/>
  <c r="AX43" i="7"/>
  <c r="AX56" i="7" s="1"/>
  <c r="AY25" i="7"/>
  <c r="BJ21" i="16"/>
  <c r="BI61" i="16"/>
  <c r="BK29" i="16"/>
  <c r="BJ69" i="16"/>
  <c r="BK27" i="16"/>
  <c r="BJ67" i="16"/>
  <c r="R46" i="7"/>
  <c r="R59" i="7" s="1"/>
  <c r="Q28" i="7"/>
  <c r="BL12" i="16"/>
  <c r="BK52" i="16"/>
  <c r="AY26" i="7"/>
  <c r="AX44" i="7"/>
  <c r="AX57" i="7" s="1"/>
  <c r="R45" i="7"/>
  <c r="R58" i="7" s="1"/>
  <c r="Q27" i="7"/>
  <c r="AF133" i="21"/>
  <c r="AG133" i="21" s="1"/>
  <c r="AH133" i="21" s="1"/>
  <c r="AI133" i="21" s="1"/>
  <c r="AJ133" i="21" s="1"/>
  <c r="AK133" i="21" s="1"/>
  <c r="U137" i="21"/>
  <c r="AF137" i="21"/>
  <c r="AV42" i="14"/>
  <c r="AW48" i="14"/>
  <c r="S62" i="21"/>
  <c r="R79" i="21"/>
  <c r="R35" i="21"/>
  <c r="Q36" i="21"/>
  <c r="BG34" i="14"/>
  <c r="BF35" i="14"/>
  <c r="BG30" i="14"/>
  <c r="BF31" i="14"/>
  <c r="AH122" i="14"/>
  <c r="AI123" i="14"/>
  <c r="AH42" i="14"/>
  <c r="AG48" i="14"/>
  <c r="BE66" i="14"/>
  <c r="BF62" i="14"/>
  <c r="AY123" i="14"/>
  <c r="AZ122" i="14"/>
  <c r="BH70" i="14"/>
  <c r="BG71" i="14"/>
  <c r="Q42" i="7" l="1"/>
  <c r="Q55" i="7" s="1"/>
  <c r="P24" i="7"/>
  <c r="AZ47" i="7"/>
  <c r="AZ60" i="7" s="1"/>
  <c r="BA29" i="7"/>
  <c r="P23" i="7"/>
  <c r="Q41" i="7"/>
  <c r="Q54" i="7" s="1"/>
  <c r="Q63" i="7" s="1"/>
  <c r="AZ46" i="7"/>
  <c r="AZ59" i="7" s="1"/>
  <c r="BA28" i="7"/>
  <c r="BK51" i="16"/>
  <c r="BL11" i="16"/>
  <c r="BK55" i="16"/>
  <c r="BL15" i="16"/>
  <c r="BA98" i="15"/>
  <c r="BB99" i="15"/>
  <c r="O29" i="7"/>
  <c r="P47" i="7"/>
  <c r="P60" i="7" s="1"/>
  <c r="BT98" i="15"/>
  <c r="BS99" i="15"/>
  <c r="S7" i="9"/>
  <c r="S9" i="9"/>
  <c r="T3" i="9"/>
  <c r="BL31" i="16"/>
  <c r="BK71" i="16"/>
  <c r="BL66" i="16"/>
  <c r="BM26" i="16"/>
  <c r="BL74" i="16"/>
  <c r="BM34" i="16"/>
  <c r="AY42" i="7"/>
  <c r="AY55" i="7" s="1"/>
  <c r="AZ24" i="7"/>
  <c r="BJ61" i="16"/>
  <c r="BK21" i="16"/>
  <c r="BA39" i="7"/>
  <c r="BA52" i="7" s="1"/>
  <c r="BB21" i="7"/>
  <c r="BB39" i="7" s="1"/>
  <c r="BB52" i="7" s="1"/>
  <c r="BL19" i="16"/>
  <c r="BK59" i="16"/>
  <c r="BL65" i="16"/>
  <c r="BM25" i="16"/>
  <c r="BN20" i="16"/>
  <c r="BM60" i="16"/>
  <c r="AZ26" i="7"/>
  <c r="AY44" i="7"/>
  <c r="AY57" i="7" s="1"/>
  <c r="BL27" i="16"/>
  <c r="BK67" i="16"/>
  <c r="BL29" i="16"/>
  <c r="BK69" i="16"/>
  <c r="P39" i="7"/>
  <c r="P52" i="7" s="1"/>
  <c r="O21" i="7"/>
  <c r="BM9" i="16"/>
  <c r="BL49" i="16"/>
  <c r="Q38" i="7"/>
  <c r="Q51" i="7" s="1"/>
  <c r="P20" i="7"/>
  <c r="BL64" i="16"/>
  <c r="BM24" i="16"/>
  <c r="X67" i="7"/>
  <c r="W66" i="7"/>
  <c r="BL35" i="16"/>
  <c r="BK75" i="16"/>
  <c r="BN54" i="16"/>
  <c r="BO14" i="16"/>
  <c r="BM13" i="16"/>
  <c r="BL53" i="16"/>
  <c r="BK56" i="16"/>
  <c r="BL16" i="16"/>
  <c r="AQ66" i="7"/>
  <c r="AP67" i="7"/>
  <c r="BL18" i="16"/>
  <c r="BK58" i="16"/>
  <c r="AY41" i="7"/>
  <c r="AY54" i="7" s="1"/>
  <c r="AY63" i="7" s="1"/>
  <c r="AZ23" i="7"/>
  <c r="BL73" i="16"/>
  <c r="BM33" i="16"/>
  <c r="S8" i="9"/>
  <c r="T4" i="9"/>
  <c r="S10" i="9"/>
  <c r="P27" i="7"/>
  <c r="Q45" i="7"/>
  <c r="Q58" i="7" s="1"/>
  <c r="BM8" i="16"/>
  <c r="BL48" i="16"/>
  <c r="AY43" i="7"/>
  <c r="AY56" i="7" s="1"/>
  <c r="AZ25" i="7"/>
  <c r="BM12" i="16"/>
  <c r="BL52" i="16"/>
  <c r="BA22" i="7"/>
  <c r="AZ40" i="7"/>
  <c r="AZ53" i="7" s="1"/>
  <c r="AZ62" i="7" s="1"/>
  <c r="BL7" i="16"/>
  <c r="BK47" i="16"/>
  <c r="AZ20" i="7"/>
  <c r="AY38" i="7"/>
  <c r="AY51" i="7" s="1"/>
  <c r="O22" i="7"/>
  <c r="P40" i="7"/>
  <c r="P53" i="7" s="1"/>
  <c r="P62" i="7" s="1"/>
  <c r="BK76" i="16"/>
  <c r="BL36" i="16"/>
  <c r="BL28" i="16"/>
  <c r="BK68" i="16"/>
  <c r="BN62" i="16"/>
  <c r="BO22" i="16"/>
  <c r="BM50" i="16"/>
  <c r="BN10" i="16"/>
  <c r="BL70" i="16"/>
  <c r="BM30" i="16"/>
  <c r="Q44" i="7"/>
  <c r="Q57" i="7" s="1"/>
  <c r="P26" i="7"/>
  <c r="BK63" i="16"/>
  <c r="BL23" i="16"/>
  <c r="Q46" i="7"/>
  <c r="Q59" i="7" s="1"/>
  <c r="P28" i="7"/>
  <c r="BL57" i="16"/>
  <c r="BM17" i="16"/>
  <c r="BL32" i="16"/>
  <c r="BK72" i="16"/>
  <c r="O25" i="7"/>
  <c r="P43" i="7"/>
  <c r="P56" i="7" s="1"/>
  <c r="BA45" i="7"/>
  <c r="BA58" i="7" s="1"/>
  <c r="BB27" i="7"/>
  <c r="BB45" i="7" s="1"/>
  <c r="BB58" i="7" s="1"/>
  <c r="AF143" i="21"/>
  <c r="AG137" i="21"/>
  <c r="AX48" i="14"/>
  <c r="AW42" i="14"/>
  <c r="R36" i="21"/>
  <c r="S35" i="21"/>
  <c r="S79" i="21"/>
  <c r="T62" i="21"/>
  <c r="BH34" i="14"/>
  <c r="BG35" i="14"/>
  <c r="AF48" i="14"/>
  <c r="AG42" i="14"/>
  <c r="BG62" i="14"/>
  <c r="BF66" i="14"/>
  <c r="AG122" i="14"/>
  <c r="AH123" i="14"/>
  <c r="BG31" i="14"/>
  <c r="BH30" i="14"/>
  <c r="BI70" i="14"/>
  <c r="BH71" i="14"/>
  <c r="AZ123" i="14"/>
  <c r="BA122" i="14"/>
  <c r="BB29" i="7" l="1"/>
  <c r="BB47" i="7" s="1"/>
  <c r="BB60" i="7" s="1"/>
  <c r="BA47" i="7"/>
  <c r="BA60" i="7" s="1"/>
  <c r="O24" i="7"/>
  <c r="P42" i="7"/>
  <c r="P55" i="7" s="1"/>
  <c r="BB28" i="7"/>
  <c r="BB46" i="7" s="1"/>
  <c r="BB59" i="7" s="1"/>
  <c r="BA46" i="7"/>
  <c r="BA59" i="7" s="1"/>
  <c r="P41" i="7"/>
  <c r="P54" i="7" s="1"/>
  <c r="P63" i="7" s="1"/>
  <c r="O23" i="7"/>
  <c r="BU98" i="15"/>
  <c r="BT99" i="15"/>
  <c r="O47" i="7"/>
  <c r="O60" i="7" s="1"/>
  <c r="N29" i="7"/>
  <c r="T9" i="9"/>
  <c r="T7" i="9"/>
  <c r="U3" i="9"/>
  <c r="BA99" i="15"/>
  <c r="AZ98" i="15"/>
  <c r="BM15" i="16"/>
  <c r="BL55" i="16"/>
  <c r="BM31" i="16"/>
  <c r="BL71" i="16"/>
  <c r="BM11" i="16"/>
  <c r="BL51" i="16"/>
  <c r="BN13" i="16"/>
  <c r="BM53" i="16"/>
  <c r="BM32" i="16"/>
  <c r="BL72" i="16"/>
  <c r="BP22" i="16"/>
  <c r="BO62" i="16"/>
  <c r="BL67" i="16"/>
  <c r="BM27" i="16"/>
  <c r="BL59" i="16"/>
  <c r="BM19" i="16"/>
  <c r="U4" i="9"/>
  <c r="T8" i="9"/>
  <c r="T10" i="9"/>
  <c r="BN33" i="16"/>
  <c r="BM73" i="16"/>
  <c r="BL47" i="16"/>
  <c r="BM7" i="16"/>
  <c r="BB22" i="7"/>
  <c r="BB40" i="7" s="1"/>
  <c r="BB53" i="7" s="1"/>
  <c r="BB62" i="7" s="1"/>
  <c r="BA40" i="7"/>
  <c r="BA53" i="7" s="1"/>
  <c r="BA62" i="7" s="1"/>
  <c r="BN12" i="16"/>
  <c r="BM52" i="16"/>
  <c r="AZ43" i="7"/>
  <c r="AZ56" i="7" s="1"/>
  <c r="BA25" i="7"/>
  <c r="BO10" i="16"/>
  <c r="BN50" i="16"/>
  <c r="O43" i="7"/>
  <c r="O56" i="7" s="1"/>
  <c r="N25" i="7"/>
  <c r="AZ38" i="7"/>
  <c r="AZ51" i="7" s="1"/>
  <c r="BA20" i="7"/>
  <c r="BP14" i="16"/>
  <c r="BO54" i="16"/>
  <c r="BM57" i="16"/>
  <c r="BN17" i="16"/>
  <c r="BL21" i="16"/>
  <c r="BK61" i="16"/>
  <c r="P46" i="7"/>
  <c r="P59" i="7" s="1"/>
  <c r="O28" i="7"/>
  <c r="BL68" i="16"/>
  <c r="BM28" i="16"/>
  <c r="BN24" i="16"/>
  <c r="BM64" i="16"/>
  <c r="N22" i="7"/>
  <c r="O40" i="7"/>
  <c r="O53" i="7" s="1"/>
  <c r="O62" i="7" s="1"/>
  <c r="BO20" i="16"/>
  <c r="BN60" i="16"/>
  <c r="P45" i="7"/>
  <c r="P58" i="7" s="1"/>
  <c r="O27" i="7"/>
  <c r="BM29" i="16"/>
  <c r="BL69" i="16"/>
  <c r="BA23" i="7"/>
  <c r="AZ41" i="7"/>
  <c r="AZ54" i="7" s="1"/>
  <c r="AZ63" i="7" s="1"/>
  <c r="BA24" i="7"/>
  <c r="AZ42" i="7"/>
  <c r="AZ55" i="7" s="1"/>
  <c r="AZ44" i="7"/>
  <c r="AZ57" i="7" s="1"/>
  <c r="BA26" i="7"/>
  <c r="O26" i="7"/>
  <c r="P44" i="7"/>
  <c r="P57" i="7" s="1"/>
  <c r="BN30" i="16"/>
  <c r="BM70" i="16"/>
  <c r="AR66" i="7"/>
  <c r="AQ67" i="7"/>
  <c r="BN9" i="16"/>
  <c r="BM49" i="16"/>
  <c r="BN25" i="16"/>
  <c r="BM65" i="16"/>
  <c r="BM66" i="16"/>
  <c r="BN26" i="16"/>
  <c r="BM35" i="16"/>
  <c r="BL75" i="16"/>
  <c r="W67" i="7"/>
  <c r="V66" i="7"/>
  <c r="BM23" i="16"/>
  <c r="BL63" i="16"/>
  <c r="BM36" i="16"/>
  <c r="BL76" i="16"/>
  <c r="BL58" i="16"/>
  <c r="BM18" i="16"/>
  <c r="O20" i="7"/>
  <c r="P38" i="7"/>
  <c r="P51" i="7" s="1"/>
  <c r="BN34" i="16"/>
  <c r="BM74" i="16"/>
  <c r="BM48" i="16"/>
  <c r="BN8" i="16"/>
  <c r="BL56" i="16"/>
  <c r="BM16" i="16"/>
  <c r="N21" i="7"/>
  <c r="O39" i="7"/>
  <c r="O52" i="7" s="1"/>
  <c r="AX42" i="14"/>
  <c r="AY48" i="14"/>
  <c r="T35" i="21"/>
  <c r="S36" i="21"/>
  <c r="U62" i="21"/>
  <c r="T79" i="21"/>
  <c r="BI34" i="14"/>
  <c r="BH35" i="14"/>
  <c r="BH62" i="14"/>
  <c r="BG66" i="14"/>
  <c r="BI30" i="14"/>
  <c r="BH31" i="14"/>
  <c r="AG123" i="14"/>
  <c r="AF122" i="14"/>
  <c r="AE48" i="14"/>
  <c r="AF42" i="14"/>
  <c r="BA123" i="14"/>
  <c r="BB122" i="14"/>
  <c r="BJ70" i="14"/>
  <c r="BI71" i="14"/>
  <c r="O42" i="7" l="1"/>
  <c r="O55" i="7" s="1"/>
  <c r="N24" i="7"/>
  <c r="N23" i="7"/>
  <c r="O41" i="7"/>
  <c r="O54" i="7" s="1"/>
  <c r="O63" i="7" s="1"/>
  <c r="BM55" i="16"/>
  <c r="BN15" i="16"/>
  <c r="U7" i="9"/>
  <c r="V3" i="9"/>
  <c r="U9" i="9"/>
  <c r="BN31" i="16"/>
  <c r="BM71" i="16"/>
  <c r="AZ99" i="15"/>
  <c r="AY98" i="15"/>
  <c r="N47" i="7"/>
  <c r="N60" i="7" s="1"/>
  <c r="M29" i="7"/>
  <c r="BM51" i="16"/>
  <c r="BN11" i="16"/>
  <c r="BV98" i="15"/>
  <c r="BU99" i="15"/>
  <c r="BB25" i="7"/>
  <c r="BB43" i="7" s="1"/>
  <c r="BB56" i="7" s="1"/>
  <c r="BA43" i="7"/>
  <c r="BA56" i="7" s="1"/>
  <c r="BM63" i="16"/>
  <c r="BN23" i="16"/>
  <c r="BN52" i="16"/>
  <c r="BO12" i="16"/>
  <c r="BM59" i="16"/>
  <c r="BN19" i="16"/>
  <c r="AR67" i="7"/>
  <c r="AS66" i="7"/>
  <c r="BN29" i="16"/>
  <c r="BM69" i="16"/>
  <c r="BM76" i="16"/>
  <c r="BN36" i="16"/>
  <c r="BP10" i="16"/>
  <c r="BO50" i="16"/>
  <c r="M21" i="7"/>
  <c r="N39" i="7"/>
  <c r="N52" i="7" s="1"/>
  <c r="BN48" i="16"/>
  <c r="BO8" i="16"/>
  <c r="BN35" i="16"/>
  <c r="BM75" i="16"/>
  <c r="BM67" i="16"/>
  <c r="BN27" i="16"/>
  <c r="O46" i="7"/>
  <c r="O59" i="7" s="1"/>
  <c r="N28" i="7"/>
  <c r="BN16" i="16"/>
  <c r="BM56" i="16"/>
  <c r="BN70" i="16"/>
  <c r="BO30" i="16"/>
  <c r="N26" i="7"/>
  <c r="O44" i="7"/>
  <c r="O57" i="7" s="1"/>
  <c r="BN7" i="16"/>
  <c r="BM47" i="16"/>
  <c r="BB26" i="7"/>
  <c r="BB44" i="7" s="1"/>
  <c r="BB57" i="7" s="1"/>
  <c r="BA44" i="7"/>
  <c r="BA57" i="7" s="1"/>
  <c r="BO60" i="16"/>
  <c r="BP20" i="16"/>
  <c r="BA38" i="7"/>
  <c r="BA51" i="7" s="1"/>
  <c r="BB20" i="7"/>
  <c r="BB38" i="7" s="1"/>
  <c r="BB51" i="7" s="1"/>
  <c r="BN18" i="16"/>
  <c r="BM58" i="16"/>
  <c r="BN65" i="16"/>
  <c r="BO25" i="16"/>
  <c r="BB24" i="7"/>
  <c r="BB42" i="7" s="1"/>
  <c r="BB55" i="7" s="1"/>
  <c r="BA42" i="7"/>
  <c r="BA55" i="7" s="1"/>
  <c r="BO24" i="16"/>
  <c r="BN64" i="16"/>
  <c r="M25" i="7"/>
  <c r="N43" i="7"/>
  <c r="N56" i="7" s="1"/>
  <c r="BN32" i="16"/>
  <c r="BM72" i="16"/>
  <c r="V67" i="7"/>
  <c r="U66" i="7"/>
  <c r="BL61" i="16"/>
  <c r="BM21" i="16"/>
  <c r="U8" i="9"/>
  <c r="U10" i="9"/>
  <c r="V4" i="9"/>
  <c r="BN66" i="16"/>
  <c r="BO26" i="16"/>
  <c r="M22" i="7"/>
  <c r="N40" i="7"/>
  <c r="N53" i="7" s="1"/>
  <c r="N62" i="7" s="1"/>
  <c r="H62" i="7" s="1"/>
  <c r="BM68" i="16"/>
  <c r="BN28" i="16"/>
  <c r="BO33" i="16"/>
  <c r="BN73" i="16"/>
  <c r="BA41" i="7"/>
  <c r="BA54" i="7" s="1"/>
  <c r="BA63" i="7" s="1"/>
  <c r="BB23" i="7"/>
  <c r="BB41" i="7" s="1"/>
  <c r="BB54" i="7" s="1"/>
  <c r="BB63" i="7" s="1"/>
  <c r="N27" i="7"/>
  <c r="O45" i="7"/>
  <c r="O58" i="7" s="1"/>
  <c r="BO17" i="16"/>
  <c r="BN57" i="16"/>
  <c r="BO34" i="16"/>
  <c r="BN74" i="16"/>
  <c r="BQ14" i="16"/>
  <c r="BP54" i="16"/>
  <c r="BP62" i="16"/>
  <c r="BQ22" i="16"/>
  <c r="N20" i="7"/>
  <c r="O38" i="7"/>
  <c r="O51" i="7" s="1"/>
  <c r="BO9" i="16"/>
  <c r="BN49" i="16"/>
  <c r="BN53" i="16"/>
  <c r="BO13" i="16"/>
  <c r="AZ48" i="14"/>
  <c r="AY42" i="14"/>
  <c r="U79" i="21"/>
  <c r="V62" i="21"/>
  <c r="T36" i="21"/>
  <c r="U35" i="21"/>
  <c r="BJ34" i="14"/>
  <c r="BI35" i="14"/>
  <c r="AD48" i="14"/>
  <c r="AE42" i="14"/>
  <c r="AF123" i="14"/>
  <c r="AE122" i="14"/>
  <c r="BI31" i="14"/>
  <c r="BJ30" i="14"/>
  <c r="BI62" i="14"/>
  <c r="BH66" i="14"/>
  <c r="BC122" i="14"/>
  <c r="BB123" i="14"/>
  <c r="BK70" i="14"/>
  <c r="BK71" i="14" s="1"/>
  <c r="BJ71" i="14"/>
  <c r="BQ54" i="16" l="1"/>
  <c r="BR14" i="16"/>
  <c r="BQ62" i="16"/>
  <c r="BR22" i="16"/>
  <c r="M24" i="7"/>
  <c r="N42" i="7"/>
  <c r="N55" i="7" s="1"/>
  <c r="N41" i="7"/>
  <c r="N54" i="7" s="1"/>
  <c r="N63" i="7" s="1"/>
  <c r="H63" i="7" s="1"/>
  <c r="M23" i="7"/>
  <c r="M47" i="7"/>
  <c r="M60" i="7" s="1"/>
  <c r="L29" i="7"/>
  <c r="AY99" i="15"/>
  <c r="AX98" i="15"/>
  <c r="W3" i="9"/>
  <c r="V7" i="9"/>
  <c r="V9" i="9"/>
  <c r="BO31" i="16"/>
  <c r="BN71" i="16"/>
  <c r="BV99" i="15"/>
  <c r="BW98" i="15"/>
  <c r="BO15" i="16"/>
  <c r="BN55" i="16"/>
  <c r="BN51" i="16"/>
  <c r="BO11" i="16"/>
  <c r="BQ20" i="16"/>
  <c r="BP60" i="16"/>
  <c r="BN21" i="16"/>
  <c r="BM61" i="16"/>
  <c r="BO28" i="16"/>
  <c r="BN68" i="16"/>
  <c r="U67" i="7"/>
  <c r="T66" i="7"/>
  <c r="BO74" i="16"/>
  <c r="BP34" i="16"/>
  <c r="BO32" i="16"/>
  <c r="BN72" i="16"/>
  <c r="BN75" i="16"/>
  <c r="BO35" i="16"/>
  <c r="BP17" i="16"/>
  <c r="BO57" i="16"/>
  <c r="BO64" i="16"/>
  <c r="BP24" i="16"/>
  <c r="BO52" i="16"/>
  <c r="BP12" i="16"/>
  <c r="N45" i="7"/>
  <c r="N58" i="7" s="1"/>
  <c r="M27" i="7"/>
  <c r="N38" i="7"/>
  <c r="N51" i="7" s="1"/>
  <c r="M20" i="7"/>
  <c r="BO65" i="16"/>
  <c r="BP25" i="16"/>
  <c r="BO23" i="16"/>
  <c r="BN63" i="16"/>
  <c r="BO29" i="16"/>
  <c r="BN69" i="16"/>
  <c r="BP13" i="16"/>
  <c r="BO53" i="16"/>
  <c r="BO19" i="16"/>
  <c r="BN59" i="16"/>
  <c r="BN47" i="16"/>
  <c r="BO7" i="16"/>
  <c r="M26" i="7"/>
  <c r="N44" i="7"/>
  <c r="N57" i="7" s="1"/>
  <c r="W4" i="9"/>
  <c r="V8" i="9"/>
  <c r="V10" i="9"/>
  <c r="M39" i="7"/>
  <c r="M52" i="7" s="1"/>
  <c r="L21" i="7"/>
  <c r="N46" i="7"/>
  <c r="N59" i="7" s="1"/>
  <c r="M28" i="7"/>
  <c r="BN76" i="16"/>
  <c r="BO36" i="16"/>
  <c r="L22" i="7"/>
  <c r="M40" i="7"/>
  <c r="M53" i="7" s="1"/>
  <c r="M62" i="7" s="1"/>
  <c r="AS67" i="7"/>
  <c r="AT66" i="7"/>
  <c r="M43" i="7"/>
  <c r="M56" i="7" s="1"/>
  <c r="L25" i="7"/>
  <c r="BP9" i="16"/>
  <c r="BO49" i="16"/>
  <c r="BO70" i="16"/>
  <c r="BP30" i="16"/>
  <c r="BO27" i="16"/>
  <c r="BN67" i="16"/>
  <c r="BO66" i="16"/>
  <c r="BP26" i="16"/>
  <c r="BP8" i="16"/>
  <c r="BO48" i="16"/>
  <c r="BO73" i="16"/>
  <c r="BP33" i="16"/>
  <c r="BO18" i="16"/>
  <c r="BN58" i="16"/>
  <c r="BN56" i="16"/>
  <c r="BO16" i="16"/>
  <c r="BP50" i="16"/>
  <c r="BQ10" i="16"/>
  <c r="BA48" i="14"/>
  <c r="AZ42" i="14"/>
  <c r="V35" i="21"/>
  <c r="U36" i="21"/>
  <c r="V79" i="21"/>
  <c r="W62" i="21"/>
  <c r="BJ35" i="14"/>
  <c r="BK34" i="14"/>
  <c r="BK35" i="14" s="1"/>
  <c r="BJ62" i="14"/>
  <c r="BI66" i="14"/>
  <c r="AD122" i="14"/>
  <c r="AE123" i="14"/>
  <c r="BJ31" i="14"/>
  <c r="BK30" i="14"/>
  <c r="BK31" i="14" s="1"/>
  <c r="AD42" i="14"/>
  <c r="AC48" i="14"/>
  <c r="BD122" i="14"/>
  <c r="BC123" i="14"/>
  <c r="BR54" i="16" l="1"/>
  <c r="BS14" i="16"/>
  <c r="BR62" i="16"/>
  <c r="BS22" i="16"/>
  <c r="BQ60" i="16"/>
  <c r="BR20" i="16"/>
  <c r="BQ50" i="16"/>
  <c r="BR10" i="16"/>
  <c r="L24" i="7"/>
  <c r="M42" i="7"/>
  <c r="M55" i="7" s="1"/>
  <c r="M41" i="7"/>
  <c r="M54" i="7" s="1"/>
  <c r="M63" i="7" s="1"/>
  <c r="L23" i="7"/>
  <c r="BO55" i="16"/>
  <c r="BP15" i="16"/>
  <c r="AW98" i="15"/>
  <c r="AX99" i="15"/>
  <c r="X3" i="9"/>
  <c r="W9" i="9"/>
  <c r="W7" i="9"/>
  <c r="BP31" i="16"/>
  <c r="BO71" i="16"/>
  <c r="BX98" i="15"/>
  <c r="BW99" i="15"/>
  <c r="L47" i="7"/>
  <c r="L60" i="7" s="1"/>
  <c r="K29" i="7"/>
  <c r="BP11" i="16"/>
  <c r="BO51" i="16"/>
  <c r="T67" i="7"/>
  <c r="S66" i="7"/>
  <c r="BP66" i="16"/>
  <c r="BQ26" i="16"/>
  <c r="M38" i="7"/>
  <c r="M51" i="7" s="1"/>
  <c r="L20" i="7"/>
  <c r="BQ34" i="16"/>
  <c r="BP74" i="16"/>
  <c r="BP27" i="16"/>
  <c r="BO67" i="16"/>
  <c r="K22" i="7"/>
  <c r="L40" i="7"/>
  <c r="L53" i="7" s="1"/>
  <c r="L62" i="7" s="1"/>
  <c r="BP7" i="16"/>
  <c r="BQ7" i="16" s="1"/>
  <c r="BR7" i="16" s="1"/>
  <c r="BO47" i="16"/>
  <c r="BP36" i="16"/>
  <c r="BO76" i="16"/>
  <c r="BP16" i="16"/>
  <c r="BO56" i="16"/>
  <c r="AU66" i="7"/>
  <c r="AT67" i="7"/>
  <c r="M45" i="7"/>
  <c r="M58" i="7" s="1"/>
  <c r="L27" i="7"/>
  <c r="BP49" i="16"/>
  <c r="BQ9" i="16"/>
  <c r="BQ13" i="16"/>
  <c r="BP53" i="16"/>
  <c r="BO68" i="16"/>
  <c r="BP28" i="16"/>
  <c r="K21" i="7"/>
  <c r="L39" i="7"/>
  <c r="L52" i="7" s="1"/>
  <c r="BN61" i="16"/>
  <c r="BO21" i="16"/>
  <c r="BP73" i="16"/>
  <c r="BQ33" i="16"/>
  <c r="BO63" i="16"/>
  <c r="BP23" i="16"/>
  <c r="BP19" i="16"/>
  <c r="BO59" i="16"/>
  <c r="BP18" i="16"/>
  <c r="BO58" i="16"/>
  <c r="BQ17" i="16"/>
  <c r="BR17" i="16" s="1"/>
  <c r="BP57" i="16"/>
  <c r="BQ25" i="16"/>
  <c r="BP65" i="16"/>
  <c r="M44" i="7"/>
  <c r="M57" i="7" s="1"/>
  <c r="L26" i="7"/>
  <c r="BP70" i="16"/>
  <c r="BQ30" i="16"/>
  <c r="BQ12" i="16"/>
  <c r="BP52" i="16"/>
  <c r="BP64" i="16"/>
  <c r="BQ24" i="16"/>
  <c r="L28" i="7"/>
  <c r="M46" i="7"/>
  <c r="M59" i="7" s="1"/>
  <c r="BP29" i="16"/>
  <c r="BO69" i="16"/>
  <c r="L43" i="7"/>
  <c r="L56" i="7" s="1"/>
  <c r="K25" i="7"/>
  <c r="BP35" i="16"/>
  <c r="BO75" i="16"/>
  <c r="BQ8" i="16"/>
  <c r="BP48" i="16"/>
  <c r="W8" i="9"/>
  <c r="X4" i="9"/>
  <c r="W10" i="9"/>
  <c r="BP32" i="16"/>
  <c r="BO72" i="16"/>
  <c r="BA42" i="14"/>
  <c r="BB48" i="14"/>
  <c r="X62" i="21"/>
  <c r="W79" i="21"/>
  <c r="W35" i="21"/>
  <c r="V36" i="21"/>
  <c r="AB48" i="14"/>
  <c r="AC42" i="14"/>
  <c r="AD123" i="14"/>
  <c r="AC122" i="14"/>
  <c r="BJ66" i="14"/>
  <c r="BK62" i="14"/>
  <c r="BK66" i="14" s="1"/>
  <c r="BE122" i="14"/>
  <c r="BD123" i="14"/>
  <c r="BS54" i="16" l="1"/>
  <c r="BT14" i="16"/>
  <c r="BS62" i="16"/>
  <c r="BT22" i="16"/>
  <c r="BR60" i="16"/>
  <c r="BS20" i="16"/>
  <c r="BR50" i="16"/>
  <c r="BS10" i="16"/>
  <c r="BQ66" i="16"/>
  <c r="BR26" i="16"/>
  <c r="BQ74" i="16"/>
  <c r="BR34" i="16"/>
  <c r="BR47" i="16"/>
  <c r="BS7" i="16"/>
  <c r="BQ49" i="16"/>
  <c r="BR9" i="16"/>
  <c r="BQ53" i="16"/>
  <c r="BR13" i="16"/>
  <c r="BQ73" i="16"/>
  <c r="BR33" i="16"/>
  <c r="BR57" i="16"/>
  <c r="BS17" i="16"/>
  <c r="BQ65" i="16"/>
  <c r="BR25" i="16"/>
  <c r="BQ70" i="16"/>
  <c r="BR30" i="16"/>
  <c r="BQ52" i="16"/>
  <c r="BR12" i="16"/>
  <c r="BQ64" i="16"/>
  <c r="BR24" i="16"/>
  <c r="BQ48" i="16"/>
  <c r="BR8" i="16"/>
  <c r="BQ57" i="16"/>
  <c r="K24" i="7"/>
  <c r="L42" i="7"/>
  <c r="L55" i="7" s="1"/>
  <c r="K23" i="7"/>
  <c r="L41" i="7"/>
  <c r="L54" i="7" s="1"/>
  <c r="L63" i="7" s="1"/>
  <c r="BX99" i="15"/>
  <c r="BY98" i="15"/>
  <c r="X9" i="9"/>
  <c r="X7" i="9"/>
  <c r="Y3" i="9"/>
  <c r="BQ11" i="16"/>
  <c r="BP51" i="16"/>
  <c r="J29" i="7"/>
  <c r="K47" i="7"/>
  <c r="K60" i="7" s="1"/>
  <c r="BP71" i="16"/>
  <c r="BQ31" i="16"/>
  <c r="AV98" i="15"/>
  <c r="AW99" i="15"/>
  <c r="BQ15" i="16"/>
  <c r="BP55" i="16"/>
  <c r="BP76" i="16"/>
  <c r="BQ36" i="16"/>
  <c r="BQ28" i="16"/>
  <c r="BP68" i="16"/>
  <c r="L45" i="7"/>
  <c r="L58" i="7" s="1"/>
  <c r="K27" i="7"/>
  <c r="BP69" i="16"/>
  <c r="BQ29" i="16"/>
  <c r="AV66" i="7"/>
  <c r="AU67" i="7"/>
  <c r="BP21" i="16"/>
  <c r="BO61" i="16"/>
  <c r="J22" i="7"/>
  <c r="K40" i="7"/>
  <c r="K53" i="7" s="1"/>
  <c r="K62" i="7" s="1"/>
  <c r="BP63" i="16"/>
  <c r="BQ23" i="16"/>
  <c r="K20" i="7"/>
  <c r="L38" i="7"/>
  <c r="L51" i="7" s="1"/>
  <c r="L46" i="7"/>
  <c r="L59" i="7" s="1"/>
  <c r="K28" i="7"/>
  <c r="S67" i="7"/>
  <c r="R66" i="7"/>
  <c r="Y4" i="9"/>
  <c r="X10" i="9"/>
  <c r="X8" i="9"/>
  <c r="BP58" i="16"/>
  <c r="BQ18" i="16"/>
  <c r="BP47" i="16"/>
  <c r="BQ47" i="16"/>
  <c r="K26" i="7"/>
  <c r="L44" i="7"/>
  <c r="L57" i="7" s="1"/>
  <c r="BQ19" i="16"/>
  <c r="BP59" i="16"/>
  <c r="BP75" i="16"/>
  <c r="BQ35" i="16"/>
  <c r="K43" i="7"/>
  <c r="K56" i="7" s="1"/>
  <c r="J25" i="7"/>
  <c r="BQ27" i="16"/>
  <c r="BP67" i="16"/>
  <c r="BP72" i="16"/>
  <c r="BQ32" i="16"/>
  <c r="J21" i="7"/>
  <c r="K39" i="7"/>
  <c r="K52" i="7" s="1"/>
  <c r="BP56" i="16"/>
  <c r="BQ16" i="16"/>
  <c r="BB42" i="14"/>
  <c r="BC48" i="14"/>
  <c r="X35" i="21"/>
  <c r="W36" i="21"/>
  <c r="Y62" i="21"/>
  <c r="X79" i="21"/>
  <c r="AB122" i="14"/>
  <c r="AC123" i="14"/>
  <c r="AA48" i="14"/>
  <c r="AB42" i="14"/>
  <c r="BF122" i="14"/>
  <c r="BE123" i="14"/>
  <c r="BT54" i="16" l="1"/>
  <c r="BU14" i="16"/>
  <c r="BT62" i="16"/>
  <c r="BU22" i="16"/>
  <c r="BS60" i="16"/>
  <c r="BT20" i="16"/>
  <c r="BS50" i="16"/>
  <c r="BT10" i="16"/>
  <c r="BR66" i="16"/>
  <c r="BS26" i="16"/>
  <c r="BR74" i="16"/>
  <c r="BS34" i="16"/>
  <c r="BS47" i="16"/>
  <c r="BT7" i="16"/>
  <c r="BR49" i="16"/>
  <c r="BS9" i="16"/>
  <c r="BR53" i="16"/>
  <c r="BS13" i="16"/>
  <c r="BR73" i="16"/>
  <c r="BS33" i="16"/>
  <c r="BS57" i="16"/>
  <c r="BT17" i="16"/>
  <c r="BR65" i="16"/>
  <c r="BS25" i="16"/>
  <c r="BR70" i="16"/>
  <c r="BS30" i="16"/>
  <c r="BR52" i="16"/>
  <c r="BS12" i="16"/>
  <c r="BR64" i="16"/>
  <c r="BS24" i="16"/>
  <c r="BR48" i="16"/>
  <c r="BS8" i="16"/>
  <c r="BQ51" i="16"/>
  <c r="BR11" i="16"/>
  <c r="BQ71" i="16"/>
  <c r="BR31" i="16"/>
  <c r="BQ55" i="16"/>
  <c r="BR15" i="16"/>
  <c r="BQ76" i="16"/>
  <c r="BR36" i="16"/>
  <c r="BQ68" i="16"/>
  <c r="BR28" i="16"/>
  <c r="BQ69" i="16"/>
  <c r="BR29" i="16"/>
  <c r="BQ63" i="16"/>
  <c r="BR23" i="16"/>
  <c r="BQ58" i="16"/>
  <c r="BR18" i="16"/>
  <c r="BQ59" i="16"/>
  <c r="BR19" i="16"/>
  <c r="BQ75" i="16"/>
  <c r="BR35" i="16"/>
  <c r="BQ67" i="16"/>
  <c r="BR27" i="16"/>
  <c r="BQ72" i="16"/>
  <c r="BR32" i="16"/>
  <c r="BQ56" i="16"/>
  <c r="BR16" i="16"/>
  <c r="J24" i="7"/>
  <c r="K42" i="7"/>
  <c r="K55" i="7" s="1"/>
  <c r="K41" i="7"/>
  <c r="K54" i="7" s="1"/>
  <c r="K63" i="7" s="1"/>
  <c r="J23" i="7"/>
  <c r="AU98" i="15"/>
  <c r="AV99" i="15"/>
  <c r="Y7" i="9"/>
  <c r="Y9" i="9"/>
  <c r="Z3" i="9"/>
  <c r="J47" i="7"/>
  <c r="J60" i="7" s="1"/>
  <c r="I29" i="7"/>
  <c r="I47" i="7" s="1"/>
  <c r="I60" i="7" s="1"/>
  <c r="BZ98" i="15"/>
  <c r="BY99" i="15"/>
  <c r="K44" i="7"/>
  <c r="K57" i="7" s="1"/>
  <c r="J26" i="7"/>
  <c r="J39" i="7"/>
  <c r="J52" i="7" s="1"/>
  <c r="I21" i="7"/>
  <c r="I39" i="7" s="1"/>
  <c r="I52" i="7" s="1"/>
  <c r="Q66" i="7"/>
  <c r="R67" i="7"/>
  <c r="AW66" i="7"/>
  <c r="AV67" i="7"/>
  <c r="Y8" i="9"/>
  <c r="Z4" i="9"/>
  <c r="Y10" i="9"/>
  <c r="I25" i="7"/>
  <c r="I43" i="7" s="1"/>
  <c r="I56" i="7" s="1"/>
  <c r="J43" i="7"/>
  <c r="J56" i="7" s="1"/>
  <c r="J20" i="7"/>
  <c r="K38" i="7"/>
  <c r="K51" i="7" s="1"/>
  <c r="J27" i="7"/>
  <c r="K45" i="7"/>
  <c r="K58" i="7" s="1"/>
  <c r="J40" i="7"/>
  <c r="J53" i="7" s="1"/>
  <c r="J62" i="7" s="1"/>
  <c r="I22" i="7"/>
  <c r="I40" i="7" s="1"/>
  <c r="I53" i="7" s="1"/>
  <c r="I62" i="7" s="1"/>
  <c r="K46" i="7"/>
  <c r="K59" i="7" s="1"/>
  <c r="J28" i="7"/>
  <c r="BQ21" i="16"/>
  <c r="BP61" i="16"/>
  <c r="BC42" i="14"/>
  <c r="BD48" i="14"/>
  <c r="Y79" i="21"/>
  <c r="Z62" i="21"/>
  <c r="Y35" i="21"/>
  <c r="X36" i="21"/>
  <c r="Z48" i="14"/>
  <c r="AA42" i="14"/>
  <c r="AB123" i="14"/>
  <c r="AA122" i="14"/>
  <c r="BF123" i="14"/>
  <c r="BG122" i="14"/>
  <c r="BU54" i="16" l="1"/>
  <c r="BV14" i="16"/>
  <c r="BU62" i="16"/>
  <c r="BV22" i="16"/>
  <c r="BT60" i="16"/>
  <c r="BU20" i="16"/>
  <c r="BT50" i="16"/>
  <c r="BU10" i="16"/>
  <c r="BS66" i="16"/>
  <c r="BT26" i="16"/>
  <c r="BS74" i="16"/>
  <c r="BT34" i="16"/>
  <c r="BT47" i="16"/>
  <c r="BU7" i="16"/>
  <c r="BS49" i="16"/>
  <c r="BT9" i="16"/>
  <c r="BS53" i="16"/>
  <c r="BT13" i="16"/>
  <c r="BS73" i="16"/>
  <c r="BT33" i="16"/>
  <c r="BT57" i="16"/>
  <c r="BU17" i="16"/>
  <c r="BS65" i="16"/>
  <c r="BT25" i="16"/>
  <c r="BS70" i="16"/>
  <c r="BT30" i="16"/>
  <c r="BS52" i="16"/>
  <c r="BT12" i="16"/>
  <c r="BS64" i="16"/>
  <c r="BT24" i="16"/>
  <c r="BS48" i="16"/>
  <c r="BT8" i="16"/>
  <c r="BR51" i="16"/>
  <c r="BS11" i="16"/>
  <c r="BR71" i="16"/>
  <c r="BS31" i="16"/>
  <c r="BR55" i="16"/>
  <c r="BS15" i="16"/>
  <c r="BR76" i="16"/>
  <c r="BS36" i="16"/>
  <c r="BR68" i="16"/>
  <c r="BS28" i="16"/>
  <c r="BR69" i="16"/>
  <c r="BS29" i="16"/>
  <c r="BR63" i="16"/>
  <c r="BS23" i="16"/>
  <c r="BR58" i="16"/>
  <c r="BS18" i="16"/>
  <c r="BR59" i="16"/>
  <c r="BS19" i="16"/>
  <c r="BR75" i="16"/>
  <c r="BS35" i="16"/>
  <c r="BR67" i="16"/>
  <c r="BS27" i="16"/>
  <c r="BR72" i="16"/>
  <c r="BS32" i="16"/>
  <c r="BR56" i="16"/>
  <c r="BS16" i="16"/>
  <c r="BQ61" i="16"/>
  <c r="BR21" i="16"/>
  <c r="J42" i="7"/>
  <c r="J55" i="7" s="1"/>
  <c r="I24" i="7"/>
  <c r="I42" i="7" s="1"/>
  <c r="I55" i="7" s="1"/>
  <c r="I23" i="7"/>
  <c r="I41" i="7" s="1"/>
  <c r="I54" i="7" s="1"/>
  <c r="I63" i="7" s="1"/>
  <c r="J41" i="7"/>
  <c r="J54" i="7" s="1"/>
  <c r="J63" i="7" s="1"/>
  <c r="CA98" i="15"/>
  <c r="BZ99" i="15"/>
  <c r="AA3" i="9"/>
  <c r="Z9" i="9"/>
  <c r="Z7" i="9"/>
  <c r="AT98" i="15"/>
  <c r="AU99" i="15"/>
  <c r="J46" i="7"/>
  <c r="J59" i="7" s="1"/>
  <c r="I28" i="7"/>
  <c r="I46" i="7" s="1"/>
  <c r="I59" i="7" s="1"/>
  <c r="AW67" i="7"/>
  <c r="AX66" i="7"/>
  <c r="J38" i="7"/>
  <c r="J51" i="7" s="1"/>
  <c r="I20" i="7"/>
  <c r="I38" i="7" s="1"/>
  <c r="I51" i="7" s="1"/>
  <c r="Z10" i="9"/>
  <c r="Z8" i="9"/>
  <c r="AA4" i="9"/>
  <c r="Q67" i="7"/>
  <c r="P66" i="7"/>
  <c r="I26" i="7"/>
  <c r="I44" i="7" s="1"/>
  <c r="I57" i="7" s="1"/>
  <c r="J44" i="7"/>
  <c r="J57" i="7" s="1"/>
  <c r="J45" i="7"/>
  <c r="J58" i="7" s="1"/>
  <c r="I27" i="7"/>
  <c r="I45" i="7" s="1"/>
  <c r="I58" i="7" s="1"/>
  <c r="BE48" i="14"/>
  <c r="BD42" i="14"/>
  <c r="Z35" i="21"/>
  <c r="Y36" i="21"/>
  <c r="AA62" i="21"/>
  <c r="Z79" i="21"/>
  <c r="AA123" i="14"/>
  <c r="Z122" i="14"/>
  <c r="Z42" i="14"/>
  <c r="Y48" i="14"/>
  <c r="BH122" i="14"/>
  <c r="BG123" i="14"/>
  <c r="BV54" i="16" l="1"/>
  <c r="BW14" i="16"/>
  <c r="BV62" i="16"/>
  <c r="BW22" i="16"/>
  <c r="BU60" i="16"/>
  <c r="BV20" i="16"/>
  <c r="BU50" i="16"/>
  <c r="BV10" i="16"/>
  <c r="BT66" i="16"/>
  <c r="BU26" i="16"/>
  <c r="BT74" i="16"/>
  <c r="BU34" i="16"/>
  <c r="BU47" i="16"/>
  <c r="BV7" i="16"/>
  <c r="BT49" i="16"/>
  <c r="BU9" i="16"/>
  <c r="BT53" i="16"/>
  <c r="BU13" i="16"/>
  <c r="BT73" i="16"/>
  <c r="BU33" i="16"/>
  <c r="BU57" i="16"/>
  <c r="BV17" i="16"/>
  <c r="BT65" i="16"/>
  <c r="BU25" i="16"/>
  <c r="BT70" i="16"/>
  <c r="BU30" i="16"/>
  <c r="BT52" i="16"/>
  <c r="BU12" i="16"/>
  <c r="BT64" i="16"/>
  <c r="BU24" i="16"/>
  <c r="BT48" i="16"/>
  <c r="BU8" i="16"/>
  <c r="BS51" i="16"/>
  <c r="BT11" i="16"/>
  <c r="BS71" i="16"/>
  <c r="BT31" i="16"/>
  <c r="BS55" i="16"/>
  <c r="BT15" i="16"/>
  <c r="BS76" i="16"/>
  <c r="BT36" i="16"/>
  <c r="BS68" i="16"/>
  <c r="BT28" i="16"/>
  <c r="BS69" i="16"/>
  <c r="BT29" i="16"/>
  <c r="BS63" i="16"/>
  <c r="BT23" i="16"/>
  <c r="BS58" i="16"/>
  <c r="BT18" i="16"/>
  <c r="BS59" i="16"/>
  <c r="BT19" i="16"/>
  <c r="BS75" i="16"/>
  <c r="BT35" i="16"/>
  <c r="BS67" i="16"/>
  <c r="BT27" i="16"/>
  <c r="BS72" i="16"/>
  <c r="BT32" i="16"/>
  <c r="BS56" i="16"/>
  <c r="BT16" i="16"/>
  <c r="BR61" i="16"/>
  <c r="BS21" i="16"/>
  <c r="AS98" i="15"/>
  <c r="AT99" i="15"/>
  <c r="AA7" i="9"/>
  <c r="AA9" i="9"/>
  <c r="AB3" i="9"/>
  <c r="CB98" i="15"/>
  <c r="CA99" i="15"/>
  <c r="AB4" i="9"/>
  <c r="AA10" i="9"/>
  <c r="AA8" i="9"/>
  <c r="AY66" i="7"/>
  <c r="AX67" i="7"/>
  <c r="O66" i="7"/>
  <c r="P67" i="7"/>
  <c r="BE42" i="14"/>
  <c r="BF48" i="14"/>
  <c r="AB62" i="21"/>
  <c r="AA79" i="21"/>
  <c r="AA35" i="21"/>
  <c r="Z36" i="21"/>
  <c r="X48" i="14"/>
  <c r="Y42" i="14"/>
  <c r="Y122" i="14"/>
  <c r="Z123" i="14"/>
  <c r="BH123" i="14"/>
  <c r="BI122" i="14"/>
  <c r="BW54" i="16" l="1"/>
  <c r="BX14" i="16"/>
  <c r="BW62" i="16"/>
  <c r="BX22" i="16"/>
  <c r="BV60" i="16"/>
  <c r="BW20" i="16"/>
  <c r="BV50" i="16"/>
  <c r="BW10" i="16"/>
  <c r="BU66" i="16"/>
  <c r="BV26" i="16"/>
  <c r="BU74" i="16"/>
  <c r="BV34" i="16"/>
  <c r="BV47" i="16"/>
  <c r="BW7" i="16"/>
  <c r="BU49" i="16"/>
  <c r="BV9" i="16"/>
  <c r="BU53" i="16"/>
  <c r="BV13" i="16"/>
  <c r="BU73" i="16"/>
  <c r="BV33" i="16"/>
  <c r="BV57" i="16"/>
  <c r="BW17" i="16"/>
  <c r="BU65" i="16"/>
  <c r="BV25" i="16"/>
  <c r="BU70" i="16"/>
  <c r="BV30" i="16"/>
  <c r="BU52" i="16"/>
  <c r="BV12" i="16"/>
  <c r="BU64" i="16"/>
  <c r="BV24" i="16"/>
  <c r="BU48" i="16"/>
  <c r="BV8" i="16"/>
  <c r="BT51" i="16"/>
  <c r="BU11" i="16"/>
  <c r="BT71" i="16"/>
  <c r="BU31" i="16"/>
  <c r="BT55" i="16"/>
  <c r="BU15" i="16"/>
  <c r="BT76" i="16"/>
  <c r="BU36" i="16"/>
  <c r="BT68" i="16"/>
  <c r="BU28" i="16"/>
  <c r="BT69" i="16"/>
  <c r="BU29" i="16"/>
  <c r="BT63" i="16"/>
  <c r="BU23" i="16"/>
  <c r="BT58" i="16"/>
  <c r="BU18" i="16"/>
  <c r="BT59" i="16"/>
  <c r="BU19" i="16"/>
  <c r="BT75" i="16"/>
  <c r="BU35" i="16"/>
  <c r="BT67" i="16"/>
  <c r="BU27" i="16"/>
  <c r="BT72" i="16"/>
  <c r="BU32" i="16"/>
  <c r="BT56" i="16"/>
  <c r="BU16" i="16"/>
  <c r="BS61" i="16"/>
  <c r="BT21" i="16"/>
  <c r="CB99" i="15"/>
  <c r="CC98" i="15"/>
  <c r="AB9" i="9"/>
  <c r="AC3" i="9"/>
  <c r="AB7" i="9"/>
  <c r="AR98" i="15"/>
  <c r="AS99" i="15"/>
  <c r="O67" i="7"/>
  <c r="N66" i="7"/>
  <c r="AY67" i="7"/>
  <c r="AZ66" i="7"/>
  <c r="AB8" i="9"/>
  <c r="AB10" i="9"/>
  <c r="AC4" i="9"/>
  <c r="BF42" i="14"/>
  <c r="BG48" i="14"/>
  <c r="AB35" i="21"/>
  <c r="AA36" i="21"/>
  <c r="AB79" i="21"/>
  <c r="AC62" i="21"/>
  <c r="X122" i="14"/>
  <c r="Y123" i="14"/>
  <c r="W48" i="14"/>
  <c r="X42" i="14"/>
  <c r="BJ122" i="14"/>
  <c r="BI123" i="14"/>
  <c r="BX54" i="16" l="1"/>
  <c r="BY14" i="16"/>
  <c r="BX62" i="16"/>
  <c r="BY22" i="16"/>
  <c r="BW60" i="16"/>
  <c r="BX20" i="16"/>
  <c r="BW50" i="16"/>
  <c r="BX10" i="16"/>
  <c r="BV66" i="16"/>
  <c r="BW26" i="16"/>
  <c r="BV74" i="16"/>
  <c r="BW34" i="16"/>
  <c r="BW47" i="16"/>
  <c r="BX7" i="16"/>
  <c r="BV49" i="16"/>
  <c r="BW9" i="16"/>
  <c r="BV53" i="16"/>
  <c r="BW13" i="16"/>
  <c r="BV73" i="16"/>
  <c r="BW33" i="16"/>
  <c r="BW57" i="16"/>
  <c r="BX17" i="16"/>
  <c r="BV65" i="16"/>
  <c r="BW25" i="16"/>
  <c r="BV70" i="16"/>
  <c r="BW30" i="16"/>
  <c r="BV52" i="16"/>
  <c r="BW12" i="16"/>
  <c r="BV64" i="16"/>
  <c r="BW24" i="16"/>
  <c r="BV48" i="16"/>
  <c r="BW8" i="16"/>
  <c r="BU51" i="16"/>
  <c r="BV11" i="16"/>
  <c r="BU71" i="16"/>
  <c r="BV31" i="16"/>
  <c r="BU55" i="16"/>
  <c r="BV15" i="16"/>
  <c r="BU76" i="16"/>
  <c r="BV36" i="16"/>
  <c r="BU68" i="16"/>
  <c r="BV28" i="16"/>
  <c r="BU69" i="16"/>
  <c r="BV29" i="16"/>
  <c r="BU63" i="16"/>
  <c r="BV23" i="16"/>
  <c r="BU58" i="16"/>
  <c r="BV18" i="16"/>
  <c r="BU59" i="16"/>
  <c r="BV19" i="16"/>
  <c r="BU75" i="16"/>
  <c r="BV35" i="16"/>
  <c r="BU67" i="16"/>
  <c r="BV27" i="16"/>
  <c r="BU72" i="16"/>
  <c r="BV32" i="16"/>
  <c r="BU56" i="16"/>
  <c r="BV16" i="16"/>
  <c r="BT61" i="16"/>
  <c r="BU21" i="16"/>
  <c r="CC99" i="15"/>
  <c r="CD98" i="15"/>
  <c r="AQ98" i="15"/>
  <c r="AR99" i="15"/>
  <c r="AC7" i="9"/>
  <c r="AC9" i="9"/>
  <c r="AD3" i="9"/>
  <c r="AD4" i="9"/>
  <c r="AC10" i="9"/>
  <c r="AC8" i="9"/>
  <c r="BA66" i="7"/>
  <c r="AZ67" i="7"/>
  <c r="N67" i="7"/>
  <c r="M66" i="7"/>
  <c r="BH48" i="14"/>
  <c r="BG42" i="14"/>
  <c r="AD62" i="21"/>
  <c r="AC79" i="21"/>
  <c r="AB36" i="21"/>
  <c r="AC35" i="21"/>
  <c r="AC4" i="21" s="1"/>
  <c r="W42" i="14"/>
  <c r="V48" i="14"/>
  <c r="X123" i="14"/>
  <c r="W122" i="14"/>
  <c r="BK122" i="14"/>
  <c r="BK123" i="14" s="1"/>
  <c r="BJ123" i="14"/>
  <c r="BY54" i="16" l="1"/>
  <c r="BZ14" i="16"/>
  <c r="BY62" i="16"/>
  <c r="BZ22" i="16"/>
  <c r="BX60" i="16"/>
  <c r="BY20" i="16"/>
  <c r="BX50" i="16"/>
  <c r="BY10" i="16"/>
  <c r="BW66" i="16"/>
  <c r="BX26" i="16"/>
  <c r="BW74" i="16"/>
  <c r="BX34" i="16"/>
  <c r="BX47" i="16"/>
  <c r="BY7" i="16"/>
  <c r="BW49" i="16"/>
  <c r="BX9" i="16"/>
  <c r="BW53" i="16"/>
  <c r="BX13" i="16"/>
  <c r="BW73" i="16"/>
  <c r="BX33" i="16"/>
  <c r="BX57" i="16"/>
  <c r="BY17" i="16"/>
  <c r="BW65" i="16"/>
  <c r="BX25" i="16"/>
  <c r="BW70" i="16"/>
  <c r="BX30" i="16"/>
  <c r="BW52" i="16"/>
  <c r="BX12" i="16"/>
  <c r="BW64" i="16"/>
  <c r="BX24" i="16"/>
  <c r="BW48" i="16"/>
  <c r="BX8" i="16"/>
  <c r="BV51" i="16"/>
  <c r="BW11" i="16"/>
  <c r="BV71" i="16"/>
  <c r="BW31" i="16"/>
  <c r="BV55" i="16"/>
  <c r="BW15" i="16"/>
  <c r="BV76" i="16"/>
  <c r="BW36" i="16"/>
  <c r="BV68" i="16"/>
  <c r="BW28" i="16"/>
  <c r="BV69" i="16"/>
  <c r="BW29" i="16"/>
  <c r="BV63" i="16"/>
  <c r="BW23" i="16"/>
  <c r="BV58" i="16"/>
  <c r="BW18" i="16"/>
  <c r="BV59" i="16"/>
  <c r="BW19" i="16"/>
  <c r="BV75" i="16"/>
  <c r="BW35" i="16"/>
  <c r="BV67" i="16"/>
  <c r="BW27" i="16"/>
  <c r="BV72" i="16"/>
  <c r="BW32" i="16"/>
  <c r="BV56" i="16"/>
  <c r="BW16" i="16"/>
  <c r="BU61" i="16"/>
  <c r="BV21" i="16"/>
  <c r="AE3" i="9"/>
  <c r="AD7" i="9"/>
  <c r="AD9" i="9"/>
  <c r="CD99" i="15"/>
  <c r="CE98" i="15"/>
  <c r="AP98" i="15"/>
  <c r="AQ99" i="15"/>
  <c r="M67" i="7"/>
  <c r="L66" i="7"/>
  <c r="BA67" i="7"/>
  <c r="BB66" i="7"/>
  <c r="BB67" i="7" s="1"/>
  <c r="AE4" i="9"/>
  <c r="AD10" i="9"/>
  <c r="AD8" i="9"/>
  <c r="BI48" i="14"/>
  <c r="BH42" i="14"/>
  <c r="AD35" i="21"/>
  <c r="AC36" i="21"/>
  <c r="AD79" i="21"/>
  <c r="AE62" i="21"/>
  <c r="U48" i="14"/>
  <c r="V42" i="14"/>
  <c r="V122" i="14"/>
  <c r="W123" i="14"/>
  <c r="BZ54" i="16" l="1"/>
  <c r="CA14" i="16"/>
  <c r="CA54" i="16" s="1"/>
  <c r="BZ62" i="16"/>
  <c r="CA22" i="16"/>
  <c r="CA62" i="16" s="1"/>
  <c r="BY60" i="16"/>
  <c r="BZ20" i="16"/>
  <c r="BY50" i="16"/>
  <c r="BZ10" i="16"/>
  <c r="BX66" i="16"/>
  <c r="BY26" i="16"/>
  <c r="BX74" i="16"/>
  <c r="BY34" i="16"/>
  <c r="BY47" i="16"/>
  <c r="BZ7" i="16"/>
  <c r="BX49" i="16"/>
  <c r="BY9" i="16"/>
  <c r="BX53" i="16"/>
  <c r="BY13" i="16"/>
  <c r="BX73" i="16"/>
  <c r="BY33" i="16"/>
  <c r="BY57" i="16"/>
  <c r="BZ17" i="16"/>
  <c r="BX65" i="16"/>
  <c r="BY25" i="16"/>
  <c r="BX70" i="16"/>
  <c r="BY30" i="16"/>
  <c r="BX52" i="16"/>
  <c r="BY12" i="16"/>
  <c r="BX64" i="16"/>
  <c r="BY24" i="16"/>
  <c r="BX48" i="16"/>
  <c r="BY8" i="16"/>
  <c r="BW51" i="16"/>
  <c r="BX11" i="16"/>
  <c r="BW71" i="16"/>
  <c r="BX31" i="16"/>
  <c r="BW55" i="16"/>
  <c r="BX15" i="16"/>
  <c r="BW76" i="16"/>
  <c r="BX36" i="16"/>
  <c r="BW68" i="16"/>
  <c r="BX28" i="16"/>
  <c r="BW69" i="16"/>
  <c r="BX29" i="16"/>
  <c r="BW63" i="16"/>
  <c r="BX23" i="16"/>
  <c r="BW58" i="16"/>
  <c r="BX18" i="16"/>
  <c r="BW59" i="16"/>
  <c r="BX19" i="16"/>
  <c r="BW75" i="16"/>
  <c r="BX35" i="16"/>
  <c r="BW67" i="16"/>
  <c r="BX27" i="16"/>
  <c r="BW72" i="16"/>
  <c r="BX32" i="16"/>
  <c r="BW56" i="16"/>
  <c r="BX16" i="16"/>
  <c r="BV61" i="16"/>
  <c r="BW21" i="16"/>
  <c r="AP99" i="15"/>
  <c r="AO98" i="15"/>
  <c r="CF98" i="15"/>
  <c r="CE99" i="15"/>
  <c r="AF3" i="9"/>
  <c r="AE7" i="9"/>
  <c r="AE9" i="9"/>
  <c r="AF4" i="9"/>
  <c r="AE10" i="9"/>
  <c r="AE8" i="9"/>
  <c r="L67" i="7"/>
  <c r="K66" i="7"/>
  <c r="BJ48" i="14"/>
  <c r="BI42" i="14"/>
  <c r="AE79" i="21"/>
  <c r="AF62" i="21"/>
  <c r="AE35" i="21"/>
  <c r="AD36" i="21"/>
  <c r="U122" i="14"/>
  <c r="V123" i="14"/>
  <c r="T48" i="14"/>
  <c r="U42" i="14"/>
  <c r="BZ60" i="16" l="1"/>
  <c r="CA20" i="16"/>
  <c r="CA60" i="16" s="1"/>
  <c r="BZ50" i="16"/>
  <c r="CA10" i="16"/>
  <c r="CA50" i="16" s="1"/>
  <c r="BY66" i="16"/>
  <c r="BZ26" i="16"/>
  <c r="BY74" i="16"/>
  <c r="BZ34" i="16"/>
  <c r="BZ47" i="16"/>
  <c r="CA7" i="16"/>
  <c r="CA47" i="16" s="1"/>
  <c r="BY49" i="16"/>
  <c r="BZ9" i="16"/>
  <c r="BY53" i="16"/>
  <c r="BZ13" i="16"/>
  <c r="BY73" i="16"/>
  <c r="BZ33" i="16"/>
  <c r="BZ57" i="16"/>
  <c r="CA17" i="16"/>
  <c r="CA57" i="16" s="1"/>
  <c r="BY65" i="16"/>
  <c r="BZ25" i="16"/>
  <c r="BY70" i="16"/>
  <c r="BZ30" i="16"/>
  <c r="BY52" i="16"/>
  <c r="BZ12" i="16"/>
  <c r="BY64" i="16"/>
  <c r="BZ24" i="16"/>
  <c r="BY48" i="16"/>
  <c r="BZ8" i="16"/>
  <c r="BX51" i="16"/>
  <c r="BY11" i="16"/>
  <c r="BX71" i="16"/>
  <c r="BY31" i="16"/>
  <c r="BX55" i="16"/>
  <c r="BY15" i="16"/>
  <c r="BX76" i="16"/>
  <c r="BY36" i="16"/>
  <c r="BX68" i="16"/>
  <c r="BY28" i="16"/>
  <c r="BX69" i="16"/>
  <c r="BY29" i="16"/>
  <c r="BX63" i="16"/>
  <c r="BY23" i="16"/>
  <c r="BX58" i="16"/>
  <c r="BY18" i="16"/>
  <c r="BX59" i="16"/>
  <c r="BY19" i="16"/>
  <c r="BX75" i="16"/>
  <c r="BY35" i="16"/>
  <c r="BX67" i="16"/>
  <c r="BY27" i="16"/>
  <c r="BX72" i="16"/>
  <c r="BY32" i="16"/>
  <c r="BX56" i="16"/>
  <c r="BY16" i="16"/>
  <c r="BW61" i="16"/>
  <c r="BX21" i="16"/>
  <c r="AF9" i="9"/>
  <c r="AF7" i="9"/>
  <c r="AG3" i="9"/>
  <c r="CG98" i="15"/>
  <c r="CF99" i="15"/>
  <c r="AN98" i="15"/>
  <c r="AO99" i="15"/>
  <c r="K67" i="7"/>
  <c r="J66" i="7"/>
  <c r="AG4" i="9"/>
  <c r="AF8" i="9"/>
  <c r="AF10" i="9"/>
  <c r="BK48" i="14"/>
  <c r="BK42" i="14" s="1"/>
  <c r="BJ42" i="14"/>
  <c r="AE36" i="21"/>
  <c r="AF35" i="21"/>
  <c r="AG62" i="21"/>
  <c r="AF79" i="21"/>
  <c r="T42" i="14"/>
  <c r="S48" i="14"/>
  <c r="U123" i="14"/>
  <c r="T122" i="14"/>
  <c r="BZ66" i="16" l="1"/>
  <c r="CA26" i="16"/>
  <c r="CA66" i="16" s="1"/>
  <c r="BZ74" i="16"/>
  <c r="CA34" i="16"/>
  <c r="CA74" i="16" s="1"/>
  <c r="BZ49" i="16"/>
  <c r="CA9" i="16"/>
  <c r="CA49" i="16" s="1"/>
  <c r="BZ53" i="16"/>
  <c r="CA13" i="16"/>
  <c r="CA53" i="16" s="1"/>
  <c r="BZ73" i="16"/>
  <c r="CA33" i="16"/>
  <c r="CA73" i="16" s="1"/>
  <c r="BZ65" i="16"/>
  <c r="CA25" i="16"/>
  <c r="CA65" i="16" s="1"/>
  <c r="BZ70" i="16"/>
  <c r="CA30" i="16"/>
  <c r="CA70" i="16" s="1"/>
  <c r="BZ52" i="16"/>
  <c r="CA12" i="16"/>
  <c r="CA52" i="16" s="1"/>
  <c r="BZ64" i="16"/>
  <c r="CA24" i="16"/>
  <c r="CA64" i="16" s="1"/>
  <c r="BZ48" i="16"/>
  <c r="CA8" i="16"/>
  <c r="CA48" i="16" s="1"/>
  <c r="BY51" i="16"/>
  <c r="BZ11" i="16"/>
  <c r="BY71" i="16"/>
  <c r="BZ31" i="16"/>
  <c r="BY55" i="16"/>
  <c r="BZ15" i="16"/>
  <c r="BY76" i="16"/>
  <c r="BZ36" i="16"/>
  <c r="BY68" i="16"/>
  <c r="BZ28" i="16"/>
  <c r="BY69" i="16"/>
  <c r="BZ29" i="16"/>
  <c r="BY63" i="16"/>
  <c r="BZ23" i="16"/>
  <c r="BY58" i="16"/>
  <c r="BZ18" i="16"/>
  <c r="BY59" i="16"/>
  <c r="BZ19" i="16"/>
  <c r="BY75" i="16"/>
  <c r="BZ35" i="16"/>
  <c r="BY67" i="16"/>
  <c r="BZ27" i="16"/>
  <c r="BY72" i="16"/>
  <c r="BZ32" i="16"/>
  <c r="BY56" i="16"/>
  <c r="BZ16" i="16"/>
  <c r="BX61" i="16"/>
  <c r="BY21" i="16"/>
  <c r="AM98" i="15"/>
  <c r="AN99" i="15"/>
  <c r="CH98" i="15"/>
  <c r="CG99" i="15"/>
  <c r="AG7" i="9"/>
  <c r="AG9" i="9"/>
  <c r="AH3" i="9"/>
  <c r="I66" i="7"/>
  <c r="I67" i="7" s="1"/>
  <c r="J67" i="7"/>
  <c r="AH4" i="9"/>
  <c r="AG8" i="9"/>
  <c r="AG10" i="9"/>
  <c r="AG79" i="21"/>
  <c r="AH62" i="21"/>
  <c r="AF36" i="21"/>
  <c r="AG35" i="21"/>
  <c r="T123" i="14"/>
  <c r="S122" i="14"/>
  <c r="R48" i="14"/>
  <c r="S42" i="14"/>
  <c r="BZ51" i="16" l="1"/>
  <c r="CA11" i="16"/>
  <c r="CA51" i="16" s="1"/>
  <c r="BZ71" i="16"/>
  <c r="CA31" i="16"/>
  <c r="CA71" i="16" s="1"/>
  <c r="BZ55" i="16"/>
  <c r="CA15" i="16"/>
  <c r="CA55" i="16" s="1"/>
  <c r="BZ76" i="16"/>
  <c r="CA36" i="16"/>
  <c r="CA76" i="16" s="1"/>
  <c r="BZ68" i="16"/>
  <c r="CA28" i="16"/>
  <c r="CA68" i="16" s="1"/>
  <c r="BZ69" i="16"/>
  <c r="CA29" i="16"/>
  <c r="CA69" i="16" s="1"/>
  <c r="BZ63" i="16"/>
  <c r="CA23" i="16"/>
  <c r="CA63" i="16" s="1"/>
  <c r="BZ58" i="16"/>
  <c r="CA18" i="16"/>
  <c r="CA58" i="16" s="1"/>
  <c r="BZ59" i="16"/>
  <c r="CA19" i="16"/>
  <c r="CA59" i="16" s="1"/>
  <c r="BZ75" i="16"/>
  <c r="CA35" i="16"/>
  <c r="CA75" i="16" s="1"/>
  <c r="BZ67" i="16"/>
  <c r="CA27" i="16"/>
  <c r="CA67" i="16" s="1"/>
  <c r="BZ72" i="16"/>
  <c r="CA32" i="16"/>
  <c r="CA72" i="16" s="1"/>
  <c r="BZ56" i="16"/>
  <c r="CA16" i="16"/>
  <c r="CA56" i="16" s="1"/>
  <c r="BY61" i="16"/>
  <c r="BZ21" i="16"/>
  <c r="AI3" i="9"/>
  <c r="AH7" i="9"/>
  <c r="AH9" i="9"/>
  <c r="CH99" i="15"/>
  <c r="CI98" i="15"/>
  <c r="AL98" i="15"/>
  <c r="AM99" i="15"/>
  <c r="AH8" i="9"/>
  <c r="AI4" i="9"/>
  <c r="AH10" i="9"/>
  <c r="AG36" i="21"/>
  <c r="AH35" i="21"/>
  <c r="AH79" i="21"/>
  <c r="AI62" i="21"/>
  <c r="Q48" i="14"/>
  <c r="R42" i="14"/>
  <c r="S123" i="14"/>
  <c r="R122" i="14"/>
  <c r="BZ61" i="16" l="1"/>
  <c r="CA21" i="16"/>
  <c r="CA61" i="16" s="1"/>
  <c r="AK98" i="15"/>
  <c r="AL99" i="15"/>
  <c r="CI99" i="15"/>
  <c r="CJ98" i="15"/>
  <c r="AJ3" i="9"/>
  <c r="AI7" i="9"/>
  <c r="AI9" i="9"/>
  <c r="AI8" i="9"/>
  <c r="AJ4" i="9"/>
  <c r="AI10" i="9"/>
  <c r="AI79" i="21"/>
  <c r="AJ62" i="21"/>
  <c r="AI35" i="21"/>
  <c r="AH36" i="21"/>
  <c r="R123" i="14"/>
  <c r="Q122" i="14"/>
  <c r="P48" i="14"/>
  <c r="Q42" i="14"/>
  <c r="AJ7" i="9" l="1"/>
  <c r="AJ9" i="9"/>
  <c r="AK3" i="9"/>
  <c r="CK98" i="15"/>
  <c r="CJ99" i="15"/>
  <c r="AJ98" i="15"/>
  <c r="AK99" i="15"/>
  <c r="AJ8" i="9"/>
  <c r="AJ10" i="9"/>
  <c r="AK4" i="9"/>
  <c r="AI36" i="21"/>
  <c r="AJ35" i="21"/>
  <c r="AJ79" i="21"/>
  <c r="AK62" i="21"/>
  <c r="AK79" i="21" s="1"/>
  <c r="Q123" i="14"/>
  <c r="P122" i="14"/>
  <c r="O48" i="14"/>
  <c r="P42" i="14"/>
  <c r="AI98" i="15" l="1"/>
  <c r="AJ99" i="15"/>
  <c r="CK99" i="15"/>
  <c r="CL98" i="15"/>
  <c r="AK7" i="9"/>
  <c r="AK9" i="9"/>
  <c r="AL3" i="9"/>
  <c r="AK8" i="9"/>
  <c r="AK10" i="9"/>
  <c r="AL4" i="9"/>
  <c r="AK35" i="21"/>
  <c r="AK36" i="21" s="1"/>
  <c r="AJ36" i="21"/>
  <c r="O42" i="14"/>
  <c r="N48" i="14"/>
  <c r="O122" i="14"/>
  <c r="P123" i="14"/>
  <c r="CM98" i="15" l="1"/>
  <c r="CL99" i="15"/>
  <c r="AM3" i="9"/>
  <c r="AL7" i="9"/>
  <c r="AL9" i="9"/>
  <c r="AI99" i="15"/>
  <c r="AH98" i="15"/>
  <c r="AL8" i="9"/>
  <c r="AM4" i="9"/>
  <c r="AL10" i="9"/>
  <c r="O123" i="14"/>
  <c r="N122" i="14"/>
  <c r="M48" i="14"/>
  <c r="N42" i="14"/>
  <c r="AG98" i="15" l="1"/>
  <c r="AH99" i="15"/>
  <c r="AN3" i="9"/>
  <c r="AM9" i="9"/>
  <c r="AM7" i="9"/>
  <c r="CN98" i="15"/>
  <c r="CM99" i="15"/>
  <c r="AM8" i="9"/>
  <c r="AN4" i="9"/>
  <c r="AM10" i="9"/>
  <c r="M42" i="14"/>
  <c r="L48" i="14"/>
  <c r="L42" i="14" s="1"/>
  <c r="N123" i="14"/>
  <c r="M122" i="14"/>
  <c r="CN99" i="15" l="1"/>
  <c r="CO98" i="15"/>
  <c r="AN9" i="9"/>
  <c r="AN7" i="9"/>
  <c r="AO3" i="9"/>
  <c r="AG99" i="15"/>
  <c r="AF98" i="15"/>
  <c r="AN8" i="9"/>
  <c r="AN10" i="9"/>
  <c r="AO4" i="9"/>
  <c r="M123" i="14"/>
  <c r="L122" i="14"/>
  <c r="L123" i="14" s="1"/>
  <c r="AE98" i="15" l="1"/>
  <c r="AF99" i="15"/>
  <c r="AO7" i="9"/>
  <c r="AP3" i="9"/>
  <c r="AO9" i="9"/>
  <c r="CP98" i="15"/>
  <c r="CO99" i="15"/>
  <c r="AO10" i="9"/>
  <c r="AO8" i="9"/>
  <c r="AP4" i="9"/>
  <c r="CQ98" i="15" l="1"/>
  <c r="CP99" i="15"/>
  <c r="AQ3" i="9"/>
  <c r="AP9" i="9"/>
  <c r="AP7" i="9"/>
  <c r="AE99" i="15"/>
  <c r="AD98" i="15"/>
  <c r="AQ4" i="9"/>
  <c r="AP10" i="9"/>
  <c r="AP8" i="9"/>
  <c r="AC98" i="15" l="1"/>
  <c r="AD99" i="15"/>
  <c r="AQ9" i="9"/>
  <c r="AQ7" i="9"/>
  <c r="AR3" i="9"/>
  <c r="CR98" i="15"/>
  <c r="CR99" i="15" s="1"/>
  <c r="CQ99" i="15"/>
  <c r="AQ10" i="9"/>
  <c r="AQ8" i="9"/>
  <c r="AR4" i="9"/>
  <c r="AR7" i="9" l="1"/>
  <c r="AS3" i="9"/>
  <c r="AR9" i="9"/>
  <c r="AB98" i="15"/>
  <c r="AC99" i="15"/>
  <c r="AR8" i="9"/>
  <c r="AS4" i="9"/>
  <c r="AR10" i="9"/>
  <c r="AA98" i="15" l="1"/>
  <c r="AB99" i="15"/>
  <c r="AT3" i="9"/>
  <c r="AS9" i="9"/>
  <c r="AS7" i="9"/>
  <c r="AS8" i="9"/>
  <c r="AS10" i="9"/>
  <c r="AT4" i="9"/>
  <c r="AT9" i="9" l="1"/>
  <c r="AT7" i="9"/>
  <c r="AU3" i="9"/>
  <c r="AA99" i="15"/>
  <c r="Z98" i="15"/>
  <c r="AU4" i="9"/>
  <c r="AT10" i="9"/>
  <c r="AT8" i="9"/>
  <c r="Y98" i="15" l="1"/>
  <c r="Z99" i="15"/>
  <c r="AV3" i="9"/>
  <c r="AU9" i="9"/>
  <c r="AU7" i="9"/>
  <c r="AU8" i="9"/>
  <c r="AV4" i="9"/>
  <c r="AU10" i="9"/>
  <c r="AV7" i="9" l="1"/>
  <c r="AV9" i="9"/>
  <c r="Y99" i="15"/>
  <c r="X98" i="15"/>
  <c r="AV10" i="9"/>
  <c r="AV8" i="9"/>
  <c r="W98" i="15" l="1"/>
  <c r="X99" i="15"/>
  <c r="V98" i="15" l="1"/>
  <c r="W99" i="15"/>
  <c r="U98" i="15" l="1"/>
  <c r="V99" i="15"/>
  <c r="T98" i="15" l="1"/>
  <c r="U99" i="15"/>
  <c r="T99" i="15" l="1"/>
  <c r="S98" i="15"/>
  <c r="S99" i="15" l="1"/>
  <c r="R98" i="15"/>
  <c r="R99" i="15" l="1"/>
  <c r="Q98" i="15"/>
  <c r="Q99" i="15" l="1"/>
  <c r="P98" i="15"/>
  <c r="O98" i="15" l="1"/>
  <c r="P99" i="15"/>
  <c r="N98" i="15" l="1"/>
  <c r="O99" i="15"/>
  <c r="M98" i="15" l="1"/>
  <c r="N99" i="15"/>
  <c r="L98" i="15" l="1"/>
  <c r="M99" i="15"/>
  <c r="K98" i="15" l="1"/>
  <c r="L99" i="15"/>
  <c r="J98" i="15" l="1"/>
  <c r="J99" i="15" s="1"/>
  <c r="K99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Carina CHENG</author>
    <author>PC</author>
  </authors>
  <commentList>
    <comment ref="H10" authorId="0" shapeId="0" xr:uid="{45B960D7-1076-4A51-93A0-5D994566EDE2}">
      <text>
        <r>
          <rPr>
            <b/>
            <sz val="9"/>
            <color indexed="81"/>
            <rFont val="Tahoma"/>
            <family val="2"/>
          </rPr>
          <t>Carina CHENG:</t>
        </r>
        <r>
          <rPr>
            <sz val="9"/>
            <color indexed="81"/>
            <rFont val="Tahoma"/>
            <family val="2"/>
          </rPr>
          <t xml:space="preserve">
UKN rolling paper extra cost RMB5/KM.
</t>
        </r>
      </text>
    </comment>
    <comment ref="A71" authorId="1" shapeId="0" xr:uid="{59EFF90B-A3C2-4CA4-8A92-2E9A36A1E345}">
      <text>
        <r>
          <rPr>
            <sz val="10"/>
            <color indexed="81"/>
            <rFont val="Tahoma"/>
            <family val="2"/>
          </rPr>
          <t xml:space="preserve">Optimized construction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Carina CHENG</author>
  </authors>
  <commentList>
    <comment ref="H8" authorId="0" shapeId="0" xr:uid="{21CF5495-1DC8-4CDC-8730-EAE18218539C}">
      <text>
        <r>
          <rPr>
            <b/>
            <sz val="9"/>
            <color indexed="81"/>
            <rFont val="Tahoma"/>
            <family val="2"/>
          </rPr>
          <t>Carina CHENG:</t>
        </r>
        <r>
          <rPr>
            <sz val="9"/>
            <color indexed="81"/>
            <rFont val="Tahoma"/>
            <family val="2"/>
          </rPr>
          <t xml:space="preserve">
UKN rolling paper extra cost RMB5/KM.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11" authorId="0" shapeId="0" xr:uid="{7C690F0A-EC8F-49EE-84F0-F2CF231B404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No demand anymore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89" authorId="0" shapeId="0" xr:uid="{C379B8A0-DA60-43BB-AB8B-57ED677B657D}">
      <text>
        <r>
          <rPr>
            <sz val="10"/>
            <color indexed="81"/>
            <rFont val="Tahoma"/>
            <family val="2"/>
          </rPr>
          <t>Under qualification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Carina CHENG</author>
  </authors>
  <commentList>
    <comment ref="A66" authorId="0" shapeId="0" xr:uid="{47BB1183-4D91-41BF-970D-1E54BA4D51CB}">
      <text>
        <r>
          <rPr>
            <b/>
            <sz val="9"/>
            <color indexed="81"/>
            <rFont val="Tahoma"/>
            <family val="2"/>
          </rPr>
          <t>Carina CHENG:</t>
        </r>
        <r>
          <rPr>
            <sz val="9"/>
            <color indexed="81"/>
            <rFont val="Tahoma"/>
            <family val="2"/>
          </rPr>
          <t xml:space="preserve">
If need 25m coil, the prices will be added 5% more.
</t>
        </r>
      </text>
    </comment>
  </commentList>
</comments>
</file>

<file path=xl/sharedStrings.xml><?xml version="1.0" encoding="utf-8"?>
<sst xmlns="http://schemas.openxmlformats.org/spreadsheetml/2006/main" count="3245" uniqueCount="626">
  <si>
    <t>MOQ: 30KM</t>
    <phoneticPr fontId="3" type="noConversion"/>
  </si>
  <si>
    <t>FCL loading for below prices.</t>
  </si>
  <si>
    <t>***Below prices added 4% + 2% May + 1% Nov =7% price can be validated until  Dec 2025</t>
    <phoneticPr fontId="3" type="noConversion"/>
  </si>
  <si>
    <r>
      <t xml:space="preserve">For 305m box, if need plastic reel in box, </t>
    </r>
    <r>
      <rPr>
        <b/>
        <i/>
        <strike/>
        <sz val="10.5"/>
        <color rgb="FFFF0000"/>
        <rFont val="Aptos"/>
        <family val="2"/>
      </rPr>
      <t>the price need add extra $10=RMB64/km.</t>
    </r>
    <phoneticPr fontId="3" type="noConversion"/>
  </si>
  <si>
    <t>From Sep., 2023, the price need add extra $9=RMB57.6/km</t>
    <phoneticPr fontId="3" type="noConversion"/>
  </si>
  <si>
    <t>BCC items and ordered</t>
  </si>
  <si>
    <t>NON-ANEXT</t>
  </si>
  <si>
    <r>
      <t xml:space="preserve">UKN ROLLING PAPER NEW PACKING </t>
    </r>
    <r>
      <rPr>
        <b/>
        <sz val="10.5"/>
        <color rgb="FFFF0000"/>
        <rFont val="Aptos"/>
        <family val="2"/>
      </rPr>
      <t>ONLY FOR DRUM</t>
    </r>
    <r>
      <rPr>
        <b/>
        <sz val="10.5"/>
        <color theme="1"/>
        <rFont val="Aptos"/>
        <family val="2"/>
      </rPr>
      <t xml:space="preserve"> --add RMB 5 PER/KM</t>
    </r>
    <phoneticPr fontId="3" type="noConversion"/>
  </si>
  <si>
    <t>Nov 2021 - DEC 2025 RMB</t>
    <phoneticPr fontId="3" type="noConversion"/>
  </si>
  <si>
    <t xml:space="preserve">EXTRA cost for BCC rolling paper </t>
    <phoneticPr fontId="3" type="noConversion"/>
  </si>
  <si>
    <t xml:space="preserve">CATALOGUE </t>
  </si>
  <si>
    <t>TYPE</t>
  </si>
  <si>
    <t>EUROCLASS</t>
  </si>
  <si>
    <t>Packing plywood drum</t>
  </si>
  <si>
    <t>CTM.</t>
    <phoneticPr fontId="3" type="noConversion"/>
  </si>
  <si>
    <t>UKN Items code</t>
    <phoneticPr fontId="3" type="noConversion"/>
  </si>
  <si>
    <t>USD/RMB</t>
  </si>
  <si>
    <t>Copper weight kgs/km</t>
  </si>
  <si>
    <t>Diff.</t>
  </si>
  <si>
    <t>CAT5E F/UTP LSZH B2ca UV 0.51BC</t>
  </si>
  <si>
    <t xml:space="preserve">CAT5E </t>
  </si>
  <si>
    <t>F/UTP</t>
  </si>
  <si>
    <t>B2ca</t>
  </si>
  <si>
    <t>305m,500m,1000m</t>
  </si>
  <si>
    <t>CAT5E F/UTP LSZH Cca UV 0.51BC</t>
  </si>
  <si>
    <t>Cca</t>
  </si>
  <si>
    <t>CAT5E FTP PVC- FR PVC 0.51BC(double jacket)</t>
  </si>
  <si>
    <t>Fca</t>
  </si>
  <si>
    <r>
      <t>CAT6 UTP PVC</t>
    </r>
    <r>
      <rPr>
        <sz val="10.5"/>
        <color theme="1"/>
        <rFont val="微软雅黑"/>
        <family val="2"/>
        <charset val="134"/>
      </rPr>
      <t xml:space="preserve"> </t>
    </r>
    <r>
      <rPr>
        <sz val="10.5"/>
        <color theme="1"/>
        <rFont val="Calibri"/>
        <family val="2"/>
      </rPr>
      <t>double jacket 0.53BC</t>
    </r>
    <phoneticPr fontId="3" type="noConversion"/>
  </si>
  <si>
    <t>CAT6</t>
    <phoneticPr fontId="3" type="noConversion"/>
  </si>
  <si>
    <t>U/UTP</t>
    <phoneticPr fontId="3" type="noConversion"/>
  </si>
  <si>
    <t>Eca</t>
  </si>
  <si>
    <t>500m</t>
    <phoneticPr fontId="3" type="noConversion"/>
  </si>
  <si>
    <t>/</t>
    <phoneticPr fontId="3" type="noConversion"/>
  </si>
  <si>
    <t>CAT6 F/UTP 0.55BC PVC double jacket</t>
    <phoneticPr fontId="3" type="noConversion"/>
  </si>
  <si>
    <t>F/UTP</t>
    <phoneticPr fontId="3" type="noConversion"/>
  </si>
  <si>
    <t>CAT5E FTP PVC-PE 0.51BC</t>
  </si>
  <si>
    <t>CAT5E FTP PVC 0.505BC</t>
  </si>
  <si>
    <t>CAT5E FTP LSZH 0.505BC</t>
  </si>
  <si>
    <t>Dca</t>
  </si>
  <si>
    <t>ACM</t>
    <phoneticPr fontId="3" type="noConversion"/>
  </si>
  <si>
    <t>CAT5E SFUTP PVC 0.51BC</t>
  </si>
  <si>
    <t>SF/UTP</t>
  </si>
  <si>
    <t>CAT5E SFUTP LSZH 0.51BC</t>
  </si>
  <si>
    <t>CAT5E UTP PVC 0.485BC</t>
  </si>
  <si>
    <t>U/UTP</t>
  </si>
  <si>
    <t xml:space="preserve">300m ELTRA special packing </t>
    <phoneticPr fontId="3" type="noConversion"/>
  </si>
  <si>
    <t>CAT5E UTP LSZH 0.485BC</t>
  </si>
  <si>
    <t>B2ca</t>
    <phoneticPr fontId="0" type="noConversion"/>
  </si>
  <si>
    <t>CAT5E UTP PE 0.485BC</t>
  </si>
  <si>
    <t>CAT5E UTP LSZH 0.50BC</t>
  </si>
  <si>
    <t>CAT5E</t>
  </si>
  <si>
    <t>CAT5E SF/UTP UV LSZH IN/OUT 0.51BC</t>
  </si>
  <si>
    <t>CAT6 F/UTP LSZH 0.52BC</t>
    <phoneticPr fontId="3" type="noConversion"/>
  </si>
  <si>
    <t xml:space="preserve">CAT6 </t>
  </si>
  <si>
    <t xml:space="preserve">CAT6 </t>
    <phoneticPr fontId="3" type="noConversion"/>
  </si>
  <si>
    <t>Cca</t>
    <phoneticPr fontId="3" type="noConversion"/>
  </si>
  <si>
    <t>500m,1000m</t>
  </si>
  <si>
    <r>
      <t>CAT6 F/UTP LSZH 0.52BC for</t>
    </r>
    <r>
      <rPr>
        <b/>
        <sz val="10.5"/>
        <color rgb="FF0000FF"/>
        <rFont val="Aptos"/>
        <family val="2"/>
      </rPr>
      <t xml:space="preserve"> 305m plastic reel in box</t>
    </r>
    <phoneticPr fontId="3" type="noConversion"/>
  </si>
  <si>
    <t>305m,500m,1000m</t>
    <phoneticPr fontId="3" type="noConversion"/>
  </si>
  <si>
    <t>CAT6 F/UTP LSZH DUAL 0.52BC</t>
    <phoneticPr fontId="3" type="noConversion"/>
  </si>
  <si>
    <t>305m,500m</t>
    <phoneticPr fontId="3" type="noConversion"/>
  </si>
  <si>
    <t>CAT6 F/UTP PE 0.53BC</t>
    <phoneticPr fontId="3" type="noConversion"/>
  </si>
  <si>
    <t>KCFU64PZHDGR5</t>
    <phoneticPr fontId="3" type="noConversion"/>
  </si>
  <si>
    <t>CAT6 F/UTP LSZH 0.52BC - reel in box</t>
    <phoneticPr fontId="0" type="noConversion"/>
  </si>
  <si>
    <t>305m reel in box</t>
    <phoneticPr fontId="3" type="noConversion"/>
  </si>
  <si>
    <t>KCFU64PZHDGRB</t>
    <phoneticPr fontId="3" type="noConversion"/>
  </si>
  <si>
    <t>CAT6 F/UTP LSZH DUAL 0.52BC</t>
  </si>
  <si>
    <t>305m,500m</t>
  </si>
  <si>
    <t>KCFU68PZHDGR5</t>
    <phoneticPr fontId="3" type="noConversion"/>
  </si>
  <si>
    <t>CAT6 F/UTP LSZH Black INT/EXT 0.52BC</t>
  </si>
  <si>
    <t>F/UTP INT/EXT</t>
  </si>
  <si>
    <t>CAT6 F/UTP PVC 0.52BC</t>
  </si>
  <si>
    <t>CAT6 F/UTP PVC-PVC 0.52BC</t>
  </si>
  <si>
    <r>
      <t>CAT6 F/UTP PE 0.53BC</t>
    </r>
    <r>
      <rPr>
        <b/>
        <sz val="10.5"/>
        <color rgb="FF0000FF"/>
        <rFont val="Aptos"/>
        <family val="2"/>
      </rPr>
      <t xml:space="preserve"> small cross 0.40TC OD6.8±0.3mm</t>
    </r>
    <phoneticPr fontId="3" type="noConversion"/>
  </si>
  <si>
    <t>Fca</t>
    <phoneticPr fontId="3" type="noConversion"/>
  </si>
  <si>
    <t>CAT6 U/FTP LSZH 0.54BC</t>
  </si>
  <si>
    <t>U/FTP</t>
  </si>
  <si>
    <t>CAT6 U/UTP PE 0.53BC</t>
  </si>
  <si>
    <t>CAT6</t>
  </si>
  <si>
    <t>KCU64PEOUT5</t>
    <phoneticPr fontId="3" type="noConversion"/>
  </si>
  <si>
    <t>CAT6 U/UTP 0.40BC LSZH Dca s2d2a2 OD4.6</t>
  </si>
  <si>
    <t xml:space="preserve">Dca s2d2a2 </t>
  </si>
  <si>
    <t>CAT6 U/UTP DUAL LSZH 0.52BC</t>
  </si>
  <si>
    <t>CAT6 U/UTP DUAL PVC 0.52BC</t>
  </si>
  <si>
    <t>CAT6 U/UTP PVC 0.52BC</t>
    <phoneticPr fontId="3" type="noConversion"/>
  </si>
  <si>
    <t>CAT6 U/UTP LSZH 0.52BC</t>
  </si>
  <si>
    <t>ASC = OSEUU64PZHD50</t>
    <phoneticPr fontId="3" type="noConversion"/>
  </si>
  <si>
    <t>KCU64PZHDGRB</t>
  </si>
  <si>
    <t>CAT6 U/UTP MINI CROSS PVC 0.50BC</t>
  </si>
  <si>
    <t>U/UTP MINI</t>
  </si>
  <si>
    <t>305m,500m,1000m,3000m</t>
  </si>
  <si>
    <t>CAT6 U/UTP MINI CROSS LSZH 0.50BC</t>
  </si>
  <si>
    <t>CAT6 U/UTP MINI CROSS LSZH 0.51BC</t>
  </si>
  <si>
    <t>CAT6 U/UTP MINI CROSS LSZH S 0.51BC</t>
  </si>
  <si>
    <t>Cca s1d1a1</t>
  </si>
  <si>
    <t>305m,500m,1000m,5000m</t>
  </si>
  <si>
    <t xml:space="preserve">Cca s2d2a3 </t>
  </si>
  <si>
    <t>CAT6 U/UTP MINI CROSS DUAL LSZH S 0.51BC</t>
  </si>
  <si>
    <t>CAT6 S/FTP LSZH DUAL 0.53BC TC 30%</t>
  </si>
  <si>
    <t>S/FTP</t>
  </si>
  <si>
    <t xml:space="preserve">B2ca </t>
  </si>
  <si>
    <t>CAT6A F/FTP DUAL LSZH 0.53BC 0.4TC</t>
  </si>
  <si>
    <t>CAT6A</t>
  </si>
  <si>
    <t>F/FTP</t>
  </si>
  <si>
    <t>KCFF6A8PZHDBL5</t>
    <phoneticPr fontId="3" type="noConversion"/>
  </si>
  <si>
    <t xml:space="preserve">Cca </t>
  </si>
  <si>
    <t>KCFF6A8PZHCBL5</t>
  </si>
  <si>
    <t>CAT6A F/FTP LSZH 0.53BC 0.4TC</t>
    <phoneticPr fontId="3" type="noConversion"/>
  </si>
  <si>
    <t>KCFF6A4PZHDBL5</t>
    <phoneticPr fontId="3" type="noConversion"/>
  </si>
  <si>
    <t>KCFF6A4PZHCBL5</t>
    <phoneticPr fontId="3" type="noConversion"/>
  </si>
  <si>
    <t>KCFF6A4PZHBBL5</t>
    <phoneticPr fontId="3" type="noConversion"/>
  </si>
  <si>
    <t xml:space="preserve">CAT6A F/FTP LSZH Black INT/EXT 0.53BC 0.4T </t>
  </si>
  <si>
    <t>F/FTP INT/EXT</t>
  </si>
  <si>
    <t>CAT6A F/FTP LSZH Black INT/EXT 0.53BC 0.4TC - UV</t>
    <phoneticPr fontId="3" type="noConversion"/>
  </si>
  <si>
    <t>Cca  UV</t>
  </si>
  <si>
    <t>KCFF6A4PZHCOUT5</t>
    <phoneticPr fontId="3" type="noConversion"/>
  </si>
  <si>
    <r>
      <t>CAT6A F/FTP LSZH Black INT/EXT 0.53BC 0.4TC -</t>
    </r>
    <r>
      <rPr>
        <b/>
        <sz val="10.5"/>
        <color rgb="FF0000FF"/>
        <rFont val="Aptos"/>
        <family val="2"/>
      </rPr>
      <t xml:space="preserve"> UV oil resistance</t>
    </r>
    <phoneticPr fontId="3" type="noConversion"/>
  </si>
  <si>
    <t>CAT6A F/UTP DUAL LSZH 0.53BC</t>
  </si>
  <si>
    <t>CAT6A F/UTP LSZH 0.53BC</t>
    <phoneticPr fontId="3" type="noConversion"/>
  </si>
  <si>
    <t>CAT6A F/UTP LSZH 0.53BC</t>
  </si>
  <si>
    <t>CAT6A F/UTP LSZH Black INT/EXT 0.53BC</t>
  </si>
  <si>
    <t xml:space="preserve">CAT6A F/UTP LSZH Black INT/EXT 0.55BC - UV oil resistance </t>
    <phoneticPr fontId="3" type="noConversion"/>
  </si>
  <si>
    <t>CAT6A F/UTP LSZH Black INT/EXT 0.55BC</t>
    <phoneticPr fontId="3" type="noConversion"/>
  </si>
  <si>
    <t xml:space="preserve">CAT6A </t>
  </si>
  <si>
    <t>CAT6A F/FTP LSZH 0.56BC</t>
  </si>
  <si>
    <t>CAT6A F/UTP PE 0.55BC</t>
  </si>
  <si>
    <t>CAT6A F/UTP LSZH 0.53BC low cost</t>
    <phoneticPr fontId="3" type="noConversion"/>
  </si>
  <si>
    <t xml:space="preserve">CAT6A S/FTP LSZH 0.53BC </t>
  </si>
  <si>
    <t xml:space="preserve">Dca </t>
  </si>
  <si>
    <t>KCSF6A4PZHDBL5</t>
    <phoneticPr fontId="3" type="noConversion"/>
  </si>
  <si>
    <t xml:space="preserve">CAT6A S/FTP LSZH 0.53BC </t>
    <phoneticPr fontId="3" type="noConversion"/>
  </si>
  <si>
    <t>KCSF6A4PZHCBL5</t>
    <phoneticPr fontId="3" type="noConversion"/>
  </si>
  <si>
    <t>CAT6A U/FTP LSZH 0.53BC 0.4TC</t>
    <phoneticPr fontId="3" type="noConversion"/>
  </si>
  <si>
    <t xml:space="preserve">U/FTP </t>
  </si>
  <si>
    <t>KCUF6A4PZHDBL5</t>
    <phoneticPr fontId="3" type="noConversion"/>
  </si>
  <si>
    <t>KCUF6A4PZHCBL5</t>
    <phoneticPr fontId="3" type="noConversion"/>
  </si>
  <si>
    <t>CAT6A U/FTP LSZH 0.53BC 0.4TC</t>
  </si>
  <si>
    <t>KCUF6A4PZHBBL5</t>
    <phoneticPr fontId="3" type="noConversion"/>
  </si>
  <si>
    <t>CAT6A U/FTP DUAL LSZH 0.53BC 0.4TC</t>
  </si>
  <si>
    <t>KCUF6A8PZHDBL5</t>
    <phoneticPr fontId="3" type="noConversion"/>
  </si>
  <si>
    <t>CAT6A U/UTP DUAL LSZH 0.53BC ANEXT BCC</t>
  </si>
  <si>
    <t xml:space="preserve">U/UTP </t>
  </si>
  <si>
    <t>CAT6A U/UTP LSZH 0.53BC ANEXT BCC</t>
  </si>
  <si>
    <t>CAT6A U/UTP LSZH 0.53BC ANEXT BCC</t>
    <phoneticPr fontId="3" type="noConversion"/>
  </si>
  <si>
    <r>
      <t>CAT6A U/UTP LSZH 0.53BC ANEXT</t>
    </r>
    <r>
      <rPr>
        <sz val="10.5"/>
        <color rgb="FF0000FF"/>
        <rFont val="Aptos"/>
        <family val="2"/>
      </rPr>
      <t xml:space="preserve"> ACM
jacket thickness to 0.6-0.65mm OD 7.6+/-0.3mm</t>
    </r>
  </si>
  <si>
    <t>CAT6A U/UTP LSZH 0.55BC NON-ANEXT</t>
  </si>
  <si>
    <t>KCU6A4PLZHDBL5</t>
    <phoneticPr fontId="3" type="noConversion"/>
  </si>
  <si>
    <r>
      <t>CAT6A F/UTP LSZH 0.53BC</t>
    </r>
    <r>
      <rPr>
        <b/>
        <sz val="10.5"/>
        <color rgb="FF0000FF"/>
        <rFont val="Aptos"/>
        <family val="2"/>
      </rPr>
      <t xml:space="preserve"> small cross TCCA Drain wire</t>
    </r>
    <phoneticPr fontId="3" type="noConversion"/>
  </si>
  <si>
    <t>CAT6A</t>
    <phoneticPr fontId="3" type="noConversion"/>
  </si>
  <si>
    <t xml:space="preserve">Dca </t>
    <phoneticPr fontId="3" type="noConversion"/>
  </si>
  <si>
    <t>KCFU6A4PZHDWH5</t>
    <phoneticPr fontId="3" type="noConversion"/>
  </si>
  <si>
    <t>KCFU6A4PZHCWH5</t>
    <phoneticPr fontId="3" type="noConversion"/>
  </si>
  <si>
    <t>CAT7 S/FTP AL-MG DUAL LSZH 0.53BC</t>
  </si>
  <si>
    <t>CAT7</t>
  </si>
  <si>
    <t>CAT7 S/FTP AL-MG DUAL LSZH 0.56BC</t>
  </si>
  <si>
    <t>CAT7 S/FTP AL-MG LSZH 0.53BC</t>
  </si>
  <si>
    <t>CAT7 S/FTP AL-MG LSZH 0.56BC</t>
  </si>
  <si>
    <t>CAT7 S/FTP PE 0.53BC</t>
    <phoneticPr fontId="3" type="noConversion"/>
  </si>
  <si>
    <t xml:space="preserve">Fca </t>
  </si>
  <si>
    <t>KCSF74PEOUT5</t>
    <phoneticPr fontId="3" type="noConversion"/>
  </si>
  <si>
    <t>CAT7 S/FTP TC DUAL LSZH 0.53BC</t>
  </si>
  <si>
    <t>KCSF78PZHCOR5</t>
  </si>
  <si>
    <t>KCSF78PZHDOR5</t>
    <phoneticPr fontId="3" type="noConversion"/>
  </si>
  <si>
    <t>CAT7 S/FTP TC LSZH 0.53BC</t>
    <phoneticPr fontId="3" type="noConversion"/>
  </si>
  <si>
    <t>KCSF74PZHCOR5</t>
    <phoneticPr fontId="3" type="noConversion"/>
  </si>
  <si>
    <t>KCSF74PZHBOR5</t>
    <phoneticPr fontId="3" type="noConversion"/>
  </si>
  <si>
    <t>CAT7 S/FTP TC LSZH DUAL 0.53BC</t>
  </si>
  <si>
    <t>CAT7 S/FTP TC LSZH 0.53BC</t>
  </si>
  <si>
    <t>KCSF74PZHDOR5</t>
    <phoneticPr fontId="3" type="noConversion"/>
  </si>
  <si>
    <t>CAT7 S/FTP TC LSZH 0.56BC</t>
  </si>
  <si>
    <t>CAT7A S/FTP TC LSZH 0.56BC</t>
  </si>
  <si>
    <t>CAT7A</t>
  </si>
  <si>
    <t>CAT7A S/FTP TC DUAL LSZH 0.56BC</t>
  </si>
  <si>
    <t>Cat6 U/UTP New cross LSZH Dca NA OD5.2-5.3 0.505-507</t>
    <phoneticPr fontId="3" type="noConversion"/>
  </si>
  <si>
    <t>Dca</t>
    <phoneticPr fontId="3" type="noConversion"/>
  </si>
  <si>
    <t xml:space="preserve">KCU64PLZHDGR5/B </t>
    <phoneticPr fontId="3" type="noConversion"/>
  </si>
  <si>
    <t>Cat6 U/UTP New cross PVC Eca NA OD5.2-5.3 0.505-507</t>
    <phoneticPr fontId="3" type="noConversion"/>
  </si>
  <si>
    <t>KCU64PLGR5/B</t>
    <phoneticPr fontId="3" type="noConversion"/>
  </si>
  <si>
    <t>Cat6 U/UTP New cross LSZH Dca NA OD5.4-5.6 0.515</t>
    <phoneticPr fontId="3" type="noConversion"/>
  </si>
  <si>
    <t>20% TC</t>
  </si>
  <si>
    <t>B2ca</t>
    <phoneticPr fontId="3" type="noConversion"/>
  </si>
  <si>
    <t xml:space="preserve">CAT7 S/FTP TC LSZH PE ARMORED 0.56BC </t>
  </si>
  <si>
    <t>30% TC</t>
  </si>
  <si>
    <t>CAT7A S/FTP TC LSZH 1000MHZ 0.58BC</t>
    <phoneticPr fontId="3" type="noConversion"/>
  </si>
  <si>
    <t>KCSF7A4PZHCYE5</t>
    <phoneticPr fontId="3" type="noConversion"/>
  </si>
  <si>
    <t>30% TC</t>
    <phoneticPr fontId="3" type="noConversion"/>
  </si>
  <si>
    <t>CAT7A S/FTP TC LSZH 1200MHZ 0.60BC</t>
    <phoneticPr fontId="3" type="noConversion"/>
  </si>
  <si>
    <t>KCSF7A4PBZHCYE5</t>
    <phoneticPr fontId="3" type="noConversion"/>
  </si>
  <si>
    <t>CAT8 S/FTP LSZH AWG22,0.60BC</t>
    <phoneticPr fontId="3" type="noConversion"/>
  </si>
  <si>
    <t>CAT8</t>
    <phoneticPr fontId="3" type="noConversion"/>
  </si>
  <si>
    <t>S/FTP</t>
    <phoneticPr fontId="3" type="noConversion"/>
  </si>
  <si>
    <t xml:space="preserve">Cca </t>
    <phoneticPr fontId="3" type="noConversion"/>
  </si>
  <si>
    <t>KCSF84PBZHCYE5</t>
    <phoneticPr fontId="3" type="noConversion"/>
  </si>
  <si>
    <t>CAT7A S/FTP AWG22 1200MHz 0.62 BC ± 0.01 mm,  30%TC Braid</t>
    <phoneticPr fontId="3" type="noConversion"/>
  </si>
  <si>
    <t xml:space="preserve">CAT7A </t>
    <phoneticPr fontId="3" type="noConversion"/>
  </si>
  <si>
    <t>500m</t>
  </si>
  <si>
    <t>CAT7A S/FTP AWG22 1000MHz 0.62 BC ± 0.01 mm,  30%TC Braid</t>
    <phoneticPr fontId="3" type="noConversion"/>
  </si>
  <si>
    <r>
      <t>CAT6 UTP Double jacket UV PVC</t>
    </r>
    <r>
      <rPr>
        <sz val="10.5"/>
        <color rgb="FFFF0000"/>
        <rFont val="Calibri"/>
        <family val="2"/>
      </rPr>
      <t xml:space="preserve"> 0.53mm</t>
    </r>
    <phoneticPr fontId="3" type="noConversion"/>
  </si>
  <si>
    <t xml:space="preserve">Fca </t>
    <phoneticPr fontId="3" type="noConversion"/>
  </si>
  <si>
    <t>KCU6A4PLZHCBL5</t>
    <phoneticPr fontId="3" type="noConversion"/>
  </si>
  <si>
    <t>KCU6A4PLZHBBL5</t>
    <phoneticPr fontId="3" type="noConversion"/>
  </si>
  <si>
    <t>SC</t>
    <phoneticPr fontId="3" type="noConversion"/>
  </si>
  <si>
    <t>40HQ</t>
    <phoneticPr fontId="3" type="noConversion"/>
  </si>
  <si>
    <t>40GP</t>
    <phoneticPr fontId="3" type="noConversion"/>
  </si>
  <si>
    <t>Description</t>
    <phoneticPr fontId="3" type="noConversion"/>
  </si>
  <si>
    <t>CPR</t>
    <phoneticPr fontId="3" type="noConversion"/>
  </si>
  <si>
    <t>UKN Item</t>
    <phoneticPr fontId="3" type="noConversion"/>
  </si>
  <si>
    <t>Supplier</t>
    <phoneticPr fontId="3" type="noConversion"/>
  </si>
  <si>
    <t>Packing</t>
    <phoneticPr fontId="3" type="noConversion"/>
  </si>
  <si>
    <t>Diff. RMB</t>
    <phoneticPr fontId="3" type="noConversion"/>
  </si>
  <si>
    <t xml:space="preserve">Qty km/plt </t>
    <phoneticPr fontId="3" type="noConversion"/>
  </si>
  <si>
    <t>Pallet size</t>
    <phoneticPr fontId="3" type="noConversion"/>
  </si>
  <si>
    <t>HT</t>
    <phoneticPr fontId="3" type="noConversion"/>
  </si>
  <si>
    <t>500M</t>
    <phoneticPr fontId="3" type="noConversion"/>
  </si>
  <si>
    <t>120*80*130cm</t>
  </si>
  <si>
    <t>CAT6 F/UTP PE 0.53BC small cross 0.40TC OD6.8±0.3mm</t>
    <phoneticPr fontId="3" type="noConversion"/>
  </si>
  <si>
    <t>100M</t>
    <phoneticPr fontId="3" type="noConversion"/>
  </si>
  <si>
    <t>305M Plastic reel in box</t>
    <phoneticPr fontId="3" type="noConversion"/>
  </si>
  <si>
    <t>120*80*130cm</t>
    <phoneticPr fontId="3" type="noConversion"/>
  </si>
  <si>
    <t>AYP</t>
    <phoneticPr fontId="3" type="noConversion"/>
  </si>
  <si>
    <t>CAT6 F/UTP PE 0.4TCCA cross 5.0mm 0.52BC-OD7.0</t>
    <phoneticPr fontId="3" type="noConversion"/>
  </si>
  <si>
    <t>120*80*110cm</t>
    <phoneticPr fontId="3" type="noConversion"/>
  </si>
  <si>
    <t>120*80*120cm</t>
    <phoneticPr fontId="3" type="noConversion"/>
  </si>
  <si>
    <t>120*98*110cm</t>
    <phoneticPr fontId="3" type="noConversion"/>
  </si>
  <si>
    <t xml:space="preserve">Not 100% sure but can try </t>
    <phoneticPr fontId="3" type="noConversion"/>
  </si>
  <si>
    <r>
      <t xml:space="preserve">UKN ROLLING PAPER NEW PACKING </t>
    </r>
    <r>
      <rPr>
        <b/>
        <sz val="10.5"/>
        <color rgb="FFFF0000"/>
        <rFont val="Calibri"/>
        <family val="2"/>
      </rPr>
      <t>ONLY FOR DRUM</t>
    </r>
    <r>
      <rPr>
        <b/>
        <sz val="10.5"/>
        <color theme="1"/>
        <rFont val="Calibri"/>
        <family val="2"/>
      </rPr>
      <t xml:space="preserve"> --add RMB 5 PER/KM</t>
    </r>
    <phoneticPr fontId="3" type="noConversion"/>
  </si>
  <si>
    <t>BCC PACKING :ADD EXTRA 5RMB FOR  DRUM PACKING</t>
    <phoneticPr fontId="3" type="noConversion"/>
  </si>
  <si>
    <t>***Below prices added 4% + 2% May + 1% Nov =7% price can be validated until  April 2025.</t>
    <phoneticPr fontId="3" type="noConversion"/>
  </si>
  <si>
    <r>
      <t xml:space="preserve">For 305m box, if need plastic reel in box, </t>
    </r>
    <r>
      <rPr>
        <b/>
        <i/>
        <strike/>
        <sz val="10.5"/>
        <color rgb="FFFF0000"/>
        <rFont val="Calibri"/>
        <family val="2"/>
      </rPr>
      <t>the price need add extra $10=RMB64/km.</t>
    </r>
    <phoneticPr fontId="3" type="noConversion"/>
  </si>
  <si>
    <t>Not ANEXT</t>
  </si>
  <si>
    <t>ECA</t>
    <phoneticPr fontId="3" type="noConversion"/>
  </si>
  <si>
    <t xml:space="preserve">CAT5E SFUTP LSZH LOW </t>
  </si>
  <si>
    <r>
      <t xml:space="preserve">CAT6 F/UTP LSZH 0.52BC for </t>
    </r>
    <r>
      <rPr>
        <b/>
        <sz val="10.5"/>
        <color rgb="FF0000FF"/>
        <rFont val="Calibri"/>
        <family val="2"/>
      </rPr>
      <t>305m plastic reel in box</t>
    </r>
    <phoneticPr fontId="3" type="noConversion"/>
  </si>
  <si>
    <t>CAT6 F/UTP PE 0.53BC</t>
  </si>
  <si>
    <t>CAT6 F/UTP LSZH 0.52BC</t>
    <phoneticPr fontId="0" type="noConversion"/>
  </si>
  <si>
    <t>CAT6A F/FTP LSZH 0.53BC 0.4TC</t>
  </si>
  <si>
    <t>CAT6A F/FTP LSZH Black INT/EXT 0.53BC 0.4TC</t>
  </si>
  <si>
    <t>CAT6A F/FTP LSZH Black INT/EXT 0.53BC 0.4TC - UV oil resistance</t>
    <phoneticPr fontId="3" type="noConversion"/>
  </si>
  <si>
    <t>CAT6A F/UTP DUAL LSZH 0.55BC</t>
  </si>
  <si>
    <t>CAT6A F/UTP LSZH 0.55BC</t>
  </si>
  <si>
    <t>CAT6A F/UTP LSZH 0.55BC</t>
    <phoneticPr fontId="3" type="noConversion"/>
  </si>
  <si>
    <t>CAT6A F/UTP LSZH Black INT/EXT 0.55BC</t>
  </si>
  <si>
    <t>CAT6A F/UTP DUAL LSZH 0.53BC</t>
    <phoneticPr fontId="3" type="noConversion"/>
  </si>
  <si>
    <t xml:space="preserve">CAT6A F/UTP LSZH Black INT/EXT 0.55BC - oil resistance </t>
    <phoneticPr fontId="3" type="noConversion"/>
  </si>
  <si>
    <t xml:space="preserve">CAT6A F/UTP LSZH Black INT/EXT 0.53BC optimized - oil resistance </t>
    <phoneticPr fontId="3" type="noConversion"/>
  </si>
  <si>
    <t>KCU6A4PZHDBL5</t>
    <phoneticPr fontId="3" type="noConversion"/>
  </si>
  <si>
    <r>
      <t>CAT6A U/UTP LSZH 0.53BC ANEXT</t>
    </r>
    <r>
      <rPr>
        <sz val="10.5"/>
        <color rgb="FF0000FF"/>
        <rFont val="Calibri"/>
        <family val="2"/>
      </rPr>
      <t xml:space="preserve"> ACM
jacket thickness to 0.6-0.65mm OD 7.6+/-0.3mm</t>
    </r>
  </si>
  <si>
    <t>CAT6A U/UTP LSZH 0.55BC NOT ANEXT</t>
  </si>
  <si>
    <t>Cat6 U/UTP New cross PVC Eca NA OD5.2-5.3 0.505-507</t>
  </si>
  <si>
    <t>Eca</t>
    <phoneticPr fontId="3" type="noConversion"/>
  </si>
  <si>
    <t>CAT8</t>
  </si>
  <si>
    <t>FCA</t>
    <phoneticPr fontId="3" type="noConversion"/>
  </si>
  <si>
    <t>2024.01.26</t>
  </si>
  <si>
    <t>Price: RMB/KM, FOB SHANGHAI</t>
  </si>
  <si>
    <t>Haitang</t>
  </si>
  <si>
    <t>Jacket</t>
  </si>
  <si>
    <t>3MM</t>
  </si>
  <si>
    <t>7W</t>
  </si>
  <si>
    <t>Diff</t>
  </si>
  <si>
    <t>RMB/KM</t>
  </si>
  <si>
    <t>DRUM</t>
  </si>
  <si>
    <t>CAT5  FTP  PVC 0.50BC,0.40TCCA</t>
  </si>
  <si>
    <r>
      <t>FTP 305M</t>
    </r>
    <r>
      <rPr>
        <sz val="10.5"/>
        <rFont val="等线"/>
        <family val="2"/>
      </rPr>
      <t>盘</t>
    </r>
    <r>
      <rPr>
        <sz val="10.5"/>
        <rFont val="Calibri"/>
        <family val="2"/>
      </rPr>
      <t>+</t>
    </r>
    <r>
      <rPr>
        <sz val="10.5"/>
        <rFont val="等线"/>
        <family val="2"/>
      </rPr>
      <t>架</t>
    </r>
    <r>
      <rPr>
        <sz val="10.5"/>
        <rFont val="Calibri"/>
        <family val="2"/>
      </rPr>
      <t>+</t>
    </r>
    <r>
      <rPr>
        <sz val="10.5"/>
        <rFont val="等线"/>
        <family val="2"/>
      </rPr>
      <t>盒包装，再另加</t>
    </r>
    <r>
      <rPr>
        <sz val="10.5"/>
        <rFont val="Calibri"/>
        <family val="2"/>
      </rPr>
      <t>64KM</t>
    </r>
  </si>
  <si>
    <t>MOQ:30KM</t>
  </si>
  <si>
    <t>***Below prices added 4% + 2% May + 2% Nov =8% price can be validated until end of April 2025.</t>
    <phoneticPr fontId="3" type="noConversion"/>
  </si>
  <si>
    <t>Total 8% added NOV 21 - APRIL 25 RMB</t>
    <phoneticPr fontId="3" type="noConversion"/>
  </si>
  <si>
    <t>DIFF.</t>
  </si>
  <si>
    <t>CAT5E FTP PVC- FR PVC 0.51BC(double jacket)</t>
    <phoneticPr fontId="3" type="noConversion"/>
  </si>
  <si>
    <t>KCFU5E4PGR5</t>
    <phoneticPr fontId="3" type="noConversion"/>
  </si>
  <si>
    <t>KCFU5E4PZHDGR5</t>
    <phoneticPr fontId="3" type="noConversion"/>
  </si>
  <si>
    <t>KCSFU5E4PZHDGR5</t>
    <phoneticPr fontId="3" type="noConversion"/>
  </si>
  <si>
    <t>KCU5E4PGR5</t>
    <phoneticPr fontId="3" type="noConversion"/>
  </si>
  <si>
    <t xml:space="preserve">300m ELTRA special packing </t>
  </si>
  <si>
    <t>KCFU5E4PDGR5</t>
    <phoneticPr fontId="3" type="noConversion"/>
  </si>
  <si>
    <t>CAT6 F/UTP LSZH 0.52BC</t>
  </si>
  <si>
    <t>CAT6 UTP 0.40BC LSZH Dca s2d2a2 OD4.6</t>
  </si>
  <si>
    <t>CAT6 UTP DUAL LSZH 0.52BC</t>
  </si>
  <si>
    <t>CAT6 UTP DUAL PVC 0.52BC</t>
  </si>
  <si>
    <t>CAT6 UTP PVC 0.52BC</t>
  </si>
  <si>
    <t>CAT6 UTP LSZH 0.52BC</t>
  </si>
  <si>
    <t>CAT6 UTP MINI CROSS PVC 0.50BC</t>
  </si>
  <si>
    <t>CAT6 UTP MINI CROSS LSZH 0.50BC</t>
  </si>
  <si>
    <t>CAT6 UTP MINI CROSS LSZH 0.51BC</t>
  </si>
  <si>
    <t>CAT6 UTP MINI CROSS LSZH S 0.51BC</t>
  </si>
  <si>
    <t>CAT6 UTP MINI CROSS DUAL LSZH S 0.51BC</t>
  </si>
  <si>
    <t>CAT6A FFTP LSZH 0.56BC</t>
  </si>
  <si>
    <t>CAT6A FUTP PE 0.55BC</t>
  </si>
  <si>
    <r>
      <t xml:space="preserve">CAT6A U/UTP LSZH 0.53BC </t>
    </r>
    <r>
      <rPr>
        <b/>
        <sz val="10.5"/>
        <color rgb="FFFF0000"/>
        <rFont val="Calibri"/>
        <family val="2"/>
      </rPr>
      <t>NOT ANEXT</t>
    </r>
  </si>
  <si>
    <t>CAT7 S/FTP PE 0.53BC</t>
  </si>
  <si>
    <r>
      <t>CAT5E UTP LSZH</t>
    </r>
    <r>
      <rPr>
        <b/>
        <sz val="10.5"/>
        <color rgb="FFFF0000"/>
        <rFont val="Calibri"/>
        <family val="2"/>
      </rPr>
      <t xml:space="preserve"> 0.485BC</t>
    </r>
    <phoneticPr fontId="3" type="noConversion"/>
  </si>
  <si>
    <t>CAT5E</t>
    <phoneticPr fontId="3" type="noConversion"/>
  </si>
  <si>
    <t>S/FTP CAT7 4*2*0.53 PE 30% Steel wire</t>
    <phoneticPr fontId="3" type="noConversion"/>
  </si>
  <si>
    <t>KCSF74PEAOUT5</t>
    <phoneticPr fontId="3" type="noConversion"/>
  </si>
  <si>
    <t>S/FTP CAT7 4*2*0.53 PE 20% Steel wire</t>
    <phoneticPr fontId="3" type="noConversion"/>
  </si>
  <si>
    <t>S/FTP CAT7 4*2*0.53 PE 30% Steel Tape</t>
    <phoneticPr fontId="3" type="noConversion"/>
  </si>
  <si>
    <t>S/FTP CAT7 4*2*0.53 PE 20% Steel Tape</t>
    <phoneticPr fontId="3" type="noConversion"/>
  </si>
  <si>
    <t>CAT6 UTP Double jacket UV PVC 0.52mm</t>
    <phoneticPr fontId="3" type="noConversion"/>
  </si>
  <si>
    <t>CAT6 FUTP PVC 0.53 (double jacket)</t>
    <phoneticPr fontId="3" type="noConversion"/>
  </si>
  <si>
    <t>CAT6A S/FTP 1x4 pairs cable - Black LSZH SHF1 (fire resistance)</t>
    <phoneticPr fontId="3" type="noConversion"/>
  </si>
  <si>
    <t>KCSF6A4PZHMCB25</t>
    <phoneticPr fontId="3" type="noConversion"/>
  </si>
  <si>
    <t>BCC ORDER ADD 1USD FOR DURM PACKING</t>
    <phoneticPr fontId="3" type="noConversion"/>
  </si>
  <si>
    <t>Type required copper value here(500 times)</t>
    <phoneticPr fontId="3" type="noConversion"/>
  </si>
  <si>
    <t>Code article</t>
  </si>
  <si>
    <t>Description</t>
  </si>
  <si>
    <t>CPR</t>
  </si>
  <si>
    <t>dif +/- ¥ 500</t>
  </si>
  <si>
    <t>Prices base @ ¥ 70000</t>
  </si>
  <si>
    <t>CAT6 FUTP AWG23 LSZH</t>
  </si>
  <si>
    <t>CAT6 FUTP LSZH T500</t>
  </si>
  <si>
    <t>CAT6 FUTP AWG23 PE</t>
  </si>
  <si>
    <t>CAT6 FUTP PE T500</t>
  </si>
  <si>
    <t>CAT6 FUTP DUAL AWG23 LSZH</t>
  </si>
  <si>
    <t>CAT6 FUTP DUAL LSZH T500</t>
  </si>
  <si>
    <t>CAT6a FFTP AWG23 LSZH</t>
  </si>
  <si>
    <t>CAT6a FFTP LSZH T500</t>
  </si>
  <si>
    <t>CAT6a FFTP AWG23 PE</t>
  </si>
  <si>
    <t>CAT6a FFTP PE T500</t>
  </si>
  <si>
    <t>CAT6a FFTP DUAL AWG23 LSZH</t>
  </si>
  <si>
    <t>CAT6a FFTP DUAL LSZH T500</t>
  </si>
  <si>
    <t>3mm COPPER</t>
    <phoneticPr fontId="3" type="noConversion"/>
  </si>
  <si>
    <t>***Below price can be validated until end of Dec 2025.</t>
    <phoneticPr fontId="3" type="noConversion"/>
  </si>
  <si>
    <t xml:space="preserve"> PVC version reduce 4% from LSZH.</t>
  </si>
  <si>
    <t>3mm copper</t>
    <phoneticPr fontId="3" type="noConversion"/>
  </si>
  <si>
    <t>AYP NOV 21 - DEC 25</t>
    <phoneticPr fontId="3" type="noConversion"/>
  </si>
  <si>
    <t>ITEM</t>
  </si>
  <si>
    <t>TEST LEVEL</t>
  </si>
  <si>
    <t>Copper weight</t>
  </si>
  <si>
    <t>OTHER MARKET for ELD</t>
  </si>
  <si>
    <t>CAT6 F/UTP LSZH with drain wire 0.4TC</t>
  </si>
  <si>
    <t>500M/1000M</t>
  </si>
  <si>
    <t>-</t>
  </si>
  <si>
    <t>90m fluke</t>
  </si>
  <si>
    <t>CAT6 F/UTP LSZH 0.4TCCA cross 5.0mm 0.52BC-OD7.0</t>
    <phoneticPr fontId="3" type="noConversion"/>
  </si>
  <si>
    <t>F/UTP LSZH</t>
    <phoneticPr fontId="3" type="noConversion"/>
  </si>
  <si>
    <t>500M/1000M/5000M</t>
    <phoneticPr fontId="3" type="noConversion"/>
  </si>
  <si>
    <t>OEFU64PDT50/BSLFU64PDT50</t>
    <phoneticPr fontId="3" type="noConversion"/>
  </si>
  <si>
    <t>CAT6 F/UTP LSZH with drain wire 0.4CCA</t>
  </si>
  <si>
    <t>500M/1000M/5000M</t>
  </si>
  <si>
    <t xml:space="preserve">CAT6 F/UTP LSZH with drain wire 0.4CCA low cost </t>
  </si>
  <si>
    <t>40m fluke</t>
  </si>
  <si>
    <t>OTHER MARKET for ASC / DTC</t>
  </si>
  <si>
    <t xml:space="preserve">FTP CAT6 PVC CCA Physical 0.57mm </t>
  </si>
  <si>
    <t>F/UTP CCA</t>
  </si>
  <si>
    <t>OSEFU64PCCA5/DTCFU64PCCA5</t>
  </si>
  <si>
    <t>80m fluke</t>
  </si>
  <si>
    <t xml:space="preserve">None CPR </t>
  </si>
  <si>
    <t xml:space="preserve">FTP CAT6 LSZH CCA Physical 0.57mm </t>
  </si>
  <si>
    <t>Dca s2,d2,a2</t>
  </si>
  <si>
    <t xml:space="preserve">UTP CAT6 PVC CCA Physical 0.585mm </t>
  </si>
  <si>
    <t>U/UTP CCA</t>
  </si>
  <si>
    <t>UTP CAT6 PVC CCA Physical 0.585 305m color box</t>
  </si>
  <si>
    <t>305M REELEX BOX</t>
  </si>
  <si>
    <t xml:space="preserve">UTP CAT6 PE CCA Physical 0.585mm </t>
  </si>
  <si>
    <t>UTP CAT6 PE CCA Physical 0.585 305m color box</t>
  </si>
  <si>
    <t>305M BOX</t>
  </si>
  <si>
    <t xml:space="preserve">UTP CAT6 LSZH CCA Physical 0.585mm </t>
    <phoneticPr fontId="3" type="noConversion"/>
  </si>
  <si>
    <t>UTP CAT6 LSZH CCA Physical 0.585 305m color box</t>
    <phoneticPr fontId="3" type="noConversion"/>
  </si>
  <si>
    <t xml:space="preserve">UTP CAT6 PVC CCA Chemical 0.585mm </t>
  </si>
  <si>
    <t>OSEUU64PCCA5</t>
  </si>
  <si>
    <t>70m fluke</t>
  </si>
  <si>
    <t>UTP CAT6 PVC CCA Chemical 0.585 305m color box</t>
  </si>
  <si>
    <t>OSEUU64PCCAB</t>
  </si>
  <si>
    <t>UTP CAT6 PE CCA Chemical 0.585mm</t>
  </si>
  <si>
    <t>UTP CAT6 PE CCA Chemical 0.585 PE 305m color box</t>
  </si>
  <si>
    <t>UTP CAT6 LSZH CCA Chemical 0.585mm</t>
  </si>
  <si>
    <t>UTP CAT6 LSZH CCA Chemical 0.585 305m color box</t>
  </si>
  <si>
    <t>FTP CAT6 CCA without foil and jacket</t>
  </si>
  <si>
    <t>FTP CAT6 Cu without foil and jacket</t>
  </si>
  <si>
    <t>CAT5E UTP PVC CCA Physical 0.485mm</t>
  </si>
  <si>
    <t xml:space="preserve">CAT5E FUTP LSZH </t>
  </si>
  <si>
    <t xml:space="preserve">F/UTP </t>
  </si>
  <si>
    <t xml:space="preserve">NON CPR </t>
  </si>
  <si>
    <t>CAT6A FFTP LSZH CCA Physical 0.57mm</t>
  </si>
  <si>
    <t>F/FTP CCA</t>
  </si>
  <si>
    <t>DTCFF6A4PxCCAZH5</t>
    <phoneticPr fontId="3" type="noConversion"/>
  </si>
  <si>
    <t>CAT6A FFTP PVC CCA Physical 0.57mm</t>
  </si>
  <si>
    <t>DTCFF6A4PxCCA5</t>
    <phoneticPr fontId="3" type="noConversion"/>
  </si>
  <si>
    <t>OTHER MARKET for BCC</t>
    <phoneticPr fontId="3" type="noConversion"/>
  </si>
  <si>
    <t>CAT6 F/UTP PVC Cu with drain wire 0.4TCCA</t>
    <phoneticPr fontId="3" type="noConversion"/>
  </si>
  <si>
    <t>Cat6 UTP MINI PVC Cu Eca 0.50mm (increased thickness)</t>
  </si>
  <si>
    <t xml:space="preserve">CAT6 UFTP LSZH X 6 </t>
    <phoneticPr fontId="3" type="noConversion"/>
  </si>
  <si>
    <t>U/FTP</t>
    <phoneticPr fontId="3" type="noConversion"/>
  </si>
  <si>
    <t>DCA</t>
    <phoneticPr fontId="3" type="noConversion"/>
  </si>
  <si>
    <t>CAT6 UFTP LSZH X6--CCA outer sheath</t>
    <phoneticPr fontId="3" type="noConversion"/>
  </si>
  <si>
    <t>CAT6 UFTP SZH X6--high quality DCA outer sheath</t>
    <phoneticPr fontId="3" type="noConversion"/>
  </si>
  <si>
    <t>CPRLUFTP4P6X6DT485</t>
    <phoneticPr fontId="3" type="noConversion"/>
  </si>
  <si>
    <t>SFTP CAT7/0.40BC/0.40TC drain wire/48*0.10TC braiding</t>
    <phoneticPr fontId="3" type="noConversion"/>
  </si>
  <si>
    <t>CAT7</t>
    <phoneticPr fontId="3" type="noConversion"/>
  </si>
  <si>
    <t>DCA material, but no certificate</t>
    <phoneticPr fontId="3" type="noConversion"/>
  </si>
  <si>
    <t>SFTP CAT7/0.40BC/0.40TCCA drain wire/48*0.10TC braiding</t>
    <phoneticPr fontId="3" type="noConversion"/>
  </si>
  <si>
    <t>SFTP CAT7/0.40BC/No drain wire/48*0.10TC braiding</t>
    <phoneticPr fontId="3" type="noConversion"/>
  </si>
  <si>
    <t>SFTP CAT7/0.40BC/0.40TCCA/64*0.12ALMG braiding</t>
    <phoneticPr fontId="3" type="noConversion"/>
  </si>
  <si>
    <t>CAT6 F/UTP LSZH 0.4TCCA small cross 3.5mm 0.505BC-OD6.4</t>
    <phoneticPr fontId="3" type="noConversion"/>
  </si>
  <si>
    <t>500M/1000M</t>
    <phoneticPr fontId="3" type="noConversion"/>
  </si>
  <si>
    <t>OEFU64PXSDWHT5</t>
    <phoneticPr fontId="3" type="noConversion"/>
  </si>
  <si>
    <t>CAT6 F/UTP IN/OUT LSZH 0.4TCCA small cross 3.5mm 0.505BC-OD6.4</t>
    <phoneticPr fontId="3" type="noConversion"/>
  </si>
  <si>
    <t>F/UTP LSZH IN/OUT</t>
    <phoneticPr fontId="3" type="noConversion"/>
  </si>
  <si>
    <t>OEFU64PXSDOUT5</t>
    <phoneticPr fontId="3" type="noConversion"/>
  </si>
  <si>
    <t>CAT6 F/UTP LSZH 0.4TCCA small cross 4.0mm 0.505BC-OD6.8</t>
    <phoneticPr fontId="3" type="noConversion"/>
  </si>
  <si>
    <t>OEFU64PSDxxT5</t>
    <phoneticPr fontId="3" type="noConversion"/>
  </si>
  <si>
    <t>5000M with Cage pallet</t>
    <phoneticPr fontId="3" type="noConversion"/>
  </si>
  <si>
    <t>OEFU64PSDxxT50</t>
    <phoneticPr fontId="3" type="noConversion"/>
  </si>
  <si>
    <t>F/UTP PE</t>
    <phoneticPr fontId="3" type="noConversion"/>
  </si>
  <si>
    <t>500M</t>
  </si>
  <si>
    <t>OEFU64PPET5</t>
    <phoneticPr fontId="3" type="noConversion"/>
  </si>
  <si>
    <t>diff.</t>
    <phoneticPr fontId="3" type="noConversion"/>
  </si>
  <si>
    <t>HT NEW</t>
    <phoneticPr fontId="3" type="noConversion"/>
  </si>
  <si>
    <t xml:space="preserve">AYP - CAT6 UTP CCA </t>
  </si>
  <si>
    <t xml:space="preserve">Packing </t>
    <phoneticPr fontId="3" type="noConversion"/>
  </si>
  <si>
    <t>Symea Odoo</t>
  </si>
  <si>
    <t>Fixed price RMB/KM</t>
  </si>
  <si>
    <t>Drum / carton size cm</t>
  </si>
  <si>
    <t>Qty km/plt</t>
  </si>
  <si>
    <t>Pallet size cm</t>
  </si>
  <si>
    <t xml:space="preserve">500M DRUM </t>
  </si>
  <si>
    <t>直径40*外高24*轴15</t>
  </si>
  <si>
    <t>120*80*112</t>
  </si>
  <si>
    <t>1000M DRUM</t>
  </si>
  <si>
    <t>直径40*外高44*轴15</t>
  </si>
  <si>
    <t>120*80*105</t>
  </si>
  <si>
    <t>UTP CAT6 PVC CCA Physical 0.585mm 305m  color color/white box</t>
  </si>
  <si>
    <t>41*41*21</t>
  </si>
  <si>
    <t>113*87*96</t>
  </si>
  <si>
    <t>120*87*96</t>
  </si>
  <si>
    <t>500M DRUM</t>
  </si>
  <si>
    <t xml:space="preserve">UTP CAT6 PE CCA Physical 0.585mm </t>
    <phoneticPr fontId="3" type="noConversion"/>
  </si>
  <si>
    <t>305M DRUM</t>
    <phoneticPr fontId="3" type="noConversion"/>
  </si>
  <si>
    <t>直径38*外高18*轴15</t>
  </si>
  <si>
    <t>120*80*108</t>
  </si>
  <si>
    <t xml:space="preserve">UTP CAT6 LSZH CCA Physical 0.585mm </t>
  </si>
  <si>
    <t>UTP CAT6 LSZH CCA Physical 0.585 305m color/white box</t>
  </si>
  <si>
    <t>42*42*22</t>
  </si>
  <si>
    <t>120*90*100</t>
  </si>
  <si>
    <t>OSEUU64PCCA10</t>
    <phoneticPr fontId="3" type="noConversion"/>
  </si>
  <si>
    <t>UTP CAT6 PVC CCA Chemical 0.585mm 305m color/white box</t>
  </si>
  <si>
    <t xml:space="preserve">UTP CAT6 PE CCA Chemical 0.585mm </t>
    <phoneticPr fontId="3" type="noConversion"/>
  </si>
  <si>
    <t>305M DRUM</t>
  </si>
  <si>
    <t>UTP CAT6 LSZH CCA Chemical 0.585mm 305m color/white box</t>
  </si>
  <si>
    <t xml:space="preserve">UTP CAT6 PVC CCA Physical 0.57mm </t>
  </si>
  <si>
    <t>50m fluke</t>
  </si>
  <si>
    <t>UTP CAT6 PVC CCA Physical 0.57 305m color/white box</t>
  </si>
  <si>
    <t xml:space="preserve">UTP CAT6 PE CCA Physical 0.57mm </t>
  </si>
  <si>
    <t>UTP CAT6 PE CCA Physical 0.57mm</t>
    <phoneticPr fontId="3" type="noConversion"/>
  </si>
  <si>
    <t xml:space="preserve">UTP CAT6 LSZH CCA Physical 0.57mm </t>
  </si>
  <si>
    <t>UTP CAT6 LSZH CCA Physical 0.57mm 305m color/white box</t>
  </si>
  <si>
    <t xml:space="preserve">UTP CAT6 PVC CCA Chemical 0.57mm </t>
  </si>
  <si>
    <t>UTP CAT6 PVC CCA Chemical 0.57mm 305m color/white box</t>
  </si>
  <si>
    <t xml:space="preserve">UTP CAT6 PE CCA Chemical 0.57mm </t>
  </si>
  <si>
    <t xml:space="preserve">UTP CAT6 PE CCA Chemical 0.57mm </t>
    <phoneticPr fontId="3" type="noConversion"/>
  </si>
  <si>
    <t xml:space="preserve">UTP CAT6 LSZH CCA Chemical 0.57mm </t>
  </si>
  <si>
    <t>UTP CAT6 LSZH CCA Chemical 0.57mm 305m color/white box</t>
  </si>
  <si>
    <t>Rate:6.32</t>
    <phoneticPr fontId="3" type="noConversion"/>
  </si>
  <si>
    <r>
      <t xml:space="preserve">Below price can offer 4% discount till the Feb of 2023. CAT6 UTP Mini PVC ECA </t>
    </r>
    <r>
      <rPr>
        <b/>
        <sz val="10.5"/>
        <color theme="0"/>
        <rFont val="等线"/>
        <family val="3"/>
        <charset val="134"/>
      </rPr>
      <t>和</t>
    </r>
    <r>
      <rPr>
        <b/>
        <sz val="10.5"/>
        <color theme="0"/>
        <rFont val="Calibri"/>
        <family val="2"/>
      </rPr>
      <t>Dca offer 6% discount  ( below didn’t deduct)</t>
    </r>
    <phoneticPr fontId="3" type="noConversion"/>
  </si>
  <si>
    <t>Below price are based on 500m drum,1000m drum packing with pallet.</t>
    <phoneticPr fontId="3" type="noConversion"/>
  </si>
  <si>
    <t>If need box packing need add $2.5/km. ( below 305m added price already)</t>
    <phoneticPr fontId="3" type="noConversion"/>
  </si>
  <si>
    <t>+3% increase from Mar 10th,2022.</t>
    <phoneticPr fontId="3" type="noConversion"/>
  </si>
  <si>
    <t>Below price added 3%</t>
    <phoneticPr fontId="3" type="noConversion"/>
  </si>
  <si>
    <t xml:space="preserve">CPR </t>
    <phoneticPr fontId="3" type="noConversion"/>
  </si>
  <si>
    <t>Diff.+/-RMB1000</t>
  </si>
  <si>
    <t xml:space="preserve">Test </t>
  </si>
  <si>
    <t>DIFF.</t>
    <phoneticPr fontId="3" type="noConversion"/>
  </si>
  <si>
    <t>Cat5e FTP LSZH Cu Dca 0.505mm</t>
    <phoneticPr fontId="3" type="noConversion"/>
  </si>
  <si>
    <t>Cat5e FTP PVC Cu Eca 0.505mm</t>
    <phoneticPr fontId="3" type="noConversion"/>
  </si>
  <si>
    <t>Cat5e UTP LSZH Cu Dca 0.45mm</t>
    <phoneticPr fontId="3" type="noConversion"/>
  </si>
  <si>
    <t>Cat5e UTP LSZH Cu Eca 0.485mm</t>
  </si>
  <si>
    <t>Cat5e UTP PE Cu Eca 0.485mm</t>
  </si>
  <si>
    <t>Cat5e UTP PVC Cu Eca 0.45mm</t>
    <phoneticPr fontId="3" type="noConversion"/>
  </si>
  <si>
    <t>Cat5e UTP PVC Cu Eca 0.485mm</t>
    <phoneticPr fontId="3" type="noConversion"/>
  </si>
  <si>
    <t>Cat5e UTP PVC Cu Eca 0.485mm 305M BOX</t>
    <phoneticPr fontId="3" type="noConversion"/>
  </si>
  <si>
    <t xml:space="preserve">Cat6 FTP LSZH Cu Dca  0.525mm          </t>
    <phoneticPr fontId="3" type="noConversion"/>
  </si>
  <si>
    <t xml:space="preserve">Cat6 FTP PVC Cu Eca  0.525mm                      </t>
    <phoneticPr fontId="3" type="noConversion"/>
  </si>
  <si>
    <t xml:space="preserve">Cat6 UTP LSZH Cu Dca 0.525mm      </t>
    <phoneticPr fontId="3" type="noConversion"/>
  </si>
  <si>
    <t>Cat6 UTP MINI LSZH Cu Dca 0.50mm</t>
    <phoneticPr fontId="3" type="noConversion"/>
  </si>
  <si>
    <t>Cat6 UTP MINI LSZH Cu Dca 0.50mm (increased thickness)</t>
    <phoneticPr fontId="3" type="noConversion"/>
  </si>
  <si>
    <t>Cat6 UTP MINI LSZH Cu Dca 0.50mm 305M box</t>
    <phoneticPr fontId="3" type="noConversion"/>
  </si>
  <si>
    <t>Cat6 UTP MINI LSZH Cu Dca 0.50mm 305M box (increased thickness)</t>
    <phoneticPr fontId="3" type="noConversion"/>
  </si>
  <si>
    <t>Cat6 UTP MINI PVC Cu Eca 0.50mm 305M BOX</t>
    <phoneticPr fontId="3" type="noConversion"/>
  </si>
  <si>
    <t>Cat6 UTP MINI PVC Cu Eca 0.50mm 305M BOX (increased thickness)</t>
    <phoneticPr fontId="3" type="noConversion"/>
  </si>
  <si>
    <t>Cat6 UTP MINI PVC Cu Eca 0.50mm </t>
    <phoneticPr fontId="3" type="noConversion"/>
  </si>
  <si>
    <t>Cat6 UTP MINI PVC Cu Eca 0.50mm (increased thickness)</t>
    <phoneticPr fontId="3" type="noConversion"/>
  </si>
  <si>
    <t>Cat6 UTP PE Cu Fca 0.53</t>
    <phoneticPr fontId="3" type="noConversion"/>
  </si>
  <si>
    <t>Cat6 UTP PVC Cu Eca 0.50mm= for JAL only</t>
    <phoneticPr fontId="3" type="noConversion"/>
  </si>
  <si>
    <t xml:space="preserve">Cat6 UTP PVC Cu Eca 0.525mm    </t>
    <phoneticPr fontId="3" type="noConversion"/>
  </si>
  <si>
    <t>Cat6A FFTP LSZH Cu Dca 0.54mm</t>
    <phoneticPr fontId="3" type="noConversion"/>
  </si>
  <si>
    <t>Cat6A FFTP PVC Cu Eca 0.54mm</t>
    <phoneticPr fontId="3" type="noConversion"/>
  </si>
  <si>
    <t>Cat6A SFTP LSZH Cu Dca 0.54mm</t>
    <phoneticPr fontId="3" type="noConversion"/>
  </si>
  <si>
    <t>CAT6A UFTP LSZH Cu Dca 0.54mm</t>
    <phoneticPr fontId="3" type="noConversion"/>
  </si>
  <si>
    <t>Cat6A UFTP PVC Cu Eca 0.54mm</t>
    <phoneticPr fontId="3" type="noConversion"/>
  </si>
  <si>
    <t>Cat6A UTP LSZH Cu Dca 0.54mm</t>
    <phoneticPr fontId="3" type="noConversion"/>
  </si>
  <si>
    <t>Cat6A UTP PVC Cu Eca 0.54mm</t>
    <phoneticPr fontId="3" type="noConversion"/>
  </si>
  <si>
    <t>Cat7 SFTP LSZH Cu Dca 0.55mm</t>
    <phoneticPr fontId="3" type="noConversion"/>
  </si>
  <si>
    <t>All items of CAT6 UTP(DCA+ECA) place to Linoya is Mini type except for PE type(FCA)</t>
  </si>
  <si>
    <t>Price based on 1# copper</t>
    <phoneticPr fontId="3" type="noConversion"/>
  </si>
  <si>
    <t>https://www.ccmn.cn/</t>
    <phoneticPr fontId="3" type="noConversion"/>
  </si>
  <si>
    <t>+3% increase from May 1st,2023.</t>
    <phoneticPr fontId="3" type="noConversion"/>
  </si>
  <si>
    <t>Below price had added 3%</t>
    <phoneticPr fontId="3" type="noConversion"/>
  </si>
  <si>
    <t>Cat6 UTP MINI PVC Cu Eca 0.50mm 305M BOX (increased thickness)</t>
  </si>
  <si>
    <t>Cat5e UTP LSZH 0.485mm (305M box)= for JAL only</t>
    <phoneticPr fontId="3" type="noConversion"/>
  </si>
  <si>
    <t>Cat5e UTP LSZH 0.485mm 500M/1000M= for JAL only</t>
    <phoneticPr fontId="3" type="noConversion"/>
  </si>
  <si>
    <t>CAT6 UTP MINI CROSS LSZH 0.50BC(305M box)= for JAL only</t>
    <phoneticPr fontId="3" type="noConversion"/>
  </si>
  <si>
    <t>CAT6 UTP MINI CROSS LSZH 0.50BC 500M/1000M= for JAL only</t>
    <phoneticPr fontId="3" type="noConversion"/>
  </si>
  <si>
    <t>Offer extra 1% discount confirm on Apr 9th 2024</t>
    <phoneticPr fontId="3" type="noConversion"/>
  </si>
  <si>
    <t>Price added 4% from January and validate by end of April 2021.</t>
  </si>
  <si>
    <t>This one is the one we selling to REX and ELD with 85db pass.</t>
  </si>
  <si>
    <r>
      <t xml:space="preserve">DESCRIPTION - JAN ~ APRI 21 - </t>
    </r>
    <r>
      <rPr>
        <b/>
        <sz val="10.5"/>
        <color rgb="FFFF0000"/>
        <rFont val="Calibri"/>
        <family val="2"/>
      </rPr>
      <t>Price until end of April 2021</t>
    </r>
  </si>
  <si>
    <t>CTM ordered</t>
  </si>
  <si>
    <t>MOQ km or unit</t>
  </si>
  <si>
    <r>
      <t xml:space="preserve">GRADE 2 TV 2150MHZ </t>
    </r>
    <r>
      <rPr>
        <sz val="10.5"/>
        <color rgb="FF0000FF"/>
        <rFont val="Calibri"/>
        <family val="2"/>
      </rPr>
      <t>0.51/0.58(real produce 0.53/0.58) Light 3TV or 2TV</t>
    </r>
  </si>
  <si>
    <t>50km</t>
  </si>
  <si>
    <t>GRADE 3 TV 2150MHZ 0.58/0.6</t>
  </si>
  <si>
    <t>GRADE 3 TV 2150MHZ SMALLER  0.53/0.58</t>
  </si>
  <si>
    <t>GRADE 3 TV 2150MHZ SMALLER  0.53/0.58 with 85db pass</t>
  </si>
  <si>
    <t>REX/ELD</t>
  </si>
  <si>
    <t>GRADE 3 TV 900MHZ 0.58/0.6</t>
  </si>
  <si>
    <t>GRADE 3 TV 900MHZ SMALLER 0.51/0.58</t>
  </si>
  <si>
    <t>Price below increased 2% after middle of May 2021.</t>
  </si>
  <si>
    <t>***REX &amp; ELD don’t need increase 2% until end of June 2021.</t>
  </si>
  <si>
    <r>
      <t xml:space="preserve">DESCRIPTION - MAY - OCT 21  - </t>
    </r>
    <r>
      <rPr>
        <b/>
        <sz val="10.5"/>
        <color rgb="FFFF0000"/>
        <rFont val="Calibri"/>
        <family val="2"/>
      </rPr>
      <t>Price until end of Oct 2021</t>
    </r>
  </si>
  <si>
    <r>
      <rPr>
        <sz val="10.5"/>
        <rFont val="Calibri"/>
        <family val="2"/>
      </rPr>
      <t>GRADE 2 TV 2150MHZ</t>
    </r>
    <r>
      <rPr>
        <sz val="10.5"/>
        <color rgb="FF0000FF"/>
        <rFont val="Calibri"/>
        <family val="2"/>
      </rPr>
      <t xml:space="preserve"> 0.51/0.58(real produce 0.53/0.58) Light 3TV or 2TV</t>
    </r>
  </si>
  <si>
    <t>ELD</t>
  </si>
  <si>
    <t>GRADE 2TV 4x[2x(0.53BC+1.40FPE)+AL]+0.40TC+AL+7.5LSZH</t>
  </si>
  <si>
    <t>Peformance according to maker data sheet.</t>
  </si>
  <si>
    <r>
      <t xml:space="preserve">DESCRIPTION - NOV 21 ~ SEP 24 - </t>
    </r>
    <r>
      <rPr>
        <b/>
        <sz val="10.5"/>
        <color rgb="FF0000FF"/>
        <rFont val="Calibri"/>
        <family val="2"/>
      </rPr>
      <t xml:space="preserve">Price until end of SEPT 024 </t>
    </r>
    <r>
      <rPr>
        <b/>
        <sz val="10.5"/>
        <color rgb="FFFF0000"/>
        <rFont val="Calibri"/>
        <family val="2"/>
      </rPr>
      <t>USD</t>
    </r>
    <phoneticPr fontId="3" type="noConversion"/>
  </si>
  <si>
    <r>
      <t xml:space="preserve">GRADE 2 TV 2150MHZ </t>
    </r>
    <r>
      <rPr>
        <sz val="10.5"/>
        <color rgb="FF0000FF"/>
        <rFont val="Calibri"/>
        <family val="2"/>
      </rPr>
      <t>0.51/0.58(real produce 0.53/0.58)</t>
    </r>
  </si>
  <si>
    <r>
      <rPr>
        <sz val="10.5"/>
        <rFont val="Calibri"/>
        <family val="2"/>
      </rPr>
      <t>GRADE 2 TV 2150MHZ</t>
    </r>
    <r>
      <rPr>
        <sz val="10.5"/>
        <color rgb="FFFF0000"/>
        <rFont val="Calibri"/>
        <family val="2"/>
      </rPr>
      <t xml:space="preserve"> </t>
    </r>
    <r>
      <rPr>
        <sz val="10.5"/>
        <color rgb="FF0000FF"/>
        <rFont val="Calibri"/>
        <family val="2"/>
      </rPr>
      <t>0.51/0.58(real produce 0.53/0.58)</t>
    </r>
  </si>
  <si>
    <t>REX</t>
  </si>
  <si>
    <r>
      <t xml:space="preserve">DESCRIPTION - NOV 21 ~  DEC 25 - </t>
    </r>
    <r>
      <rPr>
        <b/>
        <sz val="10.5"/>
        <color rgb="FF0000FF"/>
        <rFont val="Calibri"/>
        <family val="2"/>
      </rPr>
      <t>Price until end of DEC 25</t>
    </r>
    <r>
      <rPr>
        <b/>
        <sz val="10.5"/>
        <rFont val="Calibri"/>
        <family val="2"/>
      </rPr>
      <t xml:space="preserve"> </t>
    </r>
    <r>
      <rPr>
        <b/>
        <sz val="10.5"/>
        <color rgb="FFFF0000"/>
        <rFont val="Calibri"/>
        <family val="2"/>
      </rPr>
      <t>RMB</t>
    </r>
    <phoneticPr fontId="3" type="noConversion"/>
  </si>
  <si>
    <t>DEL/SLC/XEL</t>
    <phoneticPr fontId="3" type="noConversion"/>
  </si>
  <si>
    <t>OEG3TVs4DT5/OEG3TVs4DT40</t>
    <phoneticPr fontId="3" type="noConversion"/>
  </si>
  <si>
    <r>
      <rPr>
        <sz val="10.5"/>
        <rFont val="Calibri"/>
        <family val="2"/>
      </rPr>
      <t>GRADE 2 TV 2150MHZ</t>
    </r>
    <r>
      <rPr>
        <sz val="10.5"/>
        <color rgb="FFFF0000"/>
        <rFont val="Calibri"/>
        <family val="2"/>
      </rPr>
      <t xml:space="preserve"> </t>
    </r>
    <r>
      <rPr>
        <sz val="10.5"/>
        <color rgb="FF0000FF"/>
        <rFont val="Calibri"/>
        <family val="2"/>
      </rPr>
      <t>0.51/0.58(real produce 0.53/0.58)</t>
    </r>
    <r>
      <rPr>
        <sz val="10.5"/>
        <color rgb="FFFF0000"/>
        <rFont val="Calibri"/>
        <family val="2"/>
      </rPr>
      <t xml:space="preserve"> - </t>
    </r>
    <r>
      <rPr>
        <b/>
        <sz val="10.5"/>
        <color rgb="FFFF0000"/>
        <rFont val="Calibri"/>
        <family val="2"/>
      </rPr>
      <t>Grade 3TVs</t>
    </r>
  </si>
  <si>
    <t>ELD/PCC/PMX</t>
  </si>
  <si>
    <r>
      <t xml:space="preserve">GRADE 3 TV 2150MHZ </t>
    </r>
    <r>
      <rPr>
        <b/>
        <sz val="10.5"/>
        <color rgb="FFFF0000"/>
        <rFont val="Calibri"/>
        <family val="2"/>
      </rPr>
      <t>0.58/0.58</t>
    </r>
  </si>
  <si>
    <r>
      <t>GRADE 3 TV 2150MHZ</t>
    </r>
    <r>
      <rPr>
        <b/>
        <sz val="10.5"/>
        <color rgb="FFFF0000"/>
        <rFont val="Calibri"/>
        <family val="2"/>
      </rPr>
      <t xml:space="preserve"> 0.58/0.58</t>
    </r>
  </si>
  <si>
    <t>OEG3TVs4CT5/OEG3TVs4CT40</t>
    <phoneticPr fontId="3" type="noConversion"/>
  </si>
  <si>
    <t>GRADE 3 900Mhz - CAT7 FFTP Dca 4Px0.56</t>
    <phoneticPr fontId="3" type="noConversion"/>
  </si>
  <si>
    <t>50km</t>
    <phoneticPr fontId="3" type="noConversion"/>
  </si>
  <si>
    <t>GRADE 3 900Mhz - CAT7 FFTP Cca 4Px0.56</t>
    <phoneticPr fontId="3" type="noConversion"/>
  </si>
  <si>
    <t xml:space="preserve">Item </t>
    <phoneticPr fontId="3" type="noConversion"/>
  </si>
  <si>
    <t>copper diameter</t>
  </si>
  <si>
    <t>dif.+/- ¥1000</t>
  </si>
  <si>
    <t>Prices base @ ¥70000</t>
  </si>
  <si>
    <t>3TV 900Mhz</t>
    <phoneticPr fontId="3" type="noConversion"/>
  </si>
  <si>
    <t>3TVs 2150Mhz Cca</t>
    <phoneticPr fontId="3" type="noConversion"/>
  </si>
  <si>
    <t>0.51/0.58</t>
  </si>
  <si>
    <t>3TVs 2150Mhz Dca</t>
    <phoneticPr fontId="3" type="noConversion"/>
  </si>
  <si>
    <t>3TV 900Mhz Dca</t>
    <phoneticPr fontId="3" type="noConversion"/>
  </si>
  <si>
    <t xml:space="preserve">0.51/0.58 </t>
  </si>
  <si>
    <r>
      <t>3TV 900Mhz Dca_</t>
    </r>
    <r>
      <rPr>
        <b/>
        <sz val="11"/>
        <color rgb="FF0000FF"/>
        <rFont val="Aptos"/>
        <family val="2"/>
      </rPr>
      <t xml:space="preserve">Cat7 FFTP </t>
    </r>
    <phoneticPr fontId="3" type="noConversion"/>
  </si>
  <si>
    <t>CMP material with ETL, not UL printed and approved.</t>
  </si>
  <si>
    <r>
      <t xml:space="preserve">Code article - </t>
    </r>
    <r>
      <rPr>
        <b/>
        <sz val="11"/>
        <color rgb="FF0000FF"/>
        <rFont val="等线"/>
        <family val="2"/>
        <scheme val="minor"/>
      </rPr>
      <t>ZD 2022/7/22</t>
    </r>
    <r>
      <rPr>
        <b/>
        <sz val="11"/>
        <color rgb="FFFF0000"/>
        <rFont val="等线"/>
        <family val="2"/>
        <scheme val="minor"/>
      </rPr>
      <t xml:space="preserve"> 6.4</t>
    </r>
  </si>
  <si>
    <t xml:space="preserve">Description </t>
  </si>
  <si>
    <t>Annual QTY KM</t>
  </si>
  <si>
    <t>Individual Packing</t>
  </si>
  <si>
    <r>
      <t xml:space="preserve">CAT6 UUTP AWG24 PVC </t>
    </r>
    <r>
      <rPr>
        <b/>
        <sz val="11"/>
        <color rgb="FFFF0000"/>
        <rFont val="等线"/>
        <family val="2"/>
        <scheme val="minor"/>
      </rPr>
      <t>0.55</t>
    </r>
  </si>
  <si>
    <t>CMP UL</t>
  </si>
  <si>
    <t>CMP material,ETL printing, no UL sticker</t>
  </si>
  <si>
    <t>305m RIB box</t>
  </si>
  <si>
    <t>500m drum</t>
  </si>
  <si>
    <r>
      <t xml:space="preserve">Code article - </t>
    </r>
    <r>
      <rPr>
        <b/>
        <sz val="11"/>
        <color rgb="FF0000FF"/>
        <rFont val="等线"/>
        <family val="2"/>
        <scheme val="minor"/>
      </rPr>
      <t>ZD 2022/9/19</t>
    </r>
    <r>
      <rPr>
        <b/>
        <sz val="11"/>
        <color rgb="FF000000"/>
        <rFont val="等线"/>
        <family val="2"/>
        <scheme val="minor"/>
      </rPr>
      <t xml:space="preserve"> </t>
    </r>
    <r>
      <rPr>
        <b/>
        <sz val="11"/>
        <color rgb="FFFF0000"/>
        <rFont val="等线"/>
        <family val="2"/>
        <scheme val="minor"/>
      </rPr>
      <t>6.4</t>
    </r>
  </si>
  <si>
    <r>
      <t xml:space="preserve">CAT6 UUTP AWG24 PVC </t>
    </r>
    <r>
      <rPr>
        <b/>
        <sz val="11"/>
        <color rgb="FFFF0000"/>
        <rFont val="等线"/>
        <family val="2"/>
        <scheme val="minor"/>
      </rPr>
      <t>0.525</t>
    </r>
  </si>
  <si>
    <r>
      <t xml:space="preserve">CAT6 UUTP AWG24 PVC </t>
    </r>
    <r>
      <rPr>
        <b/>
        <sz val="11"/>
        <color rgb="FFFF0000"/>
        <rFont val="等线"/>
        <family val="2"/>
        <scheme val="minor"/>
      </rPr>
      <t>0.51</t>
    </r>
  </si>
  <si>
    <t>2021.9.17</t>
  </si>
  <si>
    <t>Price validate until end of October 2022.</t>
  </si>
  <si>
    <t>Price: $/KM, FOB SHANGHAI</t>
  </si>
  <si>
    <t>Rate:6.45</t>
  </si>
  <si>
    <t>copper</t>
  </si>
  <si>
    <t>Package</t>
  </si>
  <si>
    <t>SFTP7 26AWG</t>
  </si>
  <si>
    <t>0.40+/-0.005mm,no drain wire, TC Braid(50%)</t>
  </si>
  <si>
    <t>Drum+pallet</t>
  </si>
  <si>
    <t>LSZH CPR Dca</t>
  </si>
  <si>
    <t>LSZH CPR Cca</t>
  </si>
  <si>
    <t>LSZH CPR B2ca</t>
  </si>
  <si>
    <r>
      <rPr>
        <sz val="10.5"/>
        <rFont val="等线"/>
        <family val="2"/>
      </rPr>
      <t>按规格书</t>
    </r>
    <r>
      <rPr>
        <sz val="10.5"/>
        <rFont val="Calibri"/>
        <family val="2"/>
      </rPr>
      <t>70M</t>
    </r>
    <r>
      <rPr>
        <sz val="10.5"/>
        <rFont val="等线"/>
        <family val="2"/>
      </rPr>
      <t>测试要求</t>
    </r>
  </si>
  <si>
    <r>
      <t>500m: 9km/</t>
    </r>
    <r>
      <rPr>
        <sz val="10.5"/>
        <rFont val="等线"/>
        <family val="2"/>
      </rPr>
      <t>托</t>
    </r>
    <r>
      <rPr>
        <sz val="10.5"/>
        <rFont val="Calibri"/>
        <family val="2"/>
      </rPr>
      <t>,120*80</t>
    </r>
    <r>
      <rPr>
        <sz val="10.5"/>
        <rFont val="等线"/>
        <family val="2"/>
      </rPr>
      <t>托盘</t>
    </r>
  </si>
  <si>
    <r>
      <t>1000m: 8km/</t>
    </r>
    <r>
      <rPr>
        <sz val="10.5"/>
        <rFont val="等线"/>
        <family val="2"/>
      </rPr>
      <t xml:space="preserve">托 </t>
    </r>
    <r>
      <rPr>
        <sz val="10.5"/>
        <rFont val="Calibri"/>
        <family val="2"/>
      </rPr>
      <t>60*23</t>
    </r>
    <r>
      <rPr>
        <sz val="10.5"/>
        <rFont val="DengXian"/>
        <family val="2"/>
        <charset val="134"/>
      </rPr>
      <t>木盘，</t>
    </r>
    <r>
      <rPr>
        <sz val="10.5"/>
        <rFont val="Calibri"/>
        <family val="2"/>
      </rPr>
      <t>120*80</t>
    </r>
    <r>
      <rPr>
        <sz val="10.5"/>
        <rFont val="DengXian"/>
        <family val="2"/>
        <charset val="134"/>
      </rPr>
      <t>托，装</t>
    </r>
    <r>
      <rPr>
        <sz val="10.5"/>
        <rFont val="Calibri"/>
        <family val="2"/>
      </rPr>
      <t>2*4</t>
    </r>
    <r>
      <rPr>
        <sz val="10.5"/>
        <rFont val="DengXian"/>
        <family val="2"/>
        <charset val="134"/>
      </rPr>
      <t>层</t>
    </r>
    <r>
      <rPr>
        <sz val="10.5"/>
        <rFont val="Calibri"/>
        <family val="2"/>
      </rPr>
      <t>=8</t>
    </r>
    <r>
      <rPr>
        <sz val="10.5"/>
        <rFont val="DengXian"/>
        <family val="2"/>
        <charset val="134"/>
      </rPr>
      <t>盘</t>
    </r>
    <r>
      <rPr>
        <sz val="10.5"/>
        <rFont val="Calibri"/>
        <family val="2"/>
      </rPr>
      <t>=8Km/</t>
    </r>
    <r>
      <rPr>
        <sz val="10.5"/>
        <rFont val="DengXian"/>
        <family val="2"/>
        <charset val="134"/>
      </rPr>
      <t>托</t>
    </r>
    <phoneticPr fontId="3" type="noConversion"/>
  </si>
  <si>
    <r>
      <rPr>
        <sz val="10.5"/>
        <rFont val="等线"/>
        <family val="2"/>
      </rPr>
      <t>样品结构量测数据</t>
    </r>
    <r>
      <rPr>
        <sz val="10.5"/>
        <rFont val="Calibri"/>
        <family val="2"/>
      </rPr>
      <t xml:space="preserve">: </t>
    </r>
    <r>
      <rPr>
        <sz val="10.5"/>
        <rFont val="等线"/>
        <family val="2"/>
      </rPr>
      <t>导体</t>
    </r>
    <r>
      <rPr>
        <sz val="10.5"/>
        <rFont val="Calibri"/>
        <family val="2"/>
      </rPr>
      <t>:0.415-0.418mm ,</t>
    </r>
    <r>
      <rPr>
        <sz val="10.5"/>
        <rFont val="等线"/>
        <family val="2"/>
      </rPr>
      <t>地线</t>
    </r>
    <r>
      <rPr>
        <sz val="10.5"/>
        <rFont val="Calibri"/>
        <family val="2"/>
      </rPr>
      <t>0.40TC,AL:12*0.06mm,</t>
    </r>
    <r>
      <rPr>
        <sz val="10.5"/>
        <rFont val="等线"/>
        <family val="2"/>
      </rPr>
      <t>编织</t>
    </r>
    <r>
      <rPr>
        <sz val="10.5"/>
        <rFont val="Calibri"/>
        <family val="2"/>
      </rPr>
      <t>60/0.08TC(20%),</t>
    </r>
    <r>
      <rPr>
        <sz val="10.5"/>
        <rFont val="等线"/>
        <family val="2"/>
      </rPr>
      <t>护套</t>
    </r>
    <r>
      <rPr>
        <sz val="10.5"/>
        <rFont val="Calibri"/>
        <family val="2"/>
      </rPr>
      <t>,5.1-6.7mm(</t>
    </r>
    <r>
      <rPr>
        <sz val="10.5"/>
        <rFont val="等线"/>
        <family val="2"/>
      </rPr>
      <t>扁</t>
    </r>
    <r>
      <rPr>
        <sz val="10.5"/>
        <rFont val="Calibri"/>
        <family val="2"/>
      </rPr>
      <t>)</t>
    </r>
    <r>
      <rPr>
        <sz val="10.5"/>
        <rFont val="等线"/>
        <family val="2"/>
      </rPr>
      <t>，带撕裂线</t>
    </r>
  </si>
  <si>
    <r>
      <rPr>
        <sz val="10.5"/>
        <rFont val="等线"/>
        <family val="2"/>
      </rPr>
      <t>报价按样品结构</t>
    </r>
    <r>
      <rPr>
        <sz val="10.5"/>
        <rFont val="Calibri"/>
        <family val="2"/>
      </rPr>
      <t>,</t>
    </r>
    <r>
      <rPr>
        <sz val="10.5"/>
        <rFont val="等线"/>
        <family val="2"/>
      </rPr>
      <t>编织按</t>
    </r>
    <r>
      <rPr>
        <sz val="10.5"/>
        <rFont val="Calibri"/>
        <family val="2"/>
      </rPr>
      <t>20%</t>
    </r>
    <r>
      <rPr>
        <sz val="10.5"/>
        <rFont val="等线"/>
        <family val="2"/>
      </rPr>
      <t>密度</t>
    </r>
    <r>
      <rPr>
        <sz val="10.5"/>
        <rFont val="Calibri"/>
        <family val="2"/>
      </rPr>
      <t>,</t>
    </r>
    <r>
      <rPr>
        <sz val="10.5"/>
        <rFont val="等线"/>
        <family val="2"/>
      </rPr>
      <t>根数按我们常规的</t>
    </r>
    <r>
      <rPr>
        <sz val="10.5"/>
        <rFont val="Calibri"/>
        <family val="2"/>
      </rPr>
      <t>(</t>
    </r>
    <r>
      <rPr>
        <sz val="10.5"/>
        <rFont val="等线"/>
        <family val="2"/>
      </rPr>
      <t>样品的</t>
    </r>
    <r>
      <rPr>
        <sz val="10.5"/>
        <rFont val="Calibri"/>
        <family val="2"/>
      </rPr>
      <t>0.08TC</t>
    </r>
    <r>
      <rPr>
        <sz val="10.5"/>
        <rFont val="等线"/>
        <family val="2"/>
      </rPr>
      <t>太细了</t>
    </r>
    <r>
      <rPr>
        <sz val="10.5"/>
        <rFont val="Calibri"/>
        <family val="2"/>
      </rPr>
      <t>,</t>
    </r>
    <r>
      <rPr>
        <sz val="10.5"/>
        <rFont val="等线"/>
        <family val="2"/>
      </rPr>
      <t>我们不用</t>
    </r>
    <r>
      <rPr>
        <sz val="10.5"/>
        <rFont val="Calibri"/>
        <family val="2"/>
      </rPr>
      <t>),</t>
    </r>
    <r>
      <rPr>
        <sz val="10.5"/>
        <rFont val="等线"/>
        <family val="2"/>
      </rPr>
      <t>护套按</t>
    </r>
    <r>
      <rPr>
        <sz val="10.5"/>
        <rFont val="Calibri"/>
        <family val="2"/>
      </rPr>
      <t>6.0+/-0.2mm</t>
    </r>
  </si>
  <si>
    <r>
      <rPr>
        <sz val="10.5"/>
        <rFont val="等线"/>
        <family val="2"/>
      </rPr>
      <t>藕合衰减：我们工程师不测</t>
    </r>
    <r>
      <rPr>
        <sz val="10.5"/>
        <rFont val="Calibri"/>
        <family val="2"/>
      </rPr>
      <t>1M</t>
    </r>
    <r>
      <rPr>
        <sz val="10.5"/>
        <rFont val="等线"/>
        <family val="2"/>
      </rPr>
      <t>的，一般测</t>
    </r>
    <r>
      <rPr>
        <sz val="10.5"/>
        <rFont val="Calibri"/>
        <family val="2"/>
      </rPr>
      <t>3M</t>
    </r>
    <r>
      <rPr>
        <sz val="10.5"/>
        <rFont val="等线"/>
        <family val="2"/>
      </rPr>
      <t>，或按标准测</t>
    </r>
    <r>
      <rPr>
        <sz val="10.5"/>
        <rFont val="Calibri"/>
        <family val="2"/>
      </rPr>
      <t>100M</t>
    </r>
    <r>
      <rPr>
        <sz val="10.5"/>
        <rFont val="等线"/>
        <family val="2"/>
      </rPr>
      <t>。样品你们测</t>
    </r>
    <r>
      <rPr>
        <sz val="10.5"/>
        <rFont val="Calibri"/>
        <family val="2"/>
      </rPr>
      <t>1M</t>
    </r>
    <r>
      <rPr>
        <sz val="10.5"/>
        <rFont val="等线"/>
        <family val="2"/>
      </rPr>
      <t>结果挺好，那我报价就按样品</t>
    </r>
    <r>
      <rPr>
        <sz val="10.5"/>
        <rFont val="Calibri"/>
        <family val="2"/>
      </rPr>
      <t>20%</t>
    </r>
    <r>
      <rPr>
        <sz val="10.5"/>
        <rFont val="等线"/>
        <family val="2"/>
      </rPr>
      <t>密度来，不增加了。</t>
    </r>
  </si>
  <si>
    <r>
      <t xml:space="preserve">copper - </t>
    </r>
    <r>
      <rPr>
        <b/>
        <sz val="10.5"/>
        <color rgb="FFFF0000"/>
        <rFont val="Calibri"/>
        <family val="2"/>
      </rPr>
      <t>0.42BC need open mold</t>
    </r>
  </si>
  <si>
    <t>0.42+/-0.01mm, drain wire:0.40TC TC Braid(20%)</t>
  </si>
  <si>
    <r>
      <rPr>
        <sz val="10.5"/>
        <rFont val="等线"/>
        <family val="2"/>
      </rPr>
      <t>导体按</t>
    </r>
    <r>
      <rPr>
        <sz val="10.5"/>
        <rFont val="Calibri"/>
        <family val="2"/>
      </rPr>
      <t>0.40BC,</t>
    </r>
    <r>
      <rPr>
        <sz val="10.5"/>
        <rFont val="等线"/>
        <family val="2"/>
      </rPr>
      <t>编织按</t>
    </r>
    <r>
      <rPr>
        <sz val="10.5"/>
        <rFont val="Calibri"/>
        <family val="2"/>
      </rPr>
      <t xml:space="preserve">20%, </t>
    </r>
    <r>
      <rPr>
        <sz val="10.5"/>
        <rFont val="等线"/>
        <family val="2"/>
      </rPr>
      <t>带地线</t>
    </r>
  </si>
  <si>
    <t>0.40+/-0.01mm, drain wire:0.40TC TC Braid(20%)</t>
  </si>
  <si>
    <t>2022.9.14</t>
  </si>
  <si>
    <t>Rate:6.9</t>
  </si>
  <si>
    <t>0.40+/-0.01mm, no drain wire TC Braid(20%)</t>
  </si>
  <si>
    <t>0.40+/-0.01mm, drain wire:0.40TC Al-Mg Braid(20%)</t>
    <phoneticPr fontId="3" type="noConversion"/>
  </si>
  <si>
    <t>0.40+/-0.01mm, drain wire:0.40TC Al-Mg Braid(20%)</t>
  </si>
  <si>
    <t>0.40+/-0.01mm, no drain wire Al-Mg Braid(20%)</t>
  </si>
  <si>
    <t>2024.04.10</t>
  </si>
  <si>
    <r>
      <t>Price: RMB/KM, FOB SHANGHAI</t>
    </r>
    <r>
      <rPr>
        <sz val="10.5"/>
        <rFont val="宋体"/>
        <family val="3"/>
        <charset val="134"/>
      </rPr>
      <t>，</t>
    </r>
  </si>
  <si>
    <t>Copper</t>
    <phoneticPr fontId="47" type="noConversion"/>
  </si>
  <si>
    <t>Peformance.</t>
    <phoneticPr fontId="47" type="noConversion"/>
  </si>
  <si>
    <t xml:space="preserve">Certificate </t>
    <phoneticPr fontId="47" type="noConversion"/>
  </si>
  <si>
    <t>3MM Diff.</t>
    <phoneticPr fontId="47" type="noConversion"/>
  </si>
  <si>
    <t>UTP6</t>
  </si>
  <si>
    <t>0.51 BC ± 0.008 mm, OD:5.9 ±0.3mm</t>
  </si>
  <si>
    <t>305M per box
Box Size:39*39*21cm         
Pallet: 120*80*132cm/30 Box</t>
    <phoneticPr fontId="47" type="noConversion"/>
  </si>
  <si>
    <t>PVC -UL--CMX</t>
  </si>
  <si>
    <t>90m fluke link</t>
    <phoneticPr fontId="47" type="noConversion"/>
  </si>
  <si>
    <t>ETL</t>
    <phoneticPr fontId="47" type="noConversion"/>
  </si>
  <si>
    <t>0.52 BC ± 0.008 mm, OD:6.0±0.3mm</t>
  </si>
  <si>
    <r>
      <t>305M per box
Box Size:42*42*21cm
Pallet: 120*86*100cm/20 Box</t>
    </r>
    <r>
      <rPr>
        <sz val="10.5"/>
        <rFont val="宋体"/>
        <family val="3"/>
        <charset val="134"/>
      </rPr>
      <t xml:space="preserve"> 
</t>
    </r>
    <r>
      <rPr>
        <sz val="10.5"/>
        <rFont val="Calibri"/>
        <family val="2"/>
      </rPr>
      <t xml:space="preserve">or </t>
    </r>
    <r>
      <rPr>
        <sz val="10.5"/>
        <rFont val="Calibri"/>
        <family val="2"/>
      </rPr>
      <t>112*112*100cm/24 Box</t>
    </r>
    <phoneticPr fontId="47" type="noConversion"/>
  </si>
  <si>
    <t xml:space="preserve">NA </t>
    <phoneticPr fontId="47" type="noConversion"/>
  </si>
  <si>
    <t>UTP6   26AWG</t>
  </si>
  <si>
    <t>0.40 BC ± 0.008 mm, OD:4.8 ±0.3mm</t>
  </si>
  <si>
    <t>305M per box 
Box Size:37*37*21cm
Pallet: 120*80*105cm/30 Box</t>
    <phoneticPr fontId="47" type="noConversion"/>
  </si>
  <si>
    <t>PVC -CMX</t>
  </si>
  <si>
    <t xml:space="preserve"> 60m Permanent link of Class E</t>
  </si>
  <si>
    <t>NONE</t>
    <phoneticPr fontId="47" type="noConversion"/>
  </si>
  <si>
    <r>
      <rPr>
        <sz val="10.5"/>
        <rFont val="宋体"/>
        <family val="3"/>
        <charset val="134"/>
      </rPr>
      <t>网线</t>
    </r>
    <r>
      <rPr>
        <sz val="10.5"/>
        <rFont val="Calibri"/>
        <family val="2"/>
      </rPr>
      <t>UL</t>
    </r>
    <r>
      <rPr>
        <sz val="10.5"/>
        <rFont val="宋体"/>
        <family val="3"/>
        <charset val="134"/>
      </rPr>
      <t>认证号：</t>
    </r>
    <r>
      <rPr>
        <sz val="10.5"/>
        <rFont val="Calibri"/>
        <family val="2"/>
      </rPr>
      <t>E315492</t>
    </r>
  </si>
  <si>
    <r>
      <t xml:space="preserve">ETL </t>
    </r>
    <r>
      <rPr>
        <sz val="10.5"/>
        <rFont val="宋体"/>
        <family val="3"/>
        <charset val="134"/>
      </rPr>
      <t>性能认证</t>
    </r>
    <r>
      <rPr>
        <sz val="10.5"/>
        <rFont val="Calibri"/>
        <family val="2"/>
      </rPr>
      <t xml:space="preserve"> U/UTP 6 </t>
    </r>
    <r>
      <rPr>
        <sz val="10.5"/>
        <rFont val="宋体"/>
        <family val="3"/>
        <charset val="134"/>
      </rPr>
      <t>有下面</t>
    </r>
    <r>
      <rPr>
        <sz val="10.5"/>
        <rFont val="Calibri"/>
        <family val="2"/>
      </rPr>
      <t>2</t>
    </r>
    <r>
      <rPr>
        <sz val="10.5"/>
        <rFont val="宋体"/>
        <family val="3"/>
        <charset val="134"/>
      </rPr>
      <t>个线规认证</t>
    </r>
  </si>
  <si>
    <r>
      <t xml:space="preserve">U/UTP CAT6 23AWG PVC ETL </t>
    </r>
    <r>
      <rPr>
        <sz val="10.5"/>
        <color indexed="8"/>
        <rFont val="宋体"/>
        <family val="3"/>
        <charset val="134"/>
      </rPr>
      <t>性能认证</t>
    </r>
  </si>
  <si>
    <t>ETL</t>
  </si>
  <si>
    <t>104498349CRT‐002a</t>
  </si>
  <si>
    <t>TIA‐568.2‐D, EN 50173‐1 and ISO/IEC 11801‐1 CATEGORY 6</t>
  </si>
  <si>
    <r>
      <t>UTP CAT6 24AWG PVC ETL</t>
    </r>
    <r>
      <rPr>
        <sz val="10.5"/>
        <color indexed="8"/>
        <rFont val="宋体"/>
        <family val="3"/>
        <charset val="134"/>
      </rPr>
      <t>性能认证</t>
    </r>
  </si>
  <si>
    <t>101406437CRT-002c</t>
  </si>
  <si>
    <t>TIA-568-C.2, ISO/IEC 11801-1, IEC 61156-5, EN 50173-1:2011, EN 50173-2:2007 including A1:2010 and EN 50288-6-1 Category 6</t>
  </si>
  <si>
    <t>CAT6 UTP PVC double jacket 0.53BC</t>
    <phoneticPr fontId="3" type="noConversion"/>
  </si>
  <si>
    <r>
      <t>CAT6 UTP Double jacket UV PVC</t>
    </r>
    <r>
      <rPr>
        <sz val="10.5"/>
        <color rgb="FFFF0000"/>
        <rFont val="Aptos"/>
        <family val="2"/>
      </rPr>
      <t xml:space="preserve"> 0.53mm</t>
    </r>
    <phoneticPr fontId="3" type="noConversion"/>
  </si>
  <si>
    <r>
      <t xml:space="preserve">GRADE 2 TV 2150MHZ 0.51/0.58(real produce 0.53/0.58) - </t>
    </r>
    <r>
      <rPr>
        <b/>
        <sz val="10.5"/>
        <color rgb="FF00B050"/>
        <rFont val="Calibri"/>
        <family val="2"/>
      </rPr>
      <t>Grade 3TVs</t>
    </r>
    <phoneticPr fontId="3" type="noConversion"/>
  </si>
  <si>
    <t>85m fluke</t>
    <phoneticPr fontId="3" type="noConversion"/>
  </si>
  <si>
    <t>CAT6 FUTP AWG23 LSZH</t>
    <phoneticPr fontId="3" type="noConversion"/>
  </si>
  <si>
    <t>S/FTP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</si>
</sst>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¥&quot;#,##0;[Red]&quot;¥&quot;\-#,##0"/>
    <numFmt numFmtId="7" formatCode="&quot;¥&quot;#,##0.00;&quot;¥&quot;\-#,##0.00"/>
    <numFmt numFmtId="44" formatCode="_ &quot;¥&quot;* #,##0.00_ ;_ &quot;¥&quot;* \-#,##0.00_ ;_ &quot;¥&quot;* &quot;-&quot;??_ ;_ @_ "/>
    <numFmt numFmtId="26" formatCode="\$#,##0.00_);[Red]\(\$#,##0.00\)"/>
    <numFmt numFmtId="176" formatCode="&quot;$&quot;#,##0.00_);[Red]\(&quot;$&quot;#,##0.00\)"/>
    <numFmt numFmtId="177" formatCode="0.00_);[Red]\(0.00\)"/>
    <numFmt numFmtId="178" formatCode="[$¥-804]#,##0.00"/>
    <numFmt numFmtId="179" formatCode="&quot;$&quot;#,##0.00"/>
    <numFmt numFmtId="180" formatCode="0.0"/>
    <numFmt numFmtId="181" formatCode="_ [$¥-804]* #,##0.00_ ;_ [$¥-804]* \-#,##0.00_ ;_ [$¥-804]* &quot;-&quot;??_ ;_ @_ "/>
    <numFmt numFmtId="182" formatCode="_ [$¥-804]* #,##0_ ;_ [$¥-804]* \-#,##0_ ;_ [$¥-804]* &quot;-&quot;_ ;_ @_ "/>
    <numFmt numFmtId="183" formatCode="0.00_ "/>
    <numFmt numFmtId="184" formatCode="[$$-1004]#,##0.00;\-[$$-1004]#,##0.00"/>
    <numFmt numFmtId="185" formatCode="_-\$* #,##0.00_ ;_-\$* \-#,##0.00\ ;_-\$* &quot;-&quot;??_ ;_-@_ "/>
    <numFmt numFmtId="186" formatCode="0.0%"/>
    <numFmt numFmtId="187" formatCode="0.0_ "/>
    <numFmt numFmtId="188" formatCode="[$¥-804]#,##0.00;[$¥-804]\-#,##0.00"/>
    <numFmt numFmtId="189" formatCode="&quot;￥&quot;#,##0.00;&quot;￥&quot;\-#,##0.00"/>
    <numFmt numFmtId="190" formatCode="#,##0.00_ "/>
    <numFmt numFmtId="191" formatCode="&quot;¥&quot;#,##0.00_);[Red]\(&quot;¥&quot;#,##0.00\)"/>
    <numFmt numFmtId="192" formatCode="\$#,##0.00;\-\$#,##0.00"/>
  </numFmts>
  <fonts count="95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2"/>
      <scheme val="minor"/>
    </font>
    <font>
      <b/>
      <sz val="11"/>
      <color rgb="FF0000FF"/>
      <name val="等线"/>
      <family val="2"/>
      <scheme val="minor"/>
    </font>
    <font>
      <b/>
      <sz val="11"/>
      <color rgb="FFFF0000"/>
      <name val="等线"/>
      <family val="2"/>
      <scheme val="minor"/>
    </font>
    <font>
      <u/>
      <sz val="11"/>
      <color theme="10"/>
      <name val="等线"/>
      <family val="2"/>
      <scheme val="minor"/>
    </font>
    <font>
      <i/>
      <sz val="10.5"/>
      <color rgb="FF0000FF"/>
      <name val="Calibri"/>
      <family val="2"/>
    </font>
    <font>
      <sz val="10.5"/>
      <color theme="1"/>
      <name val="Calibri"/>
      <family val="2"/>
    </font>
    <font>
      <b/>
      <i/>
      <sz val="10.5"/>
      <color rgb="FFFF0000"/>
      <name val="Calibri"/>
      <family val="2"/>
    </font>
    <font>
      <b/>
      <sz val="10.5"/>
      <color rgb="FFFF0000"/>
      <name val="Calibri"/>
      <family val="2"/>
    </font>
    <font>
      <b/>
      <sz val="10.5"/>
      <name val="Calibri"/>
      <family val="2"/>
    </font>
    <font>
      <sz val="10.5"/>
      <name val="Calibri"/>
      <family val="2"/>
    </font>
    <font>
      <b/>
      <sz val="10.5"/>
      <color rgb="FF0000FF"/>
      <name val="Calibri"/>
      <family val="2"/>
    </font>
    <font>
      <b/>
      <sz val="10.5"/>
      <color theme="5" tint="-0.499984740745262"/>
      <name val="Calibri"/>
      <family val="2"/>
    </font>
    <font>
      <sz val="10.5"/>
      <color rgb="FFFF0000"/>
      <name val="Calibri"/>
      <family val="2"/>
    </font>
    <font>
      <i/>
      <sz val="10.5"/>
      <color rgb="FF00B0F0"/>
      <name val="Calibri"/>
      <family val="2"/>
    </font>
    <font>
      <sz val="10.5"/>
      <color theme="9" tint="-0.499984740745262"/>
      <name val="Calibri"/>
      <family val="2"/>
    </font>
    <font>
      <sz val="10.5"/>
      <color theme="0"/>
      <name val="Calibri"/>
      <family val="2"/>
    </font>
    <font>
      <i/>
      <sz val="11"/>
      <color rgb="FF0000FF"/>
      <name val="Calibri"/>
      <family val="2"/>
    </font>
    <font>
      <b/>
      <sz val="10.5"/>
      <color theme="1"/>
      <name val="Calibri"/>
      <family val="2"/>
    </font>
    <font>
      <b/>
      <i/>
      <sz val="10.5"/>
      <color rgb="FF0000FF"/>
      <name val="Calibri"/>
      <family val="2"/>
    </font>
    <font>
      <i/>
      <sz val="10.5"/>
      <name val="Calibri"/>
      <family val="2"/>
    </font>
    <font>
      <sz val="10.5"/>
      <color rgb="FF000000"/>
      <name val="Calibri"/>
      <family val="2"/>
    </font>
    <font>
      <b/>
      <sz val="10.5"/>
      <color theme="0"/>
      <name val="Calibri"/>
      <family val="2"/>
    </font>
    <font>
      <b/>
      <sz val="10.5"/>
      <color theme="0"/>
      <name val="等线"/>
      <family val="3"/>
      <charset val="134"/>
    </font>
    <font>
      <u/>
      <sz val="10.5"/>
      <color theme="10"/>
      <name val="Calibri"/>
      <family val="2"/>
    </font>
    <font>
      <i/>
      <sz val="10.5"/>
      <color rgb="FF000000"/>
      <name val="Calibri"/>
      <family val="2"/>
    </font>
    <font>
      <b/>
      <sz val="10.5"/>
      <color rgb="FF000000"/>
      <name val="Calibri"/>
      <family val="2"/>
    </font>
    <font>
      <sz val="10.5"/>
      <color rgb="FF0000FF"/>
      <name val="Calibri"/>
      <family val="2"/>
    </font>
    <font>
      <b/>
      <i/>
      <sz val="10.5"/>
      <color rgb="FF00B050"/>
      <name val="Calibri"/>
      <family val="2"/>
    </font>
    <font>
      <b/>
      <sz val="10.5"/>
      <color theme="5"/>
      <name val="Calibri"/>
      <family val="2"/>
    </font>
    <font>
      <b/>
      <i/>
      <strike/>
      <sz val="10.5"/>
      <color rgb="FFFF0000"/>
      <name val="Calibri"/>
      <family val="2"/>
    </font>
    <font>
      <sz val="10.5"/>
      <name val="等线"/>
      <family val="2"/>
    </font>
    <font>
      <b/>
      <i/>
      <sz val="10.5"/>
      <name val="Calibri"/>
      <family val="2"/>
    </font>
    <font>
      <i/>
      <sz val="10.5"/>
      <color rgb="FF0070C0"/>
      <name val="Calibri"/>
      <family val="2"/>
    </font>
    <font>
      <b/>
      <sz val="10.5"/>
      <color rgb="FF7030A0"/>
      <name val="Aptos"/>
      <family val="2"/>
    </font>
    <font>
      <sz val="11"/>
      <color theme="1"/>
      <name val="Aptos"/>
      <family val="2"/>
    </font>
    <font>
      <sz val="10.5"/>
      <name val="Aptos"/>
      <family val="2"/>
    </font>
    <font>
      <b/>
      <sz val="11"/>
      <color rgb="FF0000FF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.5"/>
      <color theme="0" tint="-4.9989318521683403E-2"/>
      <name val="Calibri"/>
      <family val="2"/>
    </font>
    <font>
      <sz val="10.5"/>
      <color rgb="FF00B050"/>
      <name val="Calibri"/>
      <family val="2"/>
    </font>
    <font>
      <b/>
      <sz val="10.5"/>
      <color rgb="FF00B050"/>
      <name val="Calibri"/>
      <family val="2"/>
    </font>
    <font>
      <sz val="10.5"/>
      <name val="宋体"/>
      <family val="3"/>
      <charset val="134"/>
    </font>
    <font>
      <sz val="9"/>
      <name val="宋体"/>
      <family val="3"/>
      <charset val="134"/>
    </font>
    <font>
      <sz val="10.5"/>
      <color indexed="8"/>
      <name val="宋体"/>
      <family val="3"/>
      <charset val="134"/>
    </font>
    <font>
      <sz val="10.5"/>
      <color theme="1"/>
      <name val="微软雅黑"/>
      <family val="2"/>
      <charset val="134"/>
    </font>
    <font>
      <b/>
      <sz val="10.5"/>
      <color theme="8" tint="-0.499984740745262"/>
      <name val="Calibri"/>
      <family val="2"/>
    </font>
    <font>
      <b/>
      <sz val="10.5"/>
      <color theme="9" tint="-0.499984740745262"/>
      <name val="Calibri"/>
      <family val="2"/>
    </font>
    <font>
      <b/>
      <i/>
      <sz val="10.5"/>
      <color rgb="FF00B0F0"/>
      <name val="Calibri"/>
      <family val="2"/>
    </font>
    <font>
      <b/>
      <sz val="10.5"/>
      <color rgb="FF002060"/>
      <name val="Calibri"/>
      <family val="2"/>
    </font>
    <font>
      <sz val="10.5"/>
      <color theme="5" tint="-0.499984740745262"/>
      <name val="Calibri"/>
      <family val="2"/>
    </font>
    <font>
      <sz val="10.5"/>
      <name val="DengXian"/>
      <family val="2"/>
      <charset val="134"/>
    </font>
    <font>
      <b/>
      <sz val="10.5"/>
      <color rgb="FFC00000"/>
      <name val="Calibri"/>
      <family val="2"/>
    </font>
    <font>
      <b/>
      <i/>
      <sz val="11"/>
      <color rgb="FF0000FF"/>
      <name val="Calibri"/>
      <family val="2"/>
    </font>
    <font>
      <sz val="10.5"/>
      <color rgb="FFC00000"/>
      <name val="Calibri"/>
      <family val="2"/>
    </font>
    <font>
      <b/>
      <sz val="10.5"/>
      <color rgb="FFEE0000"/>
      <name val="Calibri"/>
      <family val="2"/>
    </font>
    <font>
      <sz val="10.5"/>
      <color rgb="FF000000"/>
      <name val="Aptos"/>
      <family val="2"/>
    </font>
    <font>
      <b/>
      <sz val="11"/>
      <color theme="1"/>
      <name val="Aptos"/>
      <family val="2"/>
    </font>
    <font>
      <sz val="11"/>
      <color theme="1"/>
      <name val="等线"/>
      <family val="3"/>
      <charset val="134"/>
      <scheme val="minor"/>
    </font>
    <font>
      <sz val="11"/>
      <color rgb="FF0000FF"/>
      <name val="Aptos"/>
      <family val="2"/>
    </font>
    <font>
      <b/>
      <sz val="1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11"/>
      <name val="等线"/>
      <family val="3"/>
      <charset val="134"/>
      <scheme val="minor"/>
    </font>
    <font>
      <b/>
      <sz val="10.5"/>
      <color rgb="FF000000"/>
      <name val="Aptos"/>
      <family val="2"/>
    </font>
    <font>
      <b/>
      <i/>
      <sz val="10.5"/>
      <color rgb="FF0000FF"/>
      <name val="Aptos"/>
      <family val="2"/>
    </font>
    <font>
      <sz val="10.5"/>
      <color theme="1"/>
      <name val="Aptos"/>
      <family val="2"/>
    </font>
    <font>
      <i/>
      <sz val="10.5"/>
      <color rgb="FF0000FF"/>
      <name val="Aptos"/>
      <family val="2"/>
    </font>
    <font>
      <b/>
      <sz val="10.5"/>
      <color theme="1"/>
      <name val="Aptos"/>
      <family val="2"/>
    </font>
    <font>
      <b/>
      <i/>
      <sz val="10.5"/>
      <color rgb="FFFF0000"/>
      <name val="Aptos"/>
      <family val="2"/>
    </font>
    <font>
      <b/>
      <i/>
      <strike/>
      <sz val="10.5"/>
      <color rgb="FFFF0000"/>
      <name val="Aptos"/>
      <family val="2"/>
    </font>
    <font>
      <b/>
      <i/>
      <sz val="10.5"/>
      <color rgb="FF00B050"/>
      <name val="Aptos"/>
      <family val="2"/>
    </font>
    <font>
      <b/>
      <sz val="10.5"/>
      <color rgb="FFFF0000"/>
      <name val="Aptos"/>
      <family val="2"/>
    </font>
    <font>
      <b/>
      <sz val="10.5"/>
      <name val="Aptos"/>
      <family val="2"/>
    </font>
    <font>
      <b/>
      <sz val="10.5"/>
      <color theme="0"/>
      <name val="Aptos"/>
      <family val="2"/>
    </font>
    <font>
      <b/>
      <sz val="10.5"/>
      <color rgb="FF0000FF"/>
      <name val="Aptos"/>
      <family val="2"/>
    </font>
    <font>
      <b/>
      <sz val="10.5"/>
      <color theme="8" tint="-0.499984740745262"/>
      <name val="Aptos"/>
      <family val="2"/>
    </font>
    <font>
      <sz val="10.5"/>
      <color rgb="FFFF0000"/>
      <name val="Aptos"/>
      <family val="2"/>
    </font>
    <font>
      <sz val="10.5"/>
      <color rgb="FFC00000"/>
      <name val="Aptos"/>
      <family val="2"/>
    </font>
    <font>
      <b/>
      <sz val="10.5"/>
      <color rgb="FFC00000"/>
      <name val="Aptos"/>
      <family val="2"/>
    </font>
    <font>
      <sz val="10.5"/>
      <color rgb="FF0000FF"/>
      <name val="Aptos"/>
      <family val="2"/>
    </font>
    <font>
      <sz val="10.5"/>
      <color theme="5" tint="-0.499984740745262"/>
      <name val="Aptos"/>
      <family val="2"/>
    </font>
    <font>
      <b/>
      <sz val="10.5"/>
      <color theme="5" tint="-0.499984740745262"/>
      <name val="Aptos"/>
      <family val="2"/>
    </font>
    <font>
      <sz val="10.5"/>
      <color theme="1"/>
      <name val="Aptos Display"/>
      <family val="2"/>
    </font>
    <font>
      <b/>
      <sz val="10.5"/>
      <name val="Aptos Display"/>
      <family val="2"/>
    </font>
    <font>
      <sz val="10.5"/>
      <name val="Aptos Display"/>
      <family val="2"/>
    </font>
    <font>
      <sz val="10.5"/>
      <color rgb="FFFF0000"/>
      <name val="Aptos Display"/>
      <family val="2"/>
    </font>
    <font>
      <b/>
      <sz val="10.5"/>
      <color theme="5"/>
      <name val="Aptos"/>
      <family val="2"/>
    </font>
    <font>
      <b/>
      <sz val="10.5"/>
      <color rgb="FF002060"/>
      <name val="Aptos"/>
      <family val="2"/>
    </font>
    <font>
      <sz val="10.5"/>
      <color rgb="FF002060"/>
      <name val="Aptos"/>
      <family val="2"/>
    </font>
    <font>
      <sz val="10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left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9" fontId="0" fillId="0" borderId="0" xfId="0" applyNumberFormat="1" applyAlignment="1">
      <alignment horizont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181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left" vertical="center"/>
    </xf>
    <xf numFmtId="0" fontId="13" fillId="13" borderId="0" xfId="1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181" fontId="13" fillId="13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 wrapText="1"/>
    </xf>
    <xf numFmtId="0" fontId="13" fillId="5" borderId="0" xfId="0" applyFont="1" applyFill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left"/>
    </xf>
    <xf numFmtId="0" fontId="13" fillId="13" borderId="0" xfId="0" applyFont="1" applyFill="1" applyAlignment="1">
      <alignment horizontal="center"/>
    </xf>
    <xf numFmtId="0" fontId="13" fillId="5" borderId="0" xfId="0" applyFont="1" applyFill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1" applyFont="1" applyAlignment="1">
      <alignment horizontal="center" vertical="center"/>
    </xf>
    <xf numFmtId="0" fontId="13" fillId="4" borderId="0" xfId="0" applyFont="1" applyFill="1" applyAlignment="1">
      <alignment horizontal="left"/>
    </xf>
    <xf numFmtId="0" fontId="9" fillId="0" borderId="0" xfId="0" applyFont="1"/>
    <xf numFmtId="0" fontId="13" fillId="0" borderId="0" xfId="0" applyFont="1" applyAlignment="1">
      <alignment vertical="center"/>
    </xf>
    <xf numFmtId="177" fontId="13" fillId="0" borderId="0" xfId="0" applyNumberFormat="1" applyFont="1" applyAlignment="1">
      <alignment horizontal="center" vertical="center"/>
    </xf>
    <xf numFmtId="182" fontId="12" fillId="14" borderId="0" xfId="0" applyNumberFormat="1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 wrapText="1"/>
    </xf>
    <xf numFmtId="177" fontId="12" fillId="14" borderId="0" xfId="0" applyNumberFormat="1" applyFont="1" applyFill="1" applyAlignment="1">
      <alignment horizontal="center" vertical="center" wrapText="1"/>
    </xf>
    <xf numFmtId="177" fontId="12" fillId="14" borderId="0" xfId="0" applyNumberFormat="1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11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9" fillId="7" borderId="0" xfId="0" applyFont="1" applyFill="1" applyAlignment="1">
      <alignment horizontal="left"/>
    </xf>
    <xf numFmtId="183" fontId="9" fillId="7" borderId="0" xfId="0" applyNumberFormat="1" applyFont="1" applyFill="1" applyAlignment="1">
      <alignment horizontal="center"/>
    </xf>
    <xf numFmtId="0" fontId="25" fillId="7" borderId="0" xfId="0" applyFont="1" applyFill="1"/>
    <xf numFmtId="0" fontId="23" fillId="7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14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10" fillId="7" borderId="0" xfId="0" applyFont="1" applyFill="1" applyAlignment="1">
      <alignment vertical="center"/>
    </xf>
    <xf numFmtId="0" fontId="27" fillId="7" borderId="0" xfId="2" applyFont="1" applyFill="1"/>
    <xf numFmtId="0" fontId="16" fillId="7" borderId="0" xfId="0" quotePrefix="1" applyFont="1" applyFill="1"/>
    <xf numFmtId="0" fontId="11" fillId="7" borderId="0" xfId="0" quotePrefix="1" applyFont="1" applyFill="1" applyAlignment="1">
      <alignment vertical="center"/>
    </xf>
    <xf numFmtId="0" fontId="11" fillId="7" borderId="0" xfId="0" quotePrefix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5" fillId="7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/>
    </xf>
    <xf numFmtId="0" fontId="24" fillId="7" borderId="1" xfId="0" applyFont="1" applyFill="1" applyBorder="1" applyAlignment="1">
      <alignment vertical="center"/>
    </xf>
    <xf numFmtId="0" fontId="24" fillId="7" borderId="0" xfId="0" applyFont="1" applyFill="1" applyAlignment="1">
      <alignment vertical="center"/>
    </xf>
    <xf numFmtId="0" fontId="24" fillId="7" borderId="0" xfId="0" applyFont="1" applyFill="1" applyAlignment="1">
      <alignment horizontal="center" vertical="center"/>
    </xf>
    <xf numFmtId="0" fontId="30" fillId="7" borderId="1" xfId="0" applyFont="1" applyFill="1" applyBorder="1" applyAlignment="1">
      <alignment vertical="center"/>
    </xf>
    <xf numFmtId="0" fontId="30" fillId="7" borderId="0" xfId="0" applyFont="1" applyFill="1" applyAlignment="1">
      <alignment vertical="center"/>
    </xf>
    <xf numFmtId="0" fontId="30" fillId="7" borderId="0" xfId="0" applyFont="1" applyFill="1" applyAlignment="1">
      <alignment horizontal="center" vertical="center"/>
    </xf>
    <xf numFmtId="0" fontId="30" fillId="7" borderId="0" xfId="0" applyFont="1" applyFill="1" applyAlignment="1">
      <alignment horizontal="left"/>
    </xf>
    <xf numFmtId="0" fontId="13" fillId="7" borderId="1" xfId="0" applyFont="1" applyFill="1" applyBorder="1" applyAlignment="1">
      <alignment vertical="center"/>
    </xf>
    <xf numFmtId="0" fontId="13" fillId="7" borderId="0" xfId="0" applyFont="1" applyFill="1" applyAlignment="1">
      <alignment horizontal="left"/>
    </xf>
    <xf numFmtId="0" fontId="16" fillId="7" borderId="1" xfId="0" applyFont="1" applyFill="1" applyBorder="1" applyAlignment="1">
      <alignment vertical="center"/>
    </xf>
    <xf numFmtId="0" fontId="16" fillId="7" borderId="0" xfId="0" applyFont="1" applyFill="1" applyAlignment="1">
      <alignment vertical="center"/>
    </xf>
    <xf numFmtId="0" fontId="16" fillId="7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left"/>
    </xf>
    <xf numFmtId="0" fontId="21" fillId="7" borderId="1" xfId="0" applyFont="1" applyFill="1" applyBorder="1"/>
    <xf numFmtId="0" fontId="21" fillId="7" borderId="0" xfId="0" applyFont="1" applyFill="1"/>
    <xf numFmtId="0" fontId="10" fillId="0" borderId="0" xfId="0" applyFont="1" applyAlignment="1">
      <alignment horizontal="left"/>
    </xf>
    <xf numFmtId="183" fontId="9" fillId="0" borderId="0" xfId="0" applyNumberFormat="1" applyFont="1" applyAlignment="1">
      <alignment horizontal="center"/>
    </xf>
    <xf numFmtId="0" fontId="2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7" fillId="0" borderId="0" xfId="2" applyFont="1" applyFill="1"/>
    <xf numFmtId="0" fontId="16" fillId="6" borderId="0" xfId="0" quotePrefix="1" applyFont="1" applyFill="1"/>
    <xf numFmtId="0" fontId="25" fillId="15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4" fillId="0" borderId="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5" borderId="1" xfId="0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0" fontId="24" fillId="5" borderId="0" xfId="0" applyFont="1" applyFill="1" applyAlignment="1">
      <alignment horizontal="center" vertical="center"/>
    </xf>
    <xf numFmtId="0" fontId="30" fillId="5" borderId="1" xfId="0" applyFont="1" applyFill="1" applyBorder="1" applyAlignment="1">
      <alignment vertical="center"/>
    </xf>
    <xf numFmtId="0" fontId="30" fillId="5" borderId="0" xfId="0" applyFont="1" applyFill="1" applyAlignment="1">
      <alignment vertical="center"/>
    </xf>
    <xf numFmtId="0" fontId="30" fillId="5" borderId="0" xfId="0" applyFont="1" applyFill="1" applyAlignment="1">
      <alignment horizontal="center" vertical="center"/>
    </xf>
    <xf numFmtId="0" fontId="21" fillId="6" borderId="1" xfId="0" applyFont="1" applyFill="1" applyBorder="1"/>
    <xf numFmtId="0" fontId="11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0" fontId="13" fillId="0" borderId="0" xfId="0" applyFont="1"/>
    <xf numFmtId="0" fontId="13" fillId="0" borderId="2" xfId="0" applyFont="1" applyBorder="1"/>
    <xf numFmtId="0" fontId="13" fillId="0" borderId="2" xfId="1" applyFont="1" applyBorder="1" applyAlignment="1">
      <alignment horizontal="left" vertical="center"/>
    </xf>
    <xf numFmtId="0" fontId="13" fillId="0" borderId="2" xfId="1" applyFont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25" fillId="9" borderId="0" xfId="0" applyFont="1" applyFill="1" applyAlignment="1">
      <alignment horizontal="left" vertical="center"/>
    </xf>
    <xf numFmtId="0" fontId="12" fillId="6" borderId="3" xfId="1" applyFont="1" applyFill="1" applyBorder="1" applyAlignment="1">
      <alignment horizontal="left" vertical="center"/>
    </xf>
    <xf numFmtId="0" fontId="12" fillId="0" borderId="4" xfId="1" applyFont="1" applyBorder="1" applyAlignment="1">
      <alignment horizontal="left" vertical="center"/>
    </xf>
    <xf numFmtId="0" fontId="12" fillId="0" borderId="4" xfId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3" fillId="0" borderId="1" xfId="1" applyFont="1" applyBorder="1" applyAlignment="1">
      <alignment horizontal="left" vertical="center"/>
    </xf>
    <xf numFmtId="0" fontId="13" fillId="0" borderId="0" xfId="1" applyFont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13" fillId="0" borderId="7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 wrapText="1"/>
    </xf>
    <xf numFmtId="0" fontId="13" fillId="0" borderId="8" xfId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0" fontId="36" fillId="0" borderId="1" xfId="1" applyFont="1" applyBorder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 wrapText="1"/>
    </xf>
    <xf numFmtId="0" fontId="36" fillId="0" borderId="7" xfId="1" applyFont="1" applyBorder="1" applyAlignment="1">
      <alignment horizontal="left" vertical="center"/>
    </xf>
    <xf numFmtId="0" fontId="36" fillId="0" borderId="8" xfId="1" applyFont="1" applyBorder="1" applyAlignment="1">
      <alignment horizontal="left" vertical="center"/>
    </xf>
    <xf numFmtId="0" fontId="36" fillId="0" borderId="8" xfId="1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horizontal="center"/>
    </xf>
    <xf numFmtId="0" fontId="13" fillId="0" borderId="10" xfId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7" fillId="17" borderId="0" xfId="0" applyFont="1" applyFill="1" applyAlignment="1">
      <alignment horizontal="left" vertical="center"/>
    </xf>
    <xf numFmtId="0" fontId="17" fillId="17" borderId="0" xfId="1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181" fontId="13" fillId="17" borderId="0" xfId="0" applyNumberFormat="1" applyFont="1" applyFill="1" applyAlignment="1">
      <alignment horizontal="center" vertical="center"/>
    </xf>
    <xf numFmtId="0" fontId="13" fillId="17" borderId="0" xfId="0" applyFont="1" applyFill="1" applyAlignment="1">
      <alignment horizontal="left" vertical="center"/>
    </xf>
    <xf numFmtId="0" fontId="13" fillId="17" borderId="0" xfId="1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32" fillId="17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180" fontId="13" fillId="16" borderId="0" xfId="0" applyNumberFormat="1" applyFont="1" applyFill="1" applyAlignment="1">
      <alignment horizontal="center" vertical="center"/>
    </xf>
    <xf numFmtId="181" fontId="13" fillId="16" borderId="0" xfId="0" applyNumberFormat="1" applyFont="1" applyFill="1" applyAlignment="1">
      <alignment horizontal="center" vertical="center"/>
    </xf>
    <xf numFmtId="0" fontId="20" fillId="0" borderId="0" xfId="0" applyFont="1"/>
    <xf numFmtId="0" fontId="22" fillId="0" borderId="0" xfId="0" quotePrefix="1" applyFont="1"/>
    <xf numFmtId="182" fontId="11" fillId="14" borderId="0" xfId="0" applyNumberFormat="1" applyFont="1" applyFill="1" applyAlignment="1">
      <alignment vertical="center"/>
    </xf>
    <xf numFmtId="0" fontId="22" fillId="0" borderId="0" xfId="0" applyFont="1" applyAlignment="1">
      <alignment vertical="center"/>
    </xf>
    <xf numFmtId="0" fontId="13" fillId="16" borderId="0" xfId="0" applyFont="1" applyFill="1" applyAlignment="1">
      <alignment vertical="center"/>
    </xf>
    <xf numFmtId="0" fontId="13" fillId="16" borderId="0" xfId="0" applyFont="1" applyFill="1" applyAlignment="1">
      <alignment horizontal="left"/>
    </xf>
    <xf numFmtId="0" fontId="13" fillId="16" borderId="0" xfId="1" applyFont="1" applyFill="1" applyAlignment="1">
      <alignment horizontal="center" vertical="center"/>
    </xf>
    <xf numFmtId="0" fontId="13" fillId="16" borderId="0" xfId="0" applyFont="1" applyFill="1" applyAlignment="1">
      <alignment horizontal="center"/>
    </xf>
    <xf numFmtId="0" fontId="11" fillId="0" borderId="0" xfId="1" applyFont="1" applyAlignment="1">
      <alignment horizontal="center" vertical="center"/>
    </xf>
    <xf numFmtId="178" fontId="37" fillId="18" borderId="2" xfId="0" applyNumberFormat="1" applyFont="1" applyFill="1" applyBorder="1" applyAlignment="1">
      <alignment horizontal="left" vertical="center" wrapText="1"/>
    </xf>
    <xf numFmtId="178" fontId="37" fillId="18" borderId="2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0" xfId="0" applyFont="1"/>
    <xf numFmtId="0" fontId="38" fillId="0" borderId="2" xfId="0" applyFont="1" applyBorder="1" applyAlignment="1">
      <alignment horizontal="left" vertical="center"/>
    </xf>
    <xf numFmtId="178" fontId="38" fillId="0" borderId="2" xfId="0" applyNumberFormat="1" applyFont="1" applyBorder="1" applyAlignment="1">
      <alignment horizontal="center" vertical="center"/>
    </xf>
    <xf numFmtId="0" fontId="39" fillId="0" borderId="2" xfId="0" applyFont="1" applyBorder="1" applyAlignment="1">
      <alignment horizontal="left" vertical="center"/>
    </xf>
    <xf numFmtId="0" fontId="38" fillId="0" borderId="2" xfId="0" applyFont="1" applyBorder="1" applyAlignment="1">
      <alignment horizontal="left"/>
    </xf>
    <xf numFmtId="0" fontId="38" fillId="19" borderId="2" xfId="0" applyFont="1" applyFill="1" applyBorder="1" applyAlignment="1">
      <alignment horizontal="left" vertical="center"/>
    </xf>
    <xf numFmtId="0" fontId="38" fillId="19" borderId="2" xfId="0" applyFont="1" applyFill="1" applyBorder="1" applyAlignment="1">
      <alignment horizontal="left"/>
    </xf>
    <xf numFmtId="178" fontId="38" fillId="19" borderId="2" xfId="0" applyNumberFormat="1" applyFont="1" applyFill="1" applyBorder="1" applyAlignment="1">
      <alignment horizontal="center" vertical="center"/>
    </xf>
    <xf numFmtId="10" fontId="38" fillId="19" borderId="0" xfId="0" applyNumberFormat="1" applyFont="1" applyFill="1" applyAlignment="1">
      <alignment horizontal="center"/>
    </xf>
    <xf numFmtId="178" fontId="37" fillId="0" borderId="0" xfId="0" applyNumberFormat="1" applyFont="1" applyAlignment="1">
      <alignment horizontal="center" vertical="center" wrapText="1"/>
    </xf>
    <xf numFmtId="178" fontId="38" fillId="0" borderId="0" xfId="0" applyNumberFormat="1" applyFont="1" applyAlignment="1">
      <alignment horizontal="center" vertical="center"/>
    </xf>
    <xf numFmtId="183" fontId="13" fillId="0" borderId="0" xfId="1" applyNumberFormat="1" applyFont="1" applyAlignment="1">
      <alignment horizontal="center" vertical="center"/>
    </xf>
    <xf numFmtId="183" fontId="13" fillId="0" borderId="6" xfId="1" applyNumberFormat="1" applyFont="1" applyBorder="1" applyAlignment="1">
      <alignment horizontal="center" vertical="center"/>
    </xf>
    <xf numFmtId="183" fontId="9" fillId="0" borderId="0" xfId="0" applyNumberFormat="1" applyFont="1" applyAlignment="1">
      <alignment horizontal="center" vertical="center"/>
    </xf>
    <xf numFmtId="183" fontId="9" fillId="0" borderId="6" xfId="0" applyNumberFormat="1" applyFont="1" applyBorder="1" applyAlignment="1">
      <alignment horizontal="center" vertical="center"/>
    </xf>
    <xf numFmtId="183" fontId="13" fillId="0" borderId="8" xfId="0" applyNumberFormat="1" applyFont="1" applyBorder="1" applyAlignment="1">
      <alignment horizontal="center" vertical="center"/>
    </xf>
    <xf numFmtId="183" fontId="13" fillId="0" borderId="9" xfId="0" applyNumberFormat="1" applyFont="1" applyBorder="1" applyAlignment="1">
      <alignment horizontal="center" vertical="center"/>
    </xf>
    <xf numFmtId="0" fontId="13" fillId="7" borderId="0" xfId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6" fillId="0" borderId="0" xfId="0" applyFont="1"/>
    <xf numFmtId="0" fontId="13" fillId="16" borderId="0" xfId="0" applyFont="1" applyFill="1"/>
    <xf numFmtId="44" fontId="9" fillId="0" borderId="0" xfId="0" applyNumberFormat="1" applyFont="1" applyAlignment="1">
      <alignment horizontal="center"/>
    </xf>
    <xf numFmtId="44" fontId="13" fillId="13" borderId="0" xfId="0" applyNumberFormat="1" applyFont="1" applyFill="1" applyAlignment="1">
      <alignment horizontal="center"/>
    </xf>
    <xf numFmtId="44" fontId="13" fillId="0" borderId="0" xfId="0" applyNumberFormat="1" applyFont="1" applyAlignment="1">
      <alignment horizontal="center"/>
    </xf>
    <xf numFmtId="44" fontId="13" fillId="16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9" fillId="19" borderId="0" xfId="0" applyFont="1" applyFill="1" applyAlignment="1">
      <alignment horizontal="left" vertical="center"/>
    </xf>
    <xf numFmtId="0" fontId="13" fillId="19" borderId="0" xfId="0" applyFont="1" applyFill="1" applyAlignment="1">
      <alignment horizontal="left" vertical="center"/>
    </xf>
    <xf numFmtId="10" fontId="9" fillId="0" borderId="0" xfId="0" applyNumberFormat="1" applyFont="1" applyAlignment="1">
      <alignment horizontal="center" vertical="center"/>
    </xf>
    <xf numFmtId="0" fontId="9" fillId="20" borderId="0" xfId="0" applyFont="1" applyFill="1" applyAlignment="1">
      <alignment horizontal="left" vertical="center"/>
    </xf>
    <xf numFmtId="0" fontId="9" fillId="20" borderId="0" xfId="1" applyFont="1" applyFill="1" applyAlignment="1">
      <alignment horizontal="center" vertical="center"/>
    </xf>
    <xf numFmtId="0" fontId="9" fillId="20" borderId="0" xfId="0" applyFont="1" applyFill="1" applyAlignment="1">
      <alignment horizontal="center" vertical="center"/>
    </xf>
    <xf numFmtId="0" fontId="13" fillId="21" borderId="0" xfId="0" applyFont="1" applyFill="1"/>
    <xf numFmtId="0" fontId="22" fillId="4" borderId="0" xfId="0" applyFont="1" applyFill="1" applyAlignment="1">
      <alignment horizontal="left" vertical="center"/>
    </xf>
    <xf numFmtId="0" fontId="27" fillId="0" borderId="0" xfId="2" applyFont="1" applyFill="1" applyAlignment="1">
      <alignment horizontal="center"/>
    </xf>
    <xf numFmtId="0" fontId="43" fillId="2" borderId="0" xfId="0" applyFont="1" applyFill="1"/>
    <xf numFmtId="185" fontId="9" fillId="0" borderId="0" xfId="0" applyNumberFormat="1" applyFont="1" applyAlignment="1">
      <alignment horizontal="center"/>
    </xf>
    <xf numFmtId="185" fontId="16" fillId="0" borderId="0" xfId="0" applyNumberFormat="1" applyFont="1" applyAlignment="1">
      <alignment horizontal="center"/>
    </xf>
    <xf numFmtId="185" fontId="9" fillId="7" borderId="0" xfId="0" applyNumberFormat="1" applyFont="1" applyFill="1" applyAlignment="1">
      <alignment horizontal="center"/>
    </xf>
    <xf numFmtId="185" fontId="30" fillId="7" borderId="0" xfId="0" applyNumberFormat="1" applyFont="1" applyFill="1" applyAlignment="1">
      <alignment horizontal="center"/>
    </xf>
    <xf numFmtId="185" fontId="13" fillId="7" borderId="0" xfId="0" applyNumberFormat="1" applyFont="1" applyFill="1" applyAlignment="1">
      <alignment horizontal="center"/>
    </xf>
    <xf numFmtId="185" fontId="16" fillId="7" borderId="0" xfId="0" applyNumberFormat="1" applyFont="1" applyFill="1" applyAlignment="1">
      <alignment horizontal="center"/>
    </xf>
    <xf numFmtId="0" fontId="15" fillId="0" borderId="0" xfId="0" applyFont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177" fontId="12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5" fillId="0" borderId="0" xfId="1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44" fillId="7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/>
    </xf>
    <xf numFmtId="177" fontId="12" fillId="4" borderId="0" xfId="0" applyNumberFormat="1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179" fontId="13" fillId="4" borderId="0" xfId="0" applyNumberFormat="1" applyFont="1" applyFill="1" applyAlignment="1">
      <alignment horizontal="center" vertical="center"/>
    </xf>
    <xf numFmtId="0" fontId="16" fillId="0" borderId="0" xfId="1" applyFont="1" applyAlignment="1">
      <alignment horizontal="left" vertical="center"/>
    </xf>
    <xf numFmtId="177" fontId="12" fillId="5" borderId="0" xfId="0" applyNumberFormat="1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178" fontId="13" fillId="5" borderId="0" xfId="0" applyNumberFormat="1" applyFont="1" applyFill="1" applyAlignment="1">
      <alignment horizontal="center" vertical="center"/>
    </xf>
    <xf numFmtId="0" fontId="16" fillId="17" borderId="0" xfId="0" applyFont="1" applyFill="1" applyAlignment="1">
      <alignment horizontal="left" vertical="center"/>
    </xf>
    <xf numFmtId="0" fontId="15" fillId="17" borderId="0" xfId="1" applyFont="1" applyFill="1" applyAlignment="1">
      <alignment horizontal="left" vertical="center"/>
    </xf>
    <xf numFmtId="0" fontId="13" fillId="17" borderId="0" xfId="0" applyFont="1" applyFill="1" applyAlignment="1">
      <alignment horizontal="center" vertical="center" wrapText="1"/>
    </xf>
    <xf numFmtId="178" fontId="13" fillId="17" borderId="0" xfId="0" applyNumberFormat="1" applyFont="1" applyFill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178" fontId="16" fillId="10" borderId="0" xfId="0" applyNumberFormat="1" applyFont="1" applyFill="1" applyAlignment="1">
      <alignment horizontal="center" vertical="center"/>
    </xf>
    <xf numFmtId="0" fontId="44" fillId="3" borderId="0" xfId="0" applyFont="1" applyFill="1" applyAlignment="1">
      <alignment horizontal="left" vertical="center"/>
    </xf>
    <xf numFmtId="0" fontId="45" fillId="0" borderId="0" xfId="1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178" fontId="44" fillId="5" borderId="0" xfId="0" applyNumberFormat="1" applyFont="1" applyFill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178" fontId="14" fillId="0" borderId="0" xfId="0" applyNumberFormat="1" applyFont="1" applyAlignment="1">
      <alignment horizontal="center" vertical="center"/>
    </xf>
    <xf numFmtId="0" fontId="9" fillId="12" borderId="0" xfId="0" applyFont="1" applyFill="1" applyAlignment="1">
      <alignment horizontal="left" vertical="center"/>
    </xf>
    <xf numFmtId="0" fontId="13" fillId="12" borderId="0" xfId="0" applyFont="1" applyFill="1" applyAlignment="1">
      <alignment horizontal="left" vertical="center"/>
    </xf>
    <xf numFmtId="0" fontId="13" fillId="2" borderId="0" xfId="1" applyFont="1" applyFill="1" applyAlignment="1">
      <alignment horizontal="center" vertical="center"/>
    </xf>
    <xf numFmtId="0" fontId="12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0" xfId="0" applyFont="1"/>
    <xf numFmtId="0" fontId="13" fillId="5" borderId="2" xfId="1" applyFont="1" applyFill="1" applyBorder="1" applyAlignment="1">
      <alignment horizontal="left" vertical="center"/>
    </xf>
    <xf numFmtId="0" fontId="13" fillId="5" borderId="2" xfId="1" applyFont="1" applyFill="1" applyBorder="1" applyAlignment="1">
      <alignment horizontal="left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13" fillId="5" borderId="2" xfId="1" applyFont="1" applyFill="1" applyBorder="1" applyAlignment="1">
      <alignment horizontal="center" vertical="center"/>
    </xf>
    <xf numFmtId="0" fontId="13" fillId="0" borderId="2" xfId="1" applyFont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left" vertical="center" wrapText="1" indent="1"/>
    </xf>
    <xf numFmtId="0" fontId="9" fillId="22" borderId="2" xfId="0" applyFont="1" applyFill="1" applyBorder="1" applyAlignment="1">
      <alignment horizontal="left" vertical="center" wrapText="1"/>
    </xf>
    <xf numFmtId="0" fontId="9" fillId="22" borderId="2" xfId="0" applyFont="1" applyFill="1" applyBorder="1" applyAlignment="1">
      <alignment horizontal="left" vertical="center"/>
    </xf>
    <xf numFmtId="0" fontId="9" fillId="22" borderId="2" xfId="0" applyFont="1" applyFill="1" applyBorder="1" applyAlignment="1">
      <alignment vertical="center" wrapText="1"/>
    </xf>
    <xf numFmtId="44" fontId="13" fillId="0" borderId="2" xfId="0" applyNumberFormat="1" applyFont="1" applyBorder="1" applyAlignment="1">
      <alignment horizontal="center" vertical="center"/>
    </xf>
    <xf numFmtId="44" fontId="13" fillId="0" borderId="0" xfId="0" applyNumberFormat="1" applyFont="1" applyAlignment="1">
      <alignment horizontal="center" vertical="center"/>
    </xf>
    <xf numFmtId="44" fontId="13" fillId="0" borderId="0" xfId="0" applyNumberFormat="1" applyFont="1" applyAlignment="1">
      <alignment vertical="center"/>
    </xf>
    <xf numFmtId="176" fontId="9" fillId="0" borderId="0" xfId="0" applyNumberFormat="1" applyFont="1" applyAlignment="1">
      <alignment horizontal="left"/>
    </xf>
    <xf numFmtId="176" fontId="13" fillId="0" borderId="0" xfId="0" applyNumberFormat="1" applyFont="1" applyAlignment="1">
      <alignment horizontal="left"/>
    </xf>
    <xf numFmtId="176" fontId="9" fillId="0" borderId="0" xfId="0" applyNumberFormat="1" applyFont="1"/>
    <xf numFmtId="0" fontId="25" fillId="15" borderId="0" xfId="0" applyFont="1" applyFill="1" applyAlignment="1">
      <alignment horizontal="left" vertical="center"/>
    </xf>
    <xf numFmtId="0" fontId="50" fillId="0" borderId="0" xfId="0" applyFont="1" applyAlignment="1">
      <alignment horizontal="left" vertical="center"/>
    </xf>
    <xf numFmtId="181" fontId="13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21" fillId="20" borderId="0" xfId="0" applyFont="1" applyFill="1" applyAlignment="1">
      <alignment horizontal="center" vertical="center"/>
    </xf>
    <xf numFmtId="0" fontId="52" fillId="17" borderId="0" xfId="0" applyFont="1" applyFill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0" fontId="21" fillId="19" borderId="0" xfId="0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176" fontId="21" fillId="0" borderId="0" xfId="0" applyNumberFormat="1" applyFont="1" applyAlignment="1">
      <alignment horizontal="center"/>
    </xf>
    <xf numFmtId="0" fontId="9" fillId="0" borderId="0" xfId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181" fontId="13" fillId="20" borderId="0" xfId="0" applyNumberFormat="1" applyFont="1" applyFill="1" applyAlignment="1">
      <alignment horizontal="center" vertical="center"/>
    </xf>
    <xf numFmtId="0" fontId="18" fillId="16" borderId="0" xfId="0" applyFont="1" applyFill="1" applyAlignment="1">
      <alignment horizontal="left" vertical="center"/>
    </xf>
    <xf numFmtId="0" fontId="51" fillId="16" borderId="0" xfId="0" applyFont="1" applyFill="1" applyAlignment="1">
      <alignment horizontal="center" vertical="center"/>
    </xf>
    <xf numFmtId="0" fontId="50" fillId="16" borderId="0" xfId="0" applyFont="1" applyFill="1" applyAlignment="1">
      <alignment horizontal="left" vertical="center"/>
    </xf>
    <xf numFmtId="0" fontId="19" fillId="16" borderId="0" xfId="1" applyFont="1" applyFill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2" fillId="17" borderId="0" xfId="0" applyFont="1" applyFill="1" applyAlignment="1">
      <alignment horizontal="left" vertical="center"/>
    </xf>
    <xf numFmtId="0" fontId="12" fillId="13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21" fillId="20" borderId="0" xfId="0" applyFont="1" applyFill="1" applyAlignment="1">
      <alignment horizontal="left" vertical="center"/>
    </xf>
    <xf numFmtId="0" fontId="52" fillId="17" borderId="0" xfId="0" applyFont="1" applyFill="1" applyAlignment="1">
      <alignment horizontal="left" vertical="center"/>
    </xf>
    <xf numFmtId="9" fontId="12" fillId="0" borderId="0" xfId="0" applyNumberFormat="1" applyFont="1" applyAlignment="1">
      <alignment horizontal="left" vertical="center"/>
    </xf>
    <xf numFmtId="9" fontId="21" fillId="0" borderId="0" xfId="0" applyNumberFormat="1" applyFont="1" applyAlignment="1">
      <alignment horizontal="left" vertical="center"/>
    </xf>
    <xf numFmtId="44" fontId="11" fillId="0" borderId="0" xfId="0" applyNumberFormat="1" applyFont="1" applyAlignment="1">
      <alignment horizontal="center"/>
    </xf>
    <xf numFmtId="0" fontId="13" fillId="14" borderId="0" xfId="0" applyFont="1" applyFill="1" applyAlignment="1">
      <alignment horizontal="left"/>
    </xf>
    <xf numFmtId="0" fontId="53" fillId="13" borderId="0" xfId="0" applyFont="1" applyFill="1" applyAlignment="1">
      <alignment horizontal="left"/>
    </xf>
    <xf numFmtId="0" fontId="53" fillId="5" borderId="0" xfId="0" applyFont="1" applyFill="1" applyAlignment="1">
      <alignment horizontal="left"/>
    </xf>
    <xf numFmtId="0" fontId="53" fillId="0" borderId="0" xfId="0" applyFont="1" applyAlignment="1">
      <alignment horizontal="left"/>
    </xf>
    <xf numFmtId="0" fontId="53" fillId="14" borderId="0" xfId="0" applyFont="1" applyFill="1" applyAlignment="1">
      <alignment horizontal="left"/>
    </xf>
    <xf numFmtId="0" fontId="53" fillId="5" borderId="0" xfId="0" applyFont="1" applyFill="1" applyAlignment="1">
      <alignment horizontal="left" vertical="center" wrapText="1"/>
    </xf>
    <xf numFmtId="0" fontId="53" fillId="16" borderId="0" xfId="0" applyFont="1" applyFill="1" applyAlignment="1">
      <alignment horizontal="left"/>
    </xf>
    <xf numFmtId="0" fontId="53" fillId="4" borderId="0" xfId="0" applyFont="1" applyFill="1" applyAlignment="1">
      <alignment horizontal="left"/>
    </xf>
    <xf numFmtId="176" fontId="53" fillId="0" borderId="0" xfId="0" applyNumberFormat="1" applyFont="1" applyAlignment="1">
      <alignment horizontal="left"/>
    </xf>
    <xf numFmtId="0" fontId="12" fillId="14" borderId="0" xfId="0" applyFont="1" applyFill="1" applyAlignment="1">
      <alignment horizontal="left"/>
    </xf>
    <xf numFmtId="176" fontId="13" fillId="0" borderId="0" xfId="0" applyNumberFormat="1" applyFont="1" applyAlignment="1">
      <alignment horizontal="center"/>
    </xf>
    <xf numFmtId="0" fontId="30" fillId="0" borderId="0" xfId="0" applyFont="1" applyAlignment="1">
      <alignment horizontal="left" vertical="center"/>
    </xf>
    <xf numFmtId="0" fontId="54" fillId="10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9" fontId="13" fillId="19" borderId="0" xfId="0" applyNumberFormat="1" applyFont="1" applyFill="1" applyAlignment="1">
      <alignment horizontal="center" vertical="center"/>
    </xf>
    <xf numFmtId="9" fontId="9" fillId="19" borderId="0" xfId="0" applyNumberFormat="1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181" fontId="13" fillId="19" borderId="0" xfId="0" applyNumberFormat="1" applyFont="1" applyFill="1" applyAlignment="1">
      <alignment horizontal="center" vertical="center"/>
    </xf>
    <xf numFmtId="0" fontId="36" fillId="19" borderId="0" xfId="1" applyFont="1" applyFill="1" applyAlignment="1">
      <alignment horizontal="left" vertical="center"/>
    </xf>
    <xf numFmtId="0" fontId="13" fillId="19" borderId="0" xfId="1" applyFont="1" applyFill="1" applyAlignment="1">
      <alignment horizontal="left" vertical="center"/>
    </xf>
    <xf numFmtId="0" fontId="13" fillId="19" borderId="8" xfId="1" applyFont="1" applyFill="1" applyBorder="1" applyAlignment="1">
      <alignment horizontal="left" vertical="center"/>
    </xf>
    <xf numFmtId="182" fontId="12" fillId="14" borderId="0" xfId="0" applyNumberFormat="1" applyFont="1" applyFill="1" applyAlignment="1">
      <alignment horizontal="left" vertical="center"/>
    </xf>
    <xf numFmtId="0" fontId="13" fillId="16" borderId="0" xfId="0" applyFont="1" applyFill="1" applyAlignment="1">
      <alignment horizontal="left" vertical="center"/>
    </xf>
    <xf numFmtId="0" fontId="30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3" fillId="16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3" fillId="5" borderId="0" xfId="0" applyFont="1" applyFill="1" applyAlignment="1">
      <alignment vertical="center"/>
    </xf>
    <xf numFmtId="0" fontId="13" fillId="12" borderId="1" xfId="0" applyFont="1" applyFill="1" applyBorder="1" applyAlignment="1">
      <alignment vertical="center"/>
    </xf>
    <xf numFmtId="0" fontId="13" fillId="12" borderId="0" xfId="0" applyFont="1" applyFill="1" applyAlignment="1">
      <alignment vertical="center"/>
    </xf>
    <xf numFmtId="0" fontId="13" fillId="12" borderId="0" xfId="0" applyFont="1" applyFill="1" applyAlignment="1">
      <alignment horizontal="center" vertical="center"/>
    </xf>
    <xf numFmtId="185" fontId="13" fillId="0" borderId="0" xfId="0" applyNumberFormat="1" applyFont="1" applyAlignment="1">
      <alignment horizontal="center"/>
    </xf>
    <xf numFmtId="0" fontId="12" fillId="12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 wrapText="1"/>
    </xf>
    <xf numFmtId="0" fontId="22" fillId="0" borderId="0" xfId="0" applyFont="1"/>
    <xf numFmtId="0" fontId="8" fillId="0" borderId="0" xfId="0" applyFont="1"/>
    <xf numFmtId="0" fontId="8" fillId="3" borderId="0" xfId="0" applyFont="1" applyFill="1"/>
    <xf numFmtId="0" fontId="22" fillId="4" borderId="0" xfId="0" applyFont="1" applyFill="1"/>
    <xf numFmtId="0" fontId="11" fillId="12" borderId="0" xfId="0" applyFont="1" applyFill="1" applyAlignment="1">
      <alignment vertical="center"/>
    </xf>
    <xf numFmtId="0" fontId="12" fillId="13" borderId="0" xfId="0" applyFont="1" applyFill="1"/>
    <xf numFmtId="0" fontId="12" fillId="5" borderId="0" xfId="0" applyFont="1" applyFill="1"/>
    <xf numFmtId="0" fontId="12" fillId="14" borderId="0" xfId="0" applyFont="1" applyFill="1"/>
    <xf numFmtId="0" fontId="21" fillId="0" borderId="0" xfId="0" applyFont="1"/>
    <xf numFmtId="0" fontId="12" fillId="5" borderId="0" xfId="0" applyFont="1" applyFill="1" applyAlignment="1">
      <alignment vertical="center" wrapText="1"/>
    </xf>
    <xf numFmtId="0" fontId="12" fillId="16" borderId="0" xfId="0" applyFont="1" applyFill="1"/>
    <xf numFmtId="0" fontId="13" fillId="13" borderId="0" xfId="0" applyFont="1" applyFill="1"/>
    <xf numFmtId="0" fontId="12" fillId="4" borderId="0" xfId="0" applyFont="1" applyFill="1"/>
    <xf numFmtId="0" fontId="13" fillId="5" borderId="0" xfId="0" applyFont="1" applyFill="1"/>
    <xf numFmtId="176" fontId="21" fillId="0" borderId="0" xfId="0" applyNumberFormat="1" applyFont="1"/>
    <xf numFmtId="0" fontId="9" fillId="0" borderId="0" xfId="0" applyFont="1" applyAlignment="1">
      <alignment wrapText="1"/>
    </xf>
    <xf numFmtId="0" fontId="56" fillId="6" borderId="0" xfId="0" applyFont="1" applyFill="1"/>
    <xf numFmtId="26" fontId="9" fillId="0" borderId="0" xfId="0" applyNumberFormat="1" applyFont="1"/>
    <xf numFmtId="26" fontId="9" fillId="0" borderId="0" xfId="0" applyNumberFormat="1" applyFont="1" applyAlignment="1">
      <alignment horizontal="left"/>
    </xf>
    <xf numFmtId="26" fontId="13" fillId="0" borderId="0" xfId="0" applyNumberFormat="1" applyFont="1" applyAlignment="1">
      <alignment horizontal="left"/>
    </xf>
    <xf numFmtId="26" fontId="9" fillId="0" borderId="0" xfId="0" applyNumberFormat="1" applyFont="1" applyAlignment="1">
      <alignment horizontal="center"/>
    </xf>
    <xf numFmtId="181" fontId="13" fillId="0" borderId="0" xfId="0" applyNumberFormat="1" applyFont="1" applyAlignment="1">
      <alignment horizontal="right" vertical="center"/>
    </xf>
    <xf numFmtId="0" fontId="14" fillId="23" borderId="0" xfId="0" applyFont="1" applyFill="1" applyAlignment="1">
      <alignment vertical="center"/>
    </xf>
    <xf numFmtId="0" fontId="14" fillId="23" borderId="0" xfId="0" applyFont="1" applyFill="1" applyAlignment="1">
      <alignment horizontal="center" vertical="center"/>
    </xf>
    <xf numFmtId="0" fontId="14" fillId="23" borderId="0" xfId="0" applyFont="1" applyFill="1" applyAlignment="1">
      <alignment horizontal="left" vertical="center"/>
    </xf>
    <xf numFmtId="180" fontId="14" fillId="23" borderId="0" xfId="0" applyNumberFormat="1" applyFont="1" applyFill="1" applyAlignment="1">
      <alignment horizontal="center" vertical="center"/>
    </xf>
    <xf numFmtId="0" fontId="13" fillId="23" borderId="0" xfId="0" applyFont="1" applyFill="1" applyAlignment="1">
      <alignment horizontal="center" vertical="center"/>
    </xf>
    <xf numFmtId="181" fontId="13" fillId="23" borderId="0" xfId="0" applyNumberFormat="1" applyFont="1" applyFill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left" vertical="center"/>
    </xf>
    <xf numFmtId="0" fontId="12" fillId="16" borderId="0" xfId="0" quotePrefix="1" applyFont="1" applyFill="1" applyAlignment="1">
      <alignment horizontal="left" vertical="center"/>
    </xf>
    <xf numFmtId="0" fontId="12" fillId="0" borderId="0" xfId="0" quotePrefix="1" applyFont="1" applyAlignment="1">
      <alignment horizontal="left" vertical="center"/>
    </xf>
    <xf numFmtId="0" fontId="12" fillId="23" borderId="0" xfId="0" quotePrefix="1" applyFont="1" applyFill="1" applyAlignment="1">
      <alignment horizontal="left" vertical="center"/>
    </xf>
    <xf numFmtId="181" fontId="16" fillId="0" borderId="0" xfId="0" applyNumberFormat="1" applyFont="1" applyAlignment="1">
      <alignment horizontal="center" vertical="center"/>
    </xf>
    <xf numFmtId="0" fontId="14" fillId="23" borderId="0" xfId="0" quotePrefix="1" applyFont="1" applyFill="1" applyAlignment="1">
      <alignment horizontal="left" vertical="center"/>
    </xf>
    <xf numFmtId="177" fontId="14" fillId="23" borderId="0" xfId="0" applyNumberFormat="1" applyFont="1" applyFill="1" applyAlignment="1">
      <alignment horizontal="center" vertical="center"/>
    </xf>
    <xf numFmtId="181" fontId="14" fillId="23" borderId="0" xfId="0" applyNumberFormat="1" applyFont="1" applyFill="1" applyAlignment="1">
      <alignment horizontal="center" vertical="center"/>
    </xf>
    <xf numFmtId="0" fontId="57" fillId="0" borderId="0" xfId="0" applyFont="1"/>
    <xf numFmtId="0" fontId="13" fillId="20" borderId="0" xfId="0" applyFont="1" applyFill="1" applyAlignment="1">
      <alignment horizontal="left" vertical="center"/>
    </xf>
    <xf numFmtId="0" fontId="12" fillId="20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left" vertical="center"/>
    </xf>
    <xf numFmtId="0" fontId="13" fillId="20" borderId="0" xfId="1" applyFont="1" applyFill="1" applyAlignment="1">
      <alignment horizontal="center" vertical="center"/>
    </xf>
    <xf numFmtId="0" fontId="13" fillId="20" borderId="0" xfId="0" applyFont="1" applyFill="1" applyAlignment="1">
      <alignment horizontal="left" vertical="center" wrapText="1"/>
    </xf>
    <xf numFmtId="0" fontId="12" fillId="20" borderId="0" xfId="0" applyFont="1" applyFill="1" applyAlignment="1">
      <alignment horizontal="center" vertical="center" wrapText="1"/>
    </xf>
    <xf numFmtId="0" fontId="13" fillId="20" borderId="0" xfId="0" applyFont="1" applyFill="1" applyAlignment="1">
      <alignment horizontal="center" vertical="center" wrapText="1"/>
    </xf>
    <xf numFmtId="0" fontId="12" fillId="20" borderId="0" xfId="0" applyFont="1" applyFill="1" applyAlignment="1">
      <alignment horizontal="left" vertical="center" wrapText="1"/>
    </xf>
    <xf numFmtId="0" fontId="58" fillId="19" borderId="0" xfId="0" applyFont="1" applyFill="1" applyAlignment="1">
      <alignment horizontal="center" vertical="center"/>
    </xf>
    <xf numFmtId="0" fontId="56" fillId="19" borderId="0" xfId="0" applyFont="1" applyFill="1" applyAlignment="1">
      <alignment horizontal="left" vertical="center"/>
    </xf>
    <xf numFmtId="0" fontId="58" fillId="19" borderId="0" xfId="1" applyFont="1" applyFill="1" applyAlignment="1">
      <alignment horizontal="center" vertical="center"/>
    </xf>
    <xf numFmtId="181" fontId="58" fillId="19" borderId="0" xfId="0" applyNumberFormat="1" applyFont="1" applyFill="1" applyAlignment="1">
      <alignment horizontal="center" vertical="center"/>
    </xf>
    <xf numFmtId="0" fontId="58" fillId="19" borderId="0" xfId="0" applyFont="1" applyFill="1" applyAlignment="1">
      <alignment horizontal="left" vertical="center" wrapText="1"/>
    </xf>
    <xf numFmtId="0" fontId="56" fillId="19" borderId="0" xfId="0" applyFont="1" applyFill="1" applyAlignment="1">
      <alignment horizontal="center" vertical="center" wrapText="1"/>
    </xf>
    <xf numFmtId="0" fontId="58" fillId="19" borderId="0" xfId="0" applyFont="1" applyFill="1" applyAlignment="1">
      <alignment horizontal="left" vertical="center"/>
    </xf>
    <xf numFmtId="0" fontId="56" fillId="19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56" fillId="5" borderId="0" xfId="0" applyFont="1" applyFill="1" applyAlignment="1">
      <alignment horizontal="left" vertical="center" wrapText="1"/>
    </xf>
    <xf numFmtId="0" fontId="56" fillId="5" borderId="0" xfId="0" applyFont="1" applyFill="1" applyAlignment="1">
      <alignment horizontal="center" vertical="center" wrapText="1"/>
    </xf>
    <xf numFmtId="0" fontId="58" fillId="5" borderId="0" xfId="0" applyFont="1" applyFill="1" applyAlignment="1">
      <alignment horizontal="left" vertical="center"/>
    </xf>
    <xf numFmtId="0" fontId="58" fillId="5" borderId="0" xfId="0" applyFont="1" applyFill="1" applyAlignment="1">
      <alignment horizontal="center" vertical="center"/>
    </xf>
    <xf numFmtId="0" fontId="56" fillId="0" borderId="0" xfId="0" applyFont="1" applyAlignment="1">
      <alignment horizontal="left" vertical="center"/>
    </xf>
    <xf numFmtId="0" fontId="58" fillId="0" borderId="0" xfId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81" fontId="58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left" vertical="center" wrapText="1"/>
    </xf>
    <xf numFmtId="0" fontId="14" fillId="5" borderId="0" xfId="0" applyFont="1" applyFill="1" applyAlignment="1">
      <alignment horizontal="center" vertical="center" wrapText="1"/>
    </xf>
    <xf numFmtId="0" fontId="30" fillId="5" borderId="0" xfId="0" applyFont="1" applyFill="1" applyAlignment="1">
      <alignment horizontal="left" vertical="center"/>
    </xf>
    <xf numFmtId="0" fontId="30" fillId="0" borderId="0" xfId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81" fontId="30" fillId="0" borderId="0" xfId="0" applyNumberFormat="1" applyFont="1" applyAlignment="1">
      <alignment horizontal="center" vertical="center"/>
    </xf>
    <xf numFmtId="0" fontId="12" fillId="6" borderId="0" xfId="0" applyFont="1" applyFill="1" applyAlignment="1">
      <alignment vertical="center"/>
    </xf>
    <xf numFmtId="180" fontId="12" fillId="0" borderId="0" xfId="0" applyNumberFormat="1" applyFont="1" applyAlignment="1">
      <alignment horizontal="center" vertical="center"/>
    </xf>
    <xf numFmtId="0" fontId="12" fillId="23" borderId="0" xfId="0" applyFont="1" applyFill="1" applyAlignment="1">
      <alignment vertical="center"/>
    </xf>
    <xf numFmtId="0" fontId="12" fillId="23" borderId="0" xfId="0" applyFont="1" applyFill="1" applyAlignment="1">
      <alignment horizontal="center" vertical="center"/>
    </xf>
    <xf numFmtId="0" fontId="12" fillId="23" borderId="0" xfId="0" applyFont="1" applyFill="1" applyAlignment="1">
      <alignment horizontal="left" vertical="center"/>
    </xf>
    <xf numFmtId="180" fontId="12" fillId="23" borderId="0" xfId="0" applyNumberFormat="1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12" fillId="0" borderId="0" xfId="0" quotePrefix="1" applyFont="1" applyAlignment="1">
      <alignment horizontal="center" vertical="center"/>
    </xf>
    <xf numFmtId="0" fontId="11" fillId="23" borderId="0" xfId="0" applyFont="1" applyFill="1" applyAlignment="1">
      <alignment horizontal="center" vertical="center"/>
    </xf>
    <xf numFmtId="181" fontId="12" fillId="23" borderId="0" xfId="0" applyNumberFormat="1" applyFont="1" applyFill="1" applyAlignment="1">
      <alignment horizontal="center" vertical="center"/>
    </xf>
    <xf numFmtId="186" fontId="13" fillId="0" borderId="0" xfId="0" applyNumberFormat="1" applyFont="1" applyAlignment="1">
      <alignment horizontal="center" vertical="center"/>
    </xf>
    <xf numFmtId="177" fontId="12" fillId="23" borderId="0" xfId="0" applyNumberFormat="1" applyFont="1" applyFill="1" applyAlignment="1">
      <alignment horizontal="center" vertical="center"/>
    </xf>
    <xf numFmtId="0" fontId="59" fillId="23" borderId="0" xfId="0" quotePrefix="1" applyFont="1" applyFill="1" applyAlignment="1">
      <alignment horizontal="left" vertical="center"/>
    </xf>
    <xf numFmtId="185" fontId="13" fillId="0" borderId="0" xfId="0" applyNumberFormat="1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0" fontId="61" fillId="0" borderId="2" xfId="0" applyFont="1" applyBorder="1" applyAlignment="1">
      <alignment horizontal="center"/>
    </xf>
    <xf numFmtId="0" fontId="61" fillId="0" borderId="2" xfId="0" applyFont="1" applyBorder="1"/>
    <xf numFmtId="0" fontId="38" fillId="0" borderId="2" xfId="0" applyFont="1" applyBorder="1" applyAlignment="1">
      <alignment horizontal="center"/>
    </xf>
    <xf numFmtId="0" fontId="38" fillId="0" borderId="2" xfId="0" applyFont="1" applyBorder="1"/>
    <xf numFmtId="0" fontId="39" fillId="0" borderId="2" xfId="0" applyFont="1" applyBorder="1" applyAlignment="1">
      <alignment horizontal="left" vertical="center" wrapText="1"/>
    </xf>
    <xf numFmtId="0" fontId="60" fillId="0" borderId="2" xfId="0" applyFont="1" applyBorder="1" applyAlignment="1">
      <alignment horizontal="center" vertical="center"/>
    </xf>
    <xf numFmtId="7" fontId="38" fillId="0" borderId="2" xfId="0" applyNumberFormat="1" applyFont="1" applyBorder="1" applyAlignment="1">
      <alignment horizontal="center"/>
    </xf>
    <xf numFmtId="0" fontId="38" fillId="7" borderId="2" xfId="0" applyFont="1" applyFill="1" applyBorder="1"/>
    <xf numFmtId="0" fontId="62" fillId="0" borderId="0" xfId="0" applyFont="1"/>
    <xf numFmtId="0" fontId="62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0" fontId="38" fillId="0" borderId="0" xfId="0" applyNumberFormat="1" applyFont="1" applyAlignment="1">
      <alignment horizontal="center"/>
    </xf>
    <xf numFmtId="7" fontId="38" fillId="0" borderId="0" xfId="0" applyNumberFormat="1" applyFont="1" applyAlignment="1">
      <alignment horizontal="center"/>
    </xf>
    <xf numFmtId="26" fontId="63" fillId="0" borderId="2" xfId="0" applyNumberFormat="1" applyFont="1" applyBorder="1" applyAlignment="1">
      <alignment horizontal="center"/>
    </xf>
    <xf numFmtId="26" fontId="63" fillId="0" borderId="0" xfId="0" applyNumberFormat="1" applyFont="1" applyAlignment="1">
      <alignment horizontal="center"/>
    </xf>
    <xf numFmtId="0" fontId="39" fillId="7" borderId="0" xfId="0" applyFont="1" applyFill="1" applyAlignment="1">
      <alignment horizontal="left" vertical="center"/>
    </xf>
    <xf numFmtId="0" fontId="39" fillId="7" borderId="2" xfId="0" applyFont="1" applyFill="1" applyBorder="1" applyAlignment="1">
      <alignment horizontal="left" vertical="center" wrapText="1"/>
    </xf>
    <xf numFmtId="7" fontId="38" fillId="7" borderId="2" xfId="0" applyNumberFormat="1" applyFont="1" applyFill="1" applyBorder="1" applyAlignment="1">
      <alignment horizontal="center"/>
    </xf>
    <xf numFmtId="0" fontId="38" fillId="7" borderId="2" xfId="0" applyFont="1" applyFill="1" applyBorder="1" applyAlignment="1">
      <alignment horizontal="center"/>
    </xf>
    <xf numFmtId="0" fontId="60" fillId="7" borderId="2" xfId="0" applyFont="1" applyFill="1" applyBorder="1" applyAlignment="1">
      <alignment horizontal="center" vertical="center"/>
    </xf>
    <xf numFmtId="0" fontId="63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26" fontId="63" fillId="7" borderId="2" xfId="0" applyNumberFormat="1" applyFont="1" applyFill="1" applyBorder="1" applyAlignment="1">
      <alignment horizontal="center"/>
    </xf>
    <xf numFmtId="188" fontId="13" fillId="0" borderId="0" xfId="0" applyNumberFormat="1" applyFont="1" applyAlignment="1">
      <alignment horizontal="center" vertical="center"/>
    </xf>
    <xf numFmtId="182" fontId="64" fillId="14" borderId="0" xfId="0" applyNumberFormat="1" applyFont="1" applyFill="1" applyAlignment="1">
      <alignment horizontal="center" vertical="center"/>
    </xf>
    <xf numFmtId="182" fontId="64" fillId="14" borderId="0" xfId="0" applyNumberFormat="1" applyFont="1" applyFill="1" applyAlignment="1">
      <alignment horizontal="left" vertical="center"/>
    </xf>
    <xf numFmtId="0" fontId="64" fillId="14" borderId="0" xfId="0" applyFont="1" applyFill="1" applyAlignment="1">
      <alignment horizontal="center" vertical="center" wrapText="1"/>
    </xf>
    <xf numFmtId="177" fontId="64" fillId="14" borderId="0" xfId="0" applyNumberFormat="1" applyFont="1" applyFill="1" applyAlignment="1">
      <alignment horizontal="center" vertical="center" wrapText="1"/>
    </xf>
    <xf numFmtId="177" fontId="64" fillId="14" borderId="0" xfId="0" applyNumberFormat="1" applyFont="1" applyFill="1" applyAlignment="1">
      <alignment horizontal="center" vertical="center"/>
    </xf>
    <xf numFmtId="0" fontId="64" fillId="14" borderId="0" xfId="0" applyFont="1" applyFill="1" applyAlignment="1">
      <alignment horizontal="center" vertical="center"/>
    </xf>
    <xf numFmtId="182" fontId="64" fillId="14" borderId="0" xfId="0" applyNumberFormat="1" applyFont="1" applyFill="1" applyAlignment="1">
      <alignment vertical="center"/>
    </xf>
    <xf numFmtId="0" fontId="65" fillId="0" borderId="0" xfId="0" applyFont="1"/>
    <xf numFmtId="0" fontId="66" fillId="0" borderId="0" xfId="0" applyFont="1"/>
    <xf numFmtId="0" fontId="66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/>
    </xf>
    <xf numFmtId="180" fontId="66" fillId="0" borderId="0" xfId="0" applyNumberFormat="1" applyFont="1" applyAlignment="1">
      <alignment horizontal="center" vertical="center"/>
    </xf>
    <xf numFmtId="0" fontId="66" fillId="0" borderId="0" xfId="0" quotePrefix="1" applyFont="1" applyAlignment="1">
      <alignment horizontal="left" vertical="center"/>
    </xf>
    <xf numFmtId="177" fontId="66" fillId="0" borderId="0" xfId="0" applyNumberFormat="1" applyFont="1" applyAlignment="1">
      <alignment horizontal="center" vertical="center"/>
    </xf>
    <xf numFmtId="0" fontId="66" fillId="0" borderId="0" xfId="0" applyFont="1" applyAlignment="1">
      <alignment horizontal="center"/>
    </xf>
    <xf numFmtId="180" fontId="66" fillId="0" borderId="0" xfId="0" applyNumberFormat="1" applyFont="1" applyAlignment="1">
      <alignment horizontal="left" vertical="center"/>
    </xf>
    <xf numFmtId="188" fontId="66" fillId="0" borderId="0" xfId="0" applyNumberFormat="1" applyFont="1" applyAlignment="1">
      <alignment horizontal="center" vertical="center"/>
    </xf>
    <xf numFmtId="188" fontId="65" fillId="0" borderId="0" xfId="0" applyNumberFormat="1" applyFont="1"/>
    <xf numFmtId="0" fontId="67" fillId="0" borderId="0" xfId="0" applyFont="1"/>
    <xf numFmtId="0" fontId="65" fillId="0" borderId="0" xfId="0" applyFont="1" applyAlignment="1">
      <alignment horizontal="left"/>
    </xf>
    <xf numFmtId="0" fontId="65" fillId="0" borderId="0" xfId="0" applyFont="1" applyAlignment="1">
      <alignment horizontal="center" vertical="center"/>
    </xf>
    <xf numFmtId="189" fontId="66" fillId="0" borderId="0" xfId="0" applyNumberFormat="1" applyFont="1" applyAlignment="1">
      <alignment horizontal="center" vertical="center"/>
    </xf>
    <xf numFmtId="190" fontId="65" fillId="0" borderId="0" xfId="0" applyNumberFormat="1" applyFont="1"/>
    <xf numFmtId="188" fontId="66" fillId="0" borderId="0" xfId="0" applyNumberFormat="1" applyFont="1"/>
    <xf numFmtId="0" fontId="2" fillId="0" borderId="0" xfId="0" applyFont="1"/>
    <xf numFmtId="0" fontId="66" fillId="23" borderId="0" xfId="0" applyFont="1" applyFill="1"/>
    <xf numFmtId="0" fontId="66" fillId="23" borderId="0" xfId="0" applyFont="1" applyFill="1" applyAlignment="1">
      <alignment vertical="center"/>
    </xf>
    <xf numFmtId="0" fontId="66" fillId="23" borderId="0" xfId="0" applyFont="1" applyFill="1" applyAlignment="1">
      <alignment horizontal="center" vertical="center"/>
    </xf>
    <xf numFmtId="0" fontId="66" fillId="23" borderId="0" xfId="0" applyFont="1" applyFill="1" applyAlignment="1">
      <alignment horizontal="left" vertical="center"/>
    </xf>
    <xf numFmtId="180" fontId="66" fillId="23" borderId="0" xfId="0" applyNumberFormat="1" applyFont="1" applyFill="1" applyAlignment="1">
      <alignment horizontal="left" vertical="center"/>
    </xf>
    <xf numFmtId="0" fontId="66" fillId="23" borderId="0" xfId="0" quotePrefix="1" applyFont="1" applyFill="1" applyAlignment="1">
      <alignment horizontal="left" vertical="center"/>
    </xf>
    <xf numFmtId="180" fontId="66" fillId="23" borderId="0" xfId="0" applyNumberFormat="1" applyFont="1" applyFill="1" applyAlignment="1">
      <alignment horizontal="center" vertical="center"/>
    </xf>
    <xf numFmtId="177" fontId="66" fillId="23" borderId="0" xfId="0" applyNumberFormat="1" applyFont="1" applyFill="1" applyAlignment="1">
      <alignment horizontal="center" vertical="center"/>
    </xf>
    <xf numFmtId="188" fontId="66" fillId="23" borderId="0" xfId="0" applyNumberFormat="1" applyFont="1" applyFill="1" applyAlignment="1">
      <alignment horizontal="center" vertical="center"/>
    </xf>
    <xf numFmtId="0" fontId="66" fillId="23" borderId="0" xfId="0" applyFont="1" applyFill="1" applyAlignment="1">
      <alignment horizontal="center"/>
    </xf>
    <xf numFmtId="0" fontId="66" fillId="0" borderId="0" xfId="0" applyFont="1" applyAlignment="1">
      <alignment horizontal="left"/>
    </xf>
    <xf numFmtId="188" fontId="66" fillId="0" borderId="0" xfId="0" applyNumberFormat="1" applyFont="1" applyAlignment="1">
      <alignment horizontal="center"/>
    </xf>
    <xf numFmtId="189" fontId="66" fillId="23" borderId="0" xfId="0" applyNumberFormat="1" applyFont="1" applyFill="1" applyAlignment="1">
      <alignment horizontal="center" vertical="center"/>
    </xf>
    <xf numFmtId="0" fontId="65" fillId="23" borderId="0" xfId="0" applyFont="1" applyFill="1"/>
    <xf numFmtId="14" fontId="12" fillId="0" borderId="0" xfId="0" applyNumberFormat="1" applyFont="1" applyAlignment="1">
      <alignment horizontal="center" vertical="center"/>
    </xf>
    <xf numFmtId="16" fontId="12" fillId="0" borderId="0" xfId="0" applyNumberFormat="1" applyFont="1" applyAlignment="1">
      <alignment horizontal="center" vertical="center"/>
    </xf>
    <xf numFmtId="177" fontId="12" fillId="16" borderId="0" xfId="0" applyNumberFormat="1" applyFont="1" applyFill="1" applyAlignment="1">
      <alignment horizontal="center" vertical="center"/>
    </xf>
    <xf numFmtId="0" fontId="12" fillId="23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35" fillId="23" borderId="0" xfId="0" applyFont="1" applyFill="1" applyAlignment="1">
      <alignment horizontal="center" vertical="center"/>
    </xf>
    <xf numFmtId="0" fontId="68" fillId="0" borderId="2" xfId="0" applyFont="1" applyBorder="1" applyAlignment="1">
      <alignment horizontal="center" vertical="center" wrapText="1"/>
    </xf>
    <xf numFmtId="6" fontId="68" fillId="0" borderId="2" xfId="0" applyNumberFormat="1" applyFont="1" applyBorder="1" applyAlignment="1">
      <alignment horizontal="center" vertical="center" wrapText="1"/>
    </xf>
    <xf numFmtId="6" fontId="68" fillId="25" borderId="2" xfId="0" applyNumberFormat="1" applyFont="1" applyFill="1" applyBorder="1" applyAlignment="1">
      <alignment horizontal="center" vertical="center" wrapText="1"/>
    </xf>
    <xf numFmtId="191" fontId="60" fillId="0" borderId="2" xfId="0" applyNumberFormat="1" applyFont="1" applyBorder="1" applyAlignment="1">
      <alignment horizontal="center" vertical="center"/>
    </xf>
    <xf numFmtId="0" fontId="68" fillId="0" borderId="2" xfId="0" applyFont="1" applyBorder="1" applyAlignment="1">
      <alignment horizontal="left" vertical="center" wrapText="1"/>
    </xf>
    <xf numFmtId="0" fontId="60" fillId="0" borderId="2" xfId="0" applyFont="1" applyBorder="1" applyAlignment="1">
      <alignment horizontal="left" vertical="center" wrapText="1"/>
    </xf>
    <xf numFmtId="0" fontId="60" fillId="0" borderId="2" xfId="0" applyFont="1" applyBorder="1" applyAlignment="1">
      <alignment horizontal="left" vertical="center"/>
    </xf>
    <xf numFmtId="0" fontId="63" fillId="0" borderId="0" xfId="0" applyFont="1" applyAlignment="1">
      <alignment horizontal="center" vertical="center" wrapText="1"/>
    </xf>
    <xf numFmtId="0" fontId="38" fillId="0" borderId="0" xfId="0" applyFont="1" applyAlignment="1">
      <alignment horizontal="left"/>
    </xf>
    <xf numFmtId="6" fontId="38" fillId="0" borderId="0" xfId="0" applyNumberFormat="1" applyFont="1"/>
    <xf numFmtId="191" fontId="38" fillId="25" borderId="2" xfId="0" applyNumberFormat="1" applyFont="1" applyFill="1" applyBorder="1" applyAlignment="1">
      <alignment horizontal="center"/>
    </xf>
    <xf numFmtId="191" fontId="38" fillId="0" borderId="0" xfId="0" applyNumberFormat="1" applyFont="1"/>
    <xf numFmtId="0" fontId="69" fillId="0" borderId="0" xfId="0" applyFont="1" applyAlignment="1">
      <alignment horizontal="left" vertical="center"/>
    </xf>
    <xf numFmtId="0" fontId="70" fillId="0" borderId="0" xfId="0" applyFont="1" applyAlignment="1">
      <alignment horizontal="left" vertical="center"/>
    </xf>
    <xf numFmtId="0" fontId="70" fillId="0" borderId="0" xfId="0" applyFont="1" applyAlignment="1">
      <alignment vertical="center"/>
    </xf>
    <xf numFmtId="0" fontId="70" fillId="0" borderId="0" xfId="0" applyFont="1" applyAlignment="1">
      <alignment horizontal="center" vertical="center"/>
    </xf>
    <xf numFmtId="181" fontId="70" fillId="0" borderId="0" xfId="0" applyNumberFormat="1" applyFont="1" applyAlignment="1">
      <alignment horizontal="center"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left" vertical="center"/>
    </xf>
    <xf numFmtId="0" fontId="73" fillId="0" borderId="0" xfId="0" applyFont="1" applyAlignment="1">
      <alignment horizontal="left" vertical="center"/>
    </xf>
    <xf numFmtId="0" fontId="75" fillId="0" borderId="0" xfId="0" applyFont="1" applyAlignment="1">
      <alignment horizontal="left" vertical="center"/>
    </xf>
    <xf numFmtId="0" fontId="71" fillId="3" borderId="0" xfId="0" applyFont="1" applyFill="1" applyAlignment="1">
      <alignment horizontal="left" vertical="center"/>
    </xf>
    <xf numFmtId="0" fontId="69" fillId="3" borderId="0" xfId="0" applyFont="1" applyFill="1" applyAlignment="1">
      <alignment horizontal="left" vertical="center"/>
    </xf>
    <xf numFmtId="0" fontId="69" fillId="4" borderId="0" xfId="0" applyFont="1" applyFill="1" applyAlignment="1">
      <alignment horizontal="left" vertical="center"/>
    </xf>
    <xf numFmtId="0" fontId="72" fillId="6" borderId="0" xfId="0" applyFont="1" applyFill="1" applyAlignment="1">
      <alignment horizontal="left" vertical="center"/>
    </xf>
    <xf numFmtId="0" fontId="69" fillId="6" borderId="0" xfId="0" applyFont="1" applyFill="1" applyAlignment="1">
      <alignment horizontal="left" vertical="center"/>
    </xf>
    <xf numFmtId="0" fontId="76" fillId="11" borderId="0" xfId="0" applyFont="1" applyFill="1" applyAlignment="1">
      <alignment horizontal="left" vertical="center"/>
    </xf>
    <xf numFmtId="0" fontId="77" fillId="11" borderId="0" xfId="0" applyFont="1" applyFill="1" applyAlignment="1">
      <alignment horizontal="left" vertical="center"/>
    </xf>
    <xf numFmtId="0" fontId="77" fillId="11" borderId="0" xfId="0" applyFont="1" applyFill="1" applyAlignment="1">
      <alignment vertical="center"/>
    </xf>
    <xf numFmtId="0" fontId="78" fillId="15" borderId="0" xfId="0" applyFont="1" applyFill="1" applyAlignment="1">
      <alignment horizontal="left" vertical="center"/>
    </xf>
    <xf numFmtId="0" fontId="77" fillId="11" borderId="0" xfId="0" applyFont="1" applyFill="1" applyAlignment="1">
      <alignment horizontal="center" vertical="center"/>
    </xf>
    <xf numFmtId="0" fontId="77" fillId="11" borderId="0" xfId="0" applyFont="1" applyFill="1" applyAlignment="1">
      <alignment horizontal="center" vertical="center" wrapText="1"/>
    </xf>
    <xf numFmtId="0" fontId="79" fillId="5" borderId="0" xfId="0" applyFont="1" applyFill="1" applyAlignment="1">
      <alignment horizontal="center" vertical="center"/>
    </xf>
    <xf numFmtId="181" fontId="79" fillId="5" borderId="0" xfId="0" applyNumberFormat="1" applyFont="1" applyFill="1" applyAlignment="1">
      <alignment horizontal="center" vertical="center"/>
    </xf>
    <xf numFmtId="0" fontId="39" fillId="20" borderId="0" xfId="0" applyFont="1" applyFill="1" applyAlignment="1">
      <alignment horizontal="left" vertical="center"/>
    </xf>
    <xf numFmtId="0" fontId="39" fillId="20" borderId="0" xfId="0" applyFont="1" applyFill="1" applyAlignment="1">
      <alignment vertical="center"/>
    </xf>
    <xf numFmtId="0" fontId="77" fillId="20" borderId="0" xfId="0" applyFont="1" applyFill="1" applyAlignment="1">
      <alignment horizontal="left" vertical="center"/>
    </xf>
    <xf numFmtId="0" fontId="39" fillId="20" borderId="0" xfId="1" applyFont="1" applyFill="1" applyAlignment="1">
      <alignment horizontal="center" vertical="center"/>
    </xf>
    <xf numFmtId="0" fontId="39" fillId="20" borderId="0" xfId="0" applyFont="1" applyFill="1" applyAlignment="1">
      <alignment horizontal="center" vertical="center"/>
    </xf>
    <xf numFmtId="44" fontId="39" fillId="20" borderId="0" xfId="0" applyNumberFormat="1" applyFont="1" applyFill="1" applyAlignment="1">
      <alignment horizontal="center" vertical="center"/>
    </xf>
    <xf numFmtId="0" fontId="39" fillId="24" borderId="0" xfId="0" applyFont="1" applyFill="1" applyAlignment="1">
      <alignment horizontal="left" vertical="center"/>
    </xf>
    <xf numFmtId="0" fontId="39" fillId="24" borderId="0" xfId="0" applyFont="1" applyFill="1" applyAlignment="1">
      <alignment vertical="center"/>
    </xf>
    <xf numFmtId="0" fontId="77" fillId="24" borderId="0" xfId="0" applyFont="1" applyFill="1" applyAlignment="1">
      <alignment horizontal="left" vertical="center"/>
    </xf>
    <xf numFmtId="0" fontId="39" fillId="24" borderId="0" xfId="1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44" fontId="39" fillId="24" borderId="0" xfId="0" applyNumberFormat="1" applyFont="1" applyFill="1" applyAlignment="1">
      <alignment horizontal="center" vertical="center"/>
    </xf>
    <xf numFmtId="0" fontId="39" fillId="5" borderId="0" xfId="0" applyFont="1" applyFill="1" applyAlignment="1">
      <alignment horizontal="left" vertical="center" wrapText="1"/>
    </xf>
    <xf numFmtId="0" fontId="39" fillId="5" borderId="0" xfId="0" applyFont="1" applyFill="1" applyAlignment="1">
      <alignment vertical="center" wrapText="1"/>
    </xf>
    <xf numFmtId="0" fontId="80" fillId="0" borderId="0" xfId="0" applyFont="1" applyAlignment="1">
      <alignment horizontal="left" vertical="center"/>
    </xf>
    <xf numFmtId="0" fontId="39" fillId="0" borderId="0" xfId="1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44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vertical="center"/>
    </xf>
    <xf numFmtId="0" fontId="77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9" fillId="5" borderId="0" xfId="0" applyFont="1" applyFill="1" applyAlignment="1">
      <alignment horizontal="left" vertical="center"/>
    </xf>
    <xf numFmtId="0" fontId="39" fillId="5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0" fontId="76" fillId="0" borderId="0" xfId="0" applyFont="1" applyAlignment="1">
      <alignment horizontal="left" vertic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39" fillId="2" borderId="0" xfId="1" applyFont="1" applyFill="1" applyAlignment="1">
      <alignment horizontal="center" vertical="center"/>
    </xf>
    <xf numFmtId="0" fontId="82" fillId="5" borderId="0" xfId="0" applyFont="1" applyFill="1" applyAlignment="1">
      <alignment horizontal="left" vertical="center" wrapText="1"/>
    </xf>
    <xf numFmtId="0" fontId="82" fillId="19" borderId="0" xfId="0" applyFont="1" applyFill="1" applyAlignment="1">
      <alignment horizontal="left" vertical="center"/>
    </xf>
    <xf numFmtId="0" fontId="83" fillId="19" borderId="0" xfId="0" applyFont="1" applyFill="1" applyAlignment="1">
      <alignment horizontal="left" vertical="center"/>
    </xf>
    <xf numFmtId="0" fontId="82" fillId="19" borderId="0" xfId="1" applyFont="1" applyFill="1" applyAlignment="1">
      <alignment horizontal="center" vertical="center"/>
    </xf>
    <xf numFmtId="0" fontId="82" fillId="19" borderId="0" xfId="0" applyFont="1" applyFill="1" applyAlignment="1">
      <alignment horizontal="center" vertical="center"/>
    </xf>
    <xf numFmtId="44" fontId="82" fillId="19" borderId="0" xfId="0" applyNumberFormat="1" applyFont="1" applyFill="1" applyAlignment="1">
      <alignment horizontal="center" vertical="center"/>
    </xf>
    <xf numFmtId="0" fontId="81" fillId="11" borderId="0" xfId="0" applyFont="1" applyFill="1" applyAlignment="1">
      <alignment horizontal="left" vertical="center"/>
    </xf>
    <xf numFmtId="0" fontId="81" fillId="11" borderId="0" xfId="0" applyFont="1" applyFill="1" applyAlignment="1">
      <alignment vertical="center"/>
    </xf>
    <xf numFmtId="0" fontId="81" fillId="11" borderId="0" xfId="1" applyFont="1" applyFill="1" applyAlignment="1">
      <alignment horizontal="center" vertical="center"/>
    </xf>
    <xf numFmtId="0" fontId="81" fillId="11" borderId="0" xfId="0" applyFont="1" applyFill="1" applyAlignment="1">
      <alignment horizontal="center" vertical="center"/>
    </xf>
    <xf numFmtId="44" fontId="81" fillId="11" borderId="0" xfId="0" applyNumberFormat="1" applyFont="1" applyFill="1" applyAlignment="1">
      <alignment horizontal="center" vertical="center"/>
    </xf>
    <xf numFmtId="0" fontId="82" fillId="19" borderId="0" xfId="0" applyFont="1" applyFill="1" applyAlignment="1">
      <alignment vertical="center"/>
    </xf>
    <xf numFmtId="0" fontId="77" fillId="5" borderId="0" xfId="0" applyFont="1" applyFill="1" applyAlignment="1">
      <alignment horizontal="left" vertical="center" wrapText="1"/>
    </xf>
    <xf numFmtId="0" fontId="77" fillId="0" borderId="0" xfId="0" applyFont="1" applyAlignment="1">
      <alignment horizontal="left" vertical="center" wrapText="1"/>
    </xf>
    <xf numFmtId="0" fontId="77" fillId="5" borderId="0" xfId="0" applyFont="1" applyFill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79" fillId="0" borderId="0" xfId="0" applyFont="1" applyAlignment="1">
      <alignment vertical="center"/>
    </xf>
    <xf numFmtId="0" fontId="79" fillId="0" borderId="0" xfId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5" fillId="10" borderId="0" xfId="0" applyFont="1" applyFill="1" applyAlignment="1">
      <alignment horizontal="left" vertical="center" wrapText="1"/>
    </xf>
    <xf numFmtId="0" fontId="86" fillId="10" borderId="0" xfId="0" applyFont="1" applyFill="1" applyAlignment="1">
      <alignment horizontal="left" vertical="center" wrapText="1"/>
    </xf>
    <xf numFmtId="0" fontId="86" fillId="10" borderId="0" xfId="0" applyFont="1" applyFill="1" applyAlignment="1">
      <alignment horizontal="left" vertical="center"/>
    </xf>
    <xf numFmtId="0" fontId="86" fillId="10" borderId="0" xfId="0" applyFont="1" applyFill="1" applyAlignment="1">
      <alignment vertical="center"/>
    </xf>
    <xf numFmtId="0" fontId="86" fillId="0" borderId="0" xfId="1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70" fillId="24" borderId="0" xfId="0" applyFont="1" applyFill="1" applyAlignment="1">
      <alignment horizontal="left" vertical="center"/>
    </xf>
    <xf numFmtId="0" fontId="72" fillId="24" borderId="0" xfId="0" applyFont="1" applyFill="1" applyAlignment="1">
      <alignment horizontal="left" vertical="center"/>
    </xf>
    <xf numFmtId="0" fontId="70" fillId="24" borderId="0" xfId="0" applyFont="1" applyFill="1" applyAlignment="1">
      <alignment vertical="center"/>
    </xf>
    <xf numFmtId="0" fontId="70" fillId="24" borderId="0" xfId="0" applyFont="1" applyFill="1" applyAlignment="1">
      <alignment horizontal="center" vertical="center"/>
    </xf>
    <xf numFmtId="44" fontId="70" fillId="24" borderId="0" xfId="0" applyNumberFormat="1" applyFont="1" applyFill="1" applyAlignment="1">
      <alignment horizontal="center" vertical="center"/>
    </xf>
    <xf numFmtId="44" fontId="79" fillId="5" borderId="0" xfId="0" applyNumberFormat="1" applyFont="1" applyFill="1" applyAlignment="1">
      <alignment horizontal="center" vertical="center"/>
    </xf>
    <xf numFmtId="10" fontId="81" fillId="11" borderId="0" xfId="0" applyNumberFormat="1" applyFont="1" applyFill="1" applyAlignment="1">
      <alignment horizontal="center" vertical="center"/>
    </xf>
    <xf numFmtId="10" fontId="70" fillId="0" borderId="0" xfId="0" applyNumberFormat="1" applyFont="1" applyAlignment="1">
      <alignment horizontal="center" vertical="center"/>
    </xf>
    <xf numFmtId="44" fontId="70" fillId="0" borderId="0" xfId="0" applyNumberFormat="1" applyFont="1" applyAlignment="1">
      <alignment horizontal="center" vertical="center"/>
    </xf>
    <xf numFmtId="186" fontId="70" fillId="0" borderId="0" xfId="0" applyNumberFormat="1" applyFont="1" applyAlignment="1">
      <alignment horizontal="center" vertical="center"/>
    </xf>
    <xf numFmtId="0" fontId="39" fillId="16" borderId="0" xfId="0" applyFont="1" applyFill="1" applyAlignment="1">
      <alignment horizontal="left" vertical="center"/>
    </xf>
    <xf numFmtId="0" fontId="77" fillId="16" borderId="0" xfId="0" applyFont="1" applyFill="1" applyAlignment="1">
      <alignment horizontal="left" vertical="center"/>
    </xf>
    <xf numFmtId="0" fontId="39" fillId="16" borderId="0" xfId="0" applyFont="1" applyFill="1" applyAlignment="1">
      <alignment vertical="center"/>
    </xf>
    <xf numFmtId="0" fontId="39" fillId="16" borderId="0" xfId="1" applyFont="1" applyFill="1" applyAlignment="1">
      <alignment horizontal="center" vertical="center"/>
    </xf>
    <xf numFmtId="0" fontId="39" fillId="16" borderId="0" xfId="0" applyFont="1" applyFill="1" applyAlignment="1">
      <alignment horizontal="center" vertical="center"/>
    </xf>
    <xf numFmtId="44" fontId="39" fillId="16" borderId="0" xfId="0" applyNumberFormat="1" applyFont="1" applyFill="1" applyAlignment="1">
      <alignment horizontal="center" vertical="center"/>
    </xf>
    <xf numFmtId="44" fontId="79" fillId="16" borderId="0" xfId="0" applyNumberFormat="1" applyFont="1" applyFill="1" applyAlignment="1">
      <alignment horizontal="center" vertical="center"/>
    </xf>
    <xf numFmtId="10" fontId="81" fillId="16" borderId="0" xfId="0" applyNumberFormat="1" applyFont="1" applyFill="1" applyAlignment="1">
      <alignment horizontal="center" vertical="center"/>
    </xf>
    <xf numFmtId="10" fontId="81" fillId="0" borderId="0" xfId="0" applyNumberFormat="1" applyFont="1" applyAlignment="1">
      <alignment horizontal="center" vertical="center"/>
    </xf>
    <xf numFmtId="44" fontId="77" fillId="0" borderId="0" xfId="0" applyNumberFormat="1" applyFont="1" applyAlignment="1">
      <alignment horizontal="center" vertical="center"/>
    </xf>
    <xf numFmtId="192" fontId="70" fillId="0" borderId="0" xfId="0" applyNumberFormat="1" applyFont="1" applyAlignment="1">
      <alignment horizontal="center" vertical="center"/>
    </xf>
    <xf numFmtId="0" fontId="70" fillId="5" borderId="0" xfId="0" applyFont="1" applyFill="1" applyAlignment="1">
      <alignment horizontal="center" vertical="center"/>
    </xf>
    <xf numFmtId="0" fontId="87" fillId="0" borderId="0" xfId="0" applyFont="1"/>
    <xf numFmtId="0" fontId="88" fillId="11" borderId="0" xfId="0" applyFont="1" applyFill="1" applyAlignment="1">
      <alignment horizontal="center" vertical="center" wrapText="1"/>
    </xf>
    <xf numFmtId="0" fontId="88" fillId="11" borderId="0" xfId="0" applyFont="1" applyFill="1" applyAlignment="1">
      <alignment horizontal="center" vertical="center"/>
    </xf>
    <xf numFmtId="0" fontId="89" fillId="7" borderId="0" xfId="0" applyFont="1" applyFill="1" applyAlignment="1">
      <alignment horizontal="left" vertical="center"/>
    </xf>
    <xf numFmtId="0" fontId="90" fillId="7" borderId="0" xfId="0" applyFont="1" applyFill="1" applyAlignment="1">
      <alignment horizontal="center"/>
    </xf>
    <xf numFmtId="0" fontId="87" fillId="0" borderId="0" xfId="0" applyFont="1" applyAlignment="1">
      <alignment horizontal="center"/>
    </xf>
    <xf numFmtId="0" fontId="88" fillId="7" borderId="0" xfId="0" applyFont="1" applyFill="1" applyAlignment="1">
      <alignment horizontal="left" vertical="center"/>
    </xf>
    <xf numFmtId="0" fontId="89" fillId="0" borderId="0" xfId="0" applyFont="1"/>
    <xf numFmtId="0" fontId="89" fillId="7" borderId="0" xfId="0" applyFont="1" applyFill="1" applyAlignment="1">
      <alignment horizontal="center"/>
    </xf>
    <xf numFmtId="0" fontId="89" fillId="0" borderId="0" xfId="0" applyFont="1" applyAlignment="1">
      <alignment horizontal="center"/>
    </xf>
    <xf numFmtId="7" fontId="89" fillId="7" borderId="0" xfId="0" applyNumberFormat="1" applyFont="1" applyFill="1" applyAlignment="1">
      <alignment horizontal="center"/>
    </xf>
    <xf numFmtId="7" fontId="89" fillId="0" borderId="0" xfId="0" applyNumberFormat="1" applyFont="1" applyAlignment="1">
      <alignment horizontal="center"/>
    </xf>
    <xf numFmtId="0" fontId="88" fillId="11" borderId="0" xfId="0" applyFont="1" applyFill="1" applyAlignment="1">
      <alignment horizontal="left" vertical="center" wrapText="1"/>
    </xf>
    <xf numFmtId="0" fontId="89" fillId="0" borderId="0" xfId="0" applyFont="1" applyAlignment="1">
      <alignment horizontal="left"/>
    </xf>
    <xf numFmtId="0" fontId="87" fillId="0" borderId="0" xfId="0" applyFont="1" applyAlignment="1">
      <alignment horizontal="left"/>
    </xf>
    <xf numFmtId="0" fontId="89" fillId="0" borderId="0" xfId="0" applyFont="1" applyAlignment="1">
      <alignment horizontal="left" vertical="center"/>
    </xf>
    <xf numFmtId="0" fontId="88" fillId="0" borderId="0" xfId="0" applyFont="1" applyAlignment="1">
      <alignment horizontal="left" vertical="center"/>
    </xf>
    <xf numFmtId="186" fontId="89" fillId="0" borderId="0" xfId="0" applyNumberFormat="1" applyFont="1" applyAlignment="1">
      <alignment horizontal="center"/>
    </xf>
    <xf numFmtId="184" fontId="70" fillId="0" borderId="0" xfId="0" applyNumberFormat="1" applyFont="1" applyAlignment="1">
      <alignment horizontal="center" vertical="center"/>
    </xf>
    <xf numFmtId="26" fontId="70" fillId="0" borderId="0" xfId="0" applyNumberFormat="1" applyFont="1" applyAlignment="1">
      <alignment horizontal="center" vertical="center"/>
    </xf>
    <xf numFmtId="44" fontId="39" fillId="6" borderId="0" xfId="0" applyNumberFormat="1" applyFont="1" applyFill="1" applyAlignment="1">
      <alignment horizontal="center" vertical="center"/>
    </xf>
    <xf numFmtId="0" fontId="39" fillId="16" borderId="0" xfId="0" applyFont="1" applyFill="1" applyAlignment="1">
      <alignment horizontal="left" vertical="center" wrapText="1"/>
    </xf>
    <xf numFmtId="0" fontId="39" fillId="24" borderId="0" xfId="0" applyFont="1" applyFill="1" applyAlignment="1">
      <alignment horizontal="left" vertical="center" wrapText="1"/>
    </xf>
    <xf numFmtId="0" fontId="77" fillId="16" borderId="0" xfId="0" applyFont="1" applyFill="1" applyAlignment="1">
      <alignment horizontal="left" vertical="center" wrapText="1"/>
    </xf>
    <xf numFmtId="181" fontId="39" fillId="24" borderId="0" xfId="0" applyNumberFormat="1" applyFont="1" applyFill="1" applyAlignment="1">
      <alignment horizontal="center" vertical="center"/>
    </xf>
    <xf numFmtId="0" fontId="77" fillId="24" borderId="0" xfId="0" applyFont="1" applyFill="1" applyAlignment="1">
      <alignment horizontal="left" vertical="center" wrapText="1"/>
    </xf>
    <xf numFmtId="181" fontId="39" fillId="24" borderId="0" xfId="0" applyNumberFormat="1" applyFont="1" applyFill="1" applyAlignment="1">
      <alignment horizontal="left" vertical="center"/>
    </xf>
    <xf numFmtId="185" fontId="70" fillId="0" borderId="0" xfId="0" applyNumberFormat="1" applyFont="1" applyAlignment="1">
      <alignment horizontal="center" vertical="center"/>
    </xf>
    <xf numFmtId="0" fontId="39" fillId="0" borderId="0" xfId="1" applyFont="1" applyAlignment="1">
      <alignment horizontal="left" vertical="center"/>
    </xf>
    <xf numFmtId="0" fontId="77" fillId="0" borderId="0" xfId="1" applyFont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8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0" fontId="81" fillId="0" borderId="0" xfId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7" fillId="24" borderId="0" xfId="0" applyFont="1" applyFill="1" applyAlignment="1">
      <alignment horizontal="center" vertical="center"/>
    </xf>
    <xf numFmtId="0" fontId="70" fillId="0" borderId="0" xfId="1" applyFont="1" applyAlignment="1">
      <alignment horizontal="center" vertical="center"/>
    </xf>
    <xf numFmtId="0" fontId="39" fillId="0" borderId="0" xfId="0" applyFont="1" applyAlignment="1">
      <alignment vertical="center" wrapText="1"/>
    </xf>
    <xf numFmtId="0" fontId="81" fillId="5" borderId="0" xfId="0" applyFont="1" applyFill="1" applyAlignment="1">
      <alignment horizontal="left" vertical="center"/>
    </xf>
    <xf numFmtId="0" fontId="76" fillId="5" borderId="0" xfId="0" applyFont="1" applyFill="1" applyAlignment="1">
      <alignment horizontal="left" vertical="center"/>
    </xf>
    <xf numFmtId="44" fontId="70" fillId="6" borderId="0" xfId="0" applyNumberFormat="1" applyFont="1" applyFill="1" applyAlignment="1">
      <alignment horizontal="center" vertical="center"/>
    </xf>
    <xf numFmtId="9" fontId="39" fillId="0" borderId="0" xfId="0" applyNumberFormat="1" applyFont="1" applyAlignment="1">
      <alignment horizontal="left" vertical="center"/>
    </xf>
    <xf numFmtId="9" fontId="70" fillId="0" borderId="0" xfId="0" applyNumberFormat="1" applyFont="1" applyAlignment="1">
      <alignment horizontal="left" vertical="center"/>
    </xf>
    <xf numFmtId="9" fontId="70" fillId="0" borderId="0" xfId="0" applyNumberFormat="1" applyFont="1" applyAlignment="1">
      <alignment horizontal="center" vertical="center"/>
    </xf>
    <xf numFmtId="44" fontId="81" fillId="0" borderId="0" xfId="0" applyNumberFormat="1" applyFont="1" applyAlignment="1">
      <alignment horizontal="center" vertical="center"/>
    </xf>
    <xf numFmtId="44" fontId="81" fillId="6" borderId="0" xfId="0" applyNumberFormat="1" applyFont="1" applyFill="1" applyAlignment="1">
      <alignment horizontal="center" vertical="center"/>
    </xf>
    <xf numFmtId="176" fontId="70" fillId="0" borderId="0" xfId="0" applyNumberFormat="1" applyFont="1" applyAlignment="1">
      <alignment horizontal="left"/>
    </xf>
    <xf numFmtId="176" fontId="72" fillId="0" borderId="0" xfId="0" applyNumberFormat="1" applyFont="1" applyAlignment="1">
      <alignment horizontal="left"/>
    </xf>
    <xf numFmtId="176" fontId="70" fillId="0" borderId="0" xfId="0" applyNumberFormat="1" applyFont="1"/>
    <xf numFmtId="176" fontId="39" fillId="0" borderId="0" xfId="0" applyNumberFormat="1" applyFont="1" applyAlignment="1">
      <alignment horizontal="left"/>
    </xf>
    <xf numFmtId="44" fontId="39" fillId="11" borderId="0" xfId="0" applyNumberFormat="1" applyFont="1" applyFill="1" applyAlignment="1">
      <alignment horizontal="center" vertical="center"/>
    </xf>
    <xf numFmtId="9" fontId="39" fillId="0" borderId="0" xfId="0" applyNumberFormat="1" applyFont="1" applyAlignment="1">
      <alignment horizontal="center" vertical="center"/>
    </xf>
    <xf numFmtId="0" fontId="92" fillId="0" borderId="0" xfId="0" applyFont="1" applyAlignment="1">
      <alignment horizontal="left" vertical="center"/>
    </xf>
    <xf numFmtId="0" fontId="92" fillId="20" borderId="0" xfId="0" applyFont="1" applyFill="1" applyAlignment="1">
      <alignment horizontal="left" vertical="center"/>
    </xf>
    <xf numFmtId="0" fontId="92" fillId="16" borderId="0" xfId="0" applyFont="1" applyFill="1" applyAlignment="1">
      <alignment horizontal="left" vertical="center" wrapText="1"/>
    </xf>
    <xf numFmtId="0" fontId="92" fillId="24" borderId="0" xfId="0" applyFont="1" applyFill="1" applyAlignment="1">
      <alignment horizontal="left" vertical="center" wrapText="1"/>
    </xf>
    <xf numFmtId="181" fontId="93" fillId="24" borderId="0" xfId="0" applyNumberFormat="1" applyFont="1" applyFill="1" applyAlignment="1">
      <alignment horizontal="center" vertical="center"/>
    </xf>
    <xf numFmtId="0" fontId="93" fillId="16" borderId="0" xfId="1" applyFont="1" applyFill="1" applyAlignment="1">
      <alignment horizontal="center" vertical="center"/>
    </xf>
    <xf numFmtId="0" fontId="93" fillId="24" borderId="0" xfId="0" applyFont="1" applyFill="1" applyAlignment="1">
      <alignment horizontal="left" vertical="center"/>
    </xf>
    <xf numFmtId="0" fontId="93" fillId="24" borderId="0" xfId="1" applyFont="1" applyFill="1" applyAlignment="1">
      <alignment horizontal="center" vertical="center"/>
    </xf>
    <xf numFmtId="0" fontId="92" fillId="0" borderId="0" xfId="0" applyFont="1" applyAlignment="1">
      <alignment horizontal="left" vertical="center" wrapText="1"/>
    </xf>
    <xf numFmtId="0" fontId="92" fillId="24" borderId="0" xfId="0" applyFont="1" applyFill="1" applyAlignment="1">
      <alignment horizontal="left" vertical="center"/>
    </xf>
    <xf numFmtId="0" fontId="92" fillId="0" borderId="0" xfId="0" applyFont="1" applyAlignment="1">
      <alignment horizontal="center" vertical="center"/>
    </xf>
    <xf numFmtId="0" fontId="92" fillId="19" borderId="0" xfId="0" applyFont="1" applyFill="1" applyAlignment="1">
      <alignment horizontal="left" vertical="center"/>
    </xf>
    <xf numFmtId="0" fontId="92" fillId="11" borderId="0" xfId="0" applyFont="1" applyFill="1" applyAlignment="1">
      <alignment horizontal="left" vertical="center"/>
    </xf>
    <xf numFmtId="0" fontId="93" fillId="0" borderId="0" xfId="0" applyFont="1" applyAlignment="1">
      <alignment horizontal="left" vertical="center"/>
    </xf>
    <xf numFmtId="0" fontId="92" fillId="10" borderId="0" xfId="0" applyFont="1" applyFill="1" applyAlignment="1">
      <alignment horizontal="left" vertical="center"/>
    </xf>
    <xf numFmtId="0" fontId="92" fillId="16" borderId="0" xfId="0" applyFont="1" applyFill="1" applyAlignment="1">
      <alignment horizontal="left" vertical="center"/>
    </xf>
    <xf numFmtId="9" fontId="92" fillId="0" borderId="0" xfId="0" applyNumberFormat="1" applyFont="1" applyAlignment="1">
      <alignment horizontal="left" vertical="center"/>
    </xf>
    <xf numFmtId="9" fontId="93" fillId="0" borderId="0" xfId="0" applyNumberFormat="1" applyFont="1" applyAlignment="1">
      <alignment horizontal="left" vertical="center"/>
    </xf>
    <xf numFmtId="0" fontId="93" fillId="0" borderId="0" xfId="1" applyFont="1" applyAlignment="1">
      <alignment horizontal="center" vertical="center"/>
    </xf>
    <xf numFmtId="0" fontId="81" fillId="24" borderId="0" xfId="0" applyFont="1" applyFill="1" applyAlignment="1">
      <alignment horizontal="left" vertical="center" wrapText="1"/>
    </xf>
    <xf numFmtId="0" fontId="81" fillId="24" borderId="0" xfId="0" applyFont="1" applyFill="1" applyAlignment="1">
      <alignment vertical="center"/>
    </xf>
    <xf numFmtId="181" fontId="81" fillId="24" borderId="0" xfId="0" applyNumberFormat="1" applyFont="1" applyFill="1" applyAlignment="1">
      <alignment vertical="center"/>
    </xf>
    <xf numFmtId="44" fontId="81" fillId="24" borderId="0" xfId="0" applyNumberFormat="1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81" fillId="6" borderId="0" xfId="0" applyFont="1" applyFill="1" applyAlignment="1">
      <alignment horizontal="center" vertical="center"/>
    </xf>
    <xf numFmtId="181" fontId="81" fillId="24" borderId="0" xfId="0" applyNumberFormat="1" applyFont="1" applyFill="1" applyAlignment="1">
      <alignment horizontal="center" vertical="center"/>
    </xf>
    <xf numFmtId="0" fontId="81" fillId="24" borderId="0" xfId="1" applyFont="1" applyFill="1" applyAlignment="1">
      <alignment horizontal="center" vertical="center"/>
    </xf>
    <xf numFmtId="0" fontId="81" fillId="24" borderId="0" xfId="1" applyFont="1" applyFill="1" applyAlignment="1">
      <alignment horizontal="left" vertical="center"/>
    </xf>
    <xf numFmtId="181" fontId="81" fillId="24" borderId="0" xfId="0" applyNumberFormat="1" applyFont="1" applyFill="1" applyAlignment="1">
      <alignment horizontal="left" vertical="center"/>
    </xf>
    <xf numFmtId="181" fontId="44" fillId="0" borderId="0" xfId="0" applyNumberFormat="1" applyFont="1" applyAlignment="1">
      <alignment horizontal="center" vertical="center"/>
    </xf>
    <xf numFmtId="44" fontId="16" fillId="0" borderId="0" xfId="0" applyNumberFormat="1" applyFont="1" applyAlignment="1">
      <alignment horizontal="center"/>
    </xf>
    <xf numFmtId="0" fontId="81" fillId="24" borderId="0" xfId="0" applyFont="1" applyFill="1" applyAlignment="1">
      <alignment horizontal="left" vertical="center"/>
    </xf>
    <xf numFmtId="0" fontId="13" fillId="0" borderId="0" xfId="0" applyFont="1" applyAlignment="1">
      <alignment vertical="center" wrapText="1"/>
    </xf>
    <xf numFmtId="185" fontId="9" fillId="7" borderId="0" xfId="0" applyNumberFormat="1" applyFont="1" applyFill="1"/>
    <xf numFmtId="185" fontId="9" fillId="0" borderId="0" xfId="0" applyNumberFormat="1" applyFont="1"/>
    <xf numFmtId="185" fontId="16" fillId="0" borderId="0" xfId="0" applyNumberFormat="1" applyFont="1"/>
    <xf numFmtId="7" fontId="13" fillId="0" borderId="0" xfId="0" applyNumberFormat="1" applyFont="1" applyAlignment="1">
      <alignment horizontal="center"/>
    </xf>
    <xf numFmtId="0" fontId="61" fillId="0" borderId="0" xfId="0" applyFont="1" applyAlignment="1">
      <alignment horizontal="left"/>
    </xf>
    <xf numFmtId="191" fontId="60" fillId="0" borderId="0" xfId="0" applyNumberFormat="1" applyFont="1" applyAlignment="1">
      <alignment horizontal="center" vertical="center"/>
    </xf>
    <xf numFmtId="10" fontId="38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</cellXfs>
  <cellStyles count="3">
    <cellStyle name="Normal_Sheet1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colors>
    <mruColors>
      <color rgb="FFCCFFFF"/>
      <color rgb="FFFFFFCC"/>
      <color rgb="FF0000FF"/>
      <color rgb="FF00FFFF"/>
      <color rgb="FFFF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cmn.cn/" TargetMode="External"/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07B5-566C-45B1-918A-A8A982521660}">
  <sheetPr>
    <tabColor theme="8" tint="0.59999389629810485"/>
    <pageSetUpPr fitToPage="1"/>
  </sheetPr>
  <dimension ref="A1:XEW148"/>
  <sheetViews>
    <sheetView zoomScale="70" zoomScaleNormal="70" zoomScaleSheetLayoutView="70" workbookViewId="0">
      <pane xSplit="22" ySplit="10" topLeftCell="Y30" activePane="bottomRight" state="frozen"/>
      <selection pane="topRight" activeCell="W1" sqref="W1"/>
      <selection pane="bottomLeft" activeCell="A11" sqref="A11"/>
      <selection pane="bottomRight" activeCell="A31" sqref="A31:XFD31"/>
    </sheetView>
  </sheetViews>
  <sheetFormatPr defaultColWidth="18.33203125" defaultRowHeight="14" outlineLevelCol="1"/>
  <cols>
    <col min="1" max="1" width="57.33203125" style="531" customWidth="1"/>
    <col min="2" max="2" width="19.33203125" style="536" customWidth="1"/>
    <col min="3" max="3" width="17.08203125" style="531" customWidth="1"/>
    <col min="4" max="4" width="27.33203125" style="531" customWidth="1"/>
    <col min="5" max="5" width="15.33203125" style="531" bestFit="1" customWidth="1"/>
    <col min="6" max="6" width="26.08203125" style="532" customWidth="1"/>
    <col min="7" max="7" width="22.33203125" style="531" customWidth="1"/>
    <col min="8" max="8" width="21.08203125" style="531" customWidth="1"/>
    <col min="9" max="9" width="15.33203125" style="533" customWidth="1"/>
    <col min="10" max="10" width="27.58203125" style="533" customWidth="1"/>
    <col min="11" max="11" width="11.08203125" style="534" bestFit="1" customWidth="1"/>
    <col min="12" max="12" width="12.08203125" style="534" bestFit="1" customWidth="1"/>
    <col min="13" max="21" width="11.33203125" style="534" hidden="1" customWidth="1" outlineLevel="1"/>
    <col min="22" max="22" width="11.33203125" style="534" bestFit="1" customWidth="1" collapsed="1"/>
    <col min="23" max="33" width="11.33203125" style="533" bestFit="1" customWidth="1"/>
    <col min="34" max="37" width="11.33203125" style="533" customWidth="1"/>
    <col min="38" max="38" width="11" style="550" customWidth="1"/>
    <col min="39" max="39" width="18.33203125" style="533" bestFit="1" customWidth="1"/>
    <col min="40" max="16384" width="18.33203125" style="533"/>
  </cols>
  <sheetData>
    <row r="1" spans="1:38">
      <c r="A1" s="530" t="s">
        <v>0</v>
      </c>
      <c r="B1" s="530"/>
    </row>
    <row r="2" spans="1:38">
      <c r="A2" s="535" t="s">
        <v>1</v>
      </c>
      <c r="B2" s="530"/>
      <c r="C2" s="535"/>
      <c r="D2" s="536"/>
    </row>
    <row r="3" spans="1:38">
      <c r="A3" s="535" t="s">
        <v>2</v>
      </c>
      <c r="B3" s="530"/>
      <c r="C3" s="535"/>
      <c r="AC3" s="615">
        <f>AC31/7.1</f>
        <v>324.20140845070421</v>
      </c>
    </row>
    <row r="4" spans="1:38">
      <c r="A4" s="537" t="s">
        <v>3</v>
      </c>
      <c r="B4" s="537"/>
      <c r="C4" s="537"/>
      <c r="D4" s="533"/>
      <c r="AC4" s="615">
        <f>AC35/7.1</f>
        <v>314.47464788732395</v>
      </c>
      <c r="AI4" s="615"/>
    </row>
    <row r="5" spans="1:38">
      <c r="A5" s="538" t="s">
        <v>4</v>
      </c>
      <c r="B5" s="537"/>
      <c r="C5" s="537"/>
      <c r="D5" s="538"/>
    </row>
    <row r="6" spans="1:38">
      <c r="A6" s="539" t="s">
        <v>5</v>
      </c>
      <c r="B6" s="540"/>
      <c r="C6" s="535"/>
      <c r="W6" s="534"/>
      <c r="X6" s="534"/>
      <c r="Y6" s="534"/>
      <c r="Z6" s="534"/>
      <c r="AA6" s="534"/>
      <c r="AB6" s="534"/>
      <c r="AC6" s="614"/>
      <c r="AD6" s="534"/>
      <c r="AE6" s="534"/>
      <c r="AF6" s="534"/>
    </row>
    <row r="7" spans="1:38">
      <c r="A7" s="541" t="s">
        <v>6</v>
      </c>
      <c r="B7" s="541"/>
      <c r="C7" s="535"/>
      <c r="S7" s="647"/>
      <c r="AC7" s="648"/>
    </row>
    <row r="8" spans="1:38">
      <c r="A8" s="542" t="s">
        <v>7</v>
      </c>
      <c r="B8" s="543"/>
      <c r="C8" s="535"/>
      <c r="S8" s="647"/>
      <c r="AC8" s="648"/>
    </row>
    <row r="9" spans="1:38">
      <c r="W9" s="534"/>
      <c r="X9" s="534"/>
      <c r="Y9" s="534"/>
      <c r="Z9" s="534"/>
      <c r="AA9" s="534"/>
      <c r="AB9" s="534"/>
      <c r="AC9" s="534"/>
      <c r="AD9" s="534"/>
      <c r="AE9" s="534"/>
      <c r="AF9" s="534"/>
      <c r="AG9" s="534"/>
      <c r="AH9" s="534"/>
      <c r="AI9" s="534"/>
      <c r="AJ9" s="534"/>
      <c r="AK9" s="534"/>
      <c r="AL9" s="551"/>
    </row>
    <row r="10" spans="1:38">
      <c r="A10" s="544" t="s">
        <v>8</v>
      </c>
      <c r="B10" s="544" t="s">
        <v>9</v>
      </c>
      <c r="C10" s="545" t="s">
        <v>10</v>
      </c>
      <c r="D10" s="545" t="s">
        <v>11</v>
      </c>
      <c r="E10" s="545" t="s">
        <v>12</v>
      </c>
      <c r="F10" s="546" t="s">
        <v>13</v>
      </c>
      <c r="G10" s="545" t="s">
        <v>14</v>
      </c>
      <c r="H10" s="547" t="s">
        <v>15</v>
      </c>
      <c r="I10" s="548" t="s">
        <v>16</v>
      </c>
      <c r="J10" s="549" t="s">
        <v>17</v>
      </c>
      <c r="K10" s="548" t="s">
        <v>18</v>
      </c>
      <c r="L10" s="548">
        <v>70000</v>
      </c>
      <c r="M10" s="548">
        <v>71000</v>
      </c>
      <c r="N10" s="548">
        <v>72000</v>
      </c>
      <c r="O10" s="548">
        <v>73000</v>
      </c>
      <c r="P10" s="548">
        <v>74000</v>
      </c>
      <c r="Q10" s="548">
        <v>75000</v>
      </c>
      <c r="R10" s="548">
        <v>76000</v>
      </c>
      <c r="S10" s="548">
        <v>77000</v>
      </c>
      <c r="T10" s="548">
        <v>78000</v>
      </c>
      <c r="U10" s="548">
        <v>79000</v>
      </c>
      <c r="V10" s="548">
        <v>80000</v>
      </c>
      <c r="W10" s="548">
        <v>81000</v>
      </c>
      <c r="X10" s="548">
        <v>82000</v>
      </c>
      <c r="Y10" s="548">
        <v>83000</v>
      </c>
      <c r="Z10" s="548">
        <v>84000</v>
      </c>
      <c r="AA10" s="548">
        <v>85000</v>
      </c>
      <c r="AB10" s="548">
        <v>86000</v>
      </c>
      <c r="AC10" s="548">
        <v>87000</v>
      </c>
      <c r="AD10" s="548">
        <v>88000</v>
      </c>
      <c r="AE10" s="548">
        <v>89000</v>
      </c>
      <c r="AF10" s="548">
        <v>90000</v>
      </c>
      <c r="AG10" s="548">
        <v>91000</v>
      </c>
      <c r="AH10" s="548">
        <v>92000</v>
      </c>
      <c r="AI10" s="548">
        <v>93000</v>
      </c>
      <c r="AJ10" s="548">
        <v>94000</v>
      </c>
      <c r="AK10" s="548">
        <v>95000</v>
      </c>
      <c r="AL10" s="550">
        <v>93000</v>
      </c>
    </row>
    <row r="11" spans="1:38" s="573" customFormat="1">
      <c r="A11" s="657" t="s">
        <v>19</v>
      </c>
      <c r="B11" s="658"/>
      <c r="C11" s="570" t="s">
        <v>20</v>
      </c>
      <c r="D11" s="570" t="s">
        <v>21</v>
      </c>
      <c r="E11" s="571" t="s">
        <v>22</v>
      </c>
      <c r="F11" s="570" t="s">
        <v>23</v>
      </c>
      <c r="G11" s="570"/>
      <c r="H11" s="681"/>
      <c r="I11" s="567">
        <v>6.4</v>
      </c>
      <c r="J11" s="659">
        <v>16.399999999999999</v>
      </c>
      <c r="K11" s="569">
        <v>17.539999999999964</v>
      </c>
      <c r="L11" s="569">
        <v>2126.66</v>
      </c>
      <c r="M11" s="569">
        <f>ROUND(L11+$K11,2)</f>
        <v>2144.1999999999998</v>
      </c>
      <c r="N11" s="569">
        <f t="shared" ref="N11:AG24" si="0">ROUND(M11+$K11,2)</f>
        <v>2161.7399999999998</v>
      </c>
      <c r="O11" s="569">
        <f t="shared" si="0"/>
        <v>2179.2800000000002</v>
      </c>
      <c r="P11" s="569">
        <f t="shared" si="0"/>
        <v>2196.8200000000002</v>
      </c>
      <c r="Q11" s="569">
        <f t="shared" si="0"/>
        <v>2214.36</v>
      </c>
      <c r="R11" s="569">
        <f t="shared" si="0"/>
        <v>2231.9</v>
      </c>
      <c r="S11" s="569">
        <f t="shared" si="0"/>
        <v>2249.44</v>
      </c>
      <c r="T11" s="569">
        <f t="shared" si="0"/>
        <v>2266.98</v>
      </c>
      <c r="U11" s="569">
        <f t="shared" si="0"/>
        <v>2284.52</v>
      </c>
      <c r="V11" s="569">
        <f t="shared" si="0"/>
        <v>2302.06</v>
      </c>
      <c r="W11" s="569">
        <f t="shared" si="0"/>
        <v>2319.6</v>
      </c>
      <c r="X11" s="569">
        <f t="shared" si="0"/>
        <v>2337.14</v>
      </c>
      <c r="Y11" s="569">
        <f t="shared" si="0"/>
        <v>2354.6799999999998</v>
      </c>
      <c r="Z11" s="569">
        <f t="shared" si="0"/>
        <v>2372.2199999999998</v>
      </c>
      <c r="AA11" s="569">
        <f t="shared" si="0"/>
        <v>2389.7600000000002</v>
      </c>
      <c r="AB11" s="569">
        <f t="shared" si="0"/>
        <v>2407.3000000000002</v>
      </c>
      <c r="AC11" s="569">
        <f t="shared" si="0"/>
        <v>2424.84</v>
      </c>
      <c r="AD11" s="569">
        <f t="shared" si="0"/>
        <v>2442.38</v>
      </c>
      <c r="AE11" s="569">
        <f t="shared" si="0"/>
        <v>2459.92</v>
      </c>
      <c r="AF11" s="569">
        <f t="shared" si="0"/>
        <v>2477.46</v>
      </c>
      <c r="AG11" s="569">
        <f t="shared" si="0"/>
        <v>2495</v>
      </c>
      <c r="AH11" s="569">
        <f t="shared" ref="AH11:AI26" si="1">ROUND(AG11+$K11,2)</f>
        <v>2512.54</v>
      </c>
      <c r="AI11" s="569">
        <f t="shared" si="1"/>
        <v>2530.08</v>
      </c>
      <c r="AJ11" s="569">
        <f t="shared" ref="AJ11:AJ35" si="2">ROUND(AI11+$K11,2)</f>
        <v>2547.62</v>
      </c>
      <c r="AK11" s="569">
        <f t="shared" ref="AK11:AK35" si="3">ROUND(AJ11+$K11,2)</f>
        <v>2565.16</v>
      </c>
      <c r="AL11" s="649"/>
    </row>
    <row r="12" spans="1:38" s="573" customFormat="1">
      <c r="A12" s="657" t="s">
        <v>24</v>
      </c>
      <c r="B12" s="658"/>
      <c r="C12" s="570" t="s">
        <v>20</v>
      </c>
      <c r="D12" s="570" t="s">
        <v>21</v>
      </c>
      <c r="E12" s="571" t="s">
        <v>25</v>
      </c>
      <c r="F12" s="570" t="s">
        <v>23</v>
      </c>
      <c r="G12" s="570"/>
      <c r="H12" s="681"/>
      <c r="I12" s="567">
        <v>6.4</v>
      </c>
      <c r="J12" s="659">
        <v>16.399999999999999</v>
      </c>
      <c r="K12" s="569">
        <v>17.599999999999909</v>
      </c>
      <c r="L12" s="569">
        <v>2079.36</v>
      </c>
      <c r="M12" s="569">
        <f t="shared" ref="M12:AB78" si="4">ROUND(L12+$K12,2)</f>
        <v>2096.96</v>
      </c>
      <c r="N12" s="569">
        <f t="shared" si="4"/>
        <v>2114.56</v>
      </c>
      <c r="O12" s="569">
        <f t="shared" si="4"/>
        <v>2132.16</v>
      </c>
      <c r="P12" s="569">
        <f t="shared" si="4"/>
        <v>2149.7600000000002</v>
      </c>
      <c r="Q12" s="569">
        <f t="shared" si="4"/>
        <v>2167.36</v>
      </c>
      <c r="R12" s="569">
        <f t="shared" si="4"/>
        <v>2184.96</v>
      </c>
      <c r="S12" s="569">
        <f t="shared" si="4"/>
        <v>2202.56</v>
      </c>
      <c r="T12" s="569">
        <f t="shared" si="4"/>
        <v>2220.16</v>
      </c>
      <c r="U12" s="569">
        <f t="shared" si="4"/>
        <v>2237.7600000000002</v>
      </c>
      <c r="V12" s="569">
        <f t="shared" si="4"/>
        <v>2255.36</v>
      </c>
      <c r="W12" s="569">
        <f t="shared" si="4"/>
        <v>2272.96</v>
      </c>
      <c r="X12" s="569">
        <f t="shared" si="4"/>
        <v>2290.56</v>
      </c>
      <c r="Y12" s="569">
        <f t="shared" si="4"/>
        <v>2308.16</v>
      </c>
      <c r="Z12" s="569">
        <f t="shared" si="4"/>
        <v>2325.7600000000002</v>
      </c>
      <c r="AA12" s="569">
        <f t="shared" si="4"/>
        <v>2343.36</v>
      </c>
      <c r="AB12" s="569">
        <f t="shared" si="4"/>
        <v>2360.96</v>
      </c>
      <c r="AC12" s="569">
        <f t="shared" si="0"/>
        <v>2378.56</v>
      </c>
      <c r="AD12" s="569">
        <f t="shared" si="0"/>
        <v>2396.16</v>
      </c>
      <c r="AE12" s="569">
        <f t="shared" si="0"/>
        <v>2413.7600000000002</v>
      </c>
      <c r="AF12" s="569">
        <f t="shared" si="0"/>
        <v>2431.36</v>
      </c>
      <c r="AG12" s="569">
        <f t="shared" si="0"/>
        <v>2448.96</v>
      </c>
      <c r="AH12" s="569">
        <f t="shared" si="1"/>
        <v>2466.56</v>
      </c>
      <c r="AI12" s="569">
        <f t="shared" si="1"/>
        <v>2484.16</v>
      </c>
      <c r="AJ12" s="569">
        <f t="shared" si="2"/>
        <v>2501.7600000000002</v>
      </c>
      <c r="AK12" s="569">
        <f t="shared" si="3"/>
        <v>2519.36</v>
      </c>
      <c r="AL12" s="649"/>
    </row>
    <row r="13" spans="1:38" s="556" customFormat="1">
      <c r="A13" s="552" t="s">
        <v>26</v>
      </c>
      <c r="B13" s="554"/>
      <c r="C13" s="552" t="s">
        <v>20</v>
      </c>
      <c r="D13" s="552" t="s">
        <v>21</v>
      </c>
      <c r="E13" s="553" t="s">
        <v>27</v>
      </c>
      <c r="F13" s="552" t="s">
        <v>23</v>
      </c>
      <c r="G13" s="552"/>
      <c r="H13" s="682"/>
      <c r="I13" s="555">
        <v>6.4</v>
      </c>
      <c r="J13" s="556">
        <v>16.399999999999999</v>
      </c>
      <c r="K13" s="557">
        <v>16.769999999999982</v>
      </c>
      <c r="L13" s="557">
        <v>2202.1799999999998</v>
      </c>
      <c r="M13" s="557">
        <f t="shared" si="4"/>
        <v>2218.9499999999998</v>
      </c>
      <c r="N13" s="557">
        <f t="shared" si="0"/>
        <v>2235.7199999999998</v>
      </c>
      <c r="O13" s="557">
        <f t="shared" si="0"/>
        <v>2252.4899999999998</v>
      </c>
      <c r="P13" s="557">
        <f t="shared" si="0"/>
        <v>2269.2600000000002</v>
      </c>
      <c r="Q13" s="557">
        <f t="shared" si="0"/>
        <v>2286.0300000000002</v>
      </c>
      <c r="R13" s="557">
        <f t="shared" si="0"/>
        <v>2302.8000000000002</v>
      </c>
      <c r="S13" s="557">
        <f t="shared" si="0"/>
        <v>2319.5700000000002</v>
      </c>
      <c r="T13" s="557">
        <f t="shared" si="0"/>
        <v>2336.34</v>
      </c>
      <c r="U13" s="557">
        <f t="shared" si="0"/>
        <v>2353.11</v>
      </c>
      <c r="V13" s="557">
        <f t="shared" si="0"/>
        <v>2369.88</v>
      </c>
      <c r="W13" s="557">
        <f t="shared" si="0"/>
        <v>2386.65</v>
      </c>
      <c r="X13" s="557">
        <f t="shared" si="0"/>
        <v>2403.42</v>
      </c>
      <c r="Y13" s="557">
        <f t="shared" si="0"/>
        <v>2420.19</v>
      </c>
      <c r="Z13" s="557">
        <f t="shared" si="0"/>
        <v>2436.96</v>
      </c>
      <c r="AA13" s="557">
        <f t="shared" si="0"/>
        <v>2453.73</v>
      </c>
      <c r="AB13" s="557">
        <f t="shared" si="0"/>
        <v>2470.5</v>
      </c>
      <c r="AC13" s="557">
        <f t="shared" si="0"/>
        <v>2487.27</v>
      </c>
      <c r="AD13" s="557">
        <f t="shared" si="0"/>
        <v>2504.04</v>
      </c>
      <c r="AE13" s="557">
        <f t="shared" si="0"/>
        <v>2520.81</v>
      </c>
      <c r="AF13" s="557">
        <f t="shared" si="0"/>
        <v>2537.58</v>
      </c>
      <c r="AG13" s="557">
        <f t="shared" si="0"/>
        <v>2554.35</v>
      </c>
      <c r="AH13" s="557">
        <f t="shared" si="1"/>
        <v>2571.12</v>
      </c>
      <c r="AI13" s="557">
        <f t="shared" si="1"/>
        <v>2587.89</v>
      </c>
      <c r="AJ13" s="557">
        <f t="shared" si="2"/>
        <v>2604.66</v>
      </c>
      <c r="AK13" s="557">
        <f t="shared" si="3"/>
        <v>2621.4299999999998</v>
      </c>
      <c r="AL13" s="649"/>
    </row>
    <row r="14" spans="1:38">
      <c r="A14" s="531" t="s">
        <v>620</v>
      </c>
      <c r="C14" s="570" t="s">
        <v>29</v>
      </c>
      <c r="D14" s="570" t="s">
        <v>30</v>
      </c>
      <c r="E14" s="660" t="s">
        <v>31</v>
      </c>
      <c r="F14" s="571" t="s">
        <v>32</v>
      </c>
      <c r="G14" s="576"/>
      <c r="H14" s="681"/>
      <c r="I14" s="533" t="s">
        <v>33</v>
      </c>
      <c r="J14" s="533" t="s">
        <v>33</v>
      </c>
      <c r="K14" s="569">
        <v>16.420000000000002</v>
      </c>
      <c r="L14" s="569">
        <v>2030.68</v>
      </c>
      <c r="M14" s="569">
        <f t="shared" si="4"/>
        <v>2047.1</v>
      </c>
      <c r="N14" s="569">
        <f t="shared" si="0"/>
        <v>2063.52</v>
      </c>
      <c r="O14" s="569">
        <f t="shared" si="0"/>
        <v>2079.94</v>
      </c>
      <c r="P14" s="569">
        <f t="shared" si="0"/>
        <v>2096.36</v>
      </c>
      <c r="Q14" s="569">
        <f t="shared" si="0"/>
        <v>2112.7800000000002</v>
      </c>
      <c r="R14" s="569">
        <f t="shared" si="0"/>
        <v>2129.1999999999998</v>
      </c>
      <c r="S14" s="569">
        <f t="shared" si="0"/>
        <v>2145.62</v>
      </c>
      <c r="T14" s="569">
        <f t="shared" si="0"/>
        <v>2162.04</v>
      </c>
      <c r="U14" s="569">
        <f t="shared" si="0"/>
        <v>2178.46</v>
      </c>
      <c r="V14" s="569">
        <f t="shared" si="0"/>
        <v>2194.88</v>
      </c>
      <c r="W14" s="569">
        <f t="shared" si="0"/>
        <v>2211.3000000000002</v>
      </c>
      <c r="X14" s="569">
        <f t="shared" si="0"/>
        <v>2227.7199999999998</v>
      </c>
      <c r="Y14" s="569">
        <f t="shared" si="0"/>
        <v>2244.14</v>
      </c>
      <c r="Z14" s="569">
        <f t="shared" si="0"/>
        <v>2260.56</v>
      </c>
      <c r="AA14" s="569">
        <f t="shared" si="0"/>
        <v>2276.98</v>
      </c>
      <c r="AB14" s="569">
        <f t="shared" si="0"/>
        <v>2293.4</v>
      </c>
      <c r="AC14" s="569">
        <f t="shared" si="0"/>
        <v>2309.8200000000002</v>
      </c>
      <c r="AD14" s="569">
        <f t="shared" si="0"/>
        <v>2326.2399999999998</v>
      </c>
      <c r="AE14" s="569">
        <f t="shared" si="0"/>
        <v>2342.66</v>
      </c>
      <c r="AF14" s="569">
        <f t="shared" si="0"/>
        <v>2359.08</v>
      </c>
      <c r="AG14" s="569">
        <f t="shared" si="0"/>
        <v>2375.5</v>
      </c>
      <c r="AH14" s="569">
        <f t="shared" si="1"/>
        <v>2391.92</v>
      </c>
      <c r="AI14" s="569">
        <f t="shared" si="1"/>
        <v>2408.34</v>
      </c>
      <c r="AJ14" s="569">
        <f t="shared" si="2"/>
        <v>2424.7600000000002</v>
      </c>
      <c r="AK14" s="569">
        <f t="shared" si="3"/>
        <v>2441.1799999999998</v>
      </c>
      <c r="AL14" s="649"/>
    </row>
    <row r="15" spans="1:38" s="573" customFormat="1">
      <c r="A15" s="570" t="s">
        <v>34</v>
      </c>
      <c r="B15" s="572"/>
      <c r="C15" s="570" t="s">
        <v>29</v>
      </c>
      <c r="D15" s="570" t="s">
        <v>35</v>
      </c>
      <c r="E15" s="570" t="s">
        <v>31</v>
      </c>
      <c r="F15" s="570" t="s">
        <v>32</v>
      </c>
      <c r="G15" s="531"/>
      <c r="H15" s="681"/>
      <c r="I15" s="533" t="s">
        <v>33</v>
      </c>
      <c r="J15" s="533" t="s">
        <v>33</v>
      </c>
      <c r="K15" s="569">
        <f>20.51*0.98</f>
        <v>20.099800000000002</v>
      </c>
      <c r="L15" s="569">
        <v>3018.37</v>
      </c>
      <c r="M15" s="569">
        <f>ROUND(L15+$K15,2)</f>
        <v>3038.47</v>
      </c>
      <c r="N15" s="569">
        <f t="shared" si="0"/>
        <v>3058.57</v>
      </c>
      <c r="O15" s="569">
        <f t="shared" si="0"/>
        <v>3078.67</v>
      </c>
      <c r="P15" s="569">
        <f t="shared" si="0"/>
        <v>3098.77</v>
      </c>
      <c r="Q15" s="569">
        <f t="shared" si="0"/>
        <v>3118.87</v>
      </c>
      <c r="R15" s="569">
        <f t="shared" si="0"/>
        <v>3138.97</v>
      </c>
      <c r="S15" s="569">
        <f t="shared" si="0"/>
        <v>3159.07</v>
      </c>
      <c r="T15" s="569">
        <f t="shared" si="0"/>
        <v>3179.17</v>
      </c>
      <c r="U15" s="569">
        <f t="shared" si="0"/>
        <v>3199.27</v>
      </c>
      <c r="V15" s="569">
        <f t="shared" si="0"/>
        <v>3219.37</v>
      </c>
      <c r="W15" s="569">
        <f t="shared" si="0"/>
        <v>3239.47</v>
      </c>
      <c r="X15" s="569">
        <f t="shared" si="0"/>
        <v>3259.57</v>
      </c>
      <c r="Y15" s="569">
        <f t="shared" si="0"/>
        <v>3279.67</v>
      </c>
      <c r="Z15" s="569">
        <f t="shared" si="0"/>
        <v>3299.77</v>
      </c>
      <c r="AA15" s="569">
        <f t="shared" si="0"/>
        <v>3319.87</v>
      </c>
      <c r="AB15" s="569">
        <f t="shared" si="0"/>
        <v>3339.97</v>
      </c>
      <c r="AC15" s="569">
        <f t="shared" si="0"/>
        <v>3360.07</v>
      </c>
      <c r="AD15" s="569">
        <f t="shared" si="0"/>
        <v>3380.17</v>
      </c>
      <c r="AE15" s="569">
        <f t="shared" si="0"/>
        <v>3400.27</v>
      </c>
      <c r="AF15" s="569">
        <f t="shared" si="0"/>
        <v>3420.37</v>
      </c>
      <c r="AG15" s="569">
        <f t="shared" si="0"/>
        <v>3440.47</v>
      </c>
      <c r="AH15" s="569">
        <f t="shared" si="1"/>
        <v>3460.57</v>
      </c>
      <c r="AI15" s="569">
        <f t="shared" si="1"/>
        <v>3480.67</v>
      </c>
      <c r="AJ15" s="569">
        <f t="shared" si="2"/>
        <v>3500.77</v>
      </c>
      <c r="AK15" s="569">
        <f t="shared" si="3"/>
        <v>3520.87</v>
      </c>
      <c r="AL15" s="649"/>
    </row>
    <row r="16" spans="1:38" s="573" customFormat="1">
      <c r="A16" s="570" t="s">
        <v>36</v>
      </c>
      <c r="B16" s="572"/>
      <c r="C16" s="570" t="s">
        <v>20</v>
      </c>
      <c r="D16" s="570" t="s">
        <v>21</v>
      </c>
      <c r="E16" s="571" t="s">
        <v>27</v>
      </c>
      <c r="F16" s="570" t="s">
        <v>23</v>
      </c>
      <c r="G16" s="570"/>
      <c r="H16" s="681"/>
      <c r="I16" s="567">
        <v>6.4</v>
      </c>
      <c r="J16" s="573">
        <v>16.399999999999999</v>
      </c>
      <c r="K16" s="569">
        <v>16.760000000000218</v>
      </c>
      <c r="L16" s="569">
        <v>2184.38</v>
      </c>
      <c r="M16" s="569">
        <f t="shared" si="4"/>
        <v>2201.14</v>
      </c>
      <c r="N16" s="569">
        <f t="shared" si="0"/>
        <v>2217.9</v>
      </c>
      <c r="O16" s="569">
        <f t="shared" si="0"/>
        <v>2234.66</v>
      </c>
      <c r="P16" s="569">
        <f t="shared" si="0"/>
        <v>2251.42</v>
      </c>
      <c r="Q16" s="569">
        <f t="shared" si="0"/>
        <v>2268.1799999999998</v>
      </c>
      <c r="R16" s="569">
        <f t="shared" si="0"/>
        <v>2284.94</v>
      </c>
      <c r="S16" s="569">
        <f t="shared" si="0"/>
        <v>2301.6999999999998</v>
      </c>
      <c r="T16" s="569">
        <f t="shared" si="0"/>
        <v>2318.46</v>
      </c>
      <c r="U16" s="569">
        <f t="shared" si="0"/>
        <v>2335.2199999999998</v>
      </c>
      <c r="V16" s="569">
        <f t="shared" si="0"/>
        <v>2351.98</v>
      </c>
      <c r="W16" s="569">
        <f t="shared" si="0"/>
        <v>2368.7399999999998</v>
      </c>
      <c r="X16" s="569">
        <f t="shared" si="0"/>
        <v>2385.5</v>
      </c>
      <c r="Y16" s="569">
        <f t="shared" si="0"/>
        <v>2402.2600000000002</v>
      </c>
      <c r="Z16" s="569">
        <f t="shared" si="0"/>
        <v>2419.02</v>
      </c>
      <c r="AA16" s="569">
        <f t="shared" si="0"/>
        <v>2435.7800000000002</v>
      </c>
      <c r="AB16" s="569">
        <f t="shared" si="0"/>
        <v>2452.54</v>
      </c>
      <c r="AC16" s="569">
        <f t="shared" si="0"/>
        <v>2469.3000000000002</v>
      </c>
      <c r="AD16" s="569">
        <f t="shared" si="0"/>
        <v>2486.06</v>
      </c>
      <c r="AE16" s="569">
        <f t="shared" si="0"/>
        <v>2502.8200000000002</v>
      </c>
      <c r="AF16" s="569">
        <f t="shared" si="0"/>
        <v>2519.58</v>
      </c>
      <c r="AG16" s="569">
        <f t="shared" si="0"/>
        <v>2536.34</v>
      </c>
      <c r="AH16" s="569">
        <f t="shared" si="1"/>
        <v>2553.1</v>
      </c>
      <c r="AI16" s="569">
        <f t="shared" si="1"/>
        <v>2569.86</v>
      </c>
      <c r="AJ16" s="569">
        <f t="shared" si="2"/>
        <v>2586.62</v>
      </c>
      <c r="AK16" s="569">
        <f t="shared" si="3"/>
        <v>2603.38</v>
      </c>
      <c r="AL16" s="649"/>
    </row>
    <row r="17" spans="1:38 16363:16376" s="573" customFormat="1">
      <c r="A17" s="570" t="s">
        <v>37</v>
      </c>
      <c r="B17" s="572"/>
      <c r="C17" s="570" t="s">
        <v>20</v>
      </c>
      <c r="D17" s="570" t="s">
        <v>21</v>
      </c>
      <c r="E17" s="571" t="s">
        <v>31</v>
      </c>
      <c r="F17" s="570" t="s">
        <v>23</v>
      </c>
      <c r="G17" s="570"/>
      <c r="H17" s="681"/>
      <c r="I17" s="567">
        <v>6.4</v>
      </c>
      <c r="J17" s="661">
        <v>15</v>
      </c>
      <c r="K17" s="569">
        <v>15.81</v>
      </c>
      <c r="L17" s="569">
        <v>1720.0399999999984</v>
      </c>
      <c r="M17" s="569">
        <f t="shared" si="4"/>
        <v>1735.85</v>
      </c>
      <c r="N17" s="569">
        <f t="shared" si="0"/>
        <v>1751.66</v>
      </c>
      <c r="O17" s="569">
        <f t="shared" si="0"/>
        <v>1767.47</v>
      </c>
      <c r="P17" s="569">
        <f t="shared" si="0"/>
        <v>1783.28</v>
      </c>
      <c r="Q17" s="569">
        <f t="shared" si="0"/>
        <v>1799.09</v>
      </c>
      <c r="R17" s="569">
        <f t="shared" si="0"/>
        <v>1814.9</v>
      </c>
      <c r="S17" s="569">
        <f t="shared" si="0"/>
        <v>1830.71</v>
      </c>
      <c r="T17" s="569">
        <f t="shared" si="0"/>
        <v>1846.52</v>
      </c>
      <c r="U17" s="569">
        <f t="shared" si="0"/>
        <v>1862.33</v>
      </c>
      <c r="V17" s="569">
        <f t="shared" si="0"/>
        <v>1878.14</v>
      </c>
      <c r="W17" s="569">
        <f t="shared" si="0"/>
        <v>1893.95</v>
      </c>
      <c r="X17" s="569">
        <f t="shared" si="0"/>
        <v>1909.76</v>
      </c>
      <c r="Y17" s="569">
        <f t="shared" si="0"/>
        <v>1925.57</v>
      </c>
      <c r="Z17" s="569">
        <f t="shared" si="0"/>
        <v>1941.38</v>
      </c>
      <c r="AA17" s="569">
        <f t="shared" si="0"/>
        <v>1957.19</v>
      </c>
      <c r="AB17" s="569">
        <f t="shared" si="0"/>
        <v>1973</v>
      </c>
      <c r="AC17" s="569">
        <f t="shared" si="0"/>
        <v>1988.81</v>
      </c>
      <c r="AD17" s="569">
        <f t="shared" si="0"/>
        <v>2004.62</v>
      </c>
      <c r="AE17" s="569">
        <f t="shared" si="0"/>
        <v>2020.43</v>
      </c>
      <c r="AF17" s="569">
        <f t="shared" si="0"/>
        <v>2036.24</v>
      </c>
      <c r="AG17" s="569">
        <f t="shared" si="0"/>
        <v>2052.0500000000002</v>
      </c>
      <c r="AH17" s="569">
        <f t="shared" si="1"/>
        <v>2067.86</v>
      </c>
      <c r="AI17" s="569">
        <f t="shared" si="1"/>
        <v>2083.67</v>
      </c>
      <c r="AJ17" s="569">
        <f t="shared" si="2"/>
        <v>2099.48</v>
      </c>
      <c r="AK17" s="569">
        <f t="shared" si="3"/>
        <v>2115.29</v>
      </c>
      <c r="AL17" s="649"/>
    </row>
    <row r="18" spans="1:38 16363:16376" s="663" customFormat="1">
      <c r="A18" s="576" t="s">
        <v>38</v>
      </c>
      <c r="B18" s="577"/>
      <c r="C18" s="576" t="s">
        <v>20</v>
      </c>
      <c r="D18" s="576" t="s">
        <v>21</v>
      </c>
      <c r="E18" s="660" t="s">
        <v>39</v>
      </c>
      <c r="F18" s="576" t="s">
        <v>23</v>
      </c>
      <c r="G18" s="577" t="s">
        <v>40</v>
      </c>
      <c r="H18" s="681"/>
      <c r="I18" s="662">
        <v>6.4</v>
      </c>
      <c r="J18" s="579">
        <v>15</v>
      </c>
      <c r="K18" s="569">
        <v>14.45</v>
      </c>
      <c r="L18" s="569">
        <v>1642.7</v>
      </c>
      <c r="M18" s="569">
        <f t="shared" si="4"/>
        <v>1657.15</v>
      </c>
      <c r="N18" s="569">
        <f t="shared" si="0"/>
        <v>1671.6</v>
      </c>
      <c r="O18" s="569">
        <f t="shared" si="0"/>
        <v>1686.05</v>
      </c>
      <c r="P18" s="569">
        <f t="shared" si="0"/>
        <v>1700.5</v>
      </c>
      <c r="Q18" s="569">
        <f t="shared" si="0"/>
        <v>1714.95</v>
      </c>
      <c r="R18" s="569">
        <f t="shared" si="0"/>
        <v>1729.4</v>
      </c>
      <c r="S18" s="569">
        <f t="shared" si="0"/>
        <v>1743.85</v>
      </c>
      <c r="T18" s="569">
        <f t="shared" si="0"/>
        <v>1758.3</v>
      </c>
      <c r="U18" s="569">
        <f t="shared" si="0"/>
        <v>1772.75</v>
      </c>
      <c r="V18" s="569">
        <f t="shared" si="0"/>
        <v>1787.2</v>
      </c>
      <c r="W18" s="569">
        <f t="shared" si="0"/>
        <v>1801.65</v>
      </c>
      <c r="X18" s="569">
        <f t="shared" si="0"/>
        <v>1816.1</v>
      </c>
      <c r="Y18" s="569">
        <f t="shared" si="0"/>
        <v>1830.55</v>
      </c>
      <c r="Z18" s="569">
        <f t="shared" si="0"/>
        <v>1845</v>
      </c>
      <c r="AA18" s="569">
        <f t="shared" si="0"/>
        <v>1859.45</v>
      </c>
      <c r="AB18" s="569">
        <f t="shared" si="0"/>
        <v>1873.9</v>
      </c>
      <c r="AC18" s="569">
        <f t="shared" si="0"/>
        <v>1888.35</v>
      </c>
      <c r="AD18" s="569">
        <f t="shared" si="0"/>
        <v>1902.8</v>
      </c>
      <c r="AE18" s="569">
        <f t="shared" si="0"/>
        <v>1917.25</v>
      </c>
      <c r="AF18" s="569">
        <f t="shared" si="0"/>
        <v>1931.7</v>
      </c>
      <c r="AG18" s="569">
        <f t="shared" si="0"/>
        <v>1946.15</v>
      </c>
      <c r="AH18" s="569">
        <f t="shared" si="1"/>
        <v>1960.6</v>
      </c>
      <c r="AI18" s="569">
        <f t="shared" si="1"/>
        <v>1975.05</v>
      </c>
      <c r="AJ18" s="569">
        <f t="shared" si="2"/>
        <v>1989.5</v>
      </c>
      <c r="AK18" s="569">
        <f t="shared" si="3"/>
        <v>2003.95</v>
      </c>
      <c r="AL18" s="649"/>
    </row>
    <row r="19" spans="1:38 16363:16376" s="573" customFormat="1">
      <c r="A19" s="570" t="s">
        <v>41</v>
      </c>
      <c r="B19" s="572"/>
      <c r="C19" s="570" t="s">
        <v>20</v>
      </c>
      <c r="D19" s="570" t="s">
        <v>42</v>
      </c>
      <c r="E19" s="571" t="s">
        <v>31</v>
      </c>
      <c r="F19" s="570" t="s">
        <v>23</v>
      </c>
      <c r="G19" s="570"/>
      <c r="H19" s="681"/>
      <c r="I19" s="567">
        <v>6.4</v>
      </c>
      <c r="J19" s="573">
        <v>20</v>
      </c>
      <c r="K19" s="569">
        <v>26.369999999999891</v>
      </c>
      <c r="L19" s="569">
        <v>2746.88</v>
      </c>
      <c r="M19" s="569">
        <f t="shared" si="4"/>
        <v>2773.25</v>
      </c>
      <c r="N19" s="569">
        <f t="shared" si="0"/>
        <v>2799.62</v>
      </c>
      <c r="O19" s="569">
        <f t="shared" si="0"/>
        <v>2825.99</v>
      </c>
      <c r="P19" s="569">
        <f t="shared" si="0"/>
        <v>2852.36</v>
      </c>
      <c r="Q19" s="569">
        <f t="shared" si="0"/>
        <v>2878.73</v>
      </c>
      <c r="R19" s="569">
        <f t="shared" si="0"/>
        <v>2905.1</v>
      </c>
      <c r="S19" s="569">
        <f t="shared" si="0"/>
        <v>2931.47</v>
      </c>
      <c r="T19" s="569">
        <f t="shared" si="0"/>
        <v>2957.84</v>
      </c>
      <c r="U19" s="569">
        <f t="shared" si="0"/>
        <v>2984.21</v>
      </c>
      <c r="V19" s="569">
        <f t="shared" si="0"/>
        <v>3010.58</v>
      </c>
      <c r="W19" s="569">
        <f t="shared" si="0"/>
        <v>3036.95</v>
      </c>
      <c r="X19" s="569">
        <f t="shared" si="0"/>
        <v>3063.32</v>
      </c>
      <c r="Y19" s="569">
        <f t="shared" si="0"/>
        <v>3089.69</v>
      </c>
      <c r="Z19" s="569">
        <f t="shared" si="0"/>
        <v>3116.06</v>
      </c>
      <c r="AA19" s="569">
        <f t="shared" si="0"/>
        <v>3142.43</v>
      </c>
      <c r="AB19" s="569">
        <f t="shared" si="0"/>
        <v>3168.8</v>
      </c>
      <c r="AC19" s="569">
        <f t="shared" si="0"/>
        <v>3195.17</v>
      </c>
      <c r="AD19" s="569">
        <f t="shared" si="0"/>
        <v>3221.54</v>
      </c>
      <c r="AE19" s="569">
        <f t="shared" si="0"/>
        <v>3247.91</v>
      </c>
      <c r="AF19" s="569">
        <f t="shared" si="0"/>
        <v>3274.28</v>
      </c>
      <c r="AG19" s="569">
        <f t="shared" si="0"/>
        <v>3300.65</v>
      </c>
      <c r="AH19" s="569">
        <f t="shared" si="1"/>
        <v>3327.02</v>
      </c>
      <c r="AI19" s="569">
        <f t="shared" si="1"/>
        <v>3353.39</v>
      </c>
      <c r="AJ19" s="569">
        <f t="shared" si="2"/>
        <v>3379.76</v>
      </c>
      <c r="AK19" s="569">
        <f t="shared" si="3"/>
        <v>3406.13</v>
      </c>
      <c r="AL19" s="649"/>
    </row>
    <row r="20" spans="1:38 16363:16376" s="573" customFormat="1">
      <c r="A20" s="570" t="s">
        <v>43</v>
      </c>
      <c r="B20" s="572"/>
      <c r="C20" s="570" t="s">
        <v>20</v>
      </c>
      <c r="D20" s="570" t="s">
        <v>42</v>
      </c>
      <c r="E20" s="571" t="s">
        <v>39</v>
      </c>
      <c r="F20" s="570" t="s">
        <v>23</v>
      </c>
      <c r="G20" s="570"/>
      <c r="H20" s="681"/>
      <c r="I20" s="567">
        <v>6.4</v>
      </c>
      <c r="J20" s="573">
        <v>20</v>
      </c>
      <c r="K20" s="569">
        <v>28.159999999999854</v>
      </c>
      <c r="L20" s="569">
        <v>2861.18</v>
      </c>
      <c r="M20" s="569">
        <f t="shared" si="4"/>
        <v>2889.34</v>
      </c>
      <c r="N20" s="569">
        <f t="shared" si="0"/>
        <v>2917.5</v>
      </c>
      <c r="O20" s="569">
        <f t="shared" si="0"/>
        <v>2945.66</v>
      </c>
      <c r="P20" s="569">
        <f t="shared" si="0"/>
        <v>2973.82</v>
      </c>
      <c r="Q20" s="569">
        <f t="shared" si="0"/>
        <v>3001.98</v>
      </c>
      <c r="R20" s="569">
        <f t="shared" si="0"/>
        <v>3030.14</v>
      </c>
      <c r="S20" s="569">
        <f t="shared" si="0"/>
        <v>3058.3</v>
      </c>
      <c r="T20" s="569">
        <f t="shared" si="0"/>
        <v>3086.46</v>
      </c>
      <c r="U20" s="569">
        <f t="shared" si="0"/>
        <v>3114.62</v>
      </c>
      <c r="V20" s="569">
        <f t="shared" si="0"/>
        <v>3142.78</v>
      </c>
      <c r="W20" s="569">
        <f t="shared" si="0"/>
        <v>3170.94</v>
      </c>
      <c r="X20" s="569">
        <f t="shared" si="0"/>
        <v>3199.1</v>
      </c>
      <c r="Y20" s="569">
        <f t="shared" si="0"/>
        <v>3227.26</v>
      </c>
      <c r="Z20" s="569">
        <f t="shared" si="0"/>
        <v>3255.42</v>
      </c>
      <c r="AA20" s="569">
        <f t="shared" si="0"/>
        <v>3283.58</v>
      </c>
      <c r="AB20" s="569">
        <f t="shared" si="0"/>
        <v>3311.74</v>
      </c>
      <c r="AC20" s="569">
        <f t="shared" si="0"/>
        <v>3339.9</v>
      </c>
      <c r="AD20" s="569">
        <f t="shared" si="0"/>
        <v>3368.06</v>
      </c>
      <c r="AE20" s="569">
        <f t="shared" si="0"/>
        <v>3396.22</v>
      </c>
      <c r="AF20" s="569">
        <f t="shared" si="0"/>
        <v>3424.38</v>
      </c>
      <c r="AG20" s="569">
        <f t="shared" si="0"/>
        <v>3452.54</v>
      </c>
      <c r="AH20" s="569">
        <f t="shared" si="1"/>
        <v>3480.7</v>
      </c>
      <c r="AI20" s="569">
        <f t="shared" si="1"/>
        <v>3508.86</v>
      </c>
      <c r="AJ20" s="569">
        <f t="shared" si="2"/>
        <v>3537.02</v>
      </c>
      <c r="AK20" s="569">
        <f t="shared" si="3"/>
        <v>3565.18</v>
      </c>
      <c r="AL20" s="649"/>
    </row>
    <row r="21" spans="1:38 16363:16376" s="573" customFormat="1">
      <c r="A21" s="570" t="s">
        <v>44</v>
      </c>
      <c r="B21" s="572"/>
      <c r="C21" s="570" t="s">
        <v>20</v>
      </c>
      <c r="D21" s="570" t="s">
        <v>45</v>
      </c>
      <c r="E21" s="571" t="s">
        <v>31</v>
      </c>
      <c r="F21" s="570" t="s">
        <v>23</v>
      </c>
      <c r="G21" s="570"/>
      <c r="H21" s="681"/>
      <c r="I21" s="567">
        <v>6.4</v>
      </c>
      <c r="J21" s="573">
        <v>13.6</v>
      </c>
      <c r="K21" s="569">
        <v>13.310000000000173</v>
      </c>
      <c r="L21" s="569">
        <v>1204.1600000000001</v>
      </c>
      <c r="M21" s="569">
        <f t="shared" si="4"/>
        <v>1217.47</v>
      </c>
      <c r="N21" s="569">
        <f t="shared" si="0"/>
        <v>1230.78</v>
      </c>
      <c r="O21" s="569">
        <f t="shared" si="0"/>
        <v>1244.0899999999999</v>
      </c>
      <c r="P21" s="569">
        <f t="shared" si="0"/>
        <v>1257.4000000000001</v>
      </c>
      <c r="Q21" s="569">
        <f t="shared" si="0"/>
        <v>1270.71</v>
      </c>
      <c r="R21" s="569">
        <f t="shared" si="0"/>
        <v>1284.02</v>
      </c>
      <c r="S21" s="569">
        <f t="shared" si="0"/>
        <v>1297.33</v>
      </c>
      <c r="T21" s="569">
        <f t="shared" si="0"/>
        <v>1310.6400000000001</v>
      </c>
      <c r="U21" s="569">
        <f t="shared" si="0"/>
        <v>1323.95</v>
      </c>
      <c r="V21" s="569">
        <f t="shared" si="0"/>
        <v>1337.26</v>
      </c>
      <c r="W21" s="569">
        <f t="shared" si="0"/>
        <v>1350.57</v>
      </c>
      <c r="X21" s="569">
        <f t="shared" si="0"/>
        <v>1363.88</v>
      </c>
      <c r="Y21" s="569">
        <f t="shared" si="0"/>
        <v>1377.19</v>
      </c>
      <c r="Z21" s="569">
        <f t="shared" si="0"/>
        <v>1390.5</v>
      </c>
      <c r="AA21" s="569">
        <f t="shared" si="0"/>
        <v>1403.81</v>
      </c>
      <c r="AB21" s="569">
        <f t="shared" si="0"/>
        <v>1417.12</v>
      </c>
      <c r="AC21" s="569">
        <f t="shared" si="0"/>
        <v>1430.43</v>
      </c>
      <c r="AD21" s="569">
        <f t="shared" si="0"/>
        <v>1443.74</v>
      </c>
      <c r="AE21" s="569">
        <f t="shared" si="0"/>
        <v>1457.05</v>
      </c>
      <c r="AF21" s="569">
        <f t="shared" si="0"/>
        <v>1470.36</v>
      </c>
      <c r="AG21" s="569">
        <f t="shared" si="0"/>
        <v>1483.67</v>
      </c>
      <c r="AH21" s="569">
        <f t="shared" si="1"/>
        <v>1496.98</v>
      </c>
      <c r="AI21" s="569">
        <f t="shared" si="1"/>
        <v>1510.29</v>
      </c>
      <c r="AJ21" s="569">
        <f t="shared" si="2"/>
        <v>1523.6</v>
      </c>
      <c r="AK21" s="569">
        <f t="shared" si="3"/>
        <v>1536.91</v>
      </c>
      <c r="AL21" s="649"/>
    </row>
    <row r="22" spans="1:38 16363:16376" s="573" customFormat="1">
      <c r="A22" s="570" t="s">
        <v>44</v>
      </c>
      <c r="B22" s="572"/>
      <c r="C22" s="570" t="s">
        <v>20</v>
      </c>
      <c r="D22" s="570" t="s">
        <v>45</v>
      </c>
      <c r="E22" s="571" t="s">
        <v>31</v>
      </c>
      <c r="F22" s="570" t="s">
        <v>46</v>
      </c>
      <c r="G22" s="570"/>
      <c r="H22" s="681"/>
      <c r="I22" s="567">
        <v>6.4</v>
      </c>
      <c r="J22" s="573">
        <v>13.6</v>
      </c>
      <c r="K22" s="569">
        <v>13.309999999999945</v>
      </c>
      <c r="L22" s="569">
        <v>1229.76</v>
      </c>
      <c r="M22" s="569">
        <f t="shared" si="4"/>
        <v>1243.07</v>
      </c>
      <c r="N22" s="569">
        <f t="shared" si="0"/>
        <v>1256.3800000000001</v>
      </c>
      <c r="O22" s="569">
        <f t="shared" si="0"/>
        <v>1269.69</v>
      </c>
      <c r="P22" s="569">
        <f t="shared" si="0"/>
        <v>1283</v>
      </c>
      <c r="Q22" s="569">
        <f t="shared" si="0"/>
        <v>1296.31</v>
      </c>
      <c r="R22" s="569">
        <f t="shared" si="0"/>
        <v>1309.6199999999999</v>
      </c>
      <c r="S22" s="569">
        <f t="shared" si="0"/>
        <v>1322.93</v>
      </c>
      <c r="T22" s="569">
        <f t="shared" si="0"/>
        <v>1336.24</v>
      </c>
      <c r="U22" s="569">
        <f t="shared" si="0"/>
        <v>1349.55</v>
      </c>
      <c r="V22" s="569">
        <f t="shared" si="0"/>
        <v>1362.86</v>
      </c>
      <c r="W22" s="569">
        <f t="shared" si="0"/>
        <v>1376.17</v>
      </c>
      <c r="X22" s="569">
        <f t="shared" si="0"/>
        <v>1389.48</v>
      </c>
      <c r="Y22" s="569">
        <f t="shared" si="0"/>
        <v>1402.79</v>
      </c>
      <c r="Z22" s="569">
        <f t="shared" si="0"/>
        <v>1416.1</v>
      </c>
      <c r="AA22" s="569">
        <f t="shared" si="0"/>
        <v>1429.41</v>
      </c>
      <c r="AB22" s="569">
        <f t="shared" si="0"/>
        <v>1442.72</v>
      </c>
      <c r="AC22" s="569">
        <f t="shared" si="0"/>
        <v>1456.03</v>
      </c>
      <c r="AD22" s="569">
        <f t="shared" si="0"/>
        <v>1469.34</v>
      </c>
      <c r="AE22" s="569">
        <f t="shared" si="0"/>
        <v>1482.65</v>
      </c>
      <c r="AF22" s="569">
        <f t="shared" si="0"/>
        <v>1495.96</v>
      </c>
      <c r="AG22" s="569">
        <f t="shared" si="0"/>
        <v>1509.27</v>
      </c>
      <c r="AH22" s="569">
        <f t="shared" si="1"/>
        <v>1522.58</v>
      </c>
      <c r="AI22" s="569">
        <f t="shared" si="1"/>
        <v>1535.89</v>
      </c>
      <c r="AJ22" s="569">
        <f t="shared" si="2"/>
        <v>1549.2</v>
      </c>
      <c r="AK22" s="569">
        <f t="shared" si="3"/>
        <v>1562.51</v>
      </c>
      <c r="AL22" s="649"/>
    </row>
    <row r="23" spans="1:38 16363:16376" s="573" customFormat="1">
      <c r="A23" s="570" t="s">
        <v>47</v>
      </c>
      <c r="B23" s="572"/>
      <c r="C23" s="570" t="s">
        <v>20</v>
      </c>
      <c r="D23" s="570" t="s">
        <v>45</v>
      </c>
      <c r="E23" s="571" t="s">
        <v>39</v>
      </c>
      <c r="F23" s="570" t="s">
        <v>23</v>
      </c>
      <c r="G23" s="570"/>
      <c r="H23" s="681"/>
      <c r="I23" s="567">
        <v>6.4</v>
      </c>
      <c r="J23" s="573">
        <v>13.6</v>
      </c>
      <c r="K23" s="569">
        <v>13.309999999999945</v>
      </c>
      <c r="L23" s="569">
        <v>1262.08</v>
      </c>
      <c r="M23" s="569">
        <f t="shared" si="4"/>
        <v>1275.3900000000001</v>
      </c>
      <c r="N23" s="569">
        <f t="shared" si="0"/>
        <v>1288.7</v>
      </c>
      <c r="O23" s="569">
        <f t="shared" si="0"/>
        <v>1302.01</v>
      </c>
      <c r="P23" s="569">
        <f t="shared" si="0"/>
        <v>1315.32</v>
      </c>
      <c r="Q23" s="569">
        <f t="shared" si="0"/>
        <v>1328.63</v>
      </c>
      <c r="R23" s="569">
        <f t="shared" si="0"/>
        <v>1341.94</v>
      </c>
      <c r="S23" s="569">
        <f t="shared" si="0"/>
        <v>1355.25</v>
      </c>
      <c r="T23" s="569">
        <f t="shared" si="0"/>
        <v>1368.56</v>
      </c>
      <c r="U23" s="569">
        <f t="shared" si="0"/>
        <v>1381.87</v>
      </c>
      <c r="V23" s="569">
        <f t="shared" si="0"/>
        <v>1395.18</v>
      </c>
      <c r="W23" s="569">
        <f t="shared" si="0"/>
        <v>1408.49</v>
      </c>
      <c r="X23" s="569">
        <f t="shared" si="0"/>
        <v>1421.8</v>
      </c>
      <c r="Y23" s="569">
        <f t="shared" si="0"/>
        <v>1435.11</v>
      </c>
      <c r="Z23" s="569">
        <f t="shared" si="0"/>
        <v>1448.42</v>
      </c>
      <c r="AA23" s="569">
        <f t="shared" si="0"/>
        <v>1461.73</v>
      </c>
      <c r="AB23" s="569">
        <f t="shared" si="0"/>
        <v>1475.04</v>
      </c>
      <c r="AC23" s="569">
        <f t="shared" si="0"/>
        <v>1488.35</v>
      </c>
      <c r="AD23" s="569">
        <f t="shared" si="0"/>
        <v>1501.66</v>
      </c>
      <c r="AE23" s="569">
        <f t="shared" si="0"/>
        <v>1514.97</v>
      </c>
      <c r="AF23" s="569">
        <f t="shared" si="0"/>
        <v>1528.28</v>
      </c>
      <c r="AG23" s="569">
        <f t="shared" si="0"/>
        <v>1541.59</v>
      </c>
      <c r="AH23" s="569">
        <f t="shared" si="1"/>
        <v>1554.9</v>
      </c>
      <c r="AI23" s="569">
        <f t="shared" si="1"/>
        <v>1568.21</v>
      </c>
      <c r="AJ23" s="569">
        <f t="shared" si="2"/>
        <v>1581.52</v>
      </c>
      <c r="AK23" s="569">
        <f t="shared" si="3"/>
        <v>1594.83</v>
      </c>
      <c r="AL23" s="649"/>
    </row>
    <row r="24" spans="1:38 16363:16376" s="573" customFormat="1">
      <c r="A24" s="570" t="s">
        <v>47</v>
      </c>
      <c r="B24" s="572"/>
      <c r="C24" s="570" t="s">
        <v>20</v>
      </c>
      <c r="D24" s="570" t="s">
        <v>45</v>
      </c>
      <c r="E24" s="571" t="s">
        <v>25</v>
      </c>
      <c r="F24" s="570" t="s">
        <v>23</v>
      </c>
      <c r="G24" s="570"/>
      <c r="H24" s="681"/>
      <c r="I24" s="567">
        <v>6.4</v>
      </c>
      <c r="J24" s="573">
        <v>13.6</v>
      </c>
      <c r="K24" s="569">
        <v>13.690000000000055</v>
      </c>
      <c r="L24" s="569">
        <v>1427.9</v>
      </c>
      <c r="M24" s="569">
        <f t="shared" si="4"/>
        <v>1441.59</v>
      </c>
      <c r="N24" s="569">
        <f t="shared" si="0"/>
        <v>1455.28</v>
      </c>
      <c r="O24" s="569">
        <f t="shared" si="0"/>
        <v>1468.97</v>
      </c>
      <c r="P24" s="569">
        <f t="shared" si="0"/>
        <v>1482.66</v>
      </c>
      <c r="Q24" s="569">
        <f t="shared" si="0"/>
        <v>1496.35</v>
      </c>
      <c r="R24" s="569">
        <f t="shared" si="0"/>
        <v>1510.04</v>
      </c>
      <c r="S24" s="569">
        <f t="shared" si="0"/>
        <v>1523.73</v>
      </c>
      <c r="T24" s="569">
        <f t="shared" si="0"/>
        <v>1537.42</v>
      </c>
      <c r="U24" s="569">
        <f t="shared" si="0"/>
        <v>1551.11</v>
      </c>
      <c r="V24" s="569">
        <f t="shared" si="0"/>
        <v>1564.8</v>
      </c>
      <c r="W24" s="569">
        <f t="shared" si="0"/>
        <v>1578.49</v>
      </c>
      <c r="X24" s="569">
        <f t="shared" ref="N24:AG38" si="5">ROUND(W24+$K24,2)</f>
        <v>1592.18</v>
      </c>
      <c r="Y24" s="569">
        <f t="shared" si="5"/>
        <v>1605.87</v>
      </c>
      <c r="Z24" s="569">
        <f t="shared" si="5"/>
        <v>1619.56</v>
      </c>
      <c r="AA24" s="569">
        <f t="shared" si="5"/>
        <v>1633.25</v>
      </c>
      <c r="AB24" s="569">
        <f t="shared" si="5"/>
        <v>1646.94</v>
      </c>
      <c r="AC24" s="569">
        <f t="shared" si="5"/>
        <v>1660.63</v>
      </c>
      <c r="AD24" s="569">
        <f t="shared" si="5"/>
        <v>1674.32</v>
      </c>
      <c r="AE24" s="569">
        <f t="shared" si="5"/>
        <v>1688.01</v>
      </c>
      <c r="AF24" s="569">
        <f t="shared" si="5"/>
        <v>1701.7</v>
      </c>
      <c r="AG24" s="569">
        <f t="shared" si="5"/>
        <v>1715.39</v>
      </c>
      <c r="AH24" s="569">
        <f t="shared" si="1"/>
        <v>1729.08</v>
      </c>
      <c r="AI24" s="569">
        <f t="shared" si="1"/>
        <v>1742.77</v>
      </c>
      <c r="AJ24" s="569">
        <f t="shared" si="2"/>
        <v>1756.46</v>
      </c>
      <c r="AK24" s="569">
        <f t="shared" si="3"/>
        <v>1770.15</v>
      </c>
      <c r="AL24" s="649"/>
    </row>
    <row r="25" spans="1:38 16363:16376" s="573" customFormat="1">
      <c r="A25" s="570" t="s">
        <v>47</v>
      </c>
      <c r="B25" s="572"/>
      <c r="C25" s="570" t="s">
        <v>20</v>
      </c>
      <c r="D25" s="570" t="s">
        <v>45</v>
      </c>
      <c r="E25" s="571" t="s">
        <v>48</v>
      </c>
      <c r="F25" s="570" t="s">
        <v>23</v>
      </c>
      <c r="G25" s="570"/>
      <c r="H25" s="681"/>
      <c r="I25" s="567">
        <v>6.4</v>
      </c>
      <c r="J25" s="573">
        <v>13.6</v>
      </c>
      <c r="K25" s="569">
        <v>14.200000000000045</v>
      </c>
      <c r="L25" s="569">
        <v>1478.78</v>
      </c>
      <c r="M25" s="569">
        <f t="shared" si="4"/>
        <v>1492.98</v>
      </c>
      <c r="N25" s="569">
        <f t="shared" si="5"/>
        <v>1507.18</v>
      </c>
      <c r="O25" s="569">
        <f t="shared" si="5"/>
        <v>1521.38</v>
      </c>
      <c r="P25" s="569">
        <f t="shared" si="5"/>
        <v>1535.58</v>
      </c>
      <c r="Q25" s="569">
        <f t="shared" si="5"/>
        <v>1549.78</v>
      </c>
      <c r="R25" s="569">
        <f t="shared" si="5"/>
        <v>1563.98</v>
      </c>
      <c r="S25" s="569">
        <f t="shared" si="5"/>
        <v>1578.18</v>
      </c>
      <c r="T25" s="569">
        <f t="shared" si="5"/>
        <v>1592.38</v>
      </c>
      <c r="U25" s="569">
        <f t="shared" si="5"/>
        <v>1606.58</v>
      </c>
      <c r="V25" s="569">
        <f t="shared" si="5"/>
        <v>1620.78</v>
      </c>
      <c r="W25" s="569">
        <f t="shared" si="5"/>
        <v>1634.98</v>
      </c>
      <c r="X25" s="569">
        <f t="shared" si="5"/>
        <v>1649.18</v>
      </c>
      <c r="Y25" s="569">
        <f t="shared" si="5"/>
        <v>1663.38</v>
      </c>
      <c r="Z25" s="569">
        <f t="shared" si="5"/>
        <v>1677.58</v>
      </c>
      <c r="AA25" s="569">
        <f t="shared" si="5"/>
        <v>1691.78</v>
      </c>
      <c r="AB25" s="569">
        <f t="shared" si="5"/>
        <v>1705.98</v>
      </c>
      <c r="AC25" s="569">
        <f t="shared" si="5"/>
        <v>1720.18</v>
      </c>
      <c r="AD25" s="569">
        <f t="shared" si="5"/>
        <v>1734.38</v>
      </c>
      <c r="AE25" s="569">
        <f t="shared" si="5"/>
        <v>1748.58</v>
      </c>
      <c r="AF25" s="569">
        <f t="shared" si="5"/>
        <v>1762.78</v>
      </c>
      <c r="AG25" s="569">
        <f t="shared" si="5"/>
        <v>1776.98</v>
      </c>
      <c r="AH25" s="569">
        <f t="shared" si="1"/>
        <v>1791.18</v>
      </c>
      <c r="AI25" s="569">
        <f t="shared" si="1"/>
        <v>1805.38</v>
      </c>
      <c r="AJ25" s="569">
        <f t="shared" si="2"/>
        <v>1819.58</v>
      </c>
      <c r="AK25" s="569">
        <f t="shared" si="3"/>
        <v>1833.78</v>
      </c>
      <c r="AL25" s="649"/>
    </row>
    <row r="26" spans="1:38 16363:16376" s="573" customFormat="1">
      <c r="A26" s="570" t="s">
        <v>49</v>
      </c>
      <c r="B26" s="572"/>
      <c r="C26" s="570" t="s">
        <v>20</v>
      </c>
      <c r="D26" s="570" t="s">
        <v>45</v>
      </c>
      <c r="E26" s="571" t="s">
        <v>27</v>
      </c>
      <c r="F26" s="570" t="s">
        <v>23</v>
      </c>
      <c r="G26" s="570"/>
      <c r="H26" s="681"/>
      <c r="I26" s="567">
        <v>6.4</v>
      </c>
      <c r="J26" s="573">
        <v>13.6</v>
      </c>
      <c r="K26" s="569">
        <v>13.309999999999945</v>
      </c>
      <c r="L26" s="569">
        <v>1262.08</v>
      </c>
      <c r="M26" s="569">
        <f t="shared" si="4"/>
        <v>1275.3900000000001</v>
      </c>
      <c r="N26" s="569">
        <f t="shared" si="5"/>
        <v>1288.7</v>
      </c>
      <c r="O26" s="569">
        <f t="shared" si="5"/>
        <v>1302.01</v>
      </c>
      <c r="P26" s="569">
        <f t="shared" si="5"/>
        <v>1315.32</v>
      </c>
      <c r="Q26" s="569">
        <f t="shared" si="5"/>
        <v>1328.63</v>
      </c>
      <c r="R26" s="569">
        <f t="shared" si="5"/>
        <v>1341.94</v>
      </c>
      <c r="S26" s="569">
        <f t="shared" si="5"/>
        <v>1355.25</v>
      </c>
      <c r="T26" s="569">
        <f t="shared" si="5"/>
        <v>1368.56</v>
      </c>
      <c r="U26" s="569">
        <f t="shared" si="5"/>
        <v>1381.87</v>
      </c>
      <c r="V26" s="569">
        <f t="shared" si="5"/>
        <v>1395.18</v>
      </c>
      <c r="W26" s="569">
        <f t="shared" si="5"/>
        <v>1408.49</v>
      </c>
      <c r="X26" s="569">
        <f t="shared" si="5"/>
        <v>1421.8</v>
      </c>
      <c r="Y26" s="569">
        <f t="shared" si="5"/>
        <v>1435.11</v>
      </c>
      <c r="Z26" s="569">
        <f t="shared" si="5"/>
        <v>1448.42</v>
      </c>
      <c r="AA26" s="569">
        <f t="shared" si="5"/>
        <v>1461.73</v>
      </c>
      <c r="AB26" s="569">
        <f t="shared" si="5"/>
        <v>1475.04</v>
      </c>
      <c r="AC26" s="569">
        <f t="shared" si="5"/>
        <v>1488.35</v>
      </c>
      <c r="AD26" s="569">
        <f t="shared" si="5"/>
        <v>1501.66</v>
      </c>
      <c r="AE26" s="569">
        <f t="shared" si="5"/>
        <v>1514.97</v>
      </c>
      <c r="AF26" s="569">
        <f t="shared" si="5"/>
        <v>1528.28</v>
      </c>
      <c r="AG26" s="569">
        <f t="shared" si="5"/>
        <v>1541.59</v>
      </c>
      <c r="AH26" s="569">
        <f t="shared" si="1"/>
        <v>1554.9</v>
      </c>
      <c r="AI26" s="569">
        <f t="shared" si="1"/>
        <v>1568.21</v>
      </c>
      <c r="AJ26" s="569">
        <f t="shared" si="2"/>
        <v>1581.52</v>
      </c>
      <c r="AK26" s="569">
        <f t="shared" si="3"/>
        <v>1594.83</v>
      </c>
      <c r="AL26" s="649"/>
    </row>
    <row r="27" spans="1:38 16363:16376" s="573" customFormat="1">
      <c r="A27" s="570" t="s">
        <v>50</v>
      </c>
      <c r="B27" s="572"/>
      <c r="C27" s="570" t="s">
        <v>51</v>
      </c>
      <c r="D27" s="570" t="s">
        <v>45</v>
      </c>
      <c r="E27" s="571" t="s">
        <v>39</v>
      </c>
      <c r="F27" s="570" t="s">
        <v>23</v>
      </c>
      <c r="G27" s="570"/>
      <c r="H27" s="681"/>
      <c r="I27" s="567">
        <v>6.4</v>
      </c>
      <c r="J27" s="573">
        <v>14.4</v>
      </c>
      <c r="K27" s="569">
        <v>14.980000000000018</v>
      </c>
      <c r="L27" s="569">
        <v>1430.08</v>
      </c>
      <c r="M27" s="569">
        <f t="shared" si="4"/>
        <v>1445.06</v>
      </c>
      <c r="N27" s="569">
        <f t="shared" si="5"/>
        <v>1460.04</v>
      </c>
      <c r="O27" s="569">
        <f t="shared" si="5"/>
        <v>1475.02</v>
      </c>
      <c r="P27" s="569">
        <f t="shared" si="5"/>
        <v>1490</v>
      </c>
      <c r="Q27" s="569">
        <f t="shared" si="5"/>
        <v>1504.98</v>
      </c>
      <c r="R27" s="569">
        <f t="shared" si="5"/>
        <v>1519.96</v>
      </c>
      <c r="S27" s="569">
        <f t="shared" si="5"/>
        <v>1534.94</v>
      </c>
      <c r="T27" s="569">
        <f t="shared" si="5"/>
        <v>1549.92</v>
      </c>
      <c r="U27" s="569">
        <f t="shared" si="5"/>
        <v>1564.9</v>
      </c>
      <c r="V27" s="569">
        <f t="shared" si="5"/>
        <v>1579.88</v>
      </c>
      <c r="W27" s="569">
        <f t="shared" si="5"/>
        <v>1594.86</v>
      </c>
      <c r="X27" s="569">
        <f t="shared" si="5"/>
        <v>1609.84</v>
      </c>
      <c r="Y27" s="569">
        <f t="shared" si="5"/>
        <v>1624.82</v>
      </c>
      <c r="Z27" s="569">
        <f t="shared" si="5"/>
        <v>1639.8</v>
      </c>
      <c r="AA27" s="569">
        <f t="shared" si="5"/>
        <v>1654.78</v>
      </c>
      <c r="AB27" s="569">
        <f t="shared" si="5"/>
        <v>1669.76</v>
      </c>
      <c r="AC27" s="569">
        <f t="shared" si="5"/>
        <v>1684.74</v>
      </c>
      <c r="AD27" s="569">
        <f t="shared" si="5"/>
        <v>1699.72</v>
      </c>
      <c r="AE27" s="569">
        <f t="shared" si="5"/>
        <v>1714.7</v>
      </c>
      <c r="AF27" s="569">
        <f t="shared" si="5"/>
        <v>1729.68</v>
      </c>
      <c r="AG27" s="569">
        <f t="shared" si="5"/>
        <v>1744.66</v>
      </c>
      <c r="AH27" s="569">
        <f t="shared" ref="AH27:AH35" si="6">ROUND(AG27+$K27,2)</f>
        <v>1759.64</v>
      </c>
      <c r="AI27" s="569">
        <f t="shared" ref="AI27:AI35" si="7">ROUND(AH27+$K27,2)</f>
        <v>1774.62</v>
      </c>
      <c r="AJ27" s="569">
        <f t="shared" si="2"/>
        <v>1789.6</v>
      </c>
      <c r="AK27" s="569">
        <f t="shared" si="3"/>
        <v>1804.58</v>
      </c>
      <c r="AL27" s="649"/>
    </row>
    <row r="28" spans="1:38 16363:16376" s="573" customFormat="1">
      <c r="A28" s="570" t="s">
        <v>50</v>
      </c>
      <c r="B28" s="572"/>
      <c r="C28" s="570" t="s">
        <v>51</v>
      </c>
      <c r="D28" s="570" t="s">
        <v>45</v>
      </c>
      <c r="E28" s="571" t="s">
        <v>22</v>
      </c>
      <c r="F28" s="570" t="s">
        <v>23</v>
      </c>
      <c r="G28" s="570"/>
      <c r="H28" s="681"/>
      <c r="I28" s="567">
        <v>6.4</v>
      </c>
      <c r="J28" s="573">
        <v>14.4</v>
      </c>
      <c r="K28" s="569">
        <v>14.980000000000018</v>
      </c>
      <c r="L28" s="569">
        <v>1529.73</v>
      </c>
      <c r="M28" s="569">
        <f t="shared" si="4"/>
        <v>1544.71</v>
      </c>
      <c r="N28" s="569">
        <f t="shared" si="5"/>
        <v>1559.69</v>
      </c>
      <c r="O28" s="569">
        <f t="shared" si="5"/>
        <v>1574.67</v>
      </c>
      <c r="P28" s="569">
        <f t="shared" si="5"/>
        <v>1589.65</v>
      </c>
      <c r="Q28" s="569">
        <f t="shared" si="5"/>
        <v>1604.63</v>
      </c>
      <c r="R28" s="569">
        <f t="shared" si="5"/>
        <v>1619.61</v>
      </c>
      <c r="S28" s="569">
        <f t="shared" si="5"/>
        <v>1634.59</v>
      </c>
      <c r="T28" s="569">
        <f t="shared" si="5"/>
        <v>1649.57</v>
      </c>
      <c r="U28" s="569">
        <f t="shared" si="5"/>
        <v>1664.55</v>
      </c>
      <c r="V28" s="569">
        <f t="shared" si="5"/>
        <v>1679.53</v>
      </c>
      <c r="W28" s="569">
        <f t="shared" si="5"/>
        <v>1694.51</v>
      </c>
      <c r="X28" s="569">
        <f t="shared" si="5"/>
        <v>1709.49</v>
      </c>
      <c r="Y28" s="569">
        <f t="shared" si="5"/>
        <v>1724.47</v>
      </c>
      <c r="Z28" s="569">
        <f t="shared" si="5"/>
        <v>1739.45</v>
      </c>
      <c r="AA28" s="569">
        <f t="shared" si="5"/>
        <v>1754.43</v>
      </c>
      <c r="AB28" s="569">
        <f t="shared" si="5"/>
        <v>1769.41</v>
      </c>
      <c r="AC28" s="569">
        <f t="shared" si="5"/>
        <v>1784.39</v>
      </c>
      <c r="AD28" s="569">
        <f t="shared" si="5"/>
        <v>1799.37</v>
      </c>
      <c r="AE28" s="569">
        <f t="shared" si="5"/>
        <v>1814.35</v>
      </c>
      <c r="AF28" s="569">
        <f t="shared" si="5"/>
        <v>1829.33</v>
      </c>
      <c r="AG28" s="569">
        <f t="shared" si="5"/>
        <v>1844.31</v>
      </c>
      <c r="AH28" s="569">
        <f t="shared" si="6"/>
        <v>1859.29</v>
      </c>
      <c r="AI28" s="569">
        <f t="shared" si="7"/>
        <v>1874.27</v>
      </c>
      <c r="AJ28" s="569">
        <f t="shared" si="2"/>
        <v>1889.25</v>
      </c>
      <c r="AK28" s="569">
        <f t="shared" si="3"/>
        <v>1904.23</v>
      </c>
      <c r="AL28" s="649"/>
    </row>
    <row r="29" spans="1:38 16363:16376" s="573" customFormat="1">
      <c r="A29" s="570" t="s">
        <v>52</v>
      </c>
      <c r="B29" s="572"/>
      <c r="C29" s="570" t="s">
        <v>51</v>
      </c>
      <c r="D29" s="570" t="s">
        <v>42</v>
      </c>
      <c r="E29" s="571" t="s">
        <v>39</v>
      </c>
      <c r="F29" s="570" t="s">
        <v>23</v>
      </c>
      <c r="G29" s="570"/>
      <c r="H29" s="681"/>
      <c r="I29" s="567">
        <v>6.4</v>
      </c>
      <c r="J29" s="573">
        <v>20</v>
      </c>
      <c r="K29" s="569">
        <v>32.960000000000036</v>
      </c>
      <c r="L29" s="569">
        <v>3102.14</v>
      </c>
      <c r="M29" s="569">
        <f t="shared" si="4"/>
        <v>3135.1</v>
      </c>
      <c r="N29" s="569">
        <f t="shared" si="5"/>
        <v>3168.06</v>
      </c>
      <c r="O29" s="569">
        <f t="shared" si="5"/>
        <v>3201.02</v>
      </c>
      <c r="P29" s="569">
        <f t="shared" si="5"/>
        <v>3233.98</v>
      </c>
      <c r="Q29" s="569">
        <f t="shared" si="5"/>
        <v>3266.94</v>
      </c>
      <c r="R29" s="569">
        <f t="shared" si="5"/>
        <v>3299.9</v>
      </c>
      <c r="S29" s="569">
        <f t="shared" si="5"/>
        <v>3332.86</v>
      </c>
      <c r="T29" s="569">
        <f t="shared" si="5"/>
        <v>3365.82</v>
      </c>
      <c r="U29" s="569">
        <f t="shared" si="5"/>
        <v>3398.78</v>
      </c>
      <c r="V29" s="569">
        <f t="shared" si="5"/>
        <v>3431.74</v>
      </c>
      <c r="W29" s="569">
        <f t="shared" si="5"/>
        <v>3464.7</v>
      </c>
      <c r="X29" s="569">
        <f t="shared" si="5"/>
        <v>3497.66</v>
      </c>
      <c r="Y29" s="569">
        <f t="shared" si="5"/>
        <v>3530.62</v>
      </c>
      <c r="Z29" s="569">
        <f t="shared" si="5"/>
        <v>3563.58</v>
      </c>
      <c r="AA29" s="569">
        <f t="shared" si="5"/>
        <v>3596.54</v>
      </c>
      <c r="AB29" s="569">
        <f t="shared" si="5"/>
        <v>3629.5</v>
      </c>
      <c r="AC29" s="569">
        <f t="shared" si="5"/>
        <v>3662.46</v>
      </c>
      <c r="AD29" s="569">
        <f t="shared" si="5"/>
        <v>3695.42</v>
      </c>
      <c r="AE29" s="569">
        <f t="shared" si="5"/>
        <v>3728.38</v>
      </c>
      <c r="AF29" s="569">
        <f t="shared" si="5"/>
        <v>3761.34</v>
      </c>
      <c r="AG29" s="569">
        <f t="shared" si="5"/>
        <v>3794.3</v>
      </c>
      <c r="AH29" s="569">
        <f t="shared" si="6"/>
        <v>3827.26</v>
      </c>
      <c r="AI29" s="569">
        <f t="shared" si="7"/>
        <v>3860.22</v>
      </c>
      <c r="AJ29" s="569">
        <f t="shared" si="2"/>
        <v>3893.18</v>
      </c>
      <c r="AK29" s="569">
        <f t="shared" si="3"/>
        <v>3926.14</v>
      </c>
      <c r="AL29" s="649"/>
    </row>
    <row r="30" spans="1:38 16363:16376" s="621" customFormat="1">
      <c r="A30" s="650" t="s">
        <v>53</v>
      </c>
      <c r="B30" s="652">
        <v>23</v>
      </c>
      <c r="C30" s="650" t="s">
        <v>54</v>
      </c>
      <c r="D30" s="650" t="s">
        <v>21</v>
      </c>
      <c r="E30" s="650" t="s">
        <v>25</v>
      </c>
      <c r="F30" s="650" t="s">
        <v>23</v>
      </c>
      <c r="G30" s="650"/>
      <c r="H30" s="683"/>
      <c r="I30" s="620">
        <v>6.4</v>
      </c>
      <c r="J30" s="621">
        <v>17.5</v>
      </c>
      <c r="K30" s="622">
        <v>17.659999999999854</v>
      </c>
      <c r="L30" s="622">
        <v>2194.62</v>
      </c>
      <c r="M30" s="622">
        <f t="shared" si="4"/>
        <v>2212.2800000000002</v>
      </c>
      <c r="N30" s="622">
        <f t="shared" si="5"/>
        <v>2229.94</v>
      </c>
      <c r="O30" s="622">
        <f t="shared" si="5"/>
        <v>2247.6</v>
      </c>
      <c r="P30" s="622">
        <f t="shared" si="5"/>
        <v>2265.2600000000002</v>
      </c>
      <c r="Q30" s="622">
        <f t="shared" si="5"/>
        <v>2282.92</v>
      </c>
      <c r="R30" s="622">
        <f t="shared" si="5"/>
        <v>2300.58</v>
      </c>
      <c r="S30" s="622">
        <f t="shared" si="5"/>
        <v>2318.2399999999998</v>
      </c>
      <c r="T30" s="622">
        <f t="shared" si="5"/>
        <v>2335.9</v>
      </c>
      <c r="U30" s="622">
        <f t="shared" si="5"/>
        <v>2353.56</v>
      </c>
      <c r="V30" s="622">
        <f t="shared" si="5"/>
        <v>2371.2199999999998</v>
      </c>
      <c r="W30" s="622">
        <f t="shared" si="5"/>
        <v>2388.88</v>
      </c>
      <c r="X30" s="622">
        <f t="shared" si="5"/>
        <v>2406.54</v>
      </c>
      <c r="Y30" s="622">
        <f t="shared" si="5"/>
        <v>2424.1999999999998</v>
      </c>
      <c r="Z30" s="622">
        <f t="shared" si="5"/>
        <v>2441.86</v>
      </c>
      <c r="AA30" s="622">
        <f t="shared" si="5"/>
        <v>2459.52</v>
      </c>
      <c r="AB30" s="622">
        <f t="shared" si="5"/>
        <v>2477.1799999999998</v>
      </c>
      <c r="AC30" s="622">
        <f t="shared" si="5"/>
        <v>2494.84</v>
      </c>
      <c r="AD30" s="622">
        <f t="shared" si="5"/>
        <v>2512.5</v>
      </c>
      <c r="AE30" s="622">
        <f t="shared" si="5"/>
        <v>2530.16</v>
      </c>
      <c r="AF30" s="622">
        <f t="shared" si="5"/>
        <v>2547.8200000000002</v>
      </c>
      <c r="AG30" s="622">
        <f t="shared" si="5"/>
        <v>2565.48</v>
      </c>
      <c r="AH30" s="622">
        <f t="shared" si="6"/>
        <v>2583.14</v>
      </c>
      <c r="AI30" s="622">
        <f t="shared" si="7"/>
        <v>2600.8000000000002</v>
      </c>
      <c r="AJ30" s="622">
        <f t="shared" si="2"/>
        <v>2618.46</v>
      </c>
      <c r="AK30" s="622">
        <f t="shared" si="3"/>
        <v>2636.12</v>
      </c>
      <c r="AL30" s="649"/>
    </row>
    <row r="31" spans="1:38 16363:16376" s="704" customFormat="1">
      <c r="A31" s="700" t="s">
        <v>53</v>
      </c>
      <c r="B31" s="651">
        <v>23</v>
      </c>
      <c r="C31" s="700" t="s">
        <v>55</v>
      </c>
      <c r="D31" s="701" t="s">
        <v>21</v>
      </c>
      <c r="E31" s="702" t="s">
        <v>56</v>
      </c>
      <c r="F31" s="655" t="s">
        <v>57</v>
      </c>
      <c r="G31" s="562"/>
      <c r="H31" s="703"/>
      <c r="I31" s="704">
        <v>6.5</v>
      </c>
      <c r="K31" s="563">
        <f>2.55*7.2*0.98</f>
        <v>17.992799999999999</v>
      </c>
      <c r="L31" s="703">
        <f>282.88*7.2*0.98</f>
        <v>1996.0012800000002</v>
      </c>
      <c r="M31" s="563">
        <f t="shared" ref="M31:AG31" si="8">ROUND(L31+$K31,2)</f>
        <v>2013.99</v>
      </c>
      <c r="N31" s="563">
        <f t="shared" si="8"/>
        <v>2031.98</v>
      </c>
      <c r="O31" s="563">
        <f t="shared" si="8"/>
        <v>2049.9699999999998</v>
      </c>
      <c r="P31" s="563">
        <f t="shared" si="8"/>
        <v>2067.96</v>
      </c>
      <c r="Q31" s="563">
        <f t="shared" si="8"/>
        <v>2085.9499999999998</v>
      </c>
      <c r="R31" s="563">
        <f t="shared" si="8"/>
        <v>2103.94</v>
      </c>
      <c r="S31" s="563">
        <f t="shared" si="8"/>
        <v>2121.9299999999998</v>
      </c>
      <c r="T31" s="563">
        <f t="shared" si="8"/>
        <v>2139.92</v>
      </c>
      <c r="U31" s="563">
        <f t="shared" si="8"/>
        <v>2157.91</v>
      </c>
      <c r="V31" s="703">
        <f t="shared" si="8"/>
        <v>2175.9</v>
      </c>
      <c r="W31" s="703">
        <f t="shared" si="8"/>
        <v>2193.89</v>
      </c>
      <c r="X31" s="703">
        <f t="shared" si="8"/>
        <v>2211.88</v>
      </c>
      <c r="Y31" s="703">
        <f t="shared" si="8"/>
        <v>2229.87</v>
      </c>
      <c r="Z31" s="703">
        <f t="shared" si="8"/>
        <v>2247.86</v>
      </c>
      <c r="AA31" s="703">
        <f t="shared" si="8"/>
        <v>2265.85</v>
      </c>
      <c r="AB31" s="703">
        <f t="shared" si="8"/>
        <v>2283.84</v>
      </c>
      <c r="AC31" s="703">
        <f t="shared" si="8"/>
        <v>2301.83</v>
      </c>
      <c r="AD31" s="703">
        <f t="shared" si="8"/>
        <v>2319.8200000000002</v>
      </c>
      <c r="AE31" s="704">
        <f t="shared" si="8"/>
        <v>2337.81</v>
      </c>
      <c r="AF31" s="704">
        <f t="shared" si="8"/>
        <v>2355.8000000000002</v>
      </c>
      <c r="AG31" s="704">
        <f t="shared" si="8"/>
        <v>2373.79</v>
      </c>
      <c r="AH31" s="704">
        <f t="shared" si="6"/>
        <v>2391.7800000000002</v>
      </c>
      <c r="AI31" s="704">
        <f t="shared" si="7"/>
        <v>2409.77</v>
      </c>
      <c r="AJ31" s="704">
        <f t="shared" si="2"/>
        <v>2427.7600000000002</v>
      </c>
      <c r="AK31" s="703">
        <f t="shared" si="3"/>
        <v>2445.75</v>
      </c>
      <c r="AL31" s="705"/>
      <c r="XEI31" s="700"/>
      <c r="XEJ31" s="700"/>
      <c r="XEK31" s="700"/>
      <c r="XEL31" s="700"/>
      <c r="XEM31" s="701"/>
      <c r="XEN31" s="706"/>
      <c r="XEP31" s="706"/>
      <c r="XEQ31" s="706"/>
      <c r="XER31" s="707"/>
      <c r="XET31" s="706"/>
      <c r="XEV31" s="700"/>
    </row>
    <row r="32" spans="1:38 16363:16376" s="562" customFormat="1">
      <c r="A32" s="651" t="s">
        <v>58</v>
      </c>
      <c r="B32" s="654"/>
      <c r="C32" s="651" t="s">
        <v>54</v>
      </c>
      <c r="D32" s="651" t="s">
        <v>21</v>
      </c>
      <c r="E32" s="651" t="s">
        <v>25</v>
      </c>
      <c r="F32" s="558" t="s">
        <v>59</v>
      </c>
      <c r="G32" s="651"/>
      <c r="H32" s="684"/>
      <c r="I32" s="562">
        <v>6.4</v>
      </c>
      <c r="J32" s="562">
        <v>17.5</v>
      </c>
      <c r="K32" s="563">
        <f>K31</f>
        <v>17.992799999999999</v>
      </c>
      <c r="L32" s="563">
        <f>L31+57.6</f>
        <v>2053.6012800000003</v>
      </c>
      <c r="M32" s="563">
        <f>ROUND(L32+$K32,2)</f>
        <v>2071.59</v>
      </c>
      <c r="N32" s="563">
        <f t="shared" si="5"/>
        <v>2089.58</v>
      </c>
      <c r="O32" s="563">
        <f t="shared" si="5"/>
        <v>2107.5700000000002</v>
      </c>
      <c r="P32" s="563">
        <f t="shared" si="5"/>
        <v>2125.56</v>
      </c>
      <c r="Q32" s="563">
        <f t="shared" si="5"/>
        <v>2143.5500000000002</v>
      </c>
      <c r="R32" s="563">
        <f t="shared" si="5"/>
        <v>2161.54</v>
      </c>
      <c r="S32" s="563">
        <f t="shared" si="5"/>
        <v>2179.5300000000002</v>
      </c>
      <c r="T32" s="563">
        <f t="shared" si="5"/>
        <v>2197.52</v>
      </c>
      <c r="U32" s="563">
        <f t="shared" si="5"/>
        <v>2215.5100000000002</v>
      </c>
      <c r="V32" s="563">
        <f t="shared" si="5"/>
        <v>2233.5</v>
      </c>
      <c r="W32" s="563">
        <f>ROUND(V32+$K32,2)</f>
        <v>2251.4899999999998</v>
      </c>
      <c r="X32" s="563">
        <f t="shared" si="5"/>
        <v>2269.48</v>
      </c>
      <c r="Y32" s="563">
        <f t="shared" si="5"/>
        <v>2287.4699999999998</v>
      </c>
      <c r="Z32" s="563">
        <f t="shared" si="5"/>
        <v>2305.46</v>
      </c>
      <c r="AA32" s="563">
        <f t="shared" si="5"/>
        <v>2323.4499999999998</v>
      </c>
      <c r="AB32" s="563">
        <f t="shared" si="5"/>
        <v>2341.44</v>
      </c>
      <c r="AC32" s="563">
        <f t="shared" si="5"/>
        <v>2359.4299999999998</v>
      </c>
      <c r="AD32" s="563">
        <f t="shared" si="5"/>
        <v>2377.42</v>
      </c>
      <c r="AE32" s="563">
        <f t="shared" si="5"/>
        <v>2395.41</v>
      </c>
      <c r="AF32" s="563">
        <f t="shared" si="5"/>
        <v>2413.4</v>
      </c>
      <c r="AG32" s="563">
        <f t="shared" si="5"/>
        <v>2431.39</v>
      </c>
      <c r="AH32" s="563">
        <f t="shared" si="6"/>
        <v>2449.38</v>
      </c>
      <c r="AI32" s="563">
        <f t="shared" si="7"/>
        <v>2467.37</v>
      </c>
      <c r="AJ32" s="563">
        <f t="shared" si="2"/>
        <v>2485.36</v>
      </c>
      <c r="AK32" s="563">
        <f t="shared" si="3"/>
        <v>2503.35</v>
      </c>
      <c r="AL32" s="649"/>
    </row>
    <row r="33" spans="1:16377" s="562" customFormat="1">
      <c r="A33" s="651" t="s">
        <v>60</v>
      </c>
      <c r="B33" s="651"/>
      <c r="C33" s="651" t="s">
        <v>54</v>
      </c>
      <c r="D33" s="651" t="s">
        <v>35</v>
      </c>
      <c r="E33" s="558" t="s">
        <v>25</v>
      </c>
      <c r="F33" s="655" t="s">
        <v>61</v>
      </c>
      <c r="H33" s="685"/>
      <c r="I33" s="562">
        <v>6.4</v>
      </c>
      <c r="J33" s="562">
        <v>35</v>
      </c>
      <c r="K33" s="563">
        <f>K31*2*1.035</f>
        <v>37.245095999999997</v>
      </c>
      <c r="L33" s="563">
        <f>L31*2*1.035</f>
        <v>4131.7226496000003</v>
      </c>
      <c r="M33" s="563">
        <f>ROUND(L33+$K33,2)</f>
        <v>4168.97</v>
      </c>
      <c r="N33" s="563">
        <f t="shared" si="5"/>
        <v>4206.22</v>
      </c>
      <c r="O33" s="563">
        <f t="shared" si="5"/>
        <v>4243.47</v>
      </c>
      <c r="P33" s="563">
        <f t="shared" si="5"/>
        <v>4280.72</v>
      </c>
      <c r="Q33" s="563">
        <f t="shared" si="5"/>
        <v>4317.97</v>
      </c>
      <c r="R33" s="563">
        <f t="shared" si="5"/>
        <v>4355.22</v>
      </c>
      <c r="S33" s="563">
        <f t="shared" si="5"/>
        <v>4392.47</v>
      </c>
      <c r="T33" s="563">
        <f t="shared" si="5"/>
        <v>4429.72</v>
      </c>
      <c r="U33" s="563">
        <f t="shared" si="5"/>
        <v>4466.97</v>
      </c>
      <c r="V33" s="563">
        <f t="shared" si="5"/>
        <v>4504.22</v>
      </c>
      <c r="W33" s="563">
        <f t="shared" si="5"/>
        <v>4541.47</v>
      </c>
      <c r="X33" s="563">
        <f t="shared" si="5"/>
        <v>4578.72</v>
      </c>
      <c r="Y33" s="563">
        <f t="shared" si="5"/>
        <v>4615.97</v>
      </c>
      <c r="Z33" s="563">
        <f t="shared" si="5"/>
        <v>4653.22</v>
      </c>
      <c r="AA33" s="563">
        <f t="shared" si="5"/>
        <v>4690.47</v>
      </c>
      <c r="AB33" s="563">
        <f t="shared" si="5"/>
        <v>4727.72</v>
      </c>
      <c r="AC33" s="563">
        <f t="shared" si="5"/>
        <v>4764.97</v>
      </c>
      <c r="AD33" s="563">
        <f t="shared" si="5"/>
        <v>4802.22</v>
      </c>
      <c r="AE33" s="563">
        <f t="shared" si="5"/>
        <v>4839.47</v>
      </c>
      <c r="AF33" s="563">
        <f t="shared" si="5"/>
        <v>4876.72</v>
      </c>
      <c r="AG33" s="563">
        <f t="shared" si="5"/>
        <v>4913.97</v>
      </c>
      <c r="AH33" s="563">
        <f t="shared" si="6"/>
        <v>4951.22</v>
      </c>
      <c r="AI33" s="563">
        <f t="shared" si="7"/>
        <v>4988.47</v>
      </c>
      <c r="AJ33" s="563">
        <f t="shared" si="2"/>
        <v>5025.72</v>
      </c>
      <c r="AK33" s="563">
        <f t="shared" si="3"/>
        <v>5062.97</v>
      </c>
      <c r="AL33" s="649"/>
      <c r="XEL33" s="651"/>
      <c r="XEM33" s="651"/>
      <c r="XEN33" s="651"/>
      <c r="XEO33" s="651"/>
      <c r="XEP33" s="559"/>
      <c r="XEQ33" s="653"/>
      <c r="XES33" s="653"/>
      <c r="XET33" s="653"/>
      <c r="XEU33" s="561"/>
      <c r="XEW33" s="653"/>
    </row>
    <row r="34" spans="1:16377" s="621" customFormat="1">
      <c r="A34" s="650" t="s">
        <v>62</v>
      </c>
      <c r="B34" s="650"/>
      <c r="C34" s="650" t="s">
        <v>54</v>
      </c>
      <c r="D34" s="650" t="s">
        <v>21</v>
      </c>
      <c r="E34" s="650" t="s">
        <v>27</v>
      </c>
      <c r="F34" s="650" t="s">
        <v>57</v>
      </c>
      <c r="G34" s="652"/>
      <c r="H34" s="686"/>
      <c r="I34" s="621">
        <v>6.4</v>
      </c>
      <c r="J34" s="621">
        <v>17.8</v>
      </c>
      <c r="K34" s="622">
        <f>18.21*0.98</f>
        <v>17.845800000000001</v>
      </c>
      <c r="L34" s="622">
        <f>2082.82*0.98</f>
        <v>2041.1636000000001</v>
      </c>
      <c r="M34" s="622">
        <f t="shared" si="4"/>
        <v>2059.0100000000002</v>
      </c>
      <c r="N34" s="622">
        <f t="shared" si="5"/>
        <v>2076.86</v>
      </c>
      <c r="O34" s="622">
        <f t="shared" si="5"/>
        <v>2094.71</v>
      </c>
      <c r="P34" s="622">
        <f t="shared" si="5"/>
        <v>2112.56</v>
      </c>
      <c r="Q34" s="622">
        <f t="shared" si="5"/>
        <v>2130.41</v>
      </c>
      <c r="R34" s="622">
        <f t="shared" si="5"/>
        <v>2148.2600000000002</v>
      </c>
      <c r="S34" s="622">
        <f t="shared" si="5"/>
        <v>2166.11</v>
      </c>
      <c r="T34" s="622">
        <f t="shared" si="5"/>
        <v>2183.96</v>
      </c>
      <c r="U34" s="622">
        <f t="shared" si="5"/>
        <v>2201.81</v>
      </c>
      <c r="V34" s="622">
        <f>ROUND(U34+$K34,2)</f>
        <v>2219.66</v>
      </c>
      <c r="W34" s="622">
        <f t="shared" si="5"/>
        <v>2237.5100000000002</v>
      </c>
      <c r="X34" s="622">
        <f t="shared" si="5"/>
        <v>2255.36</v>
      </c>
      <c r="Y34" s="622">
        <f t="shared" si="5"/>
        <v>2273.21</v>
      </c>
      <c r="Z34" s="622">
        <f t="shared" si="5"/>
        <v>2291.06</v>
      </c>
      <c r="AA34" s="622">
        <f t="shared" si="5"/>
        <v>2308.91</v>
      </c>
      <c r="AB34" s="622">
        <f t="shared" si="5"/>
        <v>2326.7600000000002</v>
      </c>
      <c r="AC34" s="622">
        <f t="shared" si="5"/>
        <v>2344.61</v>
      </c>
      <c r="AD34" s="622">
        <f t="shared" si="5"/>
        <v>2362.46</v>
      </c>
      <c r="AE34" s="622">
        <f t="shared" si="5"/>
        <v>2380.31</v>
      </c>
      <c r="AF34" s="622">
        <f t="shared" si="5"/>
        <v>2398.16</v>
      </c>
      <c r="AG34" s="622">
        <f t="shared" si="5"/>
        <v>2416.0100000000002</v>
      </c>
      <c r="AH34" s="622">
        <f t="shared" si="6"/>
        <v>2433.86</v>
      </c>
      <c r="AI34" s="622">
        <f t="shared" si="7"/>
        <v>2451.71</v>
      </c>
      <c r="AJ34" s="622">
        <f t="shared" si="2"/>
        <v>2469.56</v>
      </c>
      <c r="AK34" s="622">
        <f t="shared" si="3"/>
        <v>2487.41</v>
      </c>
      <c r="AL34" s="649"/>
    </row>
    <row r="35" spans="1:16377" s="704" customFormat="1">
      <c r="A35" s="700" t="s">
        <v>53</v>
      </c>
      <c r="B35" s="651"/>
      <c r="C35" s="700" t="s">
        <v>54</v>
      </c>
      <c r="D35" s="700" t="s">
        <v>35</v>
      </c>
      <c r="E35" s="712" t="s">
        <v>39</v>
      </c>
      <c r="F35" s="655" t="s">
        <v>57</v>
      </c>
      <c r="G35" s="653"/>
      <c r="H35" s="708" t="s">
        <v>63</v>
      </c>
      <c r="I35" s="704">
        <v>6.4</v>
      </c>
      <c r="J35" s="704">
        <v>17.5</v>
      </c>
      <c r="K35" s="563">
        <f>K31*0.97</f>
        <v>17.453015999999998</v>
      </c>
      <c r="L35" s="703">
        <f>L31*0.97</f>
        <v>1936.1212416000001</v>
      </c>
      <c r="M35" s="563">
        <f t="shared" si="4"/>
        <v>1953.57</v>
      </c>
      <c r="N35" s="563">
        <f t="shared" si="5"/>
        <v>1971.02</v>
      </c>
      <c r="O35" s="563">
        <f t="shared" si="5"/>
        <v>1988.47</v>
      </c>
      <c r="P35" s="563">
        <f t="shared" si="5"/>
        <v>2005.92</v>
      </c>
      <c r="Q35" s="563">
        <f t="shared" si="5"/>
        <v>2023.37</v>
      </c>
      <c r="R35" s="563">
        <f t="shared" si="5"/>
        <v>2040.82</v>
      </c>
      <c r="S35" s="563">
        <f t="shared" si="5"/>
        <v>2058.27</v>
      </c>
      <c r="T35" s="563">
        <f t="shared" si="5"/>
        <v>2075.7199999999998</v>
      </c>
      <c r="U35" s="563">
        <f t="shared" si="5"/>
        <v>2093.17</v>
      </c>
      <c r="V35" s="703">
        <f t="shared" si="5"/>
        <v>2110.62</v>
      </c>
      <c r="W35" s="703">
        <f t="shared" si="5"/>
        <v>2128.0700000000002</v>
      </c>
      <c r="X35" s="703">
        <f t="shared" si="5"/>
        <v>2145.52</v>
      </c>
      <c r="Y35" s="703">
        <f t="shared" si="5"/>
        <v>2162.9699999999998</v>
      </c>
      <c r="Z35" s="703">
        <f t="shared" si="5"/>
        <v>2180.42</v>
      </c>
      <c r="AA35" s="703">
        <f t="shared" si="5"/>
        <v>2197.87</v>
      </c>
      <c r="AB35" s="703">
        <f t="shared" si="5"/>
        <v>2215.3200000000002</v>
      </c>
      <c r="AC35" s="703">
        <f t="shared" si="5"/>
        <v>2232.77</v>
      </c>
      <c r="AD35" s="703">
        <f t="shared" si="5"/>
        <v>2250.2199999999998</v>
      </c>
      <c r="AE35" s="703">
        <f t="shared" si="5"/>
        <v>2267.67</v>
      </c>
      <c r="AF35" s="703">
        <f t="shared" si="5"/>
        <v>2285.12</v>
      </c>
      <c r="AG35" s="703">
        <f t="shared" si="5"/>
        <v>2302.5700000000002</v>
      </c>
      <c r="AH35" s="703">
        <f t="shared" si="6"/>
        <v>2320.02</v>
      </c>
      <c r="AI35" s="703">
        <f t="shared" si="7"/>
        <v>2337.4699999999998</v>
      </c>
      <c r="AJ35" s="703">
        <f t="shared" si="2"/>
        <v>2354.92</v>
      </c>
      <c r="AK35" s="703">
        <f t="shared" si="3"/>
        <v>2372.37</v>
      </c>
      <c r="AL35" s="674"/>
      <c r="XEN35" s="700"/>
      <c r="XEO35" s="700"/>
      <c r="XEP35" s="700"/>
      <c r="XEQ35" s="700"/>
      <c r="XER35" s="701"/>
      <c r="XES35" s="709"/>
      <c r="XET35" s="706"/>
      <c r="XEU35" s="707"/>
      <c r="XEW35" s="706"/>
    </row>
    <row r="36" spans="1:16377" s="562" customFormat="1">
      <c r="A36" s="558" t="s">
        <v>64</v>
      </c>
      <c r="B36" s="560"/>
      <c r="C36" s="558" t="s">
        <v>54</v>
      </c>
      <c r="D36" s="558" t="s">
        <v>21</v>
      </c>
      <c r="E36" s="558" t="s">
        <v>39</v>
      </c>
      <c r="F36" s="558" t="s">
        <v>65</v>
      </c>
      <c r="G36" s="558"/>
      <c r="H36" s="687" t="s">
        <v>66</v>
      </c>
      <c r="I36" s="561">
        <v>6.4</v>
      </c>
      <c r="J36" s="562">
        <v>17.5</v>
      </c>
      <c r="K36" s="563">
        <f>K35</f>
        <v>17.453015999999998</v>
      </c>
      <c r="L36" s="563">
        <f>ROUND(L35+57.6,2)</f>
        <v>1993.72</v>
      </c>
      <c r="M36" s="563">
        <f t="shared" ref="M36:AG36" si="9">ROUND(M35+57.6,2)</f>
        <v>2011.17</v>
      </c>
      <c r="N36" s="563">
        <f t="shared" si="9"/>
        <v>2028.62</v>
      </c>
      <c r="O36" s="563">
        <f t="shared" si="9"/>
        <v>2046.07</v>
      </c>
      <c r="P36" s="563">
        <f t="shared" si="9"/>
        <v>2063.52</v>
      </c>
      <c r="Q36" s="563">
        <f t="shared" si="9"/>
        <v>2080.9699999999998</v>
      </c>
      <c r="R36" s="563">
        <f t="shared" si="9"/>
        <v>2098.42</v>
      </c>
      <c r="S36" s="563">
        <f t="shared" si="9"/>
        <v>2115.87</v>
      </c>
      <c r="T36" s="563">
        <f t="shared" si="9"/>
        <v>2133.3200000000002</v>
      </c>
      <c r="U36" s="563">
        <f t="shared" si="9"/>
        <v>2150.77</v>
      </c>
      <c r="V36" s="563">
        <f t="shared" si="9"/>
        <v>2168.2199999999998</v>
      </c>
      <c r="W36" s="563">
        <f t="shared" si="9"/>
        <v>2185.67</v>
      </c>
      <c r="X36" s="563">
        <f t="shared" si="9"/>
        <v>2203.12</v>
      </c>
      <c r="Y36" s="563">
        <f t="shared" si="9"/>
        <v>2220.5700000000002</v>
      </c>
      <c r="Z36" s="563">
        <f t="shared" si="9"/>
        <v>2238.02</v>
      </c>
      <c r="AA36" s="563">
        <f t="shared" si="9"/>
        <v>2255.4699999999998</v>
      </c>
      <c r="AB36" s="563">
        <f t="shared" si="9"/>
        <v>2272.92</v>
      </c>
      <c r="AC36" s="563">
        <f t="shared" si="9"/>
        <v>2290.37</v>
      </c>
      <c r="AD36" s="563">
        <f t="shared" si="9"/>
        <v>2307.8200000000002</v>
      </c>
      <c r="AE36" s="563">
        <f t="shared" si="9"/>
        <v>2325.27</v>
      </c>
      <c r="AF36" s="563">
        <f t="shared" si="9"/>
        <v>2342.7199999999998</v>
      </c>
      <c r="AG36" s="563">
        <f t="shared" si="9"/>
        <v>2360.17</v>
      </c>
      <c r="AH36" s="563">
        <f t="shared" ref="AH36:AI36" si="10">ROUND(AH35+57.6,2)</f>
        <v>2377.62</v>
      </c>
      <c r="AI36" s="563">
        <f t="shared" si="10"/>
        <v>2395.0700000000002</v>
      </c>
      <c r="AJ36" s="563">
        <f t="shared" ref="AJ36:AK36" si="11">ROUND(AJ35+57.6,2)</f>
        <v>2412.52</v>
      </c>
      <c r="AK36" s="563">
        <f t="shared" si="11"/>
        <v>2429.9699999999998</v>
      </c>
      <c r="AL36" s="649"/>
    </row>
    <row r="37" spans="1:16377" s="562" customFormat="1">
      <c r="A37" s="558" t="s">
        <v>67</v>
      </c>
      <c r="B37" s="560"/>
      <c r="C37" s="558" t="s">
        <v>54</v>
      </c>
      <c r="D37" s="558" t="s">
        <v>21</v>
      </c>
      <c r="E37" s="558" t="s">
        <v>39</v>
      </c>
      <c r="F37" s="558" t="s">
        <v>68</v>
      </c>
      <c r="G37" s="558"/>
      <c r="H37" s="687" t="s">
        <v>69</v>
      </c>
      <c r="I37" s="561">
        <v>6.4</v>
      </c>
      <c r="J37" s="562">
        <v>35</v>
      </c>
      <c r="K37" s="563">
        <f>K35*2*1.035</f>
        <v>36.127743119999991</v>
      </c>
      <c r="L37" s="563">
        <f>L35*2*1.035</f>
        <v>4007.7709701119998</v>
      </c>
      <c r="M37" s="563">
        <f>ROUND(L37+$K37,2)</f>
        <v>4043.9</v>
      </c>
      <c r="N37" s="563">
        <f t="shared" si="5"/>
        <v>4080.03</v>
      </c>
      <c r="O37" s="563">
        <f t="shared" si="5"/>
        <v>4116.16</v>
      </c>
      <c r="P37" s="563">
        <f t="shared" si="5"/>
        <v>4152.29</v>
      </c>
      <c r="Q37" s="563">
        <f t="shared" si="5"/>
        <v>4188.42</v>
      </c>
      <c r="R37" s="563">
        <f t="shared" si="5"/>
        <v>4224.55</v>
      </c>
      <c r="S37" s="563">
        <f t="shared" si="5"/>
        <v>4260.68</v>
      </c>
      <c r="T37" s="563">
        <f t="shared" si="5"/>
        <v>4296.8100000000004</v>
      </c>
      <c r="U37" s="563">
        <f t="shared" si="5"/>
        <v>4332.9399999999996</v>
      </c>
      <c r="V37" s="563">
        <f t="shared" si="5"/>
        <v>4369.07</v>
      </c>
      <c r="W37" s="563">
        <f t="shared" si="5"/>
        <v>4405.2</v>
      </c>
      <c r="X37" s="563">
        <f t="shared" si="5"/>
        <v>4441.33</v>
      </c>
      <c r="Y37" s="563">
        <f t="shared" si="5"/>
        <v>4477.46</v>
      </c>
      <c r="Z37" s="563">
        <f t="shared" si="5"/>
        <v>4513.59</v>
      </c>
      <c r="AA37" s="563">
        <f t="shared" si="5"/>
        <v>4549.72</v>
      </c>
      <c r="AB37" s="563">
        <f t="shared" si="5"/>
        <v>4585.8500000000004</v>
      </c>
      <c r="AC37" s="563">
        <f t="shared" si="5"/>
        <v>4621.9799999999996</v>
      </c>
      <c r="AD37" s="563">
        <f t="shared" si="5"/>
        <v>4658.1099999999997</v>
      </c>
      <c r="AE37" s="563">
        <f t="shared" si="5"/>
        <v>4694.24</v>
      </c>
      <c r="AF37" s="563">
        <f t="shared" si="5"/>
        <v>4730.37</v>
      </c>
      <c r="AG37" s="563">
        <f t="shared" si="5"/>
        <v>4766.5</v>
      </c>
      <c r="AH37" s="563">
        <f t="shared" ref="AH37:AI52" si="12">ROUND(AG37+$K37,2)</f>
        <v>4802.63</v>
      </c>
      <c r="AI37" s="563">
        <f t="shared" ref="AI37" si="13">ROUND(AH37+$K37,2)</f>
        <v>4838.76</v>
      </c>
      <c r="AJ37" s="563">
        <f t="shared" ref="AJ37:AJ58" si="14">ROUND(AI37+$K37,2)</f>
        <v>4874.8900000000003</v>
      </c>
      <c r="AK37" s="563">
        <f t="shared" ref="AK37:AK58" si="15">ROUND(AJ37+$K37,2)</f>
        <v>4911.0200000000004</v>
      </c>
      <c r="AL37" s="649"/>
    </row>
    <row r="38" spans="1:16377" s="664" customFormat="1">
      <c r="A38" s="558" t="s">
        <v>70</v>
      </c>
      <c r="B38" s="558"/>
      <c r="C38" s="558" t="s">
        <v>54</v>
      </c>
      <c r="D38" s="558" t="s">
        <v>71</v>
      </c>
      <c r="E38" s="559" t="s">
        <v>39</v>
      </c>
      <c r="F38" s="558" t="s">
        <v>57</v>
      </c>
      <c r="G38" s="558"/>
      <c r="H38" s="688"/>
      <c r="I38" s="562">
        <v>6.4</v>
      </c>
      <c r="J38" s="562">
        <v>17.5</v>
      </c>
      <c r="K38" s="563">
        <f>K35*1.02</f>
        <v>17.802076319999998</v>
      </c>
      <c r="L38" s="563">
        <f>L35*1.02</f>
        <v>1974.8436664320002</v>
      </c>
      <c r="M38" s="563">
        <f t="shared" si="4"/>
        <v>1992.65</v>
      </c>
      <c r="N38" s="563">
        <f t="shared" si="5"/>
        <v>2010.45</v>
      </c>
      <c r="O38" s="563">
        <f t="shared" si="5"/>
        <v>2028.25</v>
      </c>
      <c r="P38" s="563">
        <f t="shared" si="5"/>
        <v>2046.05</v>
      </c>
      <c r="Q38" s="563">
        <f t="shared" si="5"/>
        <v>2063.85</v>
      </c>
      <c r="R38" s="563">
        <f t="shared" si="5"/>
        <v>2081.65</v>
      </c>
      <c r="S38" s="563">
        <f t="shared" ref="N38:AG51" si="16">ROUND(R38+$K38,2)</f>
        <v>2099.4499999999998</v>
      </c>
      <c r="T38" s="563">
        <f t="shared" si="16"/>
        <v>2117.25</v>
      </c>
      <c r="U38" s="563">
        <f t="shared" si="16"/>
        <v>2135.0500000000002</v>
      </c>
      <c r="V38" s="563">
        <f t="shared" si="16"/>
        <v>2152.85</v>
      </c>
      <c r="W38" s="563">
        <f t="shared" si="16"/>
        <v>2170.65</v>
      </c>
      <c r="X38" s="563">
        <f t="shared" si="16"/>
        <v>2188.4499999999998</v>
      </c>
      <c r="Y38" s="563">
        <f t="shared" si="16"/>
        <v>2206.25</v>
      </c>
      <c r="Z38" s="563">
        <f t="shared" si="16"/>
        <v>2224.0500000000002</v>
      </c>
      <c r="AA38" s="563">
        <f t="shared" si="16"/>
        <v>2241.85</v>
      </c>
      <c r="AB38" s="563">
        <f t="shared" si="16"/>
        <v>2259.65</v>
      </c>
      <c r="AC38" s="563">
        <f t="shared" si="16"/>
        <v>2277.4499999999998</v>
      </c>
      <c r="AD38" s="563">
        <f t="shared" si="16"/>
        <v>2295.25</v>
      </c>
      <c r="AE38" s="563">
        <f t="shared" si="16"/>
        <v>2313.0500000000002</v>
      </c>
      <c r="AF38" s="563">
        <f t="shared" si="16"/>
        <v>2330.85</v>
      </c>
      <c r="AG38" s="563">
        <f t="shared" si="16"/>
        <v>2348.65</v>
      </c>
      <c r="AH38" s="563">
        <f t="shared" si="12"/>
        <v>2366.4499999999998</v>
      </c>
      <c r="AI38" s="563">
        <f t="shared" si="12"/>
        <v>2384.25</v>
      </c>
      <c r="AJ38" s="563">
        <f t="shared" si="14"/>
        <v>2402.0500000000002</v>
      </c>
      <c r="AK38" s="563">
        <f t="shared" si="15"/>
        <v>2419.85</v>
      </c>
      <c r="AL38" s="649"/>
      <c r="AM38" s="562"/>
      <c r="AN38" s="562"/>
      <c r="AO38" s="562"/>
      <c r="AP38" s="562"/>
      <c r="AQ38" s="562"/>
      <c r="AR38" s="562"/>
      <c r="AS38" s="562"/>
      <c r="AT38" s="562"/>
      <c r="AU38" s="562"/>
      <c r="AV38" s="562"/>
      <c r="AW38" s="562"/>
      <c r="AX38" s="562"/>
      <c r="AY38" s="562"/>
      <c r="AZ38" s="562"/>
      <c r="BA38" s="562"/>
      <c r="BB38" s="562"/>
      <c r="BC38" s="562"/>
      <c r="BD38" s="562"/>
      <c r="BE38" s="562"/>
      <c r="BF38" s="562"/>
      <c r="BG38" s="562"/>
      <c r="BH38" s="562"/>
      <c r="BI38" s="562"/>
      <c r="BJ38" s="562"/>
      <c r="BK38" s="562"/>
      <c r="BL38" s="562"/>
      <c r="BM38" s="562"/>
      <c r="BN38" s="562"/>
      <c r="BO38" s="562"/>
      <c r="BP38" s="562"/>
      <c r="BQ38" s="562"/>
      <c r="BR38" s="562"/>
      <c r="BS38" s="562"/>
      <c r="BT38" s="562"/>
      <c r="BU38" s="562"/>
      <c r="BV38" s="562"/>
      <c r="BW38" s="562"/>
      <c r="BX38" s="562"/>
      <c r="BY38" s="562"/>
      <c r="BZ38" s="562"/>
      <c r="CA38" s="562"/>
      <c r="CB38" s="562"/>
      <c r="CC38" s="562"/>
      <c r="CD38" s="562"/>
      <c r="CE38" s="562"/>
      <c r="CF38" s="562"/>
      <c r="CG38" s="562"/>
      <c r="CH38" s="562"/>
      <c r="CI38" s="562"/>
      <c r="CJ38" s="562"/>
      <c r="CK38" s="562"/>
      <c r="CL38" s="562"/>
      <c r="CM38" s="562"/>
      <c r="CN38" s="562"/>
      <c r="CO38" s="562"/>
      <c r="CP38" s="562"/>
      <c r="CQ38" s="562"/>
      <c r="CR38" s="562"/>
      <c r="CS38" s="562"/>
      <c r="CT38" s="562"/>
      <c r="CU38" s="562"/>
      <c r="CV38" s="562"/>
      <c r="CW38" s="562"/>
      <c r="CX38" s="562"/>
      <c r="CY38" s="562"/>
      <c r="CZ38" s="562"/>
      <c r="DA38" s="562"/>
      <c r="DB38" s="562"/>
      <c r="DC38" s="562"/>
      <c r="DD38" s="562"/>
      <c r="DE38" s="562"/>
      <c r="DF38" s="562"/>
      <c r="DG38" s="562"/>
      <c r="DH38" s="562"/>
      <c r="DI38" s="562"/>
      <c r="DJ38" s="562"/>
      <c r="DK38" s="562"/>
      <c r="DL38" s="562"/>
      <c r="DM38" s="562"/>
      <c r="DN38" s="562"/>
      <c r="DO38" s="562"/>
      <c r="DP38" s="562"/>
      <c r="DQ38" s="562"/>
      <c r="DR38" s="562"/>
      <c r="DS38" s="562"/>
      <c r="DT38" s="562"/>
      <c r="DU38" s="562"/>
      <c r="DV38" s="562"/>
      <c r="DW38" s="562"/>
      <c r="DX38" s="562"/>
      <c r="DY38" s="562"/>
      <c r="DZ38" s="562"/>
      <c r="EA38" s="562"/>
      <c r="EB38" s="562"/>
      <c r="EC38" s="562"/>
      <c r="ED38" s="562"/>
      <c r="EE38" s="562"/>
      <c r="EF38" s="562"/>
      <c r="EG38" s="562"/>
      <c r="EH38" s="562"/>
      <c r="EI38" s="562"/>
      <c r="EJ38" s="562"/>
      <c r="EK38" s="562"/>
      <c r="EL38" s="562"/>
      <c r="EM38" s="562"/>
      <c r="EN38" s="562"/>
      <c r="EO38" s="562"/>
      <c r="EP38" s="562"/>
      <c r="EQ38" s="562"/>
      <c r="ER38" s="562"/>
      <c r="ES38" s="562"/>
      <c r="ET38" s="562"/>
      <c r="EU38" s="562"/>
      <c r="EV38" s="562"/>
      <c r="EW38" s="562"/>
      <c r="EX38" s="562"/>
      <c r="EY38" s="562"/>
      <c r="EZ38" s="562"/>
      <c r="FA38" s="562"/>
      <c r="FB38" s="562"/>
      <c r="FC38" s="562"/>
      <c r="FD38" s="562"/>
      <c r="FE38" s="562"/>
      <c r="FF38" s="562"/>
      <c r="FG38" s="562"/>
      <c r="FH38" s="562"/>
      <c r="FI38" s="562"/>
      <c r="FJ38" s="562"/>
      <c r="FK38" s="562"/>
      <c r="FL38" s="562"/>
      <c r="FM38" s="562"/>
      <c r="FN38" s="562"/>
      <c r="FO38" s="562"/>
      <c r="FP38" s="562"/>
      <c r="FQ38" s="562"/>
      <c r="FR38" s="562"/>
      <c r="FS38" s="562"/>
      <c r="FT38" s="562"/>
      <c r="FU38" s="562"/>
      <c r="FV38" s="562"/>
      <c r="FW38" s="562"/>
      <c r="FX38" s="562"/>
      <c r="FY38" s="562"/>
      <c r="FZ38" s="562"/>
      <c r="GA38" s="562"/>
      <c r="GB38" s="562"/>
      <c r="GC38" s="562"/>
      <c r="GD38" s="562"/>
      <c r="GE38" s="562"/>
      <c r="GF38" s="562"/>
      <c r="GG38" s="562"/>
      <c r="GH38" s="562"/>
      <c r="GI38" s="562"/>
      <c r="GJ38" s="562"/>
      <c r="GK38" s="562"/>
      <c r="GL38" s="562"/>
      <c r="GM38" s="562"/>
      <c r="GN38" s="562"/>
      <c r="GO38" s="562"/>
      <c r="GP38" s="562"/>
      <c r="GQ38" s="562"/>
      <c r="GR38" s="562"/>
      <c r="GS38" s="562"/>
      <c r="GT38" s="562"/>
      <c r="GU38" s="562"/>
      <c r="GV38" s="562"/>
      <c r="GW38" s="562"/>
      <c r="GX38" s="562"/>
      <c r="GY38" s="562"/>
      <c r="GZ38" s="562"/>
      <c r="HA38" s="562"/>
      <c r="HB38" s="562"/>
      <c r="HC38" s="562"/>
      <c r="HD38" s="562"/>
      <c r="HE38" s="562"/>
      <c r="HF38" s="562"/>
      <c r="HG38" s="562"/>
      <c r="HH38" s="562"/>
      <c r="HI38" s="562"/>
      <c r="HJ38" s="562"/>
      <c r="HK38" s="562"/>
      <c r="HL38" s="562"/>
      <c r="HM38" s="562"/>
      <c r="HN38" s="562"/>
      <c r="HO38" s="562"/>
      <c r="HP38" s="562"/>
      <c r="HQ38" s="562"/>
      <c r="HR38" s="562"/>
      <c r="HS38" s="562"/>
      <c r="HT38" s="562"/>
      <c r="HU38" s="562"/>
      <c r="HV38" s="562"/>
      <c r="HW38" s="562"/>
      <c r="HX38" s="562"/>
      <c r="HY38" s="562"/>
      <c r="HZ38" s="562"/>
      <c r="IA38" s="562"/>
      <c r="IB38" s="562"/>
      <c r="IC38" s="562"/>
      <c r="ID38" s="562"/>
      <c r="IE38" s="562"/>
      <c r="IF38" s="562"/>
      <c r="IG38" s="562"/>
      <c r="IH38" s="562"/>
      <c r="II38" s="562"/>
      <c r="IJ38" s="562"/>
      <c r="IK38" s="562"/>
      <c r="IL38" s="562"/>
      <c r="IM38" s="562"/>
      <c r="IN38" s="562"/>
      <c r="IO38" s="562"/>
      <c r="IP38" s="562"/>
      <c r="IQ38" s="562"/>
      <c r="IR38" s="562"/>
      <c r="IS38" s="562"/>
      <c r="IT38" s="562"/>
      <c r="IU38" s="562"/>
      <c r="IV38" s="562"/>
      <c r="IW38" s="562"/>
      <c r="IX38" s="562"/>
      <c r="IY38" s="562"/>
      <c r="IZ38" s="562"/>
      <c r="JA38" s="562"/>
      <c r="JB38" s="562"/>
      <c r="JC38" s="562"/>
      <c r="JD38" s="562"/>
      <c r="JE38" s="562"/>
      <c r="JF38" s="562"/>
      <c r="JG38" s="562"/>
      <c r="JH38" s="562"/>
      <c r="JI38" s="562"/>
      <c r="JJ38" s="562"/>
      <c r="JK38" s="562"/>
      <c r="JL38" s="562"/>
      <c r="JM38" s="562"/>
      <c r="JN38" s="562"/>
      <c r="JO38" s="562"/>
      <c r="JP38" s="562"/>
      <c r="JQ38" s="562"/>
      <c r="JR38" s="562"/>
      <c r="JS38" s="562"/>
      <c r="JT38" s="562"/>
      <c r="JU38" s="562"/>
      <c r="JV38" s="562"/>
      <c r="JW38" s="562"/>
      <c r="JX38" s="562"/>
      <c r="JY38" s="562"/>
      <c r="JZ38" s="562"/>
      <c r="KA38" s="562"/>
      <c r="KB38" s="562"/>
      <c r="KC38" s="562"/>
      <c r="KD38" s="562"/>
      <c r="KE38" s="562"/>
      <c r="KF38" s="562"/>
      <c r="KG38" s="562"/>
      <c r="KH38" s="562"/>
      <c r="KI38" s="562"/>
      <c r="KJ38" s="562"/>
      <c r="KK38" s="562"/>
      <c r="KL38" s="562"/>
      <c r="KM38" s="562"/>
      <c r="KN38" s="562"/>
      <c r="KO38" s="562"/>
      <c r="KP38" s="562"/>
      <c r="KQ38" s="562"/>
      <c r="KR38" s="562"/>
      <c r="KS38" s="562"/>
      <c r="KT38" s="562"/>
      <c r="KU38" s="562"/>
      <c r="KV38" s="562"/>
      <c r="KW38" s="562"/>
      <c r="KX38" s="562"/>
      <c r="KY38" s="562"/>
      <c r="KZ38" s="562"/>
      <c r="LA38" s="562"/>
      <c r="LB38" s="562"/>
      <c r="LC38" s="562"/>
      <c r="LD38" s="562"/>
      <c r="LE38" s="562"/>
      <c r="LF38" s="562"/>
      <c r="LG38" s="562"/>
      <c r="LH38" s="562"/>
      <c r="LI38" s="562"/>
      <c r="LJ38" s="562"/>
      <c r="LK38" s="562"/>
      <c r="LL38" s="562"/>
      <c r="LM38" s="562"/>
      <c r="LN38" s="562"/>
      <c r="LO38" s="562"/>
      <c r="LP38" s="562"/>
      <c r="LQ38" s="562"/>
      <c r="LR38" s="562"/>
      <c r="LS38" s="562"/>
      <c r="LT38" s="562"/>
      <c r="LU38" s="562"/>
      <c r="LV38" s="562"/>
      <c r="LW38" s="562"/>
      <c r="LX38" s="562"/>
      <c r="LY38" s="562"/>
      <c r="LZ38" s="562"/>
      <c r="MA38" s="562"/>
      <c r="MB38" s="562"/>
      <c r="MC38" s="562"/>
      <c r="MD38" s="562"/>
      <c r="ME38" s="562"/>
      <c r="MF38" s="562"/>
      <c r="MG38" s="562"/>
      <c r="MH38" s="562"/>
      <c r="MI38" s="562"/>
      <c r="MJ38" s="562"/>
      <c r="MK38" s="562"/>
      <c r="ML38" s="562"/>
      <c r="MM38" s="562"/>
      <c r="MN38" s="562"/>
      <c r="MO38" s="562"/>
      <c r="MP38" s="562"/>
      <c r="MQ38" s="562"/>
      <c r="MR38" s="562"/>
      <c r="MS38" s="562"/>
      <c r="MT38" s="562"/>
      <c r="MU38" s="562"/>
      <c r="MV38" s="562"/>
      <c r="MW38" s="562"/>
      <c r="MX38" s="562"/>
      <c r="MY38" s="562"/>
      <c r="MZ38" s="562"/>
      <c r="NA38" s="562"/>
      <c r="NB38" s="562"/>
      <c r="NC38" s="562"/>
      <c r="ND38" s="562"/>
      <c r="NE38" s="562"/>
      <c r="NF38" s="562"/>
      <c r="NG38" s="562"/>
      <c r="NH38" s="562"/>
      <c r="NI38" s="562"/>
      <c r="NJ38" s="562"/>
      <c r="NK38" s="562"/>
      <c r="NL38" s="562"/>
      <c r="NM38" s="562"/>
      <c r="NN38" s="562"/>
      <c r="NO38" s="562"/>
      <c r="NP38" s="562"/>
      <c r="NQ38" s="562"/>
      <c r="NR38" s="562"/>
      <c r="NS38" s="562"/>
      <c r="NT38" s="562"/>
      <c r="NU38" s="562"/>
      <c r="NV38" s="562"/>
      <c r="NW38" s="562"/>
      <c r="NX38" s="562"/>
      <c r="NY38" s="562"/>
      <c r="NZ38" s="562"/>
      <c r="OA38" s="562"/>
      <c r="OB38" s="562"/>
      <c r="OC38" s="562"/>
      <c r="OD38" s="562"/>
      <c r="OE38" s="562"/>
      <c r="OF38" s="562"/>
      <c r="OG38" s="562"/>
      <c r="OH38" s="562"/>
      <c r="OI38" s="562"/>
      <c r="OJ38" s="562"/>
      <c r="OK38" s="562"/>
      <c r="OL38" s="562"/>
      <c r="OM38" s="562"/>
      <c r="ON38" s="562"/>
      <c r="OO38" s="562"/>
      <c r="OP38" s="562"/>
      <c r="OQ38" s="562"/>
      <c r="OR38" s="562"/>
      <c r="OS38" s="562"/>
      <c r="OT38" s="562"/>
      <c r="OU38" s="562"/>
      <c r="OV38" s="562"/>
      <c r="OW38" s="562"/>
      <c r="OX38" s="562"/>
      <c r="OY38" s="562"/>
      <c r="OZ38" s="562"/>
      <c r="PA38" s="562"/>
      <c r="PB38" s="562"/>
      <c r="PC38" s="562"/>
      <c r="PD38" s="562"/>
      <c r="PE38" s="562"/>
      <c r="PF38" s="562"/>
      <c r="PG38" s="562"/>
      <c r="PH38" s="562"/>
      <c r="PI38" s="562"/>
      <c r="PJ38" s="562"/>
      <c r="PK38" s="562"/>
      <c r="PL38" s="562"/>
      <c r="PM38" s="562"/>
      <c r="PN38" s="562"/>
      <c r="PO38" s="562"/>
      <c r="PP38" s="562"/>
      <c r="PQ38" s="562"/>
      <c r="PR38" s="562"/>
      <c r="PS38" s="562"/>
      <c r="PT38" s="562"/>
      <c r="PU38" s="562"/>
      <c r="PV38" s="562"/>
      <c r="PW38" s="562"/>
      <c r="PX38" s="562"/>
      <c r="PY38" s="562"/>
      <c r="PZ38" s="562"/>
      <c r="QA38" s="562"/>
      <c r="QB38" s="562"/>
      <c r="QC38" s="562"/>
      <c r="QD38" s="562"/>
      <c r="QE38" s="562"/>
      <c r="QF38" s="562"/>
      <c r="QG38" s="562"/>
      <c r="QH38" s="562"/>
      <c r="QI38" s="562"/>
      <c r="QJ38" s="562"/>
      <c r="QK38" s="562"/>
      <c r="QL38" s="562"/>
      <c r="QM38" s="562"/>
      <c r="QN38" s="562"/>
      <c r="QO38" s="562"/>
      <c r="QP38" s="562"/>
      <c r="QQ38" s="562"/>
      <c r="QR38" s="562"/>
      <c r="QS38" s="562"/>
      <c r="QT38" s="562"/>
      <c r="QU38" s="562"/>
      <c r="QV38" s="562"/>
      <c r="QW38" s="562"/>
      <c r="QX38" s="562"/>
      <c r="QY38" s="562"/>
      <c r="QZ38" s="562"/>
      <c r="RA38" s="562"/>
      <c r="RB38" s="562"/>
      <c r="RC38" s="562"/>
      <c r="RD38" s="562"/>
      <c r="RE38" s="562"/>
      <c r="RF38" s="562"/>
      <c r="RG38" s="562"/>
      <c r="RH38" s="562"/>
      <c r="RI38" s="562"/>
      <c r="RJ38" s="562"/>
      <c r="RK38" s="562"/>
      <c r="RL38" s="562"/>
      <c r="RM38" s="562"/>
      <c r="RN38" s="562"/>
      <c r="RO38" s="562"/>
      <c r="RP38" s="562"/>
      <c r="RQ38" s="562"/>
      <c r="RR38" s="562"/>
      <c r="RS38" s="562"/>
      <c r="RT38" s="562"/>
      <c r="RU38" s="562"/>
      <c r="RV38" s="562"/>
      <c r="RW38" s="562"/>
      <c r="RX38" s="562"/>
      <c r="RY38" s="562"/>
      <c r="RZ38" s="562"/>
      <c r="SA38" s="562"/>
      <c r="SB38" s="562"/>
      <c r="SC38" s="562"/>
      <c r="SD38" s="562"/>
      <c r="SE38" s="562"/>
      <c r="SF38" s="562"/>
      <c r="SG38" s="562"/>
      <c r="SH38" s="562"/>
      <c r="SI38" s="562"/>
      <c r="SJ38" s="562"/>
      <c r="SK38" s="562"/>
      <c r="SL38" s="562"/>
      <c r="SM38" s="562"/>
      <c r="SN38" s="562"/>
      <c r="SO38" s="562"/>
      <c r="SP38" s="562"/>
      <c r="SQ38" s="562"/>
      <c r="SR38" s="562"/>
      <c r="SS38" s="562"/>
      <c r="ST38" s="562"/>
      <c r="SU38" s="562"/>
      <c r="SV38" s="562"/>
      <c r="SW38" s="562"/>
      <c r="SX38" s="562"/>
      <c r="SY38" s="562"/>
      <c r="SZ38" s="562"/>
      <c r="TA38" s="562"/>
      <c r="TB38" s="562"/>
      <c r="TC38" s="562"/>
      <c r="TD38" s="562"/>
      <c r="TE38" s="562"/>
      <c r="TF38" s="562"/>
      <c r="TG38" s="562"/>
      <c r="TH38" s="562"/>
      <c r="TI38" s="562"/>
      <c r="TJ38" s="562"/>
      <c r="TK38" s="562"/>
      <c r="TL38" s="562"/>
      <c r="TM38" s="562"/>
      <c r="TN38" s="562"/>
      <c r="TO38" s="562"/>
      <c r="TP38" s="562"/>
      <c r="TQ38" s="562"/>
      <c r="TR38" s="562"/>
      <c r="TS38" s="562"/>
      <c r="TT38" s="562"/>
      <c r="TU38" s="562"/>
      <c r="TV38" s="562"/>
      <c r="TW38" s="562"/>
      <c r="TX38" s="562"/>
      <c r="TY38" s="562"/>
      <c r="TZ38" s="562"/>
      <c r="UA38" s="562"/>
      <c r="UB38" s="562"/>
      <c r="UC38" s="562"/>
      <c r="UD38" s="562"/>
      <c r="UE38" s="562"/>
      <c r="UF38" s="562"/>
      <c r="UG38" s="562"/>
      <c r="UH38" s="562"/>
      <c r="UI38" s="562"/>
      <c r="UJ38" s="562"/>
      <c r="UK38" s="562"/>
      <c r="UL38" s="562"/>
      <c r="UM38" s="562"/>
      <c r="UN38" s="562"/>
      <c r="UO38" s="562"/>
      <c r="UP38" s="562"/>
      <c r="UQ38" s="562"/>
      <c r="UR38" s="562"/>
      <c r="US38" s="562"/>
      <c r="UT38" s="562"/>
      <c r="UU38" s="562"/>
      <c r="UV38" s="562"/>
      <c r="UW38" s="562"/>
      <c r="UX38" s="562"/>
      <c r="UY38" s="562"/>
      <c r="UZ38" s="562"/>
      <c r="VA38" s="562"/>
      <c r="VB38" s="562"/>
      <c r="VC38" s="562"/>
      <c r="VD38" s="562"/>
      <c r="VE38" s="562"/>
      <c r="VF38" s="562"/>
      <c r="VG38" s="562"/>
      <c r="VH38" s="562"/>
      <c r="VI38" s="562"/>
      <c r="VJ38" s="562"/>
      <c r="VK38" s="562"/>
      <c r="VL38" s="562"/>
      <c r="VM38" s="562"/>
      <c r="VN38" s="562"/>
      <c r="VO38" s="562"/>
      <c r="VP38" s="562"/>
      <c r="VQ38" s="562"/>
      <c r="VR38" s="562"/>
      <c r="VS38" s="562"/>
      <c r="VT38" s="562"/>
      <c r="VU38" s="562"/>
      <c r="VV38" s="562"/>
      <c r="VW38" s="562"/>
      <c r="VX38" s="562"/>
      <c r="VY38" s="562"/>
      <c r="VZ38" s="562"/>
      <c r="WA38" s="562"/>
      <c r="WB38" s="562"/>
      <c r="WC38" s="562"/>
      <c r="WD38" s="562"/>
      <c r="WE38" s="562"/>
      <c r="WF38" s="562"/>
      <c r="WG38" s="562"/>
      <c r="WH38" s="562"/>
      <c r="WI38" s="562"/>
      <c r="WJ38" s="562"/>
      <c r="WK38" s="562"/>
      <c r="WL38" s="562"/>
      <c r="WM38" s="562"/>
      <c r="WN38" s="562"/>
      <c r="WO38" s="562"/>
      <c r="WP38" s="562"/>
      <c r="WQ38" s="562"/>
      <c r="WR38" s="562"/>
      <c r="WS38" s="562"/>
      <c r="WT38" s="562"/>
      <c r="WU38" s="562"/>
      <c r="WV38" s="562"/>
      <c r="WW38" s="562"/>
      <c r="WX38" s="562"/>
      <c r="WY38" s="562"/>
      <c r="WZ38" s="562"/>
      <c r="XA38" s="562"/>
      <c r="XB38" s="562"/>
      <c r="XC38" s="562"/>
      <c r="XD38" s="562"/>
      <c r="XE38" s="562"/>
      <c r="XF38" s="562"/>
      <c r="XG38" s="562"/>
      <c r="XH38" s="562"/>
      <c r="XI38" s="562"/>
      <c r="XJ38" s="562"/>
      <c r="XK38" s="562"/>
      <c r="XL38" s="562"/>
      <c r="XM38" s="562"/>
      <c r="XN38" s="562"/>
      <c r="XO38" s="562"/>
      <c r="XP38" s="562"/>
      <c r="XQ38" s="562"/>
      <c r="XR38" s="562"/>
      <c r="XS38" s="562"/>
      <c r="XT38" s="562"/>
      <c r="XU38" s="562"/>
      <c r="XV38" s="562"/>
      <c r="XW38" s="562"/>
      <c r="XX38" s="562"/>
      <c r="XY38" s="562"/>
      <c r="XZ38" s="562"/>
      <c r="YA38" s="562"/>
      <c r="YB38" s="562"/>
      <c r="YC38" s="562"/>
      <c r="YD38" s="562"/>
      <c r="YE38" s="562"/>
      <c r="YF38" s="562"/>
      <c r="YG38" s="562"/>
      <c r="YH38" s="562"/>
      <c r="YI38" s="562"/>
      <c r="YJ38" s="562"/>
      <c r="YK38" s="562"/>
      <c r="YL38" s="562"/>
      <c r="YM38" s="562"/>
      <c r="YN38" s="562"/>
      <c r="YO38" s="562"/>
      <c r="YP38" s="562"/>
      <c r="YQ38" s="562"/>
      <c r="YR38" s="562"/>
      <c r="YS38" s="562"/>
      <c r="YT38" s="562"/>
      <c r="YU38" s="562"/>
      <c r="YV38" s="562"/>
      <c r="YW38" s="562"/>
      <c r="YX38" s="562"/>
      <c r="YY38" s="562"/>
      <c r="YZ38" s="562"/>
      <c r="ZA38" s="562"/>
      <c r="ZB38" s="562"/>
      <c r="ZC38" s="562"/>
      <c r="ZD38" s="562"/>
      <c r="ZE38" s="562"/>
      <c r="ZF38" s="562"/>
      <c r="ZG38" s="562"/>
      <c r="ZH38" s="562"/>
      <c r="ZI38" s="562"/>
      <c r="ZJ38" s="562"/>
      <c r="ZK38" s="562"/>
      <c r="ZL38" s="562"/>
      <c r="ZM38" s="562"/>
      <c r="ZN38" s="562"/>
      <c r="ZO38" s="562"/>
      <c r="ZP38" s="562"/>
      <c r="ZQ38" s="562"/>
      <c r="ZR38" s="562"/>
      <c r="ZS38" s="562"/>
      <c r="ZT38" s="562"/>
      <c r="ZU38" s="562"/>
      <c r="ZV38" s="562"/>
      <c r="ZW38" s="562"/>
      <c r="ZX38" s="562"/>
      <c r="ZY38" s="562"/>
      <c r="ZZ38" s="562"/>
      <c r="AAA38" s="562"/>
      <c r="AAB38" s="562"/>
      <c r="AAC38" s="562"/>
      <c r="AAD38" s="562"/>
      <c r="AAE38" s="562"/>
      <c r="AAF38" s="562"/>
      <c r="AAG38" s="562"/>
      <c r="AAH38" s="562"/>
      <c r="AAI38" s="562"/>
      <c r="AAJ38" s="562"/>
      <c r="AAK38" s="562"/>
      <c r="AAL38" s="562"/>
      <c r="AAM38" s="562"/>
      <c r="AAN38" s="562"/>
      <c r="AAO38" s="562"/>
      <c r="AAP38" s="562"/>
      <c r="AAQ38" s="562"/>
      <c r="AAR38" s="562"/>
      <c r="AAS38" s="562"/>
      <c r="AAT38" s="562"/>
      <c r="AAU38" s="562"/>
      <c r="AAV38" s="562"/>
      <c r="AAW38" s="562"/>
      <c r="AAX38" s="562"/>
      <c r="AAY38" s="562"/>
      <c r="AAZ38" s="562"/>
      <c r="ABA38" s="562"/>
      <c r="ABB38" s="562"/>
      <c r="ABC38" s="562"/>
      <c r="ABD38" s="562"/>
      <c r="ABE38" s="562"/>
      <c r="ABF38" s="562"/>
      <c r="ABG38" s="562"/>
      <c r="ABH38" s="562"/>
      <c r="ABI38" s="562"/>
      <c r="ABJ38" s="562"/>
      <c r="ABK38" s="562"/>
      <c r="ABL38" s="562"/>
      <c r="ABM38" s="562"/>
      <c r="ABN38" s="562"/>
      <c r="ABO38" s="562"/>
      <c r="ABP38" s="562"/>
      <c r="ABQ38" s="562"/>
      <c r="ABR38" s="562"/>
      <c r="ABS38" s="562"/>
      <c r="ABT38" s="562"/>
      <c r="ABU38" s="562"/>
      <c r="ABV38" s="562"/>
      <c r="ABW38" s="562"/>
      <c r="ABX38" s="562"/>
      <c r="ABY38" s="562"/>
      <c r="ABZ38" s="562"/>
      <c r="ACA38" s="562"/>
      <c r="ACB38" s="562"/>
      <c r="ACC38" s="562"/>
      <c r="ACD38" s="562"/>
      <c r="ACE38" s="562"/>
      <c r="ACF38" s="562"/>
      <c r="ACG38" s="562"/>
      <c r="ACH38" s="562"/>
      <c r="ACI38" s="562"/>
      <c r="ACJ38" s="562"/>
      <c r="ACK38" s="562"/>
      <c r="ACL38" s="562"/>
      <c r="ACM38" s="562"/>
      <c r="ACN38" s="562"/>
      <c r="ACO38" s="562"/>
      <c r="ACP38" s="562"/>
      <c r="ACQ38" s="562"/>
      <c r="ACR38" s="562"/>
      <c r="ACS38" s="562"/>
      <c r="ACT38" s="562"/>
      <c r="ACU38" s="562"/>
      <c r="ACV38" s="562"/>
      <c r="ACW38" s="562"/>
      <c r="ACX38" s="562"/>
      <c r="ACY38" s="562"/>
      <c r="ACZ38" s="562"/>
      <c r="ADA38" s="562"/>
      <c r="ADB38" s="562"/>
      <c r="ADC38" s="562"/>
      <c r="ADD38" s="562"/>
      <c r="ADE38" s="562"/>
      <c r="ADF38" s="562"/>
      <c r="ADG38" s="562"/>
      <c r="ADH38" s="562"/>
      <c r="ADI38" s="562"/>
      <c r="ADJ38" s="562"/>
      <c r="ADK38" s="562"/>
      <c r="ADL38" s="562"/>
      <c r="ADM38" s="562"/>
      <c r="ADN38" s="562"/>
      <c r="ADO38" s="562"/>
      <c r="ADP38" s="562"/>
      <c r="ADQ38" s="562"/>
      <c r="ADR38" s="562"/>
      <c r="ADS38" s="562"/>
      <c r="ADT38" s="562"/>
      <c r="ADU38" s="562"/>
      <c r="ADV38" s="562"/>
      <c r="ADW38" s="562"/>
      <c r="ADX38" s="562"/>
      <c r="ADY38" s="562"/>
      <c r="ADZ38" s="562"/>
      <c r="AEA38" s="562"/>
      <c r="AEB38" s="562"/>
      <c r="AEC38" s="562"/>
      <c r="AED38" s="562"/>
      <c r="AEE38" s="562"/>
      <c r="AEF38" s="562"/>
      <c r="AEG38" s="562"/>
      <c r="AEH38" s="562"/>
      <c r="AEI38" s="562"/>
      <c r="AEJ38" s="562"/>
      <c r="AEK38" s="562"/>
      <c r="AEL38" s="562"/>
      <c r="AEM38" s="562"/>
      <c r="AEN38" s="562"/>
      <c r="AEO38" s="562"/>
      <c r="AEP38" s="562"/>
      <c r="AEQ38" s="562"/>
      <c r="AER38" s="562"/>
      <c r="AES38" s="562"/>
      <c r="AET38" s="562"/>
      <c r="AEU38" s="562"/>
      <c r="AEV38" s="562"/>
      <c r="AEW38" s="562"/>
      <c r="AEX38" s="562"/>
      <c r="AEY38" s="562"/>
      <c r="AEZ38" s="562"/>
      <c r="AFA38" s="562"/>
      <c r="AFB38" s="562"/>
      <c r="AFC38" s="562"/>
      <c r="AFD38" s="562"/>
      <c r="AFE38" s="562"/>
      <c r="AFF38" s="562"/>
      <c r="AFG38" s="562"/>
      <c r="AFH38" s="562"/>
      <c r="AFI38" s="562"/>
      <c r="AFJ38" s="562"/>
      <c r="AFK38" s="562"/>
      <c r="AFL38" s="562"/>
      <c r="AFM38" s="562"/>
      <c r="AFN38" s="562"/>
      <c r="AFO38" s="562"/>
      <c r="AFP38" s="562"/>
      <c r="AFQ38" s="562"/>
      <c r="AFR38" s="562"/>
      <c r="AFS38" s="562"/>
      <c r="AFT38" s="562"/>
      <c r="AFU38" s="562"/>
      <c r="AFV38" s="562"/>
      <c r="AFW38" s="562"/>
      <c r="AFX38" s="562"/>
      <c r="AFY38" s="562"/>
      <c r="AFZ38" s="562"/>
      <c r="AGA38" s="562"/>
      <c r="AGB38" s="562"/>
      <c r="AGC38" s="562"/>
      <c r="AGD38" s="562"/>
      <c r="AGE38" s="562"/>
      <c r="AGF38" s="562"/>
      <c r="AGG38" s="562"/>
      <c r="AGH38" s="562"/>
      <c r="AGI38" s="562"/>
      <c r="AGJ38" s="562"/>
      <c r="AGK38" s="562"/>
      <c r="AGL38" s="562"/>
      <c r="AGM38" s="562"/>
      <c r="AGN38" s="562"/>
      <c r="AGO38" s="562"/>
      <c r="AGP38" s="562"/>
      <c r="AGQ38" s="562"/>
      <c r="AGR38" s="562"/>
      <c r="AGS38" s="562"/>
      <c r="AGT38" s="562"/>
      <c r="AGU38" s="562"/>
      <c r="AGV38" s="562"/>
      <c r="AGW38" s="562"/>
      <c r="AGX38" s="562"/>
      <c r="AGY38" s="562"/>
      <c r="AGZ38" s="562"/>
      <c r="AHA38" s="562"/>
      <c r="AHB38" s="562"/>
      <c r="AHC38" s="562"/>
      <c r="AHD38" s="562"/>
      <c r="AHE38" s="562"/>
      <c r="AHF38" s="562"/>
      <c r="AHG38" s="562"/>
      <c r="AHH38" s="562"/>
      <c r="AHI38" s="562"/>
      <c r="AHJ38" s="562"/>
      <c r="AHK38" s="562"/>
      <c r="AHL38" s="562"/>
      <c r="AHM38" s="562"/>
      <c r="AHN38" s="562"/>
      <c r="AHO38" s="562"/>
      <c r="AHP38" s="562"/>
      <c r="AHQ38" s="562"/>
      <c r="AHR38" s="562"/>
      <c r="AHS38" s="562"/>
      <c r="AHT38" s="562"/>
      <c r="AHU38" s="562"/>
      <c r="AHV38" s="562"/>
      <c r="AHW38" s="562"/>
      <c r="AHX38" s="562"/>
      <c r="AHY38" s="562"/>
      <c r="AHZ38" s="562"/>
      <c r="AIA38" s="562"/>
      <c r="AIB38" s="562"/>
      <c r="AIC38" s="562"/>
      <c r="AID38" s="562"/>
      <c r="AIE38" s="562"/>
      <c r="AIF38" s="562"/>
      <c r="AIG38" s="562"/>
      <c r="AIH38" s="562"/>
      <c r="AII38" s="562"/>
      <c r="AIJ38" s="562"/>
      <c r="AIK38" s="562"/>
      <c r="AIL38" s="562"/>
      <c r="AIM38" s="562"/>
      <c r="AIN38" s="562"/>
      <c r="AIO38" s="562"/>
      <c r="AIP38" s="562"/>
      <c r="AIQ38" s="562"/>
      <c r="AIR38" s="562"/>
      <c r="AIS38" s="562"/>
      <c r="AIT38" s="562"/>
      <c r="AIU38" s="562"/>
      <c r="AIV38" s="562"/>
      <c r="AIW38" s="562"/>
      <c r="AIX38" s="562"/>
      <c r="AIY38" s="562"/>
      <c r="AIZ38" s="562"/>
      <c r="AJA38" s="562"/>
      <c r="AJB38" s="562"/>
      <c r="AJC38" s="562"/>
      <c r="AJD38" s="562"/>
      <c r="AJE38" s="562"/>
      <c r="AJF38" s="562"/>
      <c r="AJG38" s="562"/>
      <c r="AJH38" s="562"/>
      <c r="AJI38" s="562"/>
      <c r="AJJ38" s="562"/>
      <c r="AJK38" s="562"/>
      <c r="AJL38" s="562"/>
      <c r="AJM38" s="562"/>
      <c r="AJN38" s="562"/>
      <c r="AJO38" s="562"/>
      <c r="AJP38" s="562"/>
      <c r="AJQ38" s="562"/>
      <c r="AJR38" s="562"/>
      <c r="AJS38" s="562"/>
      <c r="AJT38" s="562"/>
      <c r="AJU38" s="562"/>
      <c r="AJV38" s="562"/>
      <c r="AJW38" s="562"/>
      <c r="AJX38" s="562"/>
      <c r="AJY38" s="562"/>
      <c r="AJZ38" s="562"/>
      <c r="AKA38" s="562"/>
      <c r="AKB38" s="562"/>
      <c r="AKC38" s="562"/>
      <c r="AKD38" s="562"/>
      <c r="AKE38" s="562"/>
      <c r="AKF38" s="562"/>
      <c r="AKG38" s="562"/>
      <c r="AKH38" s="562"/>
      <c r="AKI38" s="562"/>
      <c r="AKJ38" s="562"/>
      <c r="AKK38" s="562"/>
      <c r="AKL38" s="562"/>
      <c r="AKM38" s="562"/>
      <c r="AKN38" s="562"/>
      <c r="AKO38" s="562"/>
      <c r="AKP38" s="562"/>
      <c r="AKQ38" s="562"/>
      <c r="AKR38" s="562"/>
      <c r="AKS38" s="562"/>
      <c r="AKT38" s="562"/>
      <c r="AKU38" s="562"/>
      <c r="AKV38" s="562"/>
      <c r="AKW38" s="562"/>
      <c r="AKX38" s="562"/>
      <c r="AKY38" s="562"/>
      <c r="AKZ38" s="562"/>
      <c r="ALA38" s="562"/>
      <c r="ALB38" s="562"/>
      <c r="ALC38" s="562"/>
      <c r="ALD38" s="562"/>
      <c r="ALE38" s="562"/>
      <c r="ALF38" s="562"/>
      <c r="ALG38" s="562"/>
      <c r="ALH38" s="562"/>
      <c r="ALI38" s="562"/>
      <c r="ALJ38" s="562"/>
      <c r="ALK38" s="562"/>
      <c r="ALL38" s="562"/>
      <c r="ALM38" s="562"/>
      <c r="ALN38" s="562"/>
      <c r="ALO38" s="562"/>
      <c r="ALP38" s="562"/>
      <c r="ALQ38" s="562"/>
      <c r="ALR38" s="562"/>
      <c r="ALS38" s="562"/>
      <c r="ALT38" s="562"/>
      <c r="ALU38" s="562"/>
      <c r="ALV38" s="562"/>
      <c r="ALW38" s="562"/>
      <c r="ALX38" s="562"/>
      <c r="ALY38" s="562"/>
      <c r="ALZ38" s="562"/>
      <c r="AMA38" s="562"/>
      <c r="AMB38" s="562"/>
      <c r="AMC38" s="562"/>
      <c r="AMD38" s="562"/>
      <c r="AME38" s="562"/>
      <c r="AMF38" s="562"/>
      <c r="AMG38" s="562"/>
      <c r="AMH38" s="562"/>
      <c r="AMI38" s="562"/>
      <c r="AMJ38" s="562"/>
      <c r="AMK38" s="562"/>
      <c r="AML38" s="562"/>
      <c r="AMM38" s="562"/>
      <c r="AMN38" s="562"/>
      <c r="AMO38" s="562"/>
      <c r="AMP38" s="562"/>
      <c r="AMQ38" s="562"/>
      <c r="AMR38" s="562"/>
      <c r="AMS38" s="562"/>
      <c r="AMT38" s="562"/>
      <c r="AMU38" s="562"/>
      <c r="AMV38" s="562"/>
      <c r="AMW38" s="562"/>
      <c r="AMX38" s="562"/>
      <c r="AMY38" s="562"/>
      <c r="AMZ38" s="562"/>
      <c r="ANA38" s="562"/>
      <c r="ANB38" s="562"/>
      <c r="ANC38" s="562"/>
      <c r="AND38" s="562"/>
      <c r="ANE38" s="562"/>
      <c r="ANF38" s="562"/>
      <c r="ANG38" s="562"/>
      <c r="ANH38" s="562"/>
      <c r="ANI38" s="562"/>
      <c r="ANJ38" s="562"/>
      <c r="ANK38" s="562"/>
      <c r="ANL38" s="562"/>
      <c r="ANM38" s="562"/>
      <c r="ANN38" s="562"/>
      <c r="ANO38" s="562"/>
      <c r="ANP38" s="562"/>
      <c r="ANQ38" s="562"/>
      <c r="ANR38" s="562"/>
      <c r="ANS38" s="562"/>
      <c r="ANT38" s="562"/>
      <c r="ANU38" s="562"/>
      <c r="ANV38" s="562"/>
      <c r="ANW38" s="562"/>
      <c r="ANX38" s="562"/>
      <c r="ANY38" s="562"/>
      <c r="ANZ38" s="562"/>
      <c r="AOA38" s="562"/>
      <c r="AOB38" s="562"/>
      <c r="AOC38" s="562"/>
      <c r="AOD38" s="562"/>
      <c r="AOE38" s="562"/>
      <c r="AOF38" s="562"/>
      <c r="AOG38" s="562"/>
      <c r="AOH38" s="562"/>
      <c r="AOI38" s="562"/>
      <c r="AOJ38" s="562"/>
      <c r="AOK38" s="562"/>
      <c r="AOL38" s="562"/>
      <c r="AOM38" s="562"/>
      <c r="AON38" s="562"/>
      <c r="AOO38" s="562"/>
      <c r="AOP38" s="562"/>
      <c r="AOQ38" s="562"/>
      <c r="AOR38" s="562"/>
      <c r="AOS38" s="562"/>
      <c r="AOT38" s="562"/>
      <c r="AOU38" s="562"/>
      <c r="AOV38" s="562"/>
      <c r="AOW38" s="562"/>
      <c r="AOX38" s="562"/>
      <c r="AOY38" s="562"/>
      <c r="AOZ38" s="562"/>
      <c r="APA38" s="562"/>
      <c r="APB38" s="562"/>
      <c r="APC38" s="562"/>
      <c r="APD38" s="562"/>
      <c r="APE38" s="562"/>
      <c r="APF38" s="562"/>
      <c r="APG38" s="562"/>
      <c r="APH38" s="562"/>
      <c r="API38" s="562"/>
      <c r="APJ38" s="562"/>
      <c r="APK38" s="562"/>
      <c r="APL38" s="562"/>
      <c r="APM38" s="562"/>
      <c r="APN38" s="562"/>
      <c r="APO38" s="562"/>
      <c r="APP38" s="562"/>
      <c r="APQ38" s="562"/>
      <c r="APR38" s="562"/>
      <c r="APS38" s="562"/>
      <c r="APT38" s="562"/>
      <c r="APU38" s="562"/>
      <c r="APV38" s="562"/>
      <c r="APW38" s="562"/>
      <c r="APX38" s="562"/>
      <c r="APY38" s="562"/>
      <c r="APZ38" s="562"/>
      <c r="AQA38" s="562"/>
      <c r="AQB38" s="562"/>
      <c r="AQC38" s="562"/>
      <c r="AQD38" s="562"/>
      <c r="AQE38" s="562"/>
      <c r="AQF38" s="562"/>
      <c r="AQG38" s="562"/>
      <c r="AQH38" s="562"/>
      <c r="AQI38" s="562"/>
      <c r="AQJ38" s="562"/>
      <c r="AQK38" s="562"/>
      <c r="AQL38" s="562"/>
      <c r="AQM38" s="562"/>
      <c r="AQN38" s="562"/>
      <c r="AQO38" s="562"/>
      <c r="AQP38" s="562"/>
      <c r="AQQ38" s="562"/>
      <c r="AQR38" s="562"/>
      <c r="AQS38" s="562"/>
      <c r="AQT38" s="562"/>
      <c r="AQU38" s="562"/>
      <c r="AQV38" s="562"/>
      <c r="AQW38" s="562"/>
      <c r="AQX38" s="562"/>
      <c r="AQY38" s="562"/>
      <c r="AQZ38" s="562"/>
      <c r="ARA38" s="562"/>
      <c r="ARB38" s="562"/>
      <c r="ARC38" s="562"/>
      <c r="ARD38" s="562"/>
      <c r="ARE38" s="562"/>
      <c r="ARF38" s="562"/>
      <c r="ARG38" s="562"/>
      <c r="ARH38" s="562"/>
      <c r="ARI38" s="562"/>
      <c r="ARJ38" s="562"/>
      <c r="ARK38" s="562"/>
      <c r="ARL38" s="562"/>
      <c r="ARM38" s="562"/>
      <c r="ARN38" s="562"/>
      <c r="ARO38" s="562"/>
      <c r="ARP38" s="562"/>
      <c r="ARQ38" s="562"/>
      <c r="ARR38" s="562"/>
      <c r="ARS38" s="562"/>
      <c r="ART38" s="562"/>
      <c r="ARU38" s="562"/>
      <c r="ARV38" s="562"/>
      <c r="ARW38" s="562"/>
      <c r="ARX38" s="562"/>
      <c r="ARY38" s="562"/>
      <c r="ARZ38" s="562"/>
      <c r="ASA38" s="562"/>
      <c r="ASB38" s="562"/>
      <c r="ASC38" s="562"/>
      <c r="ASD38" s="562"/>
      <c r="ASE38" s="562"/>
      <c r="ASF38" s="562"/>
      <c r="ASG38" s="562"/>
      <c r="ASH38" s="562"/>
      <c r="ASI38" s="562"/>
      <c r="ASJ38" s="562"/>
      <c r="ASK38" s="562"/>
      <c r="ASL38" s="562"/>
      <c r="ASM38" s="562"/>
      <c r="ASN38" s="562"/>
      <c r="ASO38" s="562"/>
      <c r="ASP38" s="562"/>
      <c r="ASQ38" s="562"/>
      <c r="ASR38" s="562"/>
      <c r="ASS38" s="562"/>
      <c r="AST38" s="562"/>
      <c r="ASU38" s="562"/>
      <c r="ASV38" s="562"/>
      <c r="ASW38" s="562"/>
      <c r="ASX38" s="562"/>
      <c r="ASY38" s="562"/>
      <c r="ASZ38" s="562"/>
      <c r="ATA38" s="562"/>
      <c r="ATB38" s="562"/>
      <c r="ATC38" s="562"/>
      <c r="ATD38" s="562"/>
      <c r="ATE38" s="562"/>
      <c r="ATF38" s="562"/>
      <c r="ATG38" s="562"/>
      <c r="ATH38" s="562"/>
      <c r="ATI38" s="562"/>
      <c r="ATJ38" s="562"/>
      <c r="ATK38" s="562"/>
      <c r="ATL38" s="562"/>
      <c r="ATM38" s="562"/>
      <c r="ATN38" s="562"/>
      <c r="ATO38" s="562"/>
      <c r="ATP38" s="562"/>
      <c r="ATQ38" s="562"/>
      <c r="ATR38" s="562"/>
      <c r="ATS38" s="562"/>
      <c r="ATT38" s="562"/>
      <c r="ATU38" s="562"/>
      <c r="ATV38" s="562"/>
      <c r="ATW38" s="562"/>
      <c r="ATX38" s="562"/>
      <c r="ATY38" s="562"/>
      <c r="ATZ38" s="562"/>
      <c r="AUA38" s="562"/>
      <c r="AUB38" s="562"/>
      <c r="AUC38" s="562"/>
      <c r="AUD38" s="562"/>
      <c r="AUE38" s="562"/>
      <c r="AUF38" s="562"/>
      <c r="AUG38" s="562"/>
      <c r="AUH38" s="562"/>
      <c r="AUI38" s="562"/>
      <c r="AUJ38" s="562"/>
      <c r="AUK38" s="562"/>
      <c r="AUL38" s="562"/>
      <c r="AUM38" s="562"/>
      <c r="AUN38" s="562"/>
      <c r="AUO38" s="562"/>
      <c r="AUP38" s="562"/>
      <c r="AUQ38" s="562"/>
      <c r="AUR38" s="562"/>
      <c r="AUS38" s="562"/>
      <c r="AUT38" s="562"/>
      <c r="AUU38" s="562"/>
      <c r="AUV38" s="562"/>
      <c r="AUW38" s="562"/>
      <c r="AUX38" s="562"/>
      <c r="AUY38" s="562"/>
      <c r="AUZ38" s="562"/>
      <c r="AVA38" s="562"/>
      <c r="AVB38" s="562"/>
      <c r="AVC38" s="562"/>
      <c r="AVD38" s="562"/>
      <c r="AVE38" s="562"/>
      <c r="AVF38" s="562"/>
      <c r="AVG38" s="562"/>
      <c r="AVH38" s="562"/>
      <c r="AVI38" s="562"/>
      <c r="AVJ38" s="562"/>
      <c r="AVK38" s="562"/>
      <c r="AVL38" s="562"/>
      <c r="AVM38" s="562"/>
      <c r="AVN38" s="562"/>
      <c r="AVO38" s="562"/>
      <c r="AVP38" s="562"/>
      <c r="AVQ38" s="562"/>
      <c r="AVR38" s="562"/>
      <c r="AVS38" s="562"/>
      <c r="AVT38" s="562"/>
      <c r="AVU38" s="562"/>
      <c r="AVV38" s="562"/>
      <c r="AVW38" s="562"/>
      <c r="AVX38" s="562"/>
      <c r="AVY38" s="562"/>
      <c r="AVZ38" s="562"/>
      <c r="AWA38" s="562"/>
      <c r="AWB38" s="562"/>
      <c r="AWC38" s="562"/>
      <c r="AWD38" s="562"/>
      <c r="AWE38" s="562"/>
      <c r="AWF38" s="562"/>
      <c r="AWG38" s="562"/>
      <c r="AWH38" s="562"/>
      <c r="AWI38" s="562"/>
      <c r="AWJ38" s="562"/>
      <c r="AWK38" s="562"/>
      <c r="AWL38" s="562"/>
      <c r="AWM38" s="562"/>
      <c r="AWN38" s="562"/>
      <c r="AWO38" s="562"/>
      <c r="AWP38" s="562"/>
      <c r="AWQ38" s="562"/>
      <c r="AWR38" s="562"/>
      <c r="AWS38" s="562"/>
      <c r="AWT38" s="562"/>
      <c r="AWU38" s="562"/>
      <c r="AWV38" s="562"/>
      <c r="AWW38" s="562"/>
      <c r="AWX38" s="562"/>
      <c r="AWY38" s="562"/>
      <c r="AWZ38" s="562"/>
      <c r="AXA38" s="562"/>
      <c r="AXB38" s="562"/>
      <c r="AXC38" s="562"/>
      <c r="AXD38" s="562"/>
      <c r="AXE38" s="562"/>
      <c r="AXF38" s="562"/>
      <c r="AXG38" s="562"/>
      <c r="AXH38" s="562"/>
      <c r="AXI38" s="562"/>
      <c r="AXJ38" s="562"/>
      <c r="AXK38" s="562"/>
      <c r="AXL38" s="562"/>
      <c r="AXM38" s="562"/>
      <c r="AXN38" s="562"/>
      <c r="AXO38" s="562"/>
      <c r="AXP38" s="562"/>
      <c r="AXQ38" s="562"/>
      <c r="AXR38" s="562"/>
      <c r="AXS38" s="562"/>
      <c r="AXT38" s="562"/>
      <c r="AXU38" s="562"/>
      <c r="AXV38" s="562"/>
      <c r="AXW38" s="562"/>
      <c r="AXX38" s="562"/>
      <c r="AXY38" s="562"/>
      <c r="AXZ38" s="562"/>
      <c r="AYA38" s="562"/>
      <c r="AYB38" s="562"/>
      <c r="AYC38" s="562"/>
      <c r="AYD38" s="562"/>
      <c r="AYE38" s="562"/>
      <c r="AYF38" s="562"/>
      <c r="AYG38" s="562"/>
      <c r="AYH38" s="562"/>
      <c r="AYI38" s="562"/>
      <c r="AYJ38" s="562"/>
      <c r="AYK38" s="562"/>
      <c r="AYL38" s="562"/>
      <c r="AYM38" s="562"/>
      <c r="AYN38" s="562"/>
      <c r="AYO38" s="562"/>
      <c r="AYP38" s="562"/>
      <c r="AYQ38" s="562"/>
      <c r="AYR38" s="562"/>
      <c r="AYS38" s="562"/>
      <c r="AYT38" s="562"/>
      <c r="AYU38" s="562"/>
      <c r="AYV38" s="562"/>
      <c r="AYW38" s="562"/>
      <c r="AYX38" s="562"/>
      <c r="AYY38" s="562"/>
      <c r="AYZ38" s="562"/>
      <c r="AZA38" s="562"/>
      <c r="AZB38" s="562"/>
      <c r="AZC38" s="562"/>
      <c r="AZD38" s="562"/>
      <c r="AZE38" s="562"/>
      <c r="AZF38" s="562"/>
      <c r="AZG38" s="562"/>
      <c r="AZH38" s="562"/>
      <c r="AZI38" s="562"/>
      <c r="AZJ38" s="562"/>
      <c r="AZK38" s="562"/>
      <c r="AZL38" s="562"/>
      <c r="AZM38" s="562"/>
      <c r="AZN38" s="562"/>
      <c r="AZO38" s="562"/>
      <c r="AZP38" s="562"/>
      <c r="AZQ38" s="562"/>
      <c r="AZR38" s="562"/>
      <c r="AZS38" s="562"/>
      <c r="AZT38" s="562"/>
      <c r="AZU38" s="562"/>
      <c r="AZV38" s="562"/>
      <c r="AZW38" s="562"/>
      <c r="AZX38" s="562"/>
      <c r="AZY38" s="562"/>
      <c r="AZZ38" s="562"/>
      <c r="BAA38" s="562"/>
      <c r="BAB38" s="562"/>
      <c r="BAC38" s="562"/>
      <c r="BAD38" s="562"/>
      <c r="BAE38" s="562"/>
      <c r="BAF38" s="562"/>
      <c r="BAG38" s="562"/>
      <c r="BAH38" s="562"/>
      <c r="BAI38" s="562"/>
      <c r="BAJ38" s="562"/>
      <c r="BAK38" s="562"/>
      <c r="BAL38" s="562"/>
      <c r="BAM38" s="562"/>
      <c r="BAN38" s="562"/>
      <c r="BAO38" s="562"/>
      <c r="BAP38" s="562"/>
      <c r="BAQ38" s="562"/>
      <c r="BAR38" s="562"/>
      <c r="BAS38" s="562"/>
      <c r="BAT38" s="562"/>
      <c r="BAU38" s="562"/>
      <c r="BAV38" s="562"/>
      <c r="BAW38" s="562"/>
      <c r="BAX38" s="562"/>
      <c r="BAY38" s="562"/>
      <c r="BAZ38" s="562"/>
      <c r="BBA38" s="562"/>
      <c r="BBB38" s="562"/>
      <c r="BBC38" s="562"/>
      <c r="BBD38" s="562"/>
      <c r="BBE38" s="562"/>
      <c r="BBF38" s="562"/>
      <c r="BBG38" s="562"/>
      <c r="BBH38" s="562"/>
      <c r="BBI38" s="562"/>
      <c r="BBJ38" s="562"/>
      <c r="BBK38" s="562"/>
      <c r="BBL38" s="562"/>
      <c r="BBM38" s="562"/>
      <c r="BBN38" s="562"/>
      <c r="BBO38" s="562"/>
      <c r="BBP38" s="562"/>
      <c r="BBQ38" s="562"/>
      <c r="BBR38" s="562"/>
      <c r="BBS38" s="562"/>
      <c r="BBT38" s="562"/>
      <c r="BBU38" s="562"/>
      <c r="BBV38" s="562"/>
      <c r="BBW38" s="562"/>
      <c r="BBX38" s="562"/>
      <c r="BBY38" s="562"/>
      <c r="BBZ38" s="562"/>
      <c r="BCA38" s="562"/>
      <c r="BCB38" s="562"/>
      <c r="BCC38" s="562"/>
      <c r="BCD38" s="562"/>
      <c r="BCE38" s="562"/>
      <c r="BCF38" s="562"/>
      <c r="BCG38" s="562"/>
      <c r="BCH38" s="562"/>
      <c r="BCI38" s="562"/>
      <c r="BCJ38" s="562"/>
      <c r="BCK38" s="562"/>
      <c r="BCL38" s="562"/>
      <c r="BCM38" s="562"/>
      <c r="BCN38" s="562"/>
      <c r="BCO38" s="562"/>
      <c r="BCP38" s="562"/>
      <c r="BCQ38" s="562"/>
      <c r="BCR38" s="562"/>
      <c r="BCS38" s="562"/>
      <c r="BCT38" s="562"/>
      <c r="BCU38" s="562"/>
      <c r="BCV38" s="562"/>
      <c r="BCW38" s="562"/>
      <c r="BCX38" s="562"/>
      <c r="BCY38" s="562"/>
      <c r="BCZ38" s="562"/>
      <c r="BDA38" s="562"/>
      <c r="BDB38" s="562"/>
      <c r="BDC38" s="562"/>
      <c r="BDD38" s="562"/>
      <c r="BDE38" s="562"/>
      <c r="BDF38" s="562"/>
      <c r="BDG38" s="562"/>
      <c r="BDH38" s="562"/>
      <c r="BDI38" s="562"/>
      <c r="BDJ38" s="562"/>
      <c r="BDK38" s="562"/>
      <c r="BDL38" s="562"/>
      <c r="BDM38" s="562"/>
      <c r="BDN38" s="562"/>
      <c r="BDO38" s="562"/>
      <c r="BDP38" s="562"/>
      <c r="BDQ38" s="562"/>
      <c r="BDR38" s="562"/>
      <c r="BDS38" s="562"/>
      <c r="BDT38" s="562"/>
      <c r="BDU38" s="562"/>
      <c r="BDV38" s="562"/>
      <c r="BDW38" s="562"/>
      <c r="BDX38" s="562"/>
      <c r="BDY38" s="562"/>
      <c r="BDZ38" s="562"/>
      <c r="BEA38" s="562"/>
      <c r="BEB38" s="562"/>
      <c r="BEC38" s="562"/>
      <c r="BED38" s="562"/>
      <c r="BEE38" s="562"/>
      <c r="BEF38" s="562"/>
      <c r="BEG38" s="562"/>
      <c r="BEH38" s="562"/>
      <c r="BEI38" s="562"/>
      <c r="BEJ38" s="562"/>
      <c r="BEK38" s="562"/>
      <c r="BEL38" s="562"/>
      <c r="BEM38" s="562"/>
      <c r="BEN38" s="562"/>
      <c r="BEO38" s="562"/>
      <c r="BEP38" s="562"/>
      <c r="BEQ38" s="562"/>
      <c r="BER38" s="562"/>
      <c r="BES38" s="562"/>
      <c r="BET38" s="562"/>
      <c r="BEU38" s="562"/>
      <c r="BEV38" s="562"/>
      <c r="BEW38" s="562"/>
      <c r="BEX38" s="562"/>
      <c r="BEY38" s="562"/>
      <c r="BEZ38" s="562"/>
      <c r="BFA38" s="562"/>
      <c r="BFB38" s="562"/>
      <c r="BFC38" s="562"/>
      <c r="BFD38" s="562"/>
      <c r="BFE38" s="562"/>
      <c r="BFF38" s="562"/>
      <c r="BFG38" s="562"/>
      <c r="BFH38" s="562"/>
      <c r="BFI38" s="562"/>
      <c r="BFJ38" s="562"/>
      <c r="BFK38" s="562"/>
      <c r="BFL38" s="562"/>
      <c r="BFM38" s="562"/>
      <c r="BFN38" s="562"/>
      <c r="BFO38" s="562"/>
      <c r="BFP38" s="562"/>
      <c r="BFQ38" s="562"/>
      <c r="BFR38" s="562"/>
      <c r="BFS38" s="562"/>
      <c r="BFT38" s="562"/>
      <c r="BFU38" s="562"/>
      <c r="BFV38" s="562"/>
      <c r="BFW38" s="562"/>
      <c r="BFX38" s="562"/>
      <c r="BFY38" s="562"/>
      <c r="BFZ38" s="562"/>
      <c r="BGA38" s="562"/>
      <c r="BGB38" s="562"/>
      <c r="BGC38" s="562"/>
      <c r="BGD38" s="562"/>
      <c r="BGE38" s="562"/>
      <c r="BGF38" s="562"/>
      <c r="BGG38" s="562"/>
      <c r="BGH38" s="562"/>
      <c r="BGI38" s="562"/>
      <c r="BGJ38" s="562"/>
      <c r="BGK38" s="562"/>
      <c r="BGL38" s="562"/>
      <c r="BGM38" s="562"/>
      <c r="BGN38" s="562"/>
      <c r="BGO38" s="562"/>
      <c r="BGP38" s="562"/>
      <c r="BGQ38" s="562"/>
      <c r="BGR38" s="562"/>
      <c r="BGS38" s="562"/>
      <c r="BGT38" s="562"/>
      <c r="BGU38" s="562"/>
      <c r="BGV38" s="562"/>
      <c r="BGW38" s="562"/>
      <c r="BGX38" s="562"/>
      <c r="BGY38" s="562"/>
      <c r="BGZ38" s="562"/>
      <c r="BHA38" s="562"/>
      <c r="BHB38" s="562"/>
      <c r="BHC38" s="562"/>
      <c r="BHD38" s="562"/>
      <c r="BHE38" s="562"/>
      <c r="BHF38" s="562"/>
      <c r="BHG38" s="562"/>
      <c r="BHH38" s="562"/>
      <c r="BHI38" s="562"/>
      <c r="BHJ38" s="562"/>
      <c r="BHK38" s="562"/>
      <c r="BHL38" s="562"/>
      <c r="BHM38" s="562"/>
      <c r="BHN38" s="562"/>
      <c r="BHO38" s="562"/>
      <c r="BHP38" s="562"/>
      <c r="BHQ38" s="562"/>
      <c r="BHR38" s="562"/>
      <c r="BHS38" s="562"/>
      <c r="BHT38" s="562"/>
      <c r="BHU38" s="562"/>
      <c r="BHV38" s="562"/>
      <c r="BHW38" s="562"/>
      <c r="BHX38" s="562"/>
      <c r="BHY38" s="562"/>
      <c r="BHZ38" s="562"/>
      <c r="BIA38" s="562"/>
      <c r="BIB38" s="562"/>
      <c r="BIC38" s="562"/>
      <c r="BID38" s="562"/>
      <c r="BIE38" s="562"/>
      <c r="BIF38" s="562"/>
      <c r="BIG38" s="562"/>
      <c r="BIH38" s="562"/>
      <c r="BII38" s="562"/>
      <c r="BIJ38" s="562"/>
      <c r="BIK38" s="562"/>
      <c r="BIL38" s="562"/>
      <c r="BIM38" s="562"/>
      <c r="BIN38" s="562"/>
      <c r="BIO38" s="562"/>
      <c r="BIP38" s="562"/>
      <c r="BIQ38" s="562"/>
      <c r="BIR38" s="562"/>
      <c r="BIS38" s="562"/>
      <c r="BIT38" s="562"/>
      <c r="BIU38" s="562"/>
      <c r="BIV38" s="562"/>
      <c r="BIW38" s="562"/>
      <c r="BIX38" s="562"/>
      <c r="BIY38" s="562"/>
      <c r="BIZ38" s="562"/>
      <c r="BJA38" s="562"/>
      <c r="BJB38" s="562"/>
      <c r="BJC38" s="562"/>
      <c r="BJD38" s="562"/>
      <c r="BJE38" s="562"/>
      <c r="BJF38" s="562"/>
      <c r="BJG38" s="562"/>
      <c r="BJH38" s="562"/>
      <c r="BJI38" s="562"/>
      <c r="BJJ38" s="562"/>
      <c r="BJK38" s="562"/>
      <c r="BJL38" s="562"/>
      <c r="BJM38" s="562"/>
      <c r="BJN38" s="562"/>
      <c r="BJO38" s="562"/>
      <c r="BJP38" s="562"/>
      <c r="BJQ38" s="562"/>
      <c r="BJR38" s="562"/>
      <c r="BJS38" s="562"/>
      <c r="BJT38" s="562"/>
      <c r="BJU38" s="562"/>
      <c r="BJV38" s="562"/>
      <c r="BJW38" s="562"/>
      <c r="BJX38" s="562"/>
      <c r="BJY38" s="562"/>
      <c r="BJZ38" s="562"/>
      <c r="BKA38" s="562"/>
      <c r="BKB38" s="562"/>
      <c r="BKC38" s="562"/>
      <c r="BKD38" s="562"/>
      <c r="BKE38" s="562"/>
      <c r="BKF38" s="562"/>
      <c r="BKG38" s="562"/>
      <c r="BKH38" s="562"/>
      <c r="BKI38" s="562"/>
      <c r="BKJ38" s="562"/>
      <c r="BKK38" s="562"/>
      <c r="BKL38" s="562"/>
      <c r="BKM38" s="562"/>
      <c r="BKN38" s="562"/>
      <c r="BKO38" s="562"/>
      <c r="BKP38" s="562"/>
      <c r="BKQ38" s="562"/>
      <c r="BKR38" s="562"/>
      <c r="BKS38" s="562"/>
      <c r="BKT38" s="562"/>
      <c r="BKU38" s="562"/>
      <c r="BKV38" s="562"/>
      <c r="BKW38" s="562"/>
      <c r="BKX38" s="562"/>
      <c r="BKY38" s="562"/>
      <c r="BKZ38" s="562"/>
      <c r="BLA38" s="562"/>
      <c r="BLB38" s="562"/>
      <c r="BLC38" s="562"/>
      <c r="BLD38" s="562"/>
      <c r="BLE38" s="562"/>
      <c r="BLF38" s="562"/>
      <c r="BLG38" s="562"/>
      <c r="BLH38" s="562"/>
      <c r="BLI38" s="562"/>
      <c r="BLJ38" s="562"/>
      <c r="BLK38" s="562"/>
      <c r="BLL38" s="562"/>
      <c r="BLM38" s="562"/>
      <c r="BLN38" s="562"/>
      <c r="BLO38" s="562"/>
      <c r="BLP38" s="562"/>
      <c r="BLQ38" s="562"/>
      <c r="BLR38" s="562"/>
      <c r="BLS38" s="562"/>
      <c r="BLT38" s="562"/>
      <c r="BLU38" s="562"/>
      <c r="BLV38" s="562"/>
      <c r="BLW38" s="562"/>
      <c r="BLX38" s="562"/>
      <c r="BLY38" s="562"/>
      <c r="BLZ38" s="562"/>
      <c r="BMA38" s="562"/>
      <c r="BMB38" s="562"/>
      <c r="BMC38" s="562"/>
      <c r="BMD38" s="562"/>
      <c r="BME38" s="562"/>
      <c r="BMF38" s="562"/>
      <c r="BMG38" s="562"/>
      <c r="BMH38" s="562"/>
      <c r="BMI38" s="562"/>
      <c r="BMJ38" s="562"/>
      <c r="BMK38" s="562"/>
      <c r="BML38" s="562"/>
      <c r="BMM38" s="562"/>
      <c r="BMN38" s="562"/>
      <c r="BMO38" s="562"/>
      <c r="BMP38" s="562"/>
      <c r="BMQ38" s="562"/>
      <c r="BMR38" s="562"/>
      <c r="BMS38" s="562"/>
      <c r="BMT38" s="562"/>
      <c r="BMU38" s="562"/>
      <c r="BMV38" s="562"/>
      <c r="BMW38" s="562"/>
      <c r="BMX38" s="562"/>
      <c r="BMY38" s="562"/>
      <c r="BMZ38" s="562"/>
      <c r="BNA38" s="562"/>
      <c r="BNB38" s="562"/>
      <c r="BNC38" s="562"/>
      <c r="BND38" s="562"/>
      <c r="BNE38" s="562"/>
      <c r="BNF38" s="562"/>
      <c r="BNG38" s="562"/>
      <c r="BNH38" s="562"/>
      <c r="BNI38" s="562"/>
      <c r="BNJ38" s="562"/>
      <c r="BNK38" s="562"/>
      <c r="BNL38" s="562"/>
      <c r="BNM38" s="562"/>
      <c r="BNN38" s="562"/>
      <c r="BNO38" s="562"/>
      <c r="BNP38" s="562"/>
      <c r="BNQ38" s="562"/>
      <c r="BNR38" s="562"/>
      <c r="BNS38" s="562"/>
      <c r="BNT38" s="562"/>
      <c r="BNU38" s="562"/>
      <c r="BNV38" s="562"/>
      <c r="BNW38" s="562"/>
      <c r="BNX38" s="562"/>
      <c r="BNY38" s="562"/>
      <c r="BNZ38" s="562"/>
      <c r="BOA38" s="562"/>
      <c r="BOB38" s="562"/>
      <c r="BOC38" s="562"/>
      <c r="BOD38" s="562"/>
      <c r="BOE38" s="562"/>
      <c r="BOF38" s="562"/>
      <c r="BOG38" s="562"/>
      <c r="BOH38" s="562"/>
      <c r="BOI38" s="562"/>
      <c r="BOJ38" s="562"/>
      <c r="BOK38" s="562"/>
      <c r="BOL38" s="562"/>
      <c r="BOM38" s="562"/>
      <c r="BON38" s="562"/>
      <c r="BOO38" s="562"/>
      <c r="BOP38" s="562"/>
      <c r="BOQ38" s="562"/>
      <c r="BOR38" s="562"/>
      <c r="BOS38" s="562"/>
      <c r="BOT38" s="562"/>
      <c r="BOU38" s="562"/>
      <c r="BOV38" s="562"/>
      <c r="BOW38" s="562"/>
      <c r="BOX38" s="562"/>
      <c r="BOY38" s="562"/>
      <c r="BOZ38" s="562"/>
      <c r="BPA38" s="562"/>
      <c r="BPB38" s="562"/>
      <c r="BPC38" s="562"/>
      <c r="BPD38" s="562"/>
      <c r="BPE38" s="562"/>
      <c r="BPF38" s="562"/>
      <c r="BPG38" s="562"/>
      <c r="BPH38" s="562"/>
      <c r="BPI38" s="562"/>
      <c r="BPJ38" s="562"/>
      <c r="BPK38" s="562"/>
      <c r="BPL38" s="562"/>
      <c r="BPM38" s="562"/>
      <c r="BPN38" s="562"/>
      <c r="BPO38" s="562"/>
      <c r="BPP38" s="562"/>
      <c r="BPQ38" s="562"/>
      <c r="BPR38" s="562"/>
      <c r="BPS38" s="562"/>
      <c r="BPT38" s="562"/>
      <c r="BPU38" s="562"/>
      <c r="BPV38" s="562"/>
      <c r="BPW38" s="562"/>
      <c r="BPX38" s="562"/>
      <c r="BPY38" s="562"/>
      <c r="BPZ38" s="562"/>
      <c r="BQA38" s="562"/>
      <c r="BQB38" s="562"/>
      <c r="BQC38" s="562"/>
      <c r="BQD38" s="562"/>
      <c r="BQE38" s="562"/>
      <c r="BQF38" s="562"/>
      <c r="BQG38" s="562"/>
      <c r="BQH38" s="562"/>
      <c r="BQI38" s="562"/>
      <c r="BQJ38" s="562"/>
      <c r="BQK38" s="562"/>
      <c r="BQL38" s="562"/>
      <c r="BQM38" s="562"/>
      <c r="BQN38" s="562"/>
      <c r="BQO38" s="562"/>
      <c r="BQP38" s="562"/>
      <c r="BQQ38" s="562"/>
      <c r="BQR38" s="562"/>
      <c r="BQS38" s="562"/>
      <c r="BQT38" s="562"/>
      <c r="BQU38" s="562"/>
      <c r="BQV38" s="562"/>
      <c r="BQW38" s="562"/>
      <c r="BQX38" s="562"/>
      <c r="BQY38" s="562"/>
      <c r="BQZ38" s="562"/>
      <c r="BRA38" s="562"/>
      <c r="BRB38" s="562"/>
      <c r="BRC38" s="562"/>
      <c r="BRD38" s="562"/>
      <c r="BRE38" s="562"/>
      <c r="BRF38" s="562"/>
      <c r="BRG38" s="562"/>
      <c r="BRH38" s="562"/>
      <c r="BRI38" s="562"/>
      <c r="BRJ38" s="562"/>
      <c r="BRK38" s="562"/>
      <c r="BRL38" s="562"/>
      <c r="BRM38" s="562"/>
      <c r="BRN38" s="562"/>
      <c r="BRO38" s="562"/>
      <c r="BRP38" s="562"/>
      <c r="BRQ38" s="562"/>
      <c r="BRR38" s="562"/>
      <c r="BRS38" s="562"/>
      <c r="BRT38" s="562"/>
      <c r="BRU38" s="562"/>
      <c r="BRV38" s="562"/>
      <c r="BRW38" s="562"/>
      <c r="BRX38" s="562"/>
      <c r="BRY38" s="562"/>
      <c r="BRZ38" s="562"/>
      <c r="BSA38" s="562"/>
      <c r="BSB38" s="562"/>
      <c r="BSC38" s="562"/>
      <c r="BSD38" s="562"/>
      <c r="BSE38" s="562"/>
      <c r="BSF38" s="562"/>
      <c r="BSG38" s="562"/>
      <c r="BSH38" s="562"/>
      <c r="BSI38" s="562"/>
      <c r="BSJ38" s="562"/>
      <c r="BSK38" s="562"/>
      <c r="BSL38" s="562"/>
      <c r="BSM38" s="562"/>
      <c r="BSN38" s="562"/>
      <c r="BSO38" s="562"/>
      <c r="BSP38" s="562"/>
      <c r="BSQ38" s="562"/>
      <c r="BSR38" s="562"/>
      <c r="BSS38" s="562"/>
      <c r="BST38" s="562"/>
      <c r="BSU38" s="562"/>
      <c r="BSV38" s="562"/>
      <c r="BSW38" s="562"/>
      <c r="BSX38" s="562"/>
      <c r="BSY38" s="562"/>
      <c r="BSZ38" s="562"/>
      <c r="BTA38" s="562"/>
      <c r="BTB38" s="562"/>
      <c r="BTC38" s="562"/>
      <c r="BTD38" s="562"/>
      <c r="BTE38" s="562"/>
      <c r="BTF38" s="562"/>
      <c r="BTG38" s="562"/>
      <c r="BTH38" s="562"/>
      <c r="BTI38" s="562"/>
      <c r="BTJ38" s="562"/>
      <c r="BTK38" s="562"/>
      <c r="BTL38" s="562"/>
      <c r="BTM38" s="562"/>
      <c r="BTN38" s="562"/>
      <c r="BTO38" s="562"/>
      <c r="BTP38" s="562"/>
      <c r="BTQ38" s="562"/>
      <c r="BTR38" s="562"/>
      <c r="BTS38" s="562"/>
      <c r="BTT38" s="562"/>
      <c r="BTU38" s="562"/>
      <c r="BTV38" s="562"/>
      <c r="BTW38" s="562"/>
      <c r="BTX38" s="562"/>
      <c r="BTY38" s="562"/>
      <c r="BTZ38" s="562"/>
      <c r="BUA38" s="562"/>
      <c r="BUB38" s="562"/>
      <c r="BUC38" s="562"/>
      <c r="BUD38" s="562"/>
      <c r="BUE38" s="562"/>
      <c r="BUF38" s="562"/>
      <c r="BUG38" s="562"/>
      <c r="BUH38" s="562"/>
      <c r="BUI38" s="562"/>
      <c r="BUJ38" s="562"/>
      <c r="BUK38" s="562"/>
      <c r="BUL38" s="562"/>
      <c r="BUM38" s="562"/>
      <c r="BUN38" s="562"/>
      <c r="BUO38" s="562"/>
      <c r="BUP38" s="562"/>
      <c r="BUQ38" s="562"/>
      <c r="BUR38" s="562"/>
      <c r="BUS38" s="562"/>
      <c r="BUT38" s="562"/>
      <c r="BUU38" s="562"/>
      <c r="BUV38" s="562"/>
      <c r="BUW38" s="562"/>
      <c r="BUX38" s="562"/>
      <c r="BUY38" s="562"/>
      <c r="BUZ38" s="562"/>
      <c r="BVA38" s="562"/>
      <c r="BVB38" s="562"/>
      <c r="BVC38" s="562"/>
      <c r="BVD38" s="562"/>
      <c r="BVE38" s="562"/>
      <c r="BVF38" s="562"/>
      <c r="BVG38" s="562"/>
      <c r="BVH38" s="562"/>
      <c r="BVI38" s="562"/>
      <c r="BVJ38" s="562"/>
      <c r="BVK38" s="562"/>
      <c r="BVL38" s="562"/>
      <c r="BVM38" s="562"/>
      <c r="BVN38" s="562"/>
      <c r="BVO38" s="562"/>
      <c r="BVP38" s="562"/>
      <c r="BVQ38" s="562"/>
      <c r="BVR38" s="562"/>
      <c r="BVS38" s="562"/>
      <c r="BVT38" s="562"/>
      <c r="BVU38" s="562"/>
      <c r="BVV38" s="562"/>
      <c r="BVW38" s="562"/>
      <c r="BVX38" s="562"/>
      <c r="BVY38" s="562"/>
      <c r="BVZ38" s="562"/>
      <c r="BWA38" s="562"/>
      <c r="BWB38" s="562"/>
      <c r="BWC38" s="562"/>
      <c r="BWD38" s="562"/>
      <c r="BWE38" s="562"/>
      <c r="BWF38" s="562"/>
      <c r="BWG38" s="562"/>
      <c r="BWH38" s="562"/>
      <c r="BWI38" s="562"/>
      <c r="BWJ38" s="562"/>
      <c r="BWK38" s="562"/>
      <c r="BWL38" s="562"/>
      <c r="BWM38" s="562"/>
      <c r="BWN38" s="562"/>
      <c r="BWO38" s="562"/>
      <c r="BWP38" s="562"/>
      <c r="BWQ38" s="562"/>
      <c r="BWR38" s="562"/>
      <c r="BWS38" s="562"/>
      <c r="BWT38" s="562"/>
      <c r="BWU38" s="562"/>
      <c r="BWV38" s="562"/>
      <c r="BWW38" s="562"/>
      <c r="BWX38" s="562"/>
      <c r="BWY38" s="562"/>
      <c r="BWZ38" s="562"/>
      <c r="BXA38" s="562"/>
      <c r="BXB38" s="562"/>
      <c r="BXC38" s="562"/>
      <c r="BXD38" s="562"/>
      <c r="BXE38" s="562"/>
      <c r="BXF38" s="562"/>
      <c r="BXG38" s="562"/>
      <c r="BXH38" s="562"/>
      <c r="BXI38" s="562"/>
      <c r="BXJ38" s="562"/>
      <c r="BXK38" s="562"/>
      <c r="BXL38" s="562"/>
      <c r="BXM38" s="562"/>
      <c r="BXN38" s="562"/>
      <c r="BXO38" s="562"/>
      <c r="BXP38" s="562"/>
      <c r="BXQ38" s="562"/>
      <c r="BXR38" s="562"/>
      <c r="BXS38" s="562"/>
      <c r="BXT38" s="562"/>
      <c r="BXU38" s="562"/>
      <c r="BXV38" s="562"/>
      <c r="BXW38" s="562"/>
      <c r="BXX38" s="562"/>
      <c r="BXY38" s="562"/>
      <c r="BXZ38" s="562"/>
      <c r="BYA38" s="562"/>
      <c r="BYB38" s="562"/>
      <c r="BYC38" s="562"/>
      <c r="BYD38" s="562"/>
      <c r="BYE38" s="562"/>
      <c r="BYF38" s="562"/>
      <c r="BYG38" s="562"/>
      <c r="BYH38" s="562"/>
      <c r="BYI38" s="562"/>
      <c r="BYJ38" s="562"/>
      <c r="BYK38" s="562"/>
      <c r="BYL38" s="562"/>
      <c r="BYM38" s="562"/>
      <c r="BYN38" s="562"/>
      <c r="BYO38" s="562"/>
      <c r="BYP38" s="562"/>
      <c r="BYQ38" s="562"/>
      <c r="BYR38" s="562"/>
      <c r="BYS38" s="562"/>
      <c r="BYT38" s="562"/>
      <c r="BYU38" s="562"/>
      <c r="BYV38" s="562"/>
      <c r="BYW38" s="562"/>
      <c r="BYX38" s="562"/>
      <c r="BYY38" s="562"/>
      <c r="BYZ38" s="562"/>
      <c r="BZA38" s="562"/>
      <c r="BZB38" s="562"/>
      <c r="BZC38" s="562"/>
      <c r="BZD38" s="562"/>
      <c r="BZE38" s="562"/>
      <c r="BZF38" s="562"/>
      <c r="BZG38" s="562"/>
      <c r="BZH38" s="562"/>
      <c r="BZI38" s="562"/>
      <c r="BZJ38" s="562"/>
      <c r="BZK38" s="562"/>
      <c r="BZL38" s="562"/>
      <c r="BZM38" s="562"/>
      <c r="BZN38" s="562"/>
      <c r="BZO38" s="562"/>
      <c r="BZP38" s="562"/>
      <c r="BZQ38" s="562"/>
      <c r="BZR38" s="562"/>
      <c r="BZS38" s="562"/>
      <c r="BZT38" s="562"/>
      <c r="BZU38" s="562"/>
      <c r="BZV38" s="562"/>
      <c r="BZW38" s="562"/>
      <c r="BZX38" s="562"/>
      <c r="BZY38" s="562"/>
      <c r="BZZ38" s="562"/>
      <c r="CAA38" s="562"/>
      <c r="CAB38" s="562"/>
      <c r="CAC38" s="562"/>
      <c r="CAD38" s="562"/>
      <c r="CAE38" s="562"/>
      <c r="CAF38" s="562"/>
      <c r="CAG38" s="562"/>
      <c r="CAH38" s="562"/>
      <c r="CAI38" s="562"/>
      <c r="CAJ38" s="562"/>
      <c r="CAK38" s="562"/>
      <c r="CAL38" s="562"/>
      <c r="CAM38" s="562"/>
      <c r="CAN38" s="562"/>
      <c r="CAO38" s="562"/>
      <c r="CAP38" s="562"/>
      <c r="CAQ38" s="562"/>
      <c r="CAR38" s="562"/>
      <c r="CAS38" s="562"/>
      <c r="CAT38" s="562"/>
      <c r="CAU38" s="562"/>
      <c r="CAV38" s="562"/>
      <c r="CAW38" s="562"/>
      <c r="CAX38" s="562"/>
      <c r="CAY38" s="562"/>
      <c r="CAZ38" s="562"/>
      <c r="CBA38" s="562"/>
      <c r="CBB38" s="562"/>
      <c r="CBC38" s="562"/>
      <c r="CBD38" s="562"/>
      <c r="CBE38" s="562"/>
      <c r="CBF38" s="562"/>
      <c r="CBG38" s="562"/>
      <c r="CBH38" s="562"/>
      <c r="CBI38" s="562"/>
      <c r="CBJ38" s="562"/>
      <c r="CBK38" s="562"/>
      <c r="CBL38" s="562"/>
      <c r="CBM38" s="562"/>
      <c r="CBN38" s="562"/>
      <c r="CBO38" s="562"/>
      <c r="CBP38" s="562"/>
      <c r="CBQ38" s="562"/>
      <c r="CBR38" s="562"/>
      <c r="CBS38" s="562"/>
      <c r="CBT38" s="562"/>
      <c r="CBU38" s="562"/>
      <c r="CBV38" s="562"/>
      <c r="CBW38" s="562"/>
      <c r="CBX38" s="562"/>
      <c r="CBY38" s="562"/>
      <c r="CBZ38" s="562"/>
      <c r="CCA38" s="562"/>
      <c r="CCB38" s="562"/>
      <c r="CCC38" s="562"/>
      <c r="CCD38" s="562"/>
      <c r="CCE38" s="562"/>
      <c r="CCF38" s="562"/>
      <c r="CCG38" s="562"/>
      <c r="CCH38" s="562"/>
      <c r="CCI38" s="562"/>
      <c r="CCJ38" s="562"/>
      <c r="CCK38" s="562"/>
      <c r="CCL38" s="562"/>
      <c r="CCM38" s="562"/>
      <c r="CCN38" s="562"/>
      <c r="CCO38" s="562"/>
      <c r="CCP38" s="562"/>
      <c r="CCQ38" s="562"/>
      <c r="CCR38" s="562"/>
      <c r="CCS38" s="562"/>
      <c r="CCT38" s="562"/>
      <c r="CCU38" s="562"/>
      <c r="CCV38" s="562"/>
      <c r="CCW38" s="562"/>
      <c r="CCX38" s="562"/>
      <c r="CCY38" s="562"/>
      <c r="CCZ38" s="562"/>
      <c r="CDA38" s="562"/>
      <c r="CDB38" s="562"/>
      <c r="CDC38" s="562"/>
      <c r="CDD38" s="562"/>
      <c r="CDE38" s="562"/>
      <c r="CDF38" s="562"/>
      <c r="CDG38" s="562"/>
      <c r="CDH38" s="562"/>
      <c r="CDI38" s="562"/>
      <c r="CDJ38" s="562"/>
      <c r="CDK38" s="562"/>
      <c r="CDL38" s="562"/>
      <c r="CDM38" s="562"/>
      <c r="CDN38" s="562"/>
      <c r="CDO38" s="562"/>
      <c r="CDP38" s="562"/>
      <c r="CDQ38" s="562"/>
      <c r="CDR38" s="562"/>
      <c r="CDS38" s="562"/>
      <c r="CDT38" s="562"/>
      <c r="CDU38" s="562"/>
      <c r="CDV38" s="562"/>
      <c r="CDW38" s="562"/>
      <c r="CDX38" s="562"/>
      <c r="CDY38" s="562"/>
      <c r="CDZ38" s="562"/>
      <c r="CEA38" s="562"/>
      <c r="CEB38" s="562"/>
      <c r="CEC38" s="562"/>
      <c r="CED38" s="562"/>
      <c r="CEE38" s="562"/>
      <c r="CEF38" s="562"/>
      <c r="CEG38" s="562"/>
      <c r="CEH38" s="562"/>
      <c r="CEI38" s="562"/>
      <c r="CEJ38" s="562"/>
      <c r="CEK38" s="562"/>
      <c r="CEL38" s="562"/>
      <c r="CEM38" s="562"/>
      <c r="CEN38" s="562"/>
      <c r="CEO38" s="562"/>
      <c r="CEP38" s="562"/>
      <c r="CEQ38" s="562"/>
      <c r="CER38" s="562"/>
      <c r="CES38" s="562"/>
      <c r="CET38" s="562"/>
      <c r="CEU38" s="562"/>
      <c r="CEV38" s="562"/>
      <c r="CEW38" s="562"/>
      <c r="CEX38" s="562"/>
      <c r="CEY38" s="562"/>
      <c r="CEZ38" s="562"/>
      <c r="CFA38" s="562"/>
      <c r="CFB38" s="562"/>
      <c r="CFC38" s="562"/>
      <c r="CFD38" s="562"/>
      <c r="CFE38" s="562"/>
      <c r="CFF38" s="562"/>
      <c r="CFG38" s="562"/>
      <c r="CFH38" s="562"/>
      <c r="CFI38" s="562"/>
      <c r="CFJ38" s="562"/>
      <c r="CFK38" s="562"/>
      <c r="CFL38" s="562"/>
      <c r="CFM38" s="562"/>
      <c r="CFN38" s="562"/>
      <c r="CFO38" s="562"/>
      <c r="CFP38" s="562"/>
      <c r="CFQ38" s="562"/>
      <c r="CFR38" s="562"/>
      <c r="CFS38" s="562"/>
      <c r="CFT38" s="562"/>
      <c r="CFU38" s="562"/>
      <c r="CFV38" s="562"/>
      <c r="CFW38" s="562"/>
      <c r="CFX38" s="562"/>
      <c r="CFY38" s="562"/>
      <c r="CFZ38" s="562"/>
      <c r="CGA38" s="562"/>
      <c r="CGB38" s="562"/>
      <c r="CGC38" s="562"/>
      <c r="CGD38" s="562"/>
      <c r="CGE38" s="562"/>
      <c r="CGF38" s="562"/>
      <c r="CGG38" s="562"/>
      <c r="CGH38" s="562"/>
      <c r="CGI38" s="562"/>
      <c r="CGJ38" s="562"/>
      <c r="CGK38" s="562"/>
      <c r="CGL38" s="562"/>
      <c r="CGM38" s="562"/>
      <c r="CGN38" s="562"/>
      <c r="CGO38" s="562"/>
      <c r="CGP38" s="562"/>
      <c r="CGQ38" s="562"/>
      <c r="CGR38" s="562"/>
      <c r="CGS38" s="562"/>
      <c r="CGT38" s="562"/>
      <c r="CGU38" s="562"/>
      <c r="CGV38" s="562"/>
      <c r="CGW38" s="562"/>
      <c r="CGX38" s="562"/>
      <c r="CGY38" s="562"/>
      <c r="CGZ38" s="562"/>
      <c r="CHA38" s="562"/>
      <c r="CHB38" s="562"/>
      <c r="CHC38" s="562"/>
      <c r="CHD38" s="562"/>
      <c r="CHE38" s="562"/>
      <c r="CHF38" s="562"/>
      <c r="CHG38" s="562"/>
      <c r="CHH38" s="562"/>
      <c r="CHI38" s="562"/>
      <c r="CHJ38" s="562"/>
      <c r="CHK38" s="562"/>
      <c r="CHL38" s="562"/>
      <c r="CHM38" s="562"/>
      <c r="CHN38" s="562"/>
      <c r="CHO38" s="562"/>
      <c r="CHP38" s="562"/>
      <c r="CHQ38" s="562"/>
      <c r="CHR38" s="562"/>
      <c r="CHS38" s="562"/>
      <c r="CHT38" s="562"/>
      <c r="CHU38" s="562"/>
      <c r="CHV38" s="562"/>
      <c r="CHW38" s="562"/>
      <c r="CHX38" s="562"/>
      <c r="CHY38" s="562"/>
      <c r="CHZ38" s="562"/>
      <c r="CIA38" s="562"/>
      <c r="CIB38" s="562"/>
      <c r="CIC38" s="562"/>
      <c r="CID38" s="562"/>
      <c r="CIE38" s="562"/>
      <c r="CIF38" s="562"/>
      <c r="CIG38" s="562"/>
      <c r="CIH38" s="562"/>
      <c r="CII38" s="562"/>
      <c r="CIJ38" s="562"/>
      <c r="CIK38" s="562"/>
      <c r="CIL38" s="562"/>
      <c r="CIM38" s="562"/>
      <c r="CIN38" s="562"/>
      <c r="CIO38" s="562"/>
      <c r="CIP38" s="562"/>
      <c r="CIQ38" s="562"/>
      <c r="CIR38" s="562"/>
      <c r="CIS38" s="562"/>
      <c r="CIT38" s="562"/>
      <c r="CIU38" s="562"/>
      <c r="CIV38" s="562"/>
      <c r="CIW38" s="562"/>
      <c r="CIX38" s="562"/>
      <c r="CIY38" s="562"/>
      <c r="CIZ38" s="562"/>
      <c r="CJA38" s="562"/>
      <c r="CJB38" s="562"/>
      <c r="CJC38" s="562"/>
      <c r="CJD38" s="562"/>
      <c r="CJE38" s="562"/>
      <c r="CJF38" s="562"/>
      <c r="CJG38" s="562"/>
      <c r="CJH38" s="562"/>
      <c r="CJI38" s="562"/>
      <c r="CJJ38" s="562"/>
      <c r="CJK38" s="562"/>
      <c r="CJL38" s="562"/>
      <c r="CJM38" s="562"/>
      <c r="CJN38" s="562"/>
      <c r="CJO38" s="562"/>
      <c r="CJP38" s="562"/>
      <c r="CJQ38" s="562"/>
      <c r="CJR38" s="562"/>
      <c r="CJS38" s="562"/>
      <c r="CJT38" s="562"/>
      <c r="CJU38" s="562"/>
      <c r="CJV38" s="562"/>
      <c r="CJW38" s="562"/>
      <c r="CJX38" s="562"/>
      <c r="CJY38" s="562"/>
      <c r="CJZ38" s="562"/>
      <c r="CKA38" s="562"/>
      <c r="CKB38" s="562"/>
      <c r="CKC38" s="562"/>
      <c r="CKD38" s="562"/>
      <c r="CKE38" s="562"/>
      <c r="CKF38" s="562"/>
      <c r="CKG38" s="562"/>
      <c r="CKH38" s="562"/>
      <c r="CKI38" s="562"/>
      <c r="CKJ38" s="562"/>
      <c r="CKK38" s="562"/>
      <c r="CKL38" s="562"/>
      <c r="CKM38" s="562"/>
      <c r="CKN38" s="562"/>
      <c r="CKO38" s="562"/>
      <c r="CKP38" s="562"/>
      <c r="CKQ38" s="562"/>
      <c r="CKR38" s="562"/>
      <c r="CKS38" s="562"/>
      <c r="CKT38" s="562"/>
      <c r="CKU38" s="562"/>
      <c r="CKV38" s="562"/>
      <c r="CKW38" s="562"/>
      <c r="CKX38" s="562"/>
      <c r="CKY38" s="562"/>
      <c r="CKZ38" s="562"/>
      <c r="CLA38" s="562"/>
      <c r="CLB38" s="562"/>
      <c r="CLC38" s="562"/>
      <c r="CLD38" s="562"/>
      <c r="CLE38" s="562"/>
      <c r="CLF38" s="562"/>
      <c r="CLG38" s="562"/>
      <c r="CLH38" s="562"/>
      <c r="CLI38" s="562"/>
      <c r="CLJ38" s="562"/>
      <c r="CLK38" s="562"/>
      <c r="CLL38" s="562"/>
      <c r="CLM38" s="562"/>
      <c r="CLN38" s="562"/>
      <c r="CLO38" s="562"/>
      <c r="CLP38" s="562"/>
      <c r="CLQ38" s="562"/>
      <c r="CLR38" s="562"/>
      <c r="CLS38" s="562"/>
      <c r="CLT38" s="562"/>
      <c r="CLU38" s="562"/>
      <c r="CLV38" s="562"/>
      <c r="CLW38" s="562"/>
      <c r="CLX38" s="562"/>
      <c r="CLY38" s="562"/>
      <c r="CLZ38" s="562"/>
      <c r="CMA38" s="562"/>
      <c r="CMB38" s="562"/>
      <c r="CMC38" s="562"/>
      <c r="CMD38" s="562"/>
      <c r="CME38" s="562"/>
      <c r="CMF38" s="562"/>
      <c r="CMG38" s="562"/>
      <c r="CMH38" s="562"/>
      <c r="CMI38" s="562"/>
      <c r="CMJ38" s="562"/>
      <c r="CMK38" s="562"/>
      <c r="CML38" s="562"/>
      <c r="CMM38" s="562"/>
      <c r="CMN38" s="562"/>
      <c r="CMO38" s="562"/>
      <c r="CMP38" s="562"/>
      <c r="CMQ38" s="562"/>
      <c r="CMR38" s="562"/>
      <c r="CMS38" s="562"/>
      <c r="CMT38" s="562"/>
      <c r="CMU38" s="562"/>
      <c r="CMV38" s="562"/>
      <c r="CMW38" s="562"/>
      <c r="CMX38" s="562"/>
      <c r="CMY38" s="562"/>
      <c r="CMZ38" s="562"/>
      <c r="CNA38" s="562"/>
      <c r="CNB38" s="562"/>
      <c r="CNC38" s="562"/>
      <c r="CND38" s="562"/>
      <c r="CNE38" s="562"/>
      <c r="CNF38" s="562"/>
      <c r="CNG38" s="562"/>
      <c r="CNH38" s="562"/>
      <c r="CNI38" s="562"/>
      <c r="CNJ38" s="562"/>
      <c r="CNK38" s="562"/>
      <c r="CNL38" s="562"/>
      <c r="CNM38" s="562"/>
      <c r="CNN38" s="562"/>
      <c r="CNO38" s="562"/>
      <c r="CNP38" s="562"/>
      <c r="CNQ38" s="562"/>
      <c r="CNR38" s="562"/>
      <c r="CNS38" s="562"/>
      <c r="CNT38" s="562"/>
      <c r="CNU38" s="562"/>
      <c r="CNV38" s="562"/>
      <c r="CNW38" s="562"/>
      <c r="CNX38" s="562"/>
      <c r="CNY38" s="562"/>
      <c r="CNZ38" s="562"/>
      <c r="COA38" s="562"/>
      <c r="COB38" s="562"/>
      <c r="COC38" s="562"/>
      <c r="COD38" s="562"/>
      <c r="COE38" s="562"/>
      <c r="COF38" s="562"/>
      <c r="COG38" s="562"/>
      <c r="COH38" s="562"/>
      <c r="COI38" s="562"/>
      <c r="COJ38" s="562"/>
      <c r="COK38" s="562"/>
      <c r="COL38" s="562"/>
      <c r="COM38" s="562"/>
      <c r="CON38" s="562"/>
      <c r="COO38" s="562"/>
      <c r="COP38" s="562"/>
      <c r="COQ38" s="562"/>
      <c r="COR38" s="562"/>
      <c r="COS38" s="562"/>
      <c r="COT38" s="562"/>
      <c r="COU38" s="562"/>
      <c r="COV38" s="562"/>
      <c r="COW38" s="562"/>
      <c r="COX38" s="562"/>
      <c r="COY38" s="562"/>
      <c r="COZ38" s="562"/>
      <c r="CPA38" s="562"/>
      <c r="CPB38" s="562"/>
      <c r="CPC38" s="562"/>
      <c r="CPD38" s="562"/>
      <c r="CPE38" s="562"/>
      <c r="CPF38" s="562"/>
      <c r="CPG38" s="562"/>
      <c r="CPH38" s="562"/>
      <c r="CPI38" s="562"/>
      <c r="CPJ38" s="562"/>
      <c r="CPK38" s="562"/>
      <c r="CPL38" s="562"/>
      <c r="CPM38" s="562"/>
      <c r="CPN38" s="562"/>
      <c r="CPO38" s="562"/>
      <c r="CPP38" s="562"/>
      <c r="CPQ38" s="562"/>
      <c r="CPR38" s="562"/>
      <c r="CPS38" s="562"/>
      <c r="CPT38" s="562"/>
      <c r="CPU38" s="562"/>
      <c r="CPV38" s="562"/>
      <c r="CPW38" s="562"/>
      <c r="CPX38" s="562"/>
      <c r="CPY38" s="562"/>
      <c r="CPZ38" s="562"/>
      <c r="CQA38" s="562"/>
      <c r="CQB38" s="562"/>
      <c r="CQC38" s="562"/>
      <c r="CQD38" s="562"/>
      <c r="CQE38" s="562"/>
      <c r="CQF38" s="562"/>
      <c r="CQG38" s="562"/>
      <c r="CQH38" s="562"/>
      <c r="CQI38" s="562"/>
      <c r="CQJ38" s="562"/>
      <c r="CQK38" s="562"/>
      <c r="CQL38" s="562"/>
      <c r="CQM38" s="562"/>
      <c r="CQN38" s="562"/>
      <c r="CQO38" s="562"/>
      <c r="CQP38" s="562"/>
      <c r="CQQ38" s="562"/>
      <c r="CQR38" s="562"/>
      <c r="CQS38" s="562"/>
      <c r="CQT38" s="562"/>
      <c r="CQU38" s="562"/>
      <c r="CQV38" s="562"/>
      <c r="CQW38" s="562"/>
      <c r="CQX38" s="562"/>
      <c r="CQY38" s="562"/>
      <c r="CQZ38" s="562"/>
      <c r="CRA38" s="562"/>
      <c r="CRB38" s="562"/>
      <c r="CRC38" s="562"/>
      <c r="CRD38" s="562"/>
      <c r="CRE38" s="562"/>
      <c r="CRF38" s="562"/>
      <c r="CRG38" s="562"/>
      <c r="CRH38" s="562"/>
      <c r="CRI38" s="562"/>
      <c r="CRJ38" s="562"/>
      <c r="CRK38" s="562"/>
      <c r="CRL38" s="562"/>
      <c r="CRM38" s="562"/>
      <c r="CRN38" s="562"/>
      <c r="CRO38" s="562"/>
      <c r="CRP38" s="562"/>
      <c r="CRQ38" s="562"/>
      <c r="CRR38" s="562"/>
      <c r="CRS38" s="562"/>
      <c r="CRT38" s="562"/>
      <c r="CRU38" s="562"/>
      <c r="CRV38" s="562"/>
      <c r="CRW38" s="562"/>
      <c r="CRX38" s="562"/>
      <c r="CRY38" s="562"/>
      <c r="CRZ38" s="562"/>
      <c r="CSA38" s="562"/>
      <c r="CSB38" s="562"/>
      <c r="CSC38" s="562"/>
      <c r="CSD38" s="562"/>
      <c r="CSE38" s="562"/>
      <c r="CSF38" s="562"/>
      <c r="CSG38" s="562"/>
      <c r="CSH38" s="562"/>
      <c r="CSI38" s="562"/>
      <c r="CSJ38" s="562"/>
      <c r="CSK38" s="562"/>
      <c r="CSL38" s="562"/>
      <c r="CSM38" s="562"/>
      <c r="CSN38" s="562"/>
      <c r="CSO38" s="562"/>
      <c r="CSP38" s="562"/>
      <c r="CSQ38" s="562"/>
      <c r="CSR38" s="562"/>
      <c r="CSS38" s="562"/>
      <c r="CST38" s="562"/>
      <c r="CSU38" s="562"/>
      <c r="CSV38" s="562"/>
      <c r="CSW38" s="562"/>
      <c r="CSX38" s="562"/>
      <c r="CSY38" s="562"/>
      <c r="CSZ38" s="562"/>
      <c r="CTA38" s="562"/>
      <c r="CTB38" s="562"/>
      <c r="CTC38" s="562"/>
      <c r="CTD38" s="562"/>
      <c r="CTE38" s="562"/>
      <c r="CTF38" s="562"/>
      <c r="CTG38" s="562"/>
      <c r="CTH38" s="562"/>
      <c r="CTI38" s="562"/>
      <c r="CTJ38" s="562"/>
      <c r="CTK38" s="562"/>
      <c r="CTL38" s="562"/>
      <c r="CTM38" s="562"/>
      <c r="CTN38" s="562"/>
      <c r="CTO38" s="562"/>
      <c r="CTP38" s="562"/>
      <c r="CTQ38" s="562"/>
      <c r="CTR38" s="562"/>
      <c r="CTS38" s="562"/>
      <c r="CTT38" s="562"/>
      <c r="CTU38" s="562"/>
      <c r="CTV38" s="562"/>
      <c r="CTW38" s="562"/>
      <c r="CTX38" s="562"/>
      <c r="CTY38" s="562"/>
      <c r="CTZ38" s="562"/>
      <c r="CUA38" s="562"/>
      <c r="CUB38" s="562"/>
      <c r="CUC38" s="562"/>
      <c r="CUD38" s="562"/>
      <c r="CUE38" s="562"/>
      <c r="CUF38" s="562"/>
      <c r="CUG38" s="562"/>
      <c r="CUH38" s="562"/>
      <c r="CUI38" s="562"/>
      <c r="CUJ38" s="562"/>
      <c r="CUK38" s="562"/>
      <c r="CUL38" s="562"/>
      <c r="CUM38" s="562"/>
      <c r="CUN38" s="562"/>
      <c r="CUO38" s="562"/>
      <c r="CUP38" s="562"/>
      <c r="CUQ38" s="562"/>
      <c r="CUR38" s="562"/>
      <c r="CUS38" s="562"/>
      <c r="CUT38" s="562"/>
      <c r="CUU38" s="562"/>
      <c r="CUV38" s="562"/>
      <c r="CUW38" s="562"/>
      <c r="CUX38" s="562"/>
      <c r="CUY38" s="562"/>
      <c r="CUZ38" s="562"/>
      <c r="CVA38" s="562"/>
      <c r="CVB38" s="562"/>
      <c r="CVC38" s="562"/>
      <c r="CVD38" s="562"/>
      <c r="CVE38" s="562"/>
      <c r="CVF38" s="562"/>
      <c r="CVG38" s="562"/>
      <c r="CVH38" s="562"/>
      <c r="CVI38" s="562"/>
      <c r="CVJ38" s="562"/>
      <c r="CVK38" s="562"/>
      <c r="CVL38" s="562"/>
      <c r="CVM38" s="562"/>
      <c r="CVN38" s="562"/>
      <c r="CVO38" s="562"/>
      <c r="CVP38" s="562"/>
      <c r="CVQ38" s="562"/>
      <c r="CVR38" s="562"/>
      <c r="CVS38" s="562"/>
      <c r="CVT38" s="562"/>
      <c r="CVU38" s="562"/>
      <c r="CVV38" s="562"/>
      <c r="CVW38" s="562"/>
      <c r="CVX38" s="562"/>
      <c r="CVY38" s="562"/>
      <c r="CVZ38" s="562"/>
      <c r="CWA38" s="562"/>
      <c r="CWB38" s="562"/>
      <c r="CWC38" s="562"/>
      <c r="CWD38" s="562"/>
      <c r="CWE38" s="562"/>
      <c r="CWF38" s="562"/>
      <c r="CWG38" s="562"/>
      <c r="CWH38" s="562"/>
      <c r="CWI38" s="562"/>
      <c r="CWJ38" s="562"/>
      <c r="CWK38" s="562"/>
      <c r="CWL38" s="562"/>
      <c r="CWM38" s="562"/>
      <c r="CWN38" s="562"/>
      <c r="CWO38" s="562"/>
      <c r="CWP38" s="562"/>
      <c r="CWQ38" s="562"/>
      <c r="CWR38" s="562"/>
      <c r="CWS38" s="562"/>
      <c r="CWT38" s="562"/>
      <c r="CWU38" s="562"/>
      <c r="CWV38" s="562"/>
      <c r="CWW38" s="562"/>
      <c r="CWX38" s="562"/>
      <c r="CWY38" s="562"/>
      <c r="CWZ38" s="562"/>
      <c r="CXA38" s="562"/>
      <c r="CXB38" s="562"/>
      <c r="CXC38" s="562"/>
      <c r="CXD38" s="562"/>
      <c r="CXE38" s="562"/>
      <c r="CXF38" s="562"/>
      <c r="CXG38" s="562"/>
      <c r="CXH38" s="562"/>
      <c r="CXI38" s="562"/>
      <c r="CXJ38" s="562"/>
      <c r="CXK38" s="562"/>
      <c r="CXL38" s="562"/>
      <c r="CXM38" s="562"/>
      <c r="CXN38" s="562"/>
      <c r="CXO38" s="562"/>
      <c r="CXP38" s="562"/>
      <c r="CXQ38" s="562"/>
      <c r="CXR38" s="562"/>
      <c r="CXS38" s="562"/>
      <c r="CXT38" s="562"/>
      <c r="CXU38" s="562"/>
      <c r="CXV38" s="562"/>
      <c r="CXW38" s="562"/>
      <c r="CXX38" s="562"/>
      <c r="CXY38" s="562"/>
      <c r="CXZ38" s="562"/>
      <c r="CYA38" s="562"/>
      <c r="CYB38" s="562"/>
      <c r="CYC38" s="562"/>
      <c r="CYD38" s="562"/>
      <c r="CYE38" s="562"/>
      <c r="CYF38" s="562"/>
      <c r="CYG38" s="562"/>
      <c r="CYH38" s="562"/>
      <c r="CYI38" s="562"/>
      <c r="CYJ38" s="562"/>
      <c r="CYK38" s="562"/>
      <c r="CYL38" s="562"/>
      <c r="CYM38" s="562"/>
      <c r="CYN38" s="562"/>
      <c r="CYO38" s="562"/>
      <c r="CYP38" s="562"/>
      <c r="CYQ38" s="562"/>
      <c r="CYR38" s="562"/>
      <c r="CYS38" s="562"/>
      <c r="CYT38" s="562"/>
      <c r="CYU38" s="562"/>
      <c r="CYV38" s="562"/>
      <c r="CYW38" s="562"/>
      <c r="CYX38" s="562"/>
      <c r="CYY38" s="562"/>
      <c r="CYZ38" s="562"/>
      <c r="CZA38" s="562"/>
      <c r="CZB38" s="562"/>
      <c r="CZC38" s="562"/>
      <c r="CZD38" s="562"/>
      <c r="CZE38" s="562"/>
      <c r="CZF38" s="562"/>
      <c r="CZG38" s="562"/>
      <c r="CZH38" s="562"/>
      <c r="CZI38" s="562"/>
      <c r="CZJ38" s="562"/>
      <c r="CZK38" s="562"/>
      <c r="CZL38" s="562"/>
      <c r="CZM38" s="562"/>
      <c r="CZN38" s="562"/>
      <c r="CZO38" s="562"/>
      <c r="CZP38" s="562"/>
      <c r="CZQ38" s="562"/>
      <c r="CZR38" s="562"/>
      <c r="CZS38" s="562"/>
      <c r="CZT38" s="562"/>
      <c r="CZU38" s="562"/>
      <c r="CZV38" s="562"/>
      <c r="CZW38" s="562"/>
      <c r="CZX38" s="562"/>
      <c r="CZY38" s="562"/>
      <c r="CZZ38" s="562"/>
      <c r="DAA38" s="562"/>
      <c r="DAB38" s="562"/>
      <c r="DAC38" s="562"/>
      <c r="DAD38" s="562"/>
      <c r="DAE38" s="562"/>
      <c r="DAF38" s="562"/>
      <c r="DAG38" s="562"/>
      <c r="DAH38" s="562"/>
      <c r="DAI38" s="562"/>
      <c r="DAJ38" s="562"/>
      <c r="DAK38" s="562"/>
      <c r="DAL38" s="562"/>
      <c r="DAM38" s="562"/>
      <c r="DAN38" s="562"/>
      <c r="DAO38" s="562"/>
      <c r="DAP38" s="562"/>
      <c r="DAQ38" s="562"/>
      <c r="DAR38" s="562"/>
      <c r="DAS38" s="562"/>
      <c r="DAT38" s="562"/>
      <c r="DAU38" s="562"/>
      <c r="DAV38" s="562"/>
      <c r="DAW38" s="562"/>
      <c r="DAX38" s="562"/>
      <c r="DAY38" s="562"/>
      <c r="DAZ38" s="562"/>
      <c r="DBA38" s="562"/>
      <c r="DBB38" s="562"/>
      <c r="DBC38" s="562"/>
      <c r="DBD38" s="562"/>
      <c r="DBE38" s="562"/>
      <c r="DBF38" s="562"/>
      <c r="DBG38" s="562"/>
      <c r="DBH38" s="562"/>
      <c r="DBI38" s="562"/>
      <c r="DBJ38" s="562"/>
      <c r="DBK38" s="562"/>
      <c r="DBL38" s="562"/>
      <c r="DBM38" s="562"/>
      <c r="DBN38" s="562"/>
      <c r="DBO38" s="562"/>
      <c r="DBP38" s="562"/>
      <c r="DBQ38" s="562"/>
      <c r="DBR38" s="562"/>
      <c r="DBS38" s="562"/>
      <c r="DBT38" s="562"/>
      <c r="DBU38" s="562"/>
      <c r="DBV38" s="562"/>
      <c r="DBW38" s="562"/>
      <c r="DBX38" s="562"/>
      <c r="DBY38" s="562"/>
      <c r="DBZ38" s="562"/>
      <c r="DCA38" s="562"/>
      <c r="DCB38" s="562"/>
      <c r="DCC38" s="562"/>
      <c r="DCD38" s="562"/>
      <c r="DCE38" s="562"/>
      <c r="DCF38" s="562"/>
      <c r="DCG38" s="562"/>
      <c r="DCH38" s="562"/>
      <c r="DCI38" s="562"/>
      <c r="DCJ38" s="562"/>
      <c r="DCK38" s="562"/>
      <c r="DCL38" s="562"/>
      <c r="DCM38" s="562"/>
      <c r="DCN38" s="562"/>
      <c r="DCO38" s="562"/>
      <c r="DCP38" s="562"/>
      <c r="DCQ38" s="562"/>
      <c r="DCR38" s="562"/>
      <c r="DCS38" s="562"/>
      <c r="DCT38" s="562"/>
      <c r="DCU38" s="562"/>
      <c r="DCV38" s="562"/>
      <c r="DCW38" s="562"/>
      <c r="DCX38" s="562"/>
      <c r="DCY38" s="562"/>
      <c r="DCZ38" s="562"/>
      <c r="DDA38" s="562"/>
      <c r="DDB38" s="562"/>
      <c r="DDC38" s="562"/>
      <c r="DDD38" s="562"/>
      <c r="DDE38" s="562"/>
      <c r="DDF38" s="562"/>
      <c r="DDG38" s="562"/>
      <c r="DDH38" s="562"/>
      <c r="DDI38" s="562"/>
      <c r="DDJ38" s="562"/>
      <c r="DDK38" s="562"/>
      <c r="DDL38" s="562"/>
      <c r="DDM38" s="562"/>
      <c r="DDN38" s="562"/>
      <c r="DDO38" s="562"/>
      <c r="DDP38" s="562"/>
      <c r="DDQ38" s="562"/>
      <c r="DDR38" s="562"/>
      <c r="DDS38" s="562"/>
      <c r="DDT38" s="562"/>
      <c r="DDU38" s="562"/>
      <c r="DDV38" s="562"/>
      <c r="DDW38" s="562"/>
      <c r="DDX38" s="562"/>
      <c r="DDY38" s="562"/>
      <c r="DDZ38" s="562"/>
      <c r="DEA38" s="562"/>
      <c r="DEB38" s="562"/>
      <c r="DEC38" s="562"/>
      <c r="DED38" s="562"/>
      <c r="DEE38" s="562"/>
      <c r="DEF38" s="562"/>
      <c r="DEG38" s="562"/>
      <c r="DEH38" s="562"/>
      <c r="DEI38" s="562"/>
      <c r="DEJ38" s="562"/>
      <c r="DEK38" s="562"/>
      <c r="DEL38" s="562"/>
      <c r="DEM38" s="562"/>
      <c r="DEN38" s="562"/>
      <c r="DEO38" s="562"/>
      <c r="DEP38" s="562"/>
      <c r="DEQ38" s="562"/>
      <c r="DER38" s="562"/>
      <c r="DES38" s="562"/>
      <c r="DET38" s="562"/>
      <c r="DEU38" s="562"/>
      <c r="DEV38" s="562"/>
      <c r="DEW38" s="562"/>
      <c r="DEX38" s="562"/>
      <c r="DEY38" s="562"/>
      <c r="DEZ38" s="562"/>
      <c r="DFA38" s="562"/>
      <c r="DFB38" s="562"/>
      <c r="DFC38" s="562"/>
      <c r="DFD38" s="562"/>
      <c r="DFE38" s="562"/>
      <c r="DFF38" s="562"/>
      <c r="DFG38" s="562"/>
      <c r="DFH38" s="562"/>
      <c r="DFI38" s="562"/>
      <c r="DFJ38" s="562"/>
      <c r="DFK38" s="562"/>
      <c r="DFL38" s="562"/>
      <c r="DFM38" s="562"/>
      <c r="DFN38" s="562"/>
      <c r="DFO38" s="562"/>
      <c r="DFP38" s="562"/>
      <c r="DFQ38" s="562"/>
      <c r="DFR38" s="562"/>
      <c r="DFS38" s="562"/>
      <c r="DFT38" s="562"/>
      <c r="DFU38" s="562"/>
      <c r="DFV38" s="562"/>
      <c r="DFW38" s="562"/>
      <c r="DFX38" s="562"/>
      <c r="DFY38" s="562"/>
      <c r="DFZ38" s="562"/>
      <c r="DGA38" s="562"/>
      <c r="DGB38" s="562"/>
      <c r="DGC38" s="562"/>
      <c r="DGD38" s="562"/>
      <c r="DGE38" s="562"/>
      <c r="DGF38" s="562"/>
      <c r="DGG38" s="562"/>
      <c r="DGH38" s="562"/>
      <c r="DGI38" s="562"/>
      <c r="DGJ38" s="562"/>
      <c r="DGK38" s="562"/>
      <c r="DGL38" s="562"/>
      <c r="DGM38" s="562"/>
      <c r="DGN38" s="562"/>
      <c r="DGO38" s="562"/>
      <c r="DGP38" s="562"/>
      <c r="DGQ38" s="562"/>
      <c r="DGR38" s="562"/>
      <c r="DGS38" s="562"/>
      <c r="DGT38" s="562"/>
      <c r="DGU38" s="562"/>
      <c r="DGV38" s="562"/>
      <c r="DGW38" s="562"/>
      <c r="DGX38" s="562"/>
      <c r="DGY38" s="562"/>
      <c r="DGZ38" s="562"/>
      <c r="DHA38" s="562"/>
      <c r="DHB38" s="562"/>
      <c r="DHC38" s="562"/>
      <c r="DHD38" s="562"/>
      <c r="DHE38" s="562"/>
      <c r="DHF38" s="562"/>
      <c r="DHG38" s="562"/>
      <c r="DHH38" s="562"/>
      <c r="DHI38" s="562"/>
      <c r="DHJ38" s="562"/>
      <c r="DHK38" s="562"/>
      <c r="DHL38" s="562"/>
      <c r="DHM38" s="562"/>
      <c r="DHN38" s="562"/>
      <c r="DHO38" s="562"/>
      <c r="DHP38" s="562"/>
      <c r="DHQ38" s="562"/>
      <c r="DHR38" s="562"/>
      <c r="DHS38" s="562"/>
      <c r="DHT38" s="562"/>
      <c r="DHU38" s="562"/>
      <c r="DHV38" s="562"/>
      <c r="DHW38" s="562"/>
      <c r="DHX38" s="562"/>
      <c r="DHY38" s="562"/>
      <c r="DHZ38" s="562"/>
      <c r="DIA38" s="562"/>
      <c r="DIB38" s="562"/>
      <c r="DIC38" s="562"/>
      <c r="DID38" s="562"/>
      <c r="DIE38" s="562"/>
      <c r="DIF38" s="562"/>
      <c r="DIG38" s="562"/>
      <c r="DIH38" s="562"/>
      <c r="DII38" s="562"/>
      <c r="DIJ38" s="562"/>
      <c r="DIK38" s="562"/>
      <c r="DIL38" s="562"/>
      <c r="DIM38" s="562"/>
      <c r="DIN38" s="562"/>
      <c r="DIO38" s="562"/>
      <c r="DIP38" s="562"/>
      <c r="DIQ38" s="562"/>
      <c r="DIR38" s="562"/>
      <c r="DIS38" s="562"/>
      <c r="DIT38" s="562"/>
      <c r="DIU38" s="562"/>
      <c r="DIV38" s="562"/>
      <c r="DIW38" s="562"/>
      <c r="DIX38" s="562"/>
      <c r="DIY38" s="562"/>
      <c r="DIZ38" s="562"/>
      <c r="DJA38" s="562"/>
      <c r="DJB38" s="562"/>
      <c r="DJC38" s="562"/>
      <c r="DJD38" s="562"/>
      <c r="DJE38" s="562"/>
      <c r="DJF38" s="562"/>
      <c r="DJG38" s="562"/>
      <c r="DJH38" s="562"/>
      <c r="DJI38" s="562"/>
      <c r="DJJ38" s="562"/>
      <c r="DJK38" s="562"/>
      <c r="DJL38" s="562"/>
      <c r="DJM38" s="562"/>
      <c r="DJN38" s="562"/>
      <c r="DJO38" s="562"/>
      <c r="DJP38" s="562"/>
      <c r="DJQ38" s="562"/>
      <c r="DJR38" s="562"/>
      <c r="DJS38" s="562"/>
      <c r="DJT38" s="562"/>
      <c r="DJU38" s="562"/>
      <c r="DJV38" s="562"/>
      <c r="DJW38" s="562"/>
      <c r="DJX38" s="562"/>
      <c r="DJY38" s="562"/>
      <c r="DJZ38" s="562"/>
      <c r="DKA38" s="562"/>
      <c r="DKB38" s="562"/>
      <c r="DKC38" s="562"/>
      <c r="DKD38" s="562"/>
      <c r="DKE38" s="562"/>
      <c r="DKF38" s="562"/>
      <c r="DKG38" s="562"/>
      <c r="DKH38" s="562"/>
      <c r="DKI38" s="562"/>
      <c r="DKJ38" s="562"/>
      <c r="DKK38" s="562"/>
      <c r="DKL38" s="562"/>
      <c r="DKM38" s="562"/>
      <c r="DKN38" s="562"/>
      <c r="DKO38" s="562"/>
      <c r="DKP38" s="562"/>
      <c r="DKQ38" s="562"/>
      <c r="DKR38" s="562"/>
      <c r="DKS38" s="562"/>
      <c r="DKT38" s="562"/>
      <c r="DKU38" s="562"/>
      <c r="DKV38" s="562"/>
      <c r="DKW38" s="562"/>
      <c r="DKX38" s="562"/>
      <c r="DKY38" s="562"/>
      <c r="DKZ38" s="562"/>
      <c r="DLA38" s="562"/>
      <c r="DLB38" s="562"/>
      <c r="DLC38" s="562"/>
      <c r="DLD38" s="562"/>
      <c r="DLE38" s="562"/>
      <c r="DLF38" s="562"/>
      <c r="DLG38" s="562"/>
      <c r="DLH38" s="562"/>
      <c r="DLI38" s="562"/>
      <c r="DLJ38" s="562"/>
      <c r="DLK38" s="562"/>
      <c r="DLL38" s="562"/>
      <c r="DLM38" s="562"/>
      <c r="DLN38" s="562"/>
      <c r="DLO38" s="562"/>
      <c r="DLP38" s="562"/>
      <c r="DLQ38" s="562"/>
      <c r="DLR38" s="562"/>
      <c r="DLS38" s="562"/>
      <c r="DLT38" s="562"/>
      <c r="DLU38" s="562"/>
      <c r="DLV38" s="562"/>
      <c r="DLW38" s="562"/>
      <c r="DLX38" s="562"/>
      <c r="DLY38" s="562"/>
      <c r="DLZ38" s="562"/>
      <c r="DMA38" s="562"/>
      <c r="DMB38" s="562"/>
      <c r="DMC38" s="562"/>
      <c r="DMD38" s="562"/>
      <c r="DME38" s="562"/>
      <c r="DMF38" s="562"/>
      <c r="DMG38" s="562"/>
      <c r="DMH38" s="562"/>
      <c r="DMI38" s="562"/>
      <c r="DMJ38" s="562"/>
      <c r="DMK38" s="562"/>
      <c r="DML38" s="562"/>
      <c r="DMM38" s="562"/>
      <c r="DMN38" s="562"/>
      <c r="DMO38" s="562"/>
      <c r="DMP38" s="562"/>
      <c r="DMQ38" s="562"/>
      <c r="DMR38" s="562"/>
      <c r="DMS38" s="562"/>
      <c r="DMT38" s="562"/>
      <c r="DMU38" s="562"/>
      <c r="DMV38" s="562"/>
      <c r="DMW38" s="562"/>
      <c r="DMX38" s="562"/>
      <c r="DMY38" s="562"/>
      <c r="DMZ38" s="562"/>
      <c r="DNA38" s="562"/>
      <c r="DNB38" s="562"/>
      <c r="DNC38" s="562"/>
      <c r="DND38" s="562"/>
      <c r="DNE38" s="562"/>
      <c r="DNF38" s="562"/>
      <c r="DNG38" s="562"/>
      <c r="DNH38" s="562"/>
      <c r="DNI38" s="562"/>
      <c r="DNJ38" s="562"/>
      <c r="DNK38" s="562"/>
      <c r="DNL38" s="562"/>
      <c r="DNM38" s="562"/>
      <c r="DNN38" s="562"/>
      <c r="DNO38" s="562"/>
      <c r="DNP38" s="562"/>
      <c r="DNQ38" s="562"/>
      <c r="DNR38" s="562"/>
      <c r="DNS38" s="562"/>
      <c r="DNT38" s="562"/>
      <c r="DNU38" s="562"/>
      <c r="DNV38" s="562"/>
      <c r="DNW38" s="562"/>
      <c r="DNX38" s="562"/>
      <c r="DNY38" s="562"/>
      <c r="DNZ38" s="562"/>
      <c r="DOA38" s="562"/>
      <c r="DOB38" s="562"/>
      <c r="DOC38" s="562"/>
      <c r="DOD38" s="562"/>
      <c r="DOE38" s="562"/>
      <c r="DOF38" s="562"/>
      <c r="DOG38" s="562"/>
      <c r="DOH38" s="562"/>
      <c r="DOI38" s="562"/>
      <c r="DOJ38" s="562"/>
      <c r="DOK38" s="562"/>
      <c r="DOL38" s="562"/>
      <c r="DOM38" s="562"/>
      <c r="DON38" s="562"/>
      <c r="DOO38" s="562"/>
      <c r="DOP38" s="562"/>
      <c r="DOQ38" s="562"/>
      <c r="DOR38" s="562"/>
      <c r="DOS38" s="562"/>
      <c r="DOT38" s="562"/>
      <c r="DOU38" s="562"/>
      <c r="DOV38" s="562"/>
      <c r="DOW38" s="562"/>
      <c r="DOX38" s="562"/>
      <c r="DOY38" s="562"/>
      <c r="DOZ38" s="562"/>
      <c r="DPA38" s="562"/>
      <c r="DPB38" s="562"/>
      <c r="DPC38" s="562"/>
      <c r="DPD38" s="562"/>
      <c r="DPE38" s="562"/>
      <c r="DPF38" s="562"/>
      <c r="DPG38" s="562"/>
      <c r="DPH38" s="562"/>
      <c r="DPI38" s="562"/>
      <c r="DPJ38" s="562"/>
      <c r="DPK38" s="562"/>
      <c r="DPL38" s="562"/>
      <c r="DPM38" s="562"/>
      <c r="DPN38" s="562"/>
      <c r="DPO38" s="562"/>
      <c r="DPP38" s="562"/>
      <c r="DPQ38" s="562"/>
      <c r="DPR38" s="562"/>
      <c r="DPS38" s="562"/>
      <c r="DPT38" s="562"/>
      <c r="DPU38" s="562"/>
      <c r="DPV38" s="562"/>
      <c r="DPW38" s="562"/>
      <c r="DPX38" s="562"/>
      <c r="DPY38" s="562"/>
      <c r="DPZ38" s="562"/>
      <c r="DQA38" s="562"/>
      <c r="DQB38" s="562"/>
      <c r="DQC38" s="562"/>
      <c r="DQD38" s="562"/>
      <c r="DQE38" s="562"/>
      <c r="DQF38" s="562"/>
      <c r="DQG38" s="562"/>
      <c r="DQH38" s="562"/>
      <c r="DQI38" s="562"/>
      <c r="DQJ38" s="562"/>
      <c r="DQK38" s="562"/>
      <c r="DQL38" s="562"/>
      <c r="DQM38" s="562"/>
      <c r="DQN38" s="562"/>
      <c r="DQO38" s="562"/>
      <c r="DQP38" s="562"/>
      <c r="DQQ38" s="562"/>
      <c r="DQR38" s="562"/>
      <c r="DQS38" s="562"/>
      <c r="DQT38" s="562"/>
      <c r="DQU38" s="562"/>
      <c r="DQV38" s="562"/>
      <c r="DQW38" s="562"/>
      <c r="DQX38" s="562"/>
      <c r="DQY38" s="562"/>
      <c r="DQZ38" s="562"/>
      <c r="DRA38" s="562"/>
      <c r="DRB38" s="562"/>
      <c r="DRC38" s="562"/>
      <c r="DRD38" s="562"/>
      <c r="DRE38" s="562"/>
      <c r="DRF38" s="562"/>
      <c r="DRG38" s="562"/>
      <c r="DRH38" s="562"/>
      <c r="DRI38" s="562"/>
      <c r="DRJ38" s="562"/>
      <c r="DRK38" s="562"/>
      <c r="DRL38" s="562"/>
      <c r="DRM38" s="562"/>
      <c r="DRN38" s="562"/>
      <c r="DRO38" s="562"/>
      <c r="DRP38" s="562"/>
      <c r="DRQ38" s="562"/>
      <c r="DRR38" s="562"/>
      <c r="DRS38" s="562"/>
      <c r="DRT38" s="562"/>
      <c r="DRU38" s="562"/>
      <c r="DRV38" s="562"/>
      <c r="DRW38" s="562"/>
      <c r="DRX38" s="562"/>
      <c r="DRY38" s="562"/>
      <c r="DRZ38" s="562"/>
      <c r="DSA38" s="562"/>
      <c r="DSB38" s="562"/>
      <c r="DSC38" s="562"/>
      <c r="DSD38" s="562"/>
      <c r="DSE38" s="562"/>
      <c r="DSF38" s="562"/>
      <c r="DSG38" s="562"/>
      <c r="DSH38" s="562"/>
      <c r="DSI38" s="562"/>
      <c r="DSJ38" s="562"/>
      <c r="DSK38" s="562"/>
      <c r="DSL38" s="562"/>
      <c r="DSM38" s="562"/>
      <c r="DSN38" s="562"/>
      <c r="DSO38" s="562"/>
      <c r="DSP38" s="562"/>
      <c r="DSQ38" s="562"/>
      <c r="DSR38" s="562"/>
      <c r="DSS38" s="562"/>
      <c r="DST38" s="562"/>
      <c r="DSU38" s="562"/>
      <c r="DSV38" s="562"/>
      <c r="DSW38" s="562"/>
      <c r="DSX38" s="562"/>
      <c r="DSY38" s="562"/>
      <c r="DSZ38" s="562"/>
      <c r="DTA38" s="562"/>
      <c r="DTB38" s="562"/>
      <c r="DTC38" s="562"/>
      <c r="DTD38" s="562"/>
      <c r="DTE38" s="562"/>
      <c r="DTF38" s="562"/>
      <c r="DTG38" s="562"/>
      <c r="DTH38" s="562"/>
      <c r="DTI38" s="562"/>
      <c r="DTJ38" s="562"/>
      <c r="DTK38" s="562"/>
      <c r="DTL38" s="562"/>
      <c r="DTM38" s="562"/>
      <c r="DTN38" s="562"/>
      <c r="DTO38" s="562"/>
      <c r="DTP38" s="562"/>
      <c r="DTQ38" s="562"/>
      <c r="DTR38" s="562"/>
      <c r="DTS38" s="562"/>
      <c r="DTT38" s="562"/>
      <c r="DTU38" s="562"/>
      <c r="DTV38" s="562"/>
      <c r="DTW38" s="562"/>
      <c r="DTX38" s="562"/>
      <c r="DTY38" s="562"/>
      <c r="DTZ38" s="562"/>
      <c r="DUA38" s="562"/>
      <c r="DUB38" s="562"/>
      <c r="DUC38" s="562"/>
      <c r="DUD38" s="562"/>
      <c r="DUE38" s="562"/>
      <c r="DUF38" s="562"/>
      <c r="DUG38" s="562"/>
      <c r="DUH38" s="562"/>
      <c r="DUI38" s="562"/>
      <c r="DUJ38" s="562"/>
      <c r="DUK38" s="562"/>
      <c r="DUL38" s="562"/>
      <c r="DUM38" s="562"/>
      <c r="DUN38" s="562"/>
      <c r="DUO38" s="562"/>
      <c r="DUP38" s="562"/>
      <c r="DUQ38" s="562"/>
      <c r="DUR38" s="562"/>
      <c r="DUS38" s="562"/>
      <c r="DUT38" s="562"/>
      <c r="DUU38" s="562"/>
      <c r="DUV38" s="562"/>
      <c r="DUW38" s="562"/>
      <c r="DUX38" s="562"/>
      <c r="DUY38" s="562"/>
      <c r="DUZ38" s="562"/>
      <c r="DVA38" s="562"/>
      <c r="DVB38" s="562"/>
      <c r="DVC38" s="562"/>
      <c r="DVD38" s="562"/>
      <c r="DVE38" s="562"/>
      <c r="DVF38" s="562"/>
      <c r="DVG38" s="562"/>
      <c r="DVH38" s="562"/>
      <c r="DVI38" s="562"/>
      <c r="DVJ38" s="562"/>
      <c r="DVK38" s="562"/>
      <c r="DVL38" s="562"/>
      <c r="DVM38" s="562"/>
      <c r="DVN38" s="562"/>
      <c r="DVO38" s="562"/>
      <c r="DVP38" s="562"/>
      <c r="DVQ38" s="562"/>
      <c r="DVR38" s="562"/>
      <c r="DVS38" s="562"/>
      <c r="DVT38" s="562"/>
      <c r="DVU38" s="562"/>
      <c r="DVV38" s="562"/>
      <c r="DVW38" s="562"/>
      <c r="DVX38" s="562"/>
      <c r="DVY38" s="562"/>
      <c r="DVZ38" s="562"/>
      <c r="DWA38" s="562"/>
      <c r="DWB38" s="562"/>
      <c r="DWC38" s="562"/>
      <c r="DWD38" s="562"/>
      <c r="DWE38" s="562"/>
      <c r="DWF38" s="562"/>
      <c r="DWG38" s="562"/>
      <c r="DWH38" s="562"/>
      <c r="DWI38" s="562"/>
      <c r="DWJ38" s="562"/>
      <c r="DWK38" s="562"/>
      <c r="DWL38" s="562"/>
      <c r="DWM38" s="562"/>
      <c r="DWN38" s="562"/>
      <c r="DWO38" s="562"/>
      <c r="DWP38" s="562"/>
      <c r="DWQ38" s="562"/>
      <c r="DWR38" s="562"/>
      <c r="DWS38" s="562"/>
      <c r="DWT38" s="562"/>
      <c r="DWU38" s="562"/>
      <c r="DWV38" s="562"/>
      <c r="DWW38" s="562"/>
      <c r="DWX38" s="562"/>
      <c r="DWY38" s="562"/>
      <c r="DWZ38" s="562"/>
      <c r="DXA38" s="562"/>
      <c r="DXB38" s="562"/>
      <c r="DXC38" s="562"/>
      <c r="DXD38" s="562"/>
      <c r="DXE38" s="562"/>
      <c r="DXF38" s="562"/>
      <c r="DXG38" s="562"/>
      <c r="DXH38" s="562"/>
      <c r="DXI38" s="562"/>
      <c r="DXJ38" s="562"/>
      <c r="DXK38" s="562"/>
      <c r="DXL38" s="562"/>
      <c r="DXM38" s="562"/>
      <c r="DXN38" s="562"/>
      <c r="DXO38" s="562"/>
      <c r="DXP38" s="562"/>
      <c r="DXQ38" s="562"/>
      <c r="DXR38" s="562"/>
      <c r="DXS38" s="562"/>
      <c r="DXT38" s="562"/>
      <c r="DXU38" s="562"/>
      <c r="DXV38" s="562"/>
      <c r="DXW38" s="562"/>
      <c r="DXX38" s="562"/>
      <c r="DXY38" s="562"/>
      <c r="DXZ38" s="562"/>
      <c r="DYA38" s="562"/>
      <c r="DYB38" s="562"/>
      <c r="DYC38" s="562"/>
      <c r="DYD38" s="562"/>
      <c r="DYE38" s="562"/>
      <c r="DYF38" s="562"/>
      <c r="DYG38" s="562"/>
      <c r="DYH38" s="562"/>
      <c r="DYI38" s="562"/>
      <c r="DYJ38" s="562"/>
      <c r="DYK38" s="562"/>
      <c r="DYL38" s="562"/>
      <c r="DYM38" s="562"/>
      <c r="DYN38" s="562"/>
      <c r="DYO38" s="562"/>
      <c r="DYP38" s="562"/>
      <c r="DYQ38" s="562"/>
      <c r="DYR38" s="562"/>
      <c r="DYS38" s="562"/>
      <c r="DYT38" s="562"/>
      <c r="DYU38" s="562"/>
      <c r="DYV38" s="562"/>
      <c r="DYW38" s="562"/>
      <c r="DYX38" s="562"/>
      <c r="DYY38" s="562"/>
      <c r="DYZ38" s="562"/>
      <c r="DZA38" s="562"/>
      <c r="DZB38" s="562"/>
      <c r="DZC38" s="562"/>
      <c r="DZD38" s="562"/>
      <c r="DZE38" s="562"/>
      <c r="DZF38" s="562"/>
      <c r="DZG38" s="562"/>
      <c r="DZH38" s="562"/>
      <c r="DZI38" s="562"/>
      <c r="DZJ38" s="562"/>
      <c r="DZK38" s="562"/>
      <c r="DZL38" s="562"/>
      <c r="DZM38" s="562"/>
      <c r="DZN38" s="562"/>
      <c r="DZO38" s="562"/>
      <c r="DZP38" s="562"/>
      <c r="DZQ38" s="562"/>
      <c r="DZR38" s="562"/>
      <c r="DZS38" s="562"/>
      <c r="DZT38" s="562"/>
      <c r="DZU38" s="562"/>
      <c r="DZV38" s="562"/>
      <c r="DZW38" s="562"/>
      <c r="DZX38" s="562"/>
      <c r="DZY38" s="562"/>
      <c r="DZZ38" s="562"/>
      <c r="EAA38" s="562"/>
      <c r="EAB38" s="562"/>
      <c r="EAC38" s="562"/>
      <c r="EAD38" s="562"/>
      <c r="EAE38" s="562"/>
      <c r="EAF38" s="562"/>
      <c r="EAG38" s="562"/>
      <c r="EAH38" s="562"/>
      <c r="EAI38" s="562"/>
      <c r="EAJ38" s="562"/>
      <c r="EAK38" s="562"/>
      <c r="EAL38" s="562"/>
      <c r="EAM38" s="562"/>
      <c r="EAN38" s="562"/>
      <c r="EAO38" s="562"/>
      <c r="EAP38" s="562"/>
      <c r="EAQ38" s="562"/>
      <c r="EAR38" s="562"/>
      <c r="EAS38" s="562"/>
      <c r="EAT38" s="562"/>
      <c r="EAU38" s="562"/>
      <c r="EAV38" s="562"/>
      <c r="EAW38" s="562"/>
      <c r="EAX38" s="562"/>
      <c r="EAY38" s="562"/>
      <c r="EAZ38" s="562"/>
      <c r="EBA38" s="562"/>
      <c r="EBB38" s="562"/>
      <c r="EBC38" s="562"/>
      <c r="EBD38" s="562"/>
      <c r="EBE38" s="562"/>
      <c r="EBF38" s="562"/>
      <c r="EBG38" s="562"/>
      <c r="EBH38" s="562"/>
      <c r="EBI38" s="562"/>
      <c r="EBJ38" s="562"/>
      <c r="EBK38" s="562"/>
      <c r="EBL38" s="562"/>
      <c r="EBM38" s="562"/>
      <c r="EBN38" s="562"/>
      <c r="EBO38" s="562"/>
      <c r="EBP38" s="562"/>
      <c r="EBQ38" s="562"/>
      <c r="EBR38" s="562"/>
      <c r="EBS38" s="562"/>
      <c r="EBT38" s="562"/>
      <c r="EBU38" s="562"/>
      <c r="EBV38" s="562"/>
      <c r="EBW38" s="562"/>
      <c r="EBX38" s="562"/>
      <c r="EBY38" s="562"/>
      <c r="EBZ38" s="562"/>
      <c r="ECA38" s="562"/>
      <c r="ECB38" s="562"/>
      <c r="ECC38" s="562"/>
      <c r="ECD38" s="562"/>
      <c r="ECE38" s="562"/>
      <c r="ECF38" s="562"/>
      <c r="ECG38" s="562"/>
      <c r="ECH38" s="562"/>
      <c r="ECI38" s="562"/>
      <c r="ECJ38" s="562"/>
      <c r="ECK38" s="562"/>
      <c r="ECL38" s="562"/>
      <c r="ECM38" s="562"/>
      <c r="ECN38" s="562"/>
      <c r="ECO38" s="562"/>
      <c r="ECP38" s="562"/>
      <c r="ECQ38" s="562"/>
      <c r="ECR38" s="562"/>
      <c r="ECS38" s="562"/>
      <c r="ECT38" s="562"/>
      <c r="ECU38" s="562"/>
      <c r="ECV38" s="562"/>
      <c r="ECW38" s="562"/>
      <c r="ECX38" s="562"/>
      <c r="ECY38" s="562"/>
      <c r="ECZ38" s="562"/>
      <c r="EDA38" s="562"/>
      <c r="EDB38" s="562"/>
      <c r="EDC38" s="562"/>
      <c r="EDD38" s="562"/>
      <c r="EDE38" s="562"/>
      <c r="EDF38" s="562"/>
      <c r="EDG38" s="562"/>
      <c r="EDH38" s="562"/>
      <c r="EDI38" s="562"/>
      <c r="EDJ38" s="562"/>
      <c r="EDK38" s="562"/>
      <c r="EDL38" s="562"/>
      <c r="EDM38" s="562"/>
      <c r="EDN38" s="562"/>
      <c r="EDO38" s="562"/>
      <c r="EDP38" s="562"/>
      <c r="EDQ38" s="562"/>
      <c r="EDR38" s="562"/>
      <c r="EDS38" s="562"/>
      <c r="EDT38" s="562"/>
      <c r="EDU38" s="562"/>
      <c r="EDV38" s="562"/>
      <c r="EDW38" s="562"/>
      <c r="EDX38" s="562"/>
      <c r="EDY38" s="562"/>
      <c r="EDZ38" s="562"/>
      <c r="EEA38" s="562"/>
      <c r="EEB38" s="562"/>
      <c r="EEC38" s="562"/>
      <c r="EED38" s="562"/>
      <c r="EEE38" s="562"/>
      <c r="EEF38" s="562"/>
      <c r="EEG38" s="562"/>
      <c r="EEH38" s="562"/>
      <c r="EEI38" s="562"/>
      <c r="EEJ38" s="562"/>
      <c r="EEK38" s="562"/>
      <c r="EEL38" s="562"/>
      <c r="EEM38" s="562"/>
      <c r="EEN38" s="562"/>
      <c r="EEO38" s="562"/>
      <c r="EEP38" s="562"/>
      <c r="EEQ38" s="562"/>
      <c r="EER38" s="562"/>
      <c r="EES38" s="562"/>
      <c r="EET38" s="562"/>
      <c r="EEU38" s="562"/>
      <c r="EEV38" s="562"/>
      <c r="EEW38" s="562"/>
      <c r="EEX38" s="562"/>
      <c r="EEY38" s="562"/>
      <c r="EEZ38" s="562"/>
      <c r="EFA38" s="562"/>
      <c r="EFB38" s="562"/>
      <c r="EFC38" s="562"/>
      <c r="EFD38" s="562"/>
      <c r="EFE38" s="562"/>
      <c r="EFF38" s="562"/>
      <c r="EFG38" s="562"/>
      <c r="EFH38" s="562"/>
      <c r="EFI38" s="562"/>
      <c r="EFJ38" s="562"/>
      <c r="EFK38" s="562"/>
      <c r="EFL38" s="562"/>
      <c r="EFM38" s="562"/>
      <c r="EFN38" s="562"/>
      <c r="EFO38" s="562"/>
      <c r="EFP38" s="562"/>
      <c r="EFQ38" s="562"/>
      <c r="EFR38" s="562"/>
      <c r="EFS38" s="562"/>
      <c r="EFT38" s="562"/>
      <c r="EFU38" s="562"/>
      <c r="EFV38" s="562"/>
      <c r="EFW38" s="562"/>
      <c r="EFX38" s="562"/>
      <c r="EFY38" s="562"/>
      <c r="EFZ38" s="562"/>
      <c r="EGA38" s="562"/>
      <c r="EGB38" s="562"/>
      <c r="EGC38" s="562"/>
      <c r="EGD38" s="562"/>
      <c r="EGE38" s="562"/>
      <c r="EGF38" s="562"/>
      <c r="EGG38" s="562"/>
      <c r="EGH38" s="562"/>
      <c r="EGI38" s="562"/>
      <c r="EGJ38" s="562"/>
      <c r="EGK38" s="562"/>
      <c r="EGL38" s="562"/>
      <c r="EGM38" s="562"/>
      <c r="EGN38" s="562"/>
      <c r="EGO38" s="562"/>
      <c r="EGP38" s="562"/>
      <c r="EGQ38" s="562"/>
      <c r="EGR38" s="562"/>
      <c r="EGS38" s="562"/>
      <c r="EGT38" s="562"/>
      <c r="EGU38" s="562"/>
      <c r="EGV38" s="562"/>
      <c r="EGW38" s="562"/>
      <c r="EGX38" s="562"/>
      <c r="EGY38" s="562"/>
      <c r="EGZ38" s="562"/>
      <c r="EHA38" s="562"/>
      <c r="EHB38" s="562"/>
      <c r="EHC38" s="562"/>
      <c r="EHD38" s="562"/>
      <c r="EHE38" s="562"/>
      <c r="EHF38" s="562"/>
      <c r="EHG38" s="562"/>
      <c r="EHH38" s="562"/>
      <c r="EHI38" s="562"/>
      <c r="EHJ38" s="562"/>
      <c r="EHK38" s="562"/>
      <c r="EHL38" s="562"/>
      <c r="EHM38" s="562"/>
      <c r="EHN38" s="562"/>
      <c r="EHO38" s="562"/>
      <c r="EHP38" s="562"/>
      <c r="EHQ38" s="562"/>
      <c r="EHR38" s="562"/>
      <c r="EHS38" s="562"/>
      <c r="EHT38" s="562"/>
      <c r="EHU38" s="562"/>
      <c r="EHV38" s="562"/>
      <c r="EHW38" s="562"/>
      <c r="EHX38" s="562"/>
      <c r="EHY38" s="562"/>
      <c r="EHZ38" s="562"/>
      <c r="EIA38" s="562"/>
      <c r="EIB38" s="562"/>
      <c r="EIC38" s="562"/>
      <c r="EID38" s="562"/>
      <c r="EIE38" s="562"/>
      <c r="EIF38" s="562"/>
      <c r="EIG38" s="562"/>
      <c r="EIH38" s="562"/>
      <c r="EII38" s="562"/>
      <c r="EIJ38" s="562"/>
      <c r="EIK38" s="562"/>
      <c r="EIL38" s="562"/>
      <c r="EIM38" s="562"/>
      <c r="EIN38" s="562"/>
      <c r="EIO38" s="562"/>
      <c r="EIP38" s="562"/>
      <c r="EIQ38" s="562"/>
      <c r="EIR38" s="562"/>
      <c r="EIS38" s="562"/>
      <c r="EIT38" s="562"/>
      <c r="EIU38" s="562"/>
      <c r="EIV38" s="562"/>
      <c r="EIW38" s="562"/>
      <c r="EIX38" s="562"/>
      <c r="EIY38" s="562"/>
      <c r="EIZ38" s="562"/>
      <c r="EJA38" s="562"/>
      <c r="EJB38" s="562"/>
      <c r="EJC38" s="562"/>
      <c r="EJD38" s="562"/>
      <c r="EJE38" s="562"/>
      <c r="EJF38" s="562"/>
      <c r="EJG38" s="562"/>
      <c r="EJH38" s="562"/>
      <c r="EJI38" s="562"/>
      <c r="EJJ38" s="562"/>
      <c r="EJK38" s="562"/>
      <c r="EJL38" s="562"/>
      <c r="EJM38" s="562"/>
      <c r="EJN38" s="562"/>
      <c r="EJO38" s="562"/>
      <c r="EJP38" s="562"/>
      <c r="EJQ38" s="562"/>
      <c r="EJR38" s="562"/>
      <c r="EJS38" s="562"/>
      <c r="EJT38" s="562"/>
      <c r="EJU38" s="562"/>
      <c r="EJV38" s="562"/>
      <c r="EJW38" s="562"/>
      <c r="EJX38" s="562"/>
      <c r="EJY38" s="562"/>
      <c r="EJZ38" s="562"/>
      <c r="EKA38" s="562"/>
      <c r="EKB38" s="562"/>
      <c r="EKC38" s="562"/>
      <c r="EKD38" s="562"/>
      <c r="EKE38" s="562"/>
      <c r="EKF38" s="562"/>
      <c r="EKG38" s="562"/>
      <c r="EKH38" s="562"/>
      <c r="EKI38" s="562"/>
      <c r="EKJ38" s="562"/>
      <c r="EKK38" s="562"/>
      <c r="EKL38" s="562"/>
      <c r="EKM38" s="562"/>
      <c r="EKN38" s="562"/>
      <c r="EKO38" s="562"/>
      <c r="EKP38" s="562"/>
      <c r="EKQ38" s="562"/>
      <c r="EKR38" s="562"/>
      <c r="EKS38" s="562"/>
      <c r="EKT38" s="562"/>
      <c r="EKU38" s="562"/>
      <c r="EKV38" s="562"/>
      <c r="EKW38" s="562"/>
      <c r="EKX38" s="562"/>
      <c r="EKY38" s="562"/>
      <c r="EKZ38" s="562"/>
      <c r="ELA38" s="562"/>
      <c r="ELB38" s="562"/>
      <c r="ELC38" s="562"/>
      <c r="ELD38" s="562"/>
      <c r="ELE38" s="562"/>
      <c r="ELF38" s="562"/>
      <c r="ELG38" s="562"/>
      <c r="ELH38" s="562"/>
      <c r="ELI38" s="562"/>
      <c r="ELJ38" s="562"/>
      <c r="ELK38" s="562"/>
      <c r="ELL38" s="562"/>
      <c r="ELM38" s="562"/>
      <c r="ELN38" s="562"/>
      <c r="ELO38" s="562"/>
      <c r="ELP38" s="562"/>
      <c r="ELQ38" s="562"/>
      <c r="ELR38" s="562"/>
      <c r="ELS38" s="562"/>
      <c r="ELT38" s="562"/>
      <c r="ELU38" s="562"/>
      <c r="ELV38" s="562"/>
      <c r="ELW38" s="562"/>
      <c r="ELX38" s="562"/>
      <c r="ELY38" s="562"/>
      <c r="ELZ38" s="562"/>
      <c r="EMA38" s="562"/>
      <c r="EMB38" s="562"/>
      <c r="EMC38" s="562"/>
      <c r="EMD38" s="562"/>
      <c r="EME38" s="562"/>
      <c r="EMF38" s="562"/>
      <c r="EMG38" s="562"/>
      <c r="EMH38" s="562"/>
      <c r="EMI38" s="562"/>
      <c r="EMJ38" s="562"/>
      <c r="EMK38" s="562"/>
      <c r="EML38" s="562"/>
      <c r="EMM38" s="562"/>
      <c r="EMN38" s="562"/>
      <c r="EMO38" s="562"/>
      <c r="EMP38" s="562"/>
      <c r="EMQ38" s="562"/>
      <c r="EMR38" s="562"/>
      <c r="EMS38" s="562"/>
      <c r="EMT38" s="562"/>
      <c r="EMU38" s="562"/>
      <c r="EMV38" s="562"/>
      <c r="EMW38" s="562"/>
      <c r="EMX38" s="562"/>
      <c r="EMY38" s="562"/>
      <c r="EMZ38" s="562"/>
      <c r="ENA38" s="562"/>
      <c r="ENB38" s="562"/>
      <c r="ENC38" s="562"/>
      <c r="END38" s="562"/>
      <c r="ENE38" s="562"/>
      <c r="ENF38" s="562"/>
      <c r="ENG38" s="562"/>
      <c r="ENH38" s="562"/>
      <c r="ENI38" s="562"/>
      <c r="ENJ38" s="562"/>
      <c r="ENK38" s="562"/>
      <c r="ENL38" s="562"/>
      <c r="ENM38" s="562"/>
      <c r="ENN38" s="562"/>
      <c r="ENO38" s="562"/>
      <c r="ENP38" s="562"/>
      <c r="ENQ38" s="562"/>
      <c r="ENR38" s="562"/>
      <c r="ENS38" s="562"/>
      <c r="ENT38" s="562"/>
      <c r="ENU38" s="562"/>
      <c r="ENV38" s="562"/>
      <c r="ENW38" s="562"/>
      <c r="ENX38" s="562"/>
      <c r="ENY38" s="562"/>
      <c r="ENZ38" s="562"/>
      <c r="EOA38" s="562"/>
      <c r="EOB38" s="562"/>
      <c r="EOC38" s="562"/>
      <c r="EOD38" s="562"/>
      <c r="EOE38" s="562"/>
      <c r="EOF38" s="562"/>
      <c r="EOG38" s="562"/>
      <c r="EOH38" s="562"/>
      <c r="EOI38" s="562"/>
      <c r="EOJ38" s="562"/>
      <c r="EOK38" s="562"/>
      <c r="EOL38" s="562"/>
      <c r="EOM38" s="562"/>
      <c r="EON38" s="562"/>
      <c r="EOO38" s="562"/>
      <c r="EOP38" s="562"/>
      <c r="EOQ38" s="562"/>
      <c r="EOR38" s="562"/>
      <c r="EOS38" s="562"/>
      <c r="EOT38" s="562"/>
      <c r="EOU38" s="562"/>
      <c r="EOV38" s="562"/>
      <c r="EOW38" s="562"/>
      <c r="EOX38" s="562"/>
      <c r="EOY38" s="562"/>
      <c r="EOZ38" s="562"/>
      <c r="EPA38" s="562"/>
      <c r="EPB38" s="562"/>
      <c r="EPC38" s="562"/>
      <c r="EPD38" s="562"/>
      <c r="EPE38" s="562"/>
      <c r="EPF38" s="562"/>
      <c r="EPG38" s="562"/>
      <c r="EPH38" s="562"/>
      <c r="EPI38" s="562"/>
      <c r="EPJ38" s="562"/>
      <c r="EPK38" s="562"/>
      <c r="EPL38" s="562"/>
      <c r="EPM38" s="562"/>
      <c r="EPN38" s="562"/>
      <c r="EPO38" s="562"/>
      <c r="EPP38" s="562"/>
      <c r="EPQ38" s="562"/>
      <c r="EPR38" s="562"/>
      <c r="EPS38" s="562"/>
      <c r="EPT38" s="562"/>
      <c r="EPU38" s="562"/>
      <c r="EPV38" s="562"/>
      <c r="EPW38" s="562"/>
      <c r="EPX38" s="562"/>
      <c r="EPY38" s="562"/>
      <c r="EPZ38" s="562"/>
      <c r="EQA38" s="562"/>
      <c r="EQB38" s="562"/>
      <c r="EQC38" s="562"/>
      <c r="EQD38" s="562"/>
      <c r="EQE38" s="562"/>
      <c r="EQF38" s="562"/>
      <c r="EQG38" s="562"/>
      <c r="EQH38" s="562"/>
      <c r="EQI38" s="562"/>
      <c r="EQJ38" s="562"/>
      <c r="EQK38" s="562"/>
      <c r="EQL38" s="562"/>
      <c r="EQM38" s="562"/>
      <c r="EQN38" s="562"/>
      <c r="EQO38" s="562"/>
      <c r="EQP38" s="562"/>
      <c r="EQQ38" s="562"/>
      <c r="EQR38" s="562"/>
      <c r="EQS38" s="562"/>
      <c r="EQT38" s="562"/>
      <c r="EQU38" s="562"/>
      <c r="EQV38" s="562"/>
      <c r="EQW38" s="562"/>
      <c r="EQX38" s="562"/>
      <c r="EQY38" s="562"/>
      <c r="EQZ38" s="562"/>
      <c r="ERA38" s="562"/>
      <c r="ERB38" s="562"/>
      <c r="ERC38" s="562"/>
      <c r="ERD38" s="562"/>
      <c r="ERE38" s="562"/>
      <c r="ERF38" s="562"/>
      <c r="ERG38" s="562"/>
      <c r="ERH38" s="562"/>
      <c r="ERI38" s="562"/>
      <c r="ERJ38" s="562"/>
      <c r="ERK38" s="562"/>
      <c r="ERL38" s="562"/>
      <c r="ERM38" s="562"/>
      <c r="ERN38" s="562"/>
      <c r="ERO38" s="562"/>
      <c r="ERP38" s="562"/>
      <c r="ERQ38" s="562"/>
      <c r="ERR38" s="562"/>
      <c r="ERS38" s="562"/>
      <c r="ERT38" s="562"/>
      <c r="ERU38" s="562"/>
      <c r="ERV38" s="562"/>
      <c r="ERW38" s="562"/>
      <c r="ERX38" s="562"/>
      <c r="ERY38" s="562"/>
      <c r="ERZ38" s="562"/>
      <c r="ESA38" s="562"/>
      <c r="ESB38" s="562"/>
      <c r="ESC38" s="562"/>
      <c r="ESD38" s="562"/>
      <c r="ESE38" s="562"/>
      <c r="ESF38" s="562"/>
      <c r="ESG38" s="562"/>
      <c r="ESH38" s="562"/>
      <c r="ESI38" s="562"/>
      <c r="ESJ38" s="562"/>
      <c r="ESK38" s="562"/>
      <c r="ESL38" s="562"/>
      <c r="ESM38" s="562"/>
      <c r="ESN38" s="562"/>
      <c r="ESO38" s="562"/>
      <c r="ESP38" s="562"/>
      <c r="ESQ38" s="562"/>
      <c r="ESR38" s="562"/>
      <c r="ESS38" s="562"/>
      <c r="EST38" s="562"/>
      <c r="ESU38" s="562"/>
      <c r="ESV38" s="562"/>
      <c r="ESW38" s="562"/>
      <c r="ESX38" s="562"/>
      <c r="ESY38" s="562"/>
      <c r="ESZ38" s="562"/>
      <c r="ETA38" s="562"/>
      <c r="ETB38" s="562"/>
      <c r="ETC38" s="562"/>
      <c r="ETD38" s="562"/>
      <c r="ETE38" s="562"/>
      <c r="ETF38" s="562"/>
      <c r="ETG38" s="562"/>
      <c r="ETH38" s="562"/>
      <c r="ETI38" s="562"/>
      <c r="ETJ38" s="562"/>
      <c r="ETK38" s="562"/>
      <c r="ETL38" s="562"/>
      <c r="ETM38" s="562"/>
      <c r="ETN38" s="562"/>
      <c r="ETO38" s="562"/>
      <c r="ETP38" s="562"/>
      <c r="ETQ38" s="562"/>
      <c r="ETR38" s="562"/>
      <c r="ETS38" s="562"/>
      <c r="ETT38" s="562"/>
      <c r="ETU38" s="562"/>
      <c r="ETV38" s="562"/>
      <c r="ETW38" s="562"/>
      <c r="ETX38" s="562"/>
      <c r="ETY38" s="562"/>
      <c r="ETZ38" s="562"/>
      <c r="EUA38" s="562"/>
      <c r="EUB38" s="562"/>
      <c r="EUC38" s="562"/>
      <c r="EUD38" s="562"/>
      <c r="EUE38" s="562"/>
      <c r="EUF38" s="562"/>
      <c r="EUG38" s="562"/>
      <c r="EUH38" s="562"/>
      <c r="EUI38" s="562"/>
      <c r="EUJ38" s="562"/>
      <c r="EUK38" s="562"/>
      <c r="EUL38" s="562"/>
      <c r="EUM38" s="562"/>
      <c r="EUN38" s="562"/>
      <c r="EUO38" s="562"/>
      <c r="EUP38" s="562"/>
      <c r="EUQ38" s="562"/>
      <c r="EUR38" s="562"/>
      <c r="EUS38" s="562"/>
      <c r="EUT38" s="562"/>
      <c r="EUU38" s="562"/>
      <c r="EUV38" s="562"/>
      <c r="EUW38" s="562"/>
      <c r="EUX38" s="562"/>
      <c r="EUY38" s="562"/>
      <c r="EUZ38" s="562"/>
      <c r="EVA38" s="562"/>
      <c r="EVB38" s="562"/>
      <c r="EVC38" s="562"/>
      <c r="EVD38" s="562"/>
      <c r="EVE38" s="562"/>
      <c r="EVF38" s="562"/>
      <c r="EVG38" s="562"/>
      <c r="EVH38" s="562"/>
      <c r="EVI38" s="562"/>
      <c r="EVJ38" s="562"/>
      <c r="EVK38" s="562"/>
      <c r="EVL38" s="562"/>
      <c r="EVM38" s="562"/>
      <c r="EVN38" s="562"/>
      <c r="EVO38" s="562"/>
      <c r="EVP38" s="562"/>
      <c r="EVQ38" s="562"/>
      <c r="EVR38" s="562"/>
      <c r="EVS38" s="562"/>
      <c r="EVT38" s="562"/>
      <c r="EVU38" s="562"/>
      <c r="EVV38" s="562"/>
      <c r="EVW38" s="562"/>
      <c r="EVX38" s="562"/>
      <c r="EVY38" s="562"/>
      <c r="EVZ38" s="562"/>
      <c r="EWA38" s="562"/>
      <c r="EWB38" s="562"/>
      <c r="EWC38" s="562"/>
      <c r="EWD38" s="562"/>
      <c r="EWE38" s="562"/>
      <c r="EWF38" s="562"/>
      <c r="EWG38" s="562"/>
      <c r="EWH38" s="562"/>
      <c r="EWI38" s="562"/>
      <c r="EWJ38" s="562"/>
      <c r="EWK38" s="562"/>
      <c r="EWL38" s="562"/>
      <c r="EWM38" s="562"/>
      <c r="EWN38" s="562"/>
      <c r="EWO38" s="562"/>
      <c r="EWP38" s="562"/>
      <c r="EWQ38" s="562"/>
      <c r="EWR38" s="562"/>
      <c r="EWS38" s="562"/>
      <c r="EWT38" s="562"/>
      <c r="EWU38" s="562"/>
      <c r="EWV38" s="562"/>
      <c r="EWW38" s="562"/>
      <c r="EWX38" s="562"/>
      <c r="EWY38" s="562"/>
      <c r="EWZ38" s="562"/>
      <c r="EXA38" s="562"/>
      <c r="EXB38" s="562"/>
      <c r="EXC38" s="562"/>
      <c r="EXD38" s="562"/>
      <c r="EXE38" s="562"/>
      <c r="EXF38" s="562"/>
      <c r="EXG38" s="562"/>
      <c r="EXH38" s="562"/>
      <c r="EXI38" s="562"/>
      <c r="EXJ38" s="562"/>
      <c r="EXK38" s="562"/>
      <c r="EXL38" s="562"/>
      <c r="EXM38" s="562"/>
      <c r="EXN38" s="562"/>
      <c r="EXO38" s="562"/>
      <c r="EXP38" s="562"/>
      <c r="EXQ38" s="562"/>
      <c r="EXR38" s="562"/>
      <c r="EXS38" s="562"/>
      <c r="EXT38" s="562"/>
      <c r="EXU38" s="562"/>
      <c r="EXV38" s="562"/>
      <c r="EXW38" s="562"/>
      <c r="EXX38" s="562"/>
      <c r="EXY38" s="562"/>
      <c r="EXZ38" s="562"/>
      <c r="EYA38" s="562"/>
      <c r="EYB38" s="562"/>
      <c r="EYC38" s="562"/>
      <c r="EYD38" s="562"/>
      <c r="EYE38" s="562"/>
      <c r="EYF38" s="562"/>
      <c r="EYG38" s="562"/>
      <c r="EYH38" s="562"/>
      <c r="EYI38" s="562"/>
      <c r="EYJ38" s="562"/>
      <c r="EYK38" s="562"/>
      <c r="EYL38" s="562"/>
      <c r="EYM38" s="562"/>
      <c r="EYN38" s="562"/>
      <c r="EYO38" s="562"/>
      <c r="EYP38" s="562"/>
      <c r="EYQ38" s="562"/>
      <c r="EYR38" s="562"/>
      <c r="EYS38" s="562"/>
      <c r="EYT38" s="562"/>
      <c r="EYU38" s="562"/>
      <c r="EYV38" s="562"/>
      <c r="EYW38" s="562"/>
      <c r="EYX38" s="562"/>
      <c r="EYY38" s="562"/>
      <c r="EYZ38" s="562"/>
      <c r="EZA38" s="562"/>
      <c r="EZB38" s="562"/>
      <c r="EZC38" s="562"/>
      <c r="EZD38" s="562"/>
      <c r="EZE38" s="562"/>
      <c r="EZF38" s="562"/>
      <c r="EZG38" s="562"/>
      <c r="EZH38" s="562"/>
      <c r="EZI38" s="562"/>
      <c r="EZJ38" s="562"/>
      <c r="EZK38" s="562"/>
      <c r="EZL38" s="562"/>
      <c r="EZM38" s="562"/>
      <c r="EZN38" s="562"/>
      <c r="EZO38" s="562"/>
      <c r="EZP38" s="562"/>
      <c r="EZQ38" s="562"/>
      <c r="EZR38" s="562"/>
      <c r="EZS38" s="562"/>
      <c r="EZT38" s="562"/>
      <c r="EZU38" s="562"/>
      <c r="EZV38" s="562"/>
      <c r="EZW38" s="562"/>
      <c r="EZX38" s="562"/>
      <c r="EZY38" s="562"/>
      <c r="EZZ38" s="562"/>
      <c r="FAA38" s="562"/>
      <c r="FAB38" s="562"/>
      <c r="FAC38" s="562"/>
      <c r="FAD38" s="562"/>
      <c r="FAE38" s="562"/>
      <c r="FAF38" s="562"/>
      <c r="FAG38" s="562"/>
      <c r="FAH38" s="562"/>
      <c r="FAI38" s="562"/>
      <c r="FAJ38" s="562"/>
      <c r="FAK38" s="562"/>
      <c r="FAL38" s="562"/>
      <c r="FAM38" s="562"/>
      <c r="FAN38" s="562"/>
      <c r="FAO38" s="562"/>
      <c r="FAP38" s="562"/>
      <c r="FAQ38" s="562"/>
      <c r="FAR38" s="562"/>
      <c r="FAS38" s="562"/>
      <c r="FAT38" s="562"/>
      <c r="FAU38" s="562"/>
      <c r="FAV38" s="562"/>
      <c r="FAW38" s="562"/>
      <c r="FAX38" s="562"/>
      <c r="FAY38" s="562"/>
      <c r="FAZ38" s="562"/>
      <c r="FBA38" s="562"/>
      <c r="FBB38" s="562"/>
      <c r="FBC38" s="562"/>
      <c r="FBD38" s="562"/>
      <c r="FBE38" s="562"/>
      <c r="FBF38" s="562"/>
      <c r="FBG38" s="562"/>
      <c r="FBH38" s="562"/>
      <c r="FBI38" s="562"/>
      <c r="FBJ38" s="562"/>
      <c r="FBK38" s="562"/>
      <c r="FBL38" s="562"/>
      <c r="FBM38" s="562"/>
      <c r="FBN38" s="562"/>
      <c r="FBO38" s="562"/>
      <c r="FBP38" s="562"/>
      <c r="FBQ38" s="562"/>
      <c r="FBR38" s="562"/>
      <c r="FBS38" s="562"/>
      <c r="FBT38" s="562"/>
      <c r="FBU38" s="562"/>
      <c r="FBV38" s="562"/>
      <c r="FBW38" s="562"/>
      <c r="FBX38" s="562"/>
      <c r="FBY38" s="562"/>
      <c r="FBZ38" s="562"/>
      <c r="FCA38" s="562"/>
      <c r="FCB38" s="562"/>
      <c r="FCC38" s="562"/>
      <c r="FCD38" s="562"/>
      <c r="FCE38" s="562"/>
      <c r="FCF38" s="562"/>
      <c r="FCG38" s="562"/>
      <c r="FCH38" s="562"/>
      <c r="FCI38" s="562"/>
      <c r="FCJ38" s="562"/>
      <c r="FCK38" s="562"/>
      <c r="FCL38" s="562"/>
      <c r="FCM38" s="562"/>
      <c r="FCN38" s="562"/>
      <c r="FCO38" s="562"/>
      <c r="FCP38" s="562"/>
      <c r="FCQ38" s="562"/>
      <c r="FCR38" s="562"/>
      <c r="FCS38" s="562"/>
      <c r="FCT38" s="562"/>
      <c r="FCU38" s="562"/>
      <c r="FCV38" s="562"/>
      <c r="FCW38" s="562"/>
      <c r="FCX38" s="562"/>
      <c r="FCY38" s="562"/>
      <c r="FCZ38" s="562"/>
      <c r="FDA38" s="562"/>
      <c r="FDB38" s="562"/>
      <c r="FDC38" s="562"/>
      <c r="FDD38" s="562"/>
      <c r="FDE38" s="562"/>
      <c r="FDF38" s="562"/>
      <c r="FDG38" s="562"/>
      <c r="FDH38" s="562"/>
      <c r="FDI38" s="562"/>
      <c r="FDJ38" s="562"/>
      <c r="FDK38" s="562"/>
      <c r="FDL38" s="562"/>
      <c r="FDM38" s="562"/>
      <c r="FDN38" s="562"/>
      <c r="FDO38" s="562"/>
      <c r="FDP38" s="562"/>
      <c r="FDQ38" s="562"/>
      <c r="FDR38" s="562"/>
      <c r="FDS38" s="562"/>
      <c r="FDT38" s="562"/>
      <c r="FDU38" s="562"/>
      <c r="FDV38" s="562"/>
      <c r="FDW38" s="562"/>
      <c r="FDX38" s="562"/>
      <c r="FDY38" s="562"/>
      <c r="FDZ38" s="562"/>
      <c r="FEA38" s="562"/>
      <c r="FEB38" s="562"/>
      <c r="FEC38" s="562"/>
      <c r="FED38" s="562"/>
      <c r="FEE38" s="562"/>
      <c r="FEF38" s="562"/>
      <c r="FEG38" s="562"/>
      <c r="FEH38" s="562"/>
      <c r="FEI38" s="562"/>
      <c r="FEJ38" s="562"/>
      <c r="FEK38" s="562"/>
      <c r="FEL38" s="562"/>
      <c r="FEM38" s="562"/>
      <c r="FEN38" s="562"/>
      <c r="FEO38" s="562"/>
      <c r="FEP38" s="562"/>
      <c r="FEQ38" s="562"/>
      <c r="FER38" s="562"/>
      <c r="FES38" s="562"/>
      <c r="FET38" s="562"/>
      <c r="FEU38" s="562"/>
      <c r="FEV38" s="562"/>
      <c r="FEW38" s="562"/>
      <c r="FEX38" s="562"/>
      <c r="FEY38" s="562"/>
      <c r="FEZ38" s="562"/>
      <c r="FFA38" s="562"/>
      <c r="FFB38" s="562"/>
      <c r="FFC38" s="562"/>
      <c r="FFD38" s="562"/>
      <c r="FFE38" s="562"/>
      <c r="FFF38" s="562"/>
      <c r="FFG38" s="562"/>
      <c r="FFH38" s="562"/>
      <c r="FFI38" s="562"/>
      <c r="FFJ38" s="562"/>
      <c r="FFK38" s="562"/>
      <c r="FFL38" s="562"/>
      <c r="FFM38" s="562"/>
      <c r="FFN38" s="562"/>
      <c r="FFO38" s="562"/>
      <c r="FFP38" s="562"/>
      <c r="FFQ38" s="562"/>
      <c r="FFR38" s="562"/>
      <c r="FFS38" s="562"/>
      <c r="FFT38" s="562"/>
      <c r="FFU38" s="562"/>
      <c r="FFV38" s="562"/>
      <c r="FFW38" s="562"/>
      <c r="FFX38" s="562"/>
      <c r="FFY38" s="562"/>
      <c r="FFZ38" s="562"/>
      <c r="FGA38" s="562"/>
      <c r="FGB38" s="562"/>
      <c r="FGC38" s="562"/>
      <c r="FGD38" s="562"/>
      <c r="FGE38" s="562"/>
      <c r="FGF38" s="562"/>
      <c r="FGG38" s="562"/>
      <c r="FGH38" s="562"/>
      <c r="FGI38" s="562"/>
      <c r="FGJ38" s="562"/>
      <c r="FGK38" s="562"/>
      <c r="FGL38" s="562"/>
      <c r="FGM38" s="562"/>
      <c r="FGN38" s="562"/>
      <c r="FGO38" s="562"/>
      <c r="FGP38" s="562"/>
      <c r="FGQ38" s="562"/>
      <c r="FGR38" s="562"/>
      <c r="FGS38" s="562"/>
      <c r="FGT38" s="562"/>
      <c r="FGU38" s="562"/>
      <c r="FGV38" s="562"/>
      <c r="FGW38" s="562"/>
      <c r="FGX38" s="562"/>
      <c r="FGY38" s="562"/>
      <c r="FGZ38" s="562"/>
      <c r="FHA38" s="562"/>
      <c r="FHB38" s="562"/>
      <c r="FHC38" s="562"/>
      <c r="FHD38" s="562"/>
      <c r="FHE38" s="562"/>
      <c r="FHF38" s="562"/>
      <c r="FHG38" s="562"/>
      <c r="FHH38" s="562"/>
      <c r="FHI38" s="562"/>
      <c r="FHJ38" s="562"/>
      <c r="FHK38" s="562"/>
      <c r="FHL38" s="562"/>
      <c r="FHM38" s="562"/>
      <c r="FHN38" s="562"/>
      <c r="FHO38" s="562"/>
      <c r="FHP38" s="562"/>
      <c r="FHQ38" s="562"/>
      <c r="FHR38" s="562"/>
      <c r="FHS38" s="562"/>
      <c r="FHT38" s="562"/>
      <c r="FHU38" s="562"/>
      <c r="FHV38" s="562"/>
      <c r="FHW38" s="562"/>
      <c r="FHX38" s="562"/>
      <c r="FHY38" s="562"/>
      <c r="FHZ38" s="562"/>
      <c r="FIA38" s="562"/>
      <c r="FIB38" s="562"/>
      <c r="FIC38" s="562"/>
      <c r="FID38" s="562"/>
      <c r="FIE38" s="562"/>
      <c r="FIF38" s="562"/>
      <c r="FIG38" s="562"/>
      <c r="FIH38" s="562"/>
      <c r="FII38" s="562"/>
      <c r="FIJ38" s="562"/>
      <c r="FIK38" s="562"/>
      <c r="FIL38" s="562"/>
      <c r="FIM38" s="562"/>
      <c r="FIN38" s="562"/>
      <c r="FIO38" s="562"/>
      <c r="FIP38" s="562"/>
      <c r="FIQ38" s="562"/>
      <c r="FIR38" s="562"/>
      <c r="FIS38" s="562"/>
      <c r="FIT38" s="562"/>
      <c r="FIU38" s="562"/>
      <c r="FIV38" s="562"/>
      <c r="FIW38" s="562"/>
      <c r="FIX38" s="562"/>
      <c r="FIY38" s="562"/>
      <c r="FIZ38" s="562"/>
      <c r="FJA38" s="562"/>
      <c r="FJB38" s="562"/>
      <c r="FJC38" s="562"/>
      <c r="FJD38" s="562"/>
      <c r="FJE38" s="562"/>
      <c r="FJF38" s="562"/>
      <c r="FJG38" s="562"/>
      <c r="FJH38" s="562"/>
      <c r="FJI38" s="562"/>
      <c r="FJJ38" s="562"/>
      <c r="FJK38" s="562"/>
      <c r="FJL38" s="562"/>
      <c r="FJM38" s="562"/>
      <c r="FJN38" s="562"/>
      <c r="FJO38" s="562"/>
      <c r="FJP38" s="562"/>
      <c r="FJQ38" s="562"/>
      <c r="FJR38" s="562"/>
      <c r="FJS38" s="562"/>
      <c r="FJT38" s="562"/>
      <c r="FJU38" s="562"/>
      <c r="FJV38" s="562"/>
      <c r="FJW38" s="562"/>
      <c r="FJX38" s="562"/>
      <c r="FJY38" s="562"/>
      <c r="FJZ38" s="562"/>
      <c r="FKA38" s="562"/>
      <c r="FKB38" s="562"/>
      <c r="FKC38" s="562"/>
      <c r="FKD38" s="562"/>
      <c r="FKE38" s="562"/>
      <c r="FKF38" s="562"/>
      <c r="FKG38" s="562"/>
      <c r="FKH38" s="562"/>
      <c r="FKI38" s="562"/>
      <c r="FKJ38" s="562"/>
      <c r="FKK38" s="562"/>
      <c r="FKL38" s="562"/>
      <c r="FKM38" s="562"/>
      <c r="FKN38" s="562"/>
      <c r="FKO38" s="562"/>
      <c r="FKP38" s="562"/>
      <c r="FKQ38" s="562"/>
      <c r="FKR38" s="562"/>
      <c r="FKS38" s="562"/>
      <c r="FKT38" s="562"/>
      <c r="FKU38" s="562"/>
      <c r="FKV38" s="562"/>
      <c r="FKW38" s="562"/>
      <c r="FKX38" s="562"/>
      <c r="FKY38" s="562"/>
      <c r="FKZ38" s="562"/>
      <c r="FLA38" s="562"/>
      <c r="FLB38" s="562"/>
      <c r="FLC38" s="562"/>
      <c r="FLD38" s="562"/>
      <c r="FLE38" s="562"/>
      <c r="FLF38" s="562"/>
      <c r="FLG38" s="562"/>
      <c r="FLH38" s="562"/>
      <c r="FLI38" s="562"/>
      <c r="FLJ38" s="562"/>
      <c r="FLK38" s="562"/>
      <c r="FLL38" s="562"/>
      <c r="FLM38" s="562"/>
      <c r="FLN38" s="562"/>
      <c r="FLO38" s="562"/>
      <c r="FLP38" s="562"/>
      <c r="FLQ38" s="562"/>
      <c r="FLR38" s="562"/>
      <c r="FLS38" s="562"/>
      <c r="FLT38" s="562"/>
      <c r="FLU38" s="562"/>
      <c r="FLV38" s="562"/>
      <c r="FLW38" s="562"/>
      <c r="FLX38" s="562"/>
      <c r="FLY38" s="562"/>
      <c r="FLZ38" s="562"/>
      <c r="FMA38" s="562"/>
      <c r="FMB38" s="562"/>
      <c r="FMC38" s="562"/>
      <c r="FMD38" s="562"/>
      <c r="FME38" s="562"/>
      <c r="FMF38" s="562"/>
      <c r="FMG38" s="562"/>
      <c r="FMH38" s="562"/>
      <c r="FMI38" s="562"/>
      <c r="FMJ38" s="562"/>
      <c r="FMK38" s="562"/>
      <c r="FML38" s="562"/>
      <c r="FMM38" s="562"/>
      <c r="FMN38" s="562"/>
      <c r="FMO38" s="562"/>
      <c r="FMP38" s="562"/>
      <c r="FMQ38" s="562"/>
      <c r="FMR38" s="562"/>
      <c r="FMS38" s="562"/>
      <c r="FMT38" s="562"/>
      <c r="FMU38" s="562"/>
      <c r="FMV38" s="562"/>
      <c r="FMW38" s="562"/>
      <c r="FMX38" s="562"/>
      <c r="FMY38" s="562"/>
      <c r="FMZ38" s="562"/>
      <c r="FNA38" s="562"/>
      <c r="FNB38" s="562"/>
      <c r="FNC38" s="562"/>
      <c r="FND38" s="562"/>
      <c r="FNE38" s="562"/>
      <c r="FNF38" s="562"/>
      <c r="FNG38" s="562"/>
      <c r="FNH38" s="562"/>
      <c r="FNI38" s="562"/>
      <c r="FNJ38" s="562"/>
      <c r="FNK38" s="562"/>
      <c r="FNL38" s="562"/>
      <c r="FNM38" s="562"/>
      <c r="FNN38" s="562"/>
      <c r="FNO38" s="562"/>
      <c r="FNP38" s="562"/>
      <c r="FNQ38" s="562"/>
      <c r="FNR38" s="562"/>
      <c r="FNS38" s="562"/>
      <c r="FNT38" s="562"/>
      <c r="FNU38" s="562"/>
      <c r="FNV38" s="562"/>
      <c r="FNW38" s="562"/>
      <c r="FNX38" s="562"/>
      <c r="FNY38" s="562"/>
      <c r="FNZ38" s="562"/>
      <c r="FOA38" s="562"/>
      <c r="FOB38" s="562"/>
      <c r="FOC38" s="562"/>
      <c r="FOD38" s="562"/>
      <c r="FOE38" s="562"/>
      <c r="FOF38" s="562"/>
      <c r="FOG38" s="562"/>
      <c r="FOH38" s="562"/>
      <c r="FOI38" s="562"/>
      <c r="FOJ38" s="562"/>
      <c r="FOK38" s="562"/>
      <c r="FOL38" s="562"/>
      <c r="FOM38" s="562"/>
      <c r="FON38" s="562"/>
      <c r="FOO38" s="562"/>
      <c r="FOP38" s="562"/>
      <c r="FOQ38" s="562"/>
      <c r="FOR38" s="562"/>
      <c r="FOS38" s="562"/>
      <c r="FOT38" s="562"/>
      <c r="FOU38" s="562"/>
      <c r="FOV38" s="562"/>
      <c r="FOW38" s="562"/>
      <c r="FOX38" s="562"/>
      <c r="FOY38" s="562"/>
      <c r="FOZ38" s="562"/>
      <c r="FPA38" s="562"/>
      <c r="FPB38" s="562"/>
      <c r="FPC38" s="562"/>
      <c r="FPD38" s="562"/>
      <c r="FPE38" s="562"/>
      <c r="FPF38" s="562"/>
      <c r="FPG38" s="562"/>
      <c r="FPH38" s="562"/>
      <c r="FPI38" s="562"/>
      <c r="FPJ38" s="562"/>
      <c r="FPK38" s="562"/>
      <c r="FPL38" s="562"/>
      <c r="FPM38" s="562"/>
      <c r="FPN38" s="562"/>
      <c r="FPO38" s="562"/>
      <c r="FPP38" s="562"/>
      <c r="FPQ38" s="562"/>
      <c r="FPR38" s="562"/>
      <c r="FPS38" s="562"/>
      <c r="FPT38" s="562"/>
      <c r="FPU38" s="562"/>
      <c r="FPV38" s="562"/>
      <c r="FPW38" s="562"/>
      <c r="FPX38" s="562"/>
      <c r="FPY38" s="562"/>
      <c r="FPZ38" s="562"/>
      <c r="FQA38" s="562"/>
      <c r="FQB38" s="562"/>
      <c r="FQC38" s="562"/>
      <c r="FQD38" s="562"/>
      <c r="FQE38" s="562"/>
      <c r="FQF38" s="562"/>
      <c r="FQG38" s="562"/>
      <c r="FQH38" s="562"/>
      <c r="FQI38" s="562"/>
      <c r="FQJ38" s="562"/>
      <c r="FQK38" s="562"/>
      <c r="FQL38" s="562"/>
      <c r="FQM38" s="562"/>
      <c r="FQN38" s="562"/>
      <c r="FQO38" s="562"/>
      <c r="FQP38" s="562"/>
      <c r="FQQ38" s="562"/>
      <c r="FQR38" s="562"/>
      <c r="FQS38" s="562"/>
      <c r="FQT38" s="562"/>
      <c r="FQU38" s="562"/>
      <c r="FQV38" s="562"/>
      <c r="FQW38" s="562"/>
      <c r="FQX38" s="562"/>
      <c r="FQY38" s="562"/>
      <c r="FQZ38" s="562"/>
      <c r="FRA38" s="562"/>
      <c r="FRB38" s="562"/>
      <c r="FRC38" s="562"/>
      <c r="FRD38" s="562"/>
      <c r="FRE38" s="562"/>
      <c r="FRF38" s="562"/>
      <c r="FRG38" s="562"/>
      <c r="FRH38" s="562"/>
      <c r="FRI38" s="562"/>
      <c r="FRJ38" s="562"/>
      <c r="FRK38" s="562"/>
      <c r="FRL38" s="562"/>
      <c r="FRM38" s="562"/>
      <c r="FRN38" s="562"/>
      <c r="FRO38" s="562"/>
      <c r="FRP38" s="562"/>
      <c r="FRQ38" s="562"/>
      <c r="FRR38" s="562"/>
      <c r="FRS38" s="562"/>
      <c r="FRT38" s="562"/>
      <c r="FRU38" s="562"/>
      <c r="FRV38" s="562"/>
      <c r="FRW38" s="562"/>
      <c r="FRX38" s="562"/>
      <c r="FRY38" s="562"/>
      <c r="FRZ38" s="562"/>
      <c r="FSA38" s="562"/>
      <c r="FSB38" s="562"/>
      <c r="FSC38" s="562"/>
      <c r="FSD38" s="562"/>
      <c r="FSE38" s="562"/>
      <c r="FSF38" s="562"/>
      <c r="FSG38" s="562"/>
      <c r="FSH38" s="562"/>
      <c r="FSI38" s="562"/>
      <c r="FSJ38" s="562"/>
      <c r="FSK38" s="562"/>
      <c r="FSL38" s="562"/>
      <c r="FSM38" s="562"/>
      <c r="FSN38" s="562"/>
      <c r="FSO38" s="562"/>
      <c r="FSP38" s="562"/>
      <c r="FSQ38" s="562"/>
      <c r="FSR38" s="562"/>
      <c r="FSS38" s="562"/>
      <c r="FST38" s="562"/>
      <c r="FSU38" s="562"/>
      <c r="FSV38" s="562"/>
      <c r="FSW38" s="562"/>
      <c r="FSX38" s="562"/>
      <c r="FSY38" s="562"/>
      <c r="FSZ38" s="562"/>
      <c r="FTA38" s="562"/>
      <c r="FTB38" s="562"/>
      <c r="FTC38" s="562"/>
      <c r="FTD38" s="562"/>
      <c r="FTE38" s="562"/>
      <c r="FTF38" s="562"/>
      <c r="FTG38" s="562"/>
      <c r="FTH38" s="562"/>
      <c r="FTI38" s="562"/>
      <c r="FTJ38" s="562"/>
      <c r="FTK38" s="562"/>
      <c r="FTL38" s="562"/>
      <c r="FTM38" s="562"/>
      <c r="FTN38" s="562"/>
      <c r="FTO38" s="562"/>
      <c r="FTP38" s="562"/>
      <c r="FTQ38" s="562"/>
      <c r="FTR38" s="562"/>
      <c r="FTS38" s="562"/>
      <c r="FTT38" s="562"/>
      <c r="FTU38" s="562"/>
      <c r="FTV38" s="562"/>
      <c r="FTW38" s="562"/>
      <c r="FTX38" s="562"/>
      <c r="FTY38" s="562"/>
      <c r="FTZ38" s="562"/>
      <c r="FUA38" s="562"/>
      <c r="FUB38" s="562"/>
      <c r="FUC38" s="562"/>
      <c r="FUD38" s="562"/>
      <c r="FUE38" s="562"/>
      <c r="FUF38" s="562"/>
      <c r="FUG38" s="562"/>
      <c r="FUH38" s="562"/>
      <c r="FUI38" s="562"/>
      <c r="FUJ38" s="562"/>
      <c r="FUK38" s="562"/>
      <c r="FUL38" s="562"/>
      <c r="FUM38" s="562"/>
      <c r="FUN38" s="562"/>
      <c r="FUO38" s="562"/>
      <c r="FUP38" s="562"/>
      <c r="FUQ38" s="562"/>
      <c r="FUR38" s="562"/>
      <c r="FUS38" s="562"/>
      <c r="FUT38" s="562"/>
      <c r="FUU38" s="562"/>
      <c r="FUV38" s="562"/>
      <c r="FUW38" s="562"/>
      <c r="FUX38" s="562"/>
      <c r="FUY38" s="562"/>
      <c r="FUZ38" s="562"/>
      <c r="FVA38" s="562"/>
      <c r="FVB38" s="562"/>
      <c r="FVC38" s="562"/>
      <c r="FVD38" s="562"/>
      <c r="FVE38" s="562"/>
      <c r="FVF38" s="562"/>
      <c r="FVG38" s="562"/>
      <c r="FVH38" s="562"/>
      <c r="FVI38" s="562"/>
      <c r="FVJ38" s="562"/>
      <c r="FVK38" s="562"/>
      <c r="FVL38" s="562"/>
      <c r="FVM38" s="562"/>
      <c r="FVN38" s="562"/>
      <c r="FVO38" s="562"/>
      <c r="FVP38" s="562"/>
      <c r="FVQ38" s="562"/>
      <c r="FVR38" s="562"/>
      <c r="FVS38" s="562"/>
      <c r="FVT38" s="562"/>
      <c r="FVU38" s="562"/>
      <c r="FVV38" s="562"/>
      <c r="FVW38" s="562"/>
      <c r="FVX38" s="562"/>
      <c r="FVY38" s="562"/>
      <c r="FVZ38" s="562"/>
      <c r="FWA38" s="562"/>
      <c r="FWB38" s="562"/>
      <c r="FWC38" s="562"/>
      <c r="FWD38" s="562"/>
      <c r="FWE38" s="562"/>
      <c r="FWF38" s="562"/>
      <c r="FWG38" s="562"/>
      <c r="FWH38" s="562"/>
      <c r="FWI38" s="562"/>
      <c r="FWJ38" s="562"/>
      <c r="FWK38" s="562"/>
      <c r="FWL38" s="562"/>
      <c r="FWM38" s="562"/>
      <c r="FWN38" s="562"/>
      <c r="FWO38" s="562"/>
      <c r="FWP38" s="562"/>
      <c r="FWQ38" s="562"/>
      <c r="FWR38" s="562"/>
      <c r="FWS38" s="562"/>
      <c r="FWT38" s="562"/>
      <c r="FWU38" s="562"/>
      <c r="FWV38" s="562"/>
      <c r="FWW38" s="562"/>
      <c r="FWX38" s="562"/>
      <c r="FWY38" s="562"/>
      <c r="FWZ38" s="562"/>
      <c r="FXA38" s="562"/>
      <c r="FXB38" s="562"/>
      <c r="FXC38" s="562"/>
      <c r="FXD38" s="562"/>
      <c r="FXE38" s="562"/>
      <c r="FXF38" s="562"/>
      <c r="FXG38" s="562"/>
      <c r="FXH38" s="562"/>
      <c r="FXI38" s="562"/>
      <c r="FXJ38" s="562"/>
      <c r="FXK38" s="562"/>
      <c r="FXL38" s="562"/>
      <c r="FXM38" s="562"/>
      <c r="FXN38" s="562"/>
      <c r="FXO38" s="562"/>
      <c r="FXP38" s="562"/>
      <c r="FXQ38" s="562"/>
      <c r="FXR38" s="562"/>
      <c r="FXS38" s="562"/>
      <c r="FXT38" s="562"/>
      <c r="FXU38" s="562"/>
      <c r="FXV38" s="562"/>
      <c r="FXW38" s="562"/>
      <c r="FXX38" s="562"/>
      <c r="FXY38" s="562"/>
      <c r="FXZ38" s="562"/>
      <c r="FYA38" s="562"/>
      <c r="FYB38" s="562"/>
      <c r="FYC38" s="562"/>
      <c r="FYD38" s="562"/>
      <c r="FYE38" s="562"/>
      <c r="FYF38" s="562"/>
      <c r="FYG38" s="562"/>
      <c r="FYH38" s="562"/>
      <c r="FYI38" s="562"/>
      <c r="FYJ38" s="562"/>
      <c r="FYK38" s="562"/>
      <c r="FYL38" s="562"/>
      <c r="FYM38" s="562"/>
      <c r="FYN38" s="562"/>
      <c r="FYO38" s="562"/>
      <c r="FYP38" s="562"/>
      <c r="FYQ38" s="562"/>
      <c r="FYR38" s="562"/>
      <c r="FYS38" s="562"/>
      <c r="FYT38" s="562"/>
      <c r="FYU38" s="562"/>
      <c r="FYV38" s="562"/>
      <c r="FYW38" s="562"/>
      <c r="FYX38" s="562"/>
      <c r="FYY38" s="562"/>
      <c r="FYZ38" s="562"/>
      <c r="FZA38" s="562"/>
      <c r="FZB38" s="562"/>
      <c r="FZC38" s="562"/>
      <c r="FZD38" s="562"/>
      <c r="FZE38" s="562"/>
      <c r="FZF38" s="562"/>
      <c r="FZG38" s="562"/>
      <c r="FZH38" s="562"/>
      <c r="FZI38" s="562"/>
      <c r="FZJ38" s="562"/>
      <c r="FZK38" s="562"/>
      <c r="FZL38" s="562"/>
      <c r="FZM38" s="562"/>
      <c r="FZN38" s="562"/>
      <c r="FZO38" s="562"/>
      <c r="FZP38" s="562"/>
      <c r="FZQ38" s="562"/>
      <c r="FZR38" s="562"/>
      <c r="FZS38" s="562"/>
      <c r="FZT38" s="562"/>
      <c r="FZU38" s="562"/>
      <c r="FZV38" s="562"/>
      <c r="FZW38" s="562"/>
      <c r="FZX38" s="562"/>
      <c r="FZY38" s="562"/>
      <c r="FZZ38" s="562"/>
      <c r="GAA38" s="562"/>
      <c r="GAB38" s="562"/>
      <c r="GAC38" s="562"/>
      <c r="GAD38" s="562"/>
      <c r="GAE38" s="562"/>
      <c r="GAF38" s="562"/>
      <c r="GAG38" s="562"/>
      <c r="GAH38" s="562"/>
      <c r="GAI38" s="562"/>
      <c r="GAJ38" s="562"/>
      <c r="GAK38" s="562"/>
      <c r="GAL38" s="562"/>
      <c r="GAM38" s="562"/>
      <c r="GAN38" s="562"/>
      <c r="GAO38" s="562"/>
      <c r="GAP38" s="562"/>
      <c r="GAQ38" s="562"/>
      <c r="GAR38" s="562"/>
      <c r="GAS38" s="562"/>
      <c r="GAT38" s="562"/>
      <c r="GAU38" s="562"/>
      <c r="GAV38" s="562"/>
      <c r="GAW38" s="562"/>
      <c r="GAX38" s="562"/>
      <c r="GAY38" s="562"/>
      <c r="GAZ38" s="562"/>
      <c r="GBA38" s="562"/>
      <c r="GBB38" s="562"/>
      <c r="GBC38" s="562"/>
      <c r="GBD38" s="562"/>
      <c r="GBE38" s="562"/>
      <c r="GBF38" s="562"/>
      <c r="GBG38" s="562"/>
      <c r="GBH38" s="562"/>
      <c r="GBI38" s="562"/>
      <c r="GBJ38" s="562"/>
      <c r="GBK38" s="562"/>
      <c r="GBL38" s="562"/>
      <c r="GBM38" s="562"/>
      <c r="GBN38" s="562"/>
      <c r="GBO38" s="562"/>
      <c r="GBP38" s="562"/>
      <c r="GBQ38" s="562"/>
      <c r="GBR38" s="562"/>
      <c r="GBS38" s="562"/>
      <c r="GBT38" s="562"/>
      <c r="GBU38" s="562"/>
      <c r="GBV38" s="562"/>
      <c r="GBW38" s="562"/>
      <c r="GBX38" s="562"/>
      <c r="GBY38" s="562"/>
      <c r="GBZ38" s="562"/>
      <c r="GCA38" s="562"/>
      <c r="GCB38" s="562"/>
      <c r="GCC38" s="562"/>
      <c r="GCD38" s="562"/>
      <c r="GCE38" s="562"/>
      <c r="GCF38" s="562"/>
      <c r="GCG38" s="562"/>
      <c r="GCH38" s="562"/>
      <c r="GCI38" s="562"/>
      <c r="GCJ38" s="562"/>
      <c r="GCK38" s="562"/>
      <c r="GCL38" s="562"/>
      <c r="GCM38" s="562"/>
      <c r="GCN38" s="562"/>
      <c r="GCO38" s="562"/>
      <c r="GCP38" s="562"/>
      <c r="GCQ38" s="562"/>
      <c r="GCR38" s="562"/>
      <c r="GCS38" s="562"/>
      <c r="GCT38" s="562"/>
      <c r="GCU38" s="562"/>
      <c r="GCV38" s="562"/>
      <c r="GCW38" s="562"/>
      <c r="GCX38" s="562"/>
      <c r="GCY38" s="562"/>
      <c r="GCZ38" s="562"/>
      <c r="GDA38" s="562"/>
      <c r="GDB38" s="562"/>
      <c r="GDC38" s="562"/>
      <c r="GDD38" s="562"/>
      <c r="GDE38" s="562"/>
      <c r="GDF38" s="562"/>
      <c r="GDG38" s="562"/>
      <c r="GDH38" s="562"/>
      <c r="GDI38" s="562"/>
      <c r="GDJ38" s="562"/>
      <c r="GDK38" s="562"/>
      <c r="GDL38" s="562"/>
      <c r="GDM38" s="562"/>
      <c r="GDN38" s="562"/>
      <c r="GDO38" s="562"/>
      <c r="GDP38" s="562"/>
      <c r="GDQ38" s="562"/>
      <c r="GDR38" s="562"/>
      <c r="GDS38" s="562"/>
      <c r="GDT38" s="562"/>
      <c r="GDU38" s="562"/>
      <c r="GDV38" s="562"/>
      <c r="GDW38" s="562"/>
      <c r="GDX38" s="562"/>
      <c r="GDY38" s="562"/>
      <c r="GDZ38" s="562"/>
      <c r="GEA38" s="562"/>
      <c r="GEB38" s="562"/>
      <c r="GEC38" s="562"/>
      <c r="GED38" s="562"/>
      <c r="GEE38" s="562"/>
      <c r="GEF38" s="562"/>
      <c r="GEG38" s="562"/>
      <c r="GEH38" s="562"/>
      <c r="GEI38" s="562"/>
      <c r="GEJ38" s="562"/>
      <c r="GEK38" s="562"/>
      <c r="GEL38" s="562"/>
      <c r="GEM38" s="562"/>
      <c r="GEN38" s="562"/>
      <c r="GEO38" s="562"/>
      <c r="GEP38" s="562"/>
      <c r="GEQ38" s="562"/>
      <c r="GER38" s="562"/>
      <c r="GES38" s="562"/>
      <c r="GET38" s="562"/>
      <c r="GEU38" s="562"/>
      <c r="GEV38" s="562"/>
      <c r="GEW38" s="562"/>
      <c r="GEX38" s="562"/>
      <c r="GEY38" s="562"/>
      <c r="GEZ38" s="562"/>
      <c r="GFA38" s="562"/>
      <c r="GFB38" s="562"/>
      <c r="GFC38" s="562"/>
      <c r="GFD38" s="562"/>
      <c r="GFE38" s="562"/>
      <c r="GFF38" s="562"/>
      <c r="GFG38" s="562"/>
      <c r="GFH38" s="562"/>
      <c r="GFI38" s="562"/>
      <c r="GFJ38" s="562"/>
      <c r="GFK38" s="562"/>
      <c r="GFL38" s="562"/>
      <c r="GFM38" s="562"/>
      <c r="GFN38" s="562"/>
      <c r="GFO38" s="562"/>
      <c r="GFP38" s="562"/>
      <c r="GFQ38" s="562"/>
      <c r="GFR38" s="562"/>
      <c r="GFS38" s="562"/>
      <c r="GFT38" s="562"/>
      <c r="GFU38" s="562"/>
      <c r="GFV38" s="562"/>
      <c r="GFW38" s="562"/>
      <c r="GFX38" s="562"/>
      <c r="GFY38" s="562"/>
      <c r="GFZ38" s="562"/>
      <c r="GGA38" s="562"/>
      <c r="GGB38" s="562"/>
      <c r="GGC38" s="562"/>
      <c r="GGD38" s="562"/>
      <c r="GGE38" s="562"/>
      <c r="GGF38" s="562"/>
      <c r="GGG38" s="562"/>
      <c r="GGH38" s="562"/>
      <c r="GGI38" s="562"/>
      <c r="GGJ38" s="562"/>
      <c r="GGK38" s="562"/>
      <c r="GGL38" s="562"/>
      <c r="GGM38" s="562"/>
      <c r="GGN38" s="562"/>
      <c r="GGO38" s="562"/>
      <c r="GGP38" s="562"/>
      <c r="GGQ38" s="562"/>
      <c r="GGR38" s="562"/>
      <c r="GGS38" s="562"/>
      <c r="GGT38" s="562"/>
      <c r="GGU38" s="562"/>
      <c r="GGV38" s="562"/>
      <c r="GGW38" s="562"/>
      <c r="GGX38" s="562"/>
      <c r="GGY38" s="562"/>
      <c r="GGZ38" s="562"/>
      <c r="GHA38" s="562"/>
      <c r="GHB38" s="562"/>
      <c r="GHC38" s="562"/>
      <c r="GHD38" s="562"/>
      <c r="GHE38" s="562"/>
      <c r="GHF38" s="562"/>
      <c r="GHG38" s="562"/>
      <c r="GHH38" s="562"/>
      <c r="GHI38" s="562"/>
      <c r="GHJ38" s="562"/>
      <c r="GHK38" s="562"/>
      <c r="GHL38" s="562"/>
      <c r="GHM38" s="562"/>
      <c r="GHN38" s="562"/>
      <c r="GHO38" s="562"/>
      <c r="GHP38" s="562"/>
      <c r="GHQ38" s="562"/>
      <c r="GHR38" s="562"/>
      <c r="GHS38" s="562"/>
      <c r="GHT38" s="562"/>
      <c r="GHU38" s="562"/>
      <c r="GHV38" s="562"/>
      <c r="GHW38" s="562"/>
      <c r="GHX38" s="562"/>
      <c r="GHY38" s="562"/>
      <c r="GHZ38" s="562"/>
      <c r="GIA38" s="562"/>
      <c r="GIB38" s="562"/>
      <c r="GIC38" s="562"/>
      <c r="GID38" s="562"/>
      <c r="GIE38" s="562"/>
      <c r="GIF38" s="562"/>
      <c r="GIG38" s="562"/>
      <c r="GIH38" s="562"/>
      <c r="GII38" s="562"/>
      <c r="GIJ38" s="562"/>
      <c r="GIK38" s="562"/>
      <c r="GIL38" s="562"/>
      <c r="GIM38" s="562"/>
      <c r="GIN38" s="562"/>
      <c r="GIO38" s="562"/>
      <c r="GIP38" s="562"/>
      <c r="GIQ38" s="562"/>
      <c r="GIR38" s="562"/>
      <c r="GIS38" s="562"/>
      <c r="GIT38" s="562"/>
      <c r="GIU38" s="562"/>
      <c r="GIV38" s="562"/>
      <c r="GIW38" s="562"/>
      <c r="GIX38" s="562"/>
      <c r="GIY38" s="562"/>
      <c r="GIZ38" s="562"/>
      <c r="GJA38" s="562"/>
      <c r="GJB38" s="562"/>
      <c r="GJC38" s="562"/>
      <c r="GJD38" s="562"/>
      <c r="GJE38" s="562"/>
      <c r="GJF38" s="562"/>
      <c r="GJG38" s="562"/>
      <c r="GJH38" s="562"/>
      <c r="GJI38" s="562"/>
      <c r="GJJ38" s="562"/>
      <c r="GJK38" s="562"/>
      <c r="GJL38" s="562"/>
      <c r="GJM38" s="562"/>
      <c r="GJN38" s="562"/>
      <c r="GJO38" s="562"/>
      <c r="GJP38" s="562"/>
      <c r="GJQ38" s="562"/>
      <c r="GJR38" s="562"/>
      <c r="GJS38" s="562"/>
      <c r="GJT38" s="562"/>
      <c r="GJU38" s="562"/>
      <c r="GJV38" s="562"/>
      <c r="GJW38" s="562"/>
      <c r="GJX38" s="562"/>
      <c r="GJY38" s="562"/>
      <c r="GJZ38" s="562"/>
      <c r="GKA38" s="562"/>
      <c r="GKB38" s="562"/>
      <c r="GKC38" s="562"/>
      <c r="GKD38" s="562"/>
      <c r="GKE38" s="562"/>
      <c r="GKF38" s="562"/>
      <c r="GKG38" s="562"/>
      <c r="GKH38" s="562"/>
      <c r="GKI38" s="562"/>
      <c r="GKJ38" s="562"/>
      <c r="GKK38" s="562"/>
      <c r="GKL38" s="562"/>
      <c r="GKM38" s="562"/>
      <c r="GKN38" s="562"/>
      <c r="GKO38" s="562"/>
      <c r="GKP38" s="562"/>
      <c r="GKQ38" s="562"/>
      <c r="GKR38" s="562"/>
      <c r="GKS38" s="562"/>
      <c r="GKT38" s="562"/>
      <c r="GKU38" s="562"/>
      <c r="GKV38" s="562"/>
      <c r="GKW38" s="562"/>
      <c r="GKX38" s="562"/>
      <c r="GKY38" s="562"/>
      <c r="GKZ38" s="562"/>
      <c r="GLA38" s="562"/>
      <c r="GLB38" s="562"/>
      <c r="GLC38" s="562"/>
      <c r="GLD38" s="562"/>
      <c r="GLE38" s="562"/>
      <c r="GLF38" s="562"/>
      <c r="GLG38" s="562"/>
      <c r="GLH38" s="562"/>
      <c r="GLI38" s="562"/>
      <c r="GLJ38" s="562"/>
      <c r="GLK38" s="562"/>
      <c r="GLL38" s="562"/>
      <c r="GLM38" s="562"/>
      <c r="GLN38" s="562"/>
      <c r="GLO38" s="562"/>
      <c r="GLP38" s="562"/>
      <c r="GLQ38" s="562"/>
      <c r="GLR38" s="562"/>
      <c r="GLS38" s="562"/>
      <c r="GLT38" s="562"/>
      <c r="GLU38" s="562"/>
      <c r="GLV38" s="562"/>
      <c r="GLW38" s="562"/>
      <c r="GLX38" s="562"/>
      <c r="GLY38" s="562"/>
      <c r="GLZ38" s="562"/>
      <c r="GMA38" s="562"/>
      <c r="GMB38" s="562"/>
      <c r="GMC38" s="562"/>
      <c r="GMD38" s="562"/>
      <c r="GME38" s="562"/>
      <c r="GMF38" s="562"/>
      <c r="GMG38" s="562"/>
      <c r="GMH38" s="562"/>
      <c r="GMI38" s="562"/>
      <c r="GMJ38" s="562"/>
      <c r="GMK38" s="562"/>
      <c r="GML38" s="562"/>
      <c r="GMM38" s="562"/>
      <c r="GMN38" s="562"/>
      <c r="GMO38" s="562"/>
      <c r="GMP38" s="562"/>
      <c r="GMQ38" s="562"/>
      <c r="GMR38" s="562"/>
      <c r="GMS38" s="562"/>
      <c r="GMT38" s="562"/>
      <c r="GMU38" s="562"/>
      <c r="GMV38" s="562"/>
      <c r="GMW38" s="562"/>
      <c r="GMX38" s="562"/>
      <c r="GMY38" s="562"/>
      <c r="GMZ38" s="562"/>
      <c r="GNA38" s="562"/>
      <c r="GNB38" s="562"/>
      <c r="GNC38" s="562"/>
      <c r="GND38" s="562"/>
      <c r="GNE38" s="562"/>
      <c r="GNF38" s="562"/>
      <c r="GNG38" s="562"/>
      <c r="GNH38" s="562"/>
      <c r="GNI38" s="562"/>
      <c r="GNJ38" s="562"/>
      <c r="GNK38" s="562"/>
      <c r="GNL38" s="562"/>
      <c r="GNM38" s="562"/>
      <c r="GNN38" s="562"/>
      <c r="GNO38" s="562"/>
      <c r="GNP38" s="562"/>
      <c r="GNQ38" s="562"/>
      <c r="GNR38" s="562"/>
      <c r="GNS38" s="562"/>
      <c r="GNT38" s="562"/>
      <c r="GNU38" s="562"/>
      <c r="GNV38" s="562"/>
      <c r="GNW38" s="562"/>
      <c r="GNX38" s="562"/>
      <c r="GNY38" s="562"/>
      <c r="GNZ38" s="562"/>
      <c r="GOA38" s="562"/>
      <c r="GOB38" s="562"/>
      <c r="GOC38" s="562"/>
      <c r="GOD38" s="562"/>
      <c r="GOE38" s="562"/>
      <c r="GOF38" s="562"/>
      <c r="GOG38" s="562"/>
      <c r="GOH38" s="562"/>
      <c r="GOI38" s="562"/>
      <c r="GOJ38" s="562"/>
      <c r="GOK38" s="562"/>
      <c r="GOL38" s="562"/>
      <c r="GOM38" s="562"/>
      <c r="GON38" s="562"/>
      <c r="GOO38" s="562"/>
      <c r="GOP38" s="562"/>
      <c r="GOQ38" s="562"/>
      <c r="GOR38" s="562"/>
      <c r="GOS38" s="562"/>
      <c r="GOT38" s="562"/>
      <c r="GOU38" s="562"/>
      <c r="GOV38" s="562"/>
      <c r="GOW38" s="562"/>
      <c r="GOX38" s="562"/>
      <c r="GOY38" s="562"/>
      <c r="GOZ38" s="562"/>
      <c r="GPA38" s="562"/>
      <c r="GPB38" s="562"/>
      <c r="GPC38" s="562"/>
      <c r="GPD38" s="562"/>
      <c r="GPE38" s="562"/>
      <c r="GPF38" s="562"/>
      <c r="GPG38" s="562"/>
      <c r="GPH38" s="562"/>
      <c r="GPI38" s="562"/>
      <c r="GPJ38" s="562"/>
      <c r="GPK38" s="562"/>
      <c r="GPL38" s="562"/>
      <c r="GPM38" s="562"/>
      <c r="GPN38" s="562"/>
      <c r="GPO38" s="562"/>
      <c r="GPP38" s="562"/>
      <c r="GPQ38" s="562"/>
      <c r="GPR38" s="562"/>
      <c r="GPS38" s="562"/>
      <c r="GPT38" s="562"/>
      <c r="GPU38" s="562"/>
      <c r="GPV38" s="562"/>
      <c r="GPW38" s="562"/>
      <c r="GPX38" s="562"/>
      <c r="GPY38" s="562"/>
      <c r="GPZ38" s="562"/>
      <c r="GQA38" s="562"/>
      <c r="GQB38" s="562"/>
      <c r="GQC38" s="562"/>
      <c r="GQD38" s="562"/>
      <c r="GQE38" s="562"/>
      <c r="GQF38" s="562"/>
      <c r="GQG38" s="562"/>
      <c r="GQH38" s="562"/>
      <c r="GQI38" s="562"/>
      <c r="GQJ38" s="562"/>
      <c r="GQK38" s="562"/>
      <c r="GQL38" s="562"/>
      <c r="GQM38" s="562"/>
      <c r="GQN38" s="562"/>
      <c r="GQO38" s="562"/>
      <c r="GQP38" s="562"/>
      <c r="GQQ38" s="562"/>
      <c r="GQR38" s="562"/>
      <c r="GQS38" s="562"/>
      <c r="GQT38" s="562"/>
      <c r="GQU38" s="562"/>
      <c r="GQV38" s="562"/>
      <c r="GQW38" s="562"/>
      <c r="GQX38" s="562"/>
      <c r="GQY38" s="562"/>
      <c r="GQZ38" s="562"/>
      <c r="GRA38" s="562"/>
      <c r="GRB38" s="562"/>
      <c r="GRC38" s="562"/>
      <c r="GRD38" s="562"/>
      <c r="GRE38" s="562"/>
      <c r="GRF38" s="562"/>
      <c r="GRG38" s="562"/>
      <c r="GRH38" s="562"/>
      <c r="GRI38" s="562"/>
      <c r="GRJ38" s="562"/>
      <c r="GRK38" s="562"/>
      <c r="GRL38" s="562"/>
      <c r="GRM38" s="562"/>
      <c r="GRN38" s="562"/>
      <c r="GRO38" s="562"/>
      <c r="GRP38" s="562"/>
      <c r="GRQ38" s="562"/>
      <c r="GRR38" s="562"/>
      <c r="GRS38" s="562"/>
      <c r="GRT38" s="562"/>
      <c r="GRU38" s="562"/>
      <c r="GRV38" s="562"/>
      <c r="GRW38" s="562"/>
      <c r="GRX38" s="562"/>
      <c r="GRY38" s="562"/>
      <c r="GRZ38" s="562"/>
      <c r="GSA38" s="562"/>
      <c r="GSB38" s="562"/>
      <c r="GSC38" s="562"/>
      <c r="GSD38" s="562"/>
      <c r="GSE38" s="562"/>
      <c r="GSF38" s="562"/>
      <c r="GSG38" s="562"/>
      <c r="GSH38" s="562"/>
      <c r="GSI38" s="562"/>
      <c r="GSJ38" s="562"/>
      <c r="GSK38" s="562"/>
      <c r="GSL38" s="562"/>
      <c r="GSM38" s="562"/>
      <c r="GSN38" s="562"/>
      <c r="GSO38" s="562"/>
      <c r="GSP38" s="562"/>
      <c r="GSQ38" s="562"/>
      <c r="GSR38" s="562"/>
      <c r="GSS38" s="562"/>
      <c r="GST38" s="562"/>
      <c r="GSU38" s="562"/>
      <c r="GSV38" s="562"/>
      <c r="GSW38" s="562"/>
      <c r="GSX38" s="562"/>
      <c r="GSY38" s="562"/>
      <c r="GSZ38" s="562"/>
      <c r="GTA38" s="562"/>
      <c r="GTB38" s="562"/>
      <c r="GTC38" s="562"/>
      <c r="GTD38" s="562"/>
      <c r="GTE38" s="562"/>
      <c r="GTF38" s="562"/>
      <c r="GTG38" s="562"/>
      <c r="GTH38" s="562"/>
      <c r="GTI38" s="562"/>
      <c r="GTJ38" s="562"/>
      <c r="GTK38" s="562"/>
      <c r="GTL38" s="562"/>
      <c r="GTM38" s="562"/>
      <c r="GTN38" s="562"/>
      <c r="GTO38" s="562"/>
      <c r="GTP38" s="562"/>
      <c r="GTQ38" s="562"/>
      <c r="GTR38" s="562"/>
      <c r="GTS38" s="562"/>
      <c r="GTT38" s="562"/>
      <c r="GTU38" s="562"/>
      <c r="GTV38" s="562"/>
      <c r="GTW38" s="562"/>
      <c r="GTX38" s="562"/>
      <c r="GTY38" s="562"/>
      <c r="GTZ38" s="562"/>
      <c r="GUA38" s="562"/>
      <c r="GUB38" s="562"/>
      <c r="GUC38" s="562"/>
      <c r="GUD38" s="562"/>
      <c r="GUE38" s="562"/>
      <c r="GUF38" s="562"/>
      <c r="GUG38" s="562"/>
      <c r="GUH38" s="562"/>
      <c r="GUI38" s="562"/>
      <c r="GUJ38" s="562"/>
      <c r="GUK38" s="562"/>
      <c r="GUL38" s="562"/>
      <c r="GUM38" s="562"/>
      <c r="GUN38" s="562"/>
      <c r="GUO38" s="562"/>
      <c r="GUP38" s="562"/>
      <c r="GUQ38" s="562"/>
      <c r="GUR38" s="562"/>
      <c r="GUS38" s="562"/>
      <c r="GUT38" s="562"/>
      <c r="GUU38" s="562"/>
      <c r="GUV38" s="562"/>
      <c r="GUW38" s="562"/>
      <c r="GUX38" s="562"/>
      <c r="GUY38" s="562"/>
      <c r="GUZ38" s="562"/>
      <c r="GVA38" s="562"/>
      <c r="GVB38" s="562"/>
      <c r="GVC38" s="562"/>
      <c r="GVD38" s="562"/>
      <c r="GVE38" s="562"/>
      <c r="GVF38" s="562"/>
      <c r="GVG38" s="562"/>
      <c r="GVH38" s="562"/>
      <c r="GVI38" s="562"/>
      <c r="GVJ38" s="562"/>
      <c r="GVK38" s="562"/>
      <c r="GVL38" s="562"/>
      <c r="GVM38" s="562"/>
      <c r="GVN38" s="562"/>
      <c r="GVO38" s="562"/>
      <c r="GVP38" s="562"/>
      <c r="GVQ38" s="562"/>
      <c r="GVR38" s="562"/>
      <c r="GVS38" s="562"/>
      <c r="GVT38" s="562"/>
      <c r="GVU38" s="562"/>
      <c r="GVV38" s="562"/>
      <c r="GVW38" s="562"/>
      <c r="GVX38" s="562"/>
      <c r="GVY38" s="562"/>
      <c r="GVZ38" s="562"/>
      <c r="GWA38" s="562"/>
      <c r="GWB38" s="562"/>
      <c r="GWC38" s="562"/>
      <c r="GWD38" s="562"/>
      <c r="GWE38" s="562"/>
      <c r="GWF38" s="562"/>
      <c r="GWG38" s="562"/>
      <c r="GWH38" s="562"/>
      <c r="GWI38" s="562"/>
      <c r="GWJ38" s="562"/>
      <c r="GWK38" s="562"/>
      <c r="GWL38" s="562"/>
      <c r="GWM38" s="562"/>
      <c r="GWN38" s="562"/>
      <c r="GWO38" s="562"/>
      <c r="GWP38" s="562"/>
      <c r="GWQ38" s="562"/>
      <c r="GWR38" s="562"/>
      <c r="GWS38" s="562"/>
      <c r="GWT38" s="562"/>
      <c r="GWU38" s="562"/>
      <c r="GWV38" s="562"/>
      <c r="GWW38" s="562"/>
      <c r="GWX38" s="562"/>
      <c r="GWY38" s="562"/>
      <c r="GWZ38" s="562"/>
      <c r="GXA38" s="562"/>
      <c r="GXB38" s="562"/>
      <c r="GXC38" s="562"/>
      <c r="GXD38" s="562"/>
      <c r="GXE38" s="562"/>
      <c r="GXF38" s="562"/>
      <c r="GXG38" s="562"/>
      <c r="GXH38" s="562"/>
      <c r="GXI38" s="562"/>
      <c r="GXJ38" s="562"/>
      <c r="GXK38" s="562"/>
      <c r="GXL38" s="562"/>
      <c r="GXM38" s="562"/>
      <c r="GXN38" s="562"/>
      <c r="GXO38" s="562"/>
      <c r="GXP38" s="562"/>
      <c r="GXQ38" s="562"/>
      <c r="GXR38" s="562"/>
      <c r="GXS38" s="562"/>
      <c r="GXT38" s="562"/>
      <c r="GXU38" s="562"/>
      <c r="GXV38" s="562"/>
      <c r="GXW38" s="562"/>
      <c r="GXX38" s="562"/>
      <c r="GXY38" s="562"/>
      <c r="GXZ38" s="562"/>
      <c r="GYA38" s="562"/>
      <c r="GYB38" s="562"/>
      <c r="GYC38" s="562"/>
      <c r="GYD38" s="562"/>
      <c r="GYE38" s="562"/>
      <c r="GYF38" s="562"/>
      <c r="GYG38" s="562"/>
      <c r="GYH38" s="562"/>
      <c r="GYI38" s="562"/>
      <c r="GYJ38" s="562"/>
      <c r="GYK38" s="562"/>
      <c r="GYL38" s="562"/>
      <c r="GYM38" s="562"/>
      <c r="GYN38" s="562"/>
      <c r="GYO38" s="562"/>
      <c r="GYP38" s="562"/>
      <c r="GYQ38" s="562"/>
      <c r="GYR38" s="562"/>
      <c r="GYS38" s="562"/>
      <c r="GYT38" s="562"/>
      <c r="GYU38" s="562"/>
      <c r="GYV38" s="562"/>
      <c r="GYW38" s="562"/>
      <c r="GYX38" s="562"/>
      <c r="GYY38" s="562"/>
      <c r="GYZ38" s="562"/>
      <c r="GZA38" s="562"/>
      <c r="GZB38" s="562"/>
      <c r="GZC38" s="562"/>
      <c r="GZD38" s="562"/>
      <c r="GZE38" s="562"/>
      <c r="GZF38" s="562"/>
      <c r="GZG38" s="562"/>
      <c r="GZH38" s="562"/>
      <c r="GZI38" s="562"/>
      <c r="GZJ38" s="562"/>
      <c r="GZK38" s="562"/>
      <c r="GZL38" s="562"/>
      <c r="GZM38" s="562"/>
      <c r="GZN38" s="562"/>
      <c r="GZO38" s="562"/>
      <c r="GZP38" s="562"/>
      <c r="GZQ38" s="562"/>
      <c r="GZR38" s="562"/>
      <c r="GZS38" s="562"/>
      <c r="GZT38" s="562"/>
      <c r="GZU38" s="562"/>
      <c r="GZV38" s="562"/>
      <c r="GZW38" s="562"/>
      <c r="GZX38" s="562"/>
      <c r="GZY38" s="562"/>
      <c r="GZZ38" s="562"/>
      <c r="HAA38" s="562"/>
      <c r="HAB38" s="562"/>
      <c r="HAC38" s="562"/>
      <c r="HAD38" s="562"/>
      <c r="HAE38" s="562"/>
      <c r="HAF38" s="562"/>
      <c r="HAG38" s="562"/>
      <c r="HAH38" s="562"/>
      <c r="HAI38" s="562"/>
      <c r="HAJ38" s="562"/>
      <c r="HAK38" s="562"/>
      <c r="HAL38" s="562"/>
      <c r="HAM38" s="562"/>
      <c r="HAN38" s="562"/>
      <c r="HAO38" s="562"/>
      <c r="HAP38" s="562"/>
      <c r="HAQ38" s="562"/>
      <c r="HAR38" s="562"/>
      <c r="HAS38" s="562"/>
      <c r="HAT38" s="562"/>
      <c r="HAU38" s="562"/>
      <c r="HAV38" s="562"/>
      <c r="HAW38" s="562"/>
      <c r="HAX38" s="562"/>
      <c r="HAY38" s="562"/>
      <c r="HAZ38" s="562"/>
      <c r="HBA38" s="562"/>
      <c r="HBB38" s="562"/>
      <c r="HBC38" s="562"/>
      <c r="HBD38" s="562"/>
      <c r="HBE38" s="562"/>
      <c r="HBF38" s="562"/>
      <c r="HBG38" s="562"/>
      <c r="HBH38" s="562"/>
      <c r="HBI38" s="562"/>
      <c r="HBJ38" s="562"/>
      <c r="HBK38" s="562"/>
      <c r="HBL38" s="562"/>
      <c r="HBM38" s="562"/>
      <c r="HBN38" s="562"/>
      <c r="HBO38" s="562"/>
      <c r="HBP38" s="562"/>
      <c r="HBQ38" s="562"/>
      <c r="HBR38" s="562"/>
      <c r="HBS38" s="562"/>
      <c r="HBT38" s="562"/>
      <c r="HBU38" s="562"/>
      <c r="HBV38" s="562"/>
      <c r="HBW38" s="562"/>
      <c r="HBX38" s="562"/>
      <c r="HBY38" s="562"/>
      <c r="HBZ38" s="562"/>
      <c r="HCA38" s="562"/>
      <c r="HCB38" s="562"/>
      <c r="HCC38" s="562"/>
      <c r="HCD38" s="562"/>
      <c r="HCE38" s="562"/>
      <c r="HCF38" s="562"/>
      <c r="HCG38" s="562"/>
      <c r="HCH38" s="562"/>
      <c r="HCI38" s="562"/>
      <c r="HCJ38" s="562"/>
      <c r="HCK38" s="562"/>
      <c r="HCL38" s="562"/>
      <c r="HCM38" s="562"/>
      <c r="HCN38" s="562"/>
      <c r="HCO38" s="562"/>
      <c r="HCP38" s="562"/>
      <c r="HCQ38" s="562"/>
      <c r="HCR38" s="562"/>
      <c r="HCS38" s="562"/>
      <c r="HCT38" s="562"/>
      <c r="HCU38" s="562"/>
      <c r="HCV38" s="562"/>
      <c r="HCW38" s="562"/>
      <c r="HCX38" s="562"/>
      <c r="HCY38" s="562"/>
      <c r="HCZ38" s="562"/>
      <c r="HDA38" s="562"/>
      <c r="HDB38" s="562"/>
      <c r="HDC38" s="562"/>
      <c r="HDD38" s="562"/>
      <c r="HDE38" s="562"/>
      <c r="HDF38" s="562"/>
      <c r="HDG38" s="562"/>
      <c r="HDH38" s="562"/>
      <c r="HDI38" s="562"/>
      <c r="HDJ38" s="562"/>
      <c r="HDK38" s="562"/>
      <c r="HDL38" s="562"/>
      <c r="HDM38" s="562"/>
      <c r="HDN38" s="562"/>
      <c r="HDO38" s="562"/>
      <c r="HDP38" s="562"/>
      <c r="HDQ38" s="562"/>
      <c r="HDR38" s="562"/>
      <c r="HDS38" s="562"/>
      <c r="HDT38" s="562"/>
      <c r="HDU38" s="562"/>
      <c r="HDV38" s="562"/>
      <c r="HDW38" s="562"/>
      <c r="HDX38" s="562"/>
      <c r="HDY38" s="562"/>
      <c r="HDZ38" s="562"/>
      <c r="HEA38" s="562"/>
      <c r="HEB38" s="562"/>
      <c r="HEC38" s="562"/>
      <c r="HED38" s="562"/>
      <c r="HEE38" s="562"/>
      <c r="HEF38" s="562"/>
      <c r="HEG38" s="562"/>
      <c r="HEH38" s="562"/>
      <c r="HEI38" s="562"/>
      <c r="HEJ38" s="562"/>
      <c r="HEK38" s="562"/>
      <c r="HEL38" s="562"/>
      <c r="HEM38" s="562"/>
      <c r="HEN38" s="562"/>
      <c r="HEO38" s="562"/>
      <c r="HEP38" s="562"/>
      <c r="HEQ38" s="562"/>
      <c r="HER38" s="562"/>
      <c r="HES38" s="562"/>
      <c r="HET38" s="562"/>
      <c r="HEU38" s="562"/>
      <c r="HEV38" s="562"/>
      <c r="HEW38" s="562"/>
      <c r="HEX38" s="562"/>
      <c r="HEY38" s="562"/>
      <c r="HEZ38" s="562"/>
      <c r="HFA38" s="562"/>
      <c r="HFB38" s="562"/>
      <c r="HFC38" s="562"/>
      <c r="HFD38" s="562"/>
      <c r="HFE38" s="562"/>
      <c r="HFF38" s="562"/>
      <c r="HFG38" s="562"/>
      <c r="HFH38" s="562"/>
      <c r="HFI38" s="562"/>
      <c r="HFJ38" s="562"/>
      <c r="HFK38" s="562"/>
      <c r="HFL38" s="562"/>
      <c r="HFM38" s="562"/>
      <c r="HFN38" s="562"/>
      <c r="HFO38" s="562"/>
      <c r="HFP38" s="562"/>
      <c r="HFQ38" s="562"/>
      <c r="HFR38" s="562"/>
      <c r="HFS38" s="562"/>
      <c r="HFT38" s="562"/>
      <c r="HFU38" s="562"/>
      <c r="HFV38" s="562"/>
      <c r="HFW38" s="562"/>
      <c r="HFX38" s="562"/>
      <c r="HFY38" s="562"/>
      <c r="HFZ38" s="562"/>
      <c r="HGA38" s="562"/>
      <c r="HGB38" s="562"/>
      <c r="HGC38" s="562"/>
      <c r="HGD38" s="562"/>
      <c r="HGE38" s="562"/>
      <c r="HGF38" s="562"/>
      <c r="HGG38" s="562"/>
      <c r="HGH38" s="562"/>
      <c r="HGI38" s="562"/>
      <c r="HGJ38" s="562"/>
      <c r="HGK38" s="562"/>
      <c r="HGL38" s="562"/>
      <c r="HGM38" s="562"/>
      <c r="HGN38" s="562"/>
      <c r="HGO38" s="562"/>
      <c r="HGP38" s="562"/>
      <c r="HGQ38" s="562"/>
      <c r="HGR38" s="562"/>
      <c r="HGS38" s="562"/>
      <c r="HGT38" s="562"/>
      <c r="HGU38" s="562"/>
      <c r="HGV38" s="562"/>
      <c r="HGW38" s="562"/>
      <c r="HGX38" s="562"/>
      <c r="HGY38" s="562"/>
      <c r="HGZ38" s="562"/>
      <c r="HHA38" s="562"/>
      <c r="HHB38" s="562"/>
      <c r="HHC38" s="562"/>
      <c r="HHD38" s="562"/>
      <c r="HHE38" s="562"/>
      <c r="HHF38" s="562"/>
      <c r="HHG38" s="562"/>
      <c r="HHH38" s="562"/>
      <c r="HHI38" s="562"/>
      <c r="HHJ38" s="562"/>
      <c r="HHK38" s="562"/>
      <c r="HHL38" s="562"/>
      <c r="HHM38" s="562"/>
      <c r="HHN38" s="562"/>
      <c r="HHO38" s="562"/>
      <c r="HHP38" s="562"/>
      <c r="HHQ38" s="562"/>
      <c r="HHR38" s="562"/>
      <c r="HHS38" s="562"/>
      <c r="HHT38" s="562"/>
      <c r="HHU38" s="562"/>
      <c r="HHV38" s="562"/>
      <c r="HHW38" s="562"/>
      <c r="HHX38" s="562"/>
      <c r="HHY38" s="562"/>
      <c r="HHZ38" s="562"/>
      <c r="HIA38" s="562"/>
      <c r="HIB38" s="562"/>
      <c r="HIC38" s="562"/>
      <c r="HID38" s="562"/>
      <c r="HIE38" s="562"/>
      <c r="HIF38" s="562"/>
      <c r="HIG38" s="562"/>
      <c r="HIH38" s="562"/>
      <c r="HII38" s="562"/>
      <c r="HIJ38" s="562"/>
      <c r="HIK38" s="562"/>
      <c r="HIL38" s="562"/>
      <c r="HIM38" s="562"/>
      <c r="HIN38" s="562"/>
      <c r="HIO38" s="562"/>
      <c r="HIP38" s="562"/>
      <c r="HIQ38" s="562"/>
      <c r="HIR38" s="562"/>
      <c r="HIS38" s="562"/>
      <c r="HIT38" s="562"/>
      <c r="HIU38" s="562"/>
      <c r="HIV38" s="562"/>
      <c r="HIW38" s="562"/>
      <c r="HIX38" s="562"/>
      <c r="HIY38" s="562"/>
      <c r="HIZ38" s="562"/>
      <c r="HJA38" s="562"/>
      <c r="HJB38" s="562"/>
      <c r="HJC38" s="562"/>
      <c r="HJD38" s="562"/>
      <c r="HJE38" s="562"/>
      <c r="HJF38" s="562"/>
      <c r="HJG38" s="562"/>
      <c r="HJH38" s="562"/>
      <c r="HJI38" s="562"/>
      <c r="HJJ38" s="562"/>
      <c r="HJK38" s="562"/>
      <c r="HJL38" s="562"/>
      <c r="HJM38" s="562"/>
      <c r="HJN38" s="562"/>
      <c r="HJO38" s="562"/>
      <c r="HJP38" s="562"/>
      <c r="HJQ38" s="562"/>
      <c r="HJR38" s="562"/>
      <c r="HJS38" s="562"/>
      <c r="HJT38" s="562"/>
      <c r="HJU38" s="562"/>
      <c r="HJV38" s="562"/>
      <c r="HJW38" s="562"/>
      <c r="HJX38" s="562"/>
      <c r="HJY38" s="562"/>
      <c r="HJZ38" s="562"/>
      <c r="HKA38" s="562"/>
      <c r="HKB38" s="562"/>
      <c r="HKC38" s="562"/>
      <c r="HKD38" s="562"/>
      <c r="HKE38" s="562"/>
      <c r="HKF38" s="562"/>
      <c r="HKG38" s="562"/>
      <c r="HKH38" s="562"/>
      <c r="HKI38" s="562"/>
      <c r="HKJ38" s="562"/>
      <c r="HKK38" s="562"/>
      <c r="HKL38" s="562"/>
      <c r="HKM38" s="562"/>
      <c r="HKN38" s="562"/>
      <c r="HKO38" s="562"/>
      <c r="HKP38" s="562"/>
      <c r="HKQ38" s="562"/>
      <c r="HKR38" s="562"/>
      <c r="HKS38" s="562"/>
      <c r="HKT38" s="562"/>
      <c r="HKU38" s="562"/>
      <c r="HKV38" s="562"/>
      <c r="HKW38" s="562"/>
      <c r="HKX38" s="562"/>
      <c r="HKY38" s="562"/>
      <c r="HKZ38" s="562"/>
      <c r="HLA38" s="562"/>
      <c r="HLB38" s="562"/>
      <c r="HLC38" s="562"/>
      <c r="HLD38" s="562"/>
      <c r="HLE38" s="562"/>
      <c r="HLF38" s="562"/>
      <c r="HLG38" s="562"/>
      <c r="HLH38" s="562"/>
      <c r="HLI38" s="562"/>
      <c r="HLJ38" s="562"/>
      <c r="HLK38" s="562"/>
      <c r="HLL38" s="562"/>
      <c r="HLM38" s="562"/>
      <c r="HLN38" s="562"/>
      <c r="HLO38" s="562"/>
      <c r="HLP38" s="562"/>
      <c r="HLQ38" s="562"/>
      <c r="HLR38" s="562"/>
      <c r="HLS38" s="562"/>
      <c r="HLT38" s="562"/>
      <c r="HLU38" s="562"/>
      <c r="HLV38" s="562"/>
      <c r="HLW38" s="562"/>
      <c r="HLX38" s="562"/>
      <c r="HLY38" s="562"/>
      <c r="HLZ38" s="562"/>
      <c r="HMA38" s="562"/>
      <c r="HMB38" s="562"/>
      <c r="HMC38" s="562"/>
      <c r="HMD38" s="562"/>
      <c r="HME38" s="562"/>
      <c r="HMF38" s="562"/>
      <c r="HMG38" s="562"/>
      <c r="HMH38" s="562"/>
      <c r="HMI38" s="562"/>
      <c r="HMJ38" s="562"/>
      <c r="HMK38" s="562"/>
      <c r="HML38" s="562"/>
      <c r="HMM38" s="562"/>
      <c r="HMN38" s="562"/>
      <c r="HMO38" s="562"/>
      <c r="HMP38" s="562"/>
      <c r="HMQ38" s="562"/>
      <c r="HMR38" s="562"/>
      <c r="HMS38" s="562"/>
      <c r="HMT38" s="562"/>
      <c r="HMU38" s="562"/>
      <c r="HMV38" s="562"/>
      <c r="HMW38" s="562"/>
      <c r="HMX38" s="562"/>
      <c r="HMY38" s="562"/>
      <c r="HMZ38" s="562"/>
      <c r="HNA38" s="562"/>
      <c r="HNB38" s="562"/>
      <c r="HNC38" s="562"/>
      <c r="HND38" s="562"/>
      <c r="HNE38" s="562"/>
      <c r="HNF38" s="562"/>
      <c r="HNG38" s="562"/>
      <c r="HNH38" s="562"/>
      <c r="HNI38" s="562"/>
      <c r="HNJ38" s="562"/>
      <c r="HNK38" s="562"/>
      <c r="HNL38" s="562"/>
      <c r="HNM38" s="562"/>
      <c r="HNN38" s="562"/>
      <c r="HNO38" s="562"/>
      <c r="HNP38" s="562"/>
      <c r="HNQ38" s="562"/>
      <c r="HNR38" s="562"/>
      <c r="HNS38" s="562"/>
      <c r="HNT38" s="562"/>
      <c r="HNU38" s="562"/>
      <c r="HNV38" s="562"/>
      <c r="HNW38" s="562"/>
      <c r="HNX38" s="562"/>
      <c r="HNY38" s="562"/>
      <c r="HNZ38" s="562"/>
      <c r="HOA38" s="562"/>
      <c r="HOB38" s="562"/>
      <c r="HOC38" s="562"/>
      <c r="HOD38" s="562"/>
      <c r="HOE38" s="562"/>
      <c r="HOF38" s="562"/>
      <c r="HOG38" s="562"/>
      <c r="HOH38" s="562"/>
      <c r="HOI38" s="562"/>
      <c r="HOJ38" s="562"/>
      <c r="HOK38" s="562"/>
      <c r="HOL38" s="562"/>
      <c r="HOM38" s="562"/>
      <c r="HON38" s="562"/>
      <c r="HOO38" s="562"/>
      <c r="HOP38" s="562"/>
      <c r="HOQ38" s="562"/>
      <c r="HOR38" s="562"/>
      <c r="HOS38" s="562"/>
      <c r="HOT38" s="562"/>
      <c r="HOU38" s="562"/>
      <c r="HOV38" s="562"/>
      <c r="HOW38" s="562"/>
      <c r="HOX38" s="562"/>
      <c r="HOY38" s="562"/>
      <c r="HOZ38" s="562"/>
      <c r="HPA38" s="562"/>
      <c r="HPB38" s="562"/>
      <c r="HPC38" s="562"/>
      <c r="HPD38" s="562"/>
      <c r="HPE38" s="562"/>
      <c r="HPF38" s="562"/>
      <c r="HPG38" s="562"/>
      <c r="HPH38" s="562"/>
      <c r="HPI38" s="562"/>
      <c r="HPJ38" s="562"/>
      <c r="HPK38" s="562"/>
      <c r="HPL38" s="562"/>
      <c r="HPM38" s="562"/>
      <c r="HPN38" s="562"/>
      <c r="HPO38" s="562"/>
      <c r="HPP38" s="562"/>
      <c r="HPQ38" s="562"/>
      <c r="HPR38" s="562"/>
      <c r="HPS38" s="562"/>
      <c r="HPT38" s="562"/>
      <c r="HPU38" s="562"/>
      <c r="HPV38" s="562"/>
      <c r="HPW38" s="562"/>
      <c r="HPX38" s="562"/>
      <c r="HPY38" s="562"/>
      <c r="HPZ38" s="562"/>
      <c r="HQA38" s="562"/>
      <c r="HQB38" s="562"/>
      <c r="HQC38" s="562"/>
      <c r="HQD38" s="562"/>
      <c r="HQE38" s="562"/>
      <c r="HQF38" s="562"/>
      <c r="HQG38" s="562"/>
      <c r="HQH38" s="562"/>
      <c r="HQI38" s="562"/>
      <c r="HQJ38" s="562"/>
      <c r="HQK38" s="562"/>
      <c r="HQL38" s="562"/>
      <c r="HQM38" s="562"/>
      <c r="HQN38" s="562"/>
      <c r="HQO38" s="562"/>
      <c r="HQP38" s="562"/>
      <c r="HQQ38" s="562"/>
      <c r="HQR38" s="562"/>
      <c r="HQS38" s="562"/>
      <c r="HQT38" s="562"/>
      <c r="HQU38" s="562"/>
      <c r="HQV38" s="562"/>
      <c r="HQW38" s="562"/>
      <c r="HQX38" s="562"/>
      <c r="HQY38" s="562"/>
      <c r="HQZ38" s="562"/>
      <c r="HRA38" s="562"/>
      <c r="HRB38" s="562"/>
      <c r="HRC38" s="562"/>
      <c r="HRD38" s="562"/>
      <c r="HRE38" s="562"/>
      <c r="HRF38" s="562"/>
      <c r="HRG38" s="562"/>
      <c r="HRH38" s="562"/>
      <c r="HRI38" s="562"/>
      <c r="HRJ38" s="562"/>
      <c r="HRK38" s="562"/>
      <c r="HRL38" s="562"/>
      <c r="HRM38" s="562"/>
      <c r="HRN38" s="562"/>
      <c r="HRO38" s="562"/>
      <c r="HRP38" s="562"/>
      <c r="HRQ38" s="562"/>
      <c r="HRR38" s="562"/>
      <c r="HRS38" s="562"/>
      <c r="HRT38" s="562"/>
      <c r="HRU38" s="562"/>
      <c r="HRV38" s="562"/>
      <c r="HRW38" s="562"/>
      <c r="HRX38" s="562"/>
      <c r="HRY38" s="562"/>
      <c r="HRZ38" s="562"/>
      <c r="HSA38" s="562"/>
      <c r="HSB38" s="562"/>
      <c r="HSC38" s="562"/>
      <c r="HSD38" s="562"/>
      <c r="HSE38" s="562"/>
      <c r="HSF38" s="562"/>
      <c r="HSG38" s="562"/>
      <c r="HSH38" s="562"/>
      <c r="HSI38" s="562"/>
      <c r="HSJ38" s="562"/>
      <c r="HSK38" s="562"/>
      <c r="HSL38" s="562"/>
      <c r="HSM38" s="562"/>
      <c r="HSN38" s="562"/>
      <c r="HSO38" s="562"/>
      <c r="HSP38" s="562"/>
      <c r="HSQ38" s="562"/>
      <c r="HSR38" s="562"/>
      <c r="HSS38" s="562"/>
      <c r="HST38" s="562"/>
      <c r="HSU38" s="562"/>
      <c r="HSV38" s="562"/>
      <c r="HSW38" s="562"/>
      <c r="HSX38" s="562"/>
      <c r="HSY38" s="562"/>
      <c r="HSZ38" s="562"/>
      <c r="HTA38" s="562"/>
      <c r="HTB38" s="562"/>
      <c r="HTC38" s="562"/>
      <c r="HTD38" s="562"/>
      <c r="HTE38" s="562"/>
      <c r="HTF38" s="562"/>
      <c r="HTG38" s="562"/>
      <c r="HTH38" s="562"/>
      <c r="HTI38" s="562"/>
      <c r="HTJ38" s="562"/>
      <c r="HTK38" s="562"/>
      <c r="HTL38" s="562"/>
      <c r="HTM38" s="562"/>
      <c r="HTN38" s="562"/>
      <c r="HTO38" s="562"/>
      <c r="HTP38" s="562"/>
      <c r="HTQ38" s="562"/>
      <c r="HTR38" s="562"/>
      <c r="HTS38" s="562"/>
      <c r="HTT38" s="562"/>
      <c r="HTU38" s="562"/>
      <c r="HTV38" s="562"/>
      <c r="HTW38" s="562"/>
      <c r="HTX38" s="562"/>
      <c r="HTY38" s="562"/>
      <c r="HTZ38" s="562"/>
      <c r="HUA38" s="562"/>
      <c r="HUB38" s="562"/>
      <c r="HUC38" s="562"/>
      <c r="HUD38" s="562"/>
      <c r="HUE38" s="562"/>
      <c r="HUF38" s="562"/>
      <c r="HUG38" s="562"/>
      <c r="HUH38" s="562"/>
      <c r="HUI38" s="562"/>
      <c r="HUJ38" s="562"/>
      <c r="HUK38" s="562"/>
      <c r="HUL38" s="562"/>
      <c r="HUM38" s="562"/>
      <c r="HUN38" s="562"/>
      <c r="HUO38" s="562"/>
      <c r="HUP38" s="562"/>
      <c r="HUQ38" s="562"/>
      <c r="HUR38" s="562"/>
      <c r="HUS38" s="562"/>
      <c r="HUT38" s="562"/>
      <c r="HUU38" s="562"/>
      <c r="HUV38" s="562"/>
      <c r="HUW38" s="562"/>
      <c r="HUX38" s="562"/>
      <c r="HUY38" s="562"/>
      <c r="HUZ38" s="562"/>
      <c r="HVA38" s="562"/>
      <c r="HVB38" s="562"/>
      <c r="HVC38" s="562"/>
      <c r="HVD38" s="562"/>
      <c r="HVE38" s="562"/>
      <c r="HVF38" s="562"/>
      <c r="HVG38" s="562"/>
      <c r="HVH38" s="562"/>
      <c r="HVI38" s="562"/>
      <c r="HVJ38" s="562"/>
      <c r="HVK38" s="562"/>
      <c r="HVL38" s="562"/>
      <c r="HVM38" s="562"/>
      <c r="HVN38" s="562"/>
      <c r="HVO38" s="562"/>
      <c r="HVP38" s="562"/>
      <c r="HVQ38" s="562"/>
      <c r="HVR38" s="562"/>
      <c r="HVS38" s="562"/>
      <c r="HVT38" s="562"/>
      <c r="HVU38" s="562"/>
      <c r="HVV38" s="562"/>
      <c r="HVW38" s="562"/>
      <c r="HVX38" s="562"/>
      <c r="HVY38" s="562"/>
      <c r="HVZ38" s="562"/>
      <c r="HWA38" s="562"/>
      <c r="HWB38" s="562"/>
      <c r="HWC38" s="562"/>
      <c r="HWD38" s="562"/>
      <c r="HWE38" s="562"/>
      <c r="HWF38" s="562"/>
      <c r="HWG38" s="562"/>
      <c r="HWH38" s="562"/>
      <c r="HWI38" s="562"/>
      <c r="HWJ38" s="562"/>
      <c r="HWK38" s="562"/>
      <c r="HWL38" s="562"/>
      <c r="HWM38" s="562"/>
      <c r="HWN38" s="562"/>
      <c r="HWO38" s="562"/>
      <c r="HWP38" s="562"/>
      <c r="HWQ38" s="562"/>
      <c r="HWR38" s="562"/>
      <c r="HWS38" s="562"/>
      <c r="HWT38" s="562"/>
      <c r="HWU38" s="562"/>
      <c r="HWV38" s="562"/>
      <c r="HWW38" s="562"/>
      <c r="HWX38" s="562"/>
      <c r="HWY38" s="562"/>
      <c r="HWZ38" s="562"/>
      <c r="HXA38" s="562"/>
      <c r="HXB38" s="562"/>
      <c r="HXC38" s="562"/>
      <c r="HXD38" s="562"/>
      <c r="HXE38" s="562"/>
      <c r="HXF38" s="562"/>
      <c r="HXG38" s="562"/>
      <c r="HXH38" s="562"/>
      <c r="HXI38" s="562"/>
      <c r="HXJ38" s="562"/>
      <c r="HXK38" s="562"/>
      <c r="HXL38" s="562"/>
      <c r="HXM38" s="562"/>
      <c r="HXN38" s="562"/>
      <c r="HXO38" s="562"/>
      <c r="HXP38" s="562"/>
      <c r="HXQ38" s="562"/>
      <c r="HXR38" s="562"/>
      <c r="HXS38" s="562"/>
      <c r="HXT38" s="562"/>
      <c r="HXU38" s="562"/>
      <c r="HXV38" s="562"/>
      <c r="HXW38" s="562"/>
      <c r="HXX38" s="562"/>
      <c r="HXY38" s="562"/>
      <c r="HXZ38" s="562"/>
      <c r="HYA38" s="562"/>
      <c r="HYB38" s="562"/>
      <c r="HYC38" s="562"/>
      <c r="HYD38" s="562"/>
      <c r="HYE38" s="562"/>
      <c r="HYF38" s="562"/>
      <c r="HYG38" s="562"/>
      <c r="HYH38" s="562"/>
      <c r="HYI38" s="562"/>
      <c r="HYJ38" s="562"/>
      <c r="HYK38" s="562"/>
      <c r="HYL38" s="562"/>
      <c r="HYM38" s="562"/>
      <c r="HYN38" s="562"/>
      <c r="HYO38" s="562"/>
      <c r="HYP38" s="562"/>
      <c r="HYQ38" s="562"/>
      <c r="HYR38" s="562"/>
      <c r="HYS38" s="562"/>
      <c r="HYT38" s="562"/>
      <c r="HYU38" s="562"/>
      <c r="HYV38" s="562"/>
      <c r="HYW38" s="562"/>
      <c r="HYX38" s="562"/>
      <c r="HYY38" s="562"/>
      <c r="HYZ38" s="562"/>
      <c r="HZA38" s="562"/>
      <c r="HZB38" s="562"/>
      <c r="HZC38" s="562"/>
      <c r="HZD38" s="562"/>
      <c r="HZE38" s="562"/>
      <c r="HZF38" s="562"/>
      <c r="HZG38" s="562"/>
      <c r="HZH38" s="562"/>
      <c r="HZI38" s="562"/>
      <c r="HZJ38" s="562"/>
      <c r="HZK38" s="562"/>
      <c r="HZL38" s="562"/>
      <c r="HZM38" s="562"/>
      <c r="HZN38" s="562"/>
      <c r="HZO38" s="562"/>
      <c r="HZP38" s="562"/>
      <c r="HZQ38" s="562"/>
      <c r="HZR38" s="562"/>
      <c r="HZS38" s="562"/>
      <c r="HZT38" s="562"/>
      <c r="HZU38" s="562"/>
      <c r="HZV38" s="562"/>
      <c r="HZW38" s="562"/>
      <c r="HZX38" s="562"/>
      <c r="HZY38" s="562"/>
      <c r="HZZ38" s="562"/>
      <c r="IAA38" s="562"/>
      <c r="IAB38" s="562"/>
      <c r="IAC38" s="562"/>
      <c r="IAD38" s="562"/>
      <c r="IAE38" s="562"/>
      <c r="IAF38" s="562"/>
      <c r="IAG38" s="562"/>
      <c r="IAH38" s="562"/>
      <c r="IAI38" s="562"/>
      <c r="IAJ38" s="562"/>
      <c r="IAK38" s="562"/>
      <c r="IAL38" s="562"/>
      <c r="IAM38" s="562"/>
      <c r="IAN38" s="562"/>
      <c r="IAO38" s="562"/>
      <c r="IAP38" s="562"/>
      <c r="IAQ38" s="562"/>
      <c r="IAR38" s="562"/>
      <c r="IAS38" s="562"/>
      <c r="IAT38" s="562"/>
      <c r="IAU38" s="562"/>
      <c r="IAV38" s="562"/>
      <c r="IAW38" s="562"/>
      <c r="IAX38" s="562"/>
      <c r="IAY38" s="562"/>
      <c r="IAZ38" s="562"/>
      <c r="IBA38" s="562"/>
      <c r="IBB38" s="562"/>
      <c r="IBC38" s="562"/>
      <c r="IBD38" s="562"/>
      <c r="IBE38" s="562"/>
      <c r="IBF38" s="562"/>
      <c r="IBG38" s="562"/>
      <c r="IBH38" s="562"/>
      <c r="IBI38" s="562"/>
      <c r="IBJ38" s="562"/>
      <c r="IBK38" s="562"/>
      <c r="IBL38" s="562"/>
      <c r="IBM38" s="562"/>
      <c r="IBN38" s="562"/>
      <c r="IBO38" s="562"/>
      <c r="IBP38" s="562"/>
      <c r="IBQ38" s="562"/>
      <c r="IBR38" s="562"/>
      <c r="IBS38" s="562"/>
      <c r="IBT38" s="562"/>
      <c r="IBU38" s="562"/>
      <c r="IBV38" s="562"/>
      <c r="IBW38" s="562"/>
      <c r="IBX38" s="562"/>
      <c r="IBY38" s="562"/>
      <c r="IBZ38" s="562"/>
      <c r="ICA38" s="562"/>
      <c r="ICB38" s="562"/>
      <c r="ICC38" s="562"/>
      <c r="ICD38" s="562"/>
      <c r="ICE38" s="562"/>
      <c r="ICF38" s="562"/>
      <c r="ICG38" s="562"/>
      <c r="ICH38" s="562"/>
      <c r="ICI38" s="562"/>
      <c r="ICJ38" s="562"/>
      <c r="ICK38" s="562"/>
      <c r="ICL38" s="562"/>
      <c r="ICM38" s="562"/>
      <c r="ICN38" s="562"/>
      <c r="ICO38" s="562"/>
      <c r="ICP38" s="562"/>
      <c r="ICQ38" s="562"/>
      <c r="ICR38" s="562"/>
      <c r="ICS38" s="562"/>
      <c r="ICT38" s="562"/>
      <c r="ICU38" s="562"/>
      <c r="ICV38" s="562"/>
      <c r="ICW38" s="562"/>
      <c r="ICX38" s="562"/>
      <c r="ICY38" s="562"/>
      <c r="ICZ38" s="562"/>
      <c r="IDA38" s="562"/>
      <c r="IDB38" s="562"/>
      <c r="IDC38" s="562"/>
      <c r="IDD38" s="562"/>
      <c r="IDE38" s="562"/>
      <c r="IDF38" s="562"/>
      <c r="IDG38" s="562"/>
      <c r="IDH38" s="562"/>
      <c r="IDI38" s="562"/>
      <c r="IDJ38" s="562"/>
      <c r="IDK38" s="562"/>
      <c r="IDL38" s="562"/>
      <c r="IDM38" s="562"/>
      <c r="IDN38" s="562"/>
      <c r="IDO38" s="562"/>
      <c r="IDP38" s="562"/>
      <c r="IDQ38" s="562"/>
      <c r="IDR38" s="562"/>
      <c r="IDS38" s="562"/>
      <c r="IDT38" s="562"/>
      <c r="IDU38" s="562"/>
      <c r="IDV38" s="562"/>
      <c r="IDW38" s="562"/>
      <c r="IDX38" s="562"/>
      <c r="IDY38" s="562"/>
      <c r="IDZ38" s="562"/>
      <c r="IEA38" s="562"/>
      <c r="IEB38" s="562"/>
      <c r="IEC38" s="562"/>
      <c r="IED38" s="562"/>
      <c r="IEE38" s="562"/>
      <c r="IEF38" s="562"/>
      <c r="IEG38" s="562"/>
      <c r="IEH38" s="562"/>
      <c r="IEI38" s="562"/>
      <c r="IEJ38" s="562"/>
      <c r="IEK38" s="562"/>
      <c r="IEL38" s="562"/>
      <c r="IEM38" s="562"/>
      <c r="IEN38" s="562"/>
      <c r="IEO38" s="562"/>
      <c r="IEP38" s="562"/>
      <c r="IEQ38" s="562"/>
      <c r="IER38" s="562"/>
      <c r="IES38" s="562"/>
      <c r="IET38" s="562"/>
      <c r="IEU38" s="562"/>
      <c r="IEV38" s="562"/>
      <c r="IEW38" s="562"/>
      <c r="IEX38" s="562"/>
      <c r="IEY38" s="562"/>
      <c r="IEZ38" s="562"/>
      <c r="IFA38" s="562"/>
      <c r="IFB38" s="562"/>
      <c r="IFC38" s="562"/>
      <c r="IFD38" s="562"/>
      <c r="IFE38" s="562"/>
      <c r="IFF38" s="562"/>
      <c r="IFG38" s="562"/>
      <c r="IFH38" s="562"/>
      <c r="IFI38" s="562"/>
      <c r="IFJ38" s="562"/>
      <c r="IFK38" s="562"/>
      <c r="IFL38" s="562"/>
      <c r="IFM38" s="562"/>
      <c r="IFN38" s="562"/>
      <c r="IFO38" s="562"/>
      <c r="IFP38" s="562"/>
      <c r="IFQ38" s="562"/>
      <c r="IFR38" s="562"/>
      <c r="IFS38" s="562"/>
      <c r="IFT38" s="562"/>
      <c r="IFU38" s="562"/>
      <c r="IFV38" s="562"/>
      <c r="IFW38" s="562"/>
      <c r="IFX38" s="562"/>
      <c r="IFY38" s="562"/>
      <c r="IFZ38" s="562"/>
      <c r="IGA38" s="562"/>
      <c r="IGB38" s="562"/>
      <c r="IGC38" s="562"/>
      <c r="IGD38" s="562"/>
      <c r="IGE38" s="562"/>
      <c r="IGF38" s="562"/>
      <c r="IGG38" s="562"/>
      <c r="IGH38" s="562"/>
      <c r="IGI38" s="562"/>
      <c r="IGJ38" s="562"/>
      <c r="IGK38" s="562"/>
      <c r="IGL38" s="562"/>
      <c r="IGM38" s="562"/>
      <c r="IGN38" s="562"/>
      <c r="IGO38" s="562"/>
      <c r="IGP38" s="562"/>
      <c r="IGQ38" s="562"/>
      <c r="IGR38" s="562"/>
      <c r="IGS38" s="562"/>
      <c r="IGT38" s="562"/>
      <c r="IGU38" s="562"/>
      <c r="IGV38" s="562"/>
      <c r="IGW38" s="562"/>
      <c r="IGX38" s="562"/>
      <c r="IGY38" s="562"/>
      <c r="IGZ38" s="562"/>
      <c r="IHA38" s="562"/>
      <c r="IHB38" s="562"/>
      <c r="IHC38" s="562"/>
      <c r="IHD38" s="562"/>
      <c r="IHE38" s="562"/>
      <c r="IHF38" s="562"/>
      <c r="IHG38" s="562"/>
      <c r="IHH38" s="562"/>
      <c r="IHI38" s="562"/>
      <c r="IHJ38" s="562"/>
      <c r="IHK38" s="562"/>
      <c r="IHL38" s="562"/>
      <c r="IHM38" s="562"/>
      <c r="IHN38" s="562"/>
      <c r="IHO38" s="562"/>
      <c r="IHP38" s="562"/>
      <c r="IHQ38" s="562"/>
      <c r="IHR38" s="562"/>
      <c r="IHS38" s="562"/>
      <c r="IHT38" s="562"/>
      <c r="IHU38" s="562"/>
      <c r="IHV38" s="562"/>
      <c r="IHW38" s="562"/>
      <c r="IHX38" s="562"/>
      <c r="IHY38" s="562"/>
      <c r="IHZ38" s="562"/>
      <c r="IIA38" s="562"/>
      <c r="IIB38" s="562"/>
      <c r="IIC38" s="562"/>
      <c r="IID38" s="562"/>
      <c r="IIE38" s="562"/>
      <c r="IIF38" s="562"/>
      <c r="IIG38" s="562"/>
      <c r="IIH38" s="562"/>
      <c r="III38" s="562"/>
      <c r="IIJ38" s="562"/>
      <c r="IIK38" s="562"/>
      <c r="IIL38" s="562"/>
      <c r="IIM38" s="562"/>
      <c r="IIN38" s="562"/>
      <c r="IIO38" s="562"/>
      <c r="IIP38" s="562"/>
      <c r="IIQ38" s="562"/>
      <c r="IIR38" s="562"/>
      <c r="IIS38" s="562"/>
      <c r="IIT38" s="562"/>
      <c r="IIU38" s="562"/>
      <c r="IIV38" s="562"/>
      <c r="IIW38" s="562"/>
      <c r="IIX38" s="562"/>
      <c r="IIY38" s="562"/>
      <c r="IIZ38" s="562"/>
      <c r="IJA38" s="562"/>
      <c r="IJB38" s="562"/>
      <c r="IJC38" s="562"/>
      <c r="IJD38" s="562"/>
      <c r="IJE38" s="562"/>
      <c r="IJF38" s="562"/>
      <c r="IJG38" s="562"/>
      <c r="IJH38" s="562"/>
      <c r="IJI38" s="562"/>
      <c r="IJJ38" s="562"/>
      <c r="IJK38" s="562"/>
      <c r="IJL38" s="562"/>
      <c r="IJM38" s="562"/>
      <c r="IJN38" s="562"/>
      <c r="IJO38" s="562"/>
      <c r="IJP38" s="562"/>
      <c r="IJQ38" s="562"/>
      <c r="IJR38" s="562"/>
      <c r="IJS38" s="562"/>
      <c r="IJT38" s="562"/>
      <c r="IJU38" s="562"/>
      <c r="IJV38" s="562"/>
      <c r="IJW38" s="562"/>
      <c r="IJX38" s="562"/>
      <c r="IJY38" s="562"/>
      <c r="IJZ38" s="562"/>
      <c r="IKA38" s="562"/>
      <c r="IKB38" s="562"/>
      <c r="IKC38" s="562"/>
      <c r="IKD38" s="562"/>
      <c r="IKE38" s="562"/>
      <c r="IKF38" s="562"/>
      <c r="IKG38" s="562"/>
      <c r="IKH38" s="562"/>
      <c r="IKI38" s="562"/>
      <c r="IKJ38" s="562"/>
      <c r="IKK38" s="562"/>
      <c r="IKL38" s="562"/>
      <c r="IKM38" s="562"/>
      <c r="IKN38" s="562"/>
      <c r="IKO38" s="562"/>
      <c r="IKP38" s="562"/>
      <c r="IKQ38" s="562"/>
      <c r="IKR38" s="562"/>
      <c r="IKS38" s="562"/>
      <c r="IKT38" s="562"/>
      <c r="IKU38" s="562"/>
      <c r="IKV38" s="562"/>
      <c r="IKW38" s="562"/>
      <c r="IKX38" s="562"/>
      <c r="IKY38" s="562"/>
      <c r="IKZ38" s="562"/>
      <c r="ILA38" s="562"/>
      <c r="ILB38" s="562"/>
      <c r="ILC38" s="562"/>
      <c r="ILD38" s="562"/>
      <c r="ILE38" s="562"/>
      <c r="ILF38" s="562"/>
      <c r="ILG38" s="562"/>
      <c r="ILH38" s="562"/>
      <c r="ILI38" s="562"/>
      <c r="ILJ38" s="562"/>
      <c r="ILK38" s="562"/>
      <c r="ILL38" s="562"/>
      <c r="ILM38" s="562"/>
      <c r="ILN38" s="562"/>
      <c r="ILO38" s="562"/>
      <c r="ILP38" s="562"/>
      <c r="ILQ38" s="562"/>
      <c r="ILR38" s="562"/>
      <c r="ILS38" s="562"/>
      <c r="ILT38" s="562"/>
      <c r="ILU38" s="562"/>
      <c r="ILV38" s="562"/>
      <c r="ILW38" s="562"/>
      <c r="ILX38" s="562"/>
      <c r="ILY38" s="562"/>
      <c r="ILZ38" s="562"/>
      <c r="IMA38" s="562"/>
      <c r="IMB38" s="562"/>
      <c r="IMC38" s="562"/>
      <c r="IMD38" s="562"/>
      <c r="IME38" s="562"/>
      <c r="IMF38" s="562"/>
      <c r="IMG38" s="562"/>
      <c r="IMH38" s="562"/>
      <c r="IMI38" s="562"/>
      <c r="IMJ38" s="562"/>
      <c r="IMK38" s="562"/>
      <c r="IML38" s="562"/>
      <c r="IMM38" s="562"/>
      <c r="IMN38" s="562"/>
      <c r="IMO38" s="562"/>
      <c r="IMP38" s="562"/>
      <c r="IMQ38" s="562"/>
      <c r="IMR38" s="562"/>
      <c r="IMS38" s="562"/>
      <c r="IMT38" s="562"/>
      <c r="IMU38" s="562"/>
      <c r="IMV38" s="562"/>
      <c r="IMW38" s="562"/>
      <c r="IMX38" s="562"/>
      <c r="IMY38" s="562"/>
      <c r="IMZ38" s="562"/>
      <c r="INA38" s="562"/>
      <c r="INB38" s="562"/>
      <c r="INC38" s="562"/>
      <c r="IND38" s="562"/>
      <c r="INE38" s="562"/>
      <c r="INF38" s="562"/>
      <c r="ING38" s="562"/>
      <c r="INH38" s="562"/>
      <c r="INI38" s="562"/>
      <c r="INJ38" s="562"/>
      <c r="INK38" s="562"/>
      <c r="INL38" s="562"/>
      <c r="INM38" s="562"/>
      <c r="INN38" s="562"/>
      <c r="INO38" s="562"/>
      <c r="INP38" s="562"/>
      <c r="INQ38" s="562"/>
      <c r="INR38" s="562"/>
      <c r="INS38" s="562"/>
      <c r="INT38" s="562"/>
      <c r="INU38" s="562"/>
      <c r="INV38" s="562"/>
      <c r="INW38" s="562"/>
      <c r="INX38" s="562"/>
      <c r="INY38" s="562"/>
      <c r="INZ38" s="562"/>
      <c r="IOA38" s="562"/>
      <c r="IOB38" s="562"/>
      <c r="IOC38" s="562"/>
      <c r="IOD38" s="562"/>
      <c r="IOE38" s="562"/>
      <c r="IOF38" s="562"/>
      <c r="IOG38" s="562"/>
      <c r="IOH38" s="562"/>
      <c r="IOI38" s="562"/>
      <c r="IOJ38" s="562"/>
      <c r="IOK38" s="562"/>
      <c r="IOL38" s="562"/>
      <c r="IOM38" s="562"/>
      <c r="ION38" s="562"/>
      <c r="IOO38" s="562"/>
      <c r="IOP38" s="562"/>
      <c r="IOQ38" s="562"/>
      <c r="IOR38" s="562"/>
      <c r="IOS38" s="562"/>
      <c r="IOT38" s="562"/>
      <c r="IOU38" s="562"/>
      <c r="IOV38" s="562"/>
      <c r="IOW38" s="562"/>
      <c r="IOX38" s="562"/>
      <c r="IOY38" s="562"/>
      <c r="IOZ38" s="562"/>
      <c r="IPA38" s="562"/>
      <c r="IPB38" s="562"/>
      <c r="IPC38" s="562"/>
      <c r="IPD38" s="562"/>
      <c r="IPE38" s="562"/>
      <c r="IPF38" s="562"/>
      <c r="IPG38" s="562"/>
      <c r="IPH38" s="562"/>
      <c r="IPI38" s="562"/>
      <c r="IPJ38" s="562"/>
      <c r="IPK38" s="562"/>
      <c r="IPL38" s="562"/>
      <c r="IPM38" s="562"/>
      <c r="IPN38" s="562"/>
      <c r="IPO38" s="562"/>
      <c r="IPP38" s="562"/>
      <c r="IPQ38" s="562"/>
      <c r="IPR38" s="562"/>
      <c r="IPS38" s="562"/>
      <c r="IPT38" s="562"/>
      <c r="IPU38" s="562"/>
      <c r="IPV38" s="562"/>
      <c r="IPW38" s="562"/>
      <c r="IPX38" s="562"/>
      <c r="IPY38" s="562"/>
      <c r="IPZ38" s="562"/>
      <c r="IQA38" s="562"/>
      <c r="IQB38" s="562"/>
      <c r="IQC38" s="562"/>
      <c r="IQD38" s="562"/>
      <c r="IQE38" s="562"/>
      <c r="IQF38" s="562"/>
      <c r="IQG38" s="562"/>
      <c r="IQH38" s="562"/>
      <c r="IQI38" s="562"/>
      <c r="IQJ38" s="562"/>
      <c r="IQK38" s="562"/>
      <c r="IQL38" s="562"/>
      <c r="IQM38" s="562"/>
      <c r="IQN38" s="562"/>
      <c r="IQO38" s="562"/>
      <c r="IQP38" s="562"/>
      <c r="IQQ38" s="562"/>
      <c r="IQR38" s="562"/>
      <c r="IQS38" s="562"/>
      <c r="IQT38" s="562"/>
      <c r="IQU38" s="562"/>
      <c r="IQV38" s="562"/>
      <c r="IQW38" s="562"/>
      <c r="IQX38" s="562"/>
      <c r="IQY38" s="562"/>
      <c r="IQZ38" s="562"/>
      <c r="IRA38" s="562"/>
      <c r="IRB38" s="562"/>
      <c r="IRC38" s="562"/>
      <c r="IRD38" s="562"/>
      <c r="IRE38" s="562"/>
      <c r="IRF38" s="562"/>
      <c r="IRG38" s="562"/>
      <c r="IRH38" s="562"/>
      <c r="IRI38" s="562"/>
      <c r="IRJ38" s="562"/>
      <c r="IRK38" s="562"/>
      <c r="IRL38" s="562"/>
      <c r="IRM38" s="562"/>
      <c r="IRN38" s="562"/>
      <c r="IRO38" s="562"/>
      <c r="IRP38" s="562"/>
      <c r="IRQ38" s="562"/>
      <c r="IRR38" s="562"/>
      <c r="IRS38" s="562"/>
      <c r="IRT38" s="562"/>
      <c r="IRU38" s="562"/>
      <c r="IRV38" s="562"/>
      <c r="IRW38" s="562"/>
      <c r="IRX38" s="562"/>
      <c r="IRY38" s="562"/>
      <c r="IRZ38" s="562"/>
      <c r="ISA38" s="562"/>
      <c r="ISB38" s="562"/>
      <c r="ISC38" s="562"/>
      <c r="ISD38" s="562"/>
      <c r="ISE38" s="562"/>
      <c r="ISF38" s="562"/>
      <c r="ISG38" s="562"/>
      <c r="ISH38" s="562"/>
      <c r="ISI38" s="562"/>
      <c r="ISJ38" s="562"/>
      <c r="ISK38" s="562"/>
      <c r="ISL38" s="562"/>
      <c r="ISM38" s="562"/>
      <c r="ISN38" s="562"/>
      <c r="ISO38" s="562"/>
      <c r="ISP38" s="562"/>
      <c r="ISQ38" s="562"/>
      <c r="ISR38" s="562"/>
      <c r="ISS38" s="562"/>
      <c r="IST38" s="562"/>
      <c r="ISU38" s="562"/>
      <c r="ISV38" s="562"/>
      <c r="ISW38" s="562"/>
      <c r="ISX38" s="562"/>
      <c r="ISY38" s="562"/>
      <c r="ISZ38" s="562"/>
      <c r="ITA38" s="562"/>
      <c r="ITB38" s="562"/>
      <c r="ITC38" s="562"/>
      <c r="ITD38" s="562"/>
      <c r="ITE38" s="562"/>
      <c r="ITF38" s="562"/>
      <c r="ITG38" s="562"/>
      <c r="ITH38" s="562"/>
      <c r="ITI38" s="562"/>
      <c r="ITJ38" s="562"/>
      <c r="ITK38" s="562"/>
      <c r="ITL38" s="562"/>
      <c r="ITM38" s="562"/>
      <c r="ITN38" s="562"/>
      <c r="ITO38" s="562"/>
      <c r="ITP38" s="562"/>
      <c r="ITQ38" s="562"/>
      <c r="ITR38" s="562"/>
      <c r="ITS38" s="562"/>
      <c r="ITT38" s="562"/>
      <c r="ITU38" s="562"/>
      <c r="ITV38" s="562"/>
      <c r="ITW38" s="562"/>
      <c r="ITX38" s="562"/>
      <c r="ITY38" s="562"/>
      <c r="ITZ38" s="562"/>
      <c r="IUA38" s="562"/>
      <c r="IUB38" s="562"/>
      <c r="IUC38" s="562"/>
      <c r="IUD38" s="562"/>
      <c r="IUE38" s="562"/>
      <c r="IUF38" s="562"/>
      <c r="IUG38" s="562"/>
      <c r="IUH38" s="562"/>
      <c r="IUI38" s="562"/>
      <c r="IUJ38" s="562"/>
      <c r="IUK38" s="562"/>
      <c r="IUL38" s="562"/>
      <c r="IUM38" s="562"/>
      <c r="IUN38" s="562"/>
      <c r="IUO38" s="562"/>
      <c r="IUP38" s="562"/>
      <c r="IUQ38" s="562"/>
      <c r="IUR38" s="562"/>
      <c r="IUS38" s="562"/>
      <c r="IUT38" s="562"/>
      <c r="IUU38" s="562"/>
      <c r="IUV38" s="562"/>
      <c r="IUW38" s="562"/>
      <c r="IUX38" s="562"/>
      <c r="IUY38" s="562"/>
      <c r="IUZ38" s="562"/>
      <c r="IVA38" s="562"/>
      <c r="IVB38" s="562"/>
      <c r="IVC38" s="562"/>
      <c r="IVD38" s="562"/>
      <c r="IVE38" s="562"/>
      <c r="IVF38" s="562"/>
      <c r="IVG38" s="562"/>
      <c r="IVH38" s="562"/>
      <c r="IVI38" s="562"/>
      <c r="IVJ38" s="562"/>
      <c r="IVK38" s="562"/>
      <c r="IVL38" s="562"/>
      <c r="IVM38" s="562"/>
      <c r="IVN38" s="562"/>
      <c r="IVO38" s="562"/>
      <c r="IVP38" s="562"/>
      <c r="IVQ38" s="562"/>
      <c r="IVR38" s="562"/>
      <c r="IVS38" s="562"/>
      <c r="IVT38" s="562"/>
      <c r="IVU38" s="562"/>
      <c r="IVV38" s="562"/>
      <c r="IVW38" s="562"/>
      <c r="IVX38" s="562"/>
      <c r="IVY38" s="562"/>
      <c r="IVZ38" s="562"/>
      <c r="IWA38" s="562"/>
      <c r="IWB38" s="562"/>
      <c r="IWC38" s="562"/>
      <c r="IWD38" s="562"/>
      <c r="IWE38" s="562"/>
      <c r="IWF38" s="562"/>
      <c r="IWG38" s="562"/>
      <c r="IWH38" s="562"/>
      <c r="IWI38" s="562"/>
      <c r="IWJ38" s="562"/>
      <c r="IWK38" s="562"/>
      <c r="IWL38" s="562"/>
      <c r="IWM38" s="562"/>
      <c r="IWN38" s="562"/>
      <c r="IWO38" s="562"/>
      <c r="IWP38" s="562"/>
      <c r="IWQ38" s="562"/>
      <c r="IWR38" s="562"/>
      <c r="IWS38" s="562"/>
      <c r="IWT38" s="562"/>
      <c r="IWU38" s="562"/>
      <c r="IWV38" s="562"/>
      <c r="IWW38" s="562"/>
      <c r="IWX38" s="562"/>
      <c r="IWY38" s="562"/>
      <c r="IWZ38" s="562"/>
      <c r="IXA38" s="562"/>
      <c r="IXB38" s="562"/>
      <c r="IXC38" s="562"/>
      <c r="IXD38" s="562"/>
      <c r="IXE38" s="562"/>
      <c r="IXF38" s="562"/>
      <c r="IXG38" s="562"/>
      <c r="IXH38" s="562"/>
      <c r="IXI38" s="562"/>
      <c r="IXJ38" s="562"/>
      <c r="IXK38" s="562"/>
      <c r="IXL38" s="562"/>
      <c r="IXM38" s="562"/>
      <c r="IXN38" s="562"/>
      <c r="IXO38" s="562"/>
      <c r="IXP38" s="562"/>
      <c r="IXQ38" s="562"/>
      <c r="IXR38" s="562"/>
      <c r="IXS38" s="562"/>
      <c r="IXT38" s="562"/>
      <c r="IXU38" s="562"/>
      <c r="IXV38" s="562"/>
      <c r="IXW38" s="562"/>
      <c r="IXX38" s="562"/>
      <c r="IXY38" s="562"/>
      <c r="IXZ38" s="562"/>
      <c r="IYA38" s="562"/>
      <c r="IYB38" s="562"/>
      <c r="IYC38" s="562"/>
      <c r="IYD38" s="562"/>
      <c r="IYE38" s="562"/>
      <c r="IYF38" s="562"/>
      <c r="IYG38" s="562"/>
      <c r="IYH38" s="562"/>
      <c r="IYI38" s="562"/>
      <c r="IYJ38" s="562"/>
      <c r="IYK38" s="562"/>
      <c r="IYL38" s="562"/>
      <c r="IYM38" s="562"/>
      <c r="IYN38" s="562"/>
      <c r="IYO38" s="562"/>
      <c r="IYP38" s="562"/>
      <c r="IYQ38" s="562"/>
      <c r="IYR38" s="562"/>
      <c r="IYS38" s="562"/>
      <c r="IYT38" s="562"/>
      <c r="IYU38" s="562"/>
      <c r="IYV38" s="562"/>
      <c r="IYW38" s="562"/>
      <c r="IYX38" s="562"/>
      <c r="IYY38" s="562"/>
      <c r="IYZ38" s="562"/>
      <c r="IZA38" s="562"/>
      <c r="IZB38" s="562"/>
      <c r="IZC38" s="562"/>
      <c r="IZD38" s="562"/>
      <c r="IZE38" s="562"/>
      <c r="IZF38" s="562"/>
      <c r="IZG38" s="562"/>
      <c r="IZH38" s="562"/>
      <c r="IZI38" s="562"/>
      <c r="IZJ38" s="562"/>
      <c r="IZK38" s="562"/>
      <c r="IZL38" s="562"/>
      <c r="IZM38" s="562"/>
      <c r="IZN38" s="562"/>
      <c r="IZO38" s="562"/>
      <c r="IZP38" s="562"/>
      <c r="IZQ38" s="562"/>
      <c r="IZR38" s="562"/>
      <c r="IZS38" s="562"/>
      <c r="IZT38" s="562"/>
      <c r="IZU38" s="562"/>
      <c r="IZV38" s="562"/>
      <c r="IZW38" s="562"/>
      <c r="IZX38" s="562"/>
      <c r="IZY38" s="562"/>
      <c r="IZZ38" s="562"/>
      <c r="JAA38" s="562"/>
      <c r="JAB38" s="562"/>
      <c r="JAC38" s="562"/>
      <c r="JAD38" s="562"/>
      <c r="JAE38" s="562"/>
      <c r="JAF38" s="562"/>
      <c r="JAG38" s="562"/>
      <c r="JAH38" s="562"/>
      <c r="JAI38" s="562"/>
      <c r="JAJ38" s="562"/>
      <c r="JAK38" s="562"/>
      <c r="JAL38" s="562"/>
      <c r="JAM38" s="562"/>
      <c r="JAN38" s="562"/>
      <c r="JAO38" s="562"/>
      <c r="JAP38" s="562"/>
      <c r="JAQ38" s="562"/>
      <c r="JAR38" s="562"/>
      <c r="JAS38" s="562"/>
      <c r="JAT38" s="562"/>
      <c r="JAU38" s="562"/>
      <c r="JAV38" s="562"/>
      <c r="JAW38" s="562"/>
      <c r="JAX38" s="562"/>
      <c r="JAY38" s="562"/>
      <c r="JAZ38" s="562"/>
      <c r="JBA38" s="562"/>
      <c r="JBB38" s="562"/>
      <c r="JBC38" s="562"/>
      <c r="JBD38" s="562"/>
      <c r="JBE38" s="562"/>
      <c r="JBF38" s="562"/>
      <c r="JBG38" s="562"/>
      <c r="JBH38" s="562"/>
      <c r="JBI38" s="562"/>
      <c r="JBJ38" s="562"/>
      <c r="JBK38" s="562"/>
      <c r="JBL38" s="562"/>
      <c r="JBM38" s="562"/>
      <c r="JBN38" s="562"/>
      <c r="JBO38" s="562"/>
      <c r="JBP38" s="562"/>
      <c r="JBQ38" s="562"/>
      <c r="JBR38" s="562"/>
      <c r="JBS38" s="562"/>
      <c r="JBT38" s="562"/>
      <c r="JBU38" s="562"/>
      <c r="JBV38" s="562"/>
      <c r="JBW38" s="562"/>
      <c r="JBX38" s="562"/>
      <c r="JBY38" s="562"/>
      <c r="JBZ38" s="562"/>
      <c r="JCA38" s="562"/>
      <c r="JCB38" s="562"/>
      <c r="JCC38" s="562"/>
      <c r="JCD38" s="562"/>
      <c r="JCE38" s="562"/>
      <c r="JCF38" s="562"/>
      <c r="JCG38" s="562"/>
      <c r="JCH38" s="562"/>
      <c r="JCI38" s="562"/>
      <c r="JCJ38" s="562"/>
      <c r="JCK38" s="562"/>
      <c r="JCL38" s="562"/>
      <c r="JCM38" s="562"/>
      <c r="JCN38" s="562"/>
      <c r="JCO38" s="562"/>
      <c r="JCP38" s="562"/>
      <c r="JCQ38" s="562"/>
      <c r="JCR38" s="562"/>
      <c r="JCS38" s="562"/>
      <c r="JCT38" s="562"/>
      <c r="JCU38" s="562"/>
      <c r="JCV38" s="562"/>
      <c r="JCW38" s="562"/>
      <c r="JCX38" s="562"/>
      <c r="JCY38" s="562"/>
      <c r="JCZ38" s="562"/>
      <c r="JDA38" s="562"/>
      <c r="JDB38" s="562"/>
      <c r="JDC38" s="562"/>
      <c r="JDD38" s="562"/>
      <c r="JDE38" s="562"/>
      <c r="JDF38" s="562"/>
      <c r="JDG38" s="562"/>
      <c r="JDH38" s="562"/>
      <c r="JDI38" s="562"/>
      <c r="JDJ38" s="562"/>
      <c r="JDK38" s="562"/>
      <c r="JDL38" s="562"/>
      <c r="JDM38" s="562"/>
      <c r="JDN38" s="562"/>
      <c r="JDO38" s="562"/>
      <c r="JDP38" s="562"/>
      <c r="JDQ38" s="562"/>
      <c r="JDR38" s="562"/>
      <c r="JDS38" s="562"/>
      <c r="JDT38" s="562"/>
      <c r="JDU38" s="562"/>
      <c r="JDV38" s="562"/>
      <c r="JDW38" s="562"/>
      <c r="JDX38" s="562"/>
      <c r="JDY38" s="562"/>
      <c r="JDZ38" s="562"/>
      <c r="JEA38" s="562"/>
      <c r="JEB38" s="562"/>
      <c r="JEC38" s="562"/>
      <c r="JED38" s="562"/>
      <c r="JEE38" s="562"/>
      <c r="JEF38" s="562"/>
      <c r="JEG38" s="562"/>
      <c r="JEH38" s="562"/>
      <c r="JEI38" s="562"/>
      <c r="JEJ38" s="562"/>
      <c r="JEK38" s="562"/>
      <c r="JEL38" s="562"/>
      <c r="JEM38" s="562"/>
      <c r="JEN38" s="562"/>
      <c r="JEO38" s="562"/>
      <c r="JEP38" s="562"/>
      <c r="JEQ38" s="562"/>
      <c r="JER38" s="562"/>
      <c r="JES38" s="562"/>
      <c r="JET38" s="562"/>
      <c r="JEU38" s="562"/>
      <c r="JEV38" s="562"/>
      <c r="JEW38" s="562"/>
      <c r="JEX38" s="562"/>
      <c r="JEY38" s="562"/>
      <c r="JEZ38" s="562"/>
      <c r="JFA38" s="562"/>
      <c r="JFB38" s="562"/>
      <c r="JFC38" s="562"/>
      <c r="JFD38" s="562"/>
      <c r="JFE38" s="562"/>
      <c r="JFF38" s="562"/>
      <c r="JFG38" s="562"/>
      <c r="JFH38" s="562"/>
      <c r="JFI38" s="562"/>
      <c r="JFJ38" s="562"/>
      <c r="JFK38" s="562"/>
      <c r="JFL38" s="562"/>
      <c r="JFM38" s="562"/>
      <c r="JFN38" s="562"/>
      <c r="JFO38" s="562"/>
      <c r="JFP38" s="562"/>
      <c r="JFQ38" s="562"/>
      <c r="JFR38" s="562"/>
      <c r="JFS38" s="562"/>
      <c r="JFT38" s="562"/>
      <c r="JFU38" s="562"/>
      <c r="JFV38" s="562"/>
      <c r="JFW38" s="562"/>
      <c r="JFX38" s="562"/>
      <c r="JFY38" s="562"/>
      <c r="JFZ38" s="562"/>
      <c r="JGA38" s="562"/>
      <c r="JGB38" s="562"/>
      <c r="JGC38" s="562"/>
      <c r="JGD38" s="562"/>
      <c r="JGE38" s="562"/>
      <c r="JGF38" s="562"/>
      <c r="JGG38" s="562"/>
      <c r="JGH38" s="562"/>
      <c r="JGI38" s="562"/>
      <c r="JGJ38" s="562"/>
      <c r="JGK38" s="562"/>
      <c r="JGL38" s="562"/>
      <c r="JGM38" s="562"/>
      <c r="JGN38" s="562"/>
      <c r="JGO38" s="562"/>
      <c r="JGP38" s="562"/>
      <c r="JGQ38" s="562"/>
      <c r="JGR38" s="562"/>
      <c r="JGS38" s="562"/>
      <c r="JGT38" s="562"/>
      <c r="JGU38" s="562"/>
      <c r="JGV38" s="562"/>
      <c r="JGW38" s="562"/>
      <c r="JGX38" s="562"/>
      <c r="JGY38" s="562"/>
      <c r="JGZ38" s="562"/>
      <c r="JHA38" s="562"/>
      <c r="JHB38" s="562"/>
      <c r="JHC38" s="562"/>
      <c r="JHD38" s="562"/>
      <c r="JHE38" s="562"/>
      <c r="JHF38" s="562"/>
      <c r="JHG38" s="562"/>
      <c r="JHH38" s="562"/>
      <c r="JHI38" s="562"/>
      <c r="JHJ38" s="562"/>
      <c r="JHK38" s="562"/>
      <c r="JHL38" s="562"/>
      <c r="JHM38" s="562"/>
      <c r="JHN38" s="562"/>
      <c r="JHO38" s="562"/>
      <c r="JHP38" s="562"/>
      <c r="JHQ38" s="562"/>
      <c r="JHR38" s="562"/>
      <c r="JHS38" s="562"/>
      <c r="JHT38" s="562"/>
      <c r="JHU38" s="562"/>
      <c r="JHV38" s="562"/>
      <c r="JHW38" s="562"/>
      <c r="JHX38" s="562"/>
      <c r="JHY38" s="562"/>
      <c r="JHZ38" s="562"/>
      <c r="JIA38" s="562"/>
      <c r="JIB38" s="562"/>
      <c r="JIC38" s="562"/>
      <c r="JID38" s="562"/>
      <c r="JIE38" s="562"/>
      <c r="JIF38" s="562"/>
      <c r="JIG38" s="562"/>
      <c r="JIH38" s="562"/>
      <c r="JII38" s="562"/>
      <c r="JIJ38" s="562"/>
      <c r="JIK38" s="562"/>
      <c r="JIL38" s="562"/>
      <c r="JIM38" s="562"/>
      <c r="JIN38" s="562"/>
      <c r="JIO38" s="562"/>
      <c r="JIP38" s="562"/>
      <c r="JIQ38" s="562"/>
      <c r="JIR38" s="562"/>
      <c r="JIS38" s="562"/>
      <c r="JIT38" s="562"/>
      <c r="JIU38" s="562"/>
      <c r="JIV38" s="562"/>
      <c r="JIW38" s="562"/>
      <c r="JIX38" s="562"/>
      <c r="JIY38" s="562"/>
      <c r="JIZ38" s="562"/>
      <c r="JJA38" s="562"/>
      <c r="JJB38" s="562"/>
      <c r="JJC38" s="562"/>
      <c r="JJD38" s="562"/>
      <c r="JJE38" s="562"/>
      <c r="JJF38" s="562"/>
      <c r="JJG38" s="562"/>
      <c r="JJH38" s="562"/>
      <c r="JJI38" s="562"/>
      <c r="JJJ38" s="562"/>
      <c r="JJK38" s="562"/>
      <c r="JJL38" s="562"/>
      <c r="JJM38" s="562"/>
      <c r="JJN38" s="562"/>
      <c r="JJO38" s="562"/>
      <c r="JJP38" s="562"/>
      <c r="JJQ38" s="562"/>
      <c r="JJR38" s="562"/>
      <c r="JJS38" s="562"/>
      <c r="JJT38" s="562"/>
      <c r="JJU38" s="562"/>
      <c r="JJV38" s="562"/>
      <c r="JJW38" s="562"/>
      <c r="JJX38" s="562"/>
      <c r="JJY38" s="562"/>
      <c r="JJZ38" s="562"/>
      <c r="JKA38" s="562"/>
      <c r="JKB38" s="562"/>
      <c r="JKC38" s="562"/>
      <c r="JKD38" s="562"/>
      <c r="JKE38" s="562"/>
      <c r="JKF38" s="562"/>
      <c r="JKG38" s="562"/>
      <c r="JKH38" s="562"/>
      <c r="JKI38" s="562"/>
      <c r="JKJ38" s="562"/>
      <c r="JKK38" s="562"/>
      <c r="JKL38" s="562"/>
      <c r="JKM38" s="562"/>
      <c r="JKN38" s="562"/>
      <c r="JKO38" s="562"/>
      <c r="JKP38" s="562"/>
      <c r="JKQ38" s="562"/>
      <c r="JKR38" s="562"/>
      <c r="JKS38" s="562"/>
      <c r="JKT38" s="562"/>
      <c r="JKU38" s="562"/>
      <c r="JKV38" s="562"/>
      <c r="JKW38" s="562"/>
      <c r="JKX38" s="562"/>
      <c r="JKY38" s="562"/>
      <c r="JKZ38" s="562"/>
      <c r="JLA38" s="562"/>
      <c r="JLB38" s="562"/>
      <c r="JLC38" s="562"/>
      <c r="JLD38" s="562"/>
      <c r="JLE38" s="562"/>
      <c r="JLF38" s="562"/>
      <c r="JLG38" s="562"/>
      <c r="JLH38" s="562"/>
      <c r="JLI38" s="562"/>
      <c r="JLJ38" s="562"/>
      <c r="JLK38" s="562"/>
      <c r="JLL38" s="562"/>
      <c r="JLM38" s="562"/>
      <c r="JLN38" s="562"/>
      <c r="JLO38" s="562"/>
      <c r="JLP38" s="562"/>
      <c r="JLQ38" s="562"/>
      <c r="JLR38" s="562"/>
      <c r="JLS38" s="562"/>
      <c r="JLT38" s="562"/>
      <c r="JLU38" s="562"/>
      <c r="JLV38" s="562"/>
      <c r="JLW38" s="562"/>
      <c r="JLX38" s="562"/>
      <c r="JLY38" s="562"/>
      <c r="JLZ38" s="562"/>
      <c r="JMA38" s="562"/>
      <c r="JMB38" s="562"/>
      <c r="JMC38" s="562"/>
      <c r="JMD38" s="562"/>
      <c r="JME38" s="562"/>
      <c r="JMF38" s="562"/>
      <c r="JMG38" s="562"/>
      <c r="JMH38" s="562"/>
      <c r="JMI38" s="562"/>
      <c r="JMJ38" s="562"/>
      <c r="JMK38" s="562"/>
      <c r="JML38" s="562"/>
      <c r="JMM38" s="562"/>
      <c r="JMN38" s="562"/>
      <c r="JMO38" s="562"/>
      <c r="JMP38" s="562"/>
      <c r="JMQ38" s="562"/>
      <c r="JMR38" s="562"/>
      <c r="JMS38" s="562"/>
      <c r="JMT38" s="562"/>
      <c r="JMU38" s="562"/>
      <c r="JMV38" s="562"/>
      <c r="JMW38" s="562"/>
      <c r="JMX38" s="562"/>
      <c r="JMY38" s="562"/>
      <c r="JMZ38" s="562"/>
      <c r="JNA38" s="562"/>
      <c r="JNB38" s="562"/>
      <c r="JNC38" s="562"/>
      <c r="JND38" s="562"/>
      <c r="JNE38" s="562"/>
      <c r="JNF38" s="562"/>
      <c r="JNG38" s="562"/>
      <c r="JNH38" s="562"/>
      <c r="JNI38" s="562"/>
      <c r="JNJ38" s="562"/>
      <c r="JNK38" s="562"/>
      <c r="JNL38" s="562"/>
      <c r="JNM38" s="562"/>
      <c r="JNN38" s="562"/>
      <c r="JNO38" s="562"/>
      <c r="JNP38" s="562"/>
      <c r="JNQ38" s="562"/>
      <c r="JNR38" s="562"/>
      <c r="JNS38" s="562"/>
      <c r="JNT38" s="562"/>
      <c r="JNU38" s="562"/>
      <c r="JNV38" s="562"/>
      <c r="JNW38" s="562"/>
      <c r="JNX38" s="562"/>
      <c r="JNY38" s="562"/>
      <c r="JNZ38" s="562"/>
      <c r="JOA38" s="562"/>
      <c r="JOB38" s="562"/>
      <c r="JOC38" s="562"/>
      <c r="JOD38" s="562"/>
      <c r="JOE38" s="562"/>
      <c r="JOF38" s="562"/>
      <c r="JOG38" s="562"/>
      <c r="JOH38" s="562"/>
      <c r="JOI38" s="562"/>
      <c r="JOJ38" s="562"/>
      <c r="JOK38" s="562"/>
      <c r="JOL38" s="562"/>
      <c r="JOM38" s="562"/>
      <c r="JON38" s="562"/>
      <c r="JOO38" s="562"/>
      <c r="JOP38" s="562"/>
      <c r="JOQ38" s="562"/>
      <c r="JOR38" s="562"/>
      <c r="JOS38" s="562"/>
      <c r="JOT38" s="562"/>
      <c r="JOU38" s="562"/>
      <c r="JOV38" s="562"/>
      <c r="JOW38" s="562"/>
      <c r="JOX38" s="562"/>
      <c r="JOY38" s="562"/>
      <c r="JOZ38" s="562"/>
      <c r="JPA38" s="562"/>
      <c r="JPB38" s="562"/>
      <c r="JPC38" s="562"/>
      <c r="JPD38" s="562"/>
      <c r="JPE38" s="562"/>
      <c r="JPF38" s="562"/>
      <c r="JPG38" s="562"/>
      <c r="JPH38" s="562"/>
      <c r="JPI38" s="562"/>
      <c r="JPJ38" s="562"/>
      <c r="JPK38" s="562"/>
      <c r="JPL38" s="562"/>
      <c r="JPM38" s="562"/>
      <c r="JPN38" s="562"/>
      <c r="JPO38" s="562"/>
      <c r="JPP38" s="562"/>
      <c r="JPQ38" s="562"/>
      <c r="JPR38" s="562"/>
      <c r="JPS38" s="562"/>
      <c r="JPT38" s="562"/>
      <c r="JPU38" s="562"/>
      <c r="JPV38" s="562"/>
      <c r="JPW38" s="562"/>
      <c r="JPX38" s="562"/>
      <c r="JPY38" s="562"/>
      <c r="JPZ38" s="562"/>
      <c r="JQA38" s="562"/>
      <c r="JQB38" s="562"/>
      <c r="JQC38" s="562"/>
      <c r="JQD38" s="562"/>
      <c r="JQE38" s="562"/>
      <c r="JQF38" s="562"/>
      <c r="JQG38" s="562"/>
      <c r="JQH38" s="562"/>
      <c r="JQI38" s="562"/>
      <c r="JQJ38" s="562"/>
      <c r="JQK38" s="562"/>
      <c r="JQL38" s="562"/>
      <c r="JQM38" s="562"/>
      <c r="JQN38" s="562"/>
      <c r="JQO38" s="562"/>
      <c r="JQP38" s="562"/>
      <c r="JQQ38" s="562"/>
      <c r="JQR38" s="562"/>
      <c r="JQS38" s="562"/>
      <c r="JQT38" s="562"/>
      <c r="JQU38" s="562"/>
      <c r="JQV38" s="562"/>
      <c r="JQW38" s="562"/>
      <c r="JQX38" s="562"/>
      <c r="JQY38" s="562"/>
      <c r="JQZ38" s="562"/>
      <c r="JRA38" s="562"/>
      <c r="JRB38" s="562"/>
      <c r="JRC38" s="562"/>
      <c r="JRD38" s="562"/>
      <c r="JRE38" s="562"/>
      <c r="JRF38" s="562"/>
      <c r="JRG38" s="562"/>
      <c r="JRH38" s="562"/>
      <c r="JRI38" s="562"/>
      <c r="JRJ38" s="562"/>
      <c r="JRK38" s="562"/>
      <c r="JRL38" s="562"/>
      <c r="JRM38" s="562"/>
      <c r="JRN38" s="562"/>
      <c r="JRO38" s="562"/>
      <c r="JRP38" s="562"/>
      <c r="JRQ38" s="562"/>
      <c r="JRR38" s="562"/>
      <c r="JRS38" s="562"/>
      <c r="JRT38" s="562"/>
      <c r="JRU38" s="562"/>
      <c r="JRV38" s="562"/>
      <c r="JRW38" s="562"/>
      <c r="JRX38" s="562"/>
      <c r="JRY38" s="562"/>
      <c r="JRZ38" s="562"/>
      <c r="JSA38" s="562"/>
      <c r="JSB38" s="562"/>
      <c r="JSC38" s="562"/>
      <c r="JSD38" s="562"/>
      <c r="JSE38" s="562"/>
      <c r="JSF38" s="562"/>
      <c r="JSG38" s="562"/>
      <c r="JSH38" s="562"/>
      <c r="JSI38" s="562"/>
      <c r="JSJ38" s="562"/>
      <c r="JSK38" s="562"/>
      <c r="JSL38" s="562"/>
      <c r="JSM38" s="562"/>
      <c r="JSN38" s="562"/>
      <c r="JSO38" s="562"/>
      <c r="JSP38" s="562"/>
      <c r="JSQ38" s="562"/>
      <c r="JSR38" s="562"/>
      <c r="JSS38" s="562"/>
      <c r="JST38" s="562"/>
      <c r="JSU38" s="562"/>
      <c r="JSV38" s="562"/>
      <c r="JSW38" s="562"/>
      <c r="JSX38" s="562"/>
      <c r="JSY38" s="562"/>
      <c r="JSZ38" s="562"/>
      <c r="JTA38" s="562"/>
      <c r="JTB38" s="562"/>
      <c r="JTC38" s="562"/>
      <c r="JTD38" s="562"/>
      <c r="JTE38" s="562"/>
      <c r="JTF38" s="562"/>
      <c r="JTG38" s="562"/>
      <c r="JTH38" s="562"/>
      <c r="JTI38" s="562"/>
      <c r="JTJ38" s="562"/>
      <c r="JTK38" s="562"/>
      <c r="JTL38" s="562"/>
      <c r="JTM38" s="562"/>
      <c r="JTN38" s="562"/>
      <c r="JTO38" s="562"/>
      <c r="JTP38" s="562"/>
      <c r="JTQ38" s="562"/>
      <c r="JTR38" s="562"/>
      <c r="JTS38" s="562"/>
      <c r="JTT38" s="562"/>
      <c r="JTU38" s="562"/>
      <c r="JTV38" s="562"/>
      <c r="JTW38" s="562"/>
      <c r="JTX38" s="562"/>
      <c r="JTY38" s="562"/>
      <c r="JTZ38" s="562"/>
      <c r="JUA38" s="562"/>
      <c r="JUB38" s="562"/>
      <c r="JUC38" s="562"/>
      <c r="JUD38" s="562"/>
      <c r="JUE38" s="562"/>
      <c r="JUF38" s="562"/>
      <c r="JUG38" s="562"/>
      <c r="JUH38" s="562"/>
      <c r="JUI38" s="562"/>
      <c r="JUJ38" s="562"/>
      <c r="JUK38" s="562"/>
      <c r="JUL38" s="562"/>
      <c r="JUM38" s="562"/>
      <c r="JUN38" s="562"/>
      <c r="JUO38" s="562"/>
      <c r="JUP38" s="562"/>
      <c r="JUQ38" s="562"/>
      <c r="JUR38" s="562"/>
      <c r="JUS38" s="562"/>
      <c r="JUT38" s="562"/>
      <c r="JUU38" s="562"/>
      <c r="JUV38" s="562"/>
      <c r="JUW38" s="562"/>
      <c r="JUX38" s="562"/>
      <c r="JUY38" s="562"/>
      <c r="JUZ38" s="562"/>
      <c r="JVA38" s="562"/>
      <c r="JVB38" s="562"/>
      <c r="JVC38" s="562"/>
      <c r="JVD38" s="562"/>
      <c r="JVE38" s="562"/>
      <c r="JVF38" s="562"/>
      <c r="JVG38" s="562"/>
      <c r="JVH38" s="562"/>
      <c r="JVI38" s="562"/>
      <c r="JVJ38" s="562"/>
      <c r="JVK38" s="562"/>
      <c r="JVL38" s="562"/>
      <c r="JVM38" s="562"/>
      <c r="JVN38" s="562"/>
      <c r="JVO38" s="562"/>
      <c r="JVP38" s="562"/>
      <c r="JVQ38" s="562"/>
      <c r="JVR38" s="562"/>
      <c r="JVS38" s="562"/>
      <c r="JVT38" s="562"/>
      <c r="JVU38" s="562"/>
      <c r="JVV38" s="562"/>
      <c r="JVW38" s="562"/>
      <c r="JVX38" s="562"/>
      <c r="JVY38" s="562"/>
      <c r="JVZ38" s="562"/>
      <c r="JWA38" s="562"/>
      <c r="JWB38" s="562"/>
      <c r="JWC38" s="562"/>
      <c r="JWD38" s="562"/>
      <c r="JWE38" s="562"/>
      <c r="JWF38" s="562"/>
      <c r="JWG38" s="562"/>
      <c r="JWH38" s="562"/>
      <c r="JWI38" s="562"/>
      <c r="JWJ38" s="562"/>
      <c r="JWK38" s="562"/>
      <c r="JWL38" s="562"/>
      <c r="JWM38" s="562"/>
      <c r="JWN38" s="562"/>
      <c r="JWO38" s="562"/>
      <c r="JWP38" s="562"/>
      <c r="JWQ38" s="562"/>
      <c r="JWR38" s="562"/>
      <c r="JWS38" s="562"/>
      <c r="JWT38" s="562"/>
      <c r="JWU38" s="562"/>
      <c r="JWV38" s="562"/>
      <c r="JWW38" s="562"/>
      <c r="JWX38" s="562"/>
      <c r="JWY38" s="562"/>
      <c r="JWZ38" s="562"/>
      <c r="JXA38" s="562"/>
      <c r="JXB38" s="562"/>
      <c r="JXC38" s="562"/>
      <c r="JXD38" s="562"/>
      <c r="JXE38" s="562"/>
      <c r="JXF38" s="562"/>
      <c r="JXG38" s="562"/>
      <c r="JXH38" s="562"/>
      <c r="JXI38" s="562"/>
      <c r="JXJ38" s="562"/>
      <c r="JXK38" s="562"/>
      <c r="JXL38" s="562"/>
      <c r="JXM38" s="562"/>
      <c r="JXN38" s="562"/>
      <c r="JXO38" s="562"/>
      <c r="JXP38" s="562"/>
      <c r="JXQ38" s="562"/>
      <c r="JXR38" s="562"/>
      <c r="JXS38" s="562"/>
      <c r="JXT38" s="562"/>
      <c r="JXU38" s="562"/>
      <c r="JXV38" s="562"/>
      <c r="JXW38" s="562"/>
      <c r="JXX38" s="562"/>
      <c r="JXY38" s="562"/>
      <c r="JXZ38" s="562"/>
      <c r="JYA38" s="562"/>
      <c r="JYB38" s="562"/>
      <c r="JYC38" s="562"/>
      <c r="JYD38" s="562"/>
      <c r="JYE38" s="562"/>
      <c r="JYF38" s="562"/>
      <c r="JYG38" s="562"/>
      <c r="JYH38" s="562"/>
      <c r="JYI38" s="562"/>
      <c r="JYJ38" s="562"/>
      <c r="JYK38" s="562"/>
      <c r="JYL38" s="562"/>
      <c r="JYM38" s="562"/>
      <c r="JYN38" s="562"/>
      <c r="JYO38" s="562"/>
      <c r="JYP38" s="562"/>
      <c r="JYQ38" s="562"/>
      <c r="JYR38" s="562"/>
      <c r="JYS38" s="562"/>
      <c r="JYT38" s="562"/>
      <c r="JYU38" s="562"/>
      <c r="JYV38" s="562"/>
      <c r="JYW38" s="562"/>
      <c r="JYX38" s="562"/>
      <c r="JYY38" s="562"/>
      <c r="JYZ38" s="562"/>
      <c r="JZA38" s="562"/>
      <c r="JZB38" s="562"/>
      <c r="JZC38" s="562"/>
      <c r="JZD38" s="562"/>
      <c r="JZE38" s="562"/>
      <c r="JZF38" s="562"/>
      <c r="JZG38" s="562"/>
      <c r="JZH38" s="562"/>
      <c r="JZI38" s="562"/>
      <c r="JZJ38" s="562"/>
      <c r="JZK38" s="562"/>
      <c r="JZL38" s="562"/>
      <c r="JZM38" s="562"/>
      <c r="JZN38" s="562"/>
      <c r="JZO38" s="562"/>
      <c r="JZP38" s="562"/>
      <c r="JZQ38" s="562"/>
      <c r="JZR38" s="562"/>
      <c r="JZS38" s="562"/>
      <c r="JZT38" s="562"/>
      <c r="JZU38" s="562"/>
      <c r="JZV38" s="562"/>
      <c r="JZW38" s="562"/>
      <c r="JZX38" s="562"/>
      <c r="JZY38" s="562"/>
      <c r="JZZ38" s="562"/>
      <c r="KAA38" s="562"/>
      <c r="KAB38" s="562"/>
      <c r="KAC38" s="562"/>
      <c r="KAD38" s="562"/>
      <c r="KAE38" s="562"/>
      <c r="KAF38" s="562"/>
      <c r="KAG38" s="562"/>
      <c r="KAH38" s="562"/>
      <c r="KAI38" s="562"/>
      <c r="KAJ38" s="562"/>
      <c r="KAK38" s="562"/>
      <c r="KAL38" s="562"/>
      <c r="KAM38" s="562"/>
      <c r="KAN38" s="562"/>
      <c r="KAO38" s="562"/>
      <c r="KAP38" s="562"/>
      <c r="KAQ38" s="562"/>
      <c r="KAR38" s="562"/>
      <c r="KAS38" s="562"/>
      <c r="KAT38" s="562"/>
      <c r="KAU38" s="562"/>
      <c r="KAV38" s="562"/>
      <c r="KAW38" s="562"/>
      <c r="KAX38" s="562"/>
      <c r="KAY38" s="562"/>
      <c r="KAZ38" s="562"/>
      <c r="KBA38" s="562"/>
      <c r="KBB38" s="562"/>
      <c r="KBC38" s="562"/>
      <c r="KBD38" s="562"/>
      <c r="KBE38" s="562"/>
      <c r="KBF38" s="562"/>
      <c r="KBG38" s="562"/>
      <c r="KBH38" s="562"/>
      <c r="KBI38" s="562"/>
      <c r="KBJ38" s="562"/>
      <c r="KBK38" s="562"/>
      <c r="KBL38" s="562"/>
      <c r="KBM38" s="562"/>
      <c r="KBN38" s="562"/>
      <c r="KBO38" s="562"/>
      <c r="KBP38" s="562"/>
      <c r="KBQ38" s="562"/>
      <c r="KBR38" s="562"/>
      <c r="KBS38" s="562"/>
      <c r="KBT38" s="562"/>
      <c r="KBU38" s="562"/>
      <c r="KBV38" s="562"/>
      <c r="KBW38" s="562"/>
      <c r="KBX38" s="562"/>
      <c r="KBY38" s="562"/>
      <c r="KBZ38" s="562"/>
      <c r="KCA38" s="562"/>
      <c r="KCB38" s="562"/>
      <c r="KCC38" s="562"/>
      <c r="KCD38" s="562"/>
      <c r="KCE38" s="562"/>
      <c r="KCF38" s="562"/>
      <c r="KCG38" s="562"/>
      <c r="KCH38" s="562"/>
      <c r="KCI38" s="562"/>
      <c r="KCJ38" s="562"/>
      <c r="KCK38" s="562"/>
      <c r="KCL38" s="562"/>
      <c r="KCM38" s="562"/>
      <c r="KCN38" s="562"/>
      <c r="KCO38" s="562"/>
      <c r="KCP38" s="562"/>
      <c r="KCQ38" s="562"/>
      <c r="KCR38" s="562"/>
      <c r="KCS38" s="562"/>
      <c r="KCT38" s="562"/>
      <c r="KCU38" s="562"/>
      <c r="KCV38" s="562"/>
      <c r="KCW38" s="562"/>
      <c r="KCX38" s="562"/>
      <c r="KCY38" s="562"/>
      <c r="KCZ38" s="562"/>
      <c r="KDA38" s="562"/>
      <c r="KDB38" s="562"/>
      <c r="KDC38" s="562"/>
      <c r="KDD38" s="562"/>
      <c r="KDE38" s="562"/>
      <c r="KDF38" s="562"/>
      <c r="KDG38" s="562"/>
      <c r="KDH38" s="562"/>
      <c r="KDI38" s="562"/>
      <c r="KDJ38" s="562"/>
      <c r="KDK38" s="562"/>
      <c r="KDL38" s="562"/>
      <c r="KDM38" s="562"/>
      <c r="KDN38" s="562"/>
      <c r="KDO38" s="562"/>
      <c r="KDP38" s="562"/>
      <c r="KDQ38" s="562"/>
      <c r="KDR38" s="562"/>
      <c r="KDS38" s="562"/>
      <c r="KDT38" s="562"/>
      <c r="KDU38" s="562"/>
      <c r="KDV38" s="562"/>
      <c r="KDW38" s="562"/>
      <c r="KDX38" s="562"/>
      <c r="KDY38" s="562"/>
      <c r="KDZ38" s="562"/>
      <c r="KEA38" s="562"/>
      <c r="KEB38" s="562"/>
      <c r="KEC38" s="562"/>
      <c r="KED38" s="562"/>
      <c r="KEE38" s="562"/>
      <c r="KEF38" s="562"/>
      <c r="KEG38" s="562"/>
      <c r="KEH38" s="562"/>
      <c r="KEI38" s="562"/>
      <c r="KEJ38" s="562"/>
      <c r="KEK38" s="562"/>
      <c r="KEL38" s="562"/>
      <c r="KEM38" s="562"/>
      <c r="KEN38" s="562"/>
      <c r="KEO38" s="562"/>
      <c r="KEP38" s="562"/>
      <c r="KEQ38" s="562"/>
      <c r="KER38" s="562"/>
      <c r="KES38" s="562"/>
      <c r="KET38" s="562"/>
      <c r="KEU38" s="562"/>
      <c r="KEV38" s="562"/>
      <c r="KEW38" s="562"/>
      <c r="KEX38" s="562"/>
      <c r="KEY38" s="562"/>
      <c r="KEZ38" s="562"/>
      <c r="KFA38" s="562"/>
      <c r="KFB38" s="562"/>
      <c r="KFC38" s="562"/>
      <c r="KFD38" s="562"/>
      <c r="KFE38" s="562"/>
      <c r="KFF38" s="562"/>
      <c r="KFG38" s="562"/>
      <c r="KFH38" s="562"/>
      <c r="KFI38" s="562"/>
      <c r="KFJ38" s="562"/>
      <c r="KFK38" s="562"/>
      <c r="KFL38" s="562"/>
      <c r="KFM38" s="562"/>
      <c r="KFN38" s="562"/>
      <c r="KFO38" s="562"/>
      <c r="KFP38" s="562"/>
      <c r="KFQ38" s="562"/>
      <c r="KFR38" s="562"/>
      <c r="KFS38" s="562"/>
      <c r="KFT38" s="562"/>
      <c r="KFU38" s="562"/>
      <c r="KFV38" s="562"/>
      <c r="KFW38" s="562"/>
      <c r="KFX38" s="562"/>
      <c r="KFY38" s="562"/>
      <c r="KFZ38" s="562"/>
      <c r="KGA38" s="562"/>
      <c r="KGB38" s="562"/>
      <c r="KGC38" s="562"/>
      <c r="KGD38" s="562"/>
      <c r="KGE38" s="562"/>
      <c r="KGF38" s="562"/>
      <c r="KGG38" s="562"/>
      <c r="KGH38" s="562"/>
      <c r="KGI38" s="562"/>
      <c r="KGJ38" s="562"/>
      <c r="KGK38" s="562"/>
      <c r="KGL38" s="562"/>
      <c r="KGM38" s="562"/>
      <c r="KGN38" s="562"/>
      <c r="KGO38" s="562"/>
      <c r="KGP38" s="562"/>
      <c r="KGQ38" s="562"/>
      <c r="KGR38" s="562"/>
      <c r="KGS38" s="562"/>
      <c r="KGT38" s="562"/>
      <c r="KGU38" s="562"/>
      <c r="KGV38" s="562"/>
      <c r="KGW38" s="562"/>
      <c r="KGX38" s="562"/>
      <c r="KGY38" s="562"/>
      <c r="KGZ38" s="562"/>
      <c r="KHA38" s="562"/>
      <c r="KHB38" s="562"/>
      <c r="KHC38" s="562"/>
      <c r="KHD38" s="562"/>
      <c r="KHE38" s="562"/>
      <c r="KHF38" s="562"/>
      <c r="KHG38" s="562"/>
      <c r="KHH38" s="562"/>
      <c r="KHI38" s="562"/>
      <c r="KHJ38" s="562"/>
      <c r="KHK38" s="562"/>
      <c r="KHL38" s="562"/>
      <c r="KHM38" s="562"/>
      <c r="KHN38" s="562"/>
      <c r="KHO38" s="562"/>
      <c r="KHP38" s="562"/>
      <c r="KHQ38" s="562"/>
      <c r="KHR38" s="562"/>
      <c r="KHS38" s="562"/>
      <c r="KHT38" s="562"/>
      <c r="KHU38" s="562"/>
      <c r="KHV38" s="562"/>
      <c r="KHW38" s="562"/>
      <c r="KHX38" s="562"/>
      <c r="KHY38" s="562"/>
      <c r="KHZ38" s="562"/>
      <c r="KIA38" s="562"/>
      <c r="KIB38" s="562"/>
      <c r="KIC38" s="562"/>
      <c r="KID38" s="562"/>
      <c r="KIE38" s="562"/>
      <c r="KIF38" s="562"/>
      <c r="KIG38" s="562"/>
      <c r="KIH38" s="562"/>
      <c r="KII38" s="562"/>
      <c r="KIJ38" s="562"/>
      <c r="KIK38" s="562"/>
      <c r="KIL38" s="562"/>
      <c r="KIM38" s="562"/>
      <c r="KIN38" s="562"/>
      <c r="KIO38" s="562"/>
      <c r="KIP38" s="562"/>
      <c r="KIQ38" s="562"/>
      <c r="KIR38" s="562"/>
      <c r="KIS38" s="562"/>
      <c r="KIT38" s="562"/>
      <c r="KIU38" s="562"/>
      <c r="KIV38" s="562"/>
      <c r="KIW38" s="562"/>
      <c r="KIX38" s="562"/>
      <c r="KIY38" s="562"/>
      <c r="KIZ38" s="562"/>
      <c r="KJA38" s="562"/>
      <c r="KJB38" s="562"/>
      <c r="KJC38" s="562"/>
      <c r="KJD38" s="562"/>
      <c r="KJE38" s="562"/>
      <c r="KJF38" s="562"/>
      <c r="KJG38" s="562"/>
      <c r="KJH38" s="562"/>
      <c r="KJI38" s="562"/>
      <c r="KJJ38" s="562"/>
      <c r="KJK38" s="562"/>
      <c r="KJL38" s="562"/>
      <c r="KJM38" s="562"/>
      <c r="KJN38" s="562"/>
      <c r="KJO38" s="562"/>
      <c r="KJP38" s="562"/>
      <c r="KJQ38" s="562"/>
      <c r="KJR38" s="562"/>
      <c r="KJS38" s="562"/>
      <c r="KJT38" s="562"/>
      <c r="KJU38" s="562"/>
      <c r="KJV38" s="562"/>
      <c r="KJW38" s="562"/>
      <c r="KJX38" s="562"/>
      <c r="KJY38" s="562"/>
      <c r="KJZ38" s="562"/>
      <c r="KKA38" s="562"/>
      <c r="KKB38" s="562"/>
      <c r="KKC38" s="562"/>
      <c r="KKD38" s="562"/>
      <c r="KKE38" s="562"/>
      <c r="KKF38" s="562"/>
      <c r="KKG38" s="562"/>
      <c r="KKH38" s="562"/>
      <c r="KKI38" s="562"/>
      <c r="KKJ38" s="562"/>
      <c r="KKK38" s="562"/>
      <c r="KKL38" s="562"/>
      <c r="KKM38" s="562"/>
      <c r="KKN38" s="562"/>
      <c r="KKO38" s="562"/>
      <c r="KKP38" s="562"/>
      <c r="KKQ38" s="562"/>
      <c r="KKR38" s="562"/>
      <c r="KKS38" s="562"/>
      <c r="KKT38" s="562"/>
      <c r="KKU38" s="562"/>
      <c r="KKV38" s="562"/>
      <c r="KKW38" s="562"/>
      <c r="KKX38" s="562"/>
      <c r="KKY38" s="562"/>
      <c r="KKZ38" s="562"/>
      <c r="KLA38" s="562"/>
      <c r="KLB38" s="562"/>
      <c r="KLC38" s="562"/>
      <c r="KLD38" s="562"/>
      <c r="KLE38" s="562"/>
      <c r="KLF38" s="562"/>
      <c r="KLG38" s="562"/>
      <c r="KLH38" s="562"/>
      <c r="KLI38" s="562"/>
      <c r="KLJ38" s="562"/>
      <c r="KLK38" s="562"/>
      <c r="KLL38" s="562"/>
      <c r="KLM38" s="562"/>
      <c r="KLN38" s="562"/>
      <c r="KLO38" s="562"/>
      <c r="KLP38" s="562"/>
      <c r="KLQ38" s="562"/>
      <c r="KLR38" s="562"/>
      <c r="KLS38" s="562"/>
      <c r="KLT38" s="562"/>
      <c r="KLU38" s="562"/>
      <c r="KLV38" s="562"/>
      <c r="KLW38" s="562"/>
      <c r="KLX38" s="562"/>
      <c r="KLY38" s="562"/>
      <c r="KLZ38" s="562"/>
      <c r="KMA38" s="562"/>
      <c r="KMB38" s="562"/>
      <c r="KMC38" s="562"/>
      <c r="KMD38" s="562"/>
      <c r="KME38" s="562"/>
      <c r="KMF38" s="562"/>
      <c r="KMG38" s="562"/>
      <c r="KMH38" s="562"/>
      <c r="KMI38" s="562"/>
      <c r="KMJ38" s="562"/>
      <c r="KMK38" s="562"/>
      <c r="KML38" s="562"/>
      <c r="KMM38" s="562"/>
      <c r="KMN38" s="562"/>
      <c r="KMO38" s="562"/>
      <c r="KMP38" s="562"/>
      <c r="KMQ38" s="562"/>
      <c r="KMR38" s="562"/>
      <c r="KMS38" s="562"/>
      <c r="KMT38" s="562"/>
      <c r="KMU38" s="562"/>
      <c r="KMV38" s="562"/>
      <c r="KMW38" s="562"/>
      <c r="KMX38" s="562"/>
      <c r="KMY38" s="562"/>
      <c r="KMZ38" s="562"/>
      <c r="KNA38" s="562"/>
      <c r="KNB38" s="562"/>
      <c r="KNC38" s="562"/>
      <c r="KND38" s="562"/>
      <c r="KNE38" s="562"/>
      <c r="KNF38" s="562"/>
      <c r="KNG38" s="562"/>
      <c r="KNH38" s="562"/>
      <c r="KNI38" s="562"/>
      <c r="KNJ38" s="562"/>
      <c r="KNK38" s="562"/>
      <c r="KNL38" s="562"/>
      <c r="KNM38" s="562"/>
      <c r="KNN38" s="562"/>
      <c r="KNO38" s="562"/>
      <c r="KNP38" s="562"/>
      <c r="KNQ38" s="562"/>
      <c r="KNR38" s="562"/>
      <c r="KNS38" s="562"/>
      <c r="KNT38" s="562"/>
      <c r="KNU38" s="562"/>
      <c r="KNV38" s="562"/>
      <c r="KNW38" s="562"/>
      <c r="KNX38" s="562"/>
      <c r="KNY38" s="562"/>
      <c r="KNZ38" s="562"/>
      <c r="KOA38" s="562"/>
      <c r="KOB38" s="562"/>
      <c r="KOC38" s="562"/>
      <c r="KOD38" s="562"/>
      <c r="KOE38" s="562"/>
      <c r="KOF38" s="562"/>
      <c r="KOG38" s="562"/>
      <c r="KOH38" s="562"/>
      <c r="KOI38" s="562"/>
      <c r="KOJ38" s="562"/>
      <c r="KOK38" s="562"/>
      <c r="KOL38" s="562"/>
      <c r="KOM38" s="562"/>
      <c r="KON38" s="562"/>
      <c r="KOO38" s="562"/>
      <c r="KOP38" s="562"/>
      <c r="KOQ38" s="562"/>
      <c r="KOR38" s="562"/>
      <c r="KOS38" s="562"/>
      <c r="KOT38" s="562"/>
      <c r="KOU38" s="562"/>
      <c r="KOV38" s="562"/>
      <c r="KOW38" s="562"/>
      <c r="KOX38" s="562"/>
      <c r="KOY38" s="562"/>
      <c r="KOZ38" s="562"/>
      <c r="KPA38" s="562"/>
      <c r="KPB38" s="562"/>
      <c r="KPC38" s="562"/>
      <c r="KPD38" s="562"/>
      <c r="KPE38" s="562"/>
      <c r="KPF38" s="562"/>
      <c r="KPG38" s="562"/>
      <c r="KPH38" s="562"/>
      <c r="KPI38" s="562"/>
      <c r="KPJ38" s="562"/>
      <c r="KPK38" s="562"/>
      <c r="KPL38" s="562"/>
      <c r="KPM38" s="562"/>
      <c r="KPN38" s="562"/>
      <c r="KPO38" s="562"/>
      <c r="KPP38" s="562"/>
      <c r="KPQ38" s="562"/>
      <c r="KPR38" s="562"/>
      <c r="KPS38" s="562"/>
      <c r="KPT38" s="562"/>
      <c r="KPU38" s="562"/>
      <c r="KPV38" s="562"/>
      <c r="KPW38" s="562"/>
      <c r="KPX38" s="562"/>
      <c r="KPY38" s="562"/>
      <c r="KPZ38" s="562"/>
      <c r="KQA38" s="562"/>
      <c r="KQB38" s="562"/>
      <c r="KQC38" s="562"/>
      <c r="KQD38" s="562"/>
      <c r="KQE38" s="562"/>
      <c r="KQF38" s="562"/>
      <c r="KQG38" s="562"/>
      <c r="KQH38" s="562"/>
      <c r="KQI38" s="562"/>
      <c r="KQJ38" s="562"/>
      <c r="KQK38" s="562"/>
      <c r="KQL38" s="562"/>
      <c r="KQM38" s="562"/>
      <c r="KQN38" s="562"/>
      <c r="KQO38" s="562"/>
      <c r="KQP38" s="562"/>
      <c r="KQQ38" s="562"/>
      <c r="KQR38" s="562"/>
      <c r="KQS38" s="562"/>
      <c r="KQT38" s="562"/>
      <c r="KQU38" s="562"/>
      <c r="KQV38" s="562"/>
      <c r="KQW38" s="562"/>
      <c r="KQX38" s="562"/>
      <c r="KQY38" s="562"/>
      <c r="KQZ38" s="562"/>
      <c r="KRA38" s="562"/>
      <c r="KRB38" s="562"/>
      <c r="KRC38" s="562"/>
      <c r="KRD38" s="562"/>
      <c r="KRE38" s="562"/>
      <c r="KRF38" s="562"/>
      <c r="KRG38" s="562"/>
      <c r="KRH38" s="562"/>
      <c r="KRI38" s="562"/>
      <c r="KRJ38" s="562"/>
      <c r="KRK38" s="562"/>
      <c r="KRL38" s="562"/>
      <c r="KRM38" s="562"/>
      <c r="KRN38" s="562"/>
      <c r="KRO38" s="562"/>
      <c r="KRP38" s="562"/>
      <c r="KRQ38" s="562"/>
      <c r="KRR38" s="562"/>
      <c r="KRS38" s="562"/>
      <c r="KRT38" s="562"/>
      <c r="KRU38" s="562"/>
      <c r="KRV38" s="562"/>
      <c r="KRW38" s="562"/>
      <c r="KRX38" s="562"/>
      <c r="KRY38" s="562"/>
      <c r="KRZ38" s="562"/>
      <c r="KSA38" s="562"/>
      <c r="KSB38" s="562"/>
      <c r="KSC38" s="562"/>
      <c r="KSD38" s="562"/>
      <c r="KSE38" s="562"/>
      <c r="KSF38" s="562"/>
      <c r="KSG38" s="562"/>
      <c r="KSH38" s="562"/>
      <c r="KSI38" s="562"/>
      <c r="KSJ38" s="562"/>
      <c r="KSK38" s="562"/>
      <c r="KSL38" s="562"/>
      <c r="KSM38" s="562"/>
      <c r="KSN38" s="562"/>
      <c r="KSO38" s="562"/>
      <c r="KSP38" s="562"/>
      <c r="KSQ38" s="562"/>
      <c r="KSR38" s="562"/>
      <c r="KSS38" s="562"/>
      <c r="KST38" s="562"/>
      <c r="KSU38" s="562"/>
      <c r="KSV38" s="562"/>
      <c r="KSW38" s="562"/>
      <c r="KSX38" s="562"/>
      <c r="KSY38" s="562"/>
      <c r="KSZ38" s="562"/>
      <c r="KTA38" s="562"/>
      <c r="KTB38" s="562"/>
      <c r="KTC38" s="562"/>
      <c r="KTD38" s="562"/>
      <c r="KTE38" s="562"/>
      <c r="KTF38" s="562"/>
      <c r="KTG38" s="562"/>
      <c r="KTH38" s="562"/>
      <c r="KTI38" s="562"/>
      <c r="KTJ38" s="562"/>
      <c r="KTK38" s="562"/>
      <c r="KTL38" s="562"/>
      <c r="KTM38" s="562"/>
      <c r="KTN38" s="562"/>
      <c r="KTO38" s="562"/>
      <c r="KTP38" s="562"/>
      <c r="KTQ38" s="562"/>
      <c r="KTR38" s="562"/>
      <c r="KTS38" s="562"/>
      <c r="KTT38" s="562"/>
      <c r="KTU38" s="562"/>
      <c r="KTV38" s="562"/>
      <c r="KTW38" s="562"/>
      <c r="KTX38" s="562"/>
      <c r="KTY38" s="562"/>
      <c r="KTZ38" s="562"/>
      <c r="KUA38" s="562"/>
      <c r="KUB38" s="562"/>
      <c r="KUC38" s="562"/>
      <c r="KUD38" s="562"/>
      <c r="KUE38" s="562"/>
      <c r="KUF38" s="562"/>
      <c r="KUG38" s="562"/>
      <c r="KUH38" s="562"/>
      <c r="KUI38" s="562"/>
      <c r="KUJ38" s="562"/>
      <c r="KUK38" s="562"/>
      <c r="KUL38" s="562"/>
      <c r="KUM38" s="562"/>
      <c r="KUN38" s="562"/>
      <c r="KUO38" s="562"/>
      <c r="KUP38" s="562"/>
      <c r="KUQ38" s="562"/>
      <c r="KUR38" s="562"/>
      <c r="KUS38" s="562"/>
      <c r="KUT38" s="562"/>
      <c r="KUU38" s="562"/>
      <c r="KUV38" s="562"/>
      <c r="KUW38" s="562"/>
      <c r="KUX38" s="562"/>
      <c r="KUY38" s="562"/>
      <c r="KUZ38" s="562"/>
      <c r="KVA38" s="562"/>
      <c r="KVB38" s="562"/>
      <c r="KVC38" s="562"/>
      <c r="KVD38" s="562"/>
      <c r="KVE38" s="562"/>
      <c r="KVF38" s="562"/>
      <c r="KVG38" s="562"/>
      <c r="KVH38" s="562"/>
      <c r="KVI38" s="562"/>
      <c r="KVJ38" s="562"/>
      <c r="KVK38" s="562"/>
      <c r="KVL38" s="562"/>
      <c r="KVM38" s="562"/>
      <c r="KVN38" s="562"/>
      <c r="KVO38" s="562"/>
      <c r="KVP38" s="562"/>
      <c r="KVQ38" s="562"/>
      <c r="KVR38" s="562"/>
      <c r="KVS38" s="562"/>
      <c r="KVT38" s="562"/>
      <c r="KVU38" s="562"/>
      <c r="KVV38" s="562"/>
      <c r="KVW38" s="562"/>
      <c r="KVX38" s="562"/>
      <c r="KVY38" s="562"/>
      <c r="KVZ38" s="562"/>
      <c r="KWA38" s="562"/>
      <c r="KWB38" s="562"/>
      <c r="KWC38" s="562"/>
      <c r="KWD38" s="562"/>
      <c r="KWE38" s="562"/>
      <c r="KWF38" s="562"/>
      <c r="KWG38" s="562"/>
      <c r="KWH38" s="562"/>
      <c r="KWI38" s="562"/>
      <c r="KWJ38" s="562"/>
      <c r="KWK38" s="562"/>
      <c r="KWL38" s="562"/>
      <c r="KWM38" s="562"/>
      <c r="KWN38" s="562"/>
      <c r="KWO38" s="562"/>
      <c r="KWP38" s="562"/>
      <c r="KWQ38" s="562"/>
      <c r="KWR38" s="562"/>
      <c r="KWS38" s="562"/>
      <c r="KWT38" s="562"/>
      <c r="KWU38" s="562"/>
      <c r="KWV38" s="562"/>
      <c r="KWW38" s="562"/>
      <c r="KWX38" s="562"/>
      <c r="KWY38" s="562"/>
      <c r="KWZ38" s="562"/>
      <c r="KXA38" s="562"/>
      <c r="KXB38" s="562"/>
      <c r="KXC38" s="562"/>
      <c r="KXD38" s="562"/>
      <c r="KXE38" s="562"/>
      <c r="KXF38" s="562"/>
      <c r="KXG38" s="562"/>
      <c r="KXH38" s="562"/>
      <c r="KXI38" s="562"/>
      <c r="KXJ38" s="562"/>
      <c r="KXK38" s="562"/>
      <c r="KXL38" s="562"/>
      <c r="KXM38" s="562"/>
      <c r="KXN38" s="562"/>
      <c r="KXO38" s="562"/>
      <c r="KXP38" s="562"/>
      <c r="KXQ38" s="562"/>
      <c r="KXR38" s="562"/>
      <c r="KXS38" s="562"/>
      <c r="KXT38" s="562"/>
      <c r="KXU38" s="562"/>
      <c r="KXV38" s="562"/>
      <c r="KXW38" s="562"/>
      <c r="KXX38" s="562"/>
      <c r="KXY38" s="562"/>
      <c r="KXZ38" s="562"/>
      <c r="KYA38" s="562"/>
      <c r="KYB38" s="562"/>
      <c r="KYC38" s="562"/>
      <c r="KYD38" s="562"/>
      <c r="KYE38" s="562"/>
      <c r="KYF38" s="562"/>
      <c r="KYG38" s="562"/>
      <c r="KYH38" s="562"/>
      <c r="KYI38" s="562"/>
      <c r="KYJ38" s="562"/>
      <c r="KYK38" s="562"/>
      <c r="KYL38" s="562"/>
      <c r="KYM38" s="562"/>
      <c r="KYN38" s="562"/>
      <c r="KYO38" s="562"/>
      <c r="KYP38" s="562"/>
      <c r="KYQ38" s="562"/>
      <c r="KYR38" s="562"/>
      <c r="KYS38" s="562"/>
      <c r="KYT38" s="562"/>
      <c r="KYU38" s="562"/>
      <c r="KYV38" s="562"/>
      <c r="KYW38" s="562"/>
      <c r="KYX38" s="562"/>
      <c r="KYY38" s="562"/>
      <c r="KYZ38" s="562"/>
      <c r="KZA38" s="562"/>
      <c r="KZB38" s="562"/>
      <c r="KZC38" s="562"/>
      <c r="KZD38" s="562"/>
      <c r="KZE38" s="562"/>
      <c r="KZF38" s="562"/>
      <c r="KZG38" s="562"/>
      <c r="KZH38" s="562"/>
      <c r="KZI38" s="562"/>
      <c r="KZJ38" s="562"/>
      <c r="KZK38" s="562"/>
      <c r="KZL38" s="562"/>
      <c r="KZM38" s="562"/>
      <c r="KZN38" s="562"/>
      <c r="KZO38" s="562"/>
      <c r="KZP38" s="562"/>
      <c r="KZQ38" s="562"/>
      <c r="KZR38" s="562"/>
      <c r="KZS38" s="562"/>
      <c r="KZT38" s="562"/>
      <c r="KZU38" s="562"/>
      <c r="KZV38" s="562"/>
      <c r="KZW38" s="562"/>
      <c r="KZX38" s="562"/>
      <c r="KZY38" s="562"/>
      <c r="KZZ38" s="562"/>
      <c r="LAA38" s="562"/>
      <c r="LAB38" s="562"/>
      <c r="LAC38" s="562"/>
      <c r="LAD38" s="562"/>
      <c r="LAE38" s="562"/>
      <c r="LAF38" s="562"/>
      <c r="LAG38" s="562"/>
      <c r="LAH38" s="562"/>
      <c r="LAI38" s="562"/>
      <c r="LAJ38" s="562"/>
      <c r="LAK38" s="562"/>
      <c r="LAL38" s="562"/>
      <c r="LAM38" s="562"/>
      <c r="LAN38" s="562"/>
      <c r="LAO38" s="562"/>
      <c r="LAP38" s="562"/>
      <c r="LAQ38" s="562"/>
      <c r="LAR38" s="562"/>
      <c r="LAS38" s="562"/>
      <c r="LAT38" s="562"/>
      <c r="LAU38" s="562"/>
      <c r="LAV38" s="562"/>
      <c r="LAW38" s="562"/>
      <c r="LAX38" s="562"/>
      <c r="LAY38" s="562"/>
      <c r="LAZ38" s="562"/>
      <c r="LBA38" s="562"/>
      <c r="LBB38" s="562"/>
      <c r="LBC38" s="562"/>
      <c r="LBD38" s="562"/>
      <c r="LBE38" s="562"/>
      <c r="LBF38" s="562"/>
      <c r="LBG38" s="562"/>
      <c r="LBH38" s="562"/>
      <c r="LBI38" s="562"/>
      <c r="LBJ38" s="562"/>
      <c r="LBK38" s="562"/>
      <c r="LBL38" s="562"/>
      <c r="LBM38" s="562"/>
      <c r="LBN38" s="562"/>
      <c r="LBO38" s="562"/>
      <c r="LBP38" s="562"/>
      <c r="LBQ38" s="562"/>
      <c r="LBR38" s="562"/>
      <c r="LBS38" s="562"/>
      <c r="LBT38" s="562"/>
      <c r="LBU38" s="562"/>
      <c r="LBV38" s="562"/>
      <c r="LBW38" s="562"/>
      <c r="LBX38" s="562"/>
      <c r="LBY38" s="562"/>
      <c r="LBZ38" s="562"/>
      <c r="LCA38" s="562"/>
      <c r="LCB38" s="562"/>
      <c r="LCC38" s="562"/>
      <c r="LCD38" s="562"/>
      <c r="LCE38" s="562"/>
      <c r="LCF38" s="562"/>
      <c r="LCG38" s="562"/>
      <c r="LCH38" s="562"/>
      <c r="LCI38" s="562"/>
      <c r="LCJ38" s="562"/>
      <c r="LCK38" s="562"/>
      <c r="LCL38" s="562"/>
      <c r="LCM38" s="562"/>
      <c r="LCN38" s="562"/>
      <c r="LCO38" s="562"/>
      <c r="LCP38" s="562"/>
      <c r="LCQ38" s="562"/>
      <c r="LCR38" s="562"/>
      <c r="LCS38" s="562"/>
      <c r="LCT38" s="562"/>
      <c r="LCU38" s="562"/>
      <c r="LCV38" s="562"/>
      <c r="LCW38" s="562"/>
      <c r="LCX38" s="562"/>
      <c r="LCY38" s="562"/>
      <c r="LCZ38" s="562"/>
      <c r="LDA38" s="562"/>
      <c r="LDB38" s="562"/>
      <c r="LDC38" s="562"/>
      <c r="LDD38" s="562"/>
      <c r="LDE38" s="562"/>
      <c r="LDF38" s="562"/>
      <c r="LDG38" s="562"/>
      <c r="LDH38" s="562"/>
      <c r="LDI38" s="562"/>
      <c r="LDJ38" s="562"/>
      <c r="LDK38" s="562"/>
      <c r="LDL38" s="562"/>
      <c r="LDM38" s="562"/>
      <c r="LDN38" s="562"/>
      <c r="LDO38" s="562"/>
      <c r="LDP38" s="562"/>
      <c r="LDQ38" s="562"/>
      <c r="LDR38" s="562"/>
      <c r="LDS38" s="562"/>
      <c r="LDT38" s="562"/>
      <c r="LDU38" s="562"/>
      <c r="LDV38" s="562"/>
      <c r="LDW38" s="562"/>
      <c r="LDX38" s="562"/>
      <c r="LDY38" s="562"/>
      <c r="LDZ38" s="562"/>
      <c r="LEA38" s="562"/>
      <c r="LEB38" s="562"/>
      <c r="LEC38" s="562"/>
      <c r="LED38" s="562"/>
      <c r="LEE38" s="562"/>
      <c r="LEF38" s="562"/>
      <c r="LEG38" s="562"/>
      <c r="LEH38" s="562"/>
      <c r="LEI38" s="562"/>
      <c r="LEJ38" s="562"/>
      <c r="LEK38" s="562"/>
      <c r="LEL38" s="562"/>
      <c r="LEM38" s="562"/>
      <c r="LEN38" s="562"/>
      <c r="LEO38" s="562"/>
      <c r="LEP38" s="562"/>
      <c r="LEQ38" s="562"/>
      <c r="LER38" s="562"/>
      <c r="LES38" s="562"/>
      <c r="LET38" s="562"/>
      <c r="LEU38" s="562"/>
      <c r="LEV38" s="562"/>
      <c r="LEW38" s="562"/>
      <c r="LEX38" s="562"/>
      <c r="LEY38" s="562"/>
      <c r="LEZ38" s="562"/>
      <c r="LFA38" s="562"/>
      <c r="LFB38" s="562"/>
      <c r="LFC38" s="562"/>
      <c r="LFD38" s="562"/>
      <c r="LFE38" s="562"/>
      <c r="LFF38" s="562"/>
      <c r="LFG38" s="562"/>
      <c r="LFH38" s="562"/>
      <c r="LFI38" s="562"/>
      <c r="LFJ38" s="562"/>
      <c r="LFK38" s="562"/>
      <c r="LFL38" s="562"/>
      <c r="LFM38" s="562"/>
      <c r="LFN38" s="562"/>
      <c r="LFO38" s="562"/>
      <c r="LFP38" s="562"/>
      <c r="LFQ38" s="562"/>
      <c r="LFR38" s="562"/>
      <c r="LFS38" s="562"/>
      <c r="LFT38" s="562"/>
      <c r="LFU38" s="562"/>
      <c r="LFV38" s="562"/>
      <c r="LFW38" s="562"/>
      <c r="LFX38" s="562"/>
      <c r="LFY38" s="562"/>
      <c r="LFZ38" s="562"/>
      <c r="LGA38" s="562"/>
      <c r="LGB38" s="562"/>
      <c r="LGC38" s="562"/>
      <c r="LGD38" s="562"/>
      <c r="LGE38" s="562"/>
      <c r="LGF38" s="562"/>
      <c r="LGG38" s="562"/>
      <c r="LGH38" s="562"/>
      <c r="LGI38" s="562"/>
      <c r="LGJ38" s="562"/>
      <c r="LGK38" s="562"/>
      <c r="LGL38" s="562"/>
      <c r="LGM38" s="562"/>
      <c r="LGN38" s="562"/>
      <c r="LGO38" s="562"/>
      <c r="LGP38" s="562"/>
      <c r="LGQ38" s="562"/>
      <c r="LGR38" s="562"/>
      <c r="LGS38" s="562"/>
      <c r="LGT38" s="562"/>
      <c r="LGU38" s="562"/>
      <c r="LGV38" s="562"/>
      <c r="LGW38" s="562"/>
      <c r="LGX38" s="562"/>
      <c r="LGY38" s="562"/>
      <c r="LGZ38" s="562"/>
      <c r="LHA38" s="562"/>
      <c r="LHB38" s="562"/>
      <c r="LHC38" s="562"/>
      <c r="LHD38" s="562"/>
      <c r="LHE38" s="562"/>
      <c r="LHF38" s="562"/>
      <c r="LHG38" s="562"/>
      <c r="LHH38" s="562"/>
      <c r="LHI38" s="562"/>
      <c r="LHJ38" s="562"/>
      <c r="LHK38" s="562"/>
      <c r="LHL38" s="562"/>
      <c r="LHM38" s="562"/>
      <c r="LHN38" s="562"/>
      <c r="LHO38" s="562"/>
      <c r="LHP38" s="562"/>
      <c r="LHQ38" s="562"/>
      <c r="LHR38" s="562"/>
      <c r="LHS38" s="562"/>
      <c r="LHT38" s="562"/>
      <c r="LHU38" s="562"/>
      <c r="LHV38" s="562"/>
      <c r="LHW38" s="562"/>
      <c r="LHX38" s="562"/>
      <c r="LHY38" s="562"/>
      <c r="LHZ38" s="562"/>
      <c r="LIA38" s="562"/>
      <c r="LIB38" s="562"/>
      <c r="LIC38" s="562"/>
      <c r="LID38" s="562"/>
      <c r="LIE38" s="562"/>
      <c r="LIF38" s="562"/>
      <c r="LIG38" s="562"/>
      <c r="LIH38" s="562"/>
      <c r="LII38" s="562"/>
      <c r="LIJ38" s="562"/>
      <c r="LIK38" s="562"/>
      <c r="LIL38" s="562"/>
      <c r="LIM38" s="562"/>
      <c r="LIN38" s="562"/>
      <c r="LIO38" s="562"/>
      <c r="LIP38" s="562"/>
      <c r="LIQ38" s="562"/>
      <c r="LIR38" s="562"/>
      <c r="LIS38" s="562"/>
      <c r="LIT38" s="562"/>
      <c r="LIU38" s="562"/>
      <c r="LIV38" s="562"/>
      <c r="LIW38" s="562"/>
      <c r="LIX38" s="562"/>
      <c r="LIY38" s="562"/>
      <c r="LIZ38" s="562"/>
      <c r="LJA38" s="562"/>
      <c r="LJB38" s="562"/>
      <c r="LJC38" s="562"/>
      <c r="LJD38" s="562"/>
      <c r="LJE38" s="562"/>
      <c r="LJF38" s="562"/>
      <c r="LJG38" s="562"/>
      <c r="LJH38" s="562"/>
      <c r="LJI38" s="562"/>
      <c r="LJJ38" s="562"/>
      <c r="LJK38" s="562"/>
      <c r="LJL38" s="562"/>
      <c r="LJM38" s="562"/>
      <c r="LJN38" s="562"/>
      <c r="LJO38" s="562"/>
      <c r="LJP38" s="562"/>
      <c r="LJQ38" s="562"/>
      <c r="LJR38" s="562"/>
      <c r="LJS38" s="562"/>
      <c r="LJT38" s="562"/>
      <c r="LJU38" s="562"/>
      <c r="LJV38" s="562"/>
      <c r="LJW38" s="562"/>
      <c r="LJX38" s="562"/>
      <c r="LJY38" s="562"/>
      <c r="LJZ38" s="562"/>
      <c r="LKA38" s="562"/>
      <c r="LKB38" s="562"/>
      <c r="LKC38" s="562"/>
      <c r="LKD38" s="562"/>
      <c r="LKE38" s="562"/>
      <c r="LKF38" s="562"/>
      <c r="LKG38" s="562"/>
      <c r="LKH38" s="562"/>
      <c r="LKI38" s="562"/>
      <c r="LKJ38" s="562"/>
      <c r="LKK38" s="562"/>
      <c r="LKL38" s="562"/>
      <c r="LKM38" s="562"/>
      <c r="LKN38" s="562"/>
      <c r="LKO38" s="562"/>
      <c r="LKP38" s="562"/>
      <c r="LKQ38" s="562"/>
      <c r="LKR38" s="562"/>
      <c r="LKS38" s="562"/>
      <c r="LKT38" s="562"/>
      <c r="LKU38" s="562"/>
      <c r="LKV38" s="562"/>
      <c r="LKW38" s="562"/>
      <c r="LKX38" s="562"/>
      <c r="LKY38" s="562"/>
      <c r="LKZ38" s="562"/>
      <c r="LLA38" s="562"/>
      <c r="LLB38" s="562"/>
      <c r="LLC38" s="562"/>
      <c r="LLD38" s="562"/>
      <c r="LLE38" s="562"/>
      <c r="LLF38" s="562"/>
      <c r="LLG38" s="562"/>
      <c r="LLH38" s="562"/>
      <c r="LLI38" s="562"/>
      <c r="LLJ38" s="562"/>
      <c r="LLK38" s="562"/>
      <c r="LLL38" s="562"/>
      <c r="LLM38" s="562"/>
      <c r="LLN38" s="562"/>
      <c r="LLO38" s="562"/>
      <c r="LLP38" s="562"/>
      <c r="LLQ38" s="562"/>
      <c r="LLR38" s="562"/>
      <c r="LLS38" s="562"/>
      <c r="LLT38" s="562"/>
      <c r="LLU38" s="562"/>
      <c r="LLV38" s="562"/>
      <c r="LLW38" s="562"/>
      <c r="LLX38" s="562"/>
      <c r="LLY38" s="562"/>
      <c r="LLZ38" s="562"/>
      <c r="LMA38" s="562"/>
      <c r="LMB38" s="562"/>
      <c r="LMC38" s="562"/>
      <c r="LMD38" s="562"/>
      <c r="LME38" s="562"/>
      <c r="LMF38" s="562"/>
      <c r="LMG38" s="562"/>
      <c r="LMH38" s="562"/>
      <c r="LMI38" s="562"/>
      <c r="LMJ38" s="562"/>
      <c r="LMK38" s="562"/>
      <c r="LML38" s="562"/>
      <c r="LMM38" s="562"/>
      <c r="LMN38" s="562"/>
      <c r="LMO38" s="562"/>
      <c r="LMP38" s="562"/>
      <c r="LMQ38" s="562"/>
      <c r="LMR38" s="562"/>
      <c r="LMS38" s="562"/>
      <c r="LMT38" s="562"/>
      <c r="LMU38" s="562"/>
      <c r="LMV38" s="562"/>
      <c r="LMW38" s="562"/>
      <c r="LMX38" s="562"/>
      <c r="LMY38" s="562"/>
      <c r="LMZ38" s="562"/>
      <c r="LNA38" s="562"/>
      <c r="LNB38" s="562"/>
      <c r="LNC38" s="562"/>
      <c r="LND38" s="562"/>
      <c r="LNE38" s="562"/>
      <c r="LNF38" s="562"/>
      <c r="LNG38" s="562"/>
      <c r="LNH38" s="562"/>
      <c r="LNI38" s="562"/>
      <c r="LNJ38" s="562"/>
      <c r="LNK38" s="562"/>
      <c r="LNL38" s="562"/>
      <c r="LNM38" s="562"/>
      <c r="LNN38" s="562"/>
      <c r="LNO38" s="562"/>
      <c r="LNP38" s="562"/>
      <c r="LNQ38" s="562"/>
      <c r="LNR38" s="562"/>
      <c r="LNS38" s="562"/>
      <c r="LNT38" s="562"/>
      <c r="LNU38" s="562"/>
      <c r="LNV38" s="562"/>
      <c r="LNW38" s="562"/>
      <c r="LNX38" s="562"/>
      <c r="LNY38" s="562"/>
      <c r="LNZ38" s="562"/>
      <c r="LOA38" s="562"/>
      <c r="LOB38" s="562"/>
      <c r="LOC38" s="562"/>
      <c r="LOD38" s="562"/>
      <c r="LOE38" s="562"/>
      <c r="LOF38" s="562"/>
      <c r="LOG38" s="562"/>
      <c r="LOH38" s="562"/>
      <c r="LOI38" s="562"/>
      <c r="LOJ38" s="562"/>
      <c r="LOK38" s="562"/>
      <c r="LOL38" s="562"/>
      <c r="LOM38" s="562"/>
      <c r="LON38" s="562"/>
      <c r="LOO38" s="562"/>
      <c r="LOP38" s="562"/>
      <c r="LOQ38" s="562"/>
      <c r="LOR38" s="562"/>
      <c r="LOS38" s="562"/>
      <c r="LOT38" s="562"/>
      <c r="LOU38" s="562"/>
      <c r="LOV38" s="562"/>
      <c r="LOW38" s="562"/>
      <c r="LOX38" s="562"/>
      <c r="LOY38" s="562"/>
      <c r="LOZ38" s="562"/>
      <c r="LPA38" s="562"/>
      <c r="LPB38" s="562"/>
      <c r="LPC38" s="562"/>
      <c r="LPD38" s="562"/>
      <c r="LPE38" s="562"/>
      <c r="LPF38" s="562"/>
      <c r="LPG38" s="562"/>
      <c r="LPH38" s="562"/>
      <c r="LPI38" s="562"/>
      <c r="LPJ38" s="562"/>
      <c r="LPK38" s="562"/>
      <c r="LPL38" s="562"/>
      <c r="LPM38" s="562"/>
      <c r="LPN38" s="562"/>
      <c r="LPO38" s="562"/>
      <c r="LPP38" s="562"/>
      <c r="LPQ38" s="562"/>
      <c r="LPR38" s="562"/>
      <c r="LPS38" s="562"/>
      <c r="LPT38" s="562"/>
      <c r="LPU38" s="562"/>
      <c r="LPV38" s="562"/>
      <c r="LPW38" s="562"/>
      <c r="LPX38" s="562"/>
      <c r="LPY38" s="562"/>
      <c r="LPZ38" s="562"/>
      <c r="LQA38" s="562"/>
      <c r="LQB38" s="562"/>
      <c r="LQC38" s="562"/>
      <c r="LQD38" s="562"/>
      <c r="LQE38" s="562"/>
      <c r="LQF38" s="562"/>
      <c r="LQG38" s="562"/>
      <c r="LQH38" s="562"/>
      <c r="LQI38" s="562"/>
      <c r="LQJ38" s="562"/>
      <c r="LQK38" s="562"/>
      <c r="LQL38" s="562"/>
      <c r="LQM38" s="562"/>
      <c r="LQN38" s="562"/>
      <c r="LQO38" s="562"/>
      <c r="LQP38" s="562"/>
      <c r="LQQ38" s="562"/>
      <c r="LQR38" s="562"/>
      <c r="LQS38" s="562"/>
      <c r="LQT38" s="562"/>
      <c r="LQU38" s="562"/>
      <c r="LQV38" s="562"/>
      <c r="LQW38" s="562"/>
      <c r="LQX38" s="562"/>
      <c r="LQY38" s="562"/>
      <c r="LQZ38" s="562"/>
      <c r="LRA38" s="562"/>
      <c r="LRB38" s="562"/>
      <c r="LRC38" s="562"/>
      <c r="LRD38" s="562"/>
      <c r="LRE38" s="562"/>
      <c r="LRF38" s="562"/>
      <c r="LRG38" s="562"/>
      <c r="LRH38" s="562"/>
      <c r="LRI38" s="562"/>
      <c r="LRJ38" s="562"/>
      <c r="LRK38" s="562"/>
      <c r="LRL38" s="562"/>
      <c r="LRM38" s="562"/>
      <c r="LRN38" s="562"/>
      <c r="LRO38" s="562"/>
      <c r="LRP38" s="562"/>
      <c r="LRQ38" s="562"/>
      <c r="LRR38" s="562"/>
      <c r="LRS38" s="562"/>
      <c r="LRT38" s="562"/>
      <c r="LRU38" s="562"/>
      <c r="LRV38" s="562"/>
      <c r="LRW38" s="562"/>
      <c r="LRX38" s="562"/>
      <c r="LRY38" s="562"/>
      <c r="LRZ38" s="562"/>
      <c r="LSA38" s="562"/>
      <c r="LSB38" s="562"/>
      <c r="LSC38" s="562"/>
      <c r="LSD38" s="562"/>
      <c r="LSE38" s="562"/>
      <c r="LSF38" s="562"/>
      <c r="LSG38" s="562"/>
      <c r="LSH38" s="562"/>
      <c r="LSI38" s="562"/>
      <c r="LSJ38" s="562"/>
      <c r="LSK38" s="562"/>
      <c r="LSL38" s="562"/>
      <c r="LSM38" s="562"/>
      <c r="LSN38" s="562"/>
      <c r="LSO38" s="562"/>
      <c r="LSP38" s="562"/>
      <c r="LSQ38" s="562"/>
      <c r="LSR38" s="562"/>
      <c r="LSS38" s="562"/>
      <c r="LST38" s="562"/>
      <c r="LSU38" s="562"/>
      <c r="LSV38" s="562"/>
      <c r="LSW38" s="562"/>
      <c r="LSX38" s="562"/>
      <c r="LSY38" s="562"/>
      <c r="LSZ38" s="562"/>
      <c r="LTA38" s="562"/>
      <c r="LTB38" s="562"/>
      <c r="LTC38" s="562"/>
      <c r="LTD38" s="562"/>
      <c r="LTE38" s="562"/>
      <c r="LTF38" s="562"/>
      <c r="LTG38" s="562"/>
      <c r="LTH38" s="562"/>
      <c r="LTI38" s="562"/>
      <c r="LTJ38" s="562"/>
      <c r="LTK38" s="562"/>
      <c r="LTL38" s="562"/>
      <c r="LTM38" s="562"/>
      <c r="LTN38" s="562"/>
      <c r="LTO38" s="562"/>
      <c r="LTP38" s="562"/>
      <c r="LTQ38" s="562"/>
      <c r="LTR38" s="562"/>
      <c r="LTS38" s="562"/>
      <c r="LTT38" s="562"/>
      <c r="LTU38" s="562"/>
      <c r="LTV38" s="562"/>
      <c r="LTW38" s="562"/>
      <c r="LTX38" s="562"/>
      <c r="LTY38" s="562"/>
      <c r="LTZ38" s="562"/>
      <c r="LUA38" s="562"/>
      <c r="LUB38" s="562"/>
      <c r="LUC38" s="562"/>
      <c r="LUD38" s="562"/>
      <c r="LUE38" s="562"/>
      <c r="LUF38" s="562"/>
      <c r="LUG38" s="562"/>
      <c r="LUH38" s="562"/>
      <c r="LUI38" s="562"/>
      <c r="LUJ38" s="562"/>
      <c r="LUK38" s="562"/>
      <c r="LUL38" s="562"/>
      <c r="LUM38" s="562"/>
      <c r="LUN38" s="562"/>
      <c r="LUO38" s="562"/>
      <c r="LUP38" s="562"/>
      <c r="LUQ38" s="562"/>
      <c r="LUR38" s="562"/>
      <c r="LUS38" s="562"/>
      <c r="LUT38" s="562"/>
      <c r="LUU38" s="562"/>
      <c r="LUV38" s="562"/>
      <c r="LUW38" s="562"/>
      <c r="LUX38" s="562"/>
      <c r="LUY38" s="562"/>
      <c r="LUZ38" s="562"/>
      <c r="LVA38" s="562"/>
      <c r="LVB38" s="562"/>
      <c r="LVC38" s="562"/>
      <c r="LVD38" s="562"/>
      <c r="LVE38" s="562"/>
      <c r="LVF38" s="562"/>
      <c r="LVG38" s="562"/>
      <c r="LVH38" s="562"/>
      <c r="LVI38" s="562"/>
      <c r="LVJ38" s="562"/>
      <c r="LVK38" s="562"/>
      <c r="LVL38" s="562"/>
      <c r="LVM38" s="562"/>
      <c r="LVN38" s="562"/>
      <c r="LVO38" s="562"/>
      <c r="LVP38" s="562"/>
      <c r="LVQ38" s="562"/>
      <c r="LVR38" s="562"/>
      <c r="LVS38" s="562"/>
      <c r="LVT38" s="562"/>
      <c r="LVU38" s="562"/>
      <c r="LVV38" s="562"/>
      <c r="LVW38" s="562"/>
      <c r="LVX38" s="562"/>
      <c r="LVY38" s="562"/>
      <c r="LVZ38" s="562"/>
      <c r="LWA38" s="562"/>
      <c r="LWB38" s="562"/>
      <c r="LWC38" s="562"/>
      <c r="LWD38" s="562"/>
      <c r="LWE38" s="562"/>
      <c r="LWF38" s="562"/>
      <c r="LWG38" s="562"/>
      <c r="LWH38" s="562"/>
      <c r="LWI38" s="562"/>
      <c r="LWJ38" s="562"/>
      <c r="LWK38" s="562"/>
      <c r="LWL38" s="562"/>
      <c r="LWM38" s="562"/>
      <c r="LWN38" s="562"/>
      <c r="LWO38" s="562"/>
      <c r="LWP38" s="562"/>
      <c r="LWQ38" s="562"/>
      <c r="LWR38" s="562"/>
      <c r="LWS38" s="562"/>
      <c r="LWT38" s="562"/>
      <c r="LWU38" s="562"/>
      <c r="LWV38" s="562"/>
      <c r="LWW38" s="562"/>
      <c r="LWX38" s="562"/>
      <c r="LWY38" s="562"/>
      <c r="LWZ38" s="562"/>
      <c r="LXA38" s="562"/>
      <c r="LXB38" s="562"/>
      <c r="LXC38" s="562"/>
      <c r="LXD38" s="562"/>
      <c r="LXE38" s="562"/>
      <c r="LXF38" s="562"/>
      <c r="LXG38" s="562"/>
      <c r="LXH38" s="562"/>
      <c r="LXI38" s="562"/>
      <c r="LXJ38" s="562"/>
      <c r="LXK38" s="562"/>
      <c r="LXL38" s="562"/>
      <c r="LXM38" s="562"/>
      <c r="LXN38" s="562"/>
      <c r="LXO38" s="562"/>
      <c r="LXP38" s="562"/>
      <c r="LXQ38" s="562"/>
      <c r="LXR38" s="562"/>
      <c r="LXS38" s="562"/>
      <c r="LXT38" s="562"/>
      <c r="LXU38" s="562"/>
      <c r="LXV38" s="562"/>
      <c r="LXW38" s="562"/>
      <c r="LXX38" s="562"/>
      <c r="LXY38" s="562"/>
      <c r="LXZ38" s="562"/>
      <c r="LYA38" s="562"/>
      <c r="LYB38" s="562"/>
      <c r="LYC38" s="562"/>
      <c r="LYD38" s="562"/>
      <c r="LYE38" s="562"/>
      <c r="LYF38" s="562"/>
      <c r="LYG38" s="562"/>
      <c r="LYH38" s="562"/>
      <c r="LYI38" s="562"/>
      <c r="LYJ38" s="562"/>
      <c r="LYK38" s="562"/>
      <c r="LYL38" s="562"/>
      <c r="LYM38" s="562"/>
      <c r="LYN38" s="562"/>
      <c r="LYO38" s="562"/>
      <c r="LYP38" s="562"/>
      <c r="LYQ38" s="562"/>
      <c r="LYR38" s="562"/>
      <c r="LYS38" s="562"/>
      <c r="LYT38" s="562"/>
      <c r="LYU38" s="562"/>
      <c r="LYV38" s="562"/>
      <c r="LYW38" s="562"/>
      <c r="LYX38" s="562"/>
      <c r="LYY38" s="562"/>
      <c r="LYZ38" s="562"/>
      <c r="LZA38" s="562"/>
      <c r="LZB38" s="562"/>
      <c r="LZC38" s="562"/>
      <c r="LZD38" s="562"/>
      <c r="LZE38" s="562"/>
      <c r="LZF38" s="562"/>
      <c r="LZG38" s="562"/>
      <c r="LZH38" s="562"/>
      <c r="LZI38" s="562"/>
      <c r="LZJ38" s="562"/>
      <c r="LZK38" s="562"/>
      <c r="LZL38" s="562"/>
      <c r="LZM38" s="562"/>
      <c r="LZN38" s="562"/>
      <c r="LZO38" s="562"/>
      <c r="LZP38" s="562"/>
      <c r="LZQ38" s="562"/>
      <c r="LZR38" s="562"/>
      <c r="LZS38" s="562"/>
      <c r="LZT38" s="562"/>
      <c r="LZU38" s="562"/>
      <c r="LZV38" s="562"/>
      <c r="LZW38" s="562"/>
      <c r="LZX38" s="562"/>
      <c r="LZY38" s="562"/>
      <c r="LZZ38" s="562"/>
      <c r="MAA38" s="562"/>
      <c r="MAB38" s="562"/>
      <c r="MAC38" s="562"/>
      <c r="MAD38" s="562"/>
      <c r="MAE38" s="562"/>
      <c r="MAF38" s="562"/>
      <c r="MAG38" s="562"/>
      <c r="MAH38" s="562"/>
      <c r="MAI38" s="562"/>
      <c r="MAJ38" s="562"/>
      <c r="MAK38" s="562"/>
      <c r="MAL38" s="562"/>
      <c r="MAM38" s="562"/>
      <c r="MAN38" s="562"/>
      <c r="MAO38" s="562"/>
      <c r="MAP38" s="562"/>
      <c r="MAQ38" s="562"/>
      <c r="MAR38" s="562"/>
      <c r="MAS38" s="562"/>
      <c r="MAT38" s="562"/>
      <c r="MAU38" s="562"/>
      <c r="MAV38" s="562"/>
      <c r="MAW38" s="562"/>
      <c r="MAX38" s="562"/>
      <c r="MAY38" s="562"/>
      <c r="MAZ38" s="562"/>
      <c r="MBA38" s="562"/>
      <c r="MBB38" s="562"/>
      <c r="MBC38" s="562"/>
      <c r="MBD38" s="562"/>
      <c r="MBE38" s="562"/>
      <c r="MBF38" s="562"/>
      <c r="MBG38" s="562"/>
      <c r="MBH38" s="562"/>
      <c r="MBI38" s="562"/>
      <c r="MBJ38" s="562"/>
      <c r="MBK38" s="562"/>
      <c r="MBL38" s="562"/>
      <c r="MBM38" s="562"/>
      <c r="MBN38" s="562"/>
      <c r="MBO38" s="562"/>
      <c r="MBP38" s="562"/>
      <c r="MBQ38" s="562"/>
      <c r="MBR38" s="562"/>
      <c r="MBS38" s="562"/>
      <c r="MBT38" s="562"/>
      <c r="MBU38" s="562"/>
      <c r="MBV38" s="562"/>
      <c r="MBW38" s="562"/>
      <c r="MBX38" s="562"/>
      <c r="MBY38" s="562"/>
      <c r="MBZ38" s="562"/>
      <c r="MCA38" s="562"/>
      <c r="MCB38" s="562"/>
      <c r="MCC38" s="562"/>
      <c r="MCD38" s="562"/>
      <c r="MCE38" s="562"/>
      <c r="MCF38" s="562"/>
      <c r="MCG38" s="562"/>
      <c r="MCH38" s="562"/>
      <c r="MCI38" s="562"/>
      <c r="MCJ38" s="562"/>
      <c r="MCK38" s="562"/>
      <c r="MCL38" s="562"/>
      <c r="MCM38" s="562"/>
      <c r="MCN38" s="562"/>
      <c r="MCO38" s="562"/>
      <c r="MCP38" s="562"/>
      <c r="MCQ38" s="562"/>
      <c r="MCR38" s="562"/>
      <c r="MCS38" s="562"/>
      <c r="MCT38" s="562"/>
      <c r="MCU38" s="562"/>
      <c r="MCV38" s="562"/>
      <c r="MCW38" s="562"/>
      <c r="MCX38" s="562"/>
      <c r="MCY38" s="562"/>
      <c r="MCZ38" s="562"/>
      <c r="MDA38" s="562"/>
      <c r="MDB38" s="562"/>
      <c r="MDC38" s="562"/>
      <c r="MDD38" s="562"/>
      <c r="MDE38" s="562"/>
      <c r="MDF38" s="562"/>
      <c r="MDG38" s="562"/>
      <c r="MDH38" s="562"/>
      <c r="MDI38" s="562"/>
      <c r="MDJ38" s="562"/>
      <c r="MDK38" s="562"/>
      <c r="MDL38" s="562"/>
      <c r="MDM38" s="562"/>
      <c r="MDN38" s="562"/>
      <c r="MDO38" s="562"/>
      <c r="MDP38" s="562"/>
      <c r="MDQ38" s="562"/>
      <c r="MDR38" s="562"/>
      <c r="MDS38" s="562"/>
      <c r="MDT38" s="562"/>
      <c r="MDU38" s="562"/>
      <c r="MDV38" s="562"/>
      <c r="MDW38" s="562"/>
      <c r="MDX38" s="562"/>
      <c r="MDY38" s="562"/>
      <c r="MDZ38" s="562"/>
      <c r="MEA38" s="562"/>
      <c r="MEB38" s="562"/>
      <c r="MEC38" s="562"/>
      <c r="MED38" s="562"/>
      <c r="MEE38" s="562"/>
      <c r="MEF38" s="562"/>
      <c r="MEG38" s="562"/>
      <c r="MEH38" s="562"/>
      <c r="MEI38" s="562"/>
      <c r="MEJ38" s="562"/>
      <c r="MEK38" s="562"/>
      <c r="MEL38" s="562"/>
      <c r="MEM38" s="562"/>
      <c r="MEN38" s="562"/>
      <c r="MEO38" s="562"/>
      <c r="MEP38" s="562"/>
      <c r="MEQ38" s="562"/>
      <c r="MER38" s="562"/>
      <c r="MES38" s="562"/>
      <c r="MET38" s="562"/>
      <c r="MEU38" s="562"/>
      <c r="MEV38" s="562"/>
      <c r="MEW38" s="562"/>
      <c r="MEX38" s="562"/>
      <c r="MEY38" s="562"/>
      <c r="MEZ38" s="562"/>
      <c r="MFA38" s="562"/>
      <c r="MFB38" s="562"/>
      <c r="MFC38" s="562"/>
      <c r="MFD38" s="562"/>
      <c r="MFE38" s="562"/>
      <c r="MFF38" s="562"/>
      <c r="MFG38" s="562"/>
      <c r="MFH38" s="562"/>
      <c r="MFI38" s="562"/>
      <c r="MFJ38" s="562"/>
      <c r="MFK38" s="562"/>
      <c r="MFL38" s="562"/>
      <c r="MFM38" s="562"/>
      <c r="MFN38" s="562"/>
      <c r="MFO38" s="562"/>
      <c r="MFP38" s="562"/>
      <c r="MFQ38" s="562"/>
      <c r="MFR38" s="562"/>
      <c r="MFS38" s="562"/>
      <c r="MFT38" s="562"/>
      <c r="MFU38" s="562"/>
      <c r="MFV38" s="562"/>
      <c r="MFW38" s="562"/>
      <c r="MFX38" s="562"/>
      <c r="MFY38" s="562"/>
      <c r="MFZ38" s="562"/>
      <c r="MGA38" s="562"/>
      <c r="MGB38" s="562"/>
      <c r="MGC38" s="562"/>
      <c r="MGD38" s="562"/>
      <c r="MGE38" s="562"/>
      <c r="MGF38" s="562"/>
      <c r="MGG38" s="562"/>
      <c r="MGH38" s="562"/>
      <c r="MGI38" s="562"/>
      <c r="MGJ38" s="562"/>
      <c r="MGK38" s="562"/>
      <c r="MGL38" s="562"/>
      <c r="MGM38" s="562"/>
      <c r="MGN38" s="562"/>
      <c r="MGO38" s="562"/>
      <c r="MGP38" s="562"/>
      <c r="MGQ38" s="562"/>
      <c r="MGR38" s="562"/>
      <c r="MGS38" s="562"/>
      <c r="MGT38" s="562"/>
      <c r="MGU38" s="562"/>
      <c r="MGV38" s="562"/>
      <c r="MGW38" s="562"/>
      <c r="MGX38" s="562"/>
      <c r="MGY38" s="562"/>
      <c r="MGZ38" s="562"/>
      <c r="MHA38" s="562"/>
      <c r="MHB38" s="562"/>
      <c r="MHC38" s="562"/>
      <c r="MHD38" s="562"/>
      <c r="MHE38" s="562"/>
      <c r="MHF38" s="562"/>
      <c r="MHG38" s="562"/>
      <c r="MHH38" s="562"/>
      <c r="MHI38" s="562"/>
      <c r="MHJ38" s="562"/>
      <c r="MHK38" s="562"/>
      <c r="MHL38" s="562"/>
      <c r="MHM38" s="562"/>
      <c r="MHN38" s="562"/>
      <c r="MHO38" s="562"/>
      <c r="MHP38" s="562"/>
      <c r="MHQ38" s="562"/>
      <c r="MHR38" s="562"/>
      <c r="MHS38" s="562"/>
      <c r="MHT38" s="562"/>
      <c r="MHU38" s="562"/>
      <c r="MHV38" s="562"/>
      <c r="MHW38" s="562"/>
      <c r="MHX38" s="562"/>
      <c r="MHY38" s="562"/>
      <c r="MHZ38" s="562"/>
      <c r="MIA38" s="562"/>
      <c r="MIB38" s="562"/>
      <c r="MIC38" s="562"/>
      <c r="MID38" s="562"/>
      <c r="MIE38" s="562"/>
      <c r="MIF38" s="562"/>
      <c r="MIG38" s="562"/>
      <c r="MIH38" s="562"/>
      <c r="MII38" s="562"/>
      <c r="MIJ38" s="562"/>
      <c r="MIK38" s="562"/>
      <c r="MIL38" s="562"/>
      <c r="MIM38" s="562"/>
      <c r="MIN38" s="562"/>
      <c r="MIO38" s="562"/>
      <c r="MIP38" s="562"/>
      <c r="MIQ38" s="562"/>
      <c r="MIR38" s="562"/>
      <c r="MIS38" s="562"/>
      <c r="MIT38" s="562"/>
      <c r="MIU38" s="562"/>
      <c r="MIV38" s="562"/>
      <c r="MIW38" s="562"/>
      <c r="MIX38" s="562"/>
      <c r="MIY38" s="562"/>
      <c r="MIZ38" s="562"/>
      <c r="MJA38" s="562"/>
      <c r="MJB38" s="562"/>
      <c r="MJC38" s="562"/>
      <c r="MJD38" s="562"/>
      <c r="MJE38" s="562"/>
      <c r="MJF38" s="562"/>
      <c r="MJG38" s="562"/>
      <c r="MJH38" s="562"/>
      <c r="MJI38" s="562"/>
      <c r="MJJ38" s="562"/>
      <c r="MJK38" s="562"/>
      <c r="MJL38" s="562"/>
      <c r="MJM38" s="562"/>
      <c r="MJN38" s="562"/>
      <c r="MJO38" s="562"/>
      <c r="MJP38" s="562"/>
      <c r="MJQ38" s="562"/>
      <c r="MJR38" s="562"/>
      <c r="MJS38" s="562"/>
      <c r="MJT38" s="562"/>
      <c r="MJU38" s="562"/>
      <c r="MJV38" s="562"/>
      <c r="MJW38" s="562"/>
      <c r="MJX38" s="562"/>
      <c r="MJY38" s="562"/>
      <c r="MJZ38" s="562"/>
      <c r="MKA38" s="562"/>
      <c r="MKB38" s="562"/>
      <c r="MKC38" s="562"/>
      <c r="MKD38" s="562"/>
      <c r="MKE38" s="562"/>
      <c r="MKF38" s="562"/>
      <c r="MKG38" s="562"/>
      <c r="MKH38" s="562"/>
      <c r="MKI38" s="562"/>
      <c r="MKJ38" s="562"/>
      <c r="MKK38" s="562"/>
      <c r="MKL38" s="562"/>
      <c r="MKM38" s="562"/>
      <c r="MKN38" s="562"/>
      <c r="MKO38" s="562"/>
      <c r="MKP38" s="562"/>
      <c r="MKQ38" s="562"/>
      <c r="MKR38" s="562"/>
      <c r="MKS38" s="562"/>
      <c r="MKT38" s="562"/>
      <c r="MKU38" s="562"/>
      <c r="MKV38" s="562"/>
      <c r="MKW38" s="562"/>
      <c r="MKX38" s="562"/>
      <c r="MKY38" s="562"/>
      <c r="MKZ38" s="562"/>
      <c r="MLA38" s="562"/>
      <c r="MLB38" s="562"/>
      <c r="MLC38" s="562"/>
      <c r="MLD38" s="562"/>
      <c r="MLE38" s="562"/>
      <c r="MLF38" s="562"/>
      <c r="MLG38" s="562"/>
      <c r="MLH38" s="562"/>
      <c r="MLI38" s="562"/>
      <c r="MLJ38" s="562"/>
      <c r="MLK38" s="562"/>
      <c r="MLL38" s="562"/>
      <c r="MLM38" s="562"/>
      <c r="MLN38" s="562"/>
      <c r="MLO38" s="562"/>
      <c r="MLP38" s="562"/>
      <c r="MLQ38" s="562"/>
      <c r="MLR38" s="562"/>
      <c r="MLS38" s="562"/>
      <c r="MLT38" s="562"/>
      <c r="MLU38" s="562"/>
      <c r="MLV38" s="562"/>
      <c r="MLW38" s="562"/>
      <c r="MLX38" s="562"/>
      <c r="MLY38" s="562"/>
      <c r="MLZ38" s="562"/>
      <c r="MMA38" s="562"/>
      <c r="MMB38" s="562"/>
      <c r="MMC38" s="562"/>
      <c r="MMD38" s="562"/>
      <c r="MME38" s="562"/>
      <c r="MMF38" s="562"/>
      <c r="MMG38" s="562"/>
      <c r="MMH38" s="562"/>
      <c r="MMI38" s="562"/>
      <c r="MMJ38" s="562"/>
      <c r="MMK38" s="562"/>
      <c r="MML38" s="562"/>
      <c r="MMM38" s="562"/>
      <c r="MMN38" s="562"/>
      <c r="MMO38" s="562"/>
      <c r="MMP38" s="562"/>
      <c r="MMQ38" s="562"/>
      <c r="MMR38" s="562"/>
      <c r="MMS38" s="562"/>
      <c r="MMT38" s="562"/>
      <c r="MMU38" s="562"/>
      <c r="MMV38" s="562"/>
      <c r="MMW38" s="562"/>
      <c r="MMX38" s="562"/>
      <c r="MMY38" s="562"/>
      <c r="MMZ38" s="562"/>
      <c r="MNA38" s="562"/>
      <c r="MNB38" s="562"/>
      <c r="MNC38" s="562"/>
      <c r="MND38" s="562"/>
      <c r="MNE38" s="562"/>
      <c r="MNF38" s="562"/>
      <c r="MNG38" s="562"/>
      <c r="MNH38" s="562"/>
      <c r="MNI38" s="562"/>
      <c r="MNJ38" s="562"/>
      <c r="MNK38" s="562"/>
      <c r="MNL38" s="562"/>
      <c r="MNM38" s="562"/>
      <c r="MNN38" s="562"/>
      <c r="MNO38" s="562"/>
      <c r="MNP38" s="562"/>
      <c r="MNQ38" s="562"/>
      <c r="MNR38" s="562"/>
      <c r="MNS38" s="562"/>
      <c r="MNT38" s="562"/>
      <c r="MNU38" s="562"/>
      <c r="MNV38" s="562"/>
      <c r="MNW38" s="562"/>
      <c r="MNX38" s="562"/>
      <c r="MNY38" s="562"/>
      <c r="MNZ38" s="562"/>
      <c r="MOA38" s="562"/>
      <c r="MOB38" s="562"/>
      <c r="MOC38" s="562"/>
      <c r="MOD38" s="562"/>
      <c r="MOE38" s="562"/>
      <c r="MOF38" s="562"/>
      <c r="MOG38" s="562"/>
      <c r="MOH38" s="562"/>
      <c r="MOI38" s="562"/>
      <c r="MOJ38" s="562"/>
      <c r="MOK38" s="562"/>
      <c r="MOL38" s="562"/>
      <c r="MOM38" s="562"/>
      <c r="MON38" s="562"/>
      <c r="MOO38" s="562"/>
      <c r="MOP38" s="562"/>
      <c r="MOQ38" s="562"/>
      <c r="MOR38" s="562"/>
      <c r="MOS38" s="562"/>
      <c r="MOT38" s="562"/>
      <c r="MOU38" s="562"/>
      <c r="MOV38" s="562"/>
      <c r="MOW38" s="562"/>
      <c r="MOX38" s="562"/>
      <c r="MOY38" s="562"/>
      <c r="MOZ38" s="562"/>
      <c r="MPA38" s="562"/>
      <c r="MPB38" s="562"/>
      <c r="MPC38" s="562"/>
      <c r="MPD38" s="562"/>
      <c r="MPE38" s="562"/>
      <c r="MPF38" s="562"/>
      <c r="MPG38" s="562"/>
      <c r="MPH38" s="562"/>
      <c r="MPI38" s="562"/>
      <c r="MPJ38" s="562"/>
      <c r="MPK38" s="562"/>
      <c r="MPL38" s="562"/>
      <c r="MPM38" s="562"/>
      <c r="MPN38" s="562"/>
      <c r="MPO38" s="562"/>
      <c r="MPP38" s="562"/>
      <c r="MPQ38" s="562"/>
      <c r="MPR38" s="562"/>
      <c r="MPS38" s="562"/>
      <c r="MPT38" s="562"/>
      <c r="MPU38" s="562"/>
      <c r="MPV38" s="562"/>
      <c r="MPW38" s="562"/>
      <c r="MPX38" s="562"/>
      <c r="MPY38" s="562"/>
      <c r="MPZ38" s="562"/>
      <c r="MQA38" s="562"/>
      <c r="MQB38" s="562"/>
      <c r="MQC38" s="562"/>
      <c r="MQD38" s="562"/>
      <c r="MQE38" s="562"/>
      <c r="MQF38" s="562"/>
      <c r="MQG38" s="562"/>
      <c r="MQH38" s="562"/>
      <c r="MQI38" s="562"/>
      <c r="MQJ38" s="562"/>
      <c r="MQK38" s="562"/>
      <c r="MQL38" s="562"/>
      <c r="MQM38" s="562"/>
      <c r="MQN38" s="562"/>
      <c r="MQO38" s="562"/>
      <c r="MQP38" s="562"/>
      <c r="MQQ38" s="562"/>
      <c r="MQR38" s="562"/>
      <c r="MQS38" s="562"/>
      <c r="MQT38" s="562"/>
      <c r="MQU38" s="562"/>
      <c r="MQV38" s="562"/>
      <c r="MQW38" s="562"/>
      <c r="MQX38" s="562"/>
      <c r="MQY38" s="562"/>
      <c r="MQZ38" s="562"/>
      <c r="MRA38" s="562"/>
      <c r="MRB38" s="562"/>
      <c r="MRC38" s="562"/>
      <c r="MRD38" s="562"/>
      <c r="MRE38" s="562"/>
      <c r="MRF38" s="562"/>
      <c r="MRG38" s="562"/>
      <c r="MRH38" s="562"/>
      <c r="MRI38" s="562"/>
      <c r="MRJ38" s="562"/>
      <c r="MRK38" s="562"/>
      <c r="MRL38" s="562"/>
      <c r="MRM38" s="562"/>
      <c r="MRN38" s="562"/>
      <c r="MRO38" s="562"/>
      <c r="MRP38" s="562"/>
      <c r="MRQ38" s="562"/>
      <c r="MRR38" s="562"/>
      <c r="MRS38" s="562"/>
      <c r="MRT38" s="562"/>
      <c r="MRU38" s="562"/>
      <c r="MRV38" s="562"/>
      <c r="MRW38" s="562"/>
      <c r="MRX38" s="562"/>
      <c r="MRY38" s="562"/>
      <c r="MRZ38" s="562"/>
      <c r="MSA38" s="562"/>
      <c r="MSB38" s="562"/>
      <c r="MSC38" s="562"/>
      <c r="MSD38" s="562"/>
      <c r="MSE38" s="562"/>
      <c r="MSF38" s="562"/>
      <c r="MSG38" s="562"/>
      <c r="MSH38" s="562"/>
      <c r="MSI38" s="562"/>
      <c r="MSJ38" s="562"/>
      <c r="MSK38" s="562"/>
      <c r="MSL38" s="562"/>
      <c r="MSM38" s="562"/>
      <c r="MSN38" s="562"/>
      <c r="MSO38" s="562"/>
      <c r="MSP38" s="562"/>
      <c r="MSQ38" s="562"/>
      <c r="MSR38" s="562"/>
      <c r="MSS38" s="562"/>
      <c r="MST38" s="562"/>
      <c r="MSU38" s="562"/>
      <c r="MSV38" s="562"/>
      <c r="MSW38" s="562"/>
      <c r="MSX38" s="562"/>
      <c r="MSY38" s="562"/>
      <c r="MSZ38" s="562"/>
      <c r="MTA38" s="562"/>
      <c r="MTB38" s="562"/>
      <c r="MTC38" s="562"/>
      <c r="MTD38" s="562"/>
      <c r="MTE38" s="562"/>
      <c r="MTF38" s="562"/>
      <c r="MTG38" s="562"/>
      <c r="MTH38" s="562"/>
      <c r="MTI38" s="562"/>
      <c r="MTJ38" s="562"/>
      <c r="MTK38" s="562"/>
      <c r="MTL38" s="562"/>
      <c r="MTM38" s="562"/>
      <c r="MTN38" s="562"/>
      <c r="MTO38" s="562"/>
      <c r="MTP38" s="562"/>
      <c r="MTQ38" s="562"/>
      <c r="MTR38" s="562"/>
      <c r="MTS38" s="562"/>
      <c r="MTT38" s="562"/>
      <c r="MTU38" s="562"/>
      <c r="MTV38" s="562"/>
      <c r="MTW38" s="562"/>
      <c r="MTX38" s="562"/>
      <c r="MTY38" s="562"/>
      <c r="MTZ38" s="562"/>
      <c r="MUA38" s="562"/>
      <c r="MUB38" s="562"/>
      <c r="MUC38" s="562"/>
      <c r="MUD38" s="562"/>
      <c r="MUE38" s="562"/>
      <c r="MUF38" s="562"/>
      <c r="MUG38" s="562"/>
      <c r="MUH38" s="562"/>
      <c r="MUI38" s="562"/>
      <c r="MUJ38" s="562"/>
      <c r="MUK38" s="562"/>
      <c r="MUL38" s="562"/>
      <c r="MUM38" s="562"/>
      <c r="MUN38" s="562"/>
      <c r="MUO38" s="562"/>
      <c r="MUP38" s="562"/>
      <c r="MUQ38" s="562"/>
      <c r="MUR38" s="562"/>
      <c r="MUS38" s="562"/>
      <c r="MUT38" s="562"/>
      <c r="MUU38" s="562"/>
      <c r="MUV38" s="562"/>
      <c r="MUW38" s="562"/>
      <c r="MUX38" s="562"/>
      <c r="MUY38" s="562"/>
      <c r="MUZ38" s="562"/>
      <c r="MVA38" s="562"/>
      <c r="MVB38" s="562"/>
      <c r="MVC38" s="562"/>
      <c r="MVD38" s="562"/>
      <c r="MVE38" s="562"/>
      <c r="MVF38" s="562"/>
      <c r="MVG38" s="562"/>
      <c r="MVH38" s="562"/>
      <c r="MVI38" s="562"/>
      <c r="MVJ38" s="562"/>
      <c r="MVK38" s="562"/>
      <c r="MVL38" s="562"/>
      <c r="MVM38" s="562"/>
      <c r="MVN38" s="562"/>
      <c r="MVO38" s="562"/>
      <c r="MVP38" s="562"/>
      <c r="MVQ38" s="562"/>
      <c r="MVR38" s="562"/>
      <c r="MVS38" s="562"/>
      <c r="MVT38" s="562"/>
      <c r="MVU38" s="562"/>
      <c r="MVV38" s="562"/>
      <c r="MVW38" s="562"/>
      <c r="MVX38" s="562"/>
      <c r="MVY38" s="562"/>
      <c r="MVZ38" s="562"/>
      <c r="MWA38" s="562"/>
      <c r="MWB38" s="562"/>
      <c r="MWC38" s="562"/>
      <c r="MWD38" s="562"/>
      <c r="MWE38" s="562"/>
      <c r="MWF38" s="562"/>
      <c r="MWG38" s="562"/>
      <c r="MWH38" s="562"/>
      <c r="MWI38" s="562"/>
      <c r="MWJ38" s="562"/>
      <c r="MWK38" s="562"/>
      <c r="MWL38" s="562"/>
      <c r="MWM38" s="562"/>
      <c r="MWN38" s="562"/>
      <c r="MWO38" s="562"/>
      <c r="MWP38" s="562"/>
      <c r="MWQ38" s="562"/>
      <c r="MWR38" s="562"/>
      <c r="MWS38" s="562"/>
      <c r="MWT38" s="562"/>
      <c r="MWU38" s="562"/>
      <c r="MWV38" s="562"/>
      <c r="MWW38" s="562"/>
      <c r="MWX38" s="562"/>
      <c r="MWY38" s="562"/>
      <c r="MWZ38" s="562"/>
      <c r="MXA38" s="562"/>
      <c r="MXB38" s="562"/>
      <c r="MXC38" s="562"/>
      <c r="MXD38" s="562"/>
      <c r="MXE38" s="562"/>
      <c r="MXF38" s="562"/>
      <c r="MXG38" s="562"/>
      <c r="MXH38" s="562"/>
      <c r="MXI38" s="562"/>
      <c r="MXJ38" s="562"/>
      <c r="MXK38" s="562"/>
      <c r="MXL38" s="562"/>
      <c r="MXM38" s="562"/>
      <c r="MXN38" s="562"/>
      <c r="MXO38" s="562"/>
      <c r="MXP38" s="562"/>
      <c r="MXQ38" s="562"/>
      <c r="MXR38" s="562"/>
      <c r="MXS38" s="562"/>
      <c r="MXT38" s="562"/>
      <c r="MXU38" s="562"/>
      <c r="MXV38" s="562"/>
      <c r="MXW38" s="562"/>
      <c r="MXX38" s="562"/>
      <c r="MXY38" s="562"/>
      <c r="MXZ38" s="562"/>
      <c r="MYA38" s="562"/>
      <c r="MYB38" s="562"/>
      <c r="MYC38" s="562"/>
      <c r="MYD38" s="562"/>
      <c r="MYE38" s="562"/>
      <c r="MYF38" s="562"/>
      <c r="MYG38" s="562"/>
      <c r="MYH38" s="562"/>
      <c r="MYI38" s="562"/>
      <c r="MYJ38" s="562"/>
      <c r="MYK38" s="562"/>
      <c r="MYL38" s="562"/>
      <c r="MYM38" s="562"/>
      <c r="MYN38" s="562"/>
      <c r="MYO38" s="562"/>
      <c r="MYP38" s="562"/>
      <c r="MYQ38" s="562"/>
      <c r="MYR38" s="562"/>
      <c r="MYS38" s="562"/>
      <c r="MYT38" s="562"/>
      <c r="MYU38" s="562"/>
      <c r="MYV38" s="562"/>
      <c r="MYW38" s="562"/>
      <c r="MYX38" s="562"/>
      <c r="MYY38" s="562"/>
      <c r="MYZ38" s="562"/>
      <c r="MZA38" s="562"/>
      <c r="MZB38" s="562"/>
      <c r="MZC38" s="562"/>
      <c r="MZD38" s="562"/>
      <c r="MZE38" s="562"/>
      <c r="MZF38" s="562"/>
      <c r="MZG38" s="562"/>
      <c r="MZH38" s="562"/>
      <c r="MZI38" s="562"/>
      <c r="MZJ38" s="562"/>
      <c r="MZK38" s="562"/>
      <c r="MZL38" s="562"/>
      <c r="MZM38" s="562"/>
      <c r="MZN38" s="562"/>
      <c r="MZO38" s="562"/>
      <c r="MZP38" s="562"/>
      <c r="MZQ38" s="562"/>
      <c r="MZR38" s="562"/>
      <c r="MZS38" s="562"/>
      <c r="MZT38" s="562"/>
      <c r="MZU38" s="562"/>
      <c r="MZV38" s="562"/>
      <c r="MZW38" s="562"/>
      <c r="MZX38" s="562"/>
      <c r="MZY38" s="562"/>
      <c r="MZZ38" s="562"/>
      <c r="NAA38" s="562"/>
      <c r="NAB38" s="562"/>
      <c r="NAC38" s="562"/>
      <c r="NAD38" s="562"/>
      <c r="NAE38" s="562"/>
      <c r="NAF38" s="562"/>
      <c r="NAG38" s="562"/>
      <c r="NAH38" s="562"/>
      <c r="NAI38" s="562"/>
      <c r="NAJ38" s="562"/>
      <c r="NAK38" s="562"/>
      <c r="NAL38" s="562"/>
      <c r="NAM38" s="562"/>
      <c r="NAN38" s="562"/>
      <c r="NAO38" s="562"/>
      <c r="NAP38" s="562"/>
      <c r="NAQ38" s="562"/>
      <c r="NAR38" s="562"/>
      <c r="NAS38" s="562"/>
      <c r="NAT38" s="562"/>
      <c r="NAU38" s="562"/>
      <c r="NAV38" s="562"/>
      <c r="NAW38" s="562"/>
      <c r="NAX38" s="562"/>
      <c r="NAY38" s="562"/>
      <c r="NAZ38" s="562"/>
      <c r="NBA38" s="562"/>
      <c r="NBB38" s="562"/>
      <c r="NBC38" s="562"/>
      <c r="NBD38" s="562"/>
      <c r="NBE38" s="562"/>
      <c r="NBF38" s="562"/>
      <c r="NBG38" s="562"/>
      <c r="NBH38" s="562"/>
      <c r="NBI38" s="562"/>
      <c r="NBJ38" s="562"/>
      <c r="NBK38" s="562"/>
      <c r="NBL38" s="562"/>
      <c r="NBM38" s="562"/>
      <c r="NBN38" s="562"/>
      <c r="NBO38" s="562"/>
      <c r="NBP38" s="562"/>
      <c r="NBQ38" s="562"/>
      <c r="NBR38" s="562"/>
      <c r="NBS38" s="562"/>
      <c r="NBT38" s="562"/>
      <c r="NBU38" s="562"/>
      <c r="NBV38" s="562"/>
      <c r="NBW38" s="562"/>
      <c r="NBX38" s="562"/>
      <c r="NBY38" s="562"/>
      <c r="NBZ38" s="562"/>
      <c r="NCA38" s="562"/>
      <c r="NCB38" s="562"/>
      <c r="NCC38" s="562"/>
      <c r="NCD38" s="562"/>
      <c r="NCE38" s="562"/>
      <c r="NCF38" s="562"/>
      <c r="NCG38" s="562"/>
      <c r="NCH38" s="562"/>
      <c r="NCI38" s="562"/>
      <c r="NCJ38" s="562"/>
      <c r="NCK38" s="562"/>
      <c r="NCL38" s="562"/>
      <c r="NCM38" s="562"/>
      <c r="NCN38" s="562"/>
      <c r="NCO38" s="562"/>
      <c r="NCP38" s="562"/>
      <c r="NCQ38" s="562"/>
      <c r="NCR38" s="562"/>
      <c r="NCS38" s="562"/>
      <c r="NCT38" s="562"/>
      <c r="NCU38" s="562"/>
      <c r="NCV38" s="562"/>
      <c r="NCW38" s="562"/>
      <c r="NCX38" s="562"/>
      <c r="NCY38" s="562"/>
      <c r="NCZ38" s="562"/>
      <c r="NDA38" s="562"/>
      <c r="NDB38" s="562"/>
      <c r="NDC38" s="562"/>
      <c r="NDD38" s="562"/>
      <c r="NDE38" s="562"/>
      <c r="NDF38" s="562"/>
      <c r="NDG38" s="562"/>
      <c r="NDH38" s="562"/>
      <c r="NDI38" s="562"/>
      <c r="NDJ38" s="562"/>
      <c r="NDK38" s="562"/>
      <c r="NDL38" s="562"/>
      <c r="NDM38" s="562"/>
      <c r="NDN38" s="562"/>
      <c r="NDO38" s="562"/>
      <c r="NDP38" s="562"/>
      <c r="NDQ38" s="562"/>
      <c r="NDR38" s="562"/>
      <c r="NDS38" s="562"/>
      <c r="NDT38" s="562"/>
      <c r="NDU38" s="562"/>
      <c r="NDV38" s="562"/>
      <c r="NDW38" s="562"/>
      <c r="NDX38" s="562"/>
      <c r="NDY38" s="562"/>
      <c r="NDZ38" s="562"/>
      <c r="NEA38" s="562"/>
      <c r="NEB38" s="562"/>
      <c r="NEC38" s="562"/>
      <c r="NED38" s="562"/>
      <c r="NEE38" s="562"/>
      <c r="NEF38" s="562"/>
      <c r="NEG38" s="562"/>
      <c r="NEH38" s="562"/>
      <c r="NEI38" s="562"/>
      <c r="NEJ38" s="562"/>
      <c r="NEK38" s="562"/>
      <c r="NEL38" s="562"/>
      <c r="NEM38" s="562"/>
      <c r="NEN38" s="562"/>
      <c r="NEO38" s="562"/>
      <c r="NEP38" s="562"/>
      <c r="NEQ38" s="562"/>
      <c r="NER38" s="562"/>
      <c r="NES38" s="562"/>
      <c r="NET38" s="562"/>
      <c r="NEU38" s="562"/>
      <c r="NEV38" s="562"/>
      <c r="NEW38" s="562"/>
      <c r="NEX38" s="562"/>
      <c r="NEY38" s="562"/>
      <c r="NEZ38" s="562"/>
      <c r="NFA38" s="562"/>
      <c r="NFB38" s="562"/>
      <c r="NFC38" s="562"/>
      <c r="NFD38" s="562"/>
      <c r="NFE38" s="562"/>
      <c r="NFF38" s="562"/>
      <c r="NFG38" s="562"/>
      <c r="NFH38" s="562"/>
      <c r="NFI38" s="562"/>
      <c r="NFJ38" s="562"/>
      <c r="NFK38" s="562"/>
      <c r="NFL38" s="562"/>
      <c r="NFM38" s="562"/>
      <c r="NFN38" s="562"/>
      <c r="NFO38" s="562"/>
      <c r="NFP38" s="562"/>
      <c r="NFQ38" s="562"/>
      <c r="NFR38" s="562"/>
      <c r="NFS38" s="562"/>
      <c r="NFT38" s="562"/>
      <c r="NFU38" s="562"/>
      <c r="NFV38" s="562"/>
      <c r="NFW38" s="562"/>
      <c r="NFX38" s="562"/>
      <c r="NFY38" s="562"/>
      <c r="NFZ38" s="562"/>
      <c r="NGA38" s="562"/>
      <c r="NGB38" s="562"/>
      <c r="NGC38" s="562"/>
      <c r="NGD38" s="562"/>
      <c r="NGE38" s="562"/>
      <c r="NGF38" s="562"/>
      <c r="NGG38" s="562"/>
      <c r="NGH38" s="562"/>
      <c r="NGI38" s="562"/>
      <c r="NGJ38" s="562"/>
      <c r="NGK38" s="562"/>
      <c r="NGL38" s="562"/>
      <c r="NGM38" s="562"/>
      <c r="NGN38" s="562"/>
      <c r="NGO38" s="562"/>
      <c r="NGP38" s="562"/>
      <c r="NGQ38" s="562"/>
      <c r="NGR38" s="562"/>
      <c r="NGS38" s="562"/>
      <c r="NGT38" s="562"/>
      <c r="NGU38" s="562"/>
      <c r="NGV38" s="562"/>
      <c r="NGW38" s="562"/>
      <c r="NGX38" s="562"/>
      <c r="NGY38" s="562"/>
      <c r="NGZ38" s="562"/>
      <c r="NHA38" s="562"/>
      <c r="NHB38" s="562"/>
      <c r="NHC38" s="562"/>
      <c r="NHD38" s="562"/>
      <c r="NHE38" s="562"/>
      <c r="NHF38" s="562"/>
      <c r="NHG38" s="562"/>
      <c r="NHH38" s="562"/>
      <c r="NHI38" s="562"/>
      <c r="NHJ38" s="562"/>
      <c r="NHK38" s="562"/>
      <c r="NHL38" s="562"/>
      <c r="NHM38" s="562"/>
      <c r="NHN38" s="562"/>
      <c r="NHO38" s="562"/>
      <c r="NHP38" s="562"/>
      <c r="NHQ38" s="562"/>
      <c r="NHR38" s="562"/>
      <c r="NHS38" s="562"/>
      <c r="NHT38" s="562"/>
      <c r="NHU38" s="562"/>
      <c r="NHV38" s="562"/>
      <c r="NHW38" s="562"/>
      <c r="NHX38" s="562"/>
      <c r="NHY38" s="562"/>
      <c r="NHZ38" s="562"/>
      <c r="NIA38" s="562"/>
      <c r="NIB38" s="562"/>
      <c r="NIC38" s="562"/>
      <c r="NID38" s="562"/>
      <c r="NIE38" s="562"/>
      <c r="NIF38" s="562"/>
      <c r="NIG38" s="562"/>
      <c r="NIH38" s="562"/>
      <c r="NII38" s="562"/>
      <c r="NIJ38" s="562"/>
      <c r="NIK38" s="562"/>
      <c r="NIL38" s="562"/>
      <c r="NIM38" s="562"/>
      <c r="NIN38" s="562"/>
      <c r="NIO38" s="562"/>
      <c r="NIP38" s="562"/>
      <c r="NIQ38" s="562"/>
      <c r="NIR38" s="562"/>
      <c r="NIS38" s="562"/>
      <c r="NIT38" s="562"/>
      <c r="NIU38" s="562"/>
      <c r="NIV38" s="562"/>
      <c r="NIW38" s="562"/>
      <c r="NIX38" s="562"/>
      <c r="NIY38" s="562"/>
      <c r="NIZ38" s="562"/>
      <c r="NJA38" s="562"/>
      <c r="NJB38" s="562"/>
      <c r="NJC38" s="562"/>
      <c r="NJD38" s="562"/>
      <c r="NJE38" s="562"/>
      <c r="NJF38" s="562"/>
      <c r="NJG38" s="562"/>
      <c r="NJH38" s="562"/>
      <c r="NJI38" s="562"/>
      <c r="NJJ38" s="562"/>
      <c r="NJK38" s="562"/>
      <c r="NJL38" s="562"/>
      <c r="NJM38" s="562"/>
      <c r="NJN38" s="562"/>
      <c r="NJO38" s="562"/>
      <c r="NJP38" s="562"/>
      <c r="NJQ38" s="562"/>
      <c r="NJR38" s="562"/>
      <c r="NJS38" s="562"/>
      <c r="NJT38" s="562"/>
      <c r="NJU38" s="562"/>
      <c r="NJV38" s="562"/>
      <c r="NJW38" s="562"/>
      <c r="NJX38" s="562"/>
      <c r="NJY38" s="562"/>
      <c r="NJZ38" s="562"/>
      <c r="NKA38" s="562"/>
      <c r="NKB38" s="562"/>
      <c r="NKC38" s="562"/>
      <c r="NKD38" s="562"/>
      <c r="NKE38" s="562"/>
      <c r="NKF38" s="562"/>
      <c r="NKG38" s="562"/>
      <c r="NKH38" s="562"/>
      <c r="NKI38" s="562"/>
      <c r="NKJ38" s="562"/>
      <c r="NKK38" s="562"/>
      <c r="NKL38" s="562"/>
      <c r="NKM38" s="562"/>
      <c r="NKN38" s="562"/>
      <c r="NKO38" s="562"/>
      <c r="NKP38" s="562"/>
      <c r="NKQ38" s="562"/>
      <c r="NKR38" s="562"/>
      <c r="NKS38" s="562"/>
      <c r="NKT38" s="562"/>
      <c r="NKU38" s="562"/>
      <c r="NKV38" s="562"/>
      <c r="NKW38" s="562"/>
      <c r="NKX38" s="562"/>
      <c r="NKY38" s="562"/>
      <c r="NKZ38" s="562"/>
      <c r="NLA38" s="562"/>
      <c r="NLB38" s="562"/>
      <c r="NLC38" s="562"/>
      <c r="NLD38" s="562"/>
      <c r="NLE38" s="562"/>
      <c r="NLF38" s="562"/>
      <c r="NLG38" s="562"/>
      <c r="NLH38" s="562"/>
      <c r="NLI38" s="562"/>
      <c r="NLJ38" s="562"/>
      <c r="NLK38" s="562"/>
      <c r="NLL38" s="562"/>
      <c r="NLM38" s="562"/>
      <c r="NLN38" s="562"/>
      <c r="NLO38" s="562"/>
      <c r="NLP38" s="562"/>
      <c r="NLQ38" s="562"/>
      <c r="NLR38" s="562"/>
      <c r="NLS38" s="562"/>
      <c r="NLT38" s="562"/>
      <c r="NLU38" s="562"/>
      <c r="NLV38" s="562"/>
      <c r="NLW38" s="562"/>
      <c r="NLX38" s="562"/>
      <c r="NLY38" s="562"/>
      <c r="NLZ38" s="562"/>
      <c r="NMA38" s="562"/>
      <c r="NMB38" s="562"/>
      <c r="NMC38" s="562"/>
      <c r="NMD38" s="562"/>
      <c r="NME38" s="562"/>
      <c r="NMF38" s="562"/>
      <c r="NMG38" s="562"/>
      <c r="NMH38" s="562"/>
      <c r="NMI38" s="562"/>
      <c r="NMJ38" s="562"/>
      <c r="NMK38" s="562"/>
      <c r="NML38" s="562"/>
      <c r="NMM38" s="562"/>
      <c r="NMN38" s="562"/>
      <c r="NMO38" s="562"/>
      <c r="NMP38" s="562"/>
      <c r="NMQ38" s="562"/>
      <c r="NMR38" s="562"/>
      <c r="NMS38" s="562"/>
      <c r="NMT38" s="562"/>
      <c r="NMU38" s="562"/>
      <c r="NMV38" s="562"/>
      <c r="NMW38" s="562"/>
      <c r="NMX38" s="562"/>
      <c r="NMY38" s="562"/>
      <c r="NMZ38" s="562"/>
      <c r="NNA38" s="562"/>
      <c r="NNB38" s="562"/>
      <c r="NNC38" s="562"/>
      <c r="NND38" s="562"/>
      <c r="NNE38" s="562"/>
      <c r="NNF38" s="562"/>
      <c r="NNG38" s="562"/>
      <c r="NNH38" s="562"/>
      <c r="NNI38" s="562"/>
      <c r="NNJ38" s="562"/>
      <c r="NNK38" s="562"/>
      <c r="NNL38" s="562"/>
      <c r="NNM38" s="562"/>
      <c r="NNN38" s="562"/>
      <c r="NNO38" s="562"/>
      <c r="NNP38" s="562"/>
      <c r="NNQ38" s="562"/>
      <c r="NNR38" s="562"/>
      <c r="NNS38" s="562"/>
      <c r="NNT38" s="562"/>
      <c r="NNU38" s="562"/>
      <c r="NNV38" s="562"/>
      <c r="NNW38" s="562"/>
      <c r="NNX38" s="562"/>
      <c r="NNY38" s="562"/>
      <c r="NNZ38" s="562"/>
      <c r="NOA38" s="562"/>
      <c r="NOB38" s="562"/>
      <c r="NOC38" s="562"/>
      <c r="NOD38" s="562"/>
      <c r="NOE38" s="562"/>
      <c r="NOF38" s="562"/>
      <c r="NOG38" s="562"/>
      <c r="NOH38" s="562"/>
      <c r="NOI38" s="562"/>
      <c r="NOJ38" s="562"/>
      <c r="NOK38" s="562"/>
      <c r="NOL38" s="562"/>
      <c r="NOM38" s="562"/>
      <c r="NON38" s="562"/>
      <c r="NOO38" s="562"/>
      <c r="NOP38" s="562"/>
      <c r="NOQ38" s="562"/>
      <c r="NOR38" s="562"/>
      <c r="NOS38" s="562"/>
      <c r="NOT38" s="562"/>
      <c r="NOU38" s="562"/>
      <c r="NOV38" s="562"/>
      <c r="NOW38" s="562"/>
      <c r="NOX38" s="562"/>
      <c r="NOY38" s="562"/>
      <c r="NOZ38" s="562"/>
      <c r="NPA38" s="562"/>
      <c r="NPB38" s="562"/>
      <c r="NPC38" s="562"/>
      <c r="NPD38" s="562"/>
      <c r="NPE38" s="562"/>
      <c r="NPF38" s="562"/>
      <c r="NPG38" s="562"/>
      <c r="NPH38" s="562"/>
      <c r="NPI38" s="562"/>
      <c r="NPJ38" s="562"/>
      <c r="NPK38" s="562"/>
      <c r="NPL38" s="562"/>
      <c r="NPM38" s="562"/>
      <c r="NPN38" s="562"/>
      <c r="NPO38" s="562"/>
      <c r="NPP38" s="562"/>
      <c r="NPQ38" s="562"/>
      <c r="NPR38" s="562"/>
      <c r="NPS38" s="562"/>
      <c r="NPT38" s="562"/>
      <c r="NPU38" s="562"/>
      <c r="NPV38" s="562"/>
      <c r="NPW38" s="562"/>
      <c r="NPX38" s="562"/>
      <c r="NPY38" s="562"/>
      <c r="NPZ38" s="562"/>
      <c r="NQA38" s="562"/>
      <c r="NQB38" s="562"/>
      <c r="NQC38" s="562"/>
      <c r="NQD38" s="562"/>
      <c r="NQE38" s="562"/>
      <c r="NQF38" s="562"/>
      <c r="NQG38" s="562"/>
      <c r="NQH38" s="562"/>
      <c r="NQI38" s="562"/>
      <c r="NQJ38" s="562"/>
      <c r="NQK38" s="562"/>
      <c r="NQL38" s="562"/>
      <c r="NQM38" s="562"/>
      <c r="NQN38" s="562"/>
      <c r="NQO38" s="562"/>
      <c r="NQP38" s="562"/>
      <c r="NQQ38" s="562"/>
      <c r="NQR38" s="562"/>
      <c r="NQS38" s="562"/>
      <c r="NQT38" s="562"/>
      <c r="NQU38" s="562"/>
      <c r="NQV38" s="562"/>
      <c r="NQW38" s="562"/>
      <c r="NQX38" s="562"/>
      <c r="NQY38" s="562"/>
      <c r="NQZ38" s="562"/>
      <c r="NRA38" s="562"/>
      <c r="NRB38" s="562"/>
      <c r="NRC38" s="562"/>
      <c r="NRD38" s="562"/>
      <c r="NRE38" s="562"/>
      <c r="NRF38" s="562"/>
      <c r="NRG38" s="562"/>
      <c r="NRH38" s="562"/>
      <c r="NRI38" s="562"/>
      <c r="NRJ38" s="562"/>
      <c r="NRK38" s="562"/>
      <c r="NRL38" s="562"/>
      <c r="NRM38" s="562"/>
      <c r="NRN38" s="562"/>
      <c r="NRO38" s="562"/>
      <c r="NRP38" s="562"/>
      <c r="NRQ38" s="562"/>
      <c r="NRR38" s="562"/>
      <c r="NRS38" s="562"/>
      <c r="NRT38" s="562"/>
      <c r="NRU38" s="562"/>
      <c r="NRV38" s="562"/>
      <c r="NRW38" s="562"/>
      <c r="NRX38" s="562"/>
      <c r="NRY38" s="562"/>
      <c r="NRZ38" s="562"/>
      <c r="NSA38" s="562"/>
      <c r="NSB38" s="562"/>
      <c r="NSC38" s="562"/>
      <c r="NSD38" s="562"/>
      <c r="NSE38" s="562"/>
      <c r="NSF38" s="562"/>
      <c r="NSG38" s="562"/>
      <c r="NSH38" s="562"/>
      <c r="NSI38" s="562"/>
      <c r="NSJ38" s="562"/>
      <c r="NSK38" s="562"/>
      <c r="NSL38" s="562"/>
      <c r="NSM38" s="562"/>
      <c r="NSN38" s="562"/>
      <c r="NSO38" s="562"/>
      <c r="NSP38" s="562"/>
      <c r="NSQ38" s="562"/>
      <c r="NSR38" s="562"/>
      <c r="NSS38" s="562"/>
      <c r="NST38" s="562"/>
      <c r="NSU38" s="562"/>
      <c r="NSV38" s="562"/>
      <c r="NSW38" s="562"/>
      <c r="NSX38" s="562"/>
      <c r="NSY38" s="562"/>
      <c r="NSZ38" s="562"/>
      <c r="NTA38" s="562"/>
      <c r="NTB38" s="562"/>
      <c r="NTC38" s="562"/>
      <c r="NTD38" s="562"/>
      <c r="NTE38" s="562"/>
      <c r="NTF38" s="562"/>
      <c r="NTG38" s="562"/>
      <c r="NTH38" s="562"/>
      <c r="NTI38" s="562"/>
      <c r="NTJ38" s="562"/>
      <c r="NTK38" s="562"/>
      <c r="NTL38" s="562"/>
      <c r="NTM38" s="562"/>
      <c r="NTN38" s="562"/>
      <c r="NTO38" s="562"/>
      <c r="NTP38" s="562"/>
      <c r="NTQ38" s="562"/>
      <c r="NTR38" s="562"/>
      <c r="NTS38" s="562"/>
      <c r="NTT38" s="562"/>
      <c r="NTU38" s="562"/>
      <c r="NTV38" s="562"/>
      <c r="NTW38" s="562"/>
      <c r="NTX38" s="562"/>
      <c r="NTY38" s="562"/>
      <c r="NTZ38" s="562"/>
      <c r="NUA38" s="562"/>
      <c r="NUB38" s="562"/>
      <c r="NUC38" s="562"/>
      <c r="NUD38" s="562"/>
      <c r="NUE38" s="562"/>
      <c r="NUF38" s="562"/>
      <c r="NUG38" s="562"/>
      <c r="NUH38" s="562"/>
      <c r="NUI38" s="562"/>
      <c r="NUJ38" s="562"/>
      <c r="NUK38" s="562"/>
      <c r="NUL38" s="562"/>
      <c r="NUM38" s="562"/>
      <c r="NUN38" s="562"/>
      <c r="NUO38" s="562"/>
      <c r="NUP38" s="562"/>
      <c r="NUQ38" s="562"/>
      <c r="NUR38" s="562"/>
      <c r="NUS38" s="562"/>
      <c r="NUT38" s="562"/>
      <c r="NUU38" s="562"/>
      <c r="NUV38" s="562"/>
      <c r="NUW38" s="562"/>
      <c r="NUX38" s="562"/>
      <c r="NUY38" s="562"/>
      <c r="NUZ38" s="562"/>
      <c r="NVA38" s="562"/>
      <c r="NVB38" s="562"/>
      <c r="NVC38" s="562"/>
      <c r="NVD38" s="562"/>
      <c r="NVE38" s="562"/>
      <c r="NVF38" s="562"/>
      <c r="NVG38" s="562"/>
      <c r="NVH38" s="562"/>
      <c r="NVI38" s="562"/>
      <c r="NVJ38" s="562"/>
      <c r="NVK38" s="562"/>
      <c r="NVL38" s="562"/>
      <c r="NVM38" s="562"/>
      <c r="NVN38" s="562"/>
      <c r="NVO38" s="562"/>
      <c r="NVP38" s="562"/>
      <c r="NVQ38" s="562"/>
      <c r="NVR38" s="562"/>
      <c r="NVS38" s="562"/>
      <c r="NVT38" s="562"/>
      <c r="NVU38" s="562"/>
      <c r="NVV38" s="562"/>
      <c r="NVW38" s="562"/>
      <c r="NVX38" s="562"/>
      <c r="NVY38" s="562"/>
      <c r="NVZ38" s="562"/>
      <c r="NWA38" s="562"/>
      <c r="NWB38" s="562"/>
      <c r="NWC38" s="562"/>
      <c r="NWD38" s="562"/>
      <c r="NWE38" s="562"/>
      <c r="NWF38" s="562"/>
      <c r="NWG38" s="562"/>
      <c r="NWH38" s="562"/>
      <c r="NWI38" s="562"/>
      <c r="NWJ38" s="562"/>
      <c r="NWK38" s="562"/>
      <c r="NWL38" s="562"/>
      <c r="NWM38" s="562"/>
      <c r="NWN38" s="562"/>
      <c r="NWO38" s="562"/>
      <c r="NWP38" s="562"/>
      <c r="NWQ38" s="562"/>
      <c r="NWR38" s="562"/>
      <c r="NWS38" s="562"/>
      <c r="NWT38" s="562"/>
      <c r="NWU38" s="562"/>
      <c r="NWV38" s="562"/>
      <c r="NWW38" s="562"/>
      <c r="NWX38" s="562"/>
      <c r="NWY38" s="562"/>
      <c r="NWZ38" s="562"/>
      <c r="NXA38" s="562"/>
      <c r="NXB38" s="562"/>
      <c r="NXC38" s="562"/>
      <c r="NXD38" s="562"/>
      <c r="NXE38" s="562"/>
      <c r="NXF38" s="562"/>
      <c r="NXG38" s="562"/>
      <c r="NXH38" s="562"/>
      <c r="NXI38" s="562"/>
      <c r="NXJ38" s="562"/>
      <c r="NXK38" s="562"/>
      <c r="NXL38" s="562"/>
      <c r="NXM38" s="562"/>
      <c r="NXN38" s="562"/>
      <c r="NXO38" s="562"/>
      <c r="NXP38" s="562"/>
      <c r="NXQ38" s="562"/>
      <c r="NXR38" s="562"/>
      <c r="NXS38" s="562"/>
      <c r="NXT38" s="562"/>
      <c r="NXU38" s="562"/>
      <c r="NXV38" s="562"/>
      <c r="NXW38" s="562"/>
      <c r="NXX38" s="562"/>
      <c r="NXY38" s="562"/>
      <c r="NXZ38" s="562"/>
      <c r="NYA38" s="562"/>
      <c r="NYB38" s="562"/>
      <c r="NYC38" s="562"/>
      <c r="NYD38" s="562"/>
      <c r="NYE38" s="562"/>
      <c r="NYF38" s="562"/>
      <c r="NYG38" s="562"/>
      <c r="NYH38" s="562"/>
      <c r="NYI38" s="562"/>
      <c r="NYJ38" s="562"/>
      <c r="NYK38" s="562"/>
      <c r="NYL38" s="562"/>
      <c r="NYM38" s="562"/>
      <c r="NYN38" s="562"/>
      <c r="NYO38" s="562"/>
      <c r="NYP38" s="562"/>
      <c r="NYQ38" s="562"/>
      <c r="NYR38" s="562"/>
      <c r="NYS38" s="562"/>
      <c r="NYT38" s="562"/>
      <c r="NYU38" s="562"/>
      <c r="NYV38" s="562"/>
      <c r="NYW38" s="562"/>
      <c r="NYX38" s="562"/>
      <c r="NYY38" s="562"/>
      <c r="NYZ38" s="562"/>
      <c r="NZA38" s="562"/>
      <c r="NZB38" s="562"/>
      <c r="NZC38" s="562"/>
      <c r="NZD38" s="562"/>
      <c r="NZE38" s="562"/>
      <c r="NZF38" s="562"/>
      <c r="NZG38" s="562"/>
      <c r="NZH38" s="562"/>
      <c r="NZI38" s="562"/>
      <c r="NZJ38" s="562"/>
      <c r="NZK38" s="562"/>
      <c r="NZL38" s="562"/>
      <c r="NZM38" s="562"/>
      <c r="NZN38" s="562"/>
      <c r="NZO38" s="562"/>
      <c r="NZP38" s="562"/>
      <c r="NZQ38" s="562"/>
      <c r="NZR38" s="562"/>
      <c r="NZS38" s="562"/>
      <c r="NZT38" s="562"/>
      <c r="NZU38" s="562"/>
      <c r="NZV38" s="562"/>
      <c r="NZW38" s="562"/>
      <c r="NZX38" s="562"/>
      <c r="NZY38" s="562"/>
      <c r="NZZ38" s="562"/>
      <c r="OAA38" s="562"/>
      <c r="OAB38" s="562"/>
      <c r="OAC38" s="562"/>
      <c r="OAD38" s="562"/>
      <c r="OAE38" s="562"/>
      <c r="OAF38" s="562"/>
      <c r="OAG38" s="562"/>
      <c r="OAH38" s="562"/>
      <c r="OAI38" s="562"/>
      <c r="OAJ38" s="562"/>
      <c r="OAK38" s="562"/>
      <c r="OAL38" s="562"/>
      <c r="OAM38" s="562"/>
      <c r="OAN38" s="562"/>
      <c r="OAO38" s="562"/>
      <c r="OAP38" s="562"/>
      <c r="OAQ38" s="562"/>
      <c r="OAR38" s="562"/>
      <c r="OAS38" s="562"/>
      <c r="OAT38" s="562"/>
      <c r="OAU38" s="562"/>
      <c r="OAV38" s="562"/>
      <c r="OAW38" s="562"/>
      <c r="OAX38" s="562"/>
      <c r="OAY38" s="562"/>
      <c r="OAZ38" s="562"/>
      <c r="OBA38" s="562"/>
      <c r="OBB38" s="562"/>
      <c r="OBC38" s="562"/>
      <c r="OBD38" s="562"/>
      <c r="OBE38" s="562"/>
      <c r="OBF38" s="562"/>
      <c r="OBG38" s="562"/>
      <c r="OBH38" s="562"/>
      <c r="OBI38" s="562"/>
      <c r="OBJ38" s="562"/>
      <c r="OBK38" s="562"/>
      <c r="OBL38" s="562"/>
      <c r="OBM38" s="562"/>
      <c r="OBN38" s="562"/>
      <c r="OBO38" s="562"/>
      <c r="OBP38" s="562"/>
      <c r="OBQ38" s="562"/>
      <c r="OBR38" s="562"/>
      <c r="OBS38" s="562"/>
      <c r="OBT38" s="562"/>
      <c r="OBU38" s="562"/>
      <c r="OBV38" s="562"/>
      <c r="OBW38" s="562"/>
      <c r="OBX38" s="562"/>
      <c r="OBY38" s="562"/>
      <c r="OBZ38" s="562"/>
      <c r="OCA38" s="562"/>
      <c r="OCB38" s="562"/>
      <c r="OCC38" s="562"/>
      <c r="OCD38" s="562"/>
      <c r="OCE38" s="562"/>
      <c r="OCF38" s="562"/>
      <c r="OCG38" s="562"/>
      <c r="OCH38" s="562"/>
      <c r="OCI38" s="562"/>
      <c r="OCJ38" s="562"/>
      <c r="OCK38" s="562"/>
      <c r="OCL38" s="562"/>
      <c r="OCM38" s="562"/>
      <c r="OCN38" s="562"/>
      <c r="OCO38" s="562"/>
      <c r="OCP38" s="562"/>
      <c r="OCQ38" s="562"/>
      <c r="OCR38" s="562"/>
      <c r="OCS38" s="562"/>
      <c r="OCT38" s="562"/>
      <c r="OCU38" s="562"/>
      <c r="OCV38" s="562"/>
      <c r="OCW38" s="562"/>
      <c r="OCX38" s="562"/>
      <c r="OCY38" s="562"/>
      <c r="OCZ38" s="562"/>
      <c r="ODA38" s="562"/>
      <c r="ODB38" s="562"/>
      <c r="ODC38" s="562"/>
      <c r="ODD38" s="562"/>
      <c r="ODE38" s="562"/>
      <c r="ODF38" s="562"/>
      <c r="ODG38" s="562"/>
      <c r="ODH38" s="562"/>
      <c r="ODI38" s="562"/>
      <c r="ODJ38" s="562"/>
      <c r="ODK38" s="562"/>
      <c r="ODL38" s="562"/>
      <c r="ODM38" s="562"/>
      <c r="ODN38" s="562"/>
      <c r="ODO38" s="562"/>
      <c r="ODP38" s="562"/>
      <c r="ODQ38" s="562"/>
      <c r="ODR38" s="562"/>
      <c r="ODS38" s="562"/>
      <c r="ODT38" s="562"/>
      <c r="ODU38" s="562"/>
      <c r="ODV38" s="562"/>
      <c r="ODW38" s="562"/>
      <c r="ODX38" s="562"/>
      <c r="ODY38" s="562"/>
      <c r="ODZ38" s="562"/>
      <c r="OEA38" s="562"/>
      <c r="OEB38" s="562"/>
      <c r="OEC38" s="562"/>
      <c r="OED38" s="562"/>
      <c r="OEE38" s="562"/>
      <c r="OEF38" s="562"/>
      <c r="OEG38" s="562"/>
      <c r="OEH38" s="562"/>
      <c r="OEI38" s="562"/>
      <c r="OEJ38" s="562"/>
      <c r="OEK38" s="562"/>
      <c r="OEL38" s="562"/>
      <c r="OEM38" s="562"/>
      <c r="OEN38" s="562"/>
      <c r="OEO38" s="562"/>
      <c r="OEP38" s="562"/>
      <c r="OEQ38" s="562"/>
      <c r="OER38" s="562"/>
      <c r="OES38" s="562"/>
      <c r="OET38" s="562"/>
      <c r="OEU38" s="562"/>
      <c r="OEV38" s="562"/>
      <c r="OEW38" s="562"/>
      <c r="OEX38" s="562"/>
      <c r="OEY38" s="562"/>
      <c r="OEZ38" s="562"/>
      <c r="OFA38" s="562"/>
      <c r="OFB38" s="562"/>
      <c r="OFC38" s="562"/>
      <c r="OFD38" s="562"/>
      <c r="OFE38" s="562"/>
      <c r="OFF38" s="562"/>
      <c r="OFG38" s="562"/>
      <c r="OFH38" s="562"/>
      <c r="OFI38" s="562"/>
      <c r="OFJ38" s="562"/>
      <c r="OFK38" s="562"/>
      <c r="OFL38" s="562"/>
      <c r="OFM38" s="562"/>
      <c r="OFN38" s="562"/>
      <c r="OFO38" s="562"/>
      <c r="OFP38" s="562"/>
      <c r="OFQ38" s="562"/>
      <c r="OFR38" s="562"/>
      <c r="OFS38" s="562"/>
      <c r="OFT38" s="562"/>
      <c r="OFU38" s="562"/>
      <c r="OFV38" s="562"/>
      <c r="OFW38" s="562"/>
      <c r="OFX38" s="562"/>
      <c r="OFY38" s="562"/>
      <c r="OFZ38" s="562"/>
      <c r="OGA38" s="562"/>
      <c r="OGB38" s="562"/>
      <c r="OGC38" s="562"/>
      <c r="OGD38" s="562"/>
      <c r="OGE38" s="562"/>
      <c r="OGF38" s="562"/>
      <c r="OGG38" s="562"/>
      <c r="OGH38" s="562"/>
      <c r="OGI38" s="562"/>
      <c r="OGJ38" s="562"/>
      <c r="OGK38" s="562"/>
      <c r="OGL38" s="562"/>
      <c r="OGM38" s="562"/>
      <c r="OGN38" s="562"/>
      <c r="OGO38" s="562"/>
      <c r="OGP38" s="562"/>
      <c r="OGQ38" s="562"/>
      <c r="OGR38" s="562"/>
      <c r="OGS38" s="562"/>
      <c r="OGT38" s="562"/>
      <c r="OGU38" s="562"/>
      <c r="OGV38" s="562"/>
      <c r="OGW38" s="562"/>
      <c r="OGX38" s="562"/>
      <c r="OGY38" s="562"/>
      <c r="OGZ38" s="562"/>
      <c r="OHA38" s="562"/>
      <c r="OHB38" s="562"/>
      <c r="OHC38" s="562"/>
      <c r="OHD38" s="562"/>
      <c r="OHE38" s="562"/>
      <c r="OHF38" s="562"/>
      <c r="OHG38" s="562"/>
      <c r="OHH38" s="562"/>
      <c r="OHI38" s="562"/>
      <c r="OHJ38" s="562"/>
      <c r="OHK38" s="562"/>
      <c r="OHL38" s="562"/>
      <c r="OHM38" s="562"/>
      <c r="OHN38" s="562"/>
      <c r="OHO38" s="562"/>
      <c r="OHP38" s="562"/>
      <c r="OHQ38" s="562"/>
      <c r="OHR38" s="562"/>
      <c r="OHS38" s="562"/>
      <c r="OHT38" s="562"/>
      <c r="OHU38" s="562"/>
      <c r="OHV38" s="562"/>
      <c r="OHW38" s="562"/>
      <c r="OHX38" s="562"/>
      <c r="OHY38" s="562"/>
      <c r="OHZ38" s="562"/>
      <c r="OIA38" s="562"/>
      <c r="OIB38" s="562"/>
      <c r="OIC38" s="562"/>
      <c r="OID38" s="562"/>
      <c r="OIE38" s="562"/>
      <c r="OIF38" s="562"/>
      <c r="OIG38" s="562"/>
      <c r="OIH38" s="562"/>
      <c r="OII38" s="562"/>
      <c r="OIJ38" s="562"/>
      <c r="OIK38" s="562"/>
      <c r="OIL38" s="562"/>
      <c r="OIM38" s="562"/>
      <c r="OIN38" s="562"/>
      <c r="OIO38" s="562"/>
      <c r="OIP38" s="562"/>
      <c r="OIQ38" s="562"/>
      <c r="OIR38" s="562"/>
      <c r="OIS38" s="562"/>
      <c r="OIT38" s="562"/>
      <c r="OIU38" s="562"/>
      <c r="OIV38" s="562"/>
      <c r="OIW38" s="562"/>
      <c r="OIX38" s="562"/>
      <c r="OIY38" s="562"/>
      <c r="OIZ38" s="562"/>
      <c r="OJA38" s="562"/>
      <c r="OJB38" s="562"/>
      <c r="OJC38" s="562"/>
      <c r="OJD38" s="562"/>
      <c r="OJE38" s="562"/>
      <c r="OJF38" s="562"/>
      <c r="OJG38" s="562"/>
      <c r="OJH38" s="562"/>
      <c r="OJI38" s="562"/>
      <c r="OJJ38" s="562"/>
      <c r="OJK38" s="562"/>
      <c r="OJL38" s="562"/>
      <c r="OJM38" s="562"/>
      <c r="OJN38" s="562"/>
      <c r="OJO38" s="562"/>
      <c r="OJP38" s="562"/>
      <c r="OJQ38" s="562"/>
      <c r="OJR38" s="562"/>
      <c r="OJS38" s="562"/>
      <c r="OJT38" s="562"/>
      <c r="OJU38" s="562"/>
      <c r="OJV38" s="562"/>
      <c r="OJW38" s="562"/>
      <c r="OJX38" s="562"/>
      <c r="OJY38" s="562"/>
      <c r="OJZ38" s="562"/>
      <c r="OKA38" s="562"/>
      <c r="OKB38" s="562"/>
      <c r="OKC38" s="562"/>
      <c r="OKD38" s="562"/>
      <c r="OKE38" s="562"/>
      <c r="OKF38" s="562"/>
      <c r="OKG38" s="562"/>
      <c r="OKH38" s="562"/>
      <c r="OKI38" s="562"/>
      <c r="OKJ38" s="562"/>
      <c r="OKK38" s="562"/>
      <c r="OKL38" s="562"/>
      <c r="OKM38" s="562"/>
      <c r="OKN38" s="562"/>
      <c r="OKO38" s="562"/>
      <c r="OKP38" s="562"/>
      <c r="OKQ38" s="562"/>
      <c r="OKR38" s="562"/>
      <c r="OKS38" s="562"/>
      <c r="OKT38" s="562"/>
      <c r="OKU38" s="562"/>
      <c r="OKV38" s="562"/>
      <c r="OKW38" s="562"/>
      <c r="OKX38" s="562"/>
      <c r="OKY38" s="562"/>
      <c r="OKZ38" s="562"/>
      <c r="OLA38" s="562"/>
      <c r="OLB38" s="562"/>
      <c r="OLC38" s="562"/>
      <c r="OLD38" s="562"/>
      <c r="OLE38" s="562"/>
      <c r="OLF38" s="562"/>
      <c r="OLG38" s="562"/>
      <c r="OLH38" s="562"/>
      <c r="OLI38" s="562"/>
      <c r="OLJ38" s="562"/>
      <c r="OLK38" s="562"/>
      <c r="OLL38" s="562"/>
      <c r="OLM38" s="562"/>
      <c r="OLN38" s="562"/>
      <c r="OLO38" s="562"/>
      <c r="OLP38" s="562"/>
      <c r="OLQ38" s="562"/>
      <c r="OLR38" s="562"/>
      <c r="OLS38" s="562"/>
      <c r="OLT38" s="562"/>
      <c r="OLU38" s="562"/>
      <c r="OLV38" s="562"/>
      <c r="OLW38" s="562"/>
      <c r="OLX38" s="562"/>
      <c r="OLY38" s="562"/>
      <c r="OLZ38" s="562"/>
      <c r="OMA38" s="562"/>
      <c r="OMB38" s="562"/>
      <c r="OMC38" s="562"/>
      <c r="OMD38" s="562"/>
      <c r="OME38" s="562"/>
      <c r="OMF38" s="562"/>
      <c r="OMG38" s="562"/>
      <c r="OMH38" s="562"/>
      <c r="OMI38" s="562"/>
      <c r="OMJ38" s="562"/>
      <c r="OMK38" s="562"/>
      <c r="OML38" s="562"/>
      <c r="OMM38" s="562"/>
      <c r="OMN38" s="562"/>
      <c r="OMO38" s="562"/>
      <c r="OMP38" s="562"/>
      <c r="OMQ38" s="562"/>
      <c r="OMR38" s="562"/>
      <c r="OMS38" s="562"/>
      <c r="OMT38" s="562"/>
      <c r="OMU38" s="562"/>
      <c r="OMV38" s="562"/>
      <c r="OMW38" s="562"/>
      <c r="OMX38" s="562"/>
      <c r="OMY38" s="562"/>
      <c r="OMZ38" s="562"/>
      <c r="ONA38" s="562"/>
      <c r="ONB38" s="562"/>
      <c r="ONC38" s="562"/>
      <c r="OND38" s="562"/>
      <c r="ONE38" s="562"/>
      <c r="ONF38" s="562"/>
      <c r="ONG38" s="562"/>
      <c r="ONH38" s="562"/>
      <c r="ONI38" s="562"/>
      <c r="ONJ38" s="562"/>
      <c r="ONK38" s="562"/>
      <c r="ONL38" s="562"/>
      <c r="ONM38" s="562"/>
      <c r="ONN38" s="562"/>
      <c r="ONO38" s="562"/>
      <c r="ONP38" s="562"/>
      <c r="ONQ38" s="562"/>
      <c r="ONR38" s="562"/>
      <c r="ONS38" s="562"/>
      <c r="ONT38" s="562"/>
      <c r="ONU38" s="562"/>
      <c r="ONV38" s="562"/>
      <c r="ONW38" s="562"/>
      <c r="ONX38" s="562"/>
      <c r="ONY38" s="562"/>
      <c r="ONZ38" s="562"/>
      <c r="OOA38" s="562"/>
      <c r="OOB38" s="562"/>
      <c r="OOC38" s="562"/>
      <c r="OOD38" s="562"/>
      <c r="OOE38" s="562"/>
      <c r="OOF38" s="562"/>
      <c r="OOG38" s="562"/>
      <c r="OOH38" s="562"/>
      <c r="OOI38" s="562"/>
      <c r="OOJ38" s="562"/>
      <c r="OOK38" s="562"/>
      <c r="OOL38" s="562"/>
      <c r="OOM38" s="562"/>
      <c r="OON38" s="562"/>
      <c r="OOO38" s="562"/>
      <c r="OOP38" s="562"/>
      <c r="OOQ38" s="562"/>
      <c r="OOR38" s="562"/>
      <c r="OOS38" s="562"/>
      <c r="OOT38" s="562"/>
      <c r="OOU38" s="562"/>
      <c r="OOV38" s="562"/>
      <c r="OOW38" s="562"/>
      <c r="OOX38" s="562"/>
      <c r="OOY38" s="562"/>
      <c r="OOZ38" s="562"/>
      <c r="OPA38" s="562"/>
      <c r="OPB38" s="562"/>
      <c r="OPC38" s="562"/>
      <c r="OPD38" s="562"/>
      <c r="OPE38" s="562"/>
      <c r="OPF38" s="562"/>
      <c r="OPG38" s="562"/>
      <c r="OPH38" s="562"/>
      <c r="OPI38" s="562"/>
      <c r="OPJ38" s="562"/>
      <c r="OPK38" s="562"/>
      <c r="OPL38" s="562"/>
      <c r="OPM38" s="562"/>
      <c r="OPN38" s="562"/>
      <c r="OPO38" s="562"/>
      <c r="OPP38" s="562"/>
      <c r="OPQ38" s="562"/>
      <c r="OPR38" s="562"/>
      <c r="OPS38" s="562"/>
      <c r="OPT38" s="562"/>
      <c r="OPU38" s="562"/>
      <c r="OPV38" s="562"/>
      <c r="OPW38" s="562"/>
      <c r="OPX38" s="562"/>
      <c r="OPY38" s="562"/>
      <c r="OPZ38" s="562"/>
      <c r="OQA38" s="562"/>
      <c r="OQB38" s="562"/>
      <c r="OQC38" s="562"/>
      <c r="OQD38" s="562"/>
      <c r="OQE38" s="562"/>
      <c r="OQF38" s="562"/>
      <c r="OQG38" s="562"/>
      <c r="OQH38" s="562"/>
      <c r="OQI38" s="562"/>
      <c r="OQJ38" s="562"/>
      <c r="OQK38" s="562"/>
      <c r="OQL38" s="562"/>
      <c r="OQM38" s="562"/>
      <c r="OQN38" s="562"/>
      <c r="OQO38" s="562"/>
      <c r="OQP38" s="562"/>
      <c r="OQQ38" s="562"/>
      <c r="OQR38" s="562"/>
      <c r="OQS38" s="562"/>
      <c r="OQT38" s="562"/>
      <c r="OQU38" s="562"/>
      <c r="OQV38" s="562"/>
      <c r="OQW38" s="562"/>
      <c r="OQX38" s="562"/>
      <c r="OQY38" s="562"/>
      <c r="OQZ38" s="562"/>
      <c r="ORA38" s="562"/>
      <c r="ORB38" s="562"/>
      <c r="ORC38" s="562"/>
      <c r="ORD38" s="562"/>
      <c r="ORE38" s="562"/>
      <c r="ORF38" s="562"/>
      <c r="ORG38" s="562"/>
      <c r="ORH38" s="562"/>
      <c r="ORI38" s="562"/>
      <c r="ORJ38" s="562"/>
      <c r="ORK38" s="562"/>
      <c r="ORL38" s="562"/>
      <c r="ORM38" s="562"/>
      <c r="ORN38" s="562"/>
      <c r="ORO38" s="562"/>
      <c r="ORP38" s="562"/>
      <c r="ORQ38" s="562"/>
      <c r="ORR38" s="562"/>
      <c r="ORS38" s="562"/>
      <c r="ORT38" s="562"/>
      <c r="ORU38" s="562"/>
      <c r="ORV38" s="562"/>
      <c r="ORW38" s="562"/>
      <c r="ORX38" s="562"/>
      <c r="ORY38" s="562"/>
      <c r="ORZ38" s="562"/>
      <c r="OSA38" s="562"/>
      <c r="OSB38" s="562"/>
      <c r="OSC38" s="562"/>
      <c r="OSD38" s="562"/>
      <c r="OSE38" s="562"/>
      <c r="OSF38" s="562"/>
      <c r="OSG38" s="562"/>
      <c r="OSH38" s="562"/>
      <c r="OSI38" s="562"/>
      <c r="OSJ38" s="562"/>
      <c r="OSK38" s="562"/>
      <c r="OSL38" s="562"/>
      <c r="OSM38" s="562"/>
      <c r="OSN38" s="562"/>
      <c r="OSO38" s="562"/>
      <c r="OSP38" s="562"/>
      <c r="OSQ38" s="562"/>
      <c r="OSR38" s="562"/>
      <c r="OSS38" s="562"/>
      <c r="OST38" s="562"/>
      <c r="OSU38" s="562"/>
      <c r="OSV38" s="562"/>
      <c r="OSW38" s="562"/>
      <c r="OSX38" s="562"/>
      <c r="OSY38" s="562"/>
      <c r="OSZ38" s="562"/>
      <c r="OTA38" s="562"/>
      <c r="OTB38" s="562"/>
      <c r="OTC38" s="562"/>
      <c r="OTD38" s="562"/>
      <c r="OTE38" s="562"/>
      <c r="OTF38" s="562"/>
      <c r="OTG38" s="562"/>
      <c r="OTH38" s="562"/>
      <c r="OTI38" s="562"/>
      <c r="OTJ38" s="562"/>
      <c r="OTK38" s="562"/>
      <c r="OTL38" s="562"/>
      <c r="OTM38" s="562"/>
      <c r="OTN38" s="562"/>
      <c r="OTO38" s="562"/>
      <c r="OTP38" s="562"/>
      <c r="OTQ38" s="562"/>
      <c r="OTR38" s="562"/>
      <c r="OTS38" s="562"/>
      <c r="OTT38" s="562"/>
      <c r="OTU38" s="562"/>
      <c r="OTV38" s="562"/>
      <c r="OTW38" s="562"/>
      <c r="OTX38" s="562"/>
      <c r="OTY38" s="562"/>
      <c r="OTZ38" s="562"/>
      <c r="OUA38" s="562"/>
      <c r="OUB38" s="562"/>
      <c r="OUC38" s="562"/>
      <c r="OUD38" s="562"/>
      <c r="OUE38" s="562"/>
      <c r="OUF38" s="562"/>
      <c r="OUG38" s="562"/>
      <c r="OUH38" s="562"/>
      <c r="OUI38" s="562"/>
      <c r="OUJ38" s="562"/>
      <c r="OUK38" s="562"/>
      <c r="OUL38" s="562"/>
      <c r="OUM38" s="562"/>
      <c r="OUN38" s="562"/>
      <c r="OUO38" s="562"/>
      <c r="OUP38" s="562"/>
      <c r="OUQ38" s="562"/>
      <c r="OUR38" s="562"/>
      <c r="OUS38" s="562"/>
      <c r="OUT38" s="562"/>
      <c r="OUU38" s="562"/>
      <c r="OUV38" s="562"/>
      <c r="OUW38" s="562"/>
      <c r="OUX38" s="562"/>
      <c r="OUY38" s="562"/>
      <c r="OUZ38" s="562"/>
      <c r="OVA38" s="562"/>
      <c r="OVB38" s="562"/>
      <c r="OVC38" s="562"/>
      <c r="OVD38" s="562"/>
      <c r="OVE38" s="562"/>
      <c r="OVF38" s="562"/>
      <c r="OVG38" s="562"/>
      <c r="OVH38" s="562"/>
      <c r="OVI38" s="562"/>
      <c r="OVJ38" s="562"/>
      <c r="OVK38" s="562"/>
      <c r="OVL38" s="562"/>
      <c r="OVM38" s="562"/>
      <c r="OVN38" s="562"/>
      <c r="OVO38" s="562"/>
      <c r="OVP38" s="562"/>
      <c r="OVQ38" s="562"/>
      <c r="OVR38" s="562"/>
      <c r="OVS38" s="562"/>
      <c r="OVT38" s="562"/>
      <c r="OVU38" s="562"/>
      <c r="OVV38" s="562"/>
      <c r="OVW38" s="562"/>
      <c r="OVX38" s="562"/>
      <c r="OVY38" s="562"/>
      <c r="OVZ38" s="562"/>
      <c r="OWA38" s="562"/>
      <c r="OWB38" s="562"/>
      <c r="OWC38" s="562"/>
      <c r="OWD38" s="562"/>
      <c r="OWE38" s="562"/>
      <c r="OWF38" s="562"/>
      <c r="OWG38" s="562"/>
      <c r="OWH38" s="562"/>
      <c r="OWI38" s="562"/>
      <c r="OWJ38" s="562"/>
      <c r="OWK38" s="562"/>
      <c r="OWL38" s="562"/>
      <c r="OWM38" s="562"/>
      <c r="OWN38" s="562"/>
      <c r="OWO38" s="562"/>
      <c r="OWP38" s="562"/>
      <c r="OWQ38" s="562"/>
      <c r="OWR38" s="562"/>
      <c r="OWS38" s="562"/>
      <c r="OWT38" s="562"/>
      <c r="OWU38" s="562"/>
      <c r="OWV38" s="562"/>
      <c r="OWW38" s="562"/>
      <c r="OWX38" s="562"/>
      <c r="OWY38" s="562"/>
      <c r="OWZ38" s="562"/>
      <c r="OXA38" s="562"/>
      <c r="OXB38" s="562"/>
      <c r="OXC38" s="562"/>
      <c r="OXD38" s="562"/>
      <c r="OXE38" s="562"/>
      <c r="OXF38" s="562"/>
      <c r="OXG38" s="562"/>
      <c r="OXH38" s="562"/>
      <c r="OXI38" s="562"/>
      <c r="OXJ38" s="562"/>
      <c r="OXK38" s="562"/>
      <c r="OXL38" s="562"/>
      <c r="OXM38" s="562"/>
      <c r="OXN38" s="562"/>
      <c r="OXO38" s="562"/>
      <c r="OXP38" s="562"/>
      <c r="OXQ38" s="562"/>
      <c r="OXR38" s="562"/>
      <c r="OXS38" s="562"/>
      <c r="OXT38" s="562"/>
      <c r="OXU38" s="562"/>
      <c r="OXV38" s="562"/>
      <c r="OXW38" s="562"/>
      <c r="OXX38" s="562"/>
      <c r="OXY38" s="562"/>
      <c r="OXZ38" s="562"/>
      <c r="OYA38" s="562"/>
      <c r="OYB38" s="562"/>
      <c r="OYC38" s="562"/>
      <c r="OYD38" s="562"/>
      <c r="OYE38" s="562"/>
      <c r="OYF38" s="562"/>
      <c r="OYG38" s="562"/>
      <c r="OYH38" s="562"/>
      <c r="OYI38" s="562"/>
      <c r="OYJ38" s="562"/>
      <c r="OYK38" s="562"/>
      <c r="OYL38" s="562"/>
      <c r="OYM38" s="562"/>
      <c r="OYN38" s="562"/>
      <c r="OYO38" s="562"/>
      <c r="OYP38" s="562"/>
      <c r="OYQ38" s="562"/>
      <c r="OYR38" s="562"/>
      <c r="OYS38" s="562"/>
      <c r="OYT38" s="562"/>
      <c r="OYU38" s="562"/>
      <c r="OYV38" s="562"/>
      <c r="OYW38" s="562"/>
      <c r="OYX38" s="562"/>
      <c r="OYY38" s="562"/>
      <c r="OYZ38" s="562"/>
      <c r="OZA38" s="562"/>
      <c r="OZB38" s="562"/>
      <c r="OZC38" s="562"/>
      <c r="OZD38" s="562"/>
      <c r="OZE38" s="562"/>
      <c r="OZF38" s="562"/>
      <c r="OZG38" s="562"/>
      <c r="OZH38" s="562"/>
      <c r="OZI38" s="562"/>
      <c r="OZJ38" s="562"/>
      <c r="OZK38" s="562"/>
      <c r="OZL38" s="562"/>
      <c r="OZM38" s="562"/>
      <c r="OZN38" s="562"/>
      <c r="OZO38" s="562"/>
      <c r="OZP38" s="562"/>
      <c r="OZQ38" s="562"/>
      <c r="OZR38" s="562"/>
      <c r="OZS38" s="562"/>
      <c r="OZT38" s="562"/>
      <c r="OZU38" s="562"/>
      <c r="OZV38" s="562"/>
      <c r="OZW38" s="562"/>
      <c r="OZX38" s="562"/>
      <c r="OZY38" s="562"/>
      <c r="OZZ38" s="562"/>
      <c r="PAA38" s="562"/>
      <c r="PAB38" s="562"/>
      <c r="PAC38" s="562"/>
      <c r="PAD38" s="562"/>
      <c r="PAE38" s="562"/>
      <c r="PAF38" s="562"/>
      <c r="PAG38" s="562"/>
      <c r="PAH38" s="562"/>
      <c r="PAI38" s="562"/>
      <c r="PAJ38" s="562"/>
      <c r="PAK38" s="562"/>
      <c r="PAL38" s="562"/>
      <c r="PAM38" s="562"/>
      <c r="PAN38" s="562"/>
      <c r="PAO38" s="562"/>
      <c r="PAP38" s="562"/>
      <c r="PAQ38" s="562"/>
      <c r="PAR38" s="562"/>
      <c r="PAS38" s="562"/>
      <c r="PAT38" s="562"/>
      <c r="PAU38" s="562"/>
      <c r="PAV38" s="562"/>
      <c r="PAW38" s="562"/>
      <c r="PAX38" s="562"/>
      <c r="PAY38" s="562"/>
      <c r="PAZ38" s="562"/>
      <c r="PBA38" s="562"/>
      <c r="PBB38" s="562"/>
      <c r="PBC38" s="562"/>
      <c r="PBD38" s="562"/>
      <c r="PBE38" s="562"/>
      <c r="PBF38" s="562"/>
      <c r="PBG38" s="562"/>
      <c r="PBH38" s="562"/>
      <c r="PBI38" s="562"/>
      <c r="PBJ38" s="562"/>
      <c r="PBK38" s="562"/>
      <c r="PBL38" s="562"/>
      <c r="PBM38" s="562"/>
      <c r="PBN38" s="562"/>
      <c r="PBO38" s="562"/>
      <c r="PBP38" s="562"/>
      <c r="PBQ38" s="562"/>
      <c r="PBR38" s="562"/>
      <c r="PBS38" s="562"/>
      <c r="PBT38" s="562"/>
      <c r="PBU38" s="562"/>
      <c r="PBV38" s="562"/>
      <c r="PBW38" s="562"/>
      <c r="PBX38" s="562"/>
      <c r="PBY38" s="562"/>
      <c r="PBZ38" s="562"/>
      <c r="PCA38" s="562"/>
      <c r="PCB38" s="562"/>
      <c r="PCC38" s="562"/>
      <c r="PCD38" s="562"/>
      <c r="PCE38" s="562"/>
      <c r="PCF38" s="562"/>
      <c r="PCG38" s="562"/>
      <c r="PCH38" s="562"/>
      <c r="PCI38" s="562"/>
      <c r="PCJ38" s="562"/>
      <c r="PCK38" s="562"/>
      <c r="PCL38" s="562"/>
      <c r="PCM38" s="562"/>
      <c r="PCN38" s="562"/>
      <c r="PCO38" s="562"/>
      <c r="PCP38" s="562"/>
      <c r="PCQ38" s="562"/>
      <c r="PCR38" s="562"/>
      <c r="PCS38" s="562"/>
      <c r="PCT38" s="562"/>
      <c r="PCU38" s="562"/>
      <c r="PCV38" s="562"/>
      <c r="PCW38" s="562"/>
      <c r="PCX38" s="562"/>
      <c r="PCY38" s="562"/>
      <c r="PCZ38" s="562"/>
      <c r="PDA38" s="562"/>
      <c r="PDB38" s="562"/>
      <c r="PDC38" s="562"/>
      <c r="PDD38" s="562"/>
      <c r="PDE38" s="562"/>
      <c r="PDF38" s="562"/>
      <c r="PDG38" s="562"/>
      <c r="PDH38" s="562"/>
      <c r="PDI38" s="562"/>
      <c r="PDJ38" s="562"/>
      <c r="PDK38" s="562"/>
      <c r="PDL38" s="562"/>
      <c r="PDM38" s="562"/>
      <c r="PDN38" s="562"/>
      <c r="PDO38" s="562"/>
      <c r="PDP38" s="562"/>
      <c r="PDQ38" s="562"/>
      <c r="PDR38" s="562"/>
      <c r="PDS38" s="562"/>
      <c r="PDT38" s="562"/>
      <c r="PDU38" s="562"/>
      <c r="PDV38" s="562"/>
      <c r="PDW38" s="562"/>
      <c r="PDX38" s="562"/>
      <c r="PDY38" s="562"/>
      <c r="PDZ38" s="562"/>
      <c r="PEA38" s="562"/>
      <c r="PEB38" s="562"/>
      <c r="PEC38" s="562"/>
      <c r="PED38" s="562"/>
      <c r="PEE38" s="562"/>
      <c r="PEF38" s="562"/>
      <c r="PEG38" s="562"/>
      <c r="PEH38" s="562"/>
      <c r="PEI38" s="562"/>
      <c r="PEJ38" s="562"/>
      <c r="PEK38" s="562"/>
      <c r="PEL38" s="562"/>
      <c r="PEM38" s="562"/>
      <c r="PEN38" s="562"/>
      <c r="PEO38" s="562"/>
      <c r="PEP38" s="562"/>
      <c r="PEQ38" s="562"/>
      <c r="PER38" s="562"/>
      <c r="PES38" s="562"/>
      <c r="PET38" s="562"/>
      <c r="PEU38" s="562"/>
      <c r="PEV38" s="562"/>
      <c r="PEW38" s="562"/>
      <c r="PEX38" s="562"/>
      <c r="PEY38" s="562"/>
      <c r="PEZ38" s="562"/>
      <c r="PFA38" s="562"/>
      <c r="PFB38" s="562"/>
      <c r="PFC38" s="562"/>
      <c r="PFD38" s="562"/>
      <c r="PFE38" s="562"/>
      <c r="PFF38" s="562"/>
      <c r="PFG38" s="562"/>
      <c r="PFH38" s="562"/>
      <c r="PFI38" s="562"/>
      <c r="PFJ38" s="562"/>
      <c r="PFK38" s="562"/>
      <c r="PFL38" s="562"/>
      <c r="PFM38" s="562"/>
      <c r="PFN38" s="562"/>
      <c r="PFO38" s="562"/>
      <c r="PFP38" s="562"/>
      <c r="PFQ38" s="562"/>
      <c r="PFR38" s="562"/>
      <c r="PFS38" s="562"/>
      <c r="PFT38" s="562"/>
      <c r="PFU38" s="562"/>
      <c r="PFV38" s="562"/>
      <c r="PFW38" s="562"/>
      <c r="PFX38" s="562"/>
      <c r="PFY38" s="562"/>
      <c r="PFZ38" s="562"/>
      <c r="PGA38" s="562"/>
      <c r="PGB38" s="562"/>
      <c r="PGC38" s="562"/>
      <c r="PGD38" s="562"/>
      <c r="PGE38" s="562"/>
      <c r="PGF38" s="562"/>
      <c r="PGG38" s="562"/>
      <c r="PGH38" s="562"/>
      <c r="PGI38" s="562"/>
      <c r="PGJ38" s="562"/>
      <c r="PGK38" s="562"/>
      <c r="PGL38" s="562"/>
      <c r="PGM38" s="562"/>
      <c r="PGN38" s="562"/>
      <c r="PGO38" s="562"/>
      <c r="PGP38" s="562"/>
      <c r="PGQ38" s="562"/>
      <c r="PGR38" s="562"/>
      <c r="PGS38" s="562"/>
      <c r="PGT38" s="562"/>
      <c r="PGU38" s="562"/>
      <c r="PGV38" s="562"/>
      <c r="PGW38" s="562"/>
      <c r="PGX38" s="562"/>
      <c r="PGY38" s="562"/>
      <c r="PGZ38" s="562"/>
      <c r="PHA38" s="562"/>
      <c r="PHB38" s="562"/>
      <c r="PHC38" s="562"/>
      <c r="PHD38" s="562"/>
      <c r="PHE38" s="562"/>
      <c r="PHF38" s="562"/>
      <c r="PHG38" s="562"/>
      <c r="PHH38" s="562"/>
      <c r="PHI38" s="562"/>
      <c r="PHJ38" s="562"/>
      <c r="PHK38" s="562"/>
      <c r="PHL38" s="562"/>
      <c r="PHM38" s="562"/>
      <c r="PHN38" s="562"/>
      <c r="PHO38" s="562"/>
      <c r="PHP38" s="562"/>
      <c r="PHQ38" s="562"/>
      <c r="PHR38" s="562"/>
      <c r="PHS38" s="562"/>
      <c r="PHT38" s="562"/>
      <c r="PHU38" s="562"/>
      <c r="PHV38" s="562"/>
      <c r="PHW38" s="562"/>
      <c r="PHX38" s="562"/>
      <c r="PHY38" s="562"/>
      <c r="PHZ38" s="562"/>
      <c r="PIA38" s="562"/>
      <c r="PIB38" s="562"/>
      <c r="PIC38" s="562"/>
      <c r="PID38" s="562"/>
      <c r="PIE38" s="562"/>
      <c r="PIF38" s="562"/>
      <c r="PIG38" s="562"/>
      <c r="PIH38" s="562"/>
      <c r="PII38" s="562"/>
      <c r="PIJ38" s="562"/>
      <c r="PIK38" s="562"/>
      <c r="PIL38" s="562"/>
      <c r="PIM38" s="562"/>
      <c r="PIN38" s="562"/>
      <c r="PIO38" s="562"/>
      <c r="PIP38" s="562"/>
      <c r="PIQ38" s="562"/>
      <c r="PIR38" s="562"/>
      <c r="PIS38" s="562"/>
      <c r="PIT38" s="562"/>
      <c r="PIU38" s="562"/>
      <c r="PIV38" s="562"/>
      <c r="PIW38" s="562"/>
      <c r="PIX38" s="562"/>
      <c r="PIY38" s="562"/>
      <c r="PIZ38" s="562"/>
      <c r="PJA38" s="562"/>
      <c r="PJB38" s="562"/>
      <c r="PJC38" s="562"/>
      <c r="PJD38" s="562"/>
      <c r="PJE38" s="562"/>
      <c r="PJF38" s="562"/>
      <c r="PJG38" s="562"/>
      <c r="PJH38" s="562"/>
      <c r="PJI38" s="562"/>
      <c r="PJJ38" s="562"/>
      <c r="PJK38" s="562"/>
      <c r="PJL38" s="562"/>
      <c r="PJM38" s="562"/>
      <c r="PJN38" s="562"/>
      <c r="PJO38" s="562"/>
      <c r="PJP38" s="562"/>
      <c r="PJQ38" s="562"/>
      <c r="PJR38" s="562"/>
      <c r="PJS38" s="562"/>
      <c r="PJT38" s="562"/>
      <c r="PJU38" s="562"/>
      <c r="PJV38" s="562"/>
      <c r="PJW38" s="562"/>
      <c r="PJX38" s="562"/>
      <c r="PJY38" s="562"/>
      <c r="PJZ38" s="562"/>
      <c r="PKA38" s="562"/>
      <c r="PKB38" s="562"/>
      <c r="PKC38" s="562"/>
      <c r="PKD38" s="562"/>
      <c r="PKE38" s="562"/>
      <c r="PKF38" s="562"/>
      <c r="PKG38" s="562"/>
      <c r="PKH38" s="562"/>
      <c r="PKI38" s="562"/>
      <c r="PKJ38" s="562"/>
      <c r="PKK38" s="562"/>
      <c r="PKL38" s="562"/>
      <c r="PKM38" s="562"/>
      <c r="PKN38" s="562"/>
      <c r="PKO38" s="562"/>
      <c r="PKP38" s="562"/>
      <c r="PKQ38" s="562"/>
      <c r="PKR38" s="562"/>
      <c r="PKS38" s="562"/>
      <c r="PKT38" s="562"/>
      <c r="PKU38" s="562"/>
      <c r="PKV38" s="562"/>
      <c r="PKW38" s="562"/>
      <c r="PKX38" s="562"/>
      <c r="PKY38" s="562"/>
      <c r="PKZ38" s="562"/>
      <c r="PLA38" s="562"/>
      <c r="PLB38" s="562"/>
      <c r="PLC38" s="562"/>
      <c r="PLD38" s="562"/>
      <c r="PLE38" s="562"/>
      <c r="PLF38" s="562"/>
      <c r="PLG38" s="562"/>
      <c r="PLH38" s="562"/>
      <c r="PLI38" s="562"/>
      <c r="PLJ38" s="562"/>
      <c r="PLK38" s="562"/>
      <c r="PLL38" s="562"/>
      <c r="PLM38" s="562"/>
      <c r="PLN38" s="562"/>
      <c r="PLO38" s="562"/>
      <c r="PLP38" s="562"/>
      <c r="PLQ38" s="562"/>
      <c r="PLR38" s="562"/>
      <c r="PLS38" s="562"/>
      <c r="PLT38" s="562"/>
      <c r="PLU38" s="562"/>
      <c r="PLV38" s="562"/>
      <c r="PLW38" s="562"/>
      <c r="PLX38" s="562"/>
      <c r="PLY38" s="562"/>
      <c r="PLZ38" s="562"/>
      <c r="PMA38" s="562"/>
      <c r="PMB38" s="562"/>
      <c r="PMC38" s="562"/>
      <c r="PMD38" s="562"/>
      <c r="PME38" s="562"/>
      <c r="PMF38" s="562"/>
      <c r="PMG38" s="562"/>
      <c r="PMH38" s="562"/>
      <c r="PMI38" s="562"/>
      <c r="PMJ38" s="562"/>
      <c r="PMK38" s="562"/>
      <c r="PML38" s="562"/>
      <c r="PMM38" s="562"/>
      <c r="PMN38" s="562"/>
      <c r="PMO38" s="562"/>
      <c r="PMP38" s="562"/>
      <c r="PMQ38" s="562"/>
      <c r="PMR38" s="562"/>
      <c r="PMS38" s="562"/>
      <c r="PMT38" s="562"/>
      <c r="PMU38" s="562"/>
      <c r="PMV38" s="562"/>
      <c r="PMW38" s="562"/>
      <c r="PMX38" s="562"/>
      <c r="PMY38" s="562"/>
      <c r="PMZ38" s="562"/>
      <c r="PNA38" s="562"/>
      <c r="PNB38" s="562"/>
      <c r="PNC38" s="562"/>
      <c r="PND38" s="562"/>
      <c r="PNE38" s="562"/>
      <c r="PNF38" s="562"/>
      <c r="PNG38" s="562"/>
      <c r="PNH38" s="562"/>
      <c r="PNI38" s="562"/>
      <c r="PNJ38" s="562"/>
      <c r="PNK38" s="562"/>
      <c r="PNL38" s="562"/>
      <c r="PNM38" s="562"/>
      <c r="PNN38" s="562"/>
      <c r="PNO38" s="562"/>
      <c r="PNP38" s="562"/>
      <c r="PNQ38" s="562"/>
      <c r="PNR38" s="562"/>
      <c r="PNS38" s="562"/>
      <c r="PNT38" s="562"/>
      <c r="PNU38" s="562"/>
      <c r="PNV38" s="562"/>
      <c r="PNW38" s="562"/>
      <c r="PNX38" s="562"/>
      <c r="PNY38" s="562"/>
      <c r="PNZ38" s="562"/>
      <c r="POA38" s="562"/>
      <c r="POB38" s="562"/>
      <c r="POC38" s="562"/>
      <c r="POD38" s="562"/>
      <c r="POE38" s="562"/>
      <c r="POF38" s="562"/>
      <c r="POG38" s="562"/>
      <c r="POH38" s="562"/>
      <c r="POI38" s="562"/>
      <c r="POJ38" s="562"/>
      <c r="POK38" s="562"/>
      <c r="POL38" s="562"/>
      <c r="POM38" s="562"/>
      <c r="PON38" s="562"/>
      <c r="POO38" s="562"/>
      <c r="POP38" s="562"/>
      <c r="POQ38" s="562"/>
      <c r="POR38" s="562"/>
      <c r="POS38" s="562"/>
      <c r="POT38" s="562"/>
      <c r="POU38" s="562"/>
      <c r="POV38" s="562"/>
      <c r="POW38" s="562"/>
      <c r="POX38" s="562"/>
      <c r="POY38" s="562"/>
      <c r="POZ38" s="562"/>
      <c r="PPA38" s="562"/>
      <c r="PPB38" s="562"/>
      <c r="PPC38" s="562"/>
      <c r="PPD38" s="562"/>
      <c r="PPE38" s="562"/>
      <c r="PPF38" s="562"/>
      <c r="PPG38" s="562"/>
      <c r="PPH38" s="562"/>
      <c r="PPI38" s="562"/>
      <c r="PPJ38" s="562"/>
      <c r="PPK38" s="562"/>
      <c r="PPL38" s="562"/>
      <c r="PPM38" s="562"/>
      <c r="PPN38" s="562"/>
      <c r="PPO38" s="562"/>
      <c r="PPP38" s="562"/>
      <c r="PPQ38" s="562"/>
      <c r="PPR38" s="562"/>
      <c r="PPS38" s="562"/>
      <c r="PPT38" s="562"/>
      <c r="PPU38" s="562"/>
      <c r="PPV38" s="562"/>
      <c r="PPW38" s="562"/>
      <c r="PPX38" s="562"/>
      <c r="PPY38" s="562"/>
      <c r="PPZ38" s="562"/>
      <c r="PQA38" s="562"/>
      <c r="PQB38" s="562"/>
      <c r="PQC38" s="562"/>
      <c r="PQD38" s="562"/>
      <c r="PQE38" s="562"/>
      <c r="PQF38" s="562"/>
      <c r="PQG38" s="562"/>
      <c r="PQH38" s="562"/>
      <c r="PQI38" s="562"/>
      <c r="PQJ38" s="562"/>
      <c r="PQK38" s="562"/>
      <c r="PQL38" s="562"/>
      <c r="PQM38" s="562"/>
      <c r="PQN38" s="562"/>
      <c r="PQO38" s="562"/>
      <c r="PQP38" s="562"/>
      <c r="PQQ38" s="562"/>
      <c r="PQR38" s="562"/>
      <c r="PQS38" s="562"/>
      <c r="PQT38" s="562"/>
      <c r="PQU38" s="562"/>
      <c r="PQV38" s="562"/>
      <c r="PQW38" s="562"/>
      <c r="PQX38" s="562"/>
      <c r="PQY38" s="562"/>
      <c r="PQZ38" s="562"/>
      <c r="PRA38" s="562"/>
      <c r="PRB38" s="562"/>
      <c r="PRC38" s="562"/>
      <c r="PRD38" s="562"/>
      <c r="PRE38" s="562"/>
      <c r="PRF38" s="562"/>
      <c r="PRG38" s="562"/>
      <c r="PRH38" s="562"/>
      <c r="PRI38" s="562"/>
      <c r="PRJ38" s="562"/>
      <c r="PRK38" s="562"/>
      <c r="PRL38" s="562"/>
      <c r="PRM38" s="562"/>
      <c r="PRN38" s="562"/>
      <c r="PRO38" s="562"/>
      <c r="PRP38" s="562"/>
      <c r="PRQ38" s="562"/>
      <c r="PRR38" s="562"/>
      <c r="PRS38" s="562"/>
      <c r="PRT38" s="562"/>
      <c r="PRU38" s="562"/>
      <c r="PRV38" s="562"/>
      <c r="PRW38" s="562"/>
      <c r="PRX38" s="562"/>
      <c r="PRY38" s="562"/>
      <c r="PRZ38" s="562"/>
      <c r="PSA38" s="562"/>
      <c r="PSB38" s="562"/>
      <c r="PSC38" s="562"/>
      <c r="PSD38" s="562"/>
      <c r="PSE38" s="562"/>
      <c r="PSF38" s="562"/>
      <c r="PSG38" s="562"/>
      <c r="PSH38" s="562"/>
      <c r="PSI38" s="562"/>
      <c r="PSJ38" s="562"/>
      <c r="PSK38" s="562"/>
      <c r="PSL38" s="562"/>
      <c r="PSM38" s="562"/>
      <c r="PSN38" s="562"/>
      <c r="PSO38" s="562"/>
      <c r="PSP38" s="562"/>
      <c r="PSQ38" s="562"/>
      <c r="PSR38" s="562"/>
      <c r="PSS38" s="562"/>
      <c r="PST38" s="562"/>
      <c r="PSU38" s="562"/>
      <c r="PSV38" s="562"/>
      <c r="PSW38" s="562"/>
      <c r="PSX38" s="562"/>
      <c r="PSY38" s="562"/>
      <c r="PSZ38" s="562"/>
      <c r="PTA38" s="562"/>
      <c r="PTB38" s="562"/>
      <c r="PTC38" s="562"/>
      <c r="PTD38" s="562"/>
      <c r="PTE38" s="562"/>
      <c r="PTF38" s="562"/>
      <c r="PTG38" s="562"/>
      <c r="PTH38" s="562"/>
      <c r="PTI38" s="562"/>
      <c r="PTJ38" s="562"/>
      <c r="PTK38" s="562"/>
      <c r="PTL38" s="562"/>
      <c r="PTM38" s="562"/>
      <c r="PTN38" s="562"/>
      <c r="PTO38" s="562"/>
      <c r="PTP38" s="562"/>
      <c r="PTQ38" s="562"/>
      <c r="PTR38" s="562"/>
      <c r="PTS38" s="562"/>
      <c r="PTT38" s="562"/>
      <c r="PTU38" s="562"/>
      <c r="PTV38" s="562"/>
      <c r="PTW38" s="562"/>
      <c r="PTX38" s="562"/>
      <c r="PTY38" s="562"/>
      <c r="PTZ38" s="562"/>
      <c r="PUA38" s="562"/>
      <c r="PUB38" s="562"/>
      <c r="PUC38" s="562"/>
      <c r="PUD38" s="562"/>
      <c r="PUE38" s="562"/>
      <c r="PUF38" s="562"/>
      <c r="PUG38" s="562"/>
      <c r="PUH38" s="562"/>
      <c r="PUI38" s="562"/>
      <c r="PUJ38" s="562"/>
      <c r="PUK38" s="562"/>
      <c r="PUL38" s="562"/>
      <c r="PUM38" s="562"/>
      <c r="PUN38" s="562"/>
      <c r="PUO38" s="562"/>
      <c r="PUP38" s="562"/>
      <c r="PUQ38" s="562"/>
      <c r="PUR38" s="562"/>
      <c r="PUS38" s="562"/>
      <c r="PUT38" s="562"/>
      <c r="PUU38" s="562"/>
      <c r="PUV38" s="562"/>
      <c r="PUW38" s="562"/>
      <c r="PUX38" s="562"/>
      <c r="PUY38" s="562"/>
      <c r="PUZ38" s="562"/>
      <c r="PVA38" s="562"/>
      <c r="PVB38" s="562"/>
      <c r="PVC38" s="562"/>
      <c r="PVD38" s="562"/>
      <c r="PVE38" s="562"/>
      <c r="PVF38" s="562"/>
      <c r="PVG38" s="562"/>
      <c r="PVH38" s="562"/>
      <c r="PVI38" s="562"/>
      <c r="PVJ38" s="562"/>
      <c r="PVK38" s="562"/>
      <c r="PVL38" s="562"/>
      <c r="PVM38" s="562"/>
      <c r="PVN38" s="562"/>
      <c r="PVO38" s="562"/>
      <c r="PVP38" s="562"/>
      <c r="PVQ38" s="562"/>
      <c r="PVR38" s="562"/>
      <c r="PVS38" s="562"/>
      <c r="PVT38" s="562"/>
      <c r="PVU38" s="562"/>
      <c r="PVV38" s="562"/>
      <c r="PVW38" s="562"/>
      <c r="PVX38" s="562"/>
      <c r="PVY38" s="562"/>
      <c r="PVZ38" s="562"/>
      <c r="PWA38" s="562"/>
      <c r="PWB38" s="562"/>
      <c r="PWC38" s="562"/>
      <c r="PWD38" s="562"/>
      <c r="PWE38" s="562"/>
      <c r="PWF38" s="562"/>
      <c r="PWG38" s="562"/>
      <c r="PWH38" s="562"/>
      <c r="PWI38" s="562"/>
      <c r="PWJ38" s="562"/>
      <c r="PWK38" s="562"/>
      <c r="PWL38" s="562"/>
      <c r="PWM38" s="562"/>
      <c r="PWN38" s="562"/>
      <c r="PWO38" s="562"/>
      <c r="PWP38" s="562"/>
      <c r="PWQ38" s="562"/>
      <c r="PWR38" s="562"/>
      <c r="PWS38" s="562"/>
      <c r="PWT38" s="562"/>
      <c r="PWU38" s="562"/>
      <c r="PWV38" s="562"/>
      <c r="PWW38" s="562"/>
      <c r="PWX38" s="562"/>
      <c r="PWY38" s="562"/>
      <c r="PWZ38" s="562"/>
      <c r="PXA38" s="562"/>
      <c r="PXB38" s="562"/>
      <c r="PXC38" s="562"/>
      <c r="PXD38" s="562"/>
      <c r="PXE38" s="562"/>
      <c r="PXF38" s="562"/>
      <c r="PXG38" s="562"/>
      <c r="PXH38" s="562"/>
      <c r="PXI38" s="562"/>
      <c r="PXJ38" s="562"/>
      <c r="PXK38" s="562"/>
      <c r="PXL38" s="562"/>
      <c r="PXM38" s="562"/>
      <c r="PXN38" s="562"/>
      <c r="PXO38" s="562"/>
      <c r="PXP38" s="562"/>
      <c r="PXQ38" s="562"/>
      <c r="PXR38" s="562"/>
      <c r="PXS38" s="562"/>
      <c r="PXT38" s="562"/>
      <c r="PXU38" s="562"/>
      <c r="PXV38" s="562"/>
      <c r="PXW38" s="562"/>
      <c r="PXX38" s="562"/>
      <c r="PXY38" s="562"/>
      <c r="PXZ38" s="562"/>
      <c r="PYA38" s="562"/>
      <c r="PYB38" s="562"/>
      <c r="PYC38" s="562"/>
      <c r="PYD38" s="562"/>
      <c r="PYE38" s="562"/>
      <c r="PYF38" s="562"/>
      <c r="PYG38" s="562"/>
      <c r="PYH38" s="562"/>
      <c r="PYI38" s="562"/>
      <c r="PYJ38" s="562"/>
      <c r="PYK38" s="562"/>
      <c r="PYL38" s="562"/>
      <c r="PYM38" s="562"/>
      <c r="PYN38" s="562"/>
      <c r="PYO38" s="562"/>
      <c r="PYP38" s="562"/>
      <c r="PYQ38" s="562"/>
      <c r="PYR38" s="562"/>
      <c r="PYS38" s="562"/>
      <c r="PYT38" s="562"/>
      <c r="PYU38" s="562"/>
      <c r="PYV38" s="562"/>
      <c r="PYW38" s="562"/>
      <c r="PYX38" s="562"/>
      <c r="PYY38" s="562"/>
      <c r="PYZ38" s="562"/>
      <c r="PZA38" s="562"/>
      <c r="PZB38" s="562"/>
      <c r="PZC38" s="562"/>
      <c r="PZD38" s="562"/>
      <c r="PZE38" s="562"/>
      <c r="PZF38" s="562"/>
      <c r="PZG38" s="562"/>
      <c r="PZH38" s="562"/>
      <c r="PZI38" s="562"/>
      <c r="PZJ38" s="562"/>
      <c r="PZK38" s="562"/>
      <c r="PZL38" s="562"/>
      <c r="PZM38" s="562"/>
      <c r="PZN38" s="562"/>
      <c r="PZO38" s="562"/>
      <c r="PZP38" s="562"/>
      <c r="PZQ38" s="562"/>
      <c r="PZR38" s="562"/>
      <c r="PZS38" s="562"/>
      <c r="PZT38" s="562"/>
      <c r="PZU38" s="562"/>
      <c r="PZV38" s="562"/>
      <c r="PZW38" s="562"/>
      <c r="PZX38" s="562"/>
      <c r="PZY38" s="562"/>
      <c r="PZZ38" s="562"/>
      <c r="QAA38" s="562"/>
      <c r="QAB38" s="562"/>
      <c r="QAC38" s="562"/>
      <c r="QAD38" s="562"/>
      <c r="QAE38" s="562"/>
      <c r="QAF38" s="562"/>
      <c r="QAG38" s="562"/>
      <c r="QAH38" s="562"/>
      <c r="QAI38" s="562"/>
      <c r="QAJ38" s="562"/>
      <c r="QAK38" s="562"/>
      <c r="QAL38" s="562"/>
      <c r="QAM38" s="562"/>
      <c r="QAN38" s="562"/>
      <c r="QAO38" s="562"/>
      <c r="QAP38" s="562"/>
      <c r="QAQ38" s="562"/>
      <c r="QAR38" s="562"/>
      <c r="QAS38" s="562"/>
      <c r="QAT38" s="562"/>
      <c r="QAU38" s="562"/>
      <c r="QAV38" s="562"/>
      <c r="QAW38" s="562"/>
      <c r="QAX38" s="562"/>
      <c r="QAY38" s="562"/>
      <c r="QAZ38" s="562"/>
      <c r="QBA38" s="562"/>
      <c r="QBB38" s="562"/>
      <c r="QBC38" s="562"/>
      <c r="QBD38" s="562"/>
      <c r="QBE38" s="562"/>
      <c r="QBF38" s="562"/>
      <c r="QBG38" s="562"/>
      <c r="QBH38" s="562"/>
      <c r="QBI38" s="562"/>
      <c r="QBJ38" s="562"/>
      <c r="QBK38" s="562"/>
      <c r="QBL38" s="562"/>
      <c r="QBM38" s="562"/>
      <c r="QBN38" s="562"/>
      <c r="QBO38" s="562"/>
      <c r="QBP38" s="562"/>
      <c r="QBQ38" s="562"/>
      <c r="QBR38" s="562"/>
      <c r="QBS38" s="562"/>
      <c r="QBT38" s="562"/>
      <c r="QBU38" s="562"/>
      <c r="QBV38" s="562"/>
      <c r="QBW38" s="562"/>
      <c r="QBX38" s="562"/>
      <c r="QBY38" s="562"/>
      <c r="QBZ38" s="562"/>
      <c r="QCA38" s="562"/>
      <c r="QCB38" s="562"/>
      <c r="QCC38" s="562"/>
      <c r="QCD38" s="562"/>
      <c r="QCE38" s="562"/>
      <c r="QCF38" s="562"/>
      <c r="QCG38" s="562"/>
      <c r="QCH38" s="562"/>
      <c r="QCI38" s="562"/>
      <c r="QCJ38" s="562"/>
      <c r="QCK38" s="562"/>
      <c r="QCL38" s="562"/>
      <c r="QCM38" s="562"/>
      <c r="QCN38" s="562"/>
      <c r="QCO38" s="562"/>
      <c r="QCP38" s="562"/>
      <c r="QCQ38" s="562"/>
      <c r="QCR38" s="562"/>
      <c r="QCS38" s="562"/>
      <c r="QCT38" s="562"/>
      <c r="QCU38" s="562"/>
      <c r="QCV38" s="562"/>
      <c r="QCW38" s="562"/>
      <c r="QCX38" s="562"/>
      <c r="QCY38" s="562"/>
      <c r="QCZ38" s="562"/>
      <c r="QDA38" s="562"/>
      <c r="QDB38" s="562"/>
      <c r="QDC38" s="562"/>
      <c r="QDD38" s="562"/>
      <c r="QDE38" s="562"/>
      <c r="QDF38" s="562"/>
      <c r="QDG38" s="562"/>
      <c r="QDH38" s="562"/>
      <c r="QDI38" s="562"/>
      <c r="QDJ38" s="562"/>
      <c r="QDK38" s="562"/>
      <c r="QDL38" s="562"/>
      <c r="QDM38" s="562"/>
      <c r="QDN38" s="562"/>
      <c r="QDO38" s="562"/>
      <c r="QDP38" s="562"/>
      <c r="QDQ38" s="562"/>
      <c r="QDR38" s="562"/>
      <c r="QDS38" s="562"/>
      <c r="QDT38" s="562"/>
      <c r="QDU38" s="562"/>
      <c r="QDV38" s="562"/>
      <c r="QDW38" s="562"/>
      <c r="QDX38" s="562"/>
      <c r="QDY38" s="562"/>
      <c r="QDZ38" s="562"/>
      <c r="QEA38" s="562"/>
      <c r="QEB38" s="562"/>
      <c r="QEC38" s="562"/>
      <c r="QED38" s="562"/>
      <c r="QEE38" s="562"/>
      <c r="QEF38" s="562"/>
      <c r="QEG38" s="562"/>
      <c r="QEH38" s="562"/>
      <c r="QEI38" s="562"/>
      <c r="QEJ38" s="562"/>
      <c r="QEK38" s="562"/>
      <c r="QEL38" s="562"/>
      <c r="QEM38" s="562"/>
      <c r="QEN38" s="562"/>
      <c r="QEO38" s="562"/>
      <c r="QEP38" s="562"/>
      <c r="QEQ38" s="562"/>
      <c r="QER38" s="562"/>
      <c r="QES38" s="562"/>
      <c r="QET38" s="562"/>
      <c r="QEU38" s="562"/>
      <c r="QEV38" s="562"/>
      <c r="QEW38" s="562"/>
      <c r="QEX38" s="562"/>
      <c r="QEY38" s="562"/>
      <c r="QEZ38" s="562"/>
      <c r="QFA38" s="562"/>
      <c r="QFB38" s="562"/>
      <c r="QFC38" s="562"/>
      <c r="QFD38" s="562"/>
      <c r="QFE38" s="562"/>
      <c r="QFF38" s="562"/>
      <c r="QFG38" s="562"/>
      <c r="QFH38" s="562"/>
      <c r="QFI38" s="562"/>
      <c r="QFJ38" s="562"/>
      <c r="QFK38" s="562"/>
      <c r="QFL38" s="562"/>
      <c r="QFM38" s="562"/>
      <c r="QFN38" s="562"/>
      <c r="QFO38" s="562"/>
      <c r="QFP38" s="562"/>
      <c r="QFQ38" s="562"/>
      <c r="QFR38" s="562"/>
      <c r="QFS38" s="562"/>
      <c r="QFT38" s="562"/>
      <c r="QFU38" s="562"/>
      <c r="QFV38" s="562"/>
      <c r="QFW38" s="562"/>
      <c r="QFX38" s="562"/>
      <c r="QFY38" s="562"/>
      <c r="QFZ38" s="562"/>
      <c r="QGA38" s="562"/>
      <c r="QGB38" s="562"/>
      <c r="QGC38" s="562"/>
      <c r="QGD38" s="562"/>
      <c r="QGE38" s="562"/>
      <c r="QGF38" s="562"/>
      <c r="QGG38" s="562"/>
      <c r="QGH38" s="562"/>
      <c r="QGI38" s="562"/>
      <c r="QGJ38" s="562"/>
      <c r="QGK38" s="562"/>
      <c r="QGL38" s="562"/>
      <c r="QGM38" s="562"/>
      <c r="QGN38" s="562"/>
      <c r="QGO38" s="562"/>
      <c r="QGP38" s="562"/>
      <c r="QGQ38" s="562"/>
      <c r="QGR38" s="562"/>
      <c r="QGS38" s="562"/>
      <c r="QGT38" s="562"/>
      <c r="QGU38" s="562"/>
      <c r="QGV38" s="562"/>
      <c r="QGW38" s="562"/>
      <c r="QGX38" s="562"/>
      <c r="QGY38" s="562"/>
      <c r="QGZ38" s="562"/>
      <c r="QHA38" s="562"/>
      <c r="QHB38" s="562"/>
      <c r="QHC38" s="562"/>
      <c r="QHD38" s="562"/>
      <c r="QHE38" s="562"/>
      <c r="QHF38" s="562"/>
      <c r="QHG38" s="562"/>
      <c r="QHH38" s="562"/>
      <c r="QHI38" s="562"/>
      <c r="QHJ38" s="562"/>
      <c r="QHK38" s="562"/>
      <c r="QHL38" s="562"/>
      <c r="QHM38" s="562"/>
      <c r="QHN38" s="562"/>
      <c r="QHO38" s="562"/>
      <c r="QHP38" s="562"/>
      <c r="QHQ38" s="562"/>
      <c r="QHR38" s="562"/>
      <c r="QHS38" s="562"/>
      <c r="QHT38" s="562"/>
      <c r="QHU38" s="562"/>
      <c r="QHV38" s="562"/>
      <c r="QHW38" s="562"/>
      <c r="QHX38" s="562"/>
      <c r="QHY38" s="562"/>
      <c r="QHZ38" s="562"/>
      <c r="QIA38" s="562"/>
      <c r="QIB38" s="562"/>
      <c r="QIC38" s="562"/>
      <c r="QID38" s="562"/>
      <c r="QIE38" s="562"/>
      <c r="QIF38" s="562"/>
      <c r="QIG38" s="562"/>
      <c r="QIH38" s="562"/>
      <c r="QII38" s="562"/>
      <c r="QIJ38" s="562"/>
      <c r="QIK38" s="562"/>
      <c r="QIL38" s="562"/>
      <c r="QIM38" s="562"/>
      <c r="QIN38" s="562"/>
      <c r="QIO38" s="562"/>
      <c r="QIP38" s="562"/>
      <c r="QIQ38" s="562"/>
      <c r="QIR38" s="562"/>
      <c r="QIS38" s="562"/>
      <c r="QIT38" s="562"/>
      <c r="QIU38" s="562"/>
      <c r="QIV38" s="562"/>
      <c r="QIW38" s="562"/>
      <c r="QIX38" s="562"/>
      <c r="QIY38" s="562"/>
      <c r="QIZ38" s="562"/>
      <c r="QJA38" s="562"/>
      <c r="QJB38" s="562"/>
      <c r="QJC38" s="562"/>
      <c r="QJD38" s="562"/>
      <c r="QJE38" s="562"/>
      <c r="QJF38" s="562"/>
      <c r="QJG38" s="562"/>
      <c r="QJH38" s="562"/>
      <c r="QJI38" s="562"/>
      <c r="QJJ38" s="562"/>
      <c r="QJK38" s="562"/>
      <c r="QJL38" s="562"/>
      <c r="QJM38" s="562"/>
      <c r="QJN38" s="562"/>
      <c r="QJO38" s="562"/>
      <c r="QJP38" s="562"/>
      <c r="QJQ38" s="562"/>
      <c r="QJR38" s="562"/>
      <c r="QJS38" s="562"/>
      <c r="QJT38" s="562"/>
      <c r="QJU38" s="562"/>
      <c r="QJV38" s="562"/>
      <c r="QJW38" s="562"/>
      <c r="QJX38" s="562"/>
      <c r="QJY38" s="562"/>
      <c r="QJZ38" s="562"/>
      <c r="QKA38" s="562"/>
      <c r="QKB38" s="562"/>
      <c r="QKC38" s="562"/>
      <c r="QKD38" s="562"/>
      <c r="QKE38" s="562"/>
      <c r="QKF38" s="562"/>
      <c r="QKG38" s="562"/>
      <c r="QKH38" s="562"/>
      <c r="QKI38" s="562"/>
      <c r="QKJ38" s="562"/>
      <c r="QKK38" s="562"/>
      <c r="QKL38" s="562"/>
      <c r="QKM38" s="562"/>
      <c r="QKN38" s="562"/>
      <c r="QKO38" s="562"/>
      <c r="QKP38" s="562"/>
      <c r="QKQ38" s="562"/>
      <c r="QKR38" s="562"/>
      <c r="QKS38" s="562"/>
      <c r="QKT38" s="562"/>
      <c r="QKU38" s="562"/>
      <c r="QKV38" s="562"/>
      <c r="QKW38" s="562"/>
      <c r="QKX38" s="562"/>
      <c r="QKY38" s="562"/>
      <c r="QKZ38" s="562"/>
      <c r="QLA38" s="562"/>
      <c r="QLB38" s="562"/>
      <c r="QLC38" s="562"/>
      <c r="QLD38" s="562"/>
      <c r="QLE38" s="562"/>
      <c r="QLF38" s="562"/>
      <c r="QLG38" s="562"/>
      <c r="QLH38" s="562"/>
      <c r="QLI38" s="562"/>
      <c r="QLJ38" s="562"/>
      <c r="QLK38" s="562"/>
      <c r="QLL38" s="562"/>
      <c r="QLM38" s="562"/>
      <c r="QLN38" s="562"/>
      <c r="QLO38" s="562"/>
      <c r="QLP38" s="562"/>
      <c r="QLQ38" s="562"/>
      <c r="QLR38" s="562"/>
      <c r="QLS38" s="562"/>
      <c r="QLT38" s="562"/>
      <c r="QLU38" s="562"/>
      <c r="QLV38" s="562"/>
      <c r="QLW38" s="562"/>
      <c r="QLX38" s="562"/>
      <c r="QLY38" s="562"/>
      <c r="QLZ38" s="562"/>
      <c r="QMA38" s="562"/>
      <c r="QMB38" s="562"/>
      <c r="QMC38" s="562"/>
      <c r="QMD38" s="562"/>
      <c r="QME38" s="562"/>
      <c r="QMF38" s="562"/>
      <c r="QMG38" s="562"/>
      <c r="QMH38" s="562"/>
      <c r="QMI38" s="562"/>
      <c r="QMJ38" s="562"/>
      <c r="QMK38" s="562"/>
      <c r="QML38" s="562"/>
      <c r="QMM38" s="562"/>
      <c r="QMN38" s="562"/>
      <c r="QMO38" s="562"/>
      <c r="QMP38" s="562"/>
      <c r="QMQ38" s="562"/>
      <c r="QMR38" s="562"/>
      <c r="QMS38" s="562"/>
      <c r="QMT38" s="562"/>
      <c r="QMU38" s="562"/>
      <c r="QMV38" s="562"/>
      <c r="QMW38" s="562"/>
      <c r="QMX38" s="562"/>
      <c r="QMY38" s="562"/>
      <c r="QMZ38" s="562"/>
      <c r="QNA38" s="562"/>
      <c r="QNB38" s="562"/>
      <c r="QNC38" s="562"/>
      <c r="QND38" s="562"/>
      <c r="QNE38" s="562"/>
      <c r="QNF38" s="562"/>
      <c r="QNG38" s="562"/>
      <c r="QNH38" s="562"/>
      <c r="QNI38" s="562"/>
      <c r="QNJ38" s="562"/>
      <c r="QNK38" s="562"/>
      <c r="QNL38" s="562"/>
      <c r="QNM38" s="562"/>
      <c r="QNN38" s="562"/>
      <c r="QNO38" s="562"/>
      <c r="QNP38" s="562"/>
      <c r="QNQ38" s="562"/>
      <c r="QNR38" s="562"/>
      <c r="QNS38" s="562"/>
      <c r="QNT38" s="562"/>
      <c r="QNU38" s="562"/>
      <c r="QNV38" s="562"/>
      <c r="QNW38" s="562"/>
      <c r="QNX38" s="562"/>
      <c r="QNY38" s="562"/>
      <c r="QNZ38" s="562"/>
      <c r="QOA38" s="562"/>
      <c r="QOB38" s="562"/>
      <c r="QOC38" s="562"/>
      <c r="QOD38" s="562"/>
      <c r="QOE38" s="562"/>
      <c r="QOF38" s="562"/>
      <c r="QOG38" s="562"/>
      <c r="QOH38" s="562"/>
      <c r="QOI38" s="562"/>
      <c r="QOJ38" s="562"/>
      <c r="QOK38" s="562"/>
      <c r="QOL38" s="562"/>
      <c r="QOM38" s="562"/>
      <c r="QON38" s="562"/>
      <c r="QOO38" s="562"/>
      <c r="QOP38" s="562"/>
      <c r="QOQ38" s="562"/>
      <c r="QOR38" s="562"/>
      <c r="QOS38" s="562"/>
      <c r="QOT38" s="562"/>
      <c r="QOU38" s="562"/>
      <c r="QOV38" s="562"/>
      <c r="QOW38" s="562"/>
      <c r="QOX38" s="562"/>
      <c r="QOY38" s="562"/>
      <c r="QOZ38" s="562"/>
      <c r="QPA38" s="562"/>
      <c r="QPB38" s="562"/>
      <c r="QPC38" s="562"/>
      <c r="QPD38" s="562"/>
      <c r="QPE38" s="562"/>
      <c r="QPF38" s="562"/>
      <c r="QPG38" s="562"/>
      <c r="QPH38" s="562"/>
      <c r="QPI38" s="562"/>
      <c r="QPJ38" s="562"/>
      <c r="QPK38" s="562"/>
      <c r="QPL38" s="562"/>
      <c r="QPM38" s="562"/>
      <c r="QPN38" s="562"/>
      <c r="QPO38" s="562"/>
      <c r="QPP38" s="562"/>
      <c r="QPQ38" s="562"/>
      <c r="QPR38" s="562"/>
      <c r="QPS38" s="562"/>
      <c r="QPT38" s="562"/>
      <c r="QPU38" s="562"/>
      <c r="QPV38" s="562"/>
      <c r="QPW38" s="562"/>
      <c r="QPX38" s="562"/>
      <c r="QPY38" s="562"/>
      <c r="QPZ38" s="562"/>
      <c r="QQA38" s="562"/>
      <c r="QQB38" s="562"/>
      <c r="QQC38" s="562"/>
      <c r="QQD38" s="562"/>
      <c r="QQE38" s="562"/>
      <c r="QQF38" s="562"/>
      <c r="QQG38" s="562"/>
      <c r="QQH38" s="562"/>
      <c r="QQI38" s="562"/>
      <c r="QQJ38" s="562"/>
      <c r="QQK38" s="562"/>
      <c r="QQL38" s="562"/>
      <c r="QQM38" s="562"/>
      <c r="QQN38" s="562"/>
      <c r="QQO38" s="562"/>
      <c r="QQP38" s="562"/>
      <c r="QQQ38" s="562"/>
      <c r="QQR38" s="562"/>
      <c r="QQS38" s="562"/>
      <c r="QQT38" s="562"/>
      <c r="QQU38" s="562"/>
      <c r="QQV38" s="562"/>
      <c r="QQW38" s="562"/>
      <c r="QQX38" s="562"/>
      <c r="QQY38" s="562"/>
      <c r="QQZ38" s="562"/>
      <c r="QRA38" s="562"/>
      <c r="QRB38" s="562"/>
      <c r="QRC38" s="562"/>
      <c r="QRD38" s="562"/>
      <c r="QRE38" s="562"/>
      <c r="QRF38" s="562"/>
      <c r="QRG38" s="562"/>
      <c r="QRH38" s="562"/>
      <c r="QRI38" s="562"/>
      <c r="QRJ38" s="562"/>
      <c r="QRK38" s="562"/>
      <c r="QRL38" s="562"/>
      <c r="QRM38" s="562"/>
      <c r="QRN38" s="562"/>
      <c r="QRO38" s="562"/>
      <c r="QRP38" s="562"/>
      <c r="QRQ38" s="562"/>
      <c r="QRR38" s="562"/>
      <c r="QRS38" s="562"/>
      <c r="QRT38" s="562"/>
      <c r="QRU38" s="562"/>
      <c r="QRV38" s="562"/>
      <c r="QRW38" s="562"/>
      <c r="QRX38" s="562"/>
      <c r="QRY38" s="562"/>
      <c r="QRZ38" s="562"/>
      <c r="QSA38" s="562"/>
      <c r="QSB38" s="562"/>
      <c r="QSC38" s="562"/>
      <c r="QSD38" s="562"/>
      <c r="QSE38" s="562"/>
      <c r="QSF38" s="562"/>
      <c r="QSG38" s="562"/>
      <c r="QSH38" s="562"/>
      <c r="QSI38" s="562"/>
      <c r="QSJ38" s="562"/>
      <c r="QSK38" s="562"/>
      <c r="QSL38" s="562"/>
      <c r="QSM38" s="562"/>
      <c r="QSN38" s="562"/>
      <c r="QSO38" s="562"/>
      <c r="QSP38" s="562"/>
      <c r="QSQ38" s="562"/>
      <c r="QSR38" s="562"/>
      <c r="QSS38" s="562"/>
      <c r="QST38" s="562"/>
      <c r="QSU38" s="562"/>
      <c r="QSV38" s="562"/>
      <c r="QSW38" s="562"/>
      <c r="QSX38" s="562"/>
      <c r="QSY38" s="562"/>
      <c r="QSZ38" s="562"/>
      <c r="QTA38" s="562"/>
      <c r="QTB38" s="562"/>
      <c r="QTC38" s="562"/>
      <c r="QTD38" s="562"/>
      <c r="QTE38" s="562"/>
      <c r="QTF38" s="562"/>
      <c r="QTG38" s="562"/>
      <c r="QTH38" s="562"/>
      <c r="QTI38" s="562"/>
      <c r="QTJ38" s="562"/>
      <c r="QTK38" s="562"/>
      <c r="QTL38" s="562"/>
      <c r="QTM38" s="562"/>
      <c r="QTN38" s="562"/>
      <c r="QTO38" s="562"/>
      <c r="QTP38" s="562"/>
      <c r="QTQ38" s="562"/>
      <c r="QTR38" s="562"/>
      <c r="QTS38" s="562"/>
      <c r="QTT38" s="562"/>
      <c r="QTU38" s="562"/>
      <c r="QTV38" s="562"/>
      <c r="QTW38" s="562"/>
      <c r="QTX38" s="562"/>
      <c r="QTY38" s="562"/>
      <c r="QTZ38" s="562"/>
      <c r="QUA38" s="562"/>
      <c r="QUB38" s="562"/>
      <c r="QUC38" s="562"/>
      <c r="QUD38" s="562"/>
      <c r="QUE38" s="562"/>
      <c r="QUF38" s="562"/>
      <c r="QUG38" s="562"/>
      <c r="QUH38" s="562"/>
      <c r="QUI38" s="562"/>
      <c r="QUJ38" s="562"/>
      <c r="QUK38" s="562"/>
      <c r="QUL38" s="562"/>
      <c r="QUM38" s="562"/>
      <c r="QUN38" s="562"/>
      <c r="QUO38" s="562"/>
      <c r="QUP38" s="562"/>
      <c r="QUQ38" s="562"/>
      <c r="QUR38" s="562"/>
      <c r="QUS38" s="562"/>
      <c r="QUT38" s="562"/>
      <c r="QUU38" s="562"/>
      <c r="QUV38" s="562"/>
      <c r="QUW38" s="562"/>
      <c r="QUX38" s="562"/>
      <c r="QUY38" s="562"/>
      <c r="QUZ38" s="562"/>
      <c r="QVA38" s="562"/>
      <c r="QVB38" s="562"/>
      <c r="QVC38" s="562"/>
      <c r="QVD38" s="562"/>
      <c r="QVE38" s="562"/>
      <c r="QVF38" s="562"/>
      <c r="QVG38" s="562"/>
      <c r="QVH38" s="562"/>
      <c r="QVI38" s="562"/>
      <c r="QVJ38" s="562"/>
      <c r="QVK38" s="562"/>
      <c r="QVL38" s="562"/>
      <c r="QVM38" s="562"/>
      <c r="QVN38" s="562"/>
      <c r="QVO38" s="562"/>
      <c r="QVP38" s="562"/>
      <c r="QVQ38" s="562"/>
      <c r="QVR38" s="562"/>
      <c r="QVS38" s="562"/>
      <c r="QVT38" s="562"/>
      <c r="QVU38" s="562"/>
      <c r="QVV38" s="562"/>
      <c r="QVW38" s="562"/>
      <c r="QVX38" s="562"/>
      <c r="QVY38" s="562"/>
      <c r="QVZ38" s="562"/>
      <c r="QWA38" s="562"/>
      <c r="QWB38" s="562"/>
      <c r="QWC38" s="562"/>
      <c r="QWD38" s="562"/>
      <c r="QWE38" s="562"/>
      <c r="QWF38" s="562"/>
      <c r="QWG38" s="562"/>
      <c r="QWH38" s="562"/>
      <c r="QWI38" s="562"/>
      <c r="QWJ38" s="562"/>
      <c r="QWK38" s="562"/>
      <c r="QWL38" s="562"/>
      <c r="QWM38" s="562"/>
      <c r="QWN38" s="562"/>
      <c r="QWO38" s="562"/>
      <c r="QWP38" s="562"/>
      <c r="QWQ38" s="562"/>
      <c r="QWR38" s="562"/>
      <c r="QWS38" s="562"/>
      <c r="QWT38" s="562"/>
      <c r="QWU38" s="562"/>
      <c r="QWV38" s="562"/>
      <c r="QWW38" s="562"/>
      <c r="QWX38" s="562"/>
      <c r="QWY38" s="562"/>
      <c r="QWZ38" s="562"/>
      <c r="QXA38" s="562"/>
      <c r="QXB38" s="562"/>
      <c r="QXC38" s="562"/>
      <c r="QXD38" s="562"/>
      <c r="QXE38" s="562"/>
      <c r="QXF38" s="562"/>
      <c r="QXG38" s="562"/>
      <c r="QXH38" s="562"/>
      <c r="QXI38" s="562"/>
      <c r="QXJ38" s="562"/>
      <c r="QXK38" s="562"/>
      <c r="QXL38" s="562"/>
      <c r="QXM38" s="562"/>
      <c r="QXN38" s="562"/>
      <c r="QXO38" s="562"/>
      <c r="QXP38" s="562"/>
      <c r="QXQ38" s="562"/>
      <c r="QXR38" s="562"/>
      <c r="QXS38" s="562"/>
      <c r="QXT38" s="562"/>
      <c r="QXU38" s="562"/>
      <c r="QXV38" s="562"/>
      <c r="QXW38" s="562"/>
      <c r="QXX38" s="562"/>
      <c r="QXY38" s="562"/>
      <c r="QXZ38" s="562"/>
      <c r="QYA38" s="562"/>
      <c r="QYB38" s="562"/>
      <c r="QYC38" s="562"/>
      <c r="QYD38" s="562"/>
      <c r="QYE38" s="562"/>
      <c r="QYF38" s="562"/>
      <c r="QYG38" s="562"/>
      <c r="QYH38" s="562"/>
      <c r="QYI38" s="562"/>
      <c r="QYJ38" s="562"/>
      <c r="QYK38" s="562"/>
      <c r="QYL38" s="562"/>
      <c r="QYM38" s="562"/>
      <c r="QYN38" s="562"/>
      <c r="QYO38" s="562"/>
      <c r="QYP38" s="562"/>
      <c r="QYQ38" s="562"/>
      <c r="QYR38" s="562"/>
      <c r="QYS38" s="562"/>
      <c r="QYT38" s="562"/>
      <c r="QYU38" s="562"/>
      <c r="QYV38" s="562"/>
      <c r="QYW38" s="562"/>
      <c r="QYX38" s="562"/>
      <c r="QYY38" s="562"/>
      <c r="QYZ38" s="562"/>
      <c r="QZA38" s="562"/>
      <c r="QZB38" s="562"/>
      <c r="QZC38" s="562"/>
      <c r="QZD38" s="562"/>
      <c r="QZE38" s="562"/>
      <c r="QZF38" s="562"/>
      <c r="QZG38" s="562"/>
      <c r="QZH38" s="562"/>
      <c r="QZI38" s="562"/>
      <c r="QZJ38" s="562"/>
      <c r="QZK38" s="562"/>
      <c r="QZL38" s="562"/>
      <c r="QZM38" s="562"/>
      <c r="QZN38" s="562"/>
      <c r="QZO38" s="562"/>
      <c r="QZP38" s="562"/>
      <c r="QZQ38" s="562"/>
      <c r="QZR38" s="562"/>
      <c r="QZS38" s="562"/>
      <c r="QZT38" s="562"/>
      <c r="QZU38" s="562"/>
      <c r="QZV38" s="562"/>
      <c r="QZW38" s="562"/>
      <c r="QZX38" s="562"/>
      <c r="QZY38" s="562"/>
      <c r="QZZ38" s="562"/>
      <c r="RAA38" s="562"/>
      <c r="RAB38" s="562"/>
      <c r="RAC38" s="562"/>
      <c r="RAD38" s="562"/>
      <c r="RAE38" s="562"/>
      <c r="RAF38" s="562"/>
      <c r="RAG38" s="562"/>
      <c r="RAH38" s="562"/>
      <c r="RAI38" s="562"/>
      <c r="RAJ38" s="562"/>
      <c r="RAK38" s="562"/>
      <c r="RAL38" s="562"/>
      <c r="RAM38" s="562"/>
      <c r="RAN38" s="562"/>
      <c r="RAO38" s="562"/>
      <c r="RAP38" s="562"/>
      <c r="RAQ38" s="562"/>
      <c r="RAR38" s="562"/>
      <c r="RAS38" s="562"/>
      <c r="RAT38" s="562"/>
      <c r="RAU38" s="562"/>
      <c r="RAV38" s="562"/>
      <c r="RAW38" s="562"/>
      <c r="RAX38" s="562"/>
      <c r="RAY38" s="562"/>
      <c r="RAZ38" s="562"/>
      <c r="RBA38" s="562"/>
      <c r="RBB38" s="562"/>
      <c r="RBC38" s="562"/>
      <c r="RBD38" s="562"/>
      <c r="RBE38" s="562"/>
      <c r="RBF38" s="562"/>
      <c r="RBG38" s="562"/>
      <c r="RBH38" s="562"/>
      <c r="RBI38" s="562"/>
      <c r="RBJ38" s="562"/>
      <c r="RBK38" s="562"/>
      <c r="RBL38" s="562"/>
      <c r="RBM38" s="562"/>
      <c r="RBN38" s="562"/>
      <c r="RBO38" s="562"/>
      <c r="RBP38" s="562"/>
      <c r="RBQ38" s="562"/>
      <c r="RBR38" s="562"/>
      <c r="RBS38" s="562"/>
      <c r="RBT38" s="562"/>
      <c r="RBU38" s="562"/>
      <c r="RBV38" s="562"/>
      <c r="RBW38" s="562"/>
      <c r="RBX38" s="562"/>
      <c r="RBY38" s="562"/>
      <c r="RBZ38" s="562"/>
      <c r="RCA38" s="562"/>
      <c r="RCB38" s="562"/>
      <c r="RCC38" s="562"/>
      <c r="RCD38" s="562"/>
      <c r="RCE38" s="562"/>
      <c r="RCF38" s="562"/>
      <c r="RCG38" s="562"/>
      <c r="RCH38" s="562"/>
      <c r="RCI38" s="562"/>
      <c r="RCJ38" s="562"/>
      <c r="RCK38" s="562"/>
      <c r="RCL38" s="562"/>
      <c r="RCM38" s="562"/>
      <c r="RCN38" s="562"/>
      <c r="RCO38" s="562"/>
      <c r="RCP38" s="562"/>
      <c r="RCQ38" s="562"/>
      <c r="RCR38" s="562"/>
      <c r="RCS38" s="562"/>
      <c r="RCT38" s="562"/>
      <c r="RCU38" s="562"/>
      <c r="RCV38" s="562"/>
      <c r="RCW38" s="562"/>
      <c r="RCX38" s="562"/>
      <c r="RCY38" s="562"/>
      <c r="RCZ38" s="562"/>
      <c r="RDA38" s="562"/>
      <c r="RDB38" s="562"/>
      <c r="RDC38" s="562"/>
      <c r="RDD38" s="562"/>
      <c r="RDE38" s="562"/>
      <c r="RDF38" s="562"/>
      <c r="RDG38" s="562"/>
      <c r="RDH38" s="562"/>
      <c r="RDI38" s="562"/>
      <c r="RDJ38" s="562"/>
      <c r="RDK38" s="562"/>
      <c r="RDL38" s="562"/>
      <c r="RDM38" s="562"/>
      <c r="RDN38" s="562"/>
      <c r="RDO38" s="562"/>
      <c r="RDP38" s="562"/>
      <c r="RDQ38" s="562"/>
      <c r="RDR38" s="562"/>
      <c r="RDS38" s="562"/>
      <c r="RDT38" s="562"/>
      <c r="RDU38" s="562"/>
      <c r="RDV38" s="562"/>
      <c r="RDW38" s="562"/>
      <c r="RDX38" s="562"/>
      <c r="RDY38" s="562"/>
      <c r="RDZ38" s="562"/>
      <c r="REA38" s="562"/>
      <c r="REB38" s="562"/>
      <c r="REC38" s="562"/>
      <c r="RED38" s="562"/>
      <c r="REE38" s="562"/>
      <c r="REF38" s="562"/>
      <c r="REG38" s="562"/>
      <c r="REH38" s="562"/>
      <c r="REI38" s="562"/>
      <c r="REJ38" s="562"/>
      <c r="REK38" s="562"/>
      <c r="REL38" s="562"/>
      <c r="REM38" s="562"/>
      <c r="REN38" s="562"/>
      <c r="REO38" s="562"/>
      <c r="REP38" s="562"/>
      <c r="REQ38" s="562"/>
      <c r="RER38" s="562"/>
      <c r="RES38" s="562"/>
      <c r="RET38" s="562"/>
      <c r="REU38" s="562"/>
      <c r="REV38" s="562"/>
      <c r="REW38" s="562"/>
      <c r="REX38" s="562"/>
      <c r="REY38" s="562"/>
      <c r="REZ38" s="562"/>
      <c r="RFA38" s="562"/>
      <c r="RFB38" s="562"/>
      <c r="RFC38" s="562"/>
      <c r="RFD38" s="562"/>
      <c r="RFE38" s="562"/>
      <c r="RFF38" s="562"/>
      <c r="RFG38" s="562"/>
      <c r="RFH38" s="562"/>
      <c r="RFI38" s="562"/>
      <c r="RFJ38" s="562"/>
      <c r="RFK38" s="562"/>
      <c r="RFL38" s="562"/>
      <c r="RFM38" s="562"/>
      <c r="RFN38" s="562"/>
      <c r="RFO38" s="562"/>
      <c r="RFP38" s="562"/>
      <c r="RFQ38" s="562"/>
      <c r="RFR38" s="562"/>
      <c r="RFS38" s="562"/>
      <c r="RFT38" s="562"/>
      <c r="RFU38" s="562"/>
      <c r="RFV38" s="562"/>
      <c r="RFW38" s="562"/>
      <c r="RFX38" s="562"/>
      <c r="RFY38" s="562"/>
      <c r="RFZ38" s="562"/>
      <c r="RGA38" s="562"/>
      <c r="RGB38" s="562"/>
      <c r="RGC38" s="562"/>
      <c r="RGD38" s="562"/>
      <c r="RGE38" s="562"/>
      <c r="RGF38" s="562"/>
      <c r="RGG38" s="562"/>
      <c r="RGH38" s="562"/>
      <c r="RGI38" s="562"/>
      <c r="RGJ38" s="562"/>
      <c r="RGK38" s="562"/>
      <c r="RGL38" s="562"/>
      <c r="RGM38" s="562"/>
      <c r="RGN38" s="562"/>
      <c r="RGO38" s="562"/>
      <c r="RGP38" s="562"/>
      <c r="RGQ38" s="562"/>
      <c r="RGR38" s="562"/>
      <c r="RGS38" s="562"/>
      <c r="RGT38" s="562"/>
      <c r="RGU38" s="562"/>
      <c r="RGV38" s="562"/>
      <c r="RGW38" s="562"/>
      <c r="RGX38" s="562"/>
      <c r="RGY38" s="562"/>
      <c r="RGZ38" s="562"/>
      <c r="RHA38" s="562"/>
      <c r="RHB38" s="562"/>
      <c r="RHC38" s="562"/>
      <c r="RHD38" s="562"/>
      <c r="RHE38" s="562"/>
      <c r="RHF38" s="562"/>
      <c r="RHG38" s="562"/>
      <c r="RHH38" s="562"/>
      <c r="RHI38" s="562"/>
      <c r="RHJ38" s="562"/>
      <c r="RHK38" s="562"/>
      <c r="RHL38" s="562"/>
      <c r="RHM38" s="562"/>
      <c r="RHN38" s="562"/>
      <c r="RHO38" s="562"/>
      <c r="RHP38" s="562"/>
      <c r="RHQ38" s="562"/>
      <c r="RHR38" s="562"/>
      <c r="RHS38" s="562"/>
      <c r="RHT38" s="562"/>
      <c r="RHU38" s="562"/>
      <c r="RHV38" s="562"/>
      <c r="RHW38" s="562"/>
      <c r="RHX38" s="562"/>
      <c r="RHY38" s="562"/>
      <c r="RHZ38" s="562"/>
      <c r="RIA38" s="562"/>
      <c r="RIB38" s="562"/>
      <c r="RIC38" s="562"/>
      <c r="RID38" s="562"/>
      <c r="RIE38" s="562"/>
      <c r="RIF38" s="562"/>
      <c r="RIG38" s="562"/>
      <c r="RIH38" s="562"/>
      <c r="RII38" s="562"/>
      <c r="RIJ38" s="562"/>
      <c r="RIK38" s="562"/>
      <c r="RIL38" s="562"/>
      <c r="RIM38" s="562"/>
      <c r="RIN38" s="562"/>
      <c r="RIO38" s="562"/>
      <c r="RIP38" s="562"/>
      <c r="RIQ38" s="562"/>
      <c r="RIR38" s="562"/>
      <c r="RIS38" s="562"/>
      <c r="RIT38" s="562"/>
      <c r="RIU38" s="562"/>
      <c r="RIV38" s="562"/>
      <c r="RIW38" s="562"/>
      <c r="RIX38" s="562"/>
      <c r="RIY38" s="562"/>
      <c r="RIZ38" s="562"/>
      <c r="RJA38" s="562"/>
      <c r="RJB38" s="562"/>
      <c r="RJC38" s="562"/>
      <c r="RJD38" s="562"/>
      <c r="RJE38" s="562"/>
      <c r="RJF38" s="562"/>
      <c r="RJG38" s="562"/>
      <c r="RJH38" s="562"/>
      <c r="RJI38" s="562"/>
      <c r="RJJ38" s="562"/>
      <c r="RJK38" s="562"/>
      <c r="RJL38" s="562"/>
      <c r="RJM38" s="562"/>
      <c r="RJN38" s="562"/>
      <c r="RJO38" s="562"/>
      <c r="RJP38" s="562"/>
      <c r="RJQ38" s="562"/>
      <c r="RJR38" s="562"/>
      <c r="RJS38" s="562"/>
      <c r="RJT38" s="562"/>
      <c r="RJU38" s="562"/>
      <c r="RJV38" s="562"/>
      <c r="RJW38" s="562"/>
      <c r="RJX38" s="562"/>
      <c r="RJY38" s="562"/>
      <c r="RJZ38" s="562"/>
      <c r="RKA38" s="562"/>
      <c r="RKB38" s="562"/>
      <c r="RKC38" s="562"/>
      <c r="RKD38" s="562"/>
      <c r="RKE38" s="562"/>
      <c r="RKF38" s="562"/>
      <c r="RKG38" s="562"/>
      <c r="RKH38" s="562"/>
      <c r="RKI38" s="562"/>
      <c r="RKJ38" s="562"/>
      <c r="RKK38" s="562"/>
      <c r="RKL38" s="562"/>
      <c r="RKM38" s="562"/>
      <c r="RKN38" s="562"/>
      <c r="RKO38" s="562"/>
      <c r="RKP38" s="562"/>
      <c r="RKQ38" s="562"/>
      <c r="RKR38" s="562"/>
      <c r="RKS38" s="562"/>
      <c r="RKT38" s="562"/>
      <c r="RKU38" s="562"/>
      <c r="RKV38" s="562"/>
      <c r="RKW38" s="562"/>
      <c r="RKX38" s="562"/>
      <c r="RKY38" s="562"/>
      <c r="RKZ38" s="562"/>
      <c r="RLA38" s="562"/>
      <c r="RLB38" s="562"/>
      <c r="RLC38" s="562"/>
      <c r="RLD38" s="562"/>
      <c r="RLE38" s="562"/>
      <c r="RLF38" s="562"/>
      <c r="RLG38" s="562"/>
      <c r="RLH38" s="562"/>
      <c r="RLI38" s="562"/>
      <c r="RLJ38" s="562"/>
      <c r="RLK38" s="562"/>
      <c r="RLL38" s="562"/>
      <c r="RLM38" s="562"/>
      <c r="RLN38" s="562"/>
      <c r="RLO38" s="562"/>
      <c r="RLP38" s="562"/>
      <c r="RLQ38" s="562"/>
      <c r="RLR38" s="562"/>
      <c r="RLS38" s="562"/>
      <c r="RLT38" s="562"/>
      <c r="RLU38" s="562"/>
      <c r="RLV38" s="562"/>
      <c r="RLW38" s="562"/>
      <c r="RLX38" s="562"/>
      <c r="RLY38" s="562"/>
      <c r="RLZ38" s="562"/>
      <c r="RMA38" s="562"/>
      <c r="RMB38" s="562"/>
      <c r="RMC38" s="562"/>
      <c r="RMD38" s="562"/>
      <c r="RME38" s="562"/>
      <c r="RMF38" s="562"/>
      <c r="RMG38" s="562"/>
      <c r="RMH38" s="562"/>
      <c r="RMI38" s="562"/>
      <c r="RMJ38" s="562"/>
      <c r="RMK38" s="562"/>
      <c r="RML38" s="562"/>
      <c r="RMM38" s="562"/>
      <c r="RMN38" s="562"/>
      <c r="RMO38" s="562"/>
      <c r="RMP38" s="562"/>
      <c r="RMQ38" s="562"/>
      <c r="RMR38" s="562"/>
      <c r="RMS38" s="562"/>
      <c r="RMT38" s="562"/>
      <c r="RMU38" s="562"/>
      <c r="RMV38" s="562"/>
      <c r="RMW38" s="562"/>
      <c r="RMX38" s="562"/>
      <c r="RMY38" s="562"/>
      <c r="RMZ38" s="562"/>
      <c r="RNA38" s="562"/>
      <c r="RNB38" s="562"/>
      <c r="RNC38" s="562"/>
      <c r="RND38" s="562"/>
      <c r="RNE38" s="562"/>
      <c r="RNF38" s="562"/>
      <c r="RNG38" s="562"/>
      <c r="RNH38" s="562"/>
      <c r="RNI38" s="562"/>
      <c r="RNJ38" s="562"/>
      <c r="RNK38" s="562"/>
      <c r="RNL38" s="562"/>
      <c r="RNM38" s="562"/>
      <c r="RNN38" s="562"/>
      <c r="RNO38" s="562"/>
      <c r="RNP38" s="562"/>
      <c r="RNQ38" s="562"/>
      <c r="RNR38" s="562"/>
      <c r="RNS38" s="562"/>
      <c r="RNT38" s="562"/>
      <c r="RNU38" s="562"/>
      <c r="RNV38" s="562"/>
      <c r="RNW38" s="562"/>
      <c r="RNX38" s="562"/>
      <c r="RNY38" s="562"/>
      <c r="RNZ38" s="562"/>
      <c r="ROA38" s="562"/>
      <c r="ROB38" s="562"/>
      <c r="ROC38" s="562"/>
      <c r="ROD38" s="562"/>
      <c r="ROE38" s="562"/>
      <c r="ROF38" s="562"/>
      <c r="ROG38" s="562"/>
      <c r="ROH38" s="562"/>
      <c r="ROI38" s="562"/>
      <c r="ROJ38" s="562"/>
      <c r="ROK38" s="562"/>
      <c r="ROL38" s="562"/>
      <c r="ROM38" s="562"/>
      <c r="RON38" s="562"/>
      <c r="ROO38" s="562"/>
      <c r="ROP38" s="562"/>
      <c r="ROQ38" s="562"/>
      <c r="ROR38" s="562"/>
      <c r="ROS38" s="562"/>
      <c r="ROT38" s="562"/>
      <c r="ROU38" s="562"/>
      <c r="ROV38" s="562"/>
      <c r="ROW38" s="562"/>
      <c r="ROX38" s="562"/>
      <c r="ROY38" s="562"/>
      <c r="ROZ38" s="562"/>
      <c r="RPA38" s="562"/>
      <c r="RPB38" s="562"/>
      <c r="RPC38" s="562"/>
      <c r="RPD38" s="562"/>
      <c r="RPE38" s="562"/>
      <c r="RPF38" s="562"/>
      <c r="RPG38" s="562"/>
      <c r="RPH38" s="562"/>
      <c r="RPI38" s="562"/>
      <c r="RPJ38" s="562"/>
      <c r="RPK38" s="562"/>
      <c r="RPL38" s="562"/>
      <c r="RPM38" s="562"/>
      <c r="RPN38" s="562"/>
      <c r="RPO38" s="562"/>
      <c r="RPP38" s="562"/>
      <c r="RPQ38" s="562"/>
      <c r="RPR38" s="562"/>
      <c r="RPS38" s="562"/>
      <c r="RPT38" s="562"/>
      <c r="RPU38" s="562"/>
      <c r="RPV38" s="562"/>
      <c r="RPW38" s="562"/>
      <c r="RPX38" s="562"/>
      <c r="RPY38" s="562"/>
      <c r="RPZ38" s="562"/>
      <c r="RQA38" s="562"/>
      <c r="RQB38" s="562"/>
      <c r="RQC38" s="562"/>
      <c r="RQD38" s="562"/>
      <c r="RQE38" s="562"/>
      <c r="RQF38" s="562"/>
      <c r="RQG38" s="562"/>
      <c r="RQH38" s="562"/>
      <c r="RQI38" s="562"/>
      <c r="RQJ38" s="562"/>
      <c r="RQK38" s="562"/>
      <c r="RQL38" s="562"/>
      <c r="RQM38" s="562"/>
      <c r="RQN38" s="562"/>
      <c r="RQO38" s="562"/>
      <c r="RQP38" s="562"/>
      <c r="RQQ38" s="562"/>
      <c r="RQR38" s="562"/>
      <c r="RQS38" s="562"/>
      <c r="RQT38" s="562"/>
      <c r="RQU38" s="562"/>
      <c r="RQV38" s="562"/>
      <c r="RQW38" s="562"/>
      <c r="RQX38" s="562"/>
      <c r="RQY38" s="562"/>
      <c r="RQZ38" s="562"/>
      <c r="RRA38" s="562"/>
      <c r="RRB38" s="562"/>
      <c r="RRC38" s="562"/>
      <c r="RRD38" s="562"/>
      <c r="RRE38" s="562"/>
      <c r="RRF38" s="562"/>
      <c r="RRG38" s="562"/>
      <c r="RRH38" s="562"/>
      <c r="RRI38" s="562"/>
      <c r="RRJ38" s="562"/>
      <c r="RRK38" s="562"/>
      <c r="RRL38" s="562"/>
      <c r="RRM38" s="562"/>
      <c r="RRN38" s="562"/>
      <c r="RRO38" s="562"/>
      <c r="RRP38" s="562"/>
      <c r="RRQ38" s="562"/>
      <c r="RRR38" s="562"/>
      <c r="RRS38" s="562"/>
      <c r="RRT38" s="562"/>
      <c r="RRU38" s="562"/>
      <c r="RRV38" s="562"/>
      <c r="RRW38" s="562"/>
      <c r="RRX38" s="562"/>
      <c r="RRY38" s="562"/>
      <c r="RRZ38" s="562"/>
      <c r="RSA38" s="562"/>
      <c r="RSB38" s="562"/>
      <c r="RSC38" s="562"/>
      <c r="RSD38" s="562"/>
      <c r="RSE38" s="562"/>
      <c r="RSF38" s="562"/>
      <c r="RSG38" s="562"/>
      <c r="RSH38" s="562"/>
      <c r="RSI38" s="562"/>
      <c r="RSJ38" s="562"/>
      <c r="RSK38" s="562"/>
      <c r="RSL38" s="562"/>
      <c r="RSM38" s="562"/>
      <c r="RSN38" s="562"/>
      <c r="RSO38" s="562"/>
      <c r="RSP38" s="562"/>
      <c r="RSQ38" s="562"/>
      <c r="RSR38" s="562"/>
      <c r="RSS38" s="562"/>
      <c r="RST38" s="562"/>
      <c r="RSU38" s="562"/>
      <c r="RSV38" s="562"/>
      <c r="RSW38" s="562"/>
      <c r="RSX38" s="562"/>
      <c r="RSY38" s="562"/>
      <c r="RSZ38" s="562"/>
      <c r="RTA38" s="562"/>
      <c r="RTB38" s="562"/>
      <c r="RTC38" s="562"/>
      <c r="RTD38" s="562"/>
      <c r="RTE38" s="562"/>
      <c r="RTF38" s="562"/>
      <c r="RTG38" s="562"/>
      <c r="RTH38" s="562"/>
      <c r="RTI38" s="562"/>
      <c r="RTJ38" s="562"/>
      <c r="RTK38" s="562"/>
      <c r="RTL38" s="562"/>
      <c r="RTM38" s="562"/>
      <c r="RTN38" s="562"/>
      <c r="RTO38" s="562"/>
      <c r="RTP38" s="562"/>
      <c r="RTQ38" s="562"/>
      <c r="RTR38" s="562"/>
      <c r="RTS38" s="562"/>
      <c r="RTT38" s="562"/>
      <c r="RTU38" s="562"/>
      <c r="RTV38" s="562"/>
      <c r="RTW38" s="562"/>
      <c r="RTX38" s="562"/>
      <c r="RTY38" s="562"/>
      <c r="RTZ38" s="562"/>
      <c r="RUA38" s="562"/>
      <c r="RUB38" s="562"/>
      <c r="RUC38" s="562"/>
      <c r="RUD38" s="562"/>
      <c r="RUE38" s="562"/>
      <c r="RUF38" s="562"/>
      <c r="RUG38" s="562"/>
      <c r="RUH38" s="562"/>
      <c r="RUI38" s="562"/>
      <c r="RUJ38" s="562"/>
      <c r="RUK38" s="562"/>
      <c r="RUL38" s="562"/>
      <c r="RUM38" s="562"/>
      <c r="RUN38" s="562"/>
      <c r="RUO38" s="562"/>
      <c r="RUP38" s="562"/>
      <c r="RUQ38" s="562"/>
      <c r="RUR38" s="562"/>
      <c r="RUS38" s="562"/>
      <c r="RUT38" s="562"/>
      <c r="RUU38" s="562"/>
      <c r="RUV38" s="562"/>
      <c r="RUW38" s="562"/>
      <c r="RUX38" s="562"/>
      <c r="RUY38" s="562"/>
      <c r="RUZ38" s="562"/>
      <c r="RVA38" s="562"/>
      <c r="RVB38" s="562"/>
      <c r="RVC38" s="562"/>
      <c r="RVD38" s="562"/>
      <c r="RVE38" s="562"/>
      <c r="RVF38" s="562"/>
      <c r="RVG38" s="562"/>
      <c r="RVH38" s="562"/>
      <c r="RVI38" s="562"/>
      <c r="RVJ38" s="562"/>
      <c r="RVK38" s="562"/>
      <c r="RVL38" s="562"/>
      <c r="RVM38" s="562"/>
      <c r="RVN38" s="562"/>
      <c r="RVO38" s="562"/>
      <c r="RVP38" s="562"/>
      <c r="RVQ38" s="562"/>
      <c r="RVR38" s="562"/>
      <c r="RVS38" s="562"/>
      <c r="RVT38" s="562"/>
      <c r="RVU38" s="562"/>
      <c r="RVV38" s="562"/>
      <c r="RVW38" s="562"/>
      <c r="RVX38" s="562"/>
      <c r="RVY38" s="562"/>
      <c r="RVZ38" s="562"/>
      <c r="RWA38" s="562"/>
      <c r="RWB38" s="562"/>
      <c r="RWC38" s="562"/>
      <c r="RWD38" s="562"/>
      <c r="RWE38" s="562"/>
      <c r="RWF38" s="562"/>
      <c r="RWG38" s="562"/>
      <c r="RWH38" s="562"/>
      <c r="RWI38" s="562"/>
      <c r="RWJ38" s="562"/>
      <c r="RWK38" s="562"/>
      <c r="RWL38" s="562"/>
      <c r="RWM38" s="562"/>
      <c r="RWN38" s="562"/>
      <c r="RWO38" s="562"/>
      <c r="RWP38" s="562"/>
      <c r="RWQ38" s="562"/>
      <c r="RWR38" s="562"/>
      <c r="RWS38" s="562"/>
      <c r="RWT38" s="562"/>
      <c r="RWU38" s="562"/>
      <c r="RWV38" s="562"/>
      <c r="RWW38" s="562"/>
      <c r="RWX38" s="562"/>
      <c r="RWY38" s="562"/>
      <c r="RWZ38" s="562"/>
      <c r="RXA38" s="562"/>
      <c r="RXB38" s="562"/>
      <c r="RXC38" s="562"/>
      <c r="RXD38" s="562"/>
      <c r="RXE38" s="562"/>
      <c r="RXF38" s="562"/>
      <c r="RXG38" s="562"/>
      <c r="RXH38" s="562"/>
      <c r="RXI38" s="562"/>
      <c r="RXJ38" s="562"/>
      <c r="RXK38" s="562"/>
      <c r="RXL38" s="562"/>
      <c r="RXM38" s="562"/>
      <c r="RXN38" s="562"/>
      <c r="RXO38" s="562"/>
      <c r="RXP38" s="562"/>
      <c r="RXQ38" s="562"/>
      <c r="RXR38" s="562"/>
      <c r="RXS38" s="562"/>
      <c r="RXT38" s="562"/>
      <c r="RXU38" s="562"/>
      <c r="RXV38" s="562"/>
      <c r="RXW38" s="562"/>
      <c r="RXX38" s="562"/>
      <c r="RXY38" s="562"/>
      <c r="RXZ38" s="562"/>
      <c r="RYA38" s="562"/>
      <c r="RYB38" s="562"/>
      <c r="RYC38" s="562"/>
      <c r="RYD38" s="562"/>
      <c r="RYE38" s="562"/>
      <c r="RYF38" s="562"/>
      <c r="RYG38" s="562"/>
      <c r="RYH38" s="562"/>
      <c r="RYI38" s="562"/>
      <c r="RYJ38" s="562"/>
      <c r="RYK38" s="562"/>
      <c r="RYL38" s="562"/>
      <c r="RYM38" s="562"/>
      <c r="RYN38" s="562"/>
      <c r="RYO38" s="562"/>
      <c r="RYP38" s="562"/>
      <c r="RYQ38" s="562"/>
      <c r="RYR38" s="562"/>
      <c r="RYS38" s="562"/>
      <c r="RYT38" s="562"/>
      <c r="RYU38" s="562"/>
      <c r="RYV38" s="562"/>
      <c r="RYW38" s="562"/>
      <c r="RYX38" s="562"/>
      <c r="RYY38" s="562"/>
      <c r="RYZ38" s="562"/>
      <c r="RZA38" s="562"/>
      <c r="RZB38" s="562"/>
      <c r="RZC38" s="562"/>
      <c r="RZD38" s="562"/>
      <c r="RZE38" s="562"/>
      <c r="RZF38" s="562"/>
      <c r="RZG38" s="562"/>
      <c r="RZH38" s="562"/>
      <c r="RZI38" s="562"/>
      <c r="RZJ38" s="562"/>
      <c r="RZK38" s="562"/>
      <c r="RZL38" s="562"/>
      <c r="RZM38" s="562"/>
      <c r="RZN38" s="562"/>
      <c r="RZO38" s="562"/>
      <c r="RZP38" s="562"/>
      <c r="RZQ38" s="562"/>
      <c r="RZR38" s="562"/>
      <c r="RZS38" s="562"/>
      <c r="RZT38" s="562"/>
      <c r="RZU38" s="562"/>
      <c r="RZV38" s="562"/>
      <c r="RZW38" s="562"/>
      <c r="RZX38" s="562"/>
      <c r="RZY38" s="562"/>
      <c r="RZZ38" s="562"/>
      <c r="SAA38" s="562"/>
      <c r="SAB38" s="562"/>
      <c r="SAC38" s="562"/>
      <c r="SAD38" s="562"/>
      <c r="SAE38" s="562"/>
      <c r="SAF38" s="562"/>
      <c r="SAG38" s="562"/>
      <c r="SAH38" s="562"/>
      <c r="SAI38" s="562"/>
      <c r="SAJ38" s="562"/>
      <c r="SAK38" s="562"/>
      <c r="SAL38" s="562"/>
      <c r="SAM38" s="562"/>
      <c r="SAN38" s="562"/>
      <c r="SAO38" s="562"/>
      <c r="SAP38" s="562"/>
      <c r="SAQ38" s="562"/>
      <c r="SAR38" s="562"/>
      <c r="SAS38" s="562"/>
      <c r="SAT38" s="562"/>
      <c r="SAU38" s="562"/>
      <c r="SAV38" s="562"/>
      <c r="SAW38" s="562"/>
      <c r="SAX38" s="562"/>
      <c r="SAY38" s="562"/>
      <c r="SAZ38" s="562"/>
      <c r="SBA38" s="562"/>
      <c r="SBB38" s="562"/>
      <c r="SBC38" s="562"/>
      <c r="SBD38" s="562"/>
      <c r="SBE38" s="562"/>
      <c r="SBF38" s="562"/>
      <c r="SBG38" s="562"/>
      <c r="SBH38" s="562"/>
      <c r="SBI38" s="562"/>
      <c r="SBJ38" s="562"/>
      <c r="SBK38" s="562"/>
      <c r="SBL38" s="562"/>
      <c r="SBM38" s="562"/>
      <c r="SBN38" s="562"/>
      <c r="SBO38" s="562"/>
      <c r="SBP38" s="562"/>
      <c r="SBQ38" s="562"/>
      <c r="SBR38" s="562"/>
      <c r="SBS38" s="562"/>
      <c r="SBT38" s="562"/>
      <c r="SBU38" s="562"/>
      <c r="SBV38" s="562"/>
      <c r="SBW38" s="562"/>
      <c r="SBX38" s="562"/>
      <c r="SBY38" s="562"/>
      <c r="SBZ38" s="562"/>
      <c r="SCA38" s="562"/>
      <c r="SCB38" s="562"/>
      <c r="SCC38" s="562"/>
      <c r="SCD38" s="562"/>
      <c r="SCE38" s="562"/>
      <c r="SCF38" s="562"/>
      <c r="SCG38" s="562"/>
      <c r="SCH38" s="562"/>
      <c r="SCI38" s="562"/>
      <c r="SCJ38" s="562"/>
      <c r="SCK38" s="562"/>
      <c r="SCL38" s="562"/>
      <c r="SCM38" s="562"/>
      <c r="SCN38" s="562"/>
      <c r="SCO38" s="562"/>
      <c r="SCP38" s="562"/>
      <c r="SCQ38" s="562"/>
      <c r="SCR38" s="562"/>
      <c r="SCS38" s="562"/>
      <c r="SCT38" s="562"/>
      <c r="SCU38" s="562"/>
      <c r="SCV38" s="562"/>
      <c r="SCW38" s="562"/>
      <c r="SCX38" s="562"/>
      <c r="SCY38" s="562"/>
      <c r="SCZ38" s="562"/>
      <c r="SDA38" s="562"/>
      <c r="SDB38" s="562"/>
      <c r="SDC38" s="562"/>
      <c r="SDD38" s="562"/>
      <c r="SDE38" s="562"/>
      <c r="SDF38" s="562"/>
      <c r="SDG38" s="562"/>
      <c r="SDH38" s="562"/>
      <c r="SDI38" s="562"/>
      <c r="SDJ38" s="562"/>
      <c r="SDK38" s="562"/>
      <c r="SDL38" s="562"/>
      <c r="SDM38" s="562"/>
      <c r="SDN38" s="562"/>
      <c r="SDO38" s="562"/>
      <c r="SDP38" s="562"/>
      <c r="SDQ38" s="562"/>
      <c r="SDR38" s="562"/>
      <c r="SDS38" s="562"/>
      <c r="SDT38" s="562"/>
      <c r="SDU38" s="562"/>
      <c r="SDV38" s="562"/>
      <c r="SDW38" s="562"/>
      <c r="SDX38" s="562"/>
      <c r="SDY38" s="562"/>
      <c r="SDZ38" s="562"/>
      <c r="SEA38" s="562"/>
      <c r="SEB38" s="562"/>
      <c r="SEC38" s="562"/>
      <c r="SED38" s="562"/>
      <c r="SEE38" s="562"/>
      <c r="SEF38" s="562"/>
      <c r="SEG38" s="562"/>
      <c r="SEH38" s="562"/>
      <c r="SEI38" s="562"/>
      <c r="SEJ38" s="562"/>
      <c r="SEK38" s="562"/>
      <c r="SEL38" s="562"/>
      <c r="SEM38" s="562"/>
      <c r="SEN38" s="562"/>
      <c r="SEO38" s="562"/>
      <c r="SEP38" s="562"/>
      <c r="SEQ38" s="562"/>
      <c r="SER38" s="562"/>
      <c r="SES38" s="562"/>
      <c r="SET38" s="562"/>
      <c r="SEU38" s="562"/>
      <c r="SEV38" s="562"/>
      <c r="SEW38" s="562"/>
      <c r="SEX38" s="562"/>
      <c r="SEY38" s="562"/>
      <c r="SEZ38" s="562"/>
      <c r="SFA38" s="562"/>
      <c r="SFB38" s="562"/>
      <c r="SFC38" s="562"/>
      <c r="SFD38" s="562"/>
      <c r="SFE38" s="562"/>
      <c r="SFF38" s="562"/>
      <c r="SFG38" s="562"/>
      <c r="SFH38" s="562"/>
      <c r="SFI38" s="562"/>
      <c r="SFJ38" s="562"/>
      <c r="SFK38" s="562"/>
      <c r="SFL38" s="562"/>
      <c r="SFM38" s="562"/>
      <c r="SFN38" s="562"/>
      <c r="SFO38" s="562"/>
      <c r="SFP38" s="562"/>
      <c r="SFQ38" s="562"/>
      <c r="SFR38" s="562"/>
      <c r="SFS38" s="562"/>
      <c r="SFT38" s="562"/>
      <c r="SFU38" s="562"/>
      <c r="SFV38" s="562"/>
      <c r="SFW38" s="562"/>
      <c r="SFX38" s="562"/>
      <c r="SFY38" s="562"/>
      <c r="SFZ38" s="562"/>
      <c r="SGA38" s="562"/>
      <c r="SGB38" s="562"/>
      <c r="SGC38" s="562"/>
      <c r="SGD38" s="562"/>
      <c r="SGE38" s="562"/>
      <c r="SGF38" s="562"/>
      <c r="SGG38" s="562"/>
      <c r="SGH38" s="562"/>
      <c r="SGI38" s="562"/>
      <c r="SGJ38" s="562"/>
      <c r="SGK38" s="562"/>
      <c r="SGL38" s="562"/>
      <c r="SGM38" s="562"/>
      <c r="SGN38" s="562"/>
      <c r="SGO38" s="562"/>
      <c r="SGP38" s="562"/>
      <c r="SGQ38" s="562"/>
      <c r="SGR38" s="562"/>
      <c r="SGS38" s="562"/>
      <c r="SGT38" s="562"/>
      <c r="SGU38" s="562"/>
      <c r="SGV38" s="562"/>
      <c r="SGW38" s="562"/>
      <c r="SGX38" s="562"/>
      <c r="SGY38" s="562"/>
      <c r="SGZ38" s="562"/>
      <c r="SHA38" s="562"/>
      <c r="SHB38" s="562"/>
      <c r="SHC38" s="562"/>
      <c r="SHD38" s="562"/>
      <c r="SHE38" s="562"/>
      <c r="SHF38" s="562"/>
      <c r="SHG38" s="562"/>
      <c r="SHH38" s="562"/>
      <c r="SHI38" s="562"/>
      <c r="SHJ38" s="562"/>
      <c r="SHK38" s="562"/>
      <c r="SHL38" s="562"/>
      <c r="SHM38" s="562"/>
      <c r="SHN38" s="562"/>
      <c r="SHO38" s="562"/>
      <c r="SHP38" s="562"/>
      <c r="SHQ38" s="562"/>
      <c r="SHR38" s="562"/>
      <c r="SHS38" s="562"/>
      <c r="SHT38" s="562"/>
      <c r="SHU38" s="562"/>
      <c r="SHV38" s="562"/>
      <c r="SHW38" s="562"/>
      <c r="SHX38" s="562"/>
      <c r="SHY38" s="562"/>
      <c r="SHZ38" s="562"/>
      <c r="SIA38" s="562"/>
      <c r="SIB38" s="562"/>
      <c r="SIC38" s="562"/>
      <c r="SID38" s="562"/>
      <c r="SIE38" s="562"/>
      <c r="SIF38" s="562"/>
      <c r="SIG38" s="562"/>
      <c r="SIH38" s="562"/>
      <c r="SII38" s="562"/>
      <c r="SIJ38" s="562"/>
      <c r="SIK38" s="562"/>
      <c r="SIL38" s="562"/>
      <c r="SIM38" s="562"/>
      <c r="SIN38" s="562"/>
      <c r="SIO38" s="562"/>
      <c r="SIP38" s="562"/>
      <c r="SIQ38" s="562"/>
      <c r="SIR38" s="562"/>
      <c r="SIS38" s="562"/>
      <c r="SIT38" s="562"/>
      <c r="SIU38" s="562"/>
      <c r="SIV38" s="562"/>
      <c r="SIW38" s="562"/>
      <c r="SIX38" s="562"/>
      <c r="SIY38" s="562"/>
      <c r="SIZ38" s="562"/>
      <c r="SJA38" s="562"/>
      <c r="SJB38" s="562"/>
      <c r="SJC38" s="562"/>
      <c r="SJD38" s="562"/>
      <c r="SJE38" s="562"/>
      <c r="SJF38" s="562"/>
      <c r="SJG38" s="562"/>
      <c r="SJH38" s="562"/>
      <c r="SJI38" s="562"/>
      <c r="SJJ38" s="562"/>
      <c r="SJK38" s="562"/>
      <c r="SJL38" s="562"/>
      <c r="SJM38" s="562"/>
      <c r="SJN38" s="562"/>
      <c r="SJO38" s="562"/>
      <c r="SJP38" s="562"/>
      <c r="SJQ38" s="562"/>
      <c r="SJR38" s="562"/>
      <c r="SJS38" s="562"/>
      <c r="SJT38" s="562"/>
      <c r="SJU38" s="562"/>
      <c r="SJV38" s="562"/>
      <c r="SJW38" s="562"/>
      <c r="SJX38" s="562"/>
      <c r="SJY38" s="562"/>
      <c r="SJZ38" s="562"/>
      <c r="SKA38" s="562"/>
      <c r="SKB38" s="562"/>
      <c r="SKC38" s="562"/>
      <c r="SKD38" s="562"/>
      <c r="SKE38" s="562"/>
      <c r="SKF38" s="562"/>
      <c r="SKG38" s="562"/>
      <c r="SKH38" s="562"/>
      <c r="SKI38" s="562"/>
      <c r="SKJ38" s="562"/>
      <c r="SKK38" s="562"/>
      <c r="SKL38" s="562"/>
      <c r="SKM38" s="562"/>
      <c r="SKN38" s="562"/>
      <c r="SKO38" s="562"/>
      <c r="SKP38" s="562"/>
      <c r="SKQ38" s="562"/>
      <c r="SKR38" s="562"/>
      <c r="SKS38" s="562"/>
      <c r="SKT38" s="562"/>
      <c r="SKU38" s="562"/>
      <c r="SKV38" s="562"/>
      <c r="SKW38" s="562"/>
      <c r="SKX38" s="562"/>
      <c r="SKY38" s="562"/>
      <c r="SKZ38" s="562"/>
      <c r="SLA38" s="562"/>
      <c r="SLB38" s="562"/>
      <c r="SLC38" s="562"/>
      <c r="SLD38" s="562"/>
      <c r="SLE38" s="562"/>
      <c r="SLF38" s="562"/>
      <c r="SLG38" s="562"/>
      <c r="SLH38" s="562"/>
      <c r="SLI38" s="562"/>
      <c r="SLJ38" s="562"/>
      <c r="SLK38" s="562"/>
      <c r="SLL38" s="562"/>
      <c r="SLM38" s="562"/>
      <c r="SLN38" s="562"/>
      <c r="SLO38" s="562"/>
      <c r="SLP38" s="562"/>
      <c r="SLQ38" s="562"/>
      <c r="SLR38" s="562"/>
      <c r="SLS38" s="562"/>
      <c r="SLT38" s="562"/>
      <c r="SLU38" s="562"/>
      <c r="SLV38" s="562"/>
      <c r="SLW38" s="562"/>
      <c r="SLX38" s="562"/>
      <c r="SLY38" s="562"/>
      <c r="SLZ38" s="562"/>
      <c r="SMA38" s="562"/>
      <c r="SMB38" s="562"/>
      <c r="SMC38" s="562"/>
      <c r="SMD38" s="562"/>
      <c r="SME38" s="562"/>
      <c r="SMF38" s="562"/>
      <c r="SMG38" s="562"/>
      <c r="SMH38" s="562"/>
      <c r="SMI38" s="562"/>
      <c r="SMJ38" s="562"/>
      <c r="SMK38" s="562"/>
      <c r="SML38" s="562"/>
      <c r="SMM38" s="562"/>
      <c r="SMN38" s="562"/>
      <c r="SMO38" s="562"/>
      <c r="SMP38" s="562"/>
      <c r="SMQ38" s="562"/>
      <c r="SMR38" s="562"/>
      <c r="SMS38" s="562"/>
      <c r="SMT38" s="562"/>
      <c r="SMU38" s="562"/>
      <c r="SMV38" s="562"/>
      <c r="SMW38" s="562"/>
      <c r="SMX38" s="562"/>
      <c r="SMY38" s="562"/>
      <c r="SMZ38" s="562"/>
      <c r="SNA38" s="562"/>
      <c r="SNB38" s="562"/>
      <c r="SNC38" s="562"/>
      <c r="SND38" s="562"/>
      <c r="SNE38" s="562"/>
      <c r="SNF38" s="562"/>
      <c r="SNG38" s="562"/>
      <c r="SNH38" s="562"/>
      <c r="SNI38" s="562"/>
      <c r="SNJ38" s="562"/>
      <c r="SNK38" s="562"/>
      <c r="SNL38" s="562"/>
      <c r="SNM38" s="562"/>
      <c r="SNN38" s="562"/>
      <c r="SNO38" s="562"/>
      <c r="SNP38" s="562"/>
      <c r="SNQ38" s="562"/>
      <c r="SNR38" s="562"/>
      <c r="SNS38" s="562"/>
      <c r="SNT38" s="562"/>
      <c r="SNU38" s="562"/>
      <c r="SNV38" s="562"/>
      <c r="SNW38" s="562"/>
      <c r="SNX38" s="562"/>
      <c r="SNY38" s="562"/>
      <c r="SNZ38" s="562"/>
      <c r="SOA38" s="562"/>
      <c r="SOB38" s="562"/>
      <c r="SOC38" s="562"/>
      <c r="SOD38" s="562"/>
      <c r="SOE38" s="562"/>
      <c r="SOF38" s="562"/>
      <c r="SOG38" s="562"/>
      <c r="SOH38" s="562"/>
      <c r="SOI38" s="562"/>
      <c r="SOJ38" s="562"/>
      <c r="SOK38" s="562"/>
      <c r="SOL38" s="562"/>
      <c r="SOM38" s="562"/>
      <c r="SON38" s="562"/>
      <c r="SOO38" s="562"/>
      <c r="SOP38" s="562"/>
      <c r="SOQ38" s="562"/>
      <c r="SOR38" s="562"/>
      <c r="SOS38" s="562"/>
      <c r="SOT38" s="562"/>
      <c r="SOU38" s="562"/>
      <c r="SOV38" s="562"/>
      <c r="SOW38" s="562"/>
      <c r="SOX38" s="562"/>
      <c r="SOY38" s="562"/>
      <c r="SOZ38" s="562"/>
      <c r="SPA38" s="562"/>
      <c r="SPB38" s="562"/>
      <c r="SPC38" s="562"/>
      <c r="SPD38" s="562"/>
      <c r="SPE38" s="562"/>
      <c r="SPF38" s="562"/>
      <c r="SPG38" s="562"/>
      <c r="SPH38" s="562"/>
      <c r="SPI38" s="562"/>
      <c r="SPJ38" s="562"/>
      <c r="SPK38" s="562"/>
      <c r="SPL38" s="562"/>
      <c r="SPM38" s="562"/>
      <c r="SPN38" s="562"/>
      <c r="SPO38" s="562"/>
      <c r="SPP38" s="562"/>
      <c r="SPQ38" s="562"/>
      <c r="SPR38" s="562"/>
      <c r="SPS38" s="562"/>
      <c r="SPT38" s="562"/>
      <c r="SPU38" s="562"/>
      <c r="SPV38" s="562"/>
      <c r="SPW38" s="562"/>
      <c r="SPX38" s="562"/>
      <c r="SPY38" s="562"/>
      <c r="SPZ38" s="562"/>
      <c r="SQA38" s="562"/>
      <c r="SQB38" s="562"/>
      <c r="SQC38" s="562"/>
      <c r="SQD38" s="562"/>
      <c r="SQE38" s="562"/>
      <c r="SQF38" s="562"/>
      <c r="SQG38" s="562"/>
      <c r="SQH38" s="562"/>
      <c r="SQI38" s="562"/>
      <c r="SQJ38" s="562"/>
      <c r="SQK38" s="562"/>
      <c r="SQL38" s="562"/>
      <c r="SQM38" s="562"/>
      <c r="SQN38" s="562"/>
      <c r="SQO38" s="562"/>
      <c r="SQP38" s="562"/>
      <c r="SQQ38" s="562"/>
      <c r="SQR38" s="562"/>
      <c r="SQS38" s="562"/>
      <c r="SQT38" s="562"/>
      <c r="SQU38" s="562"/>
      <c r="SQV38" s="562"/>
      <c r="SQW38" s="562"/>
      <c r="SQX38" s="562"/>
      <c r="SQY38" s="562"/>
      <c r="SQZ38" s="562"/>
      <c r="SRA38" s="562"/>
      <c r="SRB38" s="562"/>
      <c r="SRC38" s="562"/>
      <c r="SRD38" s="562"/>
      <c r="SRE38" s="562"/>
      <c r="SRF38" s="562"/>
      <c r="SRG38" s="562"/>
      <c r="SRH38" s="562"/>
      <c r="SRI38" s="562"/>
      <c r="SRJ38" s="562"/>
      <c r="SRK38" s="562"/>
      <c r="SRL38" s="562"/>
      <c r="SRM38" s="562"/>
      <c r="SRN38" s="562"/>
      <c r="SRO38" s="562"/>
      <c r="SRP38" s="562"/>
      <c r="SRQ38" s="562"/>
      <c r="SRR38" s="562"/>
      <c r="SRS38" s="562"/>
      <c r="SRT38" s="562"/>
      <c r="SRU38" s="562"/>
      <c r="SRV38" s="562"/>
      <c r="SRW38" s="562"/>
      <c r="SRX38" s="562"/>
      <c r="SRY38" s="562"/>
      <c r="SRZ38" s="562"/>
      <c r="SSA38" s="562"/>
      <c r="SSB38" s="562"/>
      <c r="SSC38" s="562"/>
      <c r="SSD38" s="562"/>
      <c r="SSE38" s="562"/>
      <c r="SSF38" s="562"/>
      <c r="SSG38" s="562"/>
      <c r="SSH38" s="562"/>
      <c r="SSI38" s="562"/>
      <c r="SSJ38" s="562"/>
      <c r="SSK38" s="562"/>
      <c r="SSL38" s="562"/>
      <c r="SSM38" s="562"/>
      <c r="SSN38" s="562"/>
      <c r="SSO38" s="562"/>
      <c r="SSP38" s="562"/>
      <c r="SSQ38" s="562"/>
      <c r="SSR38" s="562"/>
      <c r="SSS38" s="562"/>
      <c r="SST38" s="562"/>
      <c r="SSU38" s="562"/>
      <c r="SSV38" s="562"/>
      <c r="SSW38" s="562"/>
      <c r="SSX38" s="562"/>
      <c r="SSY38" s="562"/>
      <c r="SSZ38" s="562"/>
      <c r="STA38" s="562"/>
      <c r="STB38" s="562"/>
      <c r="STC38" s="562"/>
      <c r="STD38" s="562"/>
      <c r="STE38" s="562"/>
      <c r="STF38" s="562"/>
      <c r="STG38" s="562"/>
      <c r="STH38" s="562"/>
      <c r="STI38" s="562"/>
      <c r="STJ38" s="562"/>
      <c r="STK38" s="562"/>
      <c r="STL38" s="562"/>
      <c r="STM38" s="562"/>
      <c r="STN38" s="562"/>
      <c r="STO38" s="562"/>
      <c r="STP38" s="562"/>
      <c r="STQ38" s="562"/>
      <c r="STR38" s="562"/>
      <c r="STS38" s="562"/>
      <c r="STT38" s="562"/>
      <c r="STU38" s="562"/>
      <c r="STV38" s="562"/>
      <c r="STW38" s="562"/>
      <c r="STX38" s="562"/>
      <c r="STY38" s="562"/>
      <c r="STZ38" s="562"/>
      <c r="SUA38" s="562"/>
      <c r="SUB38" s="562"/>
      <c r="SUC38" s="562"/>
      <c r="SUD38" s="562"/>
      <c r="SUE38" s="562"/>
      <c r="SUF38" s="562"/>
      <c r="SUG38" s="562"/>
      <c r="SUH38" s="562"/>
      <c r="SUI38" s="562"/>
      <c r="SUJ38" s="562"/>
      <c r="SUK38" s="562"/>
      <c r="SUL38" s="562"/>
      <c r="SUM38" s="562"/>
      <c r="SUN38" s="562"/>
      <c r="SUO38" s="562"/>
      <c r="SUP38" s="562"/>
      <c r="SUQ38" s="562"/>
      <c r="SUR38" s="562"/>
      <c r="SUS38" s="562"/>
      <c r="SUT38" s="562"/>
      <c r="SUU38" s="562"/>
      <c r="SUV38" s="562"/>
      <c r="SUW38" s="562"/>
      <c r="SUX38" s="562"/>
      <c r="SUY38" s="562"/>
      <c r="SUZ38" s="562"/>
      <c r="SVA38" s="562"/>
      <c r="SVB38" s="562"/>
      <c r="SVC38" s="562"/>
      <c r="SVD38" s="562"/>
      <c r="SVE38" s="562"/>
      <c r="SVF38" s="562"/>
      <c r="SVG38" s="562"/>
      <c r="SVH38" s="562"/>
      <c r="SVI38" s="562"/>
      <c r="SVJ38" s="562"/>
      <c r="SVK38" s="562"/>
      <c r="SVL38" s="562"/>
      <c r="SVM38" s="562"/>
      <c r="SVN38" s="562"/>
      <c r="SVO38" s="562"/>
      <c r="SVP38" s="562"/>
      <c r="SVQ38" s="562"/>
      <c r="SVR38" s="562"/>
      <c r="SVS38" s="562"/>
      <c r="SVT38" s="562"/>
      <c r="SVU38" s="562"/>
      <c r="SVV38" s="562"/>
      <c r="SVW38" s="562"/>
      <c r="SVX38" s="562"/>
      <c r="SVY38" s="562"/>
      <c r="SVZ38" s="562"/>
      <c r="SWA38" s="562"/>
      <c r="SWB38" s="562"/>
      <c r="SWC38" s="562"/>
      <c r="SWD38" s="562"/>
      <c r="SWE38" s="562"/>
      <c r="SWF38" s="562"/>
      <c r="SWG38" s="562"/>
      <c r="SWH38" s="562"/>
      <c r="SWI38" s="562"/>
      <c r="SWJ38" s="562"/>
      <c r="SWK38" s="562"/>
      <c r="SWL38" s="562"/>
      <c r="SWM38" s="562"/>
      <c r="SWN38" s="562"/>
      <c r="SWO38" s="562"/>
      <c r="SWP38" s="562"/>
      <c r="SWQ38" s="562"/>
      <c r="SWR38" s="562"/>
      <c r="SWS38" s="562"/>
      <c r="SWT38" s="562"/>
      <c r="SWU38" s="562"/>
      <c r="SWV38" s="562"/>
      <c r="SWW38" s="562"/>
      <c r="SWX38" s="562"/>
      <c r="SWY38" s="562"/>
      <c r="SWZ38" s="562"/>
      <c r="SXA38" s="562"/>
      <c r="SXB38" s="562"/>
      <c r="SXC38" s="562"/>
      <c r="SXD38" s="562"/>
      <c r="SXE38" s="562"/>
      <c r="SXF38" s="562"/>
      <c r="SXG38" s="562"/>
      <c r="SXH38" s="562"/>
      <c r="SXI38" s="562"/>
      <c r="SXJ38" s="562"/>
      <c r="SXK38" s="562"/>
      <c r="SXL38" s="562"/>
      <c r="SXM38" s="562"/>
      <c r="SXN38" s="562"/>
      <c r="SXO38" s="562"/>
      <c r="SXP38" s="562"/>
      <c r="SXQ38" s="562"/>
      <c r="SXR38" s="562"/>
      <c r="SXS38" s="562"/>
      <c r="SXT38" s="562"/>
      <c r="SXU38" s="562"/>
      <c r="SXV38" s="562"/>
      <c r="SXW38" s="562"/>
      <c r="SXX38" s="562"/>
      <c r="SXY38" s="562"/>
      <c r="SXZ38" s="562"/>
      <c r="SYA38" s="562"/>
      <c r="SYB38" s="562"/>
      <c r="SYC38" s="562"/>
      <c r="SYD38" s="562"/>
      <c r="SYE38" s="562"/>
      <c r="SYF38" s="562"/>
      <c r="SYG38" s="562"/>
      <c r="SYH38" s="562"/>
      <c r="SYI38" s="562"/>
      <c r="SYJ38" s="562"/>
      <c r="SYK38" s="562"/>
      <c r="SYL38" s="562"/>
      <c r="SYM38" s="562"/>
      <c r="SYN38" s="562"/>
      <c r="SYO38" s="562"/>
      <c r="SYP38" s="562"/>
      <c r="SYQ38" s="562"/>
      <c r="SYR38" s="562"/>
      <c r="SYS38" s="562"/>
      <c r="SYT38" s="562"/>
      <c r="SYU38" s="562"/>
      <c r="SYV38" s="562"/>
      <c r="SYW38" s="562"/>
      <c r="SYX38" s="562"/>
      <c r="SYY38" s="562"/>
      <c r="SYZ38" s="562"/>
      <c r="SZA38" s="562"/>
      <c r="SZB38" s="562"/>
      <c r="SZC38" s="562"/>
      <c r="SZD38" s="562"/>
      <c r="SZE38" s="562"/>
      <c r="SZF38" s="562"/>
      <c r="SZG38" s="562"/>
      <c r="SZH38" s="562"/>
      <c r="SZI38" s="562"/>
      <c r="SZJ38" s="562"/>
      <c r="SZK38" s="562"/>
      <c r="SZL38" s="562"/>
      <c r="SZM38" s="562"/>
      <c r="SZN38" s="562"/>
      <c r="SZO38" s="562"/>
      <c r="SZP38" s="562"/>
      <c r="SZQ38" s="562"/>
      <c r="SZR38" s="562"/>
      <c r="SZS38" s="562"/>
      <c r="SZT38" s="562"/>
      <c r="SZU38" s="562"/>
      <c r="SZV38" s="562"/>
      <c r="SZW38" s="562"/>
      <c r="SZX38" s="562"/>
      <c r="SZY38" s="562"/>
      <c r="SZZ38" s="562"/>
      <c r="TAA38" s="562"/>
      <c r="TAB38" s="562"/>
      <c r="TAC38" s="562"/>
      <c r="TAD38" s="562"/>
      <c r="TAE38" s="562"/>
      <c r="TAF38" s="562"/>
      <c r="TAG38" s="562"/>
      <c r="TAH38" s="562"/>
      <c r="TAI38" s="562"/>
      <c r="TAJ38" s="562"/>
      <c r="TAK38" s="562"/>
      <c r="TAL38" s="562"/>
      <c r="TAM38" s="562"/>
      <c r="TAN38" s="562"/>
      <c r="TAO38" s="562"/>
      <c r="TAP38" s="562"/>
      <c r="TAQ38" s="562"/>
      <c r="TAR38" s="562"/>
      <c r="TAS38" s="562"/>
      <c r="TAT38" s="562"/>
      <c r="TAU38" s="562"/>
      <c r="TAV38" s="562"/>
      <c r="TAW38" s="562"/>
      <c r="TAX38" s="562"/>
      <c r="TAY38" s="562"/>
      <c r="TAZ38" s="562"/>
      <c r="TBA38" s="562"/>
      <c r="TBB38" s="562"/>
      <c r="TBC38" s="562"/>
      <c r="TBD38" s="562"/>
      <c r="TBE38" s="562"/>
      <c r="TBF38" s="562"/>
      <c r="TBG38" s="562"/>
      <c r="TBH38" s="562"/>
      <c r="TBI38" s="562"/>
      <c r="TBJ38" s="562"/>
      <c r="TBK38" s="562"/>
      <c r="TBL38" s="562"/>
      <c r="TBM38" s="562"/>
      <c r="TBN38" s="562"/>
      <c r="TBO38" s="562"/>
      <c r="TBP38" s="562"/>
      <c r="TBQ38" s="562"/>
      <c r="TBR38" s="562"/>
      <c r="TBS38" s="562"/>
      <c r="TBT38" s="562"/>
      <c r="TBU38" s="562"/>
      <c r="TBV38" s="562"/>
      <c r="TBW38" s="562"/>
      <c r="TBX38" s="562"/>
      <c r="TBY38" s="562"/>
      <c r="TBZ38" s="562"/>
      <c r="TCA38" s="562"/>
      <c r="TCB38" s="562"/>
      <c r="TCC38" s="562"/>
      <c r="TCD38" s="562"/>
      <c r="TCE38" s="562"/>
      <c r="TCF38" s="562"/>
      <c r="TCG38" s="562"/>
      <c r="TCH38" s="562"/>
      <c r="TCI38" s="562"/>
      <c r="TCJ38" s="562"/>
      <c r="TCK38" s="562"/>
      <c r="TCL38" s="562"/>
      <c r="TCM38" s="562"/>
      <c r="TCN38" s="562"/>
      <c r="TCO38" s="562"/>
      <c r="TCP38" s="562"/>
      <c r="TCQ38" s="562"/>
      <c r="TCR38" s="562"/>
      <c r="TCS38" s="562"/>
      <c r="TCT38" s="562"/>
      <c r="TCU38" s="562"/>
      <c r="TCV38" s="562"/>
      <c r="TCW38" s="562"/>
      <c r="TCX38" s="562"/>
      <c r="TCY38" s="562"/>
      <c r="TCZ38" s="562"/>
      <c r="TDA38" s="562"/>
      <c r="TDB38" s="562"/>
      <c r="TDC38" s="562"/>
      <c r="TDD38" s="562"/>
      <c r="TDE38" s="562"/>
      <c r="TDF38" s="562"/>
      <c r="TDG38" s="562"/>
      <c r="TDH38" s="562"/>
      <c r="TDI38" s="562"/>
      <c r="TDJ38" s="562"/>
      <c r="TDK38" s="562"/>
      <c r="TDL38" s="562"/>
      <c r="TDM38" s="562"/>
      <c r="TDN38" s="562"/>
      <c r="TDO38" s="562"/>
      <c r="TDP38" s="562"/>
      <c r="TDQ38" s="562"/>
      <c r="TDR38" s="562"/>
      <c r="TDS38" s="562"/>
      <c r="TDT38" s="562"/>
      <c r="TDU38" s="562"/>
      <c r="TDV38" s="562"/>
      <c r="TDW38" s="562"/>
      <c r="TDX38" s="562"/>
      <c r="TDY38" s="562"/>
      <c r="TDZ38" s="562"/>
      <c r="TEA38" s="562"/>
      <c r="TEB38" s="562"/>
      <c r="TEC38" s="562"/>
      <c r="TED38" s="562"/>
      <c r="TEE38" s="562"/>
      <c r="TEF38" s="562"/>
      <c r="TEG38" s="562"/>
      <c r="TEH38" s="562"/>
      <c r="TEI38" s="562"/>
      <c r="TEJ38" s="562"/>
      <c r="TEK38" s="562"/>
      <c r="TEL38" s="562"/>
      <c r="TEM38" s="562"/>
      <c r="TEN38" s="562"/>
      <c r="TEO38" s="562"/>
      <c r="TEP38" s="562"/>
      <c r="TEQ38" s="562"/>
      <c r="TER38" s="562"/>
      <c r="TES38" s="562"/>
      <c r="TET38" s="562"/>
      <c r="TEU38" s="562"/>
      <c r="TEV38" s="562"/>
      <c r="TEW38" s="562"/>
      <c r="TEX38" s="562"/>
      <c r="TEY38" s="562"/>
      <c r="TEZ38" s="562"/>
      <c r="TFA38" s="562"/>
      <c r="TFB38" s="562"/>
      <c r="TFC38" s="562"/>
      <c r="TFD38" s="562"/>
      <c r="TFE38" s="562"/>
      <c r="TFF38" s="562"/>
      <c r="TFG38" s="562"/>
      <c r="TFH38" s="562"/>
      <c r="TFI38" s="562"/>
      <c r="TFJ38" s="562"/>
      <c r="TFK38" s="562"/>
      <c r="TFL38" s="562"/>
      <c r="TFM38" s="562"/>
      <c r="TFN38" s="562"/>
      <c r="TFO38" s="562"/>
      <c r="TFP38" s="562"/>
      <c r="TFQ38" s="562"/>
      <c r="TFR38" s="562"/>
      <c r="TFS38" s="562"/>
      <c r="TFT38" s="562"/>
      <c r="TFU38" s="562"/>
      <c r="TFV38" s="562"/>
      <c r="TFW38" s="562"/>
      <c r="TFX38" s="562"/>
      <c r="TFY38" s="562"/>
      <c r="TFZ38" s="562"/>
      <c r="TGA38" s="562"/>
      <c r="TGB38" s="562"/>
      <c r="TGC38" s="562"/>
      <c r="TGD38" s="562"/>
      <c r="TGE38" s="562"/>
      <c r="TGF38" s="562"/>
      <c r="TGG38" s="562"/>
      <c r="TGH38" s="562"/>
      <c r="TGI38" s="562"/>
      <c r="TGJ38" s="562"/>
      <c r="TGK38" s="562"/>
      <c r="TGL38" s="562"/>
      <c r="TGM38" s="562"/>
      <c r="TGN38" s="562"/>
      <c r="TGO38" s="562"/>
      <c r="TGP38" s="562"/>
      <c r="TGQ38" s="562"/>
      <c r="TGR38" s="562"/>
      <c r="TGS38" s="562"/>
      <c r="TGT38" s="562"/>
      <c r="TGU38" s="562"/>
      <c r="TGV38" s="562"/>
      <c r="TGW38" s="562"/>
      <c r="TGX38" s="562"/>
      <c r="TGY38" s="562"/>
      <c r="TGZ38" s="562"/>
      <c r="THA38" s="562"/>
      <c r="THB38" s="562"/>
      <c r="THC38" s="562"/>
      <c r="THD38" s="562"/>
      <c r="THE38" s="562"/>
      <c r="THF38" s="562"/>
      <c r="THG38" s="562"/>
      <c r="THH38" s="562"/>
      <c r="THI38" s="562"/>
      <c r="THJ38" s="562"/>
      <c r="THK38" s="562"/>
      <c r="THL38" s="562"/>
      <c r="THM38" s="562"/>
      <c r="THN38" s="562"/>
      <c r="THO38" s="562"/>
      <c r="THP38" s="562"/>
      <c r="THQ38" s="562"/>
      <c r="THR38" s="562"/>
      <c r="THS38" s="562"/>
      <c r="THT38" s="562"/>
      <c r="THU38" s="562"/>
      <c r="THV38" s="562"/>
      <c r="THW38" s="562"/>
      <c r="THX38" s="562"/>
      <c r="THY38" s="562"/>
      <c r="THZ38" s="562"/>
      <c r="TIA38" s="562"/>
      <c r="TIB38" s="562"/>
      <c r="TIC38" s="562"/>
      <c r="TID38" s="562"/>
      <c r="TIE38" s="562"/>
      <c r="TIF38" s="562"/>
      <c r="TIG38" s="562"/>
      <c r="TIH38" s="562"/>
      <c r="TII38" s="562"/>
      <c r="TIJ38" s="562"/>
      <c r="TIK38" s="562"/>
      <c r="TIL38" s="562"/>
      <c r="TIM38" s="562"/>
      <c r="TIN38" s="562"/>
      <c r="TIO38" s="562"/>
      <c r="TIP38" s="562"/>
      <c r="TIQ38" s="562"/>
      <c r="TIR38" s="562"/>
      <c r="TIS38" s="562"/>
      <c r="TIT38" s="562"/>
      <c r="TIU38" s="562"/>
      <c r="TIV38" s="562"/>
      <c r="TIW38" s="562"/>
      <c r="TIX38" s="562"/>
      <c r="TIY38" s="562"/>
      <c r="TIZ38" s="562"/>
      <c r="TJA38" s="562"/>
      <c r="TJB38" s="562"/>
      <c r="TJC38" s="562"/>
      <c r="TJD38" s="562"/>
      <c r="TJE38" s="562"/>
      <c r="TJF38" s="562"/>
      <c r="TJG38" s="562"/>
      <c r="TJH38" s="562"/>
      <c r="TJI38" s="562"/>
      <c r="TJJ38" s="562"/>
      <c r="TJK38" s="562"/>
      <c r="TJL38" s="562"/>
      <c r="TJM38" s="562"/>
      <c r="TJN38" s="562"/>
      <c r="TJO38" s="562"/>
      <c r="TJP38" s="562"/>
      <c r="TJQ38" s="562"/>
      <c r="TJR38" s="562"/>
      <c r="TJS38" s="562"/>
      <c r="TJT38" s="562"/>
      <c r="TJU38" s="562"/>
      <c r="TJV38" s="562"/>
      <c r="TJW38" s="562"/>
      <c r="TJX38" s="562"/>
      <c r="TJY38" s="562"/>
      <c r="TJZ38" s="562"/>
      <c r="TKA38" s="562"/>
      <c r="TKB38" s="562"/>
      <c r="TKC38" s="562"/>
      <c r="TKD38" s="562"/>
      <c r="TKE38" s="562"/>
      <c r="TKF38" s="562"/>
      <c r="TKG38" s="562"/>
      <c r="TKH38" s="562"/>
      <c r="TKI38" s="562"/>
      <c r="TKJ38" s="562"/>
      <c r="TKK38" s="562"/>
      <c r="TKL38" s="562"/>
      <c r="TKM38" s="562"/>
      <c r="TKN38" s="562"/>
      <c r="TKO38" s="562"/>
      <c r="TKP38" s="562"/>
      <c r="TKQ38" s="562"/>
      <c r="TKR38" s="562"/>
      <c r="TKS38" s="562"/>
      <c r="TKT38" s="562"/>
      <c r="TKU38" s="562"/>
      <c r="TKV38" s="562"/>
      <c r="TKW38" s="562"/>
      <c r="TKX38" s="562"/>
      <c r="TKY38" s="562"/>
      <c r="TKZ38" s="562"/>
      <c r="TLA38" s="562"/>
      <c r="TLB38" s="562"/>
      <c r="TLC38" s="562"/>
      <c r="TLD38" s="562"/>
      <c r="TLE38" s="562"/>
      <c r="TLF38" s="562"/>
      <c r="TLG38" s="562"/>
      <c r="TLH38" s="562"/>
      <c r="TLI38" s="562"/>
      <c r="TLJ38" s="562"/>
      <c r="TLK38" s="562"/>
      <c r="TLL38" s="562"/>
      <c r="TLM38" s="562"/>
      <c r="TLN38" s="562"/>
      <c r="TLO38" s="562"/>
      <c r="TLP38" s="562"/>
      <c r="TLQ38" s="562"/>
      <c r="TLR38" s="562"/>
      <c r="TLS38" s="562"/>
      <c r="TLT38" s="562"/>
      <c r="TLU38" s="562"/>
      <c r="TLV38" s="562"/>
      <c r="TLW38" s="562"/>
      <c r="TLX38" s="562"/>
      <c r="TLY38" s="562"/>
      <c r="TLZ38" s="562"/>
      <c r="TMA38" s="562"/>
      <c r="TMB38" s="562"/>
      <c r="TMC38" s="562"/>
      <c r="TMD38" s="562"/>
      <c r="TME38" s="562"/>
      <c r="TMF38" s="562"/>
      <c r="TMG38" s="562"/>
      <c r="TMH38" s="562"/>
      <c r="TMI38" s="562"/>
      <c r="TMJ38" s="562"/>
      <c r="TMK38" s="562"/>
      <c r="TML38" s="562"/>
      <c r="TMM38" s="562"/>
      <c r="TMN38" s="562"/>
      <c r="TMO38" s="562"/>
      <c r="TMP38" s="562"/>
      <c r="TMQ38" s="562"/>
      <c r="TMR38" s="562"/>
      <c r="TMS38" s="562"/>
      <c r="TMT38" s="562"/>
      <c r="TMU38" s="562"/>
      <c r="TMV38" s="562"/>
      <c r="TMW38" s="562"/>
      <c r="TMX38" s="562"/>
      <c r="TMY38" s="562"/>
      <c r="TMZ38" s="562"/>
      <c r="TNA38" s="562"/>
      <c r="TNB38" s="562"/>
      <c r="TNC38" s="562"/>
      <c r="TND38" s="562"/>
      <c r="TNE38" s="562"/>
      <c r="TNF38" s="562"/>
      <c r="TNG38" s="562"/>
      <c r="TNH38" s="562"/>
      <c r="TNI38" s="562"/>
      <c r="TNJ38" s="562"/>
      <c r="TNK38" s="562"/>
      <c r="TNL38" s="562"/>
      <c r="TNM38" s="562"/>
      <c r="TNN38" s="562"/>
      <c r="TNO38" s="562"/>
      <c r="TNP38" s="562"/>
      <c r="TNQ38" s="562"/>
      <c r="TNR38" s="562"/>
      <c r="TNS38" s="562"/>
      <c r="TNT38" s="562"/>
      <c r="TNU38" s="562"/>
      <c r="TNV38" s="562"/>
      <c r="TNW38" s="562"/>
      <c r="TNX38" s="562"/>
      <c r="TNY38" s="562"/>
      <c r="TNZ38" s="562"/>
      <c r="TOA38" s="562"/>
      <c r="TOB38" s="562"/>
      <c r="TOC38" s="562"/>
      <c r="TOD38" s="562"/>
      <c r="TOE38" s="562"/>
      <c r="TOF38" s="562"/>
      <c r="TOG38" s="562"/>
      <c r="TOH38" s="562"/>
      <c r="TOI38" s="562"/>
      <c r="TOJ38" s="562"/>
      <c r="TOK38" s="562"/>
      <c r="TOL38" s="562"/>
      <c r="TOM38" s="562"/>
      <c r="TON38" s="562"/>
      <c r="TOO38" s="562"/>
      <c r="TOP38" s="562"/>
      <c r="TOQ38" s="562"/>
      <c r="TOR38" s="562"/>
      <c r="TOS38" s="562"/>
      <c r="TOT38" s="562"/>
      <c r="TOU38" s="562"/>
      <c r="TOV38" s="562"/>
      <c r="TOW38" s="562"/>
      <c r="TOX38" s="562"/>
      <c r="TOY38" s="562"/>
      <c r="TOZ38" s="562"/>
      <c r="TPA38" s="562"/>
      <c r="TPB38" s="562"/>
      <c r="TPC38" s="562"/>
      <c r="TPD38" s="562"/>
      <c r="TPE38" s="562"/>
      <c r="TPF38" s="562"/>
      <c r="TPG38" s="562"/>
      <c r="TPH38" s="562"/>
      <c r="TPI38" s="562"/>
      <c r="TPJ38" s="562"/>
      <c r="TPK38" s="562"/>
      <c r="TPL38" s="562"/>
      <c r="TPM38" s="562"/>
      <c r="TPN38" s="562"/>
      <c r="TPO38" s="562"/>
      <c r="TPP38" s="562"/>
      <c r="TPQ38" s="562"/>
      <c r="TPR38" s="562"/>
      <c r="TPS38" s="562"/>
      <c r="TPT38" s="562"/>
      <c r="TPU38" s="562"/>
      <c r="TPV38" s="562"/>
      <c r="TPW38" s="562"/>
      <c r="TPX38" s="562"/>
      <c r="TPY38" s="562"/>
      <c r="TPZ38" s="562"/>
      <c r="TQA38" s="562"/>
      <c r="TQB38" s="562"/>
      <c r="TQC38" s="562"/>
      <c r="TQD38" s="562"/>
      <c r="TQE38" s="562"/>
      <c r="TQF38" s="562"/>
      <c r="TQG38" s="562"/>
      <c r="TQH38" s="562"/>
      <c r="TQI38" s="562"/>
      <c r="TQJ38" s="562"/>
      <c r="TQK38" s="562"/>
      <c r="TQL38" s="562"/>
      <c r="TQM38" s="562"/>
      <c r="TQN38" s="562"/>
      <c r="TQO38" s="562"/>
      <c r="TQP38" s="562"/>
      <c r="TQQ38" s="562"/>
      <c r="TQR38" s="562"/>
      <c r="TQS38" s="562"/>
      <c r="TQT38" s="562"/>
      <c r="TQU38" s="562"/>
      <c r="TQV38" s="562"/>
      <c r="TQW38" s="562"/>
      <c r="TQX38" s="562"/>
      <c r="TQY38" s="562"/>
      <c r="TQZ38" s="562"/>
      <c r="TRA38" s="562"/>
      <c r="TRB38" s="562"/>
      <c r="TRC38" s="562"/>
      <c r="TRD38" s="562"/>
      <c r="TRE38" s="562"/>
      <c r="TRF38" s="562"/>
      <c r="TRG38" s="562"/>
      <c r="TRH38" s="562"/>
      <c r="TRI38" s="562"/>
      <c r="TRJ38" s="562"/>
      <c r="TRK38" s="562"/>
      <c r="TRL38" s="562"/>
      <c r="TRM38" s="562"/>
      <c r="TRN38" s="562"/>
      <c r="TRO38" s="562"/>
      <c r="TRP38" s="562"/>
      <c r="TRQ38" s="562"/>
      <c r="TRR38" s="562"/>
      <c r="TRS38" s="562"/>
      <c r="TRT38" s="562"/>
      <c r="TRU38" s="562"/>
      <c r="TRV38" s="562"/>
      <c r="TRW38" s="562"/>
      <c r="TRX38" s="562"/>
      <c r="TRY38" s="562"/>
      <c r="TRZ38" s="562"/>
      <c r="TSA38" s="562"/>
      <c r="TSB38" s="562"/>
      <c r="TSC38" s="562"/>
      <c r="TSD38" s="562"/>
      <c r="TSE38" s="562"/>
      <c r="TSF38" s="562"/>
      <c r="TSG38" s="562"/>
      <c r="TSH38" s="562"/>
      <c r="TSI38" s="562"/>
      <c r="TSJ38" s="562"/>
      <c r="TSK38" s="562"/>
      <c r="TSL38" s="562"/>
      <c r="TSM38" s="562"/>
      <c r="TSN38" s="562"/>
      <c r="TSO38" s="562"/>
      <c r="TSP38" s="562"/>
      <c r="TSQ38" s="562"/>
      <c r="TSR38" s="562"/>
      <c r="TSS38" s="562"/>
      <c r="TST38" s="562"/>
      <c r="TSU38" s="562"/>
      <c r="TSV38" s="562"/>
      <c r="TSW38" s="562"/>
      <c r="TSX38" s="562"/>
      <c r="TSY38" s="562"/>
      <c r="TSZ38" s="562"/>
      <c r="TTA38" s="562"/>
      <c r="TTB38" s="562"/>
      <c r="TTC38" s="562"/>
      <c r="TTD38" s="562"/>
      <c r="TTE38" s="562"/>
      <c r="TTF38" s="562"/>
      <c r="TTG38" s="562"/>
      <c r="TTH38" s="562"/>
      <c r="TTI38" s="562"/>
      <c r="TTJ38" s="562"/>
      <c r="TTK38" s="562"/>
      <c r="TTL38" s="562"/>
      <c r="TTM38" s="562"/>
      <c r="TTN38" s="562"/>
      <c r="TTO38" s="562"/>
      <c r="TTP38" s="562"/>
      <c r="TTQ38" s="562"/>
      <c r="TTR38" s="562"/>
      <c r="TTS38" s="562"/>
      <c r="TTT38" s="562"/>
      <c r="TTU38" s="562"/>
      <c r="TTV38" s="562"/>
      <c r="TTW38" s="562"/>
      <c r="TTX38" s="562"/>
      <c r="TTY38" s="562"/>
      <c r="TTZ38" s="562"/>
      <c r="TUA38" s="562"/>
      <c r="TUB38" s="562"/>
      <c r="TUC38" s="562"/>
      <c r="TUD38" s="562"/>
      <c r="TUE38" s="562"/>
      <c r="TUF38" s="562"/>
      <c r="TUG38" s="562"/>
      <c r="TUH38" s="562"/>
      <c r="TUI38" s="562"/>
      <c r="TUJ38" s="562"/>
      <c r="TUK38" s="562"/>
      <c r="TUL38" s="562"/>
      <c r="TUM38" s="562"/>
      <c r="TUN38" s="562"/>
      <c r="TUO38" s="562"/>
      <c r="TUP38" s="562"/>
      <c r="TUQ38" s="562"/>
      <c r="TUR38" s="562"/>
      <c r="TUS38" s="562"/>
      <c r="TUT38" s="562"/>
      <c r="TUU38" s="562"/>
      <c r="TUV38" s="562"/>
      <c r="TUW38" s="562"/>
      <c r="TUX38" s="562"/>
      <c r="TUY38" s="562"/>
      <c r="TUZ38" s="562"/>
      <c r="TVA38" s="562"/>
      <c r="TVB38" s="562"/>
      <c r="TVC38" s="562"/>
      <c r="TVD38" s="562"/>
      <c r="TVE38" s="562"/>
      <c r="TVF38" s="562"/>
      <c r="TVG38" s="562"/>
      <c r="TVH38" s="562"/>
      <c r="TVI38" s="562"/>
      <c r="TVJ38" s="562"/>
      <c r="TVK38" s="562"/>
      <c r="TVL38" s="562"/>
      <c r="TVM38" s="562"/>
      <c r="TVN38" s="562"/>
      <c r="TVO38" s="562"/>
      <c r="TVP38" s="562"/>
      <c r="TVQ38" s="562"/>
      <c r="TVR38" s="562"/>
      <c r="TVS38" s="562"/>
      <c r="TVT38" s="562"/>
      <c r="TVU38" s="562"/>
      <c r="TVV38" s="562"/>
      <c r="TVW38" s="562"/>
      <c r="TVX38" s="562"/>
      <c r="TVY38" s="562"/>
      <c r="TVZ38" s="562"/>
      <c r="TWA38" s="562"/>
      <c r="TWB38" s="562"/>
      <c r="TWC38" s="562"/>
      <c r="TWD38" s="562"/>
      <c r="TWE38" s="562"/>
      <c r="TWF38" s="562"/>
      <c r="TWG38" s="562"/>
      <c r="TWH38" s="562"/>
      <c r="TWI38" s="562"/>
      <c r="TWJ38" s="562"/>
      <c r="TWK38" s="562"/>
      <c r="TWL38" s="562"/>
      <c r="TWM38" s="562"/>
      <c r="TWN38" s="562"/>
      <c r="TWO38" s="562"/>
      <c r="TWP38" s="562"/>
      <c r="TWQ38" s="562"/>
      <c r="TWR38" s="562"/>
      <c r="TWS38" s="562"/>
      <c r="TWT38" s="562"/>
      <c r="TWU38" s="562"/>
      <c r="TWV38" s="562"/>
      <c r="TWW38" s="562"/>
      <c r="TWX38" s="562"/>
      <c r="TWY38" s="562"/>
      <c r="TWZ38" s="562"/>
      <c r="TXA38" s="562"/>
      <c r="TXB38" s="562"/>
      <c r="TXC38" s="562"/>
      <c r="TXD38" s="562"/>
      <c r="TXE38" s="562"/>
      <c r="TXF38" s="562"/>
      <c r="TXG38" s="562"/>
      <c r="TXH38" s="562"/>
      <c r="TXI38" s="562"/>
      <c r="TXJ38" s="562"/>
      <c r="TXK38" s="562"/>
      <c r="TXL38" s="562"/>
      <c r="TXM38" s="562"/>
      <c r="TXN38" s="562"/>
      <c r="TXO38" s="562"/>
      <c r="TXP38" s="562"/>
      <c r="TXQ38" s="562"/>
      <c r="TXR38" s="562"/>
      <c r="TXS38" s="562"/>
      <c r="TXT38" s="562"/>
      <c r="TXU38" s="562"/>
      <c r="TXV38" s="562"/>
      <c r="TXW38" s="562"/>
      <c r="TXX38" s="562"/>
      <c r="TXY38" s="562"/>
      <c r="TXZ38" s="562"/>
      <c r="TYA38" s="562"/>
      <c r="TYB38" s="562"/>
      <c r="TYC38" s="562"/>
      <c r="TYD38" s="562"/>
      <c r="TYE38" s="562"/>
      <c r="TYF38" s="562"/>
      <c r="TYG38" s="562"/>
      <c r="TYH38" s="562"/>
      <c r="TYI38" s="562"/>
      <c r="TYJ38" s="562"/>
      <c r="TYK38" s="562"/>
      <c r="TYL38" s="562"/>
      <c r="TYM38" s="562"/>
      <c r="TYN38" s="562"/>
      <c r="TYO38" s="562"/>
      <c r="TYP38" s="562"/>
      <c r="TYQ38" s="562"/>
      <c r="TYR38" s="562"/>
      <c r="TYS38" s="562"/>
      <c r="TYT38" s="562"/>
      <c r="TYU38" s="562"/>
      <c r="TYV38" s="562"/>
      <c r="TYW38" s="562"/>
      <c r="TYX38" s="562"/>
      <c r="TYY38" s="562"/>
      <c r="TYZ38" s="562"/>
      <c r="TZA38" s="562"/>
      <c r="TZB38" s="562"/>
      <c r="TZC38" s="562"/>
      <c r="TZD38" s="562"/>
      <c r="TZE38" s="562"/>
      <c r="TZF38" s="562"/>
      <c r="TZG38" s="562"/>
      <c r="TZH38" s="562"/>
      <c r="TZI38" s="562"/>
      <c r="TZJ38" s="562"/>
      <c r="TZK38" s="562"/>
      <c r="TZL38" s="562"/>
      <c r="TZM38" s="562"/>
      <c r="TZN38" s="562"/>
      <c r="TZO38" s="562"/>
      <c r="TZP38" s="562"/>
      <c r="TZQ38" s="562"/>
      <c r="TZR38" s="562"/>
      <c r="TZS38" s="562"/>
      <c r="TZT38" s="562"/>
      <c r="TZU38" s="562"/>
      <c r="TZV38" s="562"/>
      <c r="TZW38" s="562"/>
      <c r="TZX38" s="562"/>
      <c r="TZY38" s="562"/>
      <c r="TZZ38" s="562"/>
      <c r="UAA38" s="562"/>
      <c r="UAB38" s="562"/>
      <c r="UAC38" s="562"/>
      <c r="UAD38" s="562"/>
      <c r="UAE38" s="562"/>
      <c r="UAF38" s="562"/>
      <c r="UAG38" s="562"/>
      <c r="UAH38" s="562"/>
      <c r="UAI38" s="562"/>
      <c r="UAJ38" s="562"/>
      <c r="UAK38" s="562"/>
      <c r="UAL38" s="562"/>
      <c r="UAM38" s="562"/>
      <c r="UAN38" s="562"/>
      <c r="UAO38" s="562"/>
      <c r="UAP38" s="562"/>
      <c r="UAQ38" s="562"/>
      <c r="UAR38" s="562"/>
      <c r="UAS38" s="562"/>
      <c r="UAT38" s="562"/>
      <c r="UAU38" s="562"/>
      <c r="UAV38" s="562"/>
      <c r="UAW38" s="562"/>
      <c r="UAX38" s="562"/>
      <c r="UAY38" s="562"/>
      <c r="UAZ38" s="562"/>
      <c r="UBA38" s="562"/>
      <c r="UBB38" s="562"/>
      <c r="UBC38" s="562"/>
      <c r="UBD38" s="562"/>
      <c r="UBE38" s="562"/>
      <c r="UBF38" s="562"/>
      <c r="UBG38" s="562"/>
      <c r="UBH38" s="562"/>
      <c r="UBI38" s="562"/>
      <c r="UBJ38" s="562"/>
      <c r="UBK38" s="562"/>
      <c r="UBL38" s="562"/>
      <c r="UBM38" s="562"/>
      <c r="UBN38" s="562"/>
      <c r="UBO38" s="562"/>
      <c r="UBP38" s="562"/>
      <c r="UBQ38" s="562"/>
      <c r="UBR38" s="562"/>
      <c r="UBS38" s="562"/>
      <c r="UBT38" s="562"/>
      <c r="UBU38" s="562"/>
      <c r="UBV38" s="562"/>
      <c r="UBW38" s="562"/>
      <c r="UBX38" s="562"/>
      <c r="UBY38" s="562"/>
      <c r="UBZ38" s="562"/>
      <c r="UCA38" s="562"/>
      <c r="UCB38" s="562"/>
      <c r="UCC38" s="562"/>
      <c r="UCD38" s="562"/>
      <c r="UCE38" s="562"/>
      <c r="UCF38" s="562"/>
      <c r="UCG38" s="562"/>
      <c r="UCH38" s="562"/>
      <c r="UCI38" s="562"/>
      <c r="UCJ38" s="562"/>
      <c r="UCK38" s="562"/>
      <c r="UCL38" s="562"/>
      <c r="UCM38" s="562"/>
      <c r="UCN38" s="562"/>
      <c r="UCO38" s="562"/>
      <c r="UCP38" s="562"/>
      <c r="UCQ38" s="562"/>
      <c r="UCR38" s="562"/>
      <c r="UCS38" s="562"/>
      <c r="UCT38" s="562"/>
      <c r="UCU38" s="562"/>
      <c r="UCV38" s="562"/>
      <c r="UCW38" s="562"/>
      <c r="UCX38" s="562"/>
      <c r="UCY38" s="562"/>
      <c r="UCZ38" s="562"/>
      <c r="UDA38" s="562"/>
      <c r="UDB38" s="562"/>
      <c r="UDC38" s="562"/>
      <c r="UDD38" s="562"/>
      <c r="UDE38" s="562"/>
      <c r="UDF38" s="562"/>
      <c r="UDG38" s="562"/>
      <c r="UDH38" s="562"/>
      <c r="UDI38" s="562"/>
      <c r="UDJ38" s="562"/>
      <c r="UDK38" s="562"/>
      <c r="UDL38" s="562"/>
      <c r="UDM38" s="562"/>
      <c r="UDN38" s="562"/>
      <c r="UDO38" s="562"/>
      <c r="UDP38" s="562"/>
      <c r="UDQ38" s="562"/>
      <c r="UDR38" s="562"/>
      <c r="UDS38" s="562"/>
      <c r="UDT38" s="562"/>
      <c r="UDU38" s="562"/>
      <c r="UDV38" s="562"/>
      <c r="UDW38" s="562"/>
      <c r="UDX38" s="562"/>
      <c r="UDY38" s="562"/>
      <c r="UDZ38" s="562"/>
      <c r="UEA38" s="562"/>
      <c r="UEB38" s="562"/>
      <c r="UEC38" s="562"/>
      <c r="UED38" s="562"/>
      <c r="UEE38" s="562"/>
      <c r="UEF38" s="562"/>
      <c r="UEG38" s="562"/>
      <c r="UEH38" s="562"/>
      <c r="UEI38" s="562"/>
      <c r="UEJ38" s="562"/>
      <c r="UEK38" s="562"/>
      <c r="UEL38" s="562"/>
      <c r="UEM38" s="562"/>
      <c r="UEN38" s="562"/>
      <c r="UEO38" s="562"/>
      <c r="UEP38" s="562"/>
      <c r="UEQ38" s="562"/>
      <c r="UER38" s="562"/>
      <c r="UES38" s="562"/>
      <c r="UET38" s="562"/>
      <c r="UEU38" s="562"/>
      <c r="UEV38" s="562"/>
      <c r="UEW38" s="562"/>
      <c r="UEX38" s="562"/>
      <c r="UEY38" s="562"/>
      <c r="UEZ38" s="562"/>
      <c r="UFA38" s="562"/>
      <c r="UFB38" s="562"/>
      <c r="UFC38" s="562"/>
      <c r="UFD38" s="562"/>
      <c r="UFE38" s="562"/>
      <c r="UFF38" s="562"/>
      <c r="UFG38" s="562"/>
      <c r="UFH38" s="562"/>
      <c r="UFI38" s="562"/>
      <c r="UFJ38" s="562"/>
      <c r="UFK38" s="562"/>
      <c r="UFL38" s="562"/>
      <c r="UFM38" s="562"/>
      <c r="UFN38" s="562"/>
      <c r="UFO38" s="562"/>
      <c r="UFP38" s="562"/>
      <c r="UFQ38" s="562"/>
      <c r="UFR38" s="562"/>
      <c r="UFS38" s="562"/>
      <c r="UFT38" s="562"/>
      <c r="UFU38" s="562"/>
      <c r="UFV38" s="562"/>
      <c r="UFW38" s="562"/>
      <c r="UFX38" s="562"/>
      <c r="UFY38" s="562"/>
      <c r="UFZ38" s="562"/>
      <c r="UGA38" s="562"/>
      <c r="UGB38" s="562"/>
      <c r="UGC38" s="562"/>
      <c r="UGD38" s="562"/>
      <c r="UGE38" s="562"/>
      <c r="UGF38" s="562"/>
      <c r="UGG38" s="562"/>
      <c r="UGH38" s="562"/>
      <c r="UGI38" s="562"/>
      <c r="UGJ38" s="562"/>
      <c r="UGK38" s="562"/>
      <c r="UGL38" s="562"/>
      <c r="UGM38" s="562"/>
      <c r="UGN38" s="562"/>
      <c r="UGO38" s="562"/>
      <c r="UGP38" s="562"/>
      <c r="UGQ38" s="562"/>
      <c r="UGR38" s="562"/>
      <c r="UGS38" s="562"/>
      <c r="UGT38" s="562"/>
      <c r="UGU38" s="562"/>
      <c r="UGV38" s="562"/>
      <c r="UGW38" s="562"/>
      <c r="UGX38" s="562"/>
      <c r="UGY38" s="562"/>
      <c r="UGZ38" s="562"/>
      <c r="UHA38" s="562"/>
      <c r="UHB38" s="562"/>
      <c r="UHC38" s="562"/>
      <c r="UHD38" s="562"/>
      <c r="UHE38" s="562"/>
      <c r="UHF38" s="562"/>
      <c r="UHG38" s="562"/>
      <c r="UHH38" s="562"/>
      <c r="UHI38" s="562"/>
      <c r="UHJ38" s="562"/>
      <c r="UHK38" s="562"/>
      <c r="UHL38" s="562"/>
      <c r="UHM38" s="562"/>
      <c r="UHN38" s="562"/>
      <c r="UHO38" s="562"/>
      <c r="UHP38" s="562"/>
      <c r="UHQ38" s="562"/>
      <c r="UHR38" s="562"/>
      <c r="UHS38" s="562"/>
      <c r="UHT38" s="562"/>
      <c r="UHU38" s="562"/>
      <c r="UHV38" s="562"/>
      <c r="UHW38" s="562"/>
      <c r="UHX38" s="562"/>
      <c r="UHY38" s="562"/>
      <c r="UHZ38" s="562"/>
      <c r="UIA38" s="562"/>
      <c r="UIB38" s="562"/>
      <c r="UIC38" s="562"/>
      <c r="UID38" s="562"/>
      <c r="UIE38" s="562"/>
      <c r="UIF38" s="562"/>
      <c r="UIG38" s="562"/>
      <c r="UIH38" s="562"/>
      <c r="UII38" s="562"/>
      <c r="UIJ38" s="562"/>
      <c r="UIK38" s="562"/>
      <c r="UIL38" s="562"/>
      <c r="UIM38" s="562"/>
      <c r="UIN38" s="562"/>
      <c r="UIO38" s="562"/>
      <c r="UIP38" s="562"/>
      <c r="UIQ38" s="562"/>
      <c r="UIR38" s="562"/>
      <c r="UIS38" s="562"/>
      <c r="UIT38" s="562"/>
      <c r="UIU38" s="562"/>
      <c r="UIV38" s="562"/>
      <c r="UIW38" s="562"/>
      <c r="UIX38" s="562"/>
      <c r="UIY38" s="562"/>
      <c r="UIZ38" s="562"/>
      <c r="UJA38" s="562"/>
      <c r="UJB38" s="562"/>
      <c r="UJC38" s="562"/>
      <c r="UJD38" s="562"/>
      <c r="UJE38" s="562"/>
      <c r="UJF38" s="562"/>
      <c r="UJG38" s="562"/>
      <c r="UJH38" s="562"/>
      <c r="UJI38" s="562"/>
      <c r="UJJ38" s="562"/>
      <c r="UJK38" s="562"/>
      <c r="UJL38" s="562"/>
      <c r="UJM38" s="562"/>
      <c r="UJN38" s="562"/>
      <c r="UJO38" s="562"/>
      <c r="UJP38" s="562"/>
      <c r="UJQ38" s="562"/>
      <c r="UJR38" s="562"/>
      <c r="UJS38" s="562"/>
      <c r="UJT38" s="562"/>
      <c r="UJU38" s="562"/>
      <c r="UJV38" s="562"/>
      <c r="UJW38" s="562"/>
      <c r="UJX38" s="562"/>
      <c r="UJY38" s="562"/>
      <c r="UJZ38" s="562"/>
      <c r="UKA38" s="562"/>
      <c r="UKB38" s="562"/>
      <c r="UKC38" s="562"/>
      <c r="UKD38" s="562"/>
      <c r="UKE38" s="562"/>
      <c r="UKF38" s="562"/>
      <c r="UKG38" s="562"/>
      <c r="UKH38" s="562"/>
      <c r="UKI38" s="562"/>
      <c r="UKJ38" s="562"/>
      <c r="UKK38" s="562"/>
      <c r="UKL38" s="562"/>
      <c r="UKM38" s="562"/>
      <c r="UKN38" s="562"/>
      <c r="UKO38" s="562"/>
      <c r="UKP38" s="562"/>
      <c r="UKQ38" s="562"/>
      <c r="UKR38" s="562"/>
      <c r="UKS38" s="562"/>
      <c r="UKT38" s="562"/>
      <c r="UKU38" s="562"/>
      <c r="UKV38" s="562"/>
      <c r="UKW38" s="562"/>
      <c r="UKX38" s="562"/>
      <c r="UKY38" s="562"/>
      <c r="UKZ38" s="562"/>
      <c r="ULA38" s="562"/>
      <c r="ULB38" s="562"/>
      <c r="ULC38" s="562"/>
      <c r="ULD38" s="562"/>
      <c r="ULE38" s="562"/>
      <c r="ULF38" s="562"/>
      <c r="ULG38" s="562"/>
      <c r="ULH38" s="562"/>
      <c r="ULI38" s="562"/>
      <c r="ULJ38" s="562"/>
      <c r="ULK38" s="562"/>
      <c r="ULL38" s="562"/>
      <c r="ULM38" s="562"/>
      <c r="ULN38" s="562"/>
      <c r="ULO38" s="562"/>
      <c r="ULP38" s="562"/>
      <c r="ULQ38" s="562"/>
      <c r="ULR38" s="562"/>
      <c r="ULS38" s="562"/>
      <c r="ULT38" s="562"/>
      <c r="ULU38" s="562"/>
      <c r="ULV38" s="562"/>
      <c r="ULW38" s="562"/>
      <c r="ULX38" s="562"/>
      <c r="ULY38" s="562"/>
      <c r="ULZ38" s="562"/>
      <c r="UMA38" s="562"/>
      <c r="UMB38" s="562"/>
      <c r="UMC38" s="562"/>
      <c r="UMD38" s="562"/>
      <c r="UME38" s="562"/>
      <c r="UMF38" s="562"/>
      <c r="UMG38" s="562"/>
      <c r="UMH38" s="562"/>
      <c r="UMI38" s="562"/>
      <c r="UMJ38" s="562"/>
      <c r="UMK38" s="562"/>
      <c r="UML38" s="562"/>
      <c r="UMM38" s="562"/>
      <c r="UMN38" s="562"/>
      <c r="UMO38" s="562"/>
      <c r="UMP38" s="562"/>
      <c r="UMQ38" s="562"/>
      <c r="UMR38" s="562"/>
      <c r="UMS38" s="562"/>
      <c r="UMT38" s="562"/>
      <c r="UMU38" s="562"/>
      <c r="UMV38" s="562"/>
      <c r="UMW38" s="562"/>
      <c r="UMX38" s="562"/>
      <c r="UMY38" s="562"/>
      <c r="UMZ38" s="562"/>
      <c r="UNA38" s="562"/>
      <c r="UNB38" s="562"/>
      <c r="UNC38" s="562"/>
      <c r="UND38" s="562"/>
      <c r="UNE38" s="562"/>
      <c r="UNF38" s="562"/>
      <c r="UNG38" s="562"/>
      <c r="UNH38" s="562"/>
      <c r="UNI38" s="562"/>
      <c r="UNJ38" s="562"/>
      <c r="UNK38" s="562"/>
      <c r="UNL38" s="562"/>
      <c r="UNM38" s="562"/>
      <c r="UNN38" s="562"/>
      <c r="UNO38" s="562"/>
      <c r="UNP38" s="562"/>
      <c r="UNQ38" s="562"/>
      <c r="UNR38" s="562"/>
      <c r="UNS38" s="562"/>
      <c r="UNT38" s="562"/>
      <c r="UNU38" s="562"/>
      <c r="UNV38" s="562"/>
      <c r="UNW38" s="562"/>
      <c r="UNX38" s="562"/>
      <c r="UNY38" s="562"/>
      <c r="UNZ38" s="562"/>
      <c r="UOA38" s="562"/>
      <c r="UOB38" s="562"/>
      <c r="UOC38" s="562"/>
      <c r="UOD38" s="562"/>
      <c r="UOE38" s="562"/>
      <c r="UOF38" s="562"/>
      <c r="UOG38" s="562"/>
      <c r="UOH38" s="562"/>
      <c r="UOI38" s="562"/>
      <c r="UOJ38" s="562"/>
      <c r="UOK38" s="562"/>
      <c r="UOL38" s="562"/>
      <c r="UOM38" s="562"/>
      <c r="UON38" s="562"/>
      <c r="UOO38" s="562"/>
      <c r="UOP38" s="562"/>
      <c r="UOQ38" s="562"/>
      <c r="UOR38" s="562"/>
      <c r="UOS38" s="562"/>
      <c r="UOT38" s="562"/>
      <c r="UOU38" s="562"/>
      <c r="UOV38" s="562"/>
      <c r="UOW38" s="562"/>
      <c r="UOX38" s="562"/>
      <c r="UOY38" s="562"/>
      <c r="UOZ38" s="562"/>
      <c r="UPA38" s="562"/>
      <c r="UPB38" s="562"/>
      <c r="UPC38" s="562"/>
      <c r="UPD38" s="562"/>
      <c r="UPE38" s="562"/>
      <c r="UPF38" s="562"/>
      <c r="UPG38" s="562"/>
      <c r="UPH38" s="562"/>
      <c r="UPI38" s="562"/>
      <c r="UPJ38" s="562"/>
      <c r="UPK38" s="562"/>
      <c r="UPL38" s="562"/>
      <c r="UPM38" s="562"/>
      <c r="UPN38" s="562"/>
      <c r="UPO38" s="562"/>
      <c r="UPP38" s="562"/>
      <c r="UPQ38" s="562"/>
      <c r="UPR38" s="562"/>
      <c r="UPS38" s="562"/>
      <c r="UPT38" s="562"/>
      <c r="UPU38" s="562"/>
      <c r="UPV38" s="562"/>
      <c r="UPW38" s="562"/>
      <c r="UPX38" s="562"/>
      <c r="UPY38" s="562"/>
      <c r="UPZ38" s="562"/>
      <c r="UQA38" s="562"/>
      <c r="UQB38" s="562"/>
      <c r="UQC38" s="562"/>
      <c r="UQD38" s="562"/>
      <c r="UQE38" s="562"/>
      <c r="UQF38" s="562"/>
      <c r="UQG38" s="562"/>
      <c r="UQH38" s="562"/>
      <c r="UQI38" s="562"/>
      <c r="UQJ38" s="562"/>
      <c r="UQK38" s="562"/>
      <c r="UQL38" s="562"/>
      <c r="UQM38" s="562"/>
      <c r="UQN38" s="562"/>
      <c r="UQO38" s="562"/>
      <c r="UQP38" s="562"/>
      <c r="UQQ38" s="562"/>
      <c r="UQR38" s="562"/>
      <c r="UQS38" s="562"/>
      <c r="UQT38" s="562"/>
      <c r="UQU38" s="562"/>
      <c r="UQV38" s="562"/>
      <c r="UQW38" s="562"/>
      <c r="UQX38" s="562"/>
      <c r="UQY38" s="562"/>
      <c r="UQZ38" s="562"/>
      <c r="URA38" s="562"/>
      <c r="URB38" s="562"/>
      <c r="URC38" s="562"/>
      <c r="URD38" s="562"/>
      <c r="URE38" s="562"/>
      <c r="URF38" s="562"/>
      <c r="URG38" s="562"/>
      <c r="URH38" s="562"/>
      <c r="URI38" s="562"/>
      <c r="URJ38" s="562"/>
      <c r="URK38" s="562"/>
      <c r="URL38" s="562"/>
      <c r="URM38" s="562"/>
      <c r="URN38" s="562"/>
      <c r="URO38" s="562"/>
      <c r="URP38" s="562"/>
      <c r="URQ38" s="562"/>
      <c r="URR38" s="562"/>
      <c r="URS38" s="562"/>
      <c r="URT38" s="562"/>
      <c r="URU38" s="562"/>
      <c r="URV38" s="562"/>
      <c r="URW38" s="562"/>
      <c r="URX38" s="562"/>
      <c r="URY38" s="562"/>
      <c r="URZ38" s="562"/>
      <c r="USA38" s="562"/>
      <c r="USB38" s="562"/>
      <c r="USC38" s="562"/>
      <c r="USD38" s="562"/>
      <c r="USE38" s="562"/>
      <c r="USF38" s="562"/>
      <c r="USG38" s="562"/>
      <c r="USH38" s="562"/>
      <c r="USI38" s="562"/>
      <c r="USJ38" s="562"/>
      <c r="USK38" s="562"/>
      <c r="USL38" s="562"/>
      <c r="USM38" s="562"/>
      <c r="USN38" s="562"/>
      <c r="USO38" s="562"/>
      <c r="USP38" s="562"/>
      <c r="USQ38" s="562"/>
      <c r="USR38" s="562"/>
      <c r="USS38" s="562"/>
      <c r="UST38" s="562"/>
      <c r="USU38" s="562"/>
      <c r="USV38" s="562"/>
      <c r="USW38" s="562"/>
      <c r="USX38" s="562"/>
      <c r="USY38" s="562"/>
      <c r="USZ38" s="562"/>
      <c r="UTA38" s="562"/>
      <c r="UTB38" s="562"/>
      <c r="UTC38" s="562"/>
      <c r="UTD38" s="562"/>
      <c r="UTE38" s="562"/>
      <c r="UTF38" s="562"/>
      <c r="UTG38" s="562"/>
      <c r="UTH38" s="562"/>
      <c r="UTI38" s="562"/>
      <c r="UTJ38" s="562"/>
      <c r="UTK38" s="562"/>
      <c r="UTL38" s="562"/>
      <c r="UTM38" s="562"/>
      <c r="UTN38" s="562"/>
      <c r="UTO38" s="562"/>
      <c r="UTP38" s="562"/>
      <c r="UTQ38" s="562"/>
      <c r="UTR38" s="562"/>
      <c r="UTS38" s="562"/>
      <c r="UTT38" s="562"/>
      <c r="UTU38" s="562"/>
      <c r="UTV38" s="562"/>
      <c r="UTW38" s="562"/>
      <c r="UTX38" s="562"/>
      <c r="UTY38" s="562"/>
      <c r="UTZ38" s="562"/>
      <c r="UUA38" s="562"/>
      <c r="UUB38" s="562"/>
      <c r="UUC38" s="562"/>
      <c r="UUD38" s="562"/>
      <c r="UUE38" s="562"/>
      <c r="UUF38" s="562"/>
      <c r="UUG38" s="562"/>
      <c r="UUH38" s="562"/>
      <c r="UUI38" s="562"/>
      <c r="UUJ38" s="562"/>
      <c r="UUK38" s="562"/>
      <c r="UUL38" s="562"/>
      <c r="UUM38" s="562"/>
      <c r="UUN38" s="562"/>
      <c r="UUO38" s="562"/>
      <c r="UUP38" s="562"/>
      <c r="UUQ38" s="562"/>
      <c r="UUR38" s="562"/>
      <c r="UUS38" s="562"/>
      <c r="UUT38" s="562"/>
      <c r="UUU38" s="562"/>
      <c r="UUV38" s="562"/>
      <c r="UUW38" s="562"/>
      <c r="UUX38" s="562"/>
      <c r="UUY38" s="562"/>
      <c r="UUZ38" s="562"/>
      <c r="UVA38" s="562"/>
      <c r="UVB38" s="562"/>
      <c r="UVC38" s="562"/>
      <c r="UVD38" s="562"/>
      <c r="UVE38" s="562"/>
      <c r="UVF38" s="562"/>
      <c r="UVG38" s="562"/>
      <c r="UVH38" s="562"/>
      <c r="UVI38" s="562"/>
      <c r="UVJ38" s="562"/>
      <c r="UVK38" s="562"/>
      <c r="UVL38" s="562"/>
      <c r="UVM38" s="562"/>
      <c r="UVN38" s="562"/>
      <c r="UVO38" s="562"/>
      <c r="UVP38" s="562"/>
      <c r="UVQ38" s="562"/>
      <c r="UVR38" s="562"/>
      <c r="UVS38" s="562"/>
      <c r="UVT38" s="562"/>
      <c r="UVU38" s="562"/>
      <c r="UVV38" s="562"/>
      <c r="UVW38" s="562"/>
      <c r="UVX38" s="562"/>
      <c r="UVY38" s="562"/>
      <c r="UVZ38" s="562"/>
      <c r="UWA38" s="562"/>
      <c r="UWB38" s="562"/>
      <c r="UWC38" s="562"/>
      <c r="UWD38" s="562"/>
      <c r="UWE38" s="562"/>
      <c r="UWF38" s="562"/>
      <c r="UWG38" s="562"/>
      <c r="UWH38" s="562"/>
      <c r="UWI38" s="562"/>
      <c r="UWJ38" s="562"/>
      <c r="UWK38" s="562"/>
      <c r="UWL38" s="562"/>
      <c r="UWM38" s="562"/>
      <c r="UWN38" s="562"/>
      <c r="UWO38" s="562"/>
      <c r="UWP38" s="562"/>
      <c r="UWQ38" s="562"/>
      <c r="UWR38" s="562"/>
      <c r="UWS38" s="562"/>
      <c r="UWT38" s="562"/>
      <c r="UWU38" s="562"/>
      <c r="UWV38" s="562"/>
      <c r="UWW38" s="562"/>
      <c r="UWX38" s="562"/>
      <c r="UWY38" s="562"/>
      <c r="UWZ38" s="562"/>
      <c r="UXA38" s="562"/>
      <c r="UXB38" s="562"/>
      <c r="UXC38" s="562"/>
      <c r="UXD38" s="562"/>
      <c r="UXE38" s="562"/>
      <c r="UXF38" s="562"/>
      <c r="UXG38" s="562"/>
      <c r="UXH38" s="562"/>
      <c r="UXI38" s="562"/>
      <c r="UXJ38" s="562"/>
      <c r="UXK38" s="562"/>
      <c r="UXL38" s="562"/>
      <c r="UXM38" s="562"/>
      <c r="UXN38" s="562"/>
      <c r="UXO38" s="562"/>
      <c r="UXP38" s="562"/>
      <c r="UXQ38" s="562"/>
      <c r="UXR38" s="562"/>
      <c r="UXS38" s="562"/>
      <c r="UXT38" s="562"/>
      <c r="UXU38" s="562"/>
      <c r="UXV38" s="562"/>
      <c r="UXW38" s="562"/>
      <c r="UXX38" s="562"/>
      <c r="UXY38" s="562"/>
      <c r="UXZ38" s="562"/>
      <c r="UYA38" s="562"/>
      <c r="UYB38" s="562"/>
      <c r="UYC38" s="562"/>
      <c r="UYD38" s="562"/>
      <c r="UYE38" s="562"/>
      <c r="UYF38" s="562"/>
      <c r="UYG38" s="562"/>
      <c r="UYH38" s="562"/>
      <c r="UYI38" s="562"/>
      <c r="UYJ38" s="562"/>
      <c r="UYK38" s="562"/>
      <c r="UYL38" s="562"/>
      <c r="UYM38" s="562"/>
      <c r="UYN38" s="562"/>
      <c r="UYO38" s="562"/>
      <c r="UYP38" s="562"/>
      <c r="UYQ38" s="562"/>
      <c r="UYR38" s="562"/>
      <c r="UYS38" s="562"/>
      <c r="UYT38" s="562"/>
      <c r="UYU38" s="562"/>
      <c r="UYV38" s="562"/>
      <c r="UYW38" s="562"/>
      <c r="UYX38" s="562"/>
      <c r="UYY38" s="562"/>
      <c r="UYZ38" s="562"/>
      <c r="UZA38" s="562"/>
      <c r="UZB38" s="562"/>
      <c r="UZC38" s="562"/>
      <c r="UZD38" s="562"/>
      <c r="UZE38" s="562"/>
      <c r="UZF38" s="562"/>
      <c r="UZG38" s="562"/>
      <c r="UZH38" s="562"/>
      <c r="UZI38" s="562"/>
      <c r="UZJ38" s="562"/>
      <c r="UZK38" s="562"/>
      <c r="UZL38" s="562"/>
      <c r="UZM38" s="562"/>
      <c r="UZN38" s="562"/>
      <c r="UZO38" s="562"/>
      <c r="UZP38" s="562"/>
      <c r="UZQ38" s="562"/>
      <c r="UZR38" s="562"/>
      <c r="UZS38" s="562"/>
      <c r="UZT38" s="562"/>
      <c r="UZU38" s="562"/>
      <c r="UZV38" s="562"/>
      <c r="UZW38" s="562"/>
      <c r="UZX38" s="562"/>
      <c r="UZY38" s="562"/>
      <c r="UZZ38" s="562"/>
      <c r="VAA38" s="562"/>
      <c r="VAB38" s="562"/>
      <c r="VAC38" s="562"/>
      <c r="VAD38" s="562"/>
      <c r="VAE38" s="562"/>
      <c r="VAF38" s="562"/>
      <c r="VAG38" s="562"/>
      <c r="VAH38" s="562"/>
      <c r="VAI38" s="562"/>
      <c r="VAJ38" s="562"/>
      <c r="VAK38" s="562"/>
      <c r="VAL38" s="562"/>
      <c r="VAM38" s="562"/>
      <c r="VAN38" s="562"/>
      <c r="VAO38" s="562"/>
      <c r="VAP38" s="562"/>
      <c r="VAQ38" s="562"/>
      <c r="VAR38" s="562"/>
      <c r="VAS38" s="562"/>
      <c r="VAT38" s="562"/>
      <c r="VAU38" s="562"/>
      <c r="VAV38" s="562"/>
      <c r="VAW38" s="562"/>
      <c r="VAX38" s="562"/>
      <c r="VAY38" s="562"/>
      <c r="VAZ38" s="562"/>
      <c r="VBA38" s="562"/>
      <c r="VBB38" s="562"/>
      <c r="VBC38" s="562"/>
      <c r="VBD38" s="562"/>
      <c r="VBE38" s="562"/>
      <c r="VBF38" s="562"/>
      <c r="VBG38" s="562"/>
      <c r="VBH38" s="562"/>
      <c r="VBI38" s="562"/>
      <c r="VBJ38" s="562"/>
      <c r="VBK38" s="562"/>
      <c r="VBL38" s="562"/>
      <c r="VBM38" s="562"/>
      <c r="VBN38" s="562"/>
      <c r="VBO38" s="562"/>
      <c r="VBP38" s="562"/>
      <c r="VBQ38" s="562"/>
      <c r="VBR38" s="562"/>
      <c r="VBS38" s="562"/>
      <c r="VBT38" s="562"/>
      <c r="VBU38" s="562"/>
      <c r="VBV38" s="562"/>
      <c r="VBW38" s="562"/>
      <c r="VBX38" s="562"/>
      <c r="VBY38" s="562"/>
      <c r="VBZ38" s="562"/>
      <c r="VCA38" s="562"/>
      <c r="VCB38" s="562"/>
      <c r="VCC38" s="562"/>
      <c r="VCD38" s="562"/>
      <c r="VCE38" s="562"/>
      <c r="VCF38" s="562"/>
      <c r="VCG38" s="562"/>
      <c r="VCH38" s="562"/>
      <c r="VCI38" s="562"/>
      <c r="VCJ38" s="562"/>
      <c r="VCK38" s="562"/>
      <c r="VCL38" s="562"/>
      <c r="VCM38" s="562"/>
      <c r="VCN38" s="562"/>
      <c r="VCO38" s="562"/>
      <c r="VCP38" s="562"/>
      <c r="VCQ38" s="562"/>
      <c r="VCR38" s="562"/>
      <c r="VCS38" s="562"/>
      <c r="VCT38" s="562"/>
      <c r="VCU38" s="562"/>
      <c r="VCV38" s="562"/>
      <c r="VCW38" s="562"/>
      <c r="VCX38" s="562"/>
      <c r="VCY38" s="562"/>
      <c r="VCZ38" s="562"/>
      <c r="VDA38" s="562"/>
      <c r="VDB38" s="562"/>
      <c r="VDC38" s="562"/>
      <c r="VDD38" s="562"/>
      <c r="VDE38" s="562"/>
      <c r="VDF38" s="562"/>
      <c r="VDG38" s="562"/>
      <c r="VDH38" s="562"/>
      <c r="VDI38" s="562"/>
      <c r="VDJ38" s="562"/>
      <c r="VDK38" s="562"/>
      <c r="VDL38" s="562"/>
      <c r="VDM38" s="562"/>
      <c r="VDN38" s="562"/>
      <c r="VDO38" s="562"/>
      <c r="VDP38" s="562"/>
      <c r="VDQ38" s="562"/>
      <c r="VDR38" s="562"/>
      <c r="VDS38" s="562"/>
      <c r="VDT38" s="562"/>
      <c r="VDU38" s="562"/>
      <c r="VDV38" s="562"/>
      <c r="VDW38" s="562"/>
      <c r="VDX38" s="562"/>
      <c r="VDY38" s="562"/>
      <c r="VDZ38" s="562"/>
      <c r="VEA38" s="562"/>
      <c r="VEB38" s="562"/>
      <c r="VEC38" s="562"/>
      <c r="VED38" s="562"/>
      <c r="VEE38" s="562"/>
      <c r="VEF38" s="562"/>
      <c r="VEG38" s="562"/>
      <c r="VEH38" s="562"/>
      <c r="VEI38" s="562"/>
      <c r="VEJ38" s="562"/>
      <c r="VEK38" s="562"/>
      <c r="VEL38" s="562"/>
      <c r="VEM38" s="562"/>
      <c r="VEN38" s="562"/>
      <c r="VEO38" s="562"/>
      <c r="VEP38" s="562"/>
      <c r="VEQ38" s="562"/>
      <c r="VER38" s="562"/>
      <c r="VES38" s="562"/>
      <c r="VET38" s="562"/>
      <c r="VEU38" s="562"/>
      <c r="VEV38" s="562"/>
      <c r="VEW38" s="562"/>
      <c r="VEX38" s="562"/>
      <c r="VEY38" s="562"/>
      <c r="VEZ38" s="562"/>
      <c r="VFA38" s="562"/>
      <c r="VFB38" s="562"/>
      <c r="VFC38" s="562"/>
      <c r="VFD38" s="562"/>
      <c r="VFE38" s="562"/>
      <c r="VFF38" s="562"/>
      <c r="VFG38" s="562"/>
      <c r="VFH38" s="562"/>
      <c r="VFI38" s="562"/>
      <c r="VFJ38" s="562"/>
      <c r="VFK38" s="562"/>
      <c r="VFL38" s="562"/>
      <c r="VFM38" s="562"/>
      <c r="VFN38" s="562"/>
      <c r="VFO38" s="562"/>
      <c r="VFP38" s="562"/>
      <c r="VFQ38" s="562"/>
      <c r="VFR38" s="562"/>
      <c r="VFS38" s="562"/>
      <c r="VFT38" s="562"/>
      <c r="VFU38" s="562"/>
      <c r="VFV38" s="562"/>
      <c r="VFW38" s="562"/>
      <c r="VFX38" s="562"/>
      <c r="VFY38" s="562"/>
      <c r="VFZ38" s="562"/>
      <c r="VGA38" s="562"/>
      <c r="VGB38" s="562"/>
      <c r="VGC38" s="562"/>
      <c r="VGD38" s="562"/>
      <c r="VGE38" s="562"/>
      <c r="VGF38" s="562"/>
      <c r="VGG38" s="562"/>
      <c r="VGH38" s="562"/>
      <c r="VGI38" s="562"/>
      <c r="VGJ38" s="562"/>
      <c r="VGK38" s="562"/>
      <c r="VGL38" s="562"/>
      <c r="VGM38" s="562"/>
      <c r="VGN38" s="562"/>
      <c r="VGO38" s="562"/>
      <c r="VGP38" s="562"/>
      <c r="VGQ38" s="562"/>
      <c r="VGR38" s="562"/>
      <c r="VGS38" s="562"/>
      <c r="VGT38" s="562"/>
      <c r="VGU38" s="562"/>
      <c r="VGV38" s="562"/>
      <c r="VGW38" s="562"/>
      <c r="VGX38" s="562"/>
      <c r="VGY38" s="562"/>
      <c r="VGZ38" s="562"/>
      <c r="VHA38" s="562"/>
      <c r="VHB38" s="562"/>
      <c r="VHC38" s="562"/>
      <c r="VHD38" s="562"/>
      <c r="VHE38" s="562"/>
      <c r="VHF38" s="562"/>
      <c r="VHG38" s="562"/>
      <c r="VHH38" s="562"/>
      <c r="VHI38" s="562"/>
      <c r="VHJ38" s="562"/>
      <c r="VHK38" s="562"/>
      <c r="VHL38" s="562"/>
      <c r="VHM38" s="562"/>
      <c r="VHN38" s="562"/>
      <c r="VHO38" s="562"/>
      <c r="VHP38" s="562"/>
      <c r="VHQ38" s="562"/>
      <c r="VHR38" s="562"/>
      <c r="VHS38" s="562"/>
      <c r="VHT38" s="562"/>
      <c r="VHU38" s="562"/>
      <c r="VHV38" s="562"/>
      <c r="VHW38" s="562"/>
      <c r="VHX38" s="562"/>
      <c r="VHY38" s="562"/>
      <c r="VHZ38" s="562"/>
      <c r="VIA38" s="562"/>
      <c r="VIB38" s="562"/>
      <c r="VIC38" s="562"/>
      <c r="VID38" s="562"/>
      <c r="VIE38" s="562"/>
      <c r="VIF38" s="562"/>
      <c r="VIG38" s="562"/>
      <c r="VIH38" s="562"/>
      <c r="VII38" s="562"/>
      <c r="VIJ38" s="562"/>
      <c r="VIK38" s="562"/>
      <c r="VIL38" s="562"/>
      <c r="VIM38" s="562"/>
      <c r="VIN38" s="562"/>
      <c r="VIO38" s="562"/>
      <c r="VIP38" s="562"/>
      <c r="VIQ38" s="562"/>
      <c r="VIR38" s="562"/>
      <c r="VIS38" s="562"/>
      <c r="VIT38" s="562"/>
      <c r="VIU38" s="562"/>
      <c r="VIV38" s="562"/>
      <c r="VIW38" s="562"/>
      <c r="VIX38" s="562"/>
      <c r="VIY38" s="562"/>
      <c r="VIZ38" s="562"/>
      <c r="VJA38" s="562"/>
      <c r="VJB38" s="562"/>
      <c r="VJC38" s="562"/>
      <c r="VJD38" s="562"/>
      <c r="VJE38" s="562"/>
      <c r="VJF38" s="562"/>
      <c r="VJG38" s="562"/>
      <c r="VJH38" s="562"/>
      <c r="VJI38" s="562"/>
      <c r="VJJ38" s="562"/>
      <c r="VJK38" s="562"/>
      <c r="VJL38" s="562"/>
      <c r="VJM38" s="562"/>
      <c r="VJN38" s="562"/>
      <c r="VJO38" s="562"/>
      <c r="VJP38" s="562"/>
      <c r="VJQ38" s="562"/>
      <c r="VJR38" s="562"/>
      <c r="VJS38" s="562"/>
      <c r="VJT38" s="562"/>
      <c r="VJU38" s="562"/>
      <c r="VJV38" s="562"/>
      <c r="VJW38" s="562"/>
      <c r="VJX38" s="562"/>
      <c r="VJY38" s="562"/>
      <c r="VJZ38" s="562"/>
      <c r="VKA38" s="562"/>
      <c r="VKB38" s="562"/>
      <c r="VKC38" s="562"/>
      <c r="VKD38" s="562"/>
      <c r="VKE38" s="562"/>
      <c r="VKF38" s="562"/>
      <c r="VKG38" s="562"/>
      <c r="VKH38" s="562"/>
      <c r="VKI38" s="562"/>
      <c r="VKJ38" s="562"/>
      <c r="VKK38" s="562"/>
      <c r="VKL38" s="562"/>
      <c r="VKM38" s="562"/>
      <c r="VKN38" s="562"/>
      <c r="VKO38" s="562"/>
      <c r="VKP38" s="562"/>
      <c r="VKQ38" s="562"/>
      <c r="VKR38" s="562"/>
      <c r="VKS38" s="562"/>
      <c r="VKT38" s="562"/>
      <c r="VKU38" s="562"/>
      <c r="VKV38" s="562"/>
      <c r="VKW38" s="562"/>
      <c r="VKX38" s="562"/>
      <c r="VKY38" s="562"/>
      <c r="VKZ38" s="562"/>
      <c r="VLA38" s="562"/>
      <c r="VLB38" s="562"/>
      <c r="VLC38" s="562"/>
      <c r="VLD38" s="562"/>
      <c r="VLE38" s="562"/>
      <c r="VLF38" s="562"/>
      <c r="VLG38" s="562"/>
      <c r="VLH38" s="562"/>
      <c r="VLI38" s="562"/>
      <c r="VLJ38" s="562"/>
      <c r="VLK38" s="562"/>
      <c r="VLL38" s="562"/>
      <c r="VLM38" s="562"/>
      <c r="VLN38" s="562"/>
      <c r="VLO38" s="562"/>
      <c r="VLP38" s="562"/>
      <c r="VLQ38" s="562"/>
      <c r="VLR38" s="562"/>
      <c r="VLS38" s="562"/>
      <c r="VLT38" s="562"/>
      <c r="VLU38" s="562"/>
      <c r="VLV38" s="562"/>
      <c r="VLW38" s="562"/>
      <c r="VLX38" s="562"/>
      <c r="VLY38" s="562"/>
      <c r="VLZ38" s="562"/>
      <c r="VMA38" s="562"/>
      <c r="VMB38" s="562"/>
      <c r="VMC38" s="562"/>
      <c r="VMD38" s="562"/>
      <c r="VME38" s="562"/>
      <c r="VMF38" s="562"/>
      <c r="VMG38" s="562"/>
      <c r="VMH38" s="562"/>
      <c r="VMI38" s="562"/>
      <c r="VMJ38" s="562"/>
      <c r="VMK38" s="562"/>
      <c r="VML38" s="562"/>
      <c r="VMM38" s="562"/>
      <c r="VMN38" s="562"/>
      <c r="VMO38" s="562"/>
      <c r="VMP38" s="562"/>
      <c r="VMQ38" s="562"/>
      <c r="VMR38" s="562"/>
      <c r="VMS38" s="562"/>
      <c r="VMT38" s="562"/>
      <c r="VMU38" s="562"/>
      <c r="VMV38" s="562"/>
      <c r="VMW38" s="562"/>
      <c r="VMX38" s="562"/>
      <c r="VMY38" s="562"/>
      <c r="VMZ38" s="562"/>
      <c r="VNA38" s="562"/>
      <c r="VNB38" s="562"/>
      <c r="VNC38" s="562"/>
      <c r="VND38" s="562"/>
      <c r="VNE38" s="562"/>
      <c r="VNF38" s="562"/>
      <c r="VNG38" s="562"/>
      <c r="VNH38" s="562"/>
      <c r="VNI38" s="562"/>
      <c r="VNJ38" s="562"/>
      <c r="VNK38" s="562"/>
      <c r="VNL38" s="562"/>
      <c r="VNM38" s="562"/>
      <c r="VNN38" s="562"/>
      <c r="VNO38" s="562"/>
      <c r="VNP38" s="562"/>
      <c r="VNQ38" s="562"/>
      <c r="VNR38" s="562"/>
      <c r="VNS38" s="562"/>
      <c r="VNT38" s="562"/>
      <c r="VNU38" s="562"/>
      <c r="VNV38" s="562"/>
      <c r="VNW38" s="562"/>
      <c r="VNX38" s="562"/>
      <c r="VNY38" s="562"/>
      <c r="VNZ38" s="562"/>
      <c r="VOA38" s="562"/>
      <c r="VOB38" s="562"/>
      <c r="VOC38" s="562"/>
      <c r="VOD38" s="562"/>
      <c r="VOE38" s="562"/>
      <c r="VOF38" s="562"/>
      <c r="VOG38" s="562"/>
      <c r="VOH38" s="562"/>
      <c r="VOI38" s="562"/>
      <c r="VOJ38" s="562"/>
      <c r="VOK38" s="562"/>
      <c r="VOL38" s="562"/>
      <c r="VOM38" s="562"/>
      <c r="VON38" s="562"/>
      <c r="VOO38" s="562"/>
      <c r="VOP38" s="562"/>
      <c r="VOQ38" s="562"/>
      <c r="VOR38" s="562"/>
      <c r="VOS38" s="562"/>
      <c r="VOT38" s="562"/>
      <c r="VOU38" s="562"/>
      <c r="VOV38" s="562"/>
      <c r="VOW38" s="562"/>
      <c r="VOX38" s="562"/>
      <c r="VOY38" s="562"/>
      <c r="VOZ38" s="562"/>
      <c r="VPA38" s="562"/>
      <c r="VPB38" s="562"/>
      <c r="VPC38" s="562"/>
      <c r="VPD38" s="562"/>
      <c r="VPE38" s="562"/>
      <c r="VPF38" s="562"/>
      <c r="VPG38" s="562"/>
      <c r="VPH38" s="562"/>
      <c r="VPI38" s="562"/>
      <c r="VPJ38" s="562"/>
      <c r="VPK38" s="562"/>
      <c r="VPL38" s="562"/>
      <c r="VPM38" s="562"/>
      <c r="VPN38" s="562"/>
      <c r="VPO38" s="562"/>
      <c r="VPP38" s="562"/>
      <c r="VPQ38" s="562"/>
      <c r="VPR38" s="562"/>
      <c r="VPS38" s="562"/>
      <c r="VPT38" s="562"/>
      <c r="VPU38" s="562"/>
      <c r="VPV38" s="562"/>
      <c r="VPW38" s="562"/>
      <c r="VPX38" s="562"/>
      <c r="VPY38" s="562"/>
      <c r="VPZ38" s="562"/>
      <c r="VQA38" s="562"/>
      <c r="VQB38" s="562"/>
      <c r="VQC38" s="562"/>
      <c r="VQD38" s="562"/>
      <c r="VQE38" s="562"/>
      <c r="VQF38" s="562"/>
      <c r="VQG38" s="562"/>
      <c r="VQH38" s="562"/>
      <c r="VQI38" s="562"/>
      <c r="VQJ38" s="562"/>
      <c r="VQK38" s="562"/>
      <c r="VQL38" s="562"/>
      <c r="VQM38" s="562"/>
      <c r="VQN38" s="562"/>
      <c r="VQO38" s="562"/>
      <c r="VQP38" s="562"/>
      <c r="VQQ38" s="562"/>
      <c r="VQR38" s="562"/>
      <c r="VQS38" s="562"/>
      <c r="VQT38" s="562"/>
      <c r="VQU38" s="562"/>
      <c r="VQV38" s="562"/>
      <c r="VQW38" s="562"/>
      <c r="VQX38" s="562"/>
      <c r="VQY38" s="562"/>
      <c r="VQZ38" s="562"/>
      <c r="VRA38" s="562"/>
      <c r="VRB38" s="562"/>
      <c r="VRC38" s="562"/>
      <c r="VRD38" s="562"/>
      <c r="VRE38" s="562"/>
      <c r="VRF38" s="562"/>
      <c r="VRG38" s="562"/>
      <c r="VRH38" s="562"/>
      <c r="VRI38" s="562"/>
      <c r="VRJ38" s="562"/>
      <c r="VRK38" s="562"/>
      <c r="VRL38" s="562"/>
      <c r="VRM38" s="562"/>
      <c r="VRN38" s="562"/>
      <c r="VRO38" s="562"/>
      <c r="VRP38" s="562"/>
      <c r="VRQ38" s="562"/>
      <c r="VRR38" s="562"/>
      <c r="VRS38" s="562"/>
      <c r="VRT38" s="562"/>
      <c r="VRU38" s="562"/>
      <c r="VRV38" s="562"/>
      <c r="VRW38" s="562"/>
      <c r="VRX38" s="562"/>
      <c r="VRY38" s="562"/>
      <c r="VRZ38" s="562"/>
      <c r="VSA38" s="562"/>
      <c r="VSB38" s="562"/>
      <c r="VSC38" s="562"/>
      <c r="VSD38" s="562"/>
      <c r="VSE38" s="562"/>
      <c r="VSF38" s="562"/>
      <c r="VSG38" s="562"/>
      <c r="VSH38" s="562"/>
      <c r="VSI38" s="562"/>
      <c r="VSJ38" s="562"/>
      <c r="VSK38" s="562"/>
      <c r="VSL38" s="562"/>
      <c r="VSM38" s="562"/>
      <c r="VSN38" s="562"/>
      <c r="VSO38" s="562"/>
      <c r="VSP38" s="562"/>
      <c r="VSQ38" s="562"/>
      <c r="VSR38" s="562"/>
      <c r="VSS38" s="562"/>
      <c r="VST38" s="562"/>
      <c r="VSU38" s="562"/>
      <c r="VSV38" s="562"/>
      <c r="VSW38" s="562"/>
      <c r="VSX38" s="562"/>
      <c r="VSY38" s="562"/>
      <c r="VSZ38" s="562"/>
      <c r="VTA38" s="562"/>
      <c r="VTB38" s="562"/>
      <c r="VTC38" s="562"/>
      <c r="VTD38" s="562"/>
      <c r="VTE38" s="562"/>
      <c r="VTF38" s="562"/>
      <c r="VTG38" s="562"/>
      <c r="VTH38" s="562"/>
      <c r="VTI38" s="562"/>
      <c r="VTJ38" s="562"/>
      <c r="VTK38" s="562"/>
      <c r="VTL38" s="562"/>
      <c r="VTM38" s="562"/>
      <c r="VTN38" s="562"/>
      <c r="VTO38" s="562"/>
      <c r="VTP38" s="562"/>
      <c r="VTQ38" s="562"/>
      <c r="VTR38" s="562"/>
      <c r="VTS38" s="562"/>
      <c r="VTT38" s="562"/>
      <c r="VTU38" s="562"/>
      <c r="VTV38" s="562"/>
      <c r="VTW38" s="562"/>
      <c r="VTX38" s="562"/>
      <c r="VTY38" s="562"/>
      <c r="VTZ38" s="562"/>
      <c r="VUA38" s="562"/>
      <c r="VUB38" s="562"/>
      <c r="VUC38" s="562"/>
      <c r="VUD38" s="562"/>
      <c r="VUE38" s="562"/>
      <c r="VUF38" s="562"/>
      <c r="VUG38" s="562"/>
      <c r="VUH38" s="562"/>
      <c r="VUI38" s="562"/>
      <c r="VUJ38" s="562"/>
      <c r="VUK38" s="562"/>
      <c r="VUL38" s="562"/>
      <c r="VUM38" s="562"/>
      <c r="VUN38" s="562"/>
      <c r="VUO38" s="562"/>
      <c r="VUP38" s="562"/>
      <c r="VUQ38" s="562"/>
      <c r="VUR38" s="562"/>
      <c r="VUS38" s="562"/>
      <c r="VUT38" s="562"/>
      <c r="VUU38" s="562"/>
      <c r="VUV38" s="562"/>
      <c r="VUW38" s="562"/>
      <c r="VUX38" s="562"/>
      <c r="VUY38" s="562"/>
      <c r="VUZ38" s="562"/>
      <c r="VVA38" s="562"/>
      <c r="VVB38" s="562"/>
      <c r="VVC38" s="562"/>
      <c r="VVD38" s="562"/>
      <c r="VVE38" s="562"/>
      <c r="VVF38" s="562"/>
      <c r="VVG38" s="562"/>
      <c r="VVH38" s="562"/>
      <c r="VVI38" s="562"/>
      <c r="VVJ38" s="562"/>
      <c r="VVK38" s="562"/>
      <c r="VVL38" s="562"/>
      <c r="VVM38" s="562"/>
      <c r="VVN38" s="562"/>
      <c r="VVO38" s="562"/>
      <c r="VVP38" s="562"/>
      <c r="VVQ38" s="562"/>
      <c r="VVR38" s="562"/>
      <c r="VVS38" s="562"/>
      <c r="VVT38" s="562"/>
      <c r="VVU38" s="562"/>
      <c r="VVV38" s="562"/>
      <c r="VVW38" s="562"/>
      <c r="VVX38" s="562"/>
      <c r="VVY38" s="562"/>
      <c r="VVZ38" s="562"/>
      <c r="VWA38" s="562"/>
      <c r="VWB38" s="562"/>
      <c r="VWC38" s="562"/>
      <c r="VWD38" s="562"/>
      <c r="VWE38" s="562"/>
      <c r="VWF38" s="562"/>
      <c r="VWG38" s="562"/>
      <c r="VWH38" s="562"/>
      <c r="VWI38" s="562"/>
      <c r="VWJ38" s="562"/>
      <c r="VWK38" s="562"/>
      <c r="VWL38" s="562"/>
      <c r="VWM38" s="562"/>
      <c r="VWN38" s="562"/>
      <c r="VWO38" s="562"/>
      <c r="VWP38" s="562"/>
      <c r="VWQ38" s="562"/>
      <c r="VWR38" s="562"/>
      <c r="VWS38" s="562"/>
      <c r="VWT38" s="562"/>
      <c r="VWU38" s="562"/>
      <c r="VWV38" s="562"/>
      <c r="VWW38" s="562"/>
      <c r="VWX38" s="562"/>
      <c r="VWY38" s="562"/>
      <c r="VWZ38" s="562"/>
      <c r="VXA38" s="562"/>
      <c r="VXB38" s="562"/>
      <c r="VXC38" s="562"/>
      <c r="VXD38" s="562"/>
      <c r="VXE38" s="562"/>
      <c r="VXF38" s="562"/>
      <c r="VXG38" s="562"/>
      <c r="VXH38" s="562"/>
      <c r="VXI38" s="562"/>
      <c r="VXJ38" s="562"/>
      <c r="VXK38" s="562"/>
      <c r="VXL38" s="562"/>
      <c r="VXM38" s="562"/>
      <c r="VXN38" s="562"/>
      <c r="VXO38" s="562"/>
      <c r="VXP38" s="562"/>
      <c r="VXQ38" s="562"/>
      <c r="VXR38" s="562"/>
      <c r="VXS38" s="562"/>
      <c r="VXT38" s="562"/>
      <c r="VXU38" s="562"/>
      <c r="VXV38" s="562"/>
      <c r="VXW38" s="562"/>
      <c r="VXX38" s="562"/>
      <c r="VXY38" s="562"/>
      <c r="VXZ38" s="562"/>
      <c r="VYA38" s="562"/>
      <c r="VYB38" s="562"/>
      <c r="VYC38" s="562"/>
      <c r="VYD38" s="562"/>
      <c r="VYE38" s="562"/>
      <c r="VYF38" s="562"/>
      <c r="VYG38" s="562"/>
      <c r="VYH38" s="562"/>
      <c r="VYI38" s="562"/>
      <c r="VYJ38" s="562"/>
      <c r="VYK38" s="562"/>
      <c r="VYL38" s="562"/>
      <c r="VYM38" s="562"/>
      <c r="VYN38" s="562"/>
      <c r="VYO38" s="562"/>
      <c r="VYP38" s="562"/>
      <c r="VYQ38" s="562"/>
      <c r="VYR38" s="562"/>
      <c r="VYS38" s="562"/>
      <c r="VYT38" s="562"/>
      <c r="VYU38" s="562"/>
      <c r="VYV38" s="562"/>
      <c r="VYW38" s="562"/>
      <c r="VYX38" s="562"/>
      <c r="VYY38" s="562"/>
      <c r="VYZ38" s="562"/>
      <c r="VZA38" s="562"/>
      <c r="VZB38" s="562"/>
      <c r="VZC38" s="562"/>
      <c r="VZD38" s="562"/>
      <c r="VZE38" s="562"/>
      <c r="VZF38" s="562"/>
      <c r="VZG38" s="562"/>
      <c r="VZH38" s="562"/>
      <c r="VZI38" s="562"/>
      <c r="VZJ38" s="562"/>
      <c r="VZK38" s="562"/>
      <c r="VZL38" s="562"/>
      <c r="VZM38" s="562"/>
      <c r="VZN38" s="562"/>
      <c r="VZO38" s="562"/>
      <c r="VZP38" s="562"/>
      <c r="VZQ38" s="562"/>
      <c r="VZR38" s="562"/>
      <c r="VZS38" s="562"/>
      <c r="VZT38" s="562"/>
      <c r="VZU38" s="562"/>
      <c r="VZV38" s="562"/>
      <c r="VZW38" s="562"/>
      <c r="VZX38" s="562"/>
      <c r="VZY38" s="562"/>
      <c r="VZZ38" s="562"/>
      <c r="WAA38" s="562"/>
      <c r="WAB38" s="562"/>
      <c r="WAC38" s="562"/>
      <c r="WAD38" s="562"/>
      <c r="WAE38" s="562"/>
      <c r="WAF38" s="562"/>
      <c r="WAG38" s="562"/>
      <c r="WAH38" s="562"/>
      <c r="WAI38" s="562"/>
      <c r="WAJ38" s="562"/>
      <c r="WAK38" s="562"/>
      <c r="WAL38" s="562"/>
      <c r="WAM38" s="562"/>
      <c r="WAN38" s="562"/>
      <c r="WAO38" s="562"/>
      <c r="WAP38" s="562"/>
      <c r="WAQ38" s="562"/>
      <c r="WAR38" s="562"/>
      <c r="WAS38" s="562"/>
      <c r="WAT38" s="562"/>
      <c r="WAU38" s="562"/>
      <c r="WAV38" s="562"/>
      <c r="WAW38" s="562"/>
      <c r="WAX38" s="562"/>
      <c r="WAY38" s="562"/>
      <c r="WAZ38" s="562"/>
      <c r="WBA38" s="562"/>
      <c r="WBB38" s="562"/>
      <c r="WBC38" s="562"/>
      <c r="WBD38" s="562"/>
      <c r="WBE38" s="562"/>
      <c r="WBF38" s="562"/>
      <c r="WBG38" s="562"/>
      <c r="WBH38" s="562"/>
      <c r="WBI38" s="562"/>
      <c r="WBJ38" s="562"/>
      <c r="WBK38" s="562"/>
      <c r="WBL38" s="562"/>
      <c r="WBM38" s="562"/>
      <c r="WBN38" s="562"/>
      <c r="WBO38" s="562"/>
      <c r="WBP38" s="562"/>
      <c r="WBQ38" s="562"/>
      <c r="WBR38" s="562"/>
      <c r="WBS38" s="562"/>
      <c r="WBT38" s="562"/>
      <c r="WBU38" s="562"/>
      <c r="WBV38" s="562"/>
      <c r="WBW38" s="562"/>
      <c r="WBX38" s="562"/>
      <c r="WBY38" s="562"/>
      <c r="WBZ38" s="562"/>
      <c r="WCA38" s="562"/>
      <c r="WCB38" s="562"/>
      <c r="WCC38" s="562"/>
      <c r="WCD38" s="562"/>
      <c r="WCE38" s="562"/>
      <c r="WCF38" s="562"/>
      <c r="WCG38" s="562"/>
      <c r="WCH38" s="562"/>
      <c r="WCI38" s="562"/>
      <c r="WCJ38" s="562"/>
      <c r="WCK38" s="562"/>
      <c r="WCL38" s="562"/>
      <c r="WCM38" s="562"/>
      <c r="WCN38" s="562"/>
      <c r="WCO38" s="562"/>
      <c r="WCP38" s="562"/>
      <c r="WCQ38" s="562"/>
      <c r="WCR38" s="562"/>
      <c r="WCS38" s="562"/>
      <c r="WCT38" s="562"/>
      <c r="WCU38" s="562"/>
      <c r="WCV38" s="562"/>
      <c r="WCW38" s="562"/>
      <c r="WCX38" s="562"/>
      <c r="WCY38" s="562"/>
      <c r="WCZ38" s="562"/>
      <c r="WDA38" s="562"/>
      <c r="WDB38" s="562"/>
      <c r="WDC38" s="562"/>
      <c r="WDD38" s="562"/>
      <c r="WDE38" s="562"/>
      <c r="WDF38" s="562"/>
      <c r="WDG38" s="562"/>
      <c r="WDH38" s="562"/>
      <c r="WDI38" s="562"/>
      <c r="WDJ38" s="562"/>
      <c r="WDK38" s="562"/>
      <c r="WDL38" s="562"/>
      <c r="WDM38" s="562"/>
      <c r="WDN38" s="562"/>
      <c r="WDO38" s="562"/>
      <c r="WDP38" s="562"/>
      <c r="WDQ38" s="562"/>
      <c r="WDR38" s="562"/>
      <c r="WDS38" s="562"/>
      <c r="WDT38" s="562"/>
      <c r="WDU38" s="562"/>
      <c r="WDV38" s="562"/>
      <c r="WDW38" s="562"/>
      <c r="WDX38" s="562"/>
      <c r="WDY38" s="562"/>
      <c r="WDZ38" s="562"/>
      <c r="WEA38" s="562"/>
      <c r="WEB38" s="562"/>
      <c r="WEC38" s="562"/>
      <c r="WED38" s="562"/>
      <c r="WEE38" s="562"/>
      <c r="WEF38" s="562"/>
      <c r="WEG38" s="562"/>
      <c r="WEH38" s="562"/>
      <c r="WEI38" s="562"/>
      <c r="WEJ38" s="562"/>
      <c r="WEK38" s="562"/>
      <c r="WEL38" s="562"/>
      <c r="WEM38" s="562"/>
      <c r="WEN38" s="562"/>
      <c r="WEO38" s="562"/>
      <c r="WEP38" s="562"/>
      <c r="WEQ38" s="562"/>
      <c r="WER38" s="562"/>
      <c r="WES38" s="562"/>
      <c r="WET38" s="562"/>
      <c r="WEU38" s="562"/>
      <c r="WEV38" s="562"/>
      <c r="WEW38" s="562"/>
      <c r="WEX38" s="562"/>
      <c r="WEY38" s="562"/>
      <c r="WEZ38" s="562"/>
      <c r="WFA38" s="562"/>
      <c r="WFB38" s="562"/>
      <c r="WFC38" s="562"/>
      <c r="WFD38" s="562"/>
      <c r="WFE38" s="562"/>
      <c r="WFF38" s="562"/>
      <c r="WFG38" s="562"/>
      <c r="WFH38" s="562"/>
      <c r="WFI38" s="562"/>
      <c r="WFJ38" s="562"/>
      <c r="WFK38" s="562"/>
      <c r="WFL38" s="562"/>
      <c r="WFM38" s="562"/>
      <c r="WFN38" s="562"/>
      <c r="WFO38" s="562"/>
      <c r="WFP38" s="562"/>
      <c r="WFQ38" s="562"/>
      <c r="WFR38" s="562"/>
      <c r="WFS38" s="562"/>
      <c r="WFT38" s="562"/>
      <c r="WFU38" s="562"/>
      <c r="WFV38" s="562"/>
      <c r="WFW38" s="562"/>
      <c r="WFX38" s="562"/>
      <c r="WFY38" s="562"/>
      <c r="WFZ38" s="562"/>
      <c r="WGA38" s="562"/>
      <c r="WGB38" s="562"/>
      <c r="WGC38" s="562"/>
      <c r="WGD38" s="562"/>
      <c r="WGE38" s="562"/>
      <c r="WGF38" s="562"/>
      <c r="WGG38" s="562"/>
      <c r="WGH38" s="562"/>
      <c r="WGI38" s="562"/>
      <c r="WGJ38" s="562"/>
      <c r="WGK38" s="562"/>
      <c r="WGL38" s="562"/>
      <c r="WGM38" s="562"/>
      <c r="WGN38" s="562"/>
      <c r="WGO38" s="562"/>
      <c r="WGP38" s="562"/>
      <c r="WGQ38" s="562"/>
      <c r="WGR38" s="562"/>
      <c r="WGS38" s="562"/>
      <c r="WGT38" s="562"/>
      <c r="WGU38" s="562"/>
      <c r="WGV38" s="562"/>
      <c r="WGW38" s="562"/>
      <c r="WGX38" s="562"/>
      <c r="WGY38" s="562"/>
      <c r="WGZ38" s="562"/>
      <c r="WHA38" s="562"/>
      <c r="WHB38" s="562"/>
      <c r="WHC38" s="562"/>
      <c r="WHD38" s="562"/>
      <c r="WHE38" s="562"/>
      <c r="WHF38" s="562"/>
      <c r="WHG38" s="562"/>
      <c r="WHH38" s="562"/>
      <c r="WHI38" s="562"/>
      <c r="WHJ38" s="562"/>
      <c r="WHK38" s="562"/>
      <c r="WHL38" s="562"/>
      <c r="WHM38" s="562"/>
      <c r="WHN38" s="562"/>
      <c r="WHO38" s="562"/>
      <c r="WHP38" s="562"/>
      <c r="WHQ38" s="562"/>
      <c r="WHR38" s="562"/>
      <c r="WHS38" s="562"/>
      <c r="WHT38" s="562"/>
      <c r="WHU38" s="562"/>
      <c r="WHV38" s="562"/>
      <c r="WHW38" s="562"/>
      <c r="WHX38" s="562"/>
      <c r="WHY38" s="562"/>
      <c r="WHZ38" s="562"/>
      <c r="WIA38" s="562"/>
      <c r="WIB38" s="562"/>
      <c r="WIC38" s="562"/>
      <c r="WID38" s="562"/>
      <c r="WIE38" s="562"/>
      <c r="WIF38" s="562"/>
      <c r="WIG38" s="562"/>
      <c r="WIH38" s="562"/>
      <c r="WII38" s="562"/>
      <c r="WIJ38" s="562"/>
      <c r="WIK38" s="562"/>
      <c r="WIL38" s="562"/>
      <c r="WIM38" s="562"/>
      <c r="WIN38" s="562"/>
      <c r="WIO38" s="562"/>
      <c r="WIP38" s="562"/>
      <c r="WIQ38" s="562"/>
      <c r="WIR38" s="562"/>
      <c r="WIS38" s="562"/>
      <c r="WIT38" s="562"/>
      <c r="WIU38" s="562"/>
      <c r="WIV38" s="562"/>
      <c r="WIW38" s="562"/>
      <c r="WIX38" s="562"/>
      <c r="WIY38" s="562"/>
      <c r="WIZ38" s="562"/>
      <c r="WJA38" s="562"/>
      <c r="WJB38" s="562"/>
      <c r="WJC38" s="562"/>
      <c r="WJD38" s="562"/>
      <c r="WJE38" s="562"/>
      <c r="WJF38" s="562"/>
      <c r="WJG38" s="562"/>
      <c r="WJH38" s="562"/>
      <c r="WJI38" s="562"/>
      <c r="WJJ38" s="562"/>
      <c r="WJK38" s="562"/>
      <c r="WJL38" s="562"/>
      <c r="WJM38" s="562"/>
      <c r="WJN38" s="562"/>
      <c r="WJO38" s="562"/>
      <c r="WJP38" s="562"/>
      <c r="WJQ38" s="562"/>
      <c r="WJR38" s="562"/>
      <c r="WJS38" s="562"/>
      <c r="WJT38" s="562"/>
      <c r="WJU38" s="562"/>
      <c r="WJV38" s="562"/>
      <c r="WJW38" s="562"/>
      <c r="WJX38" s="562"/>
      <c r="WJY38" s="562"/>
      <c r="WJZ38" s="562"/>
      <c r="WKA38" s="562"/>
      <c r="WKB38" s="562"/>
      <c r="WKC38" s="562"/>
      <c r="WKD38" s="562"/>
      <c r="WKE38" s="562"/>
      <c r="WKF38" s="562"/>
      <c r="WKG38" s="562"/>
      <c r="WKH38" s="562"/>
      <c r="WKI38" s="562"/>
      <c r="WKJ38" s="562"/>
      <c r="WKK38" s="562"/>
      <c r="WKL38" s="562"/>
      <c r="WKM38" s="562"/>
      <c r="WKN38" s="562"/>
      <c r="WKO38" s="562"/>
      <c r="WKP38" s="562"/>
      <c r="WKQ38" s="562"/>
      <c r="WKR38" s="562"/>
      <c r="WKS38" s="562"/>
      <c r="WKT38" s="562"/>
      <c r="WKU38" s="562"/>
      <c r="WKV38" s="562"/>
      <c r="WKW38" s="562"/>
      <c r="WKX38" s="562"/>
      <c r="WKY38" s="562"/>
      <c r="WKZ38" s="562"/>
      <c r="WLA38" s="562"/>
      <c r="WLB38" s="562"/>
      <c r="WLC38" s="562"/>
      <c r="WLD38" s="562"/>
      <c r="WLE38" s="562"/>
      <c r="WLF38" s="562"/>
      <c r="WLG38" s="562"/>
      <c r="WLH38" s="562"/>
      <c r="WLI38" s="562"/>
      <c r="WLJ38" s="562"/>
      <c r="WLK38" s="562"/>
      <c r="WLL38" s="562"/>
      <c r="WLM38" s="562"/>
      <c r="WLN38" s="562"/>
      <c r="WLO38" s="562"/>
      <c r="WLP38" s="562"/>
      <c r="WLQ38" s="562"/>
      <c r="WLR38" s="562"/>
      <c r="WLS38" s="562"/>
      <c r="WLT38" s="562"/>
      <c r="WLU38" s="562"/>
      <c r="WLV38" s="562"/>
      <c r="WLW38" s="562"/>
      <c r="WLX38" s="562"/>
      <c r="WLY38" s="562"/>
      <c r="WLZ38" s="562"/>
      <c r="WMA38" s="562"/>
      <c r="WMB38" s="562"/>
      <c r="WMC38" s="562"/>
      <c r="WMD38" s="562"/>
      <c r="WME38" s="562"/>
      <c r="WMF38" s="562"/>
      <c r="WMG38" s="562"/>
      <c r="WMH38" s="562"/>
      <c r="WMI38" s="562"/>
      <c r="WMJ38" s="562"/>
      <c r="WMK38" s="562"/>
      <c r="WML38" s="562"/>
      <c r="WMM38" s="562"/>
      <c r="WMN38" s="562"/>
      <c r="WMO38" s="562"/>
      <c r="WMP38" s="562"/>
      <c r="WMQ38" s="562"/>
      <c r="WMR38" s="562"/>
      <c r="WMS38" s="562"/>
      <c r="WMT38" s="562"/>
      <c r="WMU38" s="562"/>
      <c r="WMV38" s="562"/>
      <c r="WMW38" s="562"/>
      <c r="WMX38" s="562"/>
      <c r="WMY38" s="562"/>
      <c r="WMZ38" s="562"/>
      <c r="WNA38" s="562"/>
      <c r="WNB38" s="562"/>
      <c r="WNC38" s="562"/>
      <c r="WND38" s="562"/>
      <c r="WNE38" s="562"/>
      <c r="WNF38" s="562"/>
      <c r="WNG38" s="562"/>
      <c r="WNH38" s="562"/>
      <c r="WNI38" s="562"/>
      <c r="WNJ38" s="562"/>
      <c r="WNK38" s="562"/>
      <c r="WNL38" s="562"/>
      <c r="WNM38" s="562"/>
      <c r="WNN38" s="562"/>
      <c r="WNO38" s="562"/>
      <c r="WNP38" s="562"/>
      <c r="WNQ38" s="562"/>
      <c r="WNR38" s="562"/>
      <c r="WNS38" s="562"/>
      <c r="WNT38" s="562"/>
      <c r="WNU38" s="562"/>
      <c r="WNV38" s="562"/>
      <c r="WNW38" s="562"/>
      <c r="WNX38" s="562"/>
      <c r="WNY38" s="562"/>
      <c r="WNZ38" s="562"/>
      <c r="WOA38" s="562"/>
      <c r="WOB38" s="562"/>
      <c r="WOC38" s="562"/>
      <c r="WOD38" s="562"/>
      <c r="WOE38" s="562"/>
      <c r="WOF38" s="562"/>
      <c r="WOG38" s="562"/>
      <c r="WOH38" s="562"/>
      <c r="WOI38" s="562"/>
      <c r="WOJ38" s="562"/>
      <c r="WOK38" s="562"/>
      <c r="WOL38" s="562"/>
      <c r="WOM38" s="562"/>
      <c r="WON38" s="562"/>
      <c r="WOO38" s="562"/>
      <c r="WOP38" s="562"/>
      <c r="WOQ38" s="562"/>
      <c r="WOR38" s="562"/>
      <c r="WOS38" s="562"/>
      <c r="WOT38" s="562"/>
      <c r="WOU38" s="562"/>
      <c r="WOV38" s="562"/>
      <c r="WOW38" s="562"/>
      <c r="WOX38" s="562"/>
      <c r="WOY38" s="562"/>
      <c r="WOZ38" s="562"/>
      <c r="WPA38" s="562"/>
      <c r="WPB38" s="562"/>
      <c r="WPC38" s="562"/>
      <c r="WPD38" s="562"/>
      <c r="WPE38" s="562"/>
      <c r="WPF38" s="562"/>
      <c r="WPG38" s="562"/>
      <c r="WPH38" s="562"/>
      <c r="WPI38" s="562"/>
      <c r="WPJ38" s="562"/>
      <c r="WPK38" s="562"/>
      <c r="WPL38" s="562"/>
      <c r="WPM38" s="562"/>
      <c r="WPN38" s="562"/>
      <c r="WPO38" s="562"/>
      <c r="WPP38" s="562"/>
      <c r="WPQ38" s="562"/>
      <c r="WPR38" s="562"/>
      <c r="WPS38" s="562"/>
      <c r="WPT38" s="562"/>
      <c r="WPU38" s="562"/>
      <c r="WPV38" s="562"/>
      <c r="WPW38" s="562"/>
      <c r="WPX38" s="562"/>
      <c r="WPY38" s="562"/>
      <c r="WPZ38" s="562"/>
      <c r="WQA38" s="562"/>
      <c r="WQB38" s="562"/>
      <c r="WQC38" s="562"/>
      <c r="WQD38" s="562"/>
      <c r="WQE38" s="562"/>
      <c r="WQF38" s="562"/>
      <c r="WQG38" s="562"/>
      <c r="WQH38" s="562"/>
      <c r="WQI38" s="562"/>
      <c r="WQJ38" s="562"/>
      <c r="WQK38" s="562"/>
      <c r="WQL38" s="562"/>
      <c r="WQM38" s="562"/>
      <c r="WQN38" s="562"/>
      <c r="WQO38" s="562"/>
      <c r="WQP38" s="562"/>
      <c r="WQQ38" s="562"/>
      <c r="WQR38" s="562"/>
      <c r="WQS38" s="562"/>
      <c r="WQT38" s="562"/>
      <c r="WQU38" s="562"/>
      <c r="WQV38" s="562"/>
      <c r="WQW38" s="562"/>
      <c r="WQX38" s="562"/>
      <c r="WQY38" s="562"/>
      <c r="WQZ38" s="562"/>
      <c r="WRA38" s="562"/>
      <c r="WRB38" s="562"/>
      <c r="WRC38" s="562"/>
      <c r="WRD38" s="562"/>
      <c r="WRE38" s="562"/>
      <c r="WRF38" s="562"/>
      <c r="WRG38" s="562"/>
      <c r="WRH38" s="562"/>
      <c r="WRI38" s="562"/>
      <c r="WRJ38" s="562"/>
      <c r="WRK38" s="562"/>
      <c r="WRL38" s="562"/>
      <c r="WRM38" s="562"/>
      <c r="WRN38" s="562"/>
      <c r="WRO38" s="562"/>
      <c r="WRP38" s="562"/>
      <c r="WRQ38" s="562"/>
      <c r="WRR38" s="562"/>
      <c r="WRS38" s="562"/>
      <c r="WRT38" s="562"/>
      <c r="WRU38" s="562"/>
      <c r="WRV38" s="562"/>
      <c r="WRW38" s="562"/>
      <c r="WRX38" s="562"/>
      <c r="WRY38" s="562"/>
      <c r="WRZ38" s="562"/>
      <c r="WSA38" s="562"/>
      <c r="WSB38" s="562"/>
      <c r="WSC38" s="562"/>
      <c r="WSD38" s="562"/>
      <c r="WSE38" s="562"/>
      <c r="WSF38" s="562"/>
      <c r="WSG38" s="562"/>
      <c r="WSH38" s="562"/>
      <c r="WSI38" s="562"/>
      <c r="WSJ38" s="562"/>
      <c r="WSK38" s="562"/>
      <c r="WSL38" s="562"/>
      <c r="WSM38" s="562"/>
      <c r="WSN38" s="562"/>
      <c r="WSO38" s="562"/>
      <c r="WSP38" s="562"/>
      <c r="WSQ38" s="562"/>
      <c r="WSR38" s="562"/>
      <c r="WSS38" s="562"/>
      <c r="WST38" s="562"/>
      <c r="WSU38" s="562"/>
      <c r="WSV38" s="562"/>
      <c r="WSW38" s="562"/>
      <c r="WSX38" s="562"/>
      <c r="WSY38" s="562"/>
      <c r="WSZ38" s="562"/>
      <c r="WTA38" s="562"/>
      <c r="WTB38" s="562"/>
      <c r="WTC38" s="562"/>
      <c r="WTD38" s="562"/>
      <c r="WTE38" s="562"/>
      <c r="WTF38" s="562"/>
      <c r="WTG38" s="562"/>
      <c r="WTH38" s="562"/>
      <c r="WTI38" s="562"/>
      <c r="WTJ38" s="562"/>
      <c r="WTK38" s="562"/>
      <c r="WTL38" s="562"/>
      <c r="WTM38" s="562"/>
      <c r="WTN38" s="562"/>
      <c r="WTO38" s="562"/>
      <c r="WTP38" s="562"/>
      <c r="WTQ38" s="562"/>
      <c r="WTR38" s="562"/>
      <c r="WTS38" s="562"/>
      <c r="WTT38" s="562"/>
      <c r="WTU38" s="562"/>
      <c r="WTV38" s="562"/>
      <c r="WTW38" s="562"/>
      <c r="WTX38" s="562"/>
      <c r="WTY38" s="562"/>
      <c r="WTZ38" s="562"/>
      <c r="WUA38" s="562"/>
      <c r="WUB38" s="562"/>
      <c r="WUC38" s="562"/>
      <c r="WUD38" s="562"/>
      <c r="WUE38" s="562"/>
      <c r="WUF38" s="562"/>
      <c r="WUG38" s="562"/>
      <c r="WUH38" s="562"/>
      <c r="WUI38" s="562"/>
      <c r="WUJ38" s="562"/>
      <c r="WUK38" s="562"/>
      <c r="WUL38" s="562"/>
      <c r="WUM38" s="562"/>
      <c r="WUN38" s="562"/>
      <c r="WUO38" s="562"/>
      <c r="WUP38" s="562"/>
      <c r="WUQ38" s="562"/>
      <c r="WUR38" s="562"/>
      <c r="WUS38" s="562"/>
      <c r="WUT38" s="562"/>
      <c r="WUU38" s="562"/>
      <c r="WUV38" s="562"/>
      <c r="WUW38" s="562"/>
      <c r="WUX38" s="562"/>
      <c r="WUY38" s="562"/>
      <c r="WUZ38" s="562"/>
      <c r="WVA38" s="562"/>
      <c r="WVB38" s="562"/>
      <c r="WVC38" s="562"/>
      <c r="WVD38" s="562"/>
      <c r="WVE38" s="562"/>
      <c r="WVF38" s="562"/>
      <c r="WVG38" s="562"/>
      <c r="WVH38" s="562"/>
      <c r="WVI38" s="562"/>
      <c r="WVJ38" s="562"/>
      <c r="WVK38" s="562"/>
      <c r="WVL38" s="562"/>
      <c r="WVM38" s="562"/>
      <c r="WVN38" s="562"/>
      <c r="WVO38" s="562"/>
      <c r="WVP38" s="562"/>
      <c r="WVQ38" s="562"/>
      <c r="WVR38" s="562"/>
      <c r="WVS38" s="562"/>
      <c r="WVT38" s="562"/>
      <c r="WVU38" s="562"/>
      <c r="WVV38" s="562"/>
      <c r="WVW38" s="562"/>
      <c r="WVX38" s="562"/>
      <c r="WVY38" s="562"/>
      <c r="WVZ38" s="562"/>
      <c r="WWA38" s="562"/>
      <c r="WWB38" s="562"/>
      <c r="WWC38" s="562"/>
      <c r="WWD38" s="562"/>
      <c r="WWE38" s="562"/>
      <c r="WWF38" s="562"/>
      <c r="WWG38" s="562"/>
      <c r="WWH38" s="562"/>
      <c r="WWI38" s="562"/>
      <c r="WWJ38" s="562"/>
      <c r="WWK38" s="562"/>
      <c r="WWL38" s="562"/>
      <c r="WWM38" s="562"/>
      <c r="WWN38" s="562"/>
      <c r="WWO38" s="562"/>
      <c r="WWP38" s="562"/>
      <c r="WWQ38" s="562"/>
      <c r="WWR38" s="562"/>
      <c r="WWS38" s="562"/>
      <c r="WWT38" s="562"/>
      <c r="WWU38" s="562"/>
      <c r="WWV38" s="562"/>
      <c r="WWW38" s="562"/>
      <c r="WWX38" s="562"/>
      <c r="WWY38" s="562"/>
      <c r="WWZ38" s="562"/>
      <c r="WXA38" s="562"/>
      <c r="WXB38" s="562"/>
      <c r="WXC38" s="562"/>
      <c r="WXD38" s="562"/>
      <c r="WXE38" s="562"/>
      <c r="WXF38" s="562"/>
      <c r="WXG38" s="562"/>
      <c r="WXH38" s="562"/>
      <c r="WXI38" s="562"/>
      <c r="WXJ38" s="562"/>
      <c r="WXK38" s="562"/>
      <c r="WXL38" s="562"/>
      <c r="WXM38" s="562"/>
      <c r="WXN38" s="562"/>
      <c r="WXO38" s="562"/>
      <c r="WXP38" s="562"/>
      <c r="WXQ38" s="562"/>
      <c r="WXR38" s="562"/>
      <c r="WXS38" s="562"/>
      <c r="WXT38" s="562"/>
      <c r="WXU38" s="562"/>
      <c r="WXV38" s="562"/>
      <c r="WXW38" s="562"/>
      <c r="WXX38" s="562"/>
      <c r="WXY38" s="562"/>
      <c r="WXZ38" s="562"/>
      <c r="WYA38" s="562"/>
      <c r="WYB38" s="562"/>
      <c r="WYC38" s="562"/>
      <c r="WYD38" s="562"/>
      <c r="WYE38" s="562"/>
      <c r="WYF38" s="562"/>
      <c r="WYG38" s="562"/>
      <c r="WYH38" s="562"/>
      <c r="WYI38" s="562"/>
      <c r="WYJ38" s="562"/>
      <c r="WYK38" s="562"/>
      <c r="WYL38" s="562"/>
      <c r="WYM38" s="562"/>
      <c r="WYN38" s="562"/>
      <c r="WYO38" s="562"/>
      <c r="WYP38" s="562"/>
      <c r="WYQ38" s="562"/>
      <c r="WYR38" s="562"/>
      <c r="WYS38" s="562"/>
      <c r="WYT38" s="562"/>
      <c r="WYU38" s="562"/>
      <c r="WYV38" s="562"/>
      <c r="WYW38" s="562"/>
      <c r="WYX38" s="562"/>
      <c r="WYY38" s="562"/>
      <c r="WYZ38" s="562"/>
      <c r="WZA38" s="562"/>
      <c r="WZB38" s="562"/>
      <c r="WZC38" s="562"/>
      <c r="WZD38" s="562"/>
      <c r="WZE38" s="562"/>
      <c r="WZF38" s="562"/>
      <c r="WZG38" s="562"/>
      <c r="WZH38" s="562"/>
      <c r="WZI38" s="562"/>
      <c r="WZJ38" s="562"/>
      <c r="WZK38" s="562"/>
      <c r="WZL38" s="562"/>
      <c r="WZM38" s="562"/>
      <c r="WZN38" s="562"/>
      <c r="WZO38" s="562"/>
      <c r="WZP38" s="562"/>
      <c r="WZQ38" s="562"/>
      <c r="WZR38" s="562"/>
      <c r="WZS38" s="562"/>
      <c r="WZT38" s="562"/>
      <c r="WZU38" s="562"/>
      <c r="WZV38" s="562"/>
      <c r="WZW38" s="562"/>
      <c r="WZX38" s="562"/>
      <c r="WZY38" s="562"/>
      <c r="WZZ38" s="562"/>
      <c r="XAA38" s="562"/>
      <c r="XAB38" s="562"/>
      <c r="XAC38" s="562"/>
      <c r="XAD38" s="562"/>
      <c r="XAE38" s="562"/>
      <c r="XAF38" s="562"/>
      <c r="XAG38" s="562"/>
      <c r="XAH38" s="562"/>
      <c r="XAI38" s="562"/>
      <c r="XAJ38" s="562"/>
      <c r="XAK38" s="562"/>
      <c r="XAL38" s="562"/>
      <c r="XAM38" s="562"/>
      <c r="XAN38" s="562"/>
      <c r="XAO38" s="562"/>
      <c r="XAP38" s="562"/>
      <c r="XAQ38" s="562"/>
      <c r="XAR38" s="562"/>
      <c r="XAS38" s="562"/>
      <c r="XAT38" s="562"/>
      <c r="XAU38" s="562"/>
      <c r="XAV38" s="562"/>
      <c r="XAW38" s="562"/>
      <c r="XAX38" s="562"/>
      <c r="XAY38" s="562"/>
      <c r="XAZ38" s="562"/>
      <c r="XBA38" s="562"/>
      <c r="XBB38" s="562"/>
      <c r="XBC38" s="562"/>
      <c r="XBD38" s="562"/>
      <c r="XBE38" s="562"/>
      <c r="XBF38" s="562"/>
      <c r="XBG38" s="562"/>
      <c r="XBH38" s="562"/>
      <c r="XBI38" s="562"/>
      <c r="XBJ38" s="562"/>
      <c r="XBK38" s="562"/>
      <c r="XBL38" s="562"/>
      <c r="XBM38" s="562"/>
      <c r="XBN38" s="562"/>
      <c r="XBO38" s="562"/>
      <c r="XBP38" s="562"/>
      <c r="XBQ38" s="562"/>
      <c r="XBR38" s="562"/>
      <c r="XBS38" s="562"/>
      <c r="XBT38" s="562"/>
      <c r="XBU38" s="562"/>
      <c r="XBV38" s="562"/>
      <c r="XBW38" s="562"/>
      <c r="XBX38" s="562"/>
      <c r="XBY38" s="562"/>
      <c r="XBZ38" s="562"/>
      <c r="XCA38" s="562"/>
      <c r="XCB38" s="562"/>
      <c r="XCC38" s="562"/>
      <c r="XCD38" s="562"/>
      <c r="XCE38" s="562"/>
      <c r="XCF38" s="562"/>
      <c r="XCG38" s="562"/>
      <c r="XCH38" s="562"/>
      <c r="XCI38" s="562"/>
      <c r="XCJ38" s="562"/>
      <c r="XCK38" s="562"/>
      <c r="XCL38" s="562"/>
      <c r="XCM38" s="562"/>
      <c r="XCN38" s="562"/>
      <c r="XCO38" s="562"/>
      <c r="XCP38" s="562"/>
      <c r="XCQ38" s="562"/>
      <c r="XCR38" s="562"/>
      <c r="XCS38" s="562"/>
      <c r="XCT38" s="562"/>
      <c r="XCU38" s="562"/>
      <c r="XCV38" s="562"/>
      <c r="XCW38" s="562"/>
      <c r="XCX38" s="562"/>
      <c r="XCY38" s="562"/>
      <c r="XCZ38" s="562"/>
      <c r="XDA38" s="562"/>
      <c r="XDB38" s="562"/>
      <c r="XDC38" s="562"/>
      <c r="XDD38" s="562"/>
      <c r="XDE38" s="562"/>
      <c r="XDF38" s="562"/>
      <c r="XDG38" s="562"/>
      <c r="XDH38" s="562"/>
      <c r="XDI38" s="562"/>
      <c r="XDJ38" s="562"/>
      <c r="XDK38" s="562"/>
      <c r="XDL38" s="562"/>
      <c r="XDM38" s="562"/>
      <c r="XDN38" s="562"/>
      <c r="XDO38" s="562"/>
      <c r="XDP38" s="562"/>
      <c r="XDQ38" s="562"/>
      <c r="XDR38" s="562"/>
      <c r="XDS38" s="562"/>
      <c r="XDT38" s="562"/>
      <c r="XDU38" s="562"/>
      <c r="XDV38" s="562"/>
      <c r="XDW38" s="562"/>
      <c r="XDX38" s="562"/>
      <c r="XDY38" s="562"/>
      <c r="XDZ38" s="562"/>
      <c r="XEA38" s="562"/>
      <c r="XEB38" s="562"/>
      <c r="XEC38" s="562"/>
      <c r="XED38" s="562"/>
      <c r="XEE38" s="562"/>
      <c r="XEF38" s="562"/>
      <c r="XEG38" s="562"/>
      <c r="XEH38" s="562"/>
      <c r="XEI38" s="562"/>
      <c r="XEJ38" s="562"/>
      <c r="XEK38" s="562"/>
      <c r="XEL38" s="562"/>
      <c r="XEM38" s="562"/>
      <c r="XEN38" s="558"/>
      <c r="XEO38" s="558"/>
      <c r="XEP38" s="558"/>
      <c r="XEQ38" s="558"/>
      <c r="XER38" s="559"/>
      <c r="XES38" s="558"/>
      <c r="XET38" s="558"/>
      <c r="XEU38" s="561"/>
      <c r="XEV38" s="562"/>
      <c r="XEW38" s="653"/>
    </row>
    <row r="39" spans="1:16377" s="573" customFormat="1">
      <c r="A39" s="570" t="s">
        <v>72</v>
      </c>
      <c r="B39" s="572"/>
      <c r="C39" s="570" t="s">
        <v>54</v>
      </c>
      <c r="D39" s="570" t="s">
        <v>21</v>
      </c>
      <c r="E39" s="570" t="s">
        <v>31</v>
      </c>
      <c r="F39" s="570" t="s">
        <v>23</v>
      </c>
      <c r="G39" s="570"/>
      <c r="H39" s="681"/>
      <c r="I39" s="567">
        <v>6.4</v>
      </c>
      <c r="J39" s="573">
        <v>17.5</v>
      </c>
      <c r="K39" s="569">
        <f>K35*0.97</f>
        <v>16.929425519999999</v>
      </c>
      <c r="L39" s="569">
        <f>L35*0.97</f>
        <v>1878.037604352</v>
      </c>
      <c r="M39" s="569">
        <f t="shared" si="4"/>
        <v>1894.97</v>
      </c>
      <c r="N39" s="569">
        <f t="shared" si="16"/>
        <v>1911.9</v>
      </c>
      <c r="O39" s="569">
        <f t="shared" si="16"/>
        <v>1928.83</v>
      </c>
      <c r="P39" s="569">
        <f t="shared" si="16"/>
        <v>1945.76</v>
      </c>
      <c r="Q39" s="569">
        <f t="shared" si="16"/>
        <v>1962.69</v>
      </c>
      <c r="R39" s="569">
        <f t="shared" si="16"/>
        <v>1979.62</v>
      </c>
      <c r="S39" s="569">
        <f t="shared" si="16"/>
        <v>1996.55</v>
      </c>
      <c r="T39" s="569">
        <f t="shared" si="16"/>
        <v>2013.48</v>
      </c>
      <c r="U39" s="569">
        <f t="shared" si="16"/>
        <v>2030.41</v>
      </c>
      <c r="V39" s="569">
        <f t="shared" si="16"/>
        <v>2047.34</v>
      </c>
      <c r="W39" s="569">
        <f t="shared" si="16"/>
        <v>2064.27</v>
      </c>
      <c r="X39" s="569">
        <f t="shared" si="16"/>
        <v>2081.1999999999998</v>
      </c>
      <c r="Y39" s="569">
        <f t="shared" si="16"/>
        <v>2098.13</v>
      </c>
      <c r="Z39" s="569">
        <f t="shared" si="16"/>
        <v>2115.06</v>
      </c>
      <c r="AA39" s="569">
        <f t="shared" si="16"/>
        <v>2131.9899999999998</v>
      </c>
      <c r="AB39" s="569">
        <f t="shared" si="16"/>
        <v>2148.92</v>
      </c>
      <c r="AC39" s="569">
        <f t="shared" si="16"/>
        <v>2165.85</v>
      </c>
      <c r="AD39" s="569">
        <f t="shared" si="16"/>
        <v>2182.7800000000002</v>
      </c>
      <c r="AE39" s="569">
        <f t="shared" si="16"/>
        <v>2199.71</v>
      </c>
      <c r="AF39" s="569">
        <f t="shared" si="16"/>
        <v>2216.64</v>
      </c>
      <c r="AG39" s="569">
        <f t="shared" si="16"/>
        <v>2233.5700000000002</v>
      </c>
      <c r="AH39" s="569">
        <f t="shared" si="12"/>
        <v>2250.5</v>
      </c>
      <c r="AI39" s="569">
        <f t="shared" si="12"/>
        <v>2267.4299999999998</v>
      </c>
      <c r="AJ39" s="569">
        <f t="shared" si="14"/>
        <v>2284.36</v>
      </c>
      <c r="AK39" s="569">
        <f t="shared" si="15"/>
        <v>2301.29</v>
      </c>
      <c r="AL39" s="649"/>
    </row>
    <row r="40" spans="1:16377" s="573" customFormat="1">
      <c r="A40" s="570" t="s">
        <v>73</v>
      </c>
      <c r="B40" s="572"/>
      <c r="C40" s="570" t="s">
        <v>54</v>
      </c>
      <c r="D40" s="570" t="s">
        <v>21</v>
      </c>
      <c r="E40" s="570" t="s">
        <v>27</v>
      </c>
      <c r="F40" s="570" t="s">
        <v>23</v>
      </c>
      <c r="G40" s="570"/>
      <c r="H40" s="681"/>
      <c r="I40" s="567">
        <v>6.4</v>
      </c>
      <c r="J40" s="573">
        <v>17.5</v>
      </c>
      <c r="K40" s="569">
        <f>19.57*0.98</f>
        <v>19.178599999999999</v>
      </c>
      <c r="L40" s="569">
        <f>3122.24*0.98</f>
        <v>3059.7951999999996</v>
      </c>
      <c r="M40" s="569">
        <f>ROUND(L40+$K40,2)</f>
        <v>3078.97</v>
      </c>
      <c r="N40" s="569">
        <f t="shared" si="16"/>
        <v>3098.15</v>
      </c>
      <c r="O40" s="569">
        <f t="shared" si="16"/>
        <v>3117.33</v>
      </c>
      <c r="P40" s="569">
        <f t="shared" si="16"/>
        <v>3136.51</v>
      </c>
      <c r="Q40" s="569">
        <f t="shared" si="16"/>
        <v>3155.69</v>
      </c>
      <c r="R40" s="569">
        <f t="shared" si="16"/>
        <v>3174.87</v>
      </c>
      <c r="S40" s="569">
        <f t="shared" si="16"/>
        <v>3194.05</v>
      </c>
      <c r="T40" s="569">
        <f t="shared" si="16"/>
        <v>3213.23</v>
      </c>
      <c r="U40" s="569">
        <f t="shared" si="16"/>
        <v>3232.41</v>
      </c>
      <c r="V40" s="569">
        <f t="shared" si="16"/>
        <v>3251.59</v>
      </c>
      <c r="W40" s="569">
        <f t="shared" si="16"/>
        <v>3270.77</v>
      </c>
      <c r="X40" s="569">
        <f t="shared" si="16"/>
        <v>3289.95</v>
      </c>
      <c r="Y40" s="569">
        <f t="shared" si="16"/>
        <v>3309.13</v>
      </c>
      <c r="Z40" s="569">
        <f t="shared" si="16"/>
        <v>3328.31</v>
      </c>
      <c r="AA40" s="569">
        <f t="shared" si="16"/>
        <v>3347.49</v>
      </c>
      <c r="AB40" s="569">
        <f t="shared" si="16"/>
        <v>3366.67</v>
      </c>
      <c r="AC40" s="569">
        <f t="shared" si="16"/>
        <v>3385.85</v>
      </c>
      <c r="AD40" s="569">
        <f t="shared" si="16"/>
        <v>3405.03</v>
      </c>
      <c r="AE40" s="569">
        <f t="shared" si="16"/>
        <v>3424.21</v>
      </c>
      <c r="AF40" s="569">
        <f t="shared" si="16"/>
        <v>3443.39</v>
      </c>
      <c r="AG40" s="569">
        <f t="shared" si="16"/>
        <v>3462.57</v>
      </c>
      <c r="AH40" s="569">
        <f t="shared" si="12"/>
        <v>3481.75</v>
      </c>
      <c r="AI40" s="569">
        <f t="shared" si="12"/>
        <v>3500.93</v>
      </c>
      <c r="AJ40" s="569">
        <f t="shared" si="14"/>
        <v>3520.11</v>
      </c>
      <c r="AK40" s="569">
        <f t="shared" si="15"/>
        <v>3539.29</v>
      </c>
      <c r="AL40" s="649"/>
    </row>
    <row r="41" spans="1:16377" s="610" customFormat="1">
      <c r="A41" s="651" t="s">
        <v>74</v>
      </c>
      <c r="B41" s="651"/>
      <c r="C41" s="651" t="s">
        <v>54</v>
      </c>
      <c r="D41" s="651" t="s">
        <v>35</v>
      </c>
      <c r="E41" s="655" t="s">
        <v>75</v>
      </c>
      <c r="F41" s="655" t="s">
        <v>57</v>
      </c>
      <c r="G41" s="653"/>
      <c r="H41" s="685"/>
      <c r="I41" s="653"/>
      <c r="J41" s="653"/>
      <c r="K41" s="563">
        <v>17.48</v>
      </c>
      <c r="L41" s="563">
        <v>1999.51</v>
      </c>
      <c r="M41" s="563">
        <f>ROUND(L41+$K41,2)</f>
        <v>2016.99</v>
      </c>
      <c r="N41" s="563">
        <f t="shared" ref="N41:AG41" si="17">ROUND(M41+$K41,2)</f>
        <v>2034.47</v>
      </c>
      <c r="O41" s="563">
        <f t="shared" si="17"/>
        <v>2051.9499999999998</v>
      </c>
      <c r="P41" s="563">
        <f t="shared" si="17"/>
        <v>2069.4299999999998</v>
      </c>
      <c r="Q41" s="563">
        <f t="shared" si="17"/>
        <v>2086.91</v>
      </c>
      <c r="R41" s="563">
        <f t="shared" si="17"/>
        <v>2104.39</v>
      </c>
      <c r="S41" s="563">
        <f t="shared" si="17"/>
        <v>2121.87</v>
      </c>
      <c r="T41" s="563">
        <f t="shared" si="17"/>
        <v>2139.35</v>
      </c>
      <c r="U41" s="563">
        <f t="shared" si="17"/>
        <v>2156.83</v>
      </c>
      <c r="V41" s="563">
        <f t="shared" si="17"/>
        <v>2174.31</v>
      </c>
      <c r="W41" s="563">
        <f t="shared" si="17"/>
        <v>2191.79</v>
      </c>
      <c r="X41" s="563">
        <f t="shared" si="17"/>
        <v>2209.27</v>
      </c>
      <c r="Y41" s="563">
        <f t="shared" si="17"/>
        <v>2226.75</v>
      </c>
      <c r="Z41" s="563">
        <f t="shared" si="17"/>
        <v>2244.23</v>
      </c>
      <c r="AA41" s="563">
        <f t="shared" si="17"/>
        <v>2261.71</v>
      </c>
      <c r="AB41" s="563">
        <f t="shared" si="17"/>
        <v>2279.19</v>
      </c>
      <c r="AC41" s="563">
        <f t="shared" si="17"/>
        <v>2296.67</v>
      </c>
      <c r="AD41" s="563">
        <f t="shared" si="17"/>
        <v>2314.15</v>
      </c>
      <c r="AE41" s="563">
        <f t="shared" si="17"/>
        <v>2331.63</v>
      </c>
      <c r="AF41" s="563">
        <f t="shared" si="17"/>
        <v>2349.11</v>
      </c>
      <c r="AG41" s="563">
        <f t="shared" si="17"/>
        <v>2366.59</v>
      </c>
      <c r="AH41" s="563">
        <f t="shared" si="12"/>
        <v>2384.0700000000002</v>
      </c>
      <c r="AI41" s="563">
        <f t="shared" si="12"/>
        <v>2401.5500000000002</v>
      </c>
      <c r="AJ41" s="563">
        <f t="shared" si="14"/>
        <v>2419.0300000000002</v>
      </c>
      <c r="AK41" s="563">
        <f t="shared" si="15"/>
        <v>2436.5100000000002</v>
      </c>
      <c r="AL41" s="649"/>
      <c r="AM41" s="562"/>
      <c r="AN41" s="562"/>
      <c r="AO41" s="562"/>
      <c r="AP41" s="562"/>
      <c r="AQ41" s="562"/>
      <c r="AR41" s="562"/>
      <c r="AS41" s="562"/>
      <c r="AT41" s="562"/>
      <c r="AU41" s="562"/>
      <c r="AV41" s="562"/>
      <c r="AW41" s="562"/>
      <c r="AX41" s="562"/>
      <c r="AY41" s="562"/>
      <c r="AZ41" s="562"/>
      <c r="BA41" s="562"/>
      <c r="BB41" s="562"/>
      <c r="BC41" s="562"/>
      <c r="BD41" s="562"/>
      <c r="BE41" s="562"/>
      <c r="BF41" s="562"/>
      <c r="BG41" s="562"/>
      <c r="BH41" s="562"/>
      <c r="BI41" s="562"/>
      <c r="BJ41" s="562"/>
      <c r="BK41" s="562"/>
      <c r="BL41" s="562"/>
      <c r="BM41" s="562"/>
      <c r="BN41" s="562"/>
      <c r="BO41" s="562"/>
      <c r="BP41" s="562"/>
      <c r="BQ41" s="562"/>
      <c r="BR41" s="562"/>
      <c r="BS41" s="562"/>
      <c r="BT41" s="562"/>
      <c r="BU41" s="562"/>
      <c r="BV41" s="562"/>
      <c r="BW41" s="562"/>
      <c r="BX41" s="562"/>
      <c r="BY41" s="562"/>
      <c r="BZ41" s="562"/>
      <c r="CA41" s="562"/>
      <c r="CB41" s="562"/>
      <c r="CC41" s="562"/>
      <c r="CD41" s="562"/>
      <c r="CE41" s="562"/>
      <c r="CF41" s="562"/>
      <c r="CG41" s="562"/>
      <c r="CH41" s="562"/>
      <c r="CI41" s="562"/>
      <c r="CJ41" s="562"/>
      <c r="CK41" s="562"/>
      <c r="CL41" s="562"/>
      <c r="CM41" s="562"/>
      <c r="CN41" s="562"/>
      <c r="CO41" s="562"/>
      <c r="CP41" s="562"/>
      <c r="CQ41" s="562"/>
      <c r="CR41" s="562"/>
      <c r="CS41" s="562"/>
      <c r="CT41" s="562"/>
      <c r="CU41" s="562"/>
      <c r="CV41" s="562"/>
      <c r="CW41" s="562"/>
      <c r="CX41" s="562"/>
      <c r="CY41" s="562"/>
      <c r="CZ41" s="562"/>
      <c r="DA41" s="562"/>
      <c r="DB41" s="562"/>
      <c r="DC41" s="562"/>
      <c r="DD41" s="562"/>
      <c r="DE41" s="562"/>
      <c r="DF41" s="562"/>
      <c r="DG41" s="562"/>
      <c r="DH41" s="562"/>
      <c r="DI41" s="562"/>
      <c r="DJ41" s="562"/>
      <c r="DK41" s="562"/>
      <c r="DL41" s="562"/>
      <c r="DM41" s="562"/>
      <c r="DN41" s="562"/>
      <c r="DO41" s="562"/>
      <c r="DP41" s="562"/>
      <c r="DQ41" s="562"/>
      <c r="DR41" s="562"/>
      <c r="DS41" s="562"/>
      <c r="DT41" s="562"/>
      <c r="DU41" s="562"/>
      <c r="DV41" s="562"/>
      <c r="DW41" s="562"/>
      <c r="DX41" s="562"/>
      <c r="DY41" s="562"/>
      <c r="DZ41" s="562"/>
      <c r="EA41" s="562"/>
      <c r="EB41" s="562"/>
      <c r="EC41" s="562"/>
      <c r="ED41" s="562"/>
      <c r="EE41" s="562"/>
      <c r="EF41" s="562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62"/>
      <c r="ET41" s="562"/>
      <c r="EU41" s="562"/>
      <c r="EV41" s="562"/>
      <c r="EW41" s="562"/>
      <c r="EX41" s="562"/>
      <c r="EY41" s="562"/>
      <c r="EZ41" s="562"/>
      <c r="FA41" s="562"/>
      <c r="FB41" s="562"/>
      <c r="FC41" s="562"/>
      <c r="FD41" s="562"/>
      <c r="FE41" s="562"/>
      <c r="FF41" s="562"/>
      <c r="FG41" s="562"/>
      <c r="FH41" s="562"/>
      <c r="FI41" s="562"/>
      <c r="FJ41" s="562"/>
      <c r="FK41" s="562"/>
      <c r="FL41" s="562"/>
      <c r="FM41" s="562"/>
      <c r="FN41" s="562"/>
      <c r="FO41" s="562"/>
      <c r="FP41" s="562"/>
      <c r="FQ41" s="562"/>
      <c r="FR41" s="562"/>
      <c r="FS41" s="562"/>
      <c r="FT41" s="562"/>
      <c r="FU41" s="562"/>
      <c r="FV41" s="562"/>
      <c r="FW41" s="562"/>
      <c r="FX41" s="562"/>
      <c r="FY41" s="562"/>
      <c r="FZ41" s="562"/>
      <c r="GA41" s="562"/>
      <c r="GB41" s="562"/>
      <c r="GC41" s="562"/>
      <c r="GD41" s="562"/>
      <c r="GE41" s="562"/>
      <c r="GF41" s="562"/>
      <c r="GG41" s="562"/>
      <c r="GH41" s="562"/>
      <c r="GI41" s="562"/>
      <c r="GJ41" s="562"/>
      <c r="GK41" s="562"/>
      <c r="GL41" s="562"/>
      <c r="GM41" s="562"/>
      <c r="GN41" s="562"/>
      <c r="GO41" s="562"/>
      <c r="GP41" s="562"/>
      <c r="GQ41" s="562"/>
      <c r="GR41" s="562"/>
      <c r="GS41" s="562"/>
      <c r="GT41" s="562"/>
      <c r="GU41" s="562"/>
      <c r="GV41" s="562"/>
      <c r="GW41" s="562"/>
      <c r="GX41" s="562"/>
      <c r="GY41" s="562"/>
      <c r="GZ41" s="562"/>
      <c r="HA41" s="562"/>
      <c r="HB41" s="562"/>
      <c r="HC41" s="562"/>
      <c r="HD41" s="562"/>
      <c r="HE41" s="562"/>
      <c r="HF41" s="562"/>
      <c r="HG41" s="562"/>
      <c r="HH41" s="562"/>
      <c r="HI41" s="562"/>
      <c r="HJ41" s="562"/>
      <c r="HK41" s="562"/>
      <c r="HL41" s="562"/>
      <c r="HM41" s="562"/>
      <c r="HN41" s="562"/>
      <c r="HO41" s="562"/>
      <c r="HP41" s="562"/>
      <c r="HQ41" s="562"/>
      <c r="HR41" s="562"/>
      <c r="HS41" s="562"/>
      <c r="HT41" s="562"/>
      <c r="HU41" s="562"/>
      <c r="HV41" s="562"/>
      <c r="HW41" s="562"/>
      <c r="HX41" s="562"/>
      <c r="HY41" s="562"/>
      <c r="HZ41" s="562"/>
      <c r="IA41" s="562"/>
      <c r="IB41" s="562"/>
      <c r="IC41" s="562"/>
      <c r="ID41" s="562"/>
      <c r="IE41" s="562"/>
      <c r="IF41" s="562"/>
      <c r="IG41" s="562"/>
      <c r="IH41" s="562"/>
      <c r="II41" s="562"/>
      <c r="IJ41" s="562"/>
      <c r="IK41" s="562"/>
      <c r="IL41" s="562"/>
      <c r="IM41" s="562"/>
      <c r="IN41" s="562"/>
      <c r="IO41" s="562"/>
      <c r="IP41" s="562"/>
      <c r="IQ41" s="562"/>
      <c r="IR41" s="562"/>
      <c r="IS41" s="562"/>
      <c r="IT41" s="562"/>
      <c r="IU41" s="562"/>
      <c r="IV41" s="562"/>
      <c r="IW41" s="562"/>
      <c r="IX41" s="562"/>
      <c r="IY41" s="562"/>
      <c r="IZ41" s="562"/>
      <c r="JA41" s="562"/>
      <c r="JB41" s="562"/>
      <c r="JC41" s="562"/>
      <c r="JD41" s="562"/>
      <c r="JE41" s="562"/>
      <c r="JF41" s="562"/>
      <c r="JG41" s="562"/>
      <c r="JH41" s="562"/>
      <c r="JI41" s="562"/>
      <c r="JJ41" s="562"/>
      <c r="JK41" s="562"/>
      <c r="JL41" s="562"/>
      <c r="JM41" s="562"/>
      <c r="JN41" s="562"/>
      <c r="JO41" s="562"/>
      <c r="JP41" s="562"/>
      <c r="JQ41" s="562"/>
      <c r="JR41" s="562"/>
      <c r="JS41" s="562"/>
      <c r="JT41" s="562"/>
      <c r="JU41" s="562"/>
      <c r="JV41" s="562"/>
      <c r="JW41" s="562"/>
      <c r="JX41" s="562"/>
      <c r="JY41" s="562"/>
      <c r="JZ41" s="562"/>
      <c r="KA41" s="562"/>
      <c r="KB41" s="562"/>
      <c r="KC41" s="562"/>
      <c r="KD41" s="562"/>
      <c r="KE41" s="562"/>
      <c r="KF41" s="562"/>
      <c r="KG41" s="562"/>
      <c r="KH41" s="562"/>
      <c r="KI41" s="562"/>
      <c r="KJ41" s="562"/>
      <c r="KK41" s="562"/>
      <c r="KL41" s="562"/>
      <c r="KM41" s="562"/>
      <c r="KN41" s="562"/>
      <c r="KO41" s="562"/>
      <c r="KP41" s="562"/>
      <c r="KQ41" s="562"/>
      <c r="KR41" s="562"/>
      <c r="KS41" s="562"/>
      <c r="KT41" s="562"/>
      <c r="KU41" s="562"/>
      <c r="KV41" s="562"/>
      <c r="KW41" s="562"/>
      <c r="KX41" s="562"/>
      <c r="KY41" s="562"/>
      <c r="KZ41" s="562"/>
      <c r="LA41" s="562"/>
      <c r="LB41" s="562"/>
      <c r="LC41" s="562"/>
      <c r="LD41" s="562"/>
      <c r="LE41" s="562"/>
      <c r="LF41" s="562"/>
      <c r="LG41" s="562"/>
      <c r="LH41" s="562"/>
      <c r="LI41" s="562"/>
      <c r="LJ41" s="562"/>
      <c r="LK41" s="562"/>
      <c r="LL41" s="562"/>
      <c r="LM41" s="562"/>
      <c r="LN41" s="562"/>
      <c r="LO41" s="562"/>
      <c r="LP41" s="562"/>
      <c r="LQ41" s="562"/>
      <c r="LR41" s="562"/>
      <c r="LS41" s="562"/>
      <c r="LT41" s="562"/>
      <c r="LU41" s="562"/>
      <c r="LV41" s="562"/>
      <c r="LW41" s="562"/>
      <c r="LX41" s="562"/>
      <c r="LY41" s="562"/>
      <c r="LZ41" s="562"/>
      <c r="MA41" s="562"/>
      <c r="MB41" s="562"/>
      <c r="MC41" s="562"/>
      <c r="MD41" s="562"/>
      <c r="ME41" s="562"/>
      <c r="MF41" s="562"/>
      <c r="MG41" s="562"/>
      <c r="MH41" s="562"/>
      <c r="MI41" s="562"/>
      <c r="MJ41" s="562"/>
      <c r="MK41" s="562"/>
      <c r="ML41" s="562"/>
      <c r="MM41" s="562"/>
      <c r="MN41" s="562"/>
      <c r="MO41" s="562"/>
      <c r="MP41" s="562"/>
      <c r="MQ41" s="562"/>
      <c r="MR41" s="562"/>
      <c r="MS41" s="562"/>
      <c r="MT41" s="562"/>
      <c r="MU41" s="562"/>
      <c r="MV41" s="562"/>
      <c r="MW41" s="562"/>
      <c r="MX41" s="562"/>
      <c r="MY41" s="562"/>
      <c r="MZ41" s="562"/>
      <c r="NA41" s="562"/>
      <c r="NB41" s="562"/>
      <c r="NC41" s="562"/>
      <c r="ND41" s="562"/>
      <c r="NE41" s="562"/>
      <c r="NF41" s="562"/>
      <c r="NG41" s="562"/>
      <c r="NH41" s="562"/>
      <c r="NI41" s="562"/>
      <c r="NJ41" s="562"/>
      <c r="NK41" s="562"/>
      <c r="NL41" s="562"/>
      <c r="NM41" s="562"/>
      <c r="NN41" s="562"/>
      <c r="NO41" s="562"/>
      <c r="NP41" s="562"/>
      <c r="NQ41" s="562"/>
      <c r="NR41" s="562"/>
      <c r="NS41" s="562"/>
      <c r="NT41" s="562"/>
      <c r="NU41" s="562"/>
      <c r="NV41" s="562"/>
      <c r="NW41" s="562"/>
      <c r="NX41" s="562"/>
      <c r="NY41" s="562"/>
      <c r="NZ41" s="562"/>
      <c r="OA41" s="562"/>
      <c r="OB41" s="562"/>
      <c r="OC41" s="562"/>
      <c r="OD41" s="562"/>
      <c r="OE41" s="562"/>
      <c r="OF41" s="562"/>
      <c r="OG41" s="562"/>
      <c r="OH41" s="562"/>
      <c r="OI41" s="562"/>
      <c r="OJ41" s="562"/>
      <c r="OK41" s="562"/>
      <c r="OL41" s="562"/>
      <c r="OM41" s="562"/>
      <c r="ON41" s="562"/>
      <c r="OO41" s="562"/>
      <c r="OP41" s="562"/>
      <c r="OQ41" s="562"/>
      <c r="OR41" s="562"/>
      <c r="OS41" s="562"/>
      <c r="OT41" s="562"/>
      <c r="OU41" s="562"/>
      <c r="OV41" s="562"/>
      <c r="OW41" s="562"/>
      <c r="OX41" s="562"/>
      <c r="OY41" s="562"/>
      <c r="OZ41" s="562"/>
      <c r="PA41" s="562"/>
      <c r="PB41" s="562"/>
      <c r="PC41" s="562"/>
      <c r="PD41" s="562"/>
      <c r="PE41" s="562"/>
      <c r="PF41" s="562"/>
      <c r="PG41" s="562"/>
      <c r="PH41" s="562"/>
      <c r="PI41" s="562"/>
      <c r="PJ41" s="562"/>
      <c r="PK41" s="562"/>
      <c r="PL41" s="562"/>
      <c r="PM41" s="562"/>
      <c r="PN41" s="562"/>
      <c r="PO41" s="562"/>
      <c r="PP41" s="562"/>
      <c r="PQ41" s="562"/>
      <c r="PR41" s="562"/>
      <c r="PS41" s="562"/>
      <c r="PT41" s="562"/>
      <c r="PU41" s="562"/>
      <c r="PV41" s="562"/>
      <c r="PW41" s="562"/>
      <c r="PX41" s="562"/>
      <c r="PY41" s="562"/>
      <c r="PZ41" s="562"/>
      <c r="QA41" s="562"/>
      <c r="QB41" s="562"/>
      <c r="QC41" s="562"/>
      <c r="QD41" s="562"/>
      <c r="QE41" s="562"/>
      <c r="QF41" s="562"/>
      <c r="QG41" s="562"/>
      <c r="QH41" s="562"/>
      <c r="QI41" s="562"/>
      <c r="QJ41" s="562"/>
      <c r="QK41" s="562"/>
      <c r="QL41" s="562"/>
      <c r="QM41" s="562"/>
      <c r="QN41" s="562"/>
      <c r="QO41" s="562"/>
      <c r="QP41" s="562"/>
      <c r="QQ41" s="562"/>
      <c r="QR41" s="562"/>
      <c r="QS41" s="562"/>
      <c r="QT41" s="562"/>
      <c r="QU41" s="562"/>
      <c r="QV41" s="562"/>
      <c r="QW41" s="562"/>
      <c r="QX41" s="562"/>
      <c r="QY41" s="562"/>
      <c r="QZ41" s="562"/>
      <c r="RA41" s="562"/>
      <c r="RB41" s="562"/>
      <c r="RC41" s="562"/>
      <c r="RD41" s="562"/>
      <c r="RE41" s="562"/>
      <c r="RF41" s="562"/>
      <c r="RG41" s="562"/>
      <c r="RH41" s="562"/>
      <c r="RI41" s="562"/>
      <c r="RJ41" s="562"/>
      <c r="RK41" s="562"/>
      <c r="RL41" s="562"/>
      <c r="RM41" s="562"/>
      <c r="RN41" s="562"/>
      <c r="RO41" s="562"/>
      <c r="RP41" s="562"/>
      <c r="RQ41" s="562"/>
      <c r="RR41" s="562"/>
      <c r="RS41" s="562"/>
      <c r="RT41" s="562"/>
      <c r="RU41" s="562"/>
      <c r="RV41" s="562"/>
      <c r="RW41" s="562"/>
      <c r="RX41" s="562"/>
      <c r="RY41" s="562"/>
      <c r="RZ41" s="562"/>
      <c r="SA41" s="562"/>
      <c r="SB41" s="562"/>
      <c r="SC41" s="562"/>
      <c r="SD41" s="562"/>
      <c r="SE41" s="562"/>
      <c r="SF41" s="562"/>
      <c r="SG41" s="562"/>
      <c r="SH41" s="562"/>
      <c r="SI41" s="562"/>
      <c r="SJ41" s="562"/>
      <c r="SK41" s="562"/>
      <c r="SL41" s="562"/>
      <c r="SM41" s="562"/>
      <c r="SN41" s="562"/>
      <c r="SO41" s="562"/>
      <c r="SP41" s="562"/>
      <c r="SQ41" s="562"/>
      <c r="SR41" s="562"/>
      <c r="SS41" s="562"/>
      <c r="ST41" s="562"/>
      <c r="SU41" s="562"/>
      <c r="SV41" s="562"/>
      <c r="SW41" s="562"/>
      <c r="SX41" s="562"/>
      <c r="SY41" s="562"/>
      <c r="SZ41" s="562"/>
      <c r="TA41" s="562"/>
      <c r="TB41" s="562"/>
      <c r="TC41" s="562"/>
      <c r="TD41" s="562"/>
      <c r="TE41" s="562"/>
      <c r="TF41" s="562"/>
      <c r="TG41" s="562"/>
      <c r="TH41" s="562"/>
      <c r="TI41" s="562"/>
      <c r="TJ41" s="562"/>
      <c r="TK41" s="562"/>
      <c r="TL41" s="562"/>
      <c r="TM41" s="562"/>
      <c r="TN41" s="562"/>
      <c r="TO41" s="562"/>
      <c r="TP41" s="562"/>
      <c r="TQ41" s="562"/>
      <c r="TR41" s="562"/>
      <c r="TS41" s="562"/>
      <c r="TT41" s="562"/>
      <c r="TU41" s="562"/>
      <c r="TV41" s="562"/>
      <c r="TW41" s="562"/>
      <c r="TX41" s="562"/>
      <c r="TY41" s="562"/>
      <c r="TZ41" s="562"/>
      <c r="UA41" s="562"/>
      <c r="UB41" s="562"/>
      <c r="UC41" s="562"/>
      <c r="UD41" s="562"/>
      <c r="UE41" s="562"/>
      <c r="UF41" s="562"/>
      <c r="UG41" s="562"/>
      <c r="UH41" s="562"/>
      <c r="UI41" s="562"/>
      <c r="UJ41" s="562"/>
      <c r="UK41" s="562"/>
      <c r="UL41" s="562"/>
      <c r="UM41" s="562"/>
      <c r="UN41" s="562"/>
      <c r="UO41" s="562"/>
      <c r="UP41" s="562"/>
      <c r="UQ41" s="562"/>
      <c r="UR41" s="562"/>
      <c r="US41" s="562"/>
      <c r="UT41" s="562"/>
      <c r="UU41" s="562"/>
      <c r="UV41" s="562"/>
      <c r="UW41" s="562"/>
      <c r="UX41" s="562"/>
      <c r="UY41" s="562"/>
      <c r="UZ41" s="562"/>
      <c r="VA41" s="562"/>
      <c r="VB41" s="562"/>
      <c r="VC41" s="562"/>
      <c r="VD41" s="562"/>
      <c r="VE41" s="562"/>
      <c r="VF41" s="562"/>
      <c r="VG41" s="562"/>
      <c r="VH41" s="562"/>
      <c r="VI41" s="562"/>
      <c r="VJ41" s="562"/>
      <c r="VK41" s="562"/>
      <c r="VL41" s="562"/>
      <c r="VM41" s="562"/>
      <c r="VN41" s="562"/>
      <c r="VO41" s="562"/>
      <c r="VP41" s="562"/>
      <c r="VQ41" s="562"/>
      <c r="VR41" s="562"/>
      <c r="VS41" s="562"/>
      <c r="VT41" s="562"/>
      <c r="VU41" s="562"/>
      <c r="VV41" s="562"/>
      <c r="VW41" s="562"/>
      <c r="VX41" s="562"/>
      <c r="VY41" s="562"/>
      <c r="VZ41" s="562"/>
      <c r="WA41" s="562"/>
      <c r="WB41" s="562"/>
      <c r="WC41" s="562"/>
      <c r="WD41" s="562"/>
      <c r="WE41" s="562"/>
      <c r="WF41" s="562"/>
      <c r="WG41" s="562"/>
      <c r="WH41" s="562"/>
      <c r="WI41" s="562"/>
      <c r="WJ41" s="562"/>
      <c r="WK41" s="562"/>
      <c r="WL41" s="562"/>
      <c r="WM41" s="562"/>
      <c r="WN41" s="562"/>
      <c r="WO41" s="562"/>
      <c r="WP41" s="562"/>
      <c r="WQ41" s="562"/>
      <c r="WR41" s="562"/>
      <c r="WS41" s="562"/>
      <c r="WT41" s="562"/>
      <c r="WU41" s="562"/>
      <c r="WV41" s="562"/>
      <c r="WW41" s="562"/>
      <c r="WX41" s="562"/>
      <c r="WY41" s="562"/>
      <c r="WZ41" s="562"/>
      <c r="XA41" s="562"/>
      <c r="XB41" s="562"/>
      <c r="XC41" s="562"/>
      <c r="XD41" s="562"/>
      <c r="XE41" s="562"/>
      <c r="XF41" s="562"/>
      <c r="XG41" s="562"/>
      <c r="XH41" s="562"/>
      <c r="XI41" s="562"/>
      <c r="XJ41" s="562"/>
      <c r="XK41" s="562"/>
      <c r="XL41" s="562"/>
      <c r="XM41" s="562"/>
      <c r="XN41" s="562"/>
      <c r="XO41" s="562"/>
      <c r="XP41" s="562"/>
      <c r="XQ41" s="562"/>
      <c r="XR41" s="562"/>
      <c r="XS41" s="562"/>
      <c r="XT41" s="562"/>
      <c r="XU41" s="562"/>
      <c r="XV41" s="562"/>
      <c r="XW41" s="562"/>
      <c r="XX41" s="562"/>
      <c r="XY41" s="562"/>
      <c r="XZ41" s="562"/>
      <c r="YA41" s="562"/>
      <c r="YB41" s="562"/>
      <c r="YC41" s="562"/>
      <c r="YD41" s="562"/>
      <c r="YE41" s="562"/>
      <c r="YF41" s="562"/>
      <c r="YG41" s="562"/>
      <c r="YH41" s="562"/>
      <c r="YI41" s="562"/>
      <c r="YJ41" s="562"/>
      <c r="YK41" s="562"/>
      <c r="YL41" s="562"/>
      <c r="YM41" s="562"/>
      <c r="YN41" s="562"/>
      <c r="YO41" s="562"/>
      <c r="YP41" s="562"/>
      <c r="YQ41" s="562"/>
      <c r="YR41" s="562"/>
      <c r="YS41" s="562"/>
      <c r="YT41" s="562"/>
      <c r="YU41" s="562"/>
      <c r="YV41" s="562"/>
      <c r="YW41" s="562"/>
      <c r="YX41" s="562"/>
      <c r="YY41" s="562"/>
      <c r="YZ41" s="562"/>
      <c r="ZA41" s="562"/>
      <c r="ZB41" s="562"/>
      <c r="ZC41" s="562"/>
      <c r="ZD41" s="562"/>
      <c r="ZE41" s="562"/>
      <c r="ZF41" s="562"/>
      <c r="ZG41" s="562"/>
      <c r="ZH41" s="562"/>
      <c r="ZI41" s="562"/>
      <c r="ZJ41" s="562"/>
      <c r="ZK41" s="562"/>
      <c r="ZL41" s="562"/>
      <c r="ZM41" s="562"/>
      <c r="ZN41" s="562"/>
      <c r="ZO41" s="562"/>
      <c r="ZP41" s="562"/>
      <c r="ZQ41" s="562"/>
      <c r="ZR41" s="562"/>
      <c r="ZS41" s="562"/>
      <c r="ZT41" s="562"/>
      <c r="ZU41" s="562"/>
      <c r="ZV41" s="562"/>
      <c r="ZW41" s="562"/>
      <c r="ZX41" s="562"/>
      <c r="ZY41" s="562"/>
      <c r="ZZ41" s="562"/>
      <c r="AAA41" s="562"/>
      <c r="AAB41" s="562"/>
      <c r="AAC41" s="562"/>
      <c r="AAD41" s="562"/>
      <c r="AAE41" s="562"/>
      <c r="AAF41" s="562"/>
      <c r="AAG41" s="562"/>
      <c r="AAH41" s="562"/>
      <c r="AAI41" s="562"/>
      <c r="AAJ41" s="562"/>
      <c r="AAK41" s="562"/>
      <c r="AAL41" s="562"/>
      <c r="AAM41" s="562"/>
      <c r="AAN41" s="562"/>
      <c r="AAO41" s="562"/>
      <c r="AAP41" s="562"/>
      <c r="AAQ41" s="562"/>
      <c r="AAR41" s="562"/>
      <c r="AAS41" s="562"/>
      <c r="AAT41" s="562"/>
      <c r="AAU41" s="562"/>
      <c r="AAV41" s="562"/>
      <c r="AAW41" s="562"/>
      <c r="AAX41" s="562"/>
      <c r="AAY41" s="562"/>
      <c r="AAZ41" s="562"/>
      <c r="ABA41" s="562"/>
      <c r="ABB41" s="562"/>
      <c r="ABC41" s="562"/>
      <c r="ABD41" s="562"/>
      <c r="ABE41" s="562"/>
      <c r="ABF41" s="562"/>
      <c r="ABG41" s="562"/>
      <c r="ABH41" s="562"/>
      <c r="ABI41" s="562"/>
      <c r="ABJ41" s="562"/>
      <c r="ABK41" s="562"/>
      <c r="ABL41" s="562"/>
      <c r="ABM41" s="562"/>
      <c r="ABN41" s="562"/>
      <c r="ABO41" s="562"/>
      <c r="ABP41" s="562"/>
      <c r="ABQ41" s="562"/>
      <c r="ABR41" s="562"/>
      <c r="ABS41" s="562"/>
      <c r="ABT41" s="562"/>
      <c r="ABU41" s="562"/>
      <c r="ABV41" s="562"/>
      <c r="ABW41" s="562"/>
      <c r="ABX41" s="562"/>
      <c r="ABY41" s="562"/>
      <c r="ABZ41" s="562"/>
      <c r="ACA41" s="562"/>
      <c r="ACB41" s="562"/>
      <c r="ACC41" s="562"/>
      <c r="ACD41" s="562"/>
      <c r="ACE41" s="562"/>
      <c r="ACF41" s="562"/>
      <c r="ACG41" s="562"/>
      <c r="ACH41" s="562"/>
      <c r="ACI41" s="562"/>
      <c r="ACJ41" s="562"/>
      <c r="ACK41" s="562"/>
      <c r="ACL41" s="562"/>
      <c r="ACM41" s="562"/>
      <c r="ACN41" s="562"/>
      <c r="ACO41" s="562"/>
      <c r="ACP41" s="562"/>
      <c r="ACQ41" s="562"/>
      <c r="ACR41" s="562"/>
      <c r="ACS41" s="562"/>
      <c r="ACT41" s="562"/>
      <c r="ACU41" s="562"/>
      <c r="ACV41" s="562"/>
      <c r="ACW41" s="562"/>
      <c r="ACX41" s="562"/>
      <c r="ACY41" s="562"/>
      <c r="ACZ41" s="562"/>
      <c r="ADA41" s="562"/>
      <c r="ADB41" s="562"/>
      <c r="ADC41" s="562"/>
      <c r="ADD41" s="562"/>
      <c r="ADE41" s="562"/>
      <c r="ADF41" s="562"/>
      <c r="ADG41" s="562"/>
      <c r="ADH41" s="562"/>
      <c r="ADI41" s="562"/>
      <c r="ADJ41" s="562"/>
      <c r="ADK41" s="562"/>
      <c r="ADL41" s="562"/>
      <c r="ADM41" s="562"/>
      <c r="ADN41" s="562"/>
      <c r="ADO41" s="562"/>
      <c r="ADP41" s="562"/>
      <c r="ADQ41" s="562"/>
      <c r="ADR41" s="562"/>
      <c r="ADS41" s="562"/>
      <c r="ADT41" s="562"/>
      <c r="ADU41" s="562"/>
      <c r="ADV41" s="562"/>
      <c r="ADW41" s="562"/>
      <c r="ADX41" s="562"/>
      <c r="ADY41" s="562"/>
      <c r="ADZ41" s="562"/>
      <c r="AEA41" s="562"/>
      <c r="AEB41" s="562"/>
      <c r="AEC41" s="562"/>
      <c r="AED41" s="562"/>
      <c r="AEE41" s="562"/>
      <c r="AEF41" s="562"/>
      <c r="AEG41" s="562"/>
      <c r="AEH41" s="562"/>
      <c r="AEI41" s="562"/>
      <c r="AEJ41" s="562"/>
      <c r="AEK41" s="562"/>
      <c r="AEL41" s="562"/>
      <c r="AEM41" s="562"/>
      <c r="AEN41" s="562"/>
      <c r="AEO41" s="562"/>
      <c r="AEP41" s="562"/>
      <c r="AEQ41" s="562"/>
      <c r="AER41" s="562"/>
      <c r="AES41" s="562"/>
      <c r="AET41" s="562"/>
      <c r="AEU41" s="562"/>
      <c r="AEV41" s="562"/>
      <c r="AEW41" s="562"/>
      <c r="AEX41" s="562"/>
      <c r="AEY41" s="562"/>
      <c r="AEZ41" s="562"/>
      <c r="AFA41" s="562"/>
      <c r="AFB41" s="562"/>
      <c r="AFC41" s="562"/>
      <c r="AFD41" s="562"/>
      <c r="AFE41" s="562"/>
      <c r="AFF41" s="562"/>
      <c r="AFG41" s="562"/>
      <c r="AFH41" s="562"/>
      <c r="AFI41" s="562"/>
      <c r="AFJ41" s="562"/>
      <c r="AFK41" s="562"/>
      <c r="AFL41" s="562"/>
      <c r="AFM41" s="562"/>
      <c r="AFN41" s="562"/>
      <c r="AFO41" s="562"/>
      <c r="AFP41" s="562"/>
      <c r="AFQ41" s="562"/>
      <c r="AFR41" s="562"/>
      <c r="AFS41" s="562"/>
      <c r="AFT41" s="562"/>
      <c r="AFU41" s="562"/>
      <c r="AFV41" s="562"/>
      <c r="AFW41" s="562"/>
      <c r="AFX41" s="562"/>
      <c r="AFY41" s="562"/>
      <c r="AFZ41" s="562"/>
      <c r="AGA41" s="562"/>
      <c r="AGB41" s="562"/>
      <c r="AGC41" s="562"/>
      <c r="AGD41" s="562"/>
      <c r="AGE41" s="562"/>
      <c r="AGF41" s="562"/>
      <c r="AGG41" s="562"/>
      <c r="AGH41" s="562"/>
      <c r="AGI41" s="562"/>
      <c r="AGJ41" s="562"/>
      <c r="AGK41" s="562"/>
      <c r="AGL41" s="562"/>
      <c r="AGM41" s="562"/>
      <c r="AGN41" s="562"/>
      <c r="AGO41" s="562"/>
      <c r="AGP41" s="562"/>
      <c r="AGQ41" s="562"/>
      <c r="AGR41" s="562"/>
      <c r="AGS41" s="562"/>
      <c r="AGT41" s="562"/>
      <c r="AGU41" s="562"/>
      <c r="AGV41" s="562"/>
      <c r="AGW41" s="562"/>
      <c r="AGX41" s="562"/>
      <c r="AGY41" s="562"/>
      <c r="AGZ41" s="562"/>
      <c r="AHA41" s="562"/>
      <c r="AHB41" s="562"/>
      <c r="AHC41" s="562"/>
      <c r="AHD41" s="562"/>
      <c r="AHE41" s="562"/>
      <c r="AHF41" s="562"/>
      <c r="AHG41" s="562"/>
      <c r="AHH41" s="562"/>
      <c r="AHI41" s="562"/>
      <c r="AHJ41" s="562"/>
      <c r="AHK41" s="562"/>
      <c r="AHL41" s="562"/>
      <c r="AHM41" s="562"/>
      <c r="AHN41" s="562"/>
      <c r="AHO41" s="562"/>
      <c r="AHP41" s="562"/>
      <c r="AHQ41" s="562"/>
      <c r="AHR41" s="562"/>
      <c r="AHS41" s="562"/>
      <c r="AHT41" s="562"/>
      <c r="AHU41" s="562"/>
      <c r="AHV41" s="562"/>
      <c r="AHW41" s="562"/>
      <c r="AHX41" s="562"/>
      <c r="AHY41" s="562"/>
      <c r="AHZ41" s="562"/>
      <c r="AIA41" s="562"/>
      <c r="AIB41" s="562"/>
      <c r="AIC41" s="562"/>
      <c r="AID41" s="562"/>
      <c r="AIE41" s="562"/>
      <c r="AIF41" s="562"/>
      <c r="AIG41" s="562"/>
      <c r="AIH41" s="562"/>
      <c r="AII41" s="562"/>
      <c r="AIJ41" s="562"/>
      <c r="AIK41" s="562"/>
      <c r="AIL41" s="562"/>
      <c r="AIM41" s="562"/>
      <c r="AIN41" s="562"/>
      <c r="AIO41" s="562"/>
      <c r="AIP41" s="562"/>
      <c r="AIQ41" s="562"/>
      <c r="AIR41" s="562"/>
      <c r="AIS41" s="562"/>
      <c r="AIT41" s="562"/>
      <c r="AIU41" s="562"/>
      <c r="AIV41" s="562"/>
      <c r="AIW41" s="562"/>
      <c r="AIX41" s="562"/>
      <c r="AIY41" s="562"/>
      <c r="AIZ41" s="562"/>
      <c r="AJA41" s="562"/>
      <c r="AJB41" s="562"/>
      <c r="AJC41" s="562"/>
      <c r="AJD41" s="562"/>
      <c r="AJE41" s="562"/>
      <c r="AJF41" s="562"/>
      <c r="AJG41" s="562"/>
      <c r="AJH41" s="562"/>
      <c r="AJI41" s="562"/>
      <c r="AJJ41" s="562"/>
      <c r="AJK41" s="562"/>
      <c r="AJL41" s="562"/>
      <c r="AJM41" s="562"/>
      <c r="AJN41" s="562"/>
      <c r="AJO41" s="562"/>
      <c r="AJP41" s="562"/>
      <c r="AJQ41" s="562"/>
      <c r="AJR41" s="562"/>
      <c r="AJS41" s="562"/>
      <c r="AJT41" s="562"/>
      <c r="AJU41" s="562"/>
      <c r="AJV41" s="562"/>
      <c r="AJW41" s="562"/>
      <c r="AJX41" s="562"/>
      <c r="AJY41" s="562"/>
      <c r="AJZ41" s="562"/>
      <c r="AKA41" s="562"/>
      <c r="AKB41" s="562"/>
      <c r="AKC41" s="562"/>
      <c r="AKD41" s="562"/>
      <c r="AKE41" s="562"/>
      <c r="AKF41" s="562"/>
      <c r="AKG41" s="562"/>
      <c r="AKH41" s="562"/>
      <c r="AKI41" s="562"/>
      <c r="AKJ41" s="562"/>
      <c r="AKK41" s="562"/>
      <c r="AKL41" s="562"/>
      <c r="AKM41" s="562"/>
      <c r="AKN41" s="562"/>
      <c r="AKO41" s="562"/>
      <c r="AKP41" s="562"/>
      <c r="AKQ41" s="562"/>
      <c r="AKR41" s="562"/>
      <c r="AKS41" s="562"/>
      <c r="AKT41" s="562"/>
      <c r="AKU41" s="562"/>
      <c r="AKV41" s="562"/>
      <c r="AKW41" s="562"/>
      <c r="AKX41" s="562"/>
      <c r="AKY41" s="562"/>
      <c r="AKZ41" s="562"/>
      <c r="ALA41" s="562"/>
      <c r="ALB41" s="562"/>
      <c r="ALC41" s="562"/>
      <c r="ALD41" s="562"/>
      <c r="ALE41" s="562"/>
      <c r="ALF41" s="562"/>
      <c r="ALG41" s="562"/>
      <c r="ALH41" s="562"/>
      <c r="ALI41" s="562"/>
      <c r="ALJ41" s="562"/>
      <c r="ALK41" s="562"/>
      <c r="ALL41" s="562"/>
      <c r="ALM41" s="562"/>
      <c r="ALN41" s="562"/>
      <c r="ALO41" s="562"/>
      <c r="ALP41" s="562"/>
      <c r="ALQ41" s="562"/>
      <c r="ALR41" s="562"/>
      <c r="ALS41" s="562"/>
      <c r="ALT41" s="562"/>
      <c r="ALU41" s="562"/>
      <c r="ALV41" s="562"/>
      <c r="ALW41" s="562"/>
      <c r="ALX41" s="562"/>
      <c r="ALY41" s="562"/>
      <c r="ALZ41" s="562"/>
      <c r="AMA41" s="562"/>
      <c r="AMB41" s="562"/>
      <c r="AMC41" s="562"/>
      <c r="AMD41" s="562"/>
      <c r="AME41" s="562"/>
      <c r="AMF41" s="562"/>
      <c r="AMG41" s="562"/>
      <c r="AMH41" s="562"/>
      <c r="AMI41" s="562"/>
      <c r="AMJ41" s="562"/>
      <c r="AMK41" s="562"/>
      <c r="AML41" s="562"/>
      <c r="AMM41" s="562"/>
      <c r="AMN41" s="562"/>
      <c r="AMO41" s="562"/>
      <c r="AMP41" s="562"/>
      <c r="AMQ41" s="562"/>
      <c r="AMR41" s="562"/>
      <c r="AMS41" s="562"/>
      <c r="AMT41" s="562"/>
      <c r="AMU41" s="562"/>
      <c r="AMV41" s="562"/>
      <c r="AMW41" s="562"/>
      <c r="AMX41" s="562"/>
      <c r="AMY41" s="562"/>
      <c r="AMZ41" s="562"/>
      <c r="ANA41" s="562"/>
      <c r="ANB41" s="562"/>
      <c r="ANC41" s="562"/>
      <c r="AND41" s="562"/>
      <c r="ANE41" s="562"/>
      <c r="ANF41" s="562"/>
      <c r="ANG41" s="562"/>
      <c r="ANH41" s="562"/>
      <c r="ANI41" s="562"/>
      <c r="ANJ41" s="562"/>
      <c r="ANK41" s="562"/>
      <c r="ANL41" s="562"/>
      <c r="ANM41" s="562"/>
      <c r="ANN41" s="562"/>
      <c r="ANO41" s="562"/>
      <c r="ANP41" s="562"/>
      <c r="ANQ41" s="562"/>
      <c r="ANR41" s="562"/>
      <c r="ANS41" s="562"/>
      <c r="ANT41" s="562"/>
      <c r="ANU41" s="562"/>
      <c r="ANV41" s="562"/>
      <c r="ANW41" s="562"/>
      <c r="ANX41" s="562"/>
      <c r="ANY41" s="562"/>
      <c r="ANZ41" s="562"/>
      <c r="AOA41" s="562"/>
      <c r="AOB41" s="562"/>
      <c r="AOC41" s="562"/>
      <c r="AOD41" s="562"/>
      <c r="AOE41" s="562"/>
      <c r="AOF41" s="562"/>
      <c r="AOG41" s="562"/>
      <c r="AOH41" s="562"/>
      <c r="AOI41" s="562"/>
      <c r="AOJ41" s="562"/>
      <c r="AOK41" s="562"/>
      <c r="AOL41" s="562"/>
      <c r="AOM41" s="562"/>
      <c r="AON41" s="562"/>
      <c r="AOO41" s="562"/>
      <c r="AOP41" s="562"/>
      <c r="AOQ41" s="562"/>
      <c r="AOR41" s="562"/>
      <c r="AOS41" s="562"/>
      <c r="AOT41" s="562"/>
      <c r="AOU41" s="562"/>
      <c r="AOV41" s="562"/>
      <c r="AOW41" s="562"/>
      <c r="AOX41" s="562"/>
      <c r="AOY41" s="562"/>
      <c r="AOZ41" s="562"/>
      <c r="APA41" s="562"/>
      <c r="APB41" s="562"/>
      <c r="APC41" s="562"/>
      <c r="APD41" s="562"/>
      <c r="APE41" s="562"/>
      <c r="APF41" s="562"/>
      <c r="APG41" s="562"/>
      <c r="APH41" s="562"/>
      <c r="API41" s="562"/>
      <c r="APJ41" s="562"/>
      <c r="APK41" s="562"/>
      <c r="APL41" s="562"/>
      <c r="APM41" s="562"/>
      <c r="APN41" s="562"/>
      <c r="APO41" s="562"/>
      <c r="APP41" s="562"/>
      <c r="APQ41" s="562"/>
      <c r="APR41" s="562"/>
      <c r="APS41" s="562"/>
      <c r="APT41" s="562"/>
      <c r="APU41" s="562"/>
      <c r="APV41" s="562"/>
      <c r="APW41" s="562"/>
      <c r="APX41" s="562"/>
      <c r="APY41" s="562"/>
      <c r="APZ41" s="562"/>
      <c r="AQA41" s="562"/>
      <c r="AQB41" s="562"/>
      <c r="AQC41" s="562"/>
      <c r="AQD41" s="562"/>
      <c r="AQE41" s="562"/>
      <c r="AQF41" s="562"/>
      <c r="AQG41" s="562"/>
      <c r="AQH41" s="562"/>
      <c r="AQI41" s="562"/>
      <c r="AQJ41" s="562"/>
      <c r="AQK41" s="562"/>
      <c r="AQL41" s="562"/>
      <c r="AQM41" s="562"/>
      <c r="AQN41" s="562"/>
      <c r="AQO41" s="562"/>
      <c r="AQP41" s="562"/>
      <c r="AQQ41" s="562"/>
      <c r="AQR41" s="562"/>
      <c r="AQS41" s="562"/>
      <c r="AQT41" s="562"/>
      <c r="AQU41" s="562"/>
      <c r="AQV41" s="562"/>
      <c r="AQW41" s="562"/>
      <c r="AQX41" s="562"/>
      <c r="AQY41" s="562"/>
      <c r="AQZ41" s="562"/>
      <c r="ARA41" s="562"/>
      <c r="ARB41" s="562"/>
      <c r="ARC41" s="562"/>
      <c r="ARD41" s="562"/>
      <c r="ARE41" s="562"/>
      <c r="ARF41" s="562"/>
      <c r="ARG41" s="562"/>
      <c r="ARH41" s="562"/>
      <c r="ARI41" s="562"/>
      <c r="ARJ41" s="562"/>
      <c r="ARK41" s="562"/>
      <c r="ARL41" s="562"/>
      <c r="ARM41" s="562"/>
      <c r="ARN41" s="562"/>
      <c r="ARO41" s="562"/>
      <c r="ARP41" s="562"/>
      <c r="ARQ41" s="562"/>
      <c r="ARR41" s="562"/>
      <c r="ARS41" s="562"/>
      <c r="ART41" s="562"/>
      <c r="ARU41" s="562"/>
      <c r="ARV41" s="562"/>
      <c r="ARW41" s="562"/>
      <c r="ARX41" s="562"/>
      <c r="ARY41" s="562"/>
      <c r="ARZ41" s="562"/>
      <c r="ASA41" s="562"/>
      <c r="ASB41" s="562"/>
      <c r="ASC41" s="562"/>
      <c r="ASD41" s="562"/>
      <c r="ASE41" s="562"/>
      <c r="ASF41" s="562"/>
      <c r="ASG41" s="562"/>
      <c r="ASH41" s="562"/>
      <c r="ASI41" s="562"/>
      <c r="ASJ41" s="562"/>
      <c r="ASK41" s="562"/>
      <c r="ASL41" s="562"/>
      <c r="ASM41" s="562"/>
      <c r="ASN41" s="562"/>
      <c r="ASO41" s="562"/>
      <c r="ASP41" s="562"/>
      <c r="ASQ41" s="562"/>
      <c r="ASR41" s="562"/>
      <c r="ASS41" s="562"/>
      <c r="AST41" s="562"/>
      <c r="ASU41" s="562"/>
      <c r="ASV41" s="562"/>
      <c r="ASW41" s="562"/>
      <c r="ASX41" s="562"/>
      <c r="ASY41" s="562"/>
      <c r="ASZ41" s="562"/>
      <c r="ATA41" s="562"/>
      <c r="ATB41" s="562"/>
      <c r="ATC41" s="562"/>
      <c r="ATD41" s="562"/>
      <c r="ATE41" s="562"/>
      <c r="ATF41" s="562"/>
      <c r="ATG41" s="562"/>
      <c r="ATH41" s="562"/>
      <c r="ATI41" s="562"/>
      <c r="ATJ41" s="562"/>
      <c r="ATK41" s="562"/>
      <c r="ATL41" s="562"/>
      <c r="ATM41" s="562"/>
      <c r="ATN41" s="562"/>
      <c r="ATO41" s="562"/>
      <c r="ATP41" s="562"/>
      <c r="ATQ41" s="562"/>
      <c r="ATR41" s="562"/>
      <c r="ATS41" s="562"/>
      <c r="ATT41" s="562"/>
      <c r="ATU41" s="562"/>
      <c r="ATV41" s="562"/>
      <c r="ATW41" s="562"/>
      <c r="ATX41" s="562"/>
      <c r="ATY41" s="562"/>
      <c r="ATZ41" s="562"/>
      <c r="AUA41" s="562"/>
      <c r="AUB41" s="562"/>
      <c r="AUC41" s="562"/>
      <c r="AUD41" s="562"/>
      <c r="AUE41" s="562"/>
      <c r="AUF41" s="562"/>
      <c r="AUG41" s="562"/>
      <c r="AUH41" s="562"/>
      <c r="AUI41" s="562"/>
      <c r="AUJ41" s="562"/>
      <c r="AUK41" s="562"/>
      <c r="AUL41" s="562"/>
      <c r="AUM41" s="562"/>
      <c r="AUN41" s="562"/>
      <c r="AUO41" s="562"/>
      <c r="AUP41" s="562"/>
      <c r="AUQ41" s="562"/>
      <c r="AUR41" s="562"/>
      <c r="AUS41" s="562"/>
      <c r="AUT41" s="562"/>
      <c r="AUU41" s="562"/>
      <c r="AUV41" s="562"/>
      <c r="AUW41" s="562"/>
      <c r="AUX41" s="562"/>
      <c r="AUY41" s="562"/>
      <c r="AUZ41" s="562"/>
      <c r="AVA41" s="562"/>
      <c r="AVB41" s="562"/>
      <c r="AVC41" s="562"/>
      <c r="AVD41" s="562"/>
      <c r="AVE41" s="562"/>
      <c r="AVF41" s="562"/>
      <c r="AVG41" s="562"/>
      <c r="AVH41" s="562"/>
      <c r="AVI41" s="562"/>
      <c r="AVJ41" s="562"/>
      <c r="AVK41" s="562"/>
      <c r="AVL41" s="562"/>
      <c r="AVM41" s="562"/>
      <c r="AVN41" s="562"/>
      <c r="AVO41" s="562"/>
      <c r="AVP41" s="562"/>
      <c r="AVQ41" s="562"/>
      <c r="AVR41" s="562"/>
      <c r="AVS41" s="562"/>
      <c r="AVT41" s="562"/>
      <c r="AVU41" s="562"/>
      <c r="AVV41" s="562"/>
      <c r="AVW41" s="562"/>
      <c r="AVX41" s="562"/>
      <c r="AVY41" s="562"/>
      <c r="AVZ41" s="562"/>
      <c r="AWA41" s="562"/>
      <c r="AWB41" s="562"/>
      <c r="AWC41" s="562"/>
      <c r="AWD41" s="562"/>
      <c r="AWE41" s="562"/>
      <c r="AWF41" s="562"/>
      <c r="AWG41" s="562"/>
      <c r="AWH41" s="562"/>
      <c r="AWI41" s="562"/>
      <c r="AWJ41" s="562"/>
      <c r="AWK41" s="562"/>
      <c r="AWL41" s="562"/>
      <c r="AWM41" s="562"/>
      <c r="AWN41" s="562"/>
      <c r="AWO41" s="562"/>
      <c r="AWP41" s="562"/>
      <c r="AWQ41" s="562"/>
      <c r="AWR41" s="562"/>
      <c r="AWS41" s="562"/>
      <c r="AWT41" s="562"/>
      <c r="AWU41" s="562"/>
      <c r="AWV41" s="562"/>
      <c r="AWW41" s="562"/>
      <c r="AWX41" s="562"/>
      <c r="AWY41" s="562"/>
      <c r="AWZ41" s="562"/>
      <c r="AXA41" s="562"/>
      <c r="AXB41" s="562"/>
      <c r="AXC41" s="562"/>
      <c r="AXD41" s="562"/>
      <c r="AXE41" s="562"/>
      <c r="AXF41" s="562"/>
      <c r="AXG41" s="562"/>
      <c r="AXH41" s="562"/>
      <c r="AXI41" s="562"/>
      <c r="AXJ41" s="562"/>
      <c r="AXK41" s="562"/>
      <c r="AXL41" s="562"/>
      <c r="AXM41" s="562"/>
      <c r="AXN41" s="562"/>
      <c r="AXO41" s="562"/>
      <c r="AXP41" s="562"/>
      <c r="AXQ41" s="562"/>
      <c r="AXR41" s="562"/>
      <c r="AXS41" s="562"/>
      <c r="AXT41" s="562"/>
      <c r="AXU41" s="562"/>
      <c r="AXV41" s="562"/>
      <c r="AXW41" s="562"/>
      <c r="AXX41" s="562"/>
      <c r="AXY41" s="562"/>
      <c r="AXZ41" s="562"/>
      <c r="AYA41" s="562"/>
      <c r="AYB41" s="562"/>
      <c r="AYC41" s="562"/>
      <c r="AYD41" s="562"/>
      <c r="AYE41" s="562"/>
      <c r="AYF41" s="562"/>
      <c r="AYG41" s="562"/>
      <c r="AYH41" s="562"/>
      <c r="AYI41" s="562"/>
      <c r="AYJ41" s="562"/>
      <c r="AYK41" s="562"/>
      <c r="AYL41" s="562"/>
      <c r="AYM41" s="562"/>
      <c r="AYN41" s="562"/>
      <c r="AYO41" s="562"/>
      <c r="AYP41" s="562"/>
      <c r="AYQ41" s="562"/>
      <c r="AYR41" s="562"/>
      <c r="AYS41" s="562"/>
      <c r="AYT41" s="562"/>
      <c r="AYU41" s="562"/>
      <c r="AYV41" s="562"/>
      <c r="AYW41" s="562"/>
      <c r="AYX41" s="562"/>
      <c r="AYY41" s="562"/>
      <c r="AYZ41" s="562"/>
      <c r="AZA41" s="562"/>
      <c r="AZB41" s="562"/>
      <c r="AZC41" s="562"/>
      <c r="AZD41" s="562"/>
      <c r="AZE41" s="562"/>
      <c r="AZF41" s="562"/>
      <c r="AZG41" s="562"/>
      <c r="AZH41" s="562"/>
      <c r="AZI41" s="562"/>
      <c r="AZJ41" s="562"/>
      <c r="AZK41" s="562"/>
      <c r="AZL41" s="562"/>
      <c r="AZM41" s="562"/>
      <c r="AZN41" s="562"/>
      <c r="AZO41" s="562"/>
      <c r="AZP41" s="562"/>
      <c r="AZQ41" s="562"/>
      <c r="AZR41" s="562"/>
      <c r="AZS41" s="562"/>
      <c r="AZT41" s="562"/>
      <c r="AZU41" s="562"/>
      <c r="AZV41" s="562"/>
      <c r="AZW41" s="562"/>
      <c r="AZX41" s="562"/>
      <c r="AZY41" s="562"/>
      <c r="AZZ41" s="562"/>
      <c r="BAA41" s="562"/>
      <c r="BAB41" s="562"/>
      <c r="BAC41" s="562"/>
      <c r="BAD41" s="562"/>
      <c r="BAE41" s="562"/>
      <c r="BAF41" s="562"/>
      <c r="BAG41" s="562"/>
      <c r="BAH41" s="562"/>
      <c r="BAI41" s="562"/>
      <c r="BAJ41" s="562"/>
      <c r="BAK41" s="562"/>
      <c r="BAL41" s="562"/>
      <c r="BAM41" s="562"/>
      <c r="BAN41" s="562"/>
      <c r="BAO41" s="562"/>
      <c r="BAP41" s="562"/>
      <c r="BAQ41" s="562"/>
      <c r="BAR41" s="562"/>
      <c r="BAS41" s="562"/>
      <c r="BAT41" s="562"/>
      <c r="BAU41" s="562"/>
      <c r="BAV41" s="562"/>
      <c r="BAW41" s="562"/>
      <c r="BAX41" s="562"/>
      <c r="BAY41" s="562"/>
      <c r="BAZ41" s="562"/>
      <c r="BBA41" s="562"/>
      <c r="BBB41" s="562"/>
      <c r="BBC41" s="562"/>
      <c r="BBD41" s="562"/>
      <c r="BBE41" s="562"/>
      <c r="BBF41" s="562"/>
      <c r="BBG41" s="562"/>
      <c r="BBH41" s="562"/>
      <c r="BBI41" s="562"/>
      <c r="BBJ41" s="562"/>
      <c r="BBK41" s="562"/>
      <c r="BBL41" s="562"/>
      <c r="BBM41" s="562"/>
      <c r="BBN41" s="562"/>
      <c r="BBO41" s="562"/>
      <c r="BBP41" s="562"/>
      <c r="BBQ41" s="562"/>
      <c r="BBR41" s="562"/>
      <c r="BBS41" s="562"/>
      <c r="BBT41" s="562"/>
      <c r="BBU41" s="562"/>
      <c r="BBV41" s="562"/>
      <c r="BBW41" s="562"/>
      <c r="BBX41" s="562"/>
      <c r="BBY41" s="562"/>
      <c r="BBZ41" s="562"/>
      <c r="BCA41" s="562"/>
      <c r="BCB41" s="562"/>
      <c r="BCC41" s="562"/>
      <c r="BCD41" s="562"/>
      <c r="BCE41" s="562"/>
      <c r="BCF41" s="562"/>
      <c r="BCG41" s="562"/>
      <c r="BCH41" s="562"/>
      <c r="BCI41" s="562"/>
      <c r="BCJ41" s="562"/>
      <c r="BCK41" s="562"/>
      <c r="BCL41" s="562"/>
      <c r="BCM41" s="562"/>
      <c r="BCN41" s="562"/>
      <c r="BCO41" s="562"/>
      <c r="BCP41" s="562"/>
      <c r="BCQ41" s="562"/>
      <c r="BCR41" s="562"/>
      <c r="BCS41" s="562"/>
      <c r="BCT41" s="562"/>
      <c r="BCU41" s="562"/>
      <c r="BCV41" s="562"/>
      <c r="BCW41" s="562"/>
      <c r="BCX41" s="562"/>
      <c r="BCY41" s="562"/>
      <c r="BCZ41" s="562"/>
      <c r="BDA41" s="562"/>
      <c r="BDB41" s="562"/>
      <c r="BDC41" s="562"/>
      <c r="BDD41" s="562"/>
      <c r="BDE41" s="562"/>
      <c r="BDF41" s="562"/>
      <c r="BDG41" s="562"/>
      <c r="BDH41" s="562"/>
      <c r="BDI41" s="562"/>
      <c r="BDJ41" s="562"/>
      <c r="BDK41" s="562"/>
      <c r="BDL41" s="562"/>
      <c r="BDM41" s="562"/>
      <c r="BDN41" s="562"/>
      <c r="BDO41" s="562"/>
      <c r="BDP41" s="562"/>
      <c r="BDQ41" s="562"/>
      <c r="BDR41" s="562"/>
      <c r="BDS41" s="562"/>
      <c r="BDT41" s="562"/>
      <c r="BDU41" s="562"/>
      <c r="BDV41" s="562"/>
      <c r="BDW41" s="562"/>
      <c r="BDX41" s="562"/>
      <c r="BDY41" s="562"/>
      <c r="BDZ41" s="562"/>
      <c r="BEA41" s="562"/>
      <c r="BEB41" s="562"/>
      <c r="BEC41" s="562"/>
      <c r="BED41" s="562"/>
      <c r="BEE41" s="562"/>
      <c r="BEF41" s="562"/>
      <c r="BEG41" s="562"/>
      <c r="BEH41" s="562"/>
      <c r="BEI41" s="562"/>
      <c r="BEJ41" s="562"/>
      <c r="BEK41" s="562"/>
      <c r="BEL41" s="562"/>
      <c r="BEM41" s="562"/>
      <c r="BEN41" s="562"/>
      <c r="BEO41" s="562"/>
      <c r="BEP41" s="562"/>
      <c r="BEQ41" s="562"/>
      <c r="BER41" s="562"/>
      <c r="BES41" s="562"/>
      <c r="BET41" s="562"/>
      <c r="BEU41" s="562"/>
      <c r="BEV41" s="562"/>
      <c r="BEW41" s="562"/>
      <c r="BEX41" s="562"/>
      <c r="BEY41" s="562"/>
      <c r="BEZ41" s="562"/>
      <c r="BFA41" s="562"/>
      <c r="BFB41" s="562"/>
      <c r="BFC41" s="562"/>
      <c r="BFD41" s="562"/>
      <c r="BFE41" s="562"/>
      <c r="BFF41" s="562"/>
      <c r="BFG41" s="562"/>
      <c r="BFH41" s="562"/>
      <c r="BFI41" s="562"/>
      <c r="BFJ41" s="562"/>
      <c r="BFK41" s="562"/>
      <c r="BFL41" s="562"/>
      <c r="BFM41" s="562"/>
      <c r="BFN41" s="562"/>
      <c r="BFO41" s="562"/>
      <c r="BFP41" s="562"/>
      <c r="BFQ41" s="562"/>
      <c r="BFR41" s="562"/>
      <c r="BFS41" s="562"/>
      <c r="BFT41" s="562"/>
      <c r="BFU41" s="562"/>
      <c r="BFV41" s="562"/>
      <c r="BFW41" s="562"/>
      <c r="BFX41" s="562"/>
      <c r="BFY41" s="562"/>
      <c r="BFZ41" s="562"/>
      <c r="BGA41" s="562"/>
      <c r="BGB41" s="562"/>
      <c r="BGC41" s="562"/>
      <c r="BGD41" s="562"/>
      <c r="BGE41" s="562"/>
      <c r="BGF41" s="562"/>
      <c r="BGG41" s="562"/>
      <c r="BGH41" s="562"/>
      <c r="BGI41" s="562"/>
      <c r="BGJ41" s="562"/>
      <c r="BGK41" s="562"/>
      <c r="BGL41" s="562"/>
      <c r="BGM41" s="562"/>
      <c r="BGN41" s="562"/>
      <c r="BGO41" s="562"/>
      <c r="BGP41" s="562"/>
      <c r="BGQ41" s="562"/>
      <c r="BGR41" s="562"/>
      <c r="BGS41" s="562"/>
      <c r="BGT41" s="562"/>
      <c r="BGU41" s="562"/>
      <c r="BGV41" s="562"/>
      <c r="BGW41" s="562"/>
      <c r="BGX41" s="562"/>
      <c r="BGY41" s="562"/>
      <c r="BGZ41" s="562"/>
      <c r="BHA41" s="562"/>
      <c r="BHB41" s="562"/>
      <c r="BHC41" s="562"/>
      <c r="BHD41" s="562"/>
      <c r="BHE41" s="562"/>
      <c r="BHF41" s="562"/>
      <c r="BHG41" s="562"/>
      <c r="BHH41" s="562"/>
      <c r="BHI41" s="562"/>
      <c r="BHJ41" s="562"/>
      <c r="BHK41" s="562"/>
      <c r="BHL41" s="562"/>
      <c r="BHM41" s="562"/>
      <c r="BHN41" s="562"/>
      <c r="BHO41" s="562"/>
      <c r="BHP41" s="562"/>
      <c r="BHQ41" s="562"/>
      <c r="BHR41" s="562"/>
      <c r="BHS41" s="562"/>
      <c r="BHT41" s="562"/>
      <c r="BHU41" s="562"/>
      <c r="BHV41" s="562"/>
      <c r="BHW41" s="562"/>
      <c r="BHX41" s="562"/>
      <c r="BHY41" s="562"/>
      <c r="BHZ41" s="562"/>
      <c r="BIA41" s="562"/>
      <c r="BIB41" s="562"/>
      <c r="BIC41" s="562"/>
      <c r="BID41" s="562"/>
      <c r="BIE41" s="562"/>
      <c r="BIF41" s="562"/>
      <c r="BIG41" s="562"/>
      <c r="BIH41" s="562"/>
      <c r="BII41" s="562"/>
      <c r="BIJ41" s="562"/>
      <c r="BIK41" s="562"/>
      <c r="BIL41" s="562"/>
      <c r="BIM41" s="562"/>
      <c r="BIN41" s="562"/>
      <c r="BIO41" s="562"/>
      <c r="BIP41" s="562"/>
      <c r="BIQ41" s="562"/>
      <c r="BIR41" s="562"/>
      <c r="BIS41" s="562"/>
      <c r="BIT41" s="562"/>
      <c r="BIU41" s="562"/>
      <c r="BIV41" s="562"/>
      <c r="BIW41" s="562"/>
      <c r="BIX41" s="562"/>
      <c r="BIY41" s="562"/>
      <c r="BIZ41" s="562"/>
      <c r="BJA41" s="562"/>
      <c r="BJB41" s="562"/>
      <c r="BJC41" s="562"/>
      <c r="BJD41" s="562"/>
      <c r="BJE41" s="562"/>
      <c r="BJF41" s="562"/>
      <c r="BJG41" s="562"/>
      <c r="BJH41" s="562"/>
      <c r="BJI41" s="562"/>
      <c r="BJJ41" s="562"/>
      <c r="BJK41" s="562"/>
      <c r="BJL41" s="562"/>
      <c r="BJM41" s="562"/>
      <c r="BJN41" s="562"/>
      <c r="BJO41" s="562"/>
      <c r="BJP41" s="562"/>
      <c r="BJQ41" s="562"/>
      <c r="BJR41" s="562"/>
      <c r="BJS41" s="562"/>
      <c r="BJT41" s="562"/>
      <c r="BJU41" s="562"/>
      <c r="BJV41" s="562"/>
      <c r="BJW41" s="562"/>
      <c r="BJX41" s="562"/>
      <c r="BJY41" s="562"/>
      <c r="BJZ41" s="562"/>
      <c r="BKA41" s="562"/>
      <c r="BKB41" s="562"/>
      <c r="BKC41" s="562"/>
      <c r="BKD41" s="562"/>
      <c r="BKE41" s="562"/>
      <c r="BKF41" s="562"/>
      <c r="BKG41" s="562"/>
      <c r="BKH41" s="562"/>
      <c r="BKI41" s="562"/>
      <c r="BKJ41" s="562"/>
      <c r="BKK41" s="562"/>
      <c r="BKL41" s="562"/>
      <c r="BKM41" s="562"/>
      <c r="BKN41" s="562"/>
      <c r="BKO41" s="562"/>
      <c r="BKP41" s="562"/>
      <c r="BKQ41" s="562"/>
      <c r="BKR41" s="562"/>
      <c r="BKS41" s="562"/>
      <c r="BKT41" s="562"/>
      <c r="BKU41" s="562"/>
      <c r="BKV41" s="562"/>
      <c r="BKW41" s="562"/>
      <c r="BKX41" s="562"/>
      <c r="BKY41" s="562"/>
      <c r="BKZ41" s="562"/>
      <c r="BLA41" s="562"/>
      <c r="BLB41" s="562"/>
      <c r="BLC41" s="562"/>
      <c r="BLD41" s="562"/>
      <c r="BLE41" s="562"/>
      <c r="BLF41" s="562"/>
      <c r="BLG41" s="562"/>
      <c r="BLH41" s="562"/>
      <c r="BLI41" s="562"/>
      <c r="BLJ41" s="562"/>
      <c r="BLK41" s="562"/>
      <c r="BLL41" s="562"/>
      <c r="BLM41" s="562"/>
      <c r="BLN41" s="562"/>
      <c r="BLO41" s="562"/>
      <c r="BLP41" s="562"/>
      <c r="BLQ41" s="562"/>
      <c r="BLR41" s="562"/>
      <c r="BLS41" s="562"/>
      <c r="BLT41" s="562"/>
      <c r="BLU41" s="562"/>
      <c r="BLV41" s="562"/>
      <c r="BLW41" s="562"/>
      <c r="BLX41" s="562"/>
      <c r="BLY41" s="562"/>
      <c r="BLZ41" s="562"/>
      <c r="BMA41" s="562"/>
      <c r="BMB41" s="562"/>
      <c r="BMC41" s="562"/>
      <c r="BMD41" s="562"/>
      <c r="BME41" s="562"/>
      <c r="BMF41" s="562"/>
      <c r="BMG41" s="562"/>
      <c r="BMH41" s="562"/>
      <c r="BMI41" s="562"/>
      <c r="BMJ41" s="562"/>
      <c r="BMK41" s="562"/>
      <c r="BML41" s="562"/>
      <c r="BMM41" s="562"/>
      <c r="BMN41" s="562"/>
      <c r="BMO41" s="562"/>
      <c r="BMP41" s="562"/>
      <c r="BMQ41" s="562"/>
      <c r="BMR41" s="562"/>
      <c r="BMS41" s="562"/>
      <c r="BMT41" s="562"/>
      <c r="BMU41" s="562"/>
      <c r="BMV41" s="562"/>
      <c r="BMW41" s="562"/>
      <c r="BMX41" s="562"/>
      <c r="BMY41" s="562"/>
      <c r="BMZ41" s="562"/>
      <c r="BNA41" s="562"/>
      <c r="BNB41" s="562"/>
      <c r="BNC41" s="562"/>
      <c r="BND41" s="562"/>
      <c r="BNE41" s="562"/>
      <c r="BNF41" s="562"/>
      <c r="BNG41" s="562"/>
      <c r="BNH41" s="562"/>
      <c r="BNI41" s="562"/>
      <c r="BNJ41" s="562"/>
      <c r="BNK41" s="562"/>
      <c r="BNL41" s="562"/>
      <c r="BNM41" s="562"/>
      <c r="BNN41" s="562"/>
      <c r="BNO41" s="562"/>
      <c r="BNP41" s="562"/>
      <c r="BNQ41" s="562"/>
      <c r="BNR41" s="562"/>
      <c r="BNS41" s="562"/>
      <c r="BNT41" s="562"/>
      <c r="BNU41" s="562"/>
      <c r="BNV41" s="562"/>
      <c r="BNW41" s="562"/>
      <c r="BNX41" s="562"/>
      <c r="BNY41" s="562"/>
      <c r="BNZ41" s="562"/>
      <c r="BOA41" s="562"/>
      <c r="BOB41" s="562"/>
      <c r="BOC41" s="562"/>
      <c r="BOD41" s="562"/>
      <c r="BOE41" s="562"/>
      <c r="BOF41" s="562"/>
      <c r="BOG41" s="562"/>
      <c r="BOH41" s="562"/>
      <c r="BOI41" s="562"/>
      <c r="BOJ41" s="562"/>
      <c r="BOK41" s="562"/>
      <c r="BOL41" s="562"/>
      <c r="BOM41" s="562"/>
      <c r="BON41" s="562"/>
      <c r="BOO41" s="562"/>
      <c r="BOP41" s="562"/>
      <c r="BOQ41" s="562"/>
      <c r="BOR41" s="562"/>
      <c r="BOS41" s="562"/>
      <c r="BOT41" s="562"/>
      <c r="BOU41" s="562"/>
      <c r="BOV41" s="562"/>
      <c r="BOW41" s="562"/>
      <c r="BOX41" s="562"/>
      <c r="BOY41" s="562"/>
      <c r="BOZ41" s="562"/>
      <c r="BPA41" s="562"/>
      <c r="BPB41" s="562"/>
      <c r="BPC41" s="562"/>
      <c r="BPD41" s="562"/>
      <c r="BPE41" s="562"/>
      <c r="BPF41" s="562"/>
      <c r="BPG41" s="562"/>
      <c r="BPH41" s="562"/>
      <c r="BPI41" s="562"/>
      <c r="BPJ41" s="562"/>
      <c r="BPK41" s="562"/>
      <c r="BPL41" s="562"/>
      <c r="BPM41" s="562"/>
      <c r="BPN41" s="562"/>
      <c r="BPO41" s="562"/>
      <c r="BPP41" s="562"/>
      <c r="BPQ41" s="562"/>
      <c r="BPR41" s="562"/>
      <c r="BPS41" s="562"/>
      <c r="BPT41" s="562"/>
      <c r="BPU41" s="562"/>
      <c r="BPV41" s="562"/>
      <c r="BPW41" s="562"/>
      <c r="BPX41" s="562"/>
      <c r="BPY41" s="562"/>
      <c r="BPZ41" s="562"/>
      <c r="BQA41" s="562"/>
      <c r="BQB41" s="562"/>
      <c r="BQC41" s="562"/>
      <c r="BQD41" s="562"/>
      <c r="BQE41" s="562"/>
      <c r="BQF41" s="562"/>
      <c r="BQG41" s="562"/>
      <c r="BQH41" s="562"/>
      <c r="BQI41" s="562"/>
      <c r="BQJ41" s="562"/>
      <c r="BQK41" s="562"/>
      <c r="BQL41" s="562"/>
      <c r="BQM41" s="562"/>
      <c r="BQN41" s="562"/>
      <c r="BQO41" s="562"/>
      <c r="BQP41" s="562"/>
      <c r="BQQ41" s="562"/>
      <c r="BQR41" s="562"/>
      <c r="BQS41" s="562"/>
      <c r="BQT41" s="562"/>
      <c r="BQU41" s="562"/>
      <c r="BQV41" s="562"/>
      <c r="BQW41" s="562"/>
      <c r="BQX41" s="562"/>
      <c r="BQY41" s="562"/>
      <c r="BQZ41" s="562"/>
      <c r="BRA41" s="562"/>
      <c r="BRB41" s="562"/>
      <c r="BRC41" s="562"/>
      <c r="BRD41" s="562"/>
      <c r="BRE41" s="562"/>
      <c r="BRF41" s="562"/>
      <c r="BRG41" s="562"/>
      <c r="BRH41" s="562"/>
      <c r="BRI41" s="562"/>
      <c r="BRJ41" s="562"/>
      <c r="BRK41" s="562"/>
      <c r="BRL41" s="562"/>
      <c r="BRM41" s="562"/>
      <c r="BRN41" s="562"/>
      <c r="BRO41" s="562"/>
      <c r="BRP41" s="562"/>
      <c r="BRQ41" s="562"/>
      <c r="BRR41" s="562"/>
      <c r="BRS41" s="562"/>
      <c r="BRT41" s="562"/>
      <c r="BRU41" s="562"/>
      <c r="BRV41" s="562"/>
      <c r="BRW41" s="562"/>
      <c r="BRX41" s="562"/>
      <c r="BRY41" s="562"/>
      <c r="BRZ41" s="562"/>
      <c r="BSA41" s="562"/>
      <c r="BSB41" s="562"/>
      <c r="BSC41" s="562"/>
      <c r="BSD41" s="562"/>
      <c r="BSE41" s="562"/>
      <c r="BSF41" s="562"/>
      <c r="BSG41" s="562"/>
      <c r="BSH41" s="562"/>
      <c r="BSI41" s="562"/>
      <c r="BSJ41" s="562"/>
      <c r="BSK41" s="562"/>
      <c r="BSL41" s="562"/>
      <c r="BSM41" s="562"/>
      <c r="BSN41" s="562"/>
      <c r="BSO41" s="562"/>
      <c r="BSP41" s="562"/>
      <c r="BSQ41" s="562"/>
      <c r="BSR41" s="562"/>
      <c r="BSS41" s="562"/>
      <c r="BST41" s="562"/>
      <c r="BSU41" s="562"/>
      <c r="BSV41" s="562"/>
      <c r="BSW41" s="562"/>
      <c r="BSX41" s="562"/>
      <c r="BSY41" s="562"/>
      <c r="BSZ41" s="562"/>
      <c r="BTA41" s="562"/>
      <c r="BTB41" s="562"/>
      <c r="BTC41" s="562"/>
      <c r="BTD41" s="562"/>
      <c r="BTE41" s="562"/>
      <c r="BTF41" s="562"/>
      <c r="BTG41" s="562"/>
      <c r="BTH41" s="562"/>
      <c r="BTI41" s="562"/>
      <c r="BTJ41" s="562"/>
      <c r="BTK41" s="562"/>
      <c r="BTL41" s="562"/>
      <c r="BTM41" s="562"/>
      <c r="BTN41" s="562"/>
      <c r="BTO41" s="562"/>
      <c r="BTP41" s="562"/>
      <c r="BTQ41" s="562"/>
      <c r="BTR41" s="562"/>
      <c r="BTS41" s="562"/>
      <c r="BTT41" s="562"/>
      <c r="BTU41" s="562"/>
      <c r="BTV41" s="562"/>
      <c r="BTW41" s="562"/>
      <c r="BTX41" s="562"/>
      <c r="BTY41" s="562"/>
      <c r="BTZ41" s="562"/>
      <c r="BUA41" s="562"/>
      <c r="BUB41" s="562"/>
      <c r="BUC41" s="562"/>
      <c r="BUD41" s="562"/>
      <c r="BUE41" s="562"/>
      <c r="BUF41" s="562"/>
      <c r="BUG41" s="562"/>
      <c r="BUH41" s="562"/>
      <c r="BUI41" s="562"/>
      <c r="BUJ41" s="562"/>
      <c r="BUK41" s="562"/>
      <c r="BUL41" s="562"/>
      <c r="BUM41" s="562"/>
      <c r="BUN41" s="562"/>
      <c r="BUO41" s="562"/>
      <c r="BUP41" s="562"/>
      <c r="BUQ41" s="562"/>
      <c r="BUR41" s="562"/>
      <c r="BUS41" s="562"/>
      <c r="BUT41" s="562"/>
      <c r="BUU41" s="562"/>
      <c r="BUV41" s="562"/>
      <c r="BUW41" s="562"/>
      <c r="BUX41" s="562"/>
      <c r="BUY41" s="562"/>
      <c r="BUZ41" s="562"/>
      <c r="BVA41" s="562"/>
      <c r="BVB41" s="562"/>
      <c r="BVC41" s="562"/>
      <c r="BVD41" s="562"/>
      <c r="BVE41" s="562"/>
      <c r="BVF41" s="562"/>
      <c r="BVG41" s="562"/>
      <c r="BVH41" s="562"/>
      <c r="BVI41" s="562"/>
      <c r="BVJ41" s="562"/>
      <c r="BVK41" s="562"/>
      <c r="BVL41" s="562"/>
      <c r="BVM41" s="562"/>
      <c r="BVN41" s="562"/>
      <c r="BVO41" s="562"/>
      <c r="BVP41" s="562"/>
      <c r="BVQ41" s="562"/>
      <c r="BVR41" s="562"/>
      <c r="BVS41" s="562"/>
      <c r="BVT41" s="562"/>
      <c r="BVU41" s="562"/>
      <c r="BVV41" s="562"/>
      <c r="BVW41" s="562"/>
      <c r="BVX41" s="562"/>
      <c r="BVY41" s="562"/>
      <c r="BVZ41" s="562"/>
      <c r="BWA41" s="562"/>
      <c r="BWB41" s="562"/>
      <c r="BWC41" s="562"/>
      <c r="BWD41" s="562"/>
      <c r="BWE41" s="562"/>
      <c r="BWF41" s="562"/>
      <c r="BWG41" s="562"/>
      <c r="BWH41" s="562"/>
      <c r="BWI41" s="562"/>
      <c r="BWJ41" s="562"/>
      <c r="BWK41" s="562"/>
      <c r="BWL41" s="562"/>
      <c r="BWM41" s="562"/>
      <c r="BWN41" s="562"/>
      <c r="BWO41" s="562"/>
      <c r="BWP41" s="562"/>
      <c r="BWQ41" s="562"/>
      <c r="BWR41" s="562"/>
      <c r="BWS41" s="562"/>
      <c r="BWT41" s="562"/>
      <c r="BWU41" s="562"/>
      <c r="BWV41" s="562"/>
      <c r="BWW41" s="562"/>
      <c r="BWX41" s="562"/>
      <c r="BWY41" s="562"/>
      <c r="BWZ41" s="562"/>
      <c r="BXA41" s="562"/>
      <c r="BXB41" s="562"/>
      <c r="BXC41" s="562"/>
      <c r="BXD41" s="562"/>
      <c r="BXE41" s="562"/>
      <c r="BXF41" s="562"/>
      <c r="BXG41" s="562"/>
      <c r="BXH41" s="562"/>
      <c r="BXI41" s="562"/>
      <c r="BXJ41" s="562"/>
      <c r="BXK41" s="562"/>
      <c r="BXL41" s="562"/>
      <c r="BXM41" s="562"/>
      <c r="BXN41" s="562"/>
      <c r="BXO41" s="562"/>
      <c r="BXP41" s="562"/>
      <c r="BXQ41" s="562"/>
      <c r="BXR41" s="562"/>
      <c r="BXS41" s="562"/>
      <c r="BXT41" s="562"/>
      <c r="BXU41" s="562"/>
      <c r="BXV41" s="562"/>
      <c r="BXW41" s="562"/>
      <c r="BXX41" s="562"/>
      <c r="BXY41" s="562"/>
      <c r="BXZ41" s="562"/>
      <c r="BYA41" s="562"/>
      <c r="BYB41" s="562"/>
      <c r="BYC41" s="562"/>
      <c r="BYD41" s="562"/>
      <c r="BYE41" s="562"/>
      <c r="BYF41" s="562"/>
      <c r="BYG41" s="562"/>
      <c r="BYH41" s="562"/>
      <c r="BYI41" s="562"/>
      <c r="BYJ41" s="562"/>
      <c r="BYK41" s="562"/>
      <c r="BYL41" s="562"/>
      <c r="BYM41" s="562"/>
      <c r="BYN41" s="562"/>
      <c r="BYO41" s="562"/>
      <c r="BYP41" s="562"/>
      <c r="BYQ41" s="562"/>
      <c r="BYR41" s="562"/>
      <c r="BYS41" s="562"/>
      <c r="BYT41" s="562"/>
      <c r="BYU41" s="562"/>
      <c r="BYV41" s="562"/>
      <c r="BYW41" s="562"/>
      <c r="BYX41" s="562"/>
      <c r="BYY41" s="562"/>
      <c r="BYZ41" s="562"/>
      <c r="BZA41" s="562"/>
      <c r="BZB41" s="562"/>
      <c r="BZC41" s="562"/>
      <c r="BZD41" s="562"/>
      <c r="BZE41" s="562"/>
      <c r="BZF41" s="562"/>
      <c r="BZG41" s="562"/>
      <c r="BZH41" s="562"/>
      <c r="BZI41" s="562"/>
      <c r="BZJ41" s="562"/>
      <c r="BZK41" s="562"/>
      <c r="BZL41" s="562"/>
      <c r="BZM41" s="562"/>
      <c r="BZN41" s="562"/>
      <c r="BZO41" s="562"/>
      <c r="BZP41" s="562"/>
      <c r="BZQ41" s="562"/>
      <c r="BZR41" s="562"/>
      <c r="BZS41" s="562"/>
      <c r="BZT41" s="562"/>
      <c r="BZU41" s="562"/>
      <c r="BZV41" s="562"/>
      <c r="BZW41" s="562"/>
      <c r="BZX41" s="562"/>
      <c r="BZY41" s="562"/>
      <c r="BZZ41" s="562"/>
      <c r="CAA41" s="562"/>
      <c r="CAB41" s="562"/>
      <c r="CAC41" s="562"/>
      <c r="CAD41" s="562"/>
      <c r="CAE41" s="562"/>
      <c r="CAF41" s="562"/>
      <c r="CAG41" s="562"/>
      <c r="CAH41" s="562"/>
      <c r="CAI41" s="562"/>
      <c r="CAJ41" s="562"/>
      <c r="CAK41" s="562"/>
      <c r="CAL41" s="562"/>
      <c r="CAM41" s="562"/>
      <c r="CAN41" s="562"/>
      <c r="CAO41" s="562"/>
      <c r="CAP41" s="562"/>
      <c r="CAQ41" s="562"/>
      <c r="CAR41" s="562"/>
      <c r="CAS41" s="562"/>
      <c r="CAT41" s="562"/>
      <c r="CAU41" s="562"/>
      <c r="CAV41" s="562"/>
      <c r="CAW41" s="562"/>
      <c r="CAX41" s="562"/>
      <c r="CAY41" s="562"/>
      <c r="CAZ41" s="562"/>
      <c r="CBA41" s="562"/>
      <c r="CBB41" s="562"/>
      <c r="CBC41" s="562"/>
      <c r="CBD41" s="562"/>
      <c r="CBE41" s="562"/>
      <c r="CBF41" s="562"/>
      <c r="CBG41" s="562"/>
      <c r="CBH41" s="562"/>
      <c r="CBI41" s="562"/>
      <c r="CBJ41" s="562"/>
      <c r="CBK41" s="562"/>
      <c r="CBL41" s="562"/>
      <c r="CBM41" s="562"/>
      <c r="CBN41" s="562"/>
      <c r="CBO41" s="562"/>
      <c r="CBP41" s="562"/>
      <c r="CBQ41" s="562"/>
      <c r="CBR41" s="562"/>
      <c r="CBS41" s="562"/>
      <c r="CBT41" s="562"/>
      <c r="CBU41" s="562"/>
      <c r="CBV41" s="562"/>
      <c r="CBW41" s="562"/>
      <c r="CBX41" s="562"/>
      <c r="CBY41" s="562"/>
      <c r="CBZ41" s="562"/>
      <c r="CCA41" s="562"/>
      <c r="CCB41" s="562"/>
      <c r="CCC41" s="562"/>
      <c r="CCD41" s="562"/>
      <c r="CCE41" s="562"/>
      <c r="CCF41" s="562"/>
      <c r="CCG41" s="562"/>
      <c r="CCH41" s="562"/>
      <c r="CCI41" s="562"/>
      <c r="CCJ41" s="562"/>
      <c r="CCK41" s="562"/>
      <c r="CCL41" s="562"/>
      <c r="CCM41" s="562"/>
      <c r="CCN41" s="562"/>
      <c r="CCO41" s="562"/>
      <c r="CCP41" s="562"/>
      <c r="CCQ41" s="562"/>
      <c r="CCR41" s="562"/>
      <c r="CCS41" s="562"/>
      <c r="CCT41" s="562"/>
      <c r="CCU41" s="562"/>
      <c r="CCV41" s="562"/>
      <c r="CCW41" s="562"/>
      <c r="CCX41" s="562"/>
      <c r="CCY41" s="562"/>
      <c r="CCZ41" s="562"/>
      <c r="CDA41" s="562"/>
      <c r="CDB41" s="562"/>
      <c r="CDC41" s="562"/>
      <c r="CDD41" s="562"/>
      <c r="CDE41" s="562"/>
      <c r="CDF41" s="562"/>
      <c r="CDG41" s="562"/>
      <c r="CDH41" s="562"/>
      <c r="CDI41" s="562"/>
      <c r="CDJ41" s="562"/>
      <c r="CDK41" s="562"/>
      <c r="CDL41" s="562"/>
      <c r="CDM41" s="562"/>
      <c r="CDN41" s="562"/>
      <c r="CDO41" s="562"/>
      <c r="CDP41" s="562"/>
      <c r="CDQ41" s="562"/>
      <c r="CDR41" s="562"/>
      <c r="CDS41" s="562"/>
      <c r="CDT41" s="562"/>
      <c r="CDU41" s="562"/>
      <c r="CDV41" s="562"/>
      <c r="CDW41" s="562"/>
      <c r="CDX41" s="562"/>
      <c r="CDY41" s="562"/>
      <c r="CDZ41" s="562"/>
      <c r="CEA41" s="562"/>
      <c r="CEB41" s="562"/>
      <c r="CEC41" s="562"/>
      <c r="CED41" s="562"/>
      <c r="CEE41" s="562"/>
      <c r="CEF41" s="562"/>
      <c r="CEG41" s="562"/>
      <c r="CEH41" s="562"/>
      <c r="CEI41" s="562"/>
      <c r="CEJ41" s="562"/>
      <c r="CEK41" s="562"/>
      <c r="CEL41" s="562"/>
      <c r="CEM41" s="562"/>
      <c r="CEN41" s="562"/>
      <c r="CEO41" s="562"/>
      <c r="CEP41" s="562"/>
      <c r="CEQ41" s="562"/>
      <c r="CER41" s="562"/>
      <c r="CES41" s="562"/>
      <c r="CET41" s="562"/>
      <c r="CEU41" s="562"/>
      <c r="CEV41" s="562"/>
      <c r="CEW41" s="562"/>
      <c r="CEX41" s="562"/>
      <c r="CEY41" s="562"/>
      <c r="CEZ41" s="562"/>
      <c r="CFA41" s="562"/>
      <c r="CFB41" s="562"/>
      <c r="CFC41" s="562"/>
      <c r="CFD41" s="562"/>
      <c r="CFE41" s="562"/>
      <c r="CFF41" s="562"/>
      <c r="CFG41" s="562"/>
      <c r="CFH41" s="562"/>
      <c r="CFI41" s="562"/>
      <c r="CFJ41" s="562"/>
      <c r="CFK41" s="562"/>
      <c r="CFL41" s="562"/>
      <c r="CFM41" s="562"/>
      <c r="CFN41" s="562"/>
      <c r="CFO41" s="562"/>
      <c r="CFP41" s="562"/>
      <c r="CFQ41" s="562"/>
      <c r="CFR41" s="562"/>
      <c r="CFS41" s="562"/>
      <c r="CFT41" s="562"/>
      <c r="CFU41" s="562"/>
      <c r="CFV41" s="562"/>
      <c r="CFW41" s="562"/>
      <c r="CFX41" s="562"/>
      <c r="CFY41" s="562"/>
      <c r="CFZ41" s="562"/>
      <c r="CGA41" s="562"/>
      <c r="CGB41" s="562"/>
      <c r="CGC41" s="562"/>
      <c r="CGD41" s="562"/>
      <c r="CGE41" s="562"/>
      <c r="CGF41" s="562"/>
      <c r="CGG41" s="562"/>
      <c r="CGH41" s="562"/>
      <c r="CGI41" s="562"/>
      <c r="CGJ41" s="562"/>
      <c r="CGK41" s="562"/>
      <c r="CGL41" s="562"/>
      <c r="CGM41" s="562"/>
      <c r="CGN41" s="562"/>
      <c r="CGO41" s="562"/>
      <c r="CGP41" s="562"/>
      <c r="CGQ41" s="562"/>
      <c r="CGR41" s="562"/>
      <c r="CGS41" s="562"/>
      <c r="CGT41" s="562"/>
      <c r="CGU41" s="562"/>
      <c r="CGV41" s="562"/>
      <c r="CGW41" s="562"/>
      <c r="CGX41" s="562"/>
      <c r="CGY41" s="562"/>
      <c r="CGZ41" s="562"/>
      <c r="CHA41" s="562"/>
      <c r="CHB41" s="562"/>
      <c r="CHC41" s="562"/>
      <c r="CHD41" s="562"/>
      <c r="CHE41" s="562"/>
      <c r="CHF41" s="562"/>
      <c r="CHG41" s="562"/>
      <c r="CHH41" s="562"/>
      <c r="CHI41" s="562"/>
      <c r="CHJ41" s="562"/>
      <c r="CHK41" s="562"/>
      <c r="CHL41" s="562"/>
      <c r="CHM41" s="562"/>
      <c r="CHN41" s="562"/>
      <c r="CHO41" s="562"/>
      <c r="CHP41" s="562"/>
      <c r="CHQ41" s="562"/>
      <c r="CHR41" s="562"/>
      <c r="CHS41" s="562"/>
      <c r="CHT41" s="562"/>
      <c r="CHU41" s="562"/>
      <c r="CHV41" s="562"/>
      <c r="CHW41" s="562"/>
      <c r="CHX41" s="562"/>
      <c r="CHY41" s="562"/>
      <c r="CHZ41" s="562"/>
      <c r="CIA41" s="562"/>
      <c r="CIB41" s="562"/>
      <c r="CIC41" s="562"/>
      <c r="CID41" s="562"/>
      <c r="CIE41" s="562"/>
      <c r="CIF41" s="562"/>
      <c r="CIG41" s="562"/>
      <c r="CIH41" s="562"/>
      <c r="CII41" s="562"/>
      <c r="CIJ41" s="562"/>
      <c r="CIK41" s="562"/>
      <c r="CIL41" s="562"/>
      <c r="CIM41" s="562"/>
      <c r="CIN41" s="562"/>
      <c r="CIO41" s="562"/>
      <c r="CIP41" s="562"/>
      <c r="CIQ41" s="562"/>
      <c r="CIR41" s="562"/>
      <c r="CIS41" s="562"/>
      <c r="CIT41" s="562"/>
      <c r="CIU41" s="562"/>
      <c r="CIV41" s="562"/>
      <c r="CIW41" s="562"/>
      <c r="CIX41" s="562"/>
      <c r="CIY41" s="562"/>
      <c r="CIZ41" s="562"/>
      <c r="CJA41" s="562"/>
      <c r="CJB41" s="562"/>
      <c r="CJC41" s="562"/>
      <c r="CJD41" s="562"/>
      <c r="CJE41" s="562"/>
      <c r="CJF41" s="562"/>
      <c r="CJG41" s="562"/>
      <c r="CJH41" s="562"/>
      <c r="CJI41" s="562"/>
      <c r="CJJ41" s="562"/>
      <c r="CJK41" s="562"/>
      <c r="CJL41" s="562"/>
      <c r="CJM41" s="562"/>
      <c r="CJN41" s="562"/>
      <c r="CJO41" s="562"/>
      <c r="CJP41" s="562"/>
      <c r="CJQ41" s="562"/>
      <c r="CJR41" s="562"/>
      <c r="CJS41" s="562"/>
      <c r="CJT41" s="562"/>
      <c r="CJU41" s="562"/>
      <c r="CJV41" s="562"/>
      <c r="CJW41" s="562"/>
      <c r="CJX41" s="562"/>
      <c r="CJY41" s="562"/>
      <c r="CJZ41" s="562"/>
      <c r="CKA41" s="562"/>
      <c r="CKB41" s="562"/>
      <c r="CKC41" s="562"/>
      <c r="CKD41" s="562"/>
      <c r="CKE41" s="562"/>
      <c r="CKF41" s="562"/>
      <c r="CKG41" s="562"/>
      <c r="CKH41" s="562"/>
      <c r="CKI41" s="562"/>
      <c r="CKJ41" s="562"/>
      <c r="CKK41" s="562"/>
      <c r="CKL41" s="562"/>
      <c r="CKM41" s="562"/>
      <c r="CKN41" s="562"/>
      <c r="CKO41" s="562"/>
      <c r="CKP41" s="562"/>
      <c r="CKQ41" s="562"/>
      <c r="CKR41" s="562"/>
      <c r="CKS41" s="562"/>
      <c r="CKT41" s="562"/>
      <c r="CKU41" s="562"/>
      <c r="CKV41" s="562"/>
      <c r="CKW41" s="562"/>
      <c r="CKX41" s="562"/>
      <c r="CKY41" s="562"/>
      <c r="CKZ41" s="562"/>
      <c r="CLA41" s="562"/>
      <c r="CLB41" s="562"/>
      <c r="CLC41" s="562"/>
      <c r="CLD41" s="562"/>
      <c r="CLE41" s="562"/>
      <c r="CLF41" s="562"/>
      <c r="CLG41" s="562"/>
      <c r="CLH41" s="562"/>
      <c r="CLI41" s="562"/>
      <c r="CLJ41" s="562"/>
      <c r="CLK41" s="562"/>
      <c r="CLL41" s="562"/>
      <c r="CLM41" s="562"/>
      <c r="CLN41" s="562"/>
      <c r="CLO41" s="562"/>
      <c r="CLP41" s="562"/>
      <c r="CLQ41" s="562"/>
      <c r="CLR41" s="562"/>
      <c r="CLS41" s="562"/>
      <c r="CLT41" s="562"/>
      <c r="CLU41" s="562"/>
      <c r="CLV41" s="562"/>
      <c r="CLW41" s="562"/>
      <c r="CLX41" s="562"/>
      <c r="CLY41" s="562"/>
      <c r="CLZ41" s="562"/>
      <c r="CMA41" s="562"/>
      <c r="CMB41" s="562"/>
      <c r="CMC41" s="562"/>
      <c r="CMD41" s="562"/>
      <c r="CME41" s="562"/>
      <c r="CMF41" s="562"/>
      <c r="CMG41" s="562"/>
      <c r="CMH41" s="562"/>
      <c r="CMI41" s="562"/>
      <c r="CMJ41" s="562"/>
      <c r="CMK41" s="562"/>
      <c r="CML41" s="562"/>
      <c r="CMM41" s="562"/>
      <c r="CMN41" s="562"/>
      <c r="CMO41" s="562"/>
      <c r="CMP41" s="562"/>
      <c r="CMQ41" s="562"/>
      <c r="CMR41" s="562"/>
      <c r="CMS41" s="562"/>
      <c r="CMT41" s="562"/>
      <c r="CMU41" s="562"/>
      <c r="CMV41" s="562"/>
      <c r="CMW41" s="562"/>
      <c r="CMX41" s="562"/>
      <c r="CMY41" s="562"/>
      <c r="CMZ41" s="562"/>
      <c r="CNA41" s="562"/>
      <c r="CNB41" s="562"/>
      <c r="CNC41" s="562"/>
      <c r="CND41" s="562"/>
      <c r="CNE41" s="562"/>
      <c r="CNF41" s="562"/>
      <c r="CNG41" s="562"/>
      <c r="CNH41" s="562"/>
      <c r="CNI41" s="562"/>
      <c r="CNJ41" s="562"/>
      <c r="CNK41" s="562"/>
      <c r="CNL41" s="562"/>
      <c r="CNM41" s="562"/>
      <c r="CNN41" s="562"/>
      <c r="CNO41" s="562"/>
      <c r="CNP41" s="562"/>
      <c r="CNQ41" s="562"/>
      <c r="CNR41" s="562"/>
      <c r="CNS41" s="562"/>
      <c r="CNT41" s="562"/>
      <c r="CNU41" s="562"/>
      <c r="CNV41" s="562"/>
      <c r="CNW41" s="562"/>
      <c r="CNX41" s="562"/>
      <c r="CNY41" s="562"/>
      <c r="CNZ41" s="562"/>
      <c r="COA41" s="562"/>
      <c r="COB41" s="562"/>
      <c r="COC41" s="562"/>
      <c r="COD41" s="562"/>
      <c r="COE41" s="562"/>
      <c r="COF41" s="562"/>
      <c r="COG41" s="562"/>
      <c r="COH41" s="562"/>
      <c r="COI41" s="562"/>
      <c r="COJ41" s="562"/>
      <c r="COK41" s="562"/>
      <c r="COL41" s="562"/>
      <c r="COM41" s="562"/>
      <c r="CON41" s="562"/>
      <c r="COO41" s="562"/>
      <c r="COP41" s="562"/>
      <c r="COQ41" s="562"/>
      <c r="COR41" s="562"/>
      <c r="COS41" s="562"/>
      <c r="COT41" s="562"/>
      <c r="COU41" s="562"/>
      <c r="COV41" s="562"/>
      <c r="COW41" s="562"/>
      <c r="COX41" s="562"/>
      <c r="COY41" s="562"/>
      <c r="COZ41" s="562"/>
      <c r="CPA41" s="562"/>
      <c r="CPB41" s="562"/>
      <c r="CPC41" s="562"/>
      <c r="CPD41" s="562"/>
      <c r="CPE41" s="562"/>
      <c r="CPF41" s="562"/>
      <c r="CPG41" s="562"/>
      <c r="CPH41" s="562"/>
      <c r="CPI41" s="562"/>
      <c r="CPJ41" s="562"/>
      <c r="CPK41" s="562"/>
      <c r="CPL41" s="562"/>
      <c r="CPM41" s="562"/>
      <c r="CPN41" s="562"/>
      <c r="CPO41" s="562"/>
      <c r="CPP41" s="562"/>
      <c r="CPQ41" s="562"/>
      <c r="CPR41" s="562"/>
      <c r="CPS41" s="562"/>
      <c r="CPT41" s="562"/>
      <c r="CPU41" s="562"/>
      <c r="CPV41" s="562"/>
      <c r="CPW41" s="562"/>
      <c r="CPX41" s="562"/>
      <c r="CPY41" s="562"/>
      <c r="CPZ41" s="562"/>
      <c r="CQA41" s="562"/>
      <c r="CQB41" s="562"/>
      <c r="CQC41" s="562"/>
      <c r="CQD41" s="562"/>
      <c r="CQE41" s="562"/>
      <c r="CQF41" s="562"/>
      <c r="CQG41" s="562"/>
      <c r="CQH41" s="562"/>
      <c r="CQI41" s="562"/>
      <c r="CQJ41" s="562"/>
      <c r="CQK41" s="562"/>
      <c r="CQL41" s="562"/>
      <c r="CQM41" s="562"/>
      <c r="CQN41" s="562"/>
      <c r="CQO41" s="562"/>
      <c r="CQP41" s="562"/>
      <c r="CQQ41" s="562"/>
      <c r="CQR41" s="562"/>
      <c r="CQS41" s="562"/>
      <c r="CQT41" s="562"/>
      <c r="CQU41" s="562"/>
      <c r="CQV41" s="562"/>
      <c r="CQW41" s="562"/>
      <c r="CQX41" s="562"/>
      <c r="CQY41" s="562"/>
      <c r="CQZ41" s="562"/>
      <c r="CRA41" s="562"/>
      <c r="CRB41" s="562"/>
      <c r="CRC41" s="562"/>
      <c r="CRD41" s="562"/>
      <c r="CRE41" s="562"/>
      <c r="CRF41" s="562"/>
      <c r="CRG41" s="562"/>
      <c r="CRH41" s="562"/>
      <c r="CRI41" s="562"/>
      <c r="CRJ41" s="562"/>
      <c r="CRK41" s="562"/>
      <c r="CRL41" s="562"/>
      <c r="CRM41" s="562"/>
      <c r="CRN41" s="562"/>
      <c r="CRO41" s="562"/>
      <c r="CRP41" s="562"/>
      <c r="CRQ41" s="562"/>
      <c r="CRR41" s="562"/>
      <c r="CRS41" s="562"/>
      <c r="CRT41" s="562"/>
      <c r="CRU41" s="562"/>
      <c r="CRV41" s="562"/>
      <c r="CRW41" s="562"/>
      <c r="CRX41" s="562"/>
      <c r="CRY41" s="562"/>
      <c r="CRZ41" s="562"/>
      <c r="CSA41" s="562"/>
      <c r="CSB41" s="562"/>
      <c r="CSC41" s="562"/>
      <c r="CSD41" s="562"/>
      <c r="CSE41" s="562"/>
      <c r="CSF41" s="562"/>
      <c r="CSG41" s="562"/>
      <c r="CSH41" s="562"/>
      <c r="CSI41" s="562"/>
      <c r="CSJ41" s="562"/>
      <c r="CSK41" s="562"/>
      <c r="CSL41" s="562"/>
      <c r="CSM41" s="562"/>
      <c r="CSN41" s="562"/>
      <c r="CSO41" s="562"/>
      <c r="CSP41" s="562"/>
      <c r="CSQ41" s="562"/>
      <c r="CSR41" s="562"/>
      <c r="CSS41" s="562"/>
      <c r="CST41" s="562"/>
      <c r="CSU41" s="562"/>
      <c r="CSV41" s="562"/>
      <c r="CSW41" s="562"/>
      <c r="CSX41" s="562"/>
      <c r="CSY41" s="562"/>
      <c r="CSZ41" s="562"/>
      <c r="CTA41" s="562"/>
      <c r="CTB41" s="562"/>
      <c r="CTC41" s="562"/>
      <c r="CTD41" s="562"/>
      <c r="CTE41" s="562"/>
      <c r="CTF41" s="562"/>
      <c r="CTG41" s="562"/>
      <c r="CTH41" s="562"/>
      <c r="CTI41" s="562"/>
      <c r="CTJ41" s="562"/>
      <c r="CTK41" s="562"/>
      <c r="CTL41" s="562"/>
      <c r="CTM41" s="562"/>
      <c r="CTN41" s="562"/>
      <c r="CTO41" s="562"/>
      <c r="CTP41" s="562"/>
      <c r="CTQ41" s="562"/>
      <c r="CTR41" s="562"/>
      <c r="CTS41" s="562"/>
      <c r="CTT41" s="562"/>
      <c r="CTU41" s="562"/>
      <c r="CTV41" s="562"/>
      <c r="CTW41" s="562"/>
      <c r="CTX41" s="562"/>
      <c r="CTY41" s="562"/>
      <c r="CTZ41" s="562"/>
      <c r="CUA41" s="562"/>
      <c r="CUB41" s="562"/>
      <c r="CUC41" s="562"/>
      <c r="CUD41" s="562"/>
      <c r="CUE41" s="562"/>
      <c r="CUF41" s="562"/>
      <c r="CUG41" s="562"/>
      <c r="CUH41" s="562"/>
      <c r="CUI41" s="562"/>
      <c r="CUJ41" s="562"/>
      <c r="CUK41" s="562"/>
      <c r="CUL41" s="562"/>
      <c r="CUM41" s="562"/>
      <c r="CUN41" s="562"/>
      <c r="CUO41" s="562"/>
      <c r="CUP41" s="562"/>
      <c r="CUQ41" s="562"/>
      <c r="CUR41" s="562"/>
      <c r="CUS41" s="562"/>
      <c r="CUT41" s="562"/>
      <c r="CUU41" s="562"/>
      <c r="CUV41" s="562"/>
      <c r="CUW41" s="562"/>
      <c r="CUX41" s="562"/>
      <c r="CUY41" s="562"/>
      <c r="CUZ41" s="562"/>
      <c r="CVA41" s="562"/>
      <c r="CVB41" s="562"/>
      <c r="CVC41" s="562"/>
      <c r="CVD41" s="562"/>
      <c r="CVE41" s="562"/>
      <c r="CVF41" s="562"/>
      <c r="CVG41" s="562"/>
      <c r="CVH41" s="562"/>
      <c r="CVI41" s="562"/>
      <c r="CVJ41" s="562"/>
      <c r="CVK41" s="562"/>
      <c r="CVL41" s="562"/>
      <c r="CVM41" s="562"/>
      <c r="CVN41" s="562"/>
      <c r="CVO41" s="562"/>
      <c r="CVP41" s="562"/>
      <c r="CVQ41" s="562"/>
      <c r="CVR41" s="562"/>
      <c r="CVS41" s="562"/>
      <c r="CVT41" s="562"/>
      <c r="CVU41" s="562"/>
      <c r="CVV41" s="562"/>
      <c r="CVW41" s="562"/>
      <c r="CVX41" s="562"/>
      <c r="CVY41" s="562"/>
      <c r="CVZ41" s="562"/>
      <c r="CWA41" s="562"/>
      <c r="CWB41" s="562"/>
      <c r="CWC41" s="562"/>
      <c r="CWD41" s="562"/>
      <c r="CWE41" s="562"/>
      <c r="CWF41" s="562"/>
      <c r="CWG41" s="562"/>
      <c r="CWH41" s="562"/>
      <c r="CWI41" s="562"/>
      <c r="CWJ41" s="562"/>
      <c r="CWK41" s="562"/>
      <c r="CWL41" s="562"/>
      <c r="CWM41" s="562"/>
      <c r="CWN41" s="562"/>
      <c r="CWO41" s="562"/>
      <c r="CWP41" s="562"/>
      <c r="CWQ41" s="562"/>
      <c r="CWR41" s="562"/>
      <c r="CWS41" s="562"/>
      <c r="CWT41" s="562"/>
      <c r="CWU41" s="562"/>
      <c r="CWV41" s="562"/>
      <c r="CWW41" s="562"/>
      <c r="CWX41" s="562"/>
      <c r="CWY41" s="562"/>
      <c r="CWZ41" s="562"/>
      <c r="CXA41" s="562"/>
      <c r="CXB41" s="562"/>
      <c r="CXC41" s="562"/>
      <c r="CXD41" s="562"/>
      <c r="CXE41" s="562"/>
      <c r="CXF41" s="562"/>
      <c r="CXG41" s="562"/>
      <c r="CXH41" s="562"/>
      <c r="CXI41" s="562"/>
      <c r="CXJ41" s="562"/>
      <c r="CXK41" s="562"/>
      <c r="CXL41" s="562"/>
      <c r="CXM41" s="562"/>
      <c r="CXN41" s="562"/>
      <c r="CXO41" s="562"/>
      <c r="CXP41" s="562"/>
      <c r="CXQ41" s="562"/>
      <c r="CXR41" s="562"/>
      <c r="CXS41" s="562"/>
      <c r="CXT41" s="562"/>
      <c r="CXU41" s="562"/>
      <c r="CXV41" s="562"/>
      <c r="CXW41" s="562"/>
      <c r="CXX41" s="562"/>
      <c r="CXY41" s="562"/>
      <c r="CXZ41" s="562"/>
      <c r="CYA41" s="562"/>
      <c r="CYB41" s="562"/>
      <c r="CYC41" s="562"/>
      <c r="CYD41" s="562"/>
      <c r="CYE41" s="562"/>
      <c r="CYF41" s="562"/>
      <c r="CYG41" s="562"/>
      <c r="CYH41" s="562"/>
      <c r="CYI41" s="562"/>
      <c r="CYJ41" s="562"/>
      <c r="CYK41" s="562"/>
      <c r="CYL41" s="562"/>
      <c r="CYM41" s="562"/>
      <c r="CYN41" s="562"/>
      <c r="CYO41" s="562"/>
      <c r="CYP41" s="562"/>
      <c r="CYQ41" s="562"/>
      <c r="CYR41" s="562"/>
      <c r="CYS41" s="562"/>
      <c r="CYT41" s="562"/>
      <c r="CYU41" s="562"/>
      <c r="CYV41" s="562"/>
      <c r="CYW41" s="562"/>
      <c r="CYX41" s="562"/>
      <c r="CYY41" s="562"/>
      <c r="CYZ41" s="562"/>
      <c r="CZA41" s="562"/>
      <c r="CZB41" s="562"/>
      <c r="CZC41" s="562"/>
      <c r="CZD41" s="562"/>
      <c r="CZE41" s="562"/>
      <c r="CZF41" s="562"/>
      <c r="CZG41" s="562"/>
      <c r="CZH41" s="562"/>
      <c r="CZI41" s="562"/>
      <c r="CZJ41" s="562"/>
      <c r="CZK41" s="562"/>
      <c r="CZL41" s="562"/>
      <c r="CZM41" s="562"/>
      <c r="CZN41" s="562"/>
      <c r="CZO41" s="562"/>
      <c r="CZP41" s="562"/>
      <c r="CZQ41" s="562"/>
      <c r="CZR41" s="562"/>
      <c r="CZS41" s="562"/>
      <c r="CZT41" s="562"/>
      <c r="CZU41" s="562"/>
      <c r="CZV41" s="562"/>
      <c r="CZW41" s="562"/>
      <c r="CZX41" s="562"/>
      <c r="CZY41" s="562"/>
      <c r="CZZ41" s="562"/>
      <c r="DAA41" s="562"/>
      <c r="DAB41" s="562"/>
      <c r="DAC41" s="562"/>
      <c r="DAD41" s="562"/>
      <c r="DAE41" s="562"/>
      <c r="DAF41" s="562"/>
      <c r="DAG41" s="562"/>
      <c r="DAH41" s="562"/>
      <c r="DAI41" s="562"/>
      <c r="DAJ41" s="562"/>
      <c r="DAK41" s="562"/>
      <c r="DAL41" s="562"/>
      <c r="DAM41" s="562"/>
      <c r="DAN41" s="562"/>
      <c r="DAO41" s="562"/>
      <c r="DAP41" s="562"/>
      <c r="DAQ41" s="562"/>
      <c r="DAR41" s="562"/>
      <c r="DAS41" s="562"/>
      <c r="DAT41" s="562"/>
      <c r="DAU41" s="562"/>
      <c r="DAV41" s="562"/>
      <c r="DAW41" s="562"/>
      <c r="DAX41" s="562"/>
      <c r="DAY41" s="562"/>
      <c r="DAZ41" s="562"/>
      <c r="DBA41" s="562"/>
      <c r="DBB41" s="562"/>
      <c r="DBC41" s="562"/>
      <c r="DBD41" s="562"/>
      <c r="DBE41" s="562"/>
      <c r="DBF41" s="562"/>
      <c r="DBG41" s="562"/>
      <c r="DBH41" s="562"/>
      <c r="DBI41" s="562"/>
      <c r="DBJ41" s="562"/>
      <c r="DBK41" s="562"/>
      <c r="DBL41" s="562"/>
      <c r="DBM41" s="562"/>
      <c r="DBN41" s="562"/>
      <c r="DBO41" s="562"/>
      <c r="DBP41" s="562"/>
      <c r="DBQ41" s="562"/>
      <c r="DBR41" s="562"/>
      <c r="DBS41" s="562"/>
      <c r="DBT41" s="562"/>
      <c r="DBU41" s="562"/>
      <c r="DBV41" s="562"/>
      <c r="DBW41" s="562"/>
      <c r="DBX41" s="562"/>
      <c r="DBY41" s="562"/>
      <c r="DBZ41" s="562"/>
      <c r="DCA41" s="562"/>
      <c r="DCB41" s="562"/>
      <c r="DCC41" s="562"/>
      <c r="DCD41" s="562"/>
      <c r="DCE41" s="562"/>
      <c r="DCF41" s="562"/>
      <c r="DCG41" s="562"/>
      <c r="DCH41" s="562"/>
      <c r="DCI41" s="562"/>
      <c r="DCJ41" s="562"/>
      <c r="DCK41" s="562"/>
      <c r="DCL41" s="562"/>
      <c r="DCM41" s="562"/>
      <c r="DCN41" s="562"/>
      <c r="DCO41" s="562"/>
      <c r="DCP41" s="562"/>
      <c r="DCQ41" s="562"/>
      <c r="DCR41" s="562"/>
      <c r="DCS41" s="562"/>
      <c r="DCT41" s="562"/>
      <c r="DCU41" s="562"/>
      <c r="DCV41" s="562"/>
      <c r="DCW41" s="562"/>
      <c r="DCX41" s="562"/>
      <c r="DCY41" s="562"/>
      <c r="DCZ41" s="562"/>
      <c r="DDA41" s="562"/>
      <c r="DDB41" s="562"/>
      <c r="DDC41" s="562"/>
      <c r="DDD41" s="562"/>
      <c r="DDE41" s="562"/>
      <c r="DDF41" s="562"/>
      <c r="DDG41" s="562"/>
      <c r="DDH41" s="562"/>
      <c r="DDI41" s="562"/>
      <c r="DDJ41" s="562"/>
      <c r="DDK41" s="562"/>
      <c r="DDL41" s="562"/>
      <c r="DDM41" s="562"/>
      <c r="DDN41" s="562"/>
      <c r="DDO41" s="562"/>
      <c r="DDP41" s="562"/>
      <c r="DDQ41" s="562"/>
      <c r="DDR41" s="562"/>
      <c r="DDS41" s="562"/>
      <c r="DDT41" s="562"/>
      <c r="DDU41" s="562"/>
      <c r="DDV41" s="562"/>
      <c r="DDW41" s="562"/>
      <c r="DDX41" s="562"/>
      <c r="DDY41" s="562"/>
      <c r="DDZ41" s="562"/>
      <c r="DEA41" s="562"/>
      <c r="DEB41" s="562"/>
      <c r="DEC41" s="562"/>
      <c r="DED41" s="562"/>
      <c r="DEE41" s="562"/>
      <c r="DEF41" s="562"/>
      <c r="DEG41" s="562"/>
      <c r="DEH41" s="562"/>
      <c r="DEI41" s="562"/>
      <c r="DEJ41" s="562"/>
      <c r="DEK41" s="562"/>
      <c r="DEL41" s="562"/>
      <c r="DEM41" s="562"/>
      <c r="DEN41" s="562"/>
      <c r="DEO41" s="562"/>
      <c r="DEP41" s="562"/>
      <c r="DEQ41" s="562"/>
      <c r="DER41" s="562"/>
      <c r="DES41" s="562"/>
      <c r="DET41" s="562"/>
      <c r="DEU41" s="562"/>
      <c r="DEV41" s="562"/>
      <c r="DEW41" s="562"/>
      <c r="DEX41" s="562"/>
      <c r="DEY41" s="562"/>
      <c r="DEZ41" s="562"/>
      <c r="DFA41" s="562"/>
      <c r="DFB41" s="562"/>
      <c r="DFC41" s="562"/>
      <c r="DFD41" s="562"/>
      <c r="DFE41" s="562"/>
      <c r="DFF41" s="562"/>
      <c r="DFG41" s="562"/>
      <c r="DFH41" s="562"/>
      <c r="DFI41" s="562"/>
      <c r="DFJ41" s="562"/>
      <c r="DFK41" s="562"/>
      <c r="DFL41" s="562"/>
      <c r="DFM41" s="562"/>
      <c r="DFN41" s="562"/>
      <c r="DFO41" s="562"/>
      <c r="DFP41" s="562"/>
      <c r="DFQ41" s="562"/>
      <c r="DFR41" s="562"/>
      <c r="DFS41" s="562"/>
      <c r="DFT41" s="562"/>
      <c r="DFU41" s="562"/>
      <c r="DFV41" s="562"/>
      <c r="DFW41" s="562"/>
      <c r="DFX41" s="562"/>
      <c r="DFY41" s="562"/>
      <c r="DFZ41" s="562"/>
      <c r="DGA41" s="562"/>
      <c r="DGB41" s="562"/>
      <c r="DGC41" s="562"/>
      <c r="DGD41" s="562"/>
      <c r="DGE41" s="562"/>
      <c r="DGF41" s="562"/>
      <c r="DGG41" s="562"/>
      <c r="DGH41" s="562"/>
      <c r="DGI41" s="562"/>
      <c r="DGJ41" s="562"/>
      <c r="DGK41" s="562"/>
      <c r="DGL41" s="562"/>
      <c r="DGM41" s="562"/>
      <c r="DGN41" s="562"/>
      <c r="DGO41" s="562"/>
      <c r="DGP41" s="562"/>
      <c r="DGQ41" s="562"/>
      <c r="DGR41" s="562"/>
      <c r="DGS41" s="562"/>
      <c r="DGT41" s="562"/>
      <c r="DGU41" s="562"/>
      <c r="DGV41" s="562"/>
      <c r="DGW41" s="562"/>
      <c r="DGX41" s="562"/>
      <c r="DGY41" s="562"/>
      <c r="DGZ41" s="562"/>
      <c r="DHA41" s="562"/>
      <c r="DHB41" s="562"/>
      <c r="DHC41" s="562"/>
      <c r="DHD41" s="562"/>
      <c r="DHE41" s="562"/>
      <c r="DHF41" s="562"/>
      <c r="DHG41" s="562"/>
      <c r="DHH41" s="562"/>
      <c r="DHI41" s="562"/>
      <c r="DHJ41" s="562"/>
      <c r="DHK41" s="562"/>
      <c r="DHL41" s="562"/>
      <c r="DHM41" s="562"/>
      <c r="DHN41" s="562"/>
      <c r="DHO41" s="562"/>
      <c r="DHP41" s="562"/>
      <c r="DHQ41" s="562"/>
      <c r="DHR41" s="562"/>
      <c r="DHS41" s="562"/>
      <c r="DHT41" s="562"/>
      <c r="DHU41" s="562"/>
      <c r="DHV41" s="562"/>
      <c r="DHW41" s="562"/>
      <c r="DHX41" s="562"/>
      <c r="DHY41" s="562"/>
      <c r="DHZ41" s="562"/>
      <c r="DIA41" s="562"/>
      <c r="DIB41" s="562"/>
      <c r="DIC41" s="562"/>
      <c r="DID41" s="562"/>
      <c r="DIE41" s="562"/>
      <c r="DIF41" s="562"/>
      <c r="DIG41" s="562"/>
      <c r="DIH41" s="562"/>
      <c r="DII41" s="562"/>
      <c r="DIJ41" s="562"/>
      <c r="DIK41" s="562"/>
      <c r="DIL41" s="562"/>
      <c r="DIM41" s="562"/>
      <c r="DIN41" s="562"/>
      <c r="DIO41" s="562"/>
      <c r="DIP41" s="562"/>
      <c r="DIQ41" s="562"/>
      <c r="DIR41" s="562"/>
      <c r="DIS41" s="562"/>
      <c r="DIT41" s="562"/>
      <c r="DIU41" s="562"/>
      <c r="DIV41" s="562"/>
      <c r="DIW41" s="562"/>
      <c r="DIX41" s="562"/>
      <c r="DIY41" s="562"/>
      <c r="DIZ41" s="562"/>
      <c r="DJA41" s="562"/>
      <c r="DJB41" s="562"/>
      <c r="DJC41" s="562"/>
      <c r="DJD41" s="562"/>
      <c r="DJE41" s="562"/>
      <c r="DJF41" s="562"/>
      <c r="DJG41" s="562"/>
      <c r="DJH41" s="562"/>
      <c r="DJI41" s="562"/>
      <c r="DJJ41" s="562"/>
      <c r="DJK41" s="562"/>
      <c r="DJL41" s="562"/>
      <c r="DJM41" s="562"/>
      <c r="DJN41" s="562"/>
      <c r="DJO41" s="562"/>
      <c r="DJP41" s="562"/>
      <c r="DJQ41" s="562"/>
      <c r="DJR41" s="562"/>
      <c r="DJS41" s="562"/>
      <c r="DJT41" s="562"/>
      <c r="DJU41" s="562"/>
      <c r="DJV41" s="562"/>
      <c r="DJW41" s="562"/>
      <c r="DJX41" s="562"/>
      <c r="DJY41" s="562"/>
      <c r="DJZ41" s="562"/>
      <c r="DKA41" s="562"/>
      <c r="DKB41" s="562"/>
      <c r="DKC41" s="562"/>
      <c r="DKD41" s="562"/>
      <c r="DKE41" s="562"/>
      <c r="DKF41" s="562"/>
      <c r="DKG41" s="562"/>
      <c r="DKH41" s="562"/>
      <c r="DKI41" s="562"/>
      <c r="DKJ41" s="562"/>
      <c r="DKK41" s="562"/>
      <c r="DKL41" s="562"/>
      <c r="DKM41" s="562"/>
      <c r="DKN41" s="562"/>
      <c r="DKO41" s="562"/>
      <c r="DKP41" s="562"/>
      <c r="DKQ41" s="562"/>
      <c r="DKR41" s="562"/>
      <c r="DKS41" s="562"/>
      <c r="DKT41" s="562"/>
      <c r="DKU41" s="562"/>
      <c r="DKV41" s="562"/>
      <c r="DKW41" s="562"/>
      <c r="DKX41" s="562"/>
      <c r="DKY41" s="562"/>
      <c r="DKZ41" s="562"/>
      <c r="DLA41" s="562"/>
      <c r="DLB41" s="562"/>
      <c r="DLC41" s="562"/>
      <c r="DLD41" s="562"/>
      <c r="DLE41" s="562"/>
      <c r="DLF41" s="562"/>
      <c r="DLG41" s="562"/>
      <c r="DLH41" s="562"/>
      <c r="DLI41" s="562"/>
      <c r="DLJ41" s="562"/>
      <c r="DLK41" s="562"/>
      <c r="DLL41" s="562"/>
      <c r="DLM41" s="562"/>
      <c r="DLN41" s="562"/>
      <c r="DLO41" s="562"/>
      <c r="DLP41" s="562"/>
      <c r="DLQ41" s="562"/>
      <c r="DLR41" s="562"/>
      <c r="DLS41" s="562"/>
      <c r="DLT41" s="562"/>
      <c r="DLU41" s="562"/>
      <c r="DLV41" s="562"/>
      <c r="DLW41" s="562"/>
      <c r="DLX41" s="562"/>
      <c r="DLY41" s="562"/>
      <c r="DLZ41" s="562"/>
      <c r="DMA41" s="562"/>
      <c r="DMB41" s="562"/>
      <c r="DMC41" s="562"/>
      <c r="DMD41" s="562"/>
      <c r="DME41" s="562"/>
      <c r="DMF41" s="562"/>
      <c r="DMG41" s="562"/>
      <c r="DMH41" s="562"/>
      <c r="DMI41" s="562"/>
      <c r="DMJ41" s="562"/>
      <c r="DMK41" s="562"/>
      <c r="DML41" s="562"/>
      <c r="DMM41" s="562"/>
      <c r="DMN41" s="562"/>
      <c r="DMO41" s="562"/>
      <c r="DMP41" s="562"/>
      <c r="DMQ41" s="562"/>
      <c r="DMR41" s="562"/>
      <c r="DMS41" s="562"/>
      <c r="DMT41" s="562"/>
      <c r="DMU41" s="562"/>
      <c r="DMV41" s="562"/>
      <c r="DMW41" s="562"/>
      <c r="DMX41" s="562"/>
      <c r="DMY41" s="562"/>
      <c r="DMZ41" s="562"/>
      <c r="DNA41" s="562"/>
      <c r="DNB41" s="562"/>
      <c r="DNC41" s="562"/>
      <c r="DND41" s="562"/>
      <c r="DNE41" s="562"/>
      <c r="DNF41" s="562"/>
      <c r="DNG41" s="562"/>
      <c r="DNH41" s="562"/>
      <c r="DNI41" s="562"/>
      <c r="DNJ41" s="562"/>
      <c r="DNK41" s="562"/>
      <c r="DNL41" s="562"/>
      <c r="DNM41" s="562"/>
      <c r="DNN41" s="562"/>
      <c r="DNO41" s="562"/>
      <c r="DNP41" s="562"/>
      <c r="DNQ41" s="562"/>
      <c r="DNR41" s="562"/>
      <c r="DNS41" s="562"/>
      <c r="DNT41" s="562"/>
      <c r="DNU41" s="562"/>
      <c r="DNV41" s="562"/>
      <c r="DNW41" s="562"/>
      <c r="DNX41" s="562"/>
      <c r="DNY41" s="562"/>
      <c r="DNZ41" s="562"/>
      <c r="DOA41" s="562"/>
      <c r="DOB41" s="562"/>
      <c r="DOC41" s="562"/>
      <c r="DOD41" s="562"/>
      <c r="DOE41" s="562"/>
      <c r="DOF41" s="562"/>
      <c r="DOG41" s="562"/>
      <c r="DOH41" s="562"/>
      <c r="DOI41" s="562"/>
      <c r="DOJ41" s="562"/>
      <c r="DOK41" s="562"/>
      <c r="DOL41" s="562"/>
      <c r="DOM41" s="562"/>
      <c r="DON41" s="562"/>
      <c r="DOO41" s="562"/>
      <c r="DOP41" s="562"/>
      <c r="DOQ41" s="562"/>
      <c r="DOR41" s="562"/>
      <c r="DOS41" s="562"/>
      <c r="DOT41" s="562"/>
      <c r="DOU41" s="562"/>
      <c r="DOV41" s="562"/>
      <c r="DOW41" s="562"/>
      <c r="DOX41" s="562"/>
      <c r="DOY41" s="562"/>
      <c r="DOZ41" s="562"/>
      <c r="DPA41" s="562"/>
      <c r="DPB41" s="562"/>
      <c r="DPC41" s="562"/>
      <c r="DPD41" s="562"/>
      <c r="DPE41" s="562"/>
      <c r="DPF41" s="562"/>
      <c r="DPG41" s="562"/>
      <c r="DPH41" s="562"/>
      <c r="DPI41" s="562"/>
      <c r="DPJ41" s="562"/>
      <c r="DPK41" s="562"/>
      <c r="DPL41" s="562"/>
      <c r="DPM41" s="562"/>
      <c r="DPN41" s="562"/>
      <c r="DPO41" s="562"/>
      <c r="DPP41" s="562"/>
      <c r="DPQ41" s="562"/>
      <c r="DPR41" s="562"/>
      <c r="DPS41" s="562"/>
      <c r="DPT41" s="562"/>
      <c r="DPU41" s="562"/>
      <c r="DPV41" s="562"/>
      <c r="DPW41" s="562"/>
      <c r="DPX41" s="562"/>
      <c r="DPY41" s="562"/>
      <c r="DPZ41" s="562"/>
      <c r="DQA41" s="562"/>
      <c r="DQB41" s="562"/>
      <c r="DQC41" s="562"/>
      <c r="DQD41" s="562"/>
      <c r="DQE41" s="562"/>
      <c r="DQF41" s="562"/>
      <c r="DQG41" s="562"/>
      <c r="DQH41" s="562"/>
      <c r="DQI41" s="562"/>
      <c r="DQJ41" s="562"/>
      <c r="DQK41" s="562"/>
      <c r="DQL41" s="562"/>
      <c r="DQM41" s="562"/>
      <c r="DQN41" s="562"/>
      <c r="DQO41" s="562"/>
      <c r="DQP41" s="562"/>
      <c r="DQQ41" s="562"/>
      <c r="DQR41" s="562"/>
      <c r="DQS41" s="562"/>
      <c r="DQT41" s="562"/>
      <c r="DQU41" s="562"/>
      <c r="DQV41" s="562"/>
      <c r="DQW41" s="562"/>
      <c r="DQX41" s="562"/>
      <c r="DQY41" s="562"/>
      <c r="DQZ41" s="562"/>
      <c r="DRA41" s="562"/>
      <c r="DRB41" s="562"/>
      <c r="DRC41" s="562"/>
      <c r="DRD41" s="562"/>
      <c r="DRE41" s="562"/>
      <c r="DRF41" s="562"/>
      <c r="DRG41" s="562"/>
      <c r="DRH41" s="562"/>
      <c r="DRI41" s="562"/>
      <c r="DRJ41" s="562"/>
      <c r="DRK41" s="562"/>
      <c r="DRL41" s="562"/>
      <c r="DRM41" s="562"/>
      <c r="DRN41" s="562"/>
      <c r="DRO41" s="562"/>
      <c r="DRP41" s="562"/>
      <c r="DRQ41" s="562"/>
      <c r="DRR41" s="562"/>
      <c r="DRS41" s="562"/>
      <c r="DRT41" s="562"/>
      <c r="DRU41" s="562"/>
      <c r="DRV41" s="562"/>
      <c r="DRW41" s="562"/>
      <c r="DRX41" s="562"/>
      <c r="DRY41" s="562"/>
      <c r="DRZ41" s="562"/>
      <c r="DSA41" s="562"/>
      <c r="DSB41" s="562"/>
      <c r="DSC41" s="562"/>
      <c r="DSD41" s="562"/>
      <c r="DSE41" s="562"/>
      <c r="DSF41" s="562"/>
      <c r="DSG41" s="562"/>
      <c r="DSH41" s="562"/>
      <c r="DSI41" s="562"/>
      <c r="DSJ41" s="562"/>
      <c r="DSK41" s="562"/>
      <c r="DSL41" s="562"/>
      <c r="DSM41" s="562"/>
      <c r="DSN41" s="562"/>
      <c r="DSO41" s="562"/>
      <c r="DSP41" s="562"/>
      <c r="DSQ41" s="562"/>
      <c r="DSR41" s="562"/>
      <c r="DSS41" s="562"/>
      <c r="DST41" s="562"/>
      <c r="DSU41" s="562"/>
      <c r="DSV41" s="562"/>
      <c r="DSW41" s="562"/>
      <c r="DSX41" s="562"/>
      <c r="DSY41" s="562"/>
      <c r="DSZ41" s="562"/>
      <c r="DTA41" s="562"/>
      <c r="DTB41" s="562"/>
      <c r="DTC41" s="562"/>
      <c r="DTD41" s="562"/>
      <c r="DTE41" s="562"/>
      <c r="DTF41" s="562"/>
      <c r="DTG41" s="562"/>
      <c r="DTH41" s="562"/>
      <c r="DTI41" s="562"/>
      <c r="DTJ41" s="562"/>
      <c r="DTK41" s="562"/>
      <c r="DTL41" s="562"/>
      <c r="DTM41" s="562"/>
      <c r="DTN41" s="562"/>
      <c r="DTO41" s="562"/>
      <c r="DTP41" s="562"/>
      <c r="DTQ41" s="562"/>
      <c r="DTR41" s="562"/>
      <c r="DTS41" s="562"/>
      <c r="DTT41" s="562"/>
      <c r="DTU41" s="562"/>
      <c r="DTV41" s="562"/>
      <c r="DTW41" s="562"/>
      <c r="DTX41" s="562"/>
      <c r="DTY41" s="562"/>
      <c r="DTZ41" s="562"/>
      <c r="DUA41" s="562"/>
      <c r="DUB41" s="562"/>
      <c r="DUC41" s="562"/>
      <c r="DUD41" s="562"/>
      <c r="DUE41" s="562"/>
      <c r="DUF41" s="562"/>
      <c r="DUG41" s="562"/>
      <c r="DUH41" s="562"/>
      <c r="DUI41" s="562"/>
      <c r="DUJ41" s="562"/>
      <c r="DUK41" s="562"/>
      <c r="DUL41" s="562"/>
      <c r="DUM41" s="562"/>
      <c r="DUN41" s="562"/>
      <c r="DUO41" s="562"/>
      <c r="DUP41" s="562"/>
      <c r="DUQ41" s="562"/>
      <c r="DUR41" s="562"/>
      <c r="DUS41" s="562"/>
      <c r="DUT41" s="562"/>
      <c r="DUU41" s="562"/>
      <c r="DUV41" s="562"/>
      <c r="DUW41" s="562"/>
      <c r="DUX41" s="562"/>
      <c r="DUY41" s="562"/>
      <c r="DUZ41" s="562"/>
      <c r="DVA41" s="562"/>
      <c r="DVB41" s="562"/>
      <c r="DVC41" s="562"/>
      <c r="DVD41" s="562"/>
      <c r="DVE41" s="562"/>
      <c r="DVF41" s="562"/>
      <c r="DVG41" s="562"/>
      <c r="DVH41" s="562"/>
      <c r="DVI41" s="562"/>
      <c r="DVJ41" s="562"/>
      <c r="DVK41" s="562"/>
      <c r="DVL41" s="562"/>
      <c r="DVM41" s="562"/>
      <c r="DVN41" s="562"/>
      <c r="DVO41" s="562"/>
      <c r="DVP41" s="562"/>
      <c r="DVQ41" s="562"/>
      <c r="DVR41" s="562"/>
      <c r="DVS41" s="562"/>
      <c r="DVT41" s="562"/>
      <c r="DVU41" s="562"/>
      <c r="DVV41" s="562"/>
      <c r="DVW41" s="562"/>
      <c r="DVX41" s="562"/>
      <c r="DVY41" s="562"/>
      <c r="DVZ41" s="562"/>
      <c r="DWA41" s="562"/>
      <c r="DWB41" s="562"/>
      <c r="DWC41" s="562"/>
      <c r="DWD41" s="562"/>
      <c r="DWE41" s="562"/>
      <c r="DWF41" s="562"/>
      <c r="DWG41" s="562"/>
      <c r="DWH41" s="562"/>
      <c r="DWI41" s="562"/>
      <c r="DWJ41" s="562"/>
      <c r="DWK41" s="562"/>
      <c r="DWL41" s="562"/>
      <c r="DWM41" s="562"/>
      <c r="DWN41" s="562"/>
      <c r="DWO41" s="562"/>
      <c r="DWP41" s="562"/>
      <c r="DWQ41" s="562"/>
      <c r="DWR41" s="562"/>
      <c r="DWS41" s="562"/>
      <c r="DWT41" s="562"/>
      <c r="DWU41" s="562"/>
      <c r="DWV41" s="562"/>
      <c r="DWW41" s="562"/>
      <c r="DWX41" s="562"/>
      <c r="DWY41" s="562"/>
      <c r="DWZ41" s="562"/>
      <c r="DXA41" s="562"/>
      <c r="DXB41" s="562"/>
      <c r="DXC41" s="562"/>
      <c r="DXD41" s="562"/>
      <c r="DXE41" s="562"/>
      <c r="DXF41" s="562"/>
      <c r="DXG41" s="562"/>
      <c r="DXH41" s="562"/>
      <c r="DXI41" s="562"/>
      <c r="DXJ41" s="562"/>
      <c r="DXK41" s="562"/>
      <c r="DXL41" s="562"/>
      <c r="DXM41" s="562"/>
      <c r="DXN41" s="562"/>
      <c r="DXO41" s="562"/>
      <c r="DXP41" s="562"/>
      <c r="DXQ41" s="562"/>
      <c r="DXR41" s="562"/>
      <c r="DXS41" s="562"/>
      <c r="DXT41" s="562"/>
      <c r="DXU41" s="562"/>
      <c r="DXV41" s="562"/>
      <c r="DXW41" s="562"/>
      <c r="DXX41" s="562"/>
      <c r="DXY41" s="562"/>
      <c r="DXZ41" s="562"/>
      <c r="DYA41" s="562"/>
      <c r="DYB41" s="562"/>
      <c r="DYC41" s="562"/>
      <c r="DYD41" s="562"/>
      <c r="DYE41" s="562"/>
      <c r="DYF41" s="562"/>
      <c r="DYG41" s="562"/>
      <c r="DYH41" s="562"/>
      <c r="DYI41" s="562"/>
      <c r="DYJ41" s="562"/>
      <c r="DYK41" s="562"/>
      <c r="DYL41" s="562"/>
      <c r="DYM41" s="562"/>
      <c r="DYN41" s="562"/>
      <c r="DYO41" s="562"/>
      <c r="DYP41" s="562"/>
      <c r="DYQ41" s="562"/>
      <c r="DYR41" s="562"/>
      <c r="DYS41" s="562"/>
      <c r="DYT41" s="562"/>
      <c r="DYU41" s="562"/>
      <c r="DYV41" s="562"/>
      <c r="DYW41" s="562"/>
      <c r="DYX41" s="562"/>
      <c r="DYY41" s="562"/>
      <c r="DYZ41" s="562"/>
      <c r="DZA41" s="562"/>
      <c r="DZB41" s="562"/>
      <c r="DZC41" s="562"/>
      <c r="DZD41" s="562"/>
      <c r="DZE41" s="562"/>
      <c r="DZF41" s="562"/>
      <c r="DZG41" s="562"/>
      <c r="DZH41" s="562"/>
      <c r="DZI41" s="562"/>
      <c r="DZJ41" s="562"/>
      <c r="DZK41" s="562"/>
      <c r="DZL41" s="562"/>
      <c r="DZM41" s="562"/>
      <c r="DZN41" s="562"/>
      <c r="DZO41" s="562"/>
      <c r="DZP41" s="562"/>
      <c r="DZQ41" s="562"/>
      <c r="DZR41" s="562"/>
      <c r="DZS41" s="562"/>
      <c r="DZT41" s="562"/>
      <c r="DZU41" s="562"/>
      <c r="DZV41" s="562"/>
      <c r="DZW41" s="562"/>
      <c r="DZX41" s="562"/>
      <c r="DZY41" s="562"/>
      <c r="DZZ41" s="562"/>
      <c r="EAA41" s="562"/>
      <c r="EAB41" s="562"/>
      <c r="EAC41" s="562"/>
      <c r="EAD41" s="562"/>
      <c r="EAE41" s="562"/>
      <c r="EAF41" s="562"/>
      <c r="EAG41" s="562"/>
      <c r="EAH41" s="562"/>
      <c r="EAI41" s="562"/>
      <c r="EAJ41" s="562"/>
      <c r="EAK41" s="562"/>
      <c r="EAL41" s="562"/>
      <c r="EAM41" s="562"/>
      <c r="EAN41" s="562"/>
      <c r="EAO41" s="562"/>
      <c r="EAP41" s="562"/>
      <c r="EAQ41" s="562"/>
      <c r="EAR41" s="562"/>
      <c r="EAS41" s="562"/>
      <c r="EAT41" s="562"/>
      <c r="EAU41" s="562"/>
      <c r="EAV41" s="562"/>
      <c r="EAW41" s="562"/>
      <c r="EAX41" s="562"/>
      <c r="EAY41" s="562"/>
      <c r="EAZ41" s="562"/>
      <c r="EBA41" s="562"/>
      <c r="EBB41" s="562"/>
      <c r="EBC41" s="562"/>
      <c r="EBD41" s="562"/>
      <c r="EBE41" s="562"/>
      <c r="EBF41" s="562"/>
      <c r="EBG41" s="562"/>
      <c r="EBH41" s="562"/>
      <c r="EBI41" s="562"/>
      <c r="EBJ41" s="562"/>
      <c r="EBK41" s="562"/>
      <c r="EBL41" s="562"/>
      <c r="EBM41" s="562"/>
      <c r="EBN41" s="562"/>
      <c r="EBO41" s="562"/>
      <c r="EBP41" s="562"/>
      <c r="EBQ41" s="562"/>
      <c r="EBR41" s="562"/>
      <c r="EBS41" s="562"/>
      <c r="EBT41" s="562"/>
      <c r="EBU41" s="562"/>
      <c r="EBV41" s="562"/>
      <c r="EBW41" s="562"/>
      <c r="EBX41" s="562"/>
      <c r="EBY41" s="562"/>
      <c r="EBZ41" s="562"/>
      <c r="ECA41" s="562"/>
      <c r="ECB41" s="562"/>
      <c r="ECC41" s="562"/>
      <c r="ECD41" s="562"/>
      <c r="ECE41" s="562"/>
      <c r="ECF41" s="562"/>
      <c r="ECG41" s="562"/>
      <c r="ECH41" s="562"/>
      <c r="ECI41" s="562"/>
      <c r="ECJ41" s="562"/>
      <c r="ECK41" s="562"/>
      <c r="ECL41" s="562"/>
      <c r="ECM41" s="562"/>
      <c r="ECN41" s="562"/>
      <c r="ECO41" s="562"/>
      <c r="ECP41" s="562"/>
      <c r="ECQ41" s="562"/>
      <c r="ECR41" s="562"/>
      <c r="ECS41" s="562"/>
      <c r="ECT41" s="562"/>
      <c r="ECU41" s="562"/>
      <c r="ECV41" s="562"/>
      <c r="ECW41" s="562"/>
      <c r="ECX41" s="562"/>
      <c r="ECY41" s="562"/>
      <c r="ECZ41" s="562"/>
      <c r="EDA41" s="562"/>
      <c r="EDB41" s="562"/>
      <c r="EDC41" s="562"/>
      <c r="EDD41" s="562"/>
      <c r="EDE41" s="562"/>
      <c r="EDF41" s="562"/>
      <c r="EDG41" s="562"/>
      <c r="EDH41" s="562"/>
      <c r="EDI41" s="562"/>
      <c r="EDJ41" s="562"/>
      <c r="EDK41" s="562"/>
      <c r="EDL41" s="562"/>
      <c r="EDM41" s="562"/>
      <c r="EDN41" s="562"/>
      <c r="EDO41" s="562"/>
      <c r="EDP41" s="562"/>
      <c r="EDQ41" s="562"/>
      <c r="EDR41" s="562"/>
      <c r="EDS41" s="562"/>
      <c r="EDT41" s="562"/>
      <c r="EDU41" s="562"/>
      <c r="EDV41" s="562"/>
      <c r="EDW41" s="562"/>
      <c r="EDX41" s="562"/>
      <c r="EDY41" s="562"/>
      <c r="EDZ41" s="562"/>
      <c r="EEA41" s="562"/>
      <c r="EEB41" s="562"/>
      <c r="EEC41" s="562"/>
      <c r="EED41" s="562"/>
      <c r="EEE41" s="562"/>
      <c r="EEF41" s="562"/>
      <c r="EEG41" s="562"/>
      <c r="EEH41" s="562"/>
      <c r="EEI41" s="562"/>
      <c r="EEJ41" s="562"/>
      <c r="EEK41" s="562"/>
      <c r="EEL41" s="562"/>
      <c r="EEM41" s="562"/>
      <c r="EEN41" s="562"/>
      <c r="EEO41" s="562"/>
      <c r="EEP41" s="562"/>
      <c r="EEQ41" s="562"/>
      <c r="EER41" s="562"/>
      <c r="EES41" s="562"/>
      <c r="EET41" s="562"/>
      <c r="EEU41" s="562"/>
      <c r="EEV41" s="562"/>
      <c r="EEW41" s="562"/>
      <c r="EEX41" s="562"/>
      <c r="EEY41" s="562"/>
      <c r="EEZ41" s="562"/>
      <c r="EFA41" s="562"/>
      <c r="EFB41" s="562"/>
      <c r="EFC41" s="562"/>
      <c r="EFD41" s="562"/>
      <c r="EFE41" s="562"/>
      <c r="EFF41" s="562"/>
      <c r="EFG41" s="562"/>
      <c r="EFH41" s="562"/>
      <c r="EFI41" s="562"/>
      <c r="EFJ41" s="562"/>
      <c r="EFK41" s="562"/>
      <c r="EFL41" s="562"/>
      <c r="EFM41" s="562"/>
      <c r="EFN41" s="562"/>
      <c r="EFO41" s="562"/>
      <c r="EFP41" s="562"/>
      <c r="EFQ41" s="562"/>
      <c r="EFR41" s="562"/>
      <c r="EFS41" s="562"/>
      <c r="EFT41" s="562"/>
      <c r="EFU41" s="562"/>
      <c r="EFV41" s="562"/>
      <c r="EFW41" s="562"/>
      <c r="EFX41" s="562"/>
      <c r="EFY41" s="562"/>
      <c r="EFZ41" s="562"/>
      <c r="EGA41" s="562"/>
      <c r="EGB41" s="562"/>
      <c r="EGC41" s="562"/>
      <c r="EGD41" s="562"/>
      <c r="EGE41" s="562"/>
      <c r="EGF41" s="562"/>
      <c r="EGG41" s="562"/>
      <c r="EGH41" s="562"/>
      <c r="EGI41" s="562"/>
      <c r="EGJ41" s="562"/>
      <c r="EGK41" s="562"/>
      <c r="EGL41" s="562"/>
      <c r="EGM41" s="562"/>
      <c r="EGN41" s="562"/>
      <c r="EGO41" s="562"/>
      <c r="EGP41" s="562"/>
      <c r="EGQ41" s="562"/>
      <c r="EGR41" s="562"/>
      <c r="EGS41" s="562"/>
      <c r="EGT41" s="562"/>
      <c r="EGU41" s="562"/>
      <c r="EGV41" s="562"/>
      <c r="EGW41" s="562"/>
      <c r="EGX41" s="562"/>
      <c r="EGY41" s="562"/>
      <c r="EGZ41" s="562"/>
      <c r="EHA41" s="562"/>
      <c r="EHB41" s="562"/>
      <c r="EHC41" s="562"/>
      <c r="EHD41" s="562"/>
      <c r="EHE41" s="562"/>
      <c r="EHF41" s="562"/>
      <c r="EHG41" s="562"/>
      <c r="EHH41" s="562"/>
      <c r="EHI41" s="562"/>
      <c r="EHJ41" s="562"/>
      <c r="EHK41" s="562"/>
      <c r="EHL41" s="562"/>
      <c r="EHM41" s="562"/>
      <c r="EHN41" s="562"/>
      <c r="EHO41" s="562"/>
      <c r="EHP41" s="562"/>
      <c r="EHQ41" s="562"/>
      <c r="EHR41" s="562"/>
      <c r="EHS41" s="562"/>
      <c r="EHT41" s="562"/>
      <c r="EHU41" s="562"/>
      <c r="EHV41" s="562"/>
      <c r="EHW41" s="562"/>
      <c r="EHX41" s="562"/>
      <c r="EHY41" s="562"/>
      <c r="EHZ41" s="562"/>
      <c r="EIA41" s="562"/>
      <c r="EIB41" s="562"/>
      <c r="EIC41" s="562"/>
      <c r="EID41" s="562"/>
      <c r="EIE41" s="562"/>
      <c r="EIF41" s="562"/>
      <c r="EIG41" s="562"/>
      <c r="EIH41" s="562"/>
      <c r="EII41" s="562"/>
      <c r="EIJ41" s="562"/>
      <c r="EIK41" s="562"/>
      <c r="EIL41" s="562"/>
      <c r="EIM41" s="562"/>
      <c r="EIN41" s="562"/>
      <c r="EIO41" s="562"/>
      <c r="EIP41" s="562"/>
      <c r="EIQ41" s="562"/>
      <c r="EIR41" s="562"/>
      <c r="EIS41" s="562"/>
      <c r="EIT41" s="562"/>
      <c r="EIU41" s="562"/>
      <c r="EIV41" s="562"/>
      <c r="EIW41" s="562"/>
      <c r="EIX41" s="562"/>
      <c r="EIY41" s="562"/>
      <c r="EIZ41" s="562"/>
      <c r="EJA41" s="562"/>
      <c r="EJB41" s="562"/>
      <c r="EJC41" s="562"/>
      <c r="EJD41" s="562"/>
      <c r="EJE41" s="562"/>
      <c r="EJF41" s="562"/>
      <c r="EJG41" s="562"/>
      <c r="EJH41" s="562"/>
      <c r="EJI41" s="562"/>
      <c r="EJJ41" s="562"/>
      <c r="EJK41" s="562"/>
      <c r="EJL41" s="562"/>
      <c r="EJM41" s="562"/>
      <c r="EJN41" s="562"/>
      <c r="EJO41" s="562"/>
      <c r="EJP41" s="562"/>
      <c r="EJQ41" s="562"/>
      <c r="EJR41" s="562"/>
      <c r="EJS41" s="562"/>
      <c r="EJT41" s="562"/>
      <c r="EJU41" s="562"/>
      <c r="EJV41" s="562"/>
      <c r="EJW41" s="562"/>
      <c r="EJX41" s="562"/>
      <c r="EJY41" s="562"/>
      <c r="EJZ41" s="562"/>
      <c r="EKA41" s="562"/>
      <c r="EKB41" s="562"/>
      <c r="EKC41" s="562"/>
      <c r="EKD41" s="562"/>
      <c r="EKE41" s="562"/>
      <c r="EKF41" s="562"/>
      <c r="EKG41" s="562"/>
      <c r="EKH41" s="562"/>
      <c r="EKI41" s="562"/>
      <c r="EKJ41" s="562"/>
      <c r="EKK41" s="562"/>
      <c r="EKL41" s="562"/>
      <c r="EKM41" s="562"/>
      <c r="EKN41" s="562"/>
      <c r="EKO41" s="562"/>
      <c r="EKP41" s="562"/>
      <c r="EKQ41" s="562"/>
      <c r="EKR41" s="562"/>
      <c r="EKS41" s="562"/>
      <c r="EKT41" s="562"/>
      <c r="EKU41" s="562"/>
      <c r="EKV41" s="562"/>
      <c r="EKW41" s="562"/>
      <c r="EKX41" s="562"/>
      <c r="EKY41" s="562"/>
      <c r="EKZ41" s="562"/>
      <c r="ELA41" s="562"/>
      <c r="ELB41" s="562"/>
      <c r="ELC41" s="562"/>
      <c r="ELD41" s="562"/>
      <c r="ELE41" s="562"/>
      <c r="ELF41" s="562"/>
      <c r="ELG41" s="562"/>
      <c r="ELH41" s="562"/>
      <c r="ELI41" s="562"/>
      <c r="ELJ41" s="562"/>
      <c r="ELK41" s="562"/>
      <c r="ELL41" s="562"/>
      <c r="ELM41" s="562"/>
      <c r="ELN41" s="562"/>
      <c r="ELO41" s="562"/>
      <c r="ELP41" s="562"/>
      <c r="ELQ41" s="562"/>
      <c r="ELR41" s="562"/>
      <c r="ELS41" s="562"/>
      <c r="ELT41" s="562"/>
      <c r="ELU41" s="562"/>
      <c r="ELV41" s="562"/>
      <c r="ELW41" s="562"/>
      <c r="ELX41" s="562"/>
      <c r="ELY41" s="562"/>
      <c r="ELZ41" s="562"/>
      <c r="EMA41" s="562"/>
      <c r="EMB41" s="562"/>
      <c r="EMC41" s="562"/>
      <c r="EMD41" s="562"/>
      <c r="EME41" s="562"/>
      <c r="EMF41" s="562"/>
      <c r="EMG41" s="562"/>
      <c r="EMH41" s="562"/>
      <c r="EMI41" s="562"/>
      <c r="EMJ41" s="562"/>
      <c r="EMK41" s="562"/>
      <c r="EML41" s="562"/>
      <c r="EMM41" s="562"/>
      <c r="EMN41" s="562"/>
      <c r="EMO41" s="562"/>
      <c r="EMP41" s="562"/>
      <c r="EMQ41" s="562"/>
      <c r="EMR41" s="562"/>
      <c r="EMS41" s="562"/>
      <c r="EMT41" s="562"/>
      <c r="EMU41" s="562"/>
      <c r="EMV41" s="562"/>
      <c r="EMW41" s="562"/>
      <c r="EMX41" s="562"/>
      <c r="EMY41" s="562"/>
      <c r="EMZ41" s="562"/>
      <c r="ENA41" s="562"/>
      <c r="ENB41" s="562"/>
      <c r="ENC41" s="562"/>
      <c r="END41" s="562"/>
      <c r="ENE41" s="562"/>
      <c r="ENF41" s="562"/>
      <c r="ENG41" s="562"/>
      <c r="ENH41" s="562"/>
      <c r="ENI41" s="562"/>
      <c r="ENJ41" s="562"/>
      <c r="ENK41" s="562"/>
      <c r="ENL41" s="562"/>
      <c r="ENM41" s="562"/>
      <c r="ENN41" s="562"/>
      <c r="ENO41" s="562"/>
      <c r="ENP41" s="562"/>
      <c r="ENQ41" s="562"/>
      <c r="ENR41" s="562"/>
      <c r="ENS41" s="562"/>
      <c r="ENT41" s="562"/>
      <c r="ENU41" s="562"/>
      <c r="ENV41" s="562"/>
      <c r="ENW41" s="562"/>
      <c r="ENX41" s="562"/>
      <c r="ENY41" s="562"/>
      <c r="ENZ41" s="562"/>
      <c r="EOA41" s="562"/>
      <c r="EOB41" s="562"/>
      <c r="EOC41" s="562"/>
      <c r="EOD41" s="562"/>
      <c r="EOE41" s="562"/>
      <c r="EOF41" s="562"/>
      <c r="EOG41" s="562"/>
      <c r="EOH41" s="562"/>
      <c r="EOI41" s="562"/>
      <c r="EOJ41" s="562"/>
      <c r="EOK41" s="562"/>
      <c r="EOL41" s="562"/>
      <c r="EOM41" s="562"/>
      <c r="EON41" s="562"/>
      <c r="EOO41" s="562"/>
      <c r="EOP41" s="562"/>
      <c r="EOQ41" s="562"/>
      <c r="EOR41" s="562"/>
      <c r="EOS41" s="562"/>
      <c r="EOT41" s="562"/>
      <c r="EOU41" s="562"/>
      <c r="EOV41" s="562"/>
      <c r="EOW41" s="562"/>
      <c r="EOX41" s="562"/>
      <c r="EOY41" s="562"/>
      <c r="EOZ41" s="562"/>
      <c r="EPA41" s="562"/>
      <c r="EPB41" s="562"/>
      <c r="EPC41" s="562"/>
      <c r="EPD41" s="562"/>
      <c r="EPE41" s="562"/>
      <c r="EPF41" s="562"/>
      <c r="EPG41" s="562"/>
      <c r="EPH41" s="562"/>
      <c r="EPI41" s="562"/>
      <c r="EPJ41" s="562"/>
      <c r="EPK41" s="562"/>
      <c r="EPL41" s="562"/>
      <c r="EPM41" s="562"/>
      <c r="EPN41" s="562"/>
      <c r="EPO41" s="562"/>
      <c r="EPP41" s="562"/>
      <c r="EPQ41" s="562"/>
      <c r="EPR41" s="562"/>
      <c r="EPS41" s="562"/>
      <c r="EPT41" s="562"/>
      <c r="EPU41" s="562"/>
      <c r="EPV41" s="562"/>
      <c r="EPW41" s="562"/>
      <c r="EPX41" s="562"/>
      <c r="EPY41" s="562"/>
      <c r="EPZ41" s="562"/>
      <c r="EQA41" s="562"/>
      <c r="EQB41" s="562"/>
      <c r="EQC41" s="562"/>
      <c r="EQD41" s="562"/>
      <c r="EQE41" s="562"/>
      <c r="EQF41" s="562"/>
      <c r="EQG41" s="562"/>
      <c r="EQH41" s="562"/>
      <c r="EQI41" s="562"/>
      <c r="EQJ41" s="562"/>
      <c r="EQK41" s="562"/>
      <c r="EQL41" s="562"/>
      <c r="EQM41" s="562"/>
      <c r="EQN41" s="562"/>
      <c r="EQO41" s="562"/>
      <c r="EQP41" s="562"/>
      <c r="EQQ41" s="562"/>
      <c r="EQR41" s="562"/>
      <c r="EQS41" s="562"/>
      <c r="EQT41" s="562"/>
      <c r="EQU41" s="562"/>
      <c r="EQV41" s="562"/>
      <c r="EQW41" s="562"/>
      <c r="EQX41" s="562"/>
      <c r="EQY41" s="562"/>
      <c r="EQZ41" s="562"/>
      <c r="ERA41" s="562"/>
      <c r="ERB41" s="562"/>
      <c r="ERC41" s="562"/>
      <c r="ERD41" s="562"/>
      <c r="ERE41" s="562"/>
      <c r="ERF41" s="562"/>
      <c r="ERG41" s="562"/>
      <c r="ERH41" s="562"/>
      <c r="ERI41" s="562"/>
      <c r="ERJ41" s="562"/>
      <c r="ERK41" s="562"/>
      <c r="ERL41" s="562"/>
      <c r="ERM41" s="562"/>
      <c r="ERN41" s="562"/>
      <c r="ERO41" s="562"/>
      <c r="ERP41" s="562"/>
      <c r="ERQ41" s="562"/>
      <c r="ERR41" s="562"/>
      <c r="ERS41" s="562"/>
      <c r="ERT41" s="562"/>
      <c r="ERU41" s="562"/>
      <c r="ERV41" s="562"/>
      <c r="ERW41" s="562"/>
      <c r="ERX41" s="562"/>
      <c r="ERY41" s="562"/>
      <c r="ERZ41" s="562"/>
      <c r="ESA41" s="562"/>
      <c r="ESB41" s="562"/>
      <c r="ESC41" s="562"/>
      <c r="ESD41" s="562"/>
      <c r="ESE41" s="562"/>
      <c r="ESF41" s="562"/>
      <c r="ESG41" s="562"/>
      <c r="ESH41" s="562"/>
      <c r="ESI41" s="562"/>
      <c r="ESJ41" s="562"/>
      <c r="ESK41" s="562"/>
      <c r="ESL41" s="562"/>
      <c r="ESM41" s="562"/>
      <c r="ESN41" s="562"/>
      <c r="ESO41" s="562"/>
      <c r="ESP41" s="562"/>
      <c r="ESQ41" s="562"/>
      <c r="ESR41" s="562"/>
      <c r="ESS41" s="562"/>
      <c r="EST41" s="562"/>
      <c r="ESU41" s="562"/>
      <c r="ESV41" s="562"/>
      <c r="ESW41" s="562"/>
      <c r="ESX41" s="562"/>
      <c r="ESY41" s="562"/>
      <c r="ESZ41" s="562"/>
      <c r="ETA41" s="562"/>
      <c r="ETB41" s="562"/>
      <c r="ETC41" s="562"/>
      <c r="ETD41" s="562"/>
      <c r="ETE41" s="562"/>
      <c r="ETF41" s="562"/>
      <c r="ETG41" s="562"/>
      <c r="ETH41" s="562"/>
      <c r="ETI41" s="562"/>
      <c r="ETJ41" s="562"/>
      <c r="ETK41" s="562"/>
      <c r="ETL41" s="562"/>
      <c r="ETM41" s="562"/>
      <c r="ETN41" s="562"/>
      <c r="ETO41" s="562"/>
      <c r="ETP41" s="562"/>
      <c r="ETQ41" s="562"/>
      <c r="ETR41" s="562"/>
      <c r="ETS41" s="562"/>
      <c r="ETT41" s="562"/>
      <c r="ETU41" s="562"/>
      <c r="ETV41" s="562"/>
      <c r="ETW41" s="562"/>
      <c r="ETX41" s="562"/>
      <c r="ETY41" s="562"/>
      <c r="ETZ41" s="562"/>
      <c r="EUA41" s="562"/>
      <c r="EUB41" s="562"/>
      <c r="EUC41" s="562"/>
      <c r="EUD41" s="562"/>
      <c r="EUE41" s="562"/>
      <c r="EUF41" s="562"/>
      <c r="EUG41" s="562"/>
      <c r="EUH41" s="562"/>
      <c r="EUI41" s="562"/>
      <c r="EUJ41" s="562"/>
      <c r="EUK41" s="562"/>
      <c r="EUL41" s="562"/>
      <c r="EUM41" s="562"/>
      <c r="EUN41" s="562"/>
      <c r="EUO41" s="562"/>
      <c r="EUP41" s="562"/>
      <c r="EUQ41" s="562"/>
      <c r="EUR41" s="562"/>
      <c r="EUS41" s="562"/>
      <c r="EUT41" s="562"/>
      <c r="EUU41" s="562"/>
      <c r="EUV41" s="562"/>
      <c r="EUW41" s="562"/>
      <c r="EUX41" s="562"/>
      <c r="EUY41" s="562"/>
      <c r="EUZ41" s="562"/>
      <c r="EVA41" s="562"/>
      <c r="EVB41" s="562"/>
      <c r="EVC41" s="562"/>
      <c r="EVD41" s="562"/>
      <c r="EVE41" s="562"/>
      <c r="EVF41" s="562"/>
      <c r="EVG41" s="562"/>
      <c r="EVH41" s="562"/>
      <c r="EVI41" s="562"/>
      <c r="EVJ41" s="562"/>
      <c r="EVK41" s="562"/>
      <c r="EVL41" s="562"/>
      <c r="EVM41" s="562"/>
      <c r="EVN41" s="562"/>
      <c r="EVO41" s="562"/>
      <c r="EVP41" s="562"/>
      <c r="EVQ41" s="562"/>
      <c r="EVR41" s="562"/>
      <c r="EVS41" s="562"/>
      <c r="EVT41" s="562"/>
      <c r="EVU41" s="562"/>
      <c r="EVV41" s="562"/>
      <c r="EVW41" s="562"/>
      <c r="EVX41" s="562"/>
      <c r="EVY41" s="562"/>
      <c r="EVZ41" s="562"/>
      <c r="EWA41" s="562"/>
      <c r="EWB41" s="562"/>
      <c r="EWC41" s="562"/>
      <c r="EWD41" s="562"/>
      <c r="EWE41" s="562"/>
      <c r="EWF41" s="562"/>
      <c r="EWG41" s="562"/>
      <c r="EWH41" s="562"/>
      <c r="EWI41" s="562"/>
      <c r="EWJ41" s="562"/>
      <c r="EWK41" s="562"/>
      <c r="EWL41" s="562"/>
      <c r="EWM41" s="562"/>
      <c r="EWN41" s="562"/>
      <c r="EWO41" s="562"/>
      <c r="EWP41" s="562"/>
      <c r="EWQ41" s="562"/>
      <c r="EWR41" s="562"/>
      <c r="EWS41" s="562"/>
      <c r="EWT41" s="562"/>
      <c r="EWU41" s="562"/>
      <c r="EWV41" s="562"/>
      <c r="EWW41" s="562"/>
      <c r="EWX41" s="562"/>
      <c r="EWY41" s="562"/>
      <c r="EWZ41" s="562"/>
      <c r="EXA41" s="562"/>
      <c r="EXB41" s="562"/>
      <c r="EXC41" s="562"/>
      <c r="EXD41" s="562"/>
      <c r="EXE41" s="562"/>
      <c r="EXF41" s="562"/>
      <c r="EXG41" s="562"/>
      <c r="EXH41" s="562"/>
      <c r="EXI41" s="562"/>
      <c r="EXJ41" s="562"/>
      <c r="EXK41" s="562"/>
      <c r="EXL41" s="562"/>
      <c r="EXM41" s="562"/>
      <c r="EXN41" s="562"/>
      <c r="EXO41" s="562"/>
      <c r="EXP41" s="562"/>
      <c r="EXQ41" s="562"/>
      <c r="EXR41" s="562"/>
      <c r="EXS41" s="562"/>
      <c r="EXT41" s="562"/>
      <c r="EXU41" s="562"/>
      <c r="EXV41" s="562"/>
      <c r="EXW41" s="562"/>
      <c r="EXX41" s="562"/>
      <c r="EXY41" s="562"/>
      <c r="EXZ41" s="562"/>
      <c r="EYA41" s="562"/>
      <c r="EYB41" s="562"/>
      <c r="EYC41" s="562"/>
      <c r="EYD41" s="562"/>
      <c r="EYE41" s="562"/>
      <c r="EYF41" s="562"/>
      <c r="EYG41" s="562"/>
      <c r="EYH41" s="562"/>
      <c r="EYI41" s="562"/>
      <c r="EYJ41" s="562"/>
      <c r="EYK41" s="562"/>
      <c r="EYL41" s="562"/>
      <c r="EYM41" s="562"/>
      <c r="EYN41" s="562"/>
      <c r="EYO41" s="562"/>
      <c r="EYP41" s="562"/>
      <c r="EYQ41" s="562"/>
      <c r="EYR41" s="562"/>
      <c r="EYS41" s="562"/>
      <c r="EYT41" s="562"/>
      <c r="EYU41" s="562"/>
      <c r="EYV41" s="562"/>
      <c r="EYW41" s="562"/>
      <c r="EYX41" s="562"/>
      <c r="EYY41" s="562"/>
      <c r="EYZ41" s="562"/>
      <c r="EZA41" s="562"/>
      <c r="EZB41" s="562"/>
      <c r="EZC41" s="562"/>
      <c r="EZD41" s="562"/>
      <c r="EZE41" s="562"/>
      <c r="EZF41" s="562"/>
      <c r="EZG41" s="562"/>
      <c r="EZH41" s="562"/>
      <c r="EZI41" s="562"/>
      <c r="EZJ41" s="562"/>
      <c r="EZK41" s="562"/>
      <c r="EZL41" s="562"/>
      <c r="EZM41" s="562"/>
      <c r="EZN41" s="562"/>
      <c r="EZO41" s="562"/>
      <c r="EZP41" s="562"/>
      <c r="EZQ41" s="562"/>
      <c r="EZR41" s="562"/>
      <c r="EZS41" s="562"/>
      <c r="EZT41" s="562"/>
      <c r="EZU41" s="562"/>
      <c r="EZV41" s="562"/>
      <c r="EZW41" s="562"/>
      <c r="EZX41" s="562"/>
      <c r="EZY41" s="562"/>
      <c r="EZZ41" s="562"/>
      <c r="FAA41" s="562"/>
      <c r="FAB41" s="562"/>
      <c r="FAC41" s="562"/>
      <c r="FAD41" s="562"/>
      <c r="FAE41" s="562"/>
      <c r="FAF41" s="562"/>
      <c r="FAG41" s="562"/>
      <c r="FAH41" s="562"/>
      <c r="FAI41" s="562"/>
      <c r="FAJ41" s="562"/>
      <c r="FAK41" s="562"/>
      <c r="FAL41" s="562"/>
      <c r="FAM41" s="562"/>
      <c r="FAN41" s="562"/>
      <c r="FAO41" s="562"/>
      <c r="FAP41" s="562"/>
      <c r="FAQ41" s="562"/>
      <c r="FAR41" s="562"/>
      <c r="FAS41" s="562"/>
      <c r="FAT41" s="562"/>
      <c r="FAU41" s="562"/>
      <c r="FAV41" s="562"/>
      <c r="FAW41" s="562"/>
      <c r="FAX41" s="562"/>
      <c r="FAY41" s="562"/>
      <c r="FAZ41" s="562"/>
      <c r="FBA41" s="562"/>
      <c r="FBB41" s="562"/>
      <c r="FBC41" s="562"/>
      <c r="FBD41" s="562"/>
      <c r="FBE41" s="562"/>
      <c r="FBF41" s="562"/>
      <c r="FBG41" s="562"/>
      <c r="FBH41" s="562"/>
      <c r="FBI41" s="562"/>
      <c r="FBJ41" s="562"/>
      <c r="FBK41" s="562"/>
      <c r="FBL41" s="562"/>
      <c r="FBM41" s="562"/>
      <c r="FBN41" s="562"/>
      <c r="FBO41" s="562"/>
      <c r="FBP41" s="562"/>
      <c r="FBQ41" s="562"/>
      <c r="FBR41" s="562"/>
      <c r="FBS41" s="562"/>
      <c r="FBT41" s="562"/>
      <c r="FBU41" s="562"/>
      <c r="FBV41" s="562"/>
      <c r="FBW41" s="562"/>
      <c r="FBX41" s="562"/>
      <c r="FBY41" s="562"/>
      <c r="FBZ41" s="562"/>
      <c r="FCA41" s="562"/>
      <c r="FCB41" s="562"/>
      <c r="FCC41" s="562"/>
      <c r="FCD41" s="562"/>
      <c r="FCE41" s="562"/>
      <c r="FCF41" s="562"/>
      <c r="FCG41" s="562"/>
      <c r="FCH41" s="562"/>
      <c r="FCI41" s="562"/>
      <c r="FCJ41" s="562"/>
      <c r="FCK41" s="562"/>
      <c r="FCL41" s="562"/>
      <c r="FCM41" s="562"/>
      <c r="FCN41" s="562"/>
      <c r="FCO41" s="562"/>
      <c r="FCP41" s="562"/>
      <c r="FCQ41" s="562"/>
      <c r="FCR41" s="562"/>
      <c r="FCS41" s="562"/>
      <c r="FCT41" s="562"/>
      <c r="FCU41" s="562"/>
      <c r="FCV41" s="562"/>
      <c r="FCW41" s="562"/>
      <c r="FCX41" s="562"/>
      <c r="FCY41" s="562"/>
      <c r="FCZ41" s="562"/>
      <c r="FDA41" s="562"/>
      <c r="FDB41" s="562"/>
      <c r="FDC41" s="562"/>
      <c r="FDD41" s="562"/>
      <c r="FDE41" s="562"/>
      <c r="FDF41" s="562"/>
      <c r="FDG41" s="562"/>
      <c r="FDH41" s="562"/>
      <c r="FDI41" s="562"/>
      <c r="FDJ41" s="562"/>
      <c r="FDK41" s="562"/>
      <c r="FDL41" s="562"/>
      <c r="FDM41" s="562"/>
      <c r="FDN41" s="562"/>
      <c r="FDO41" s="562"/>
      <c r="FDP41" s="562"/>
      <c r="FDQ41" s="562"/>
      <c r="FDR41" s="562"/>
      <c r="FDS41" s="562"/>
      <c r="FDT41" s="562"/>
      <c r="FDU41" s="562"/>
      <c r="FDV41" s="562"/>
      <c r="FDW41" s="562"/>
      <c r="FDX41" s="562"/>
      <c r="FDY41" s="562"/>
      <c r="FDZ41" s="562"/>
      <c r="FEA41" s="562"/>
      <c r="FEB41" s="562"/>
      <c r="FEC41" s="562"/>
      <c r="FED41" s="562"/>
      <c r="FEE41" s="562"/>
      <c r="FEF41" s="562"/>
      <c r="FEG41" s="562"/>
      <c r="FEH41" s="562"/>
      <c r="FEI41" s="562"/>
      <c r="FEJ41" s="562"/>
      <c r="FEK41" s="562"/>
      <c r="FEL41" s="562"/>
      <c r="FEM41" s="562"/>
      <c r="FEN41" s="562"/>
      <c r="FEO41" s="562"/>
      <c r="FEP41" s="562"/>
      <c r="FEQ41" s="562"/>
      <c r="FER41" s="562"/>
      <c r="FES41" s="562"/>
      <c r="FET41" s="562"/>
      <c r="FEU41" s="562"/>
      <c r="FEV41" s="562"/>
      <c r="FEW41" s="562"/>
      <c r="FEX41" s="562"/>
      <c r="FEY41" s="562"/>
      <c r="FEZ41" s="562"/>
      <c r="FFA41" s="562"/>
      <c r="FFB41" s="562"/>
      <c r="FFC41" s="562"/>
      <c r="FFD41" s="562"/>
      <c r="FFE41" s="562"/>
      <c r="FFF41" s="562"/>
      <c r="FFG41" s="562"/>
      <c r="FFH41" s="562"/>
      <c r="FFI41" s="562"/>
      <c r="FFJ41" s="562"/>
      <c r="FFK41" s="562"/>
      <c r="FFL41" s="562"/>
      <c r="FFM41" s="562"/>
      <c r="FFN41" s="562"/>
      <c r="FFO41" s="562"/>
      <c r="FFP41" s="562"/>
      <c r="FFQ41" s="562"/>
      <c r="FFR41" s="562"/>
      <c r="FFS41" s="562"/>
      <c r="FFT41" s="562"/>
      <c r="FFU41" s="562"/>
      <c r="FFV41" s="562"/>
      <c r="FFW41" s="562"/>
      <c r="FFX41" s="562"/>
      <c r="FFY41" s="562"/>
      <c r="FFZ41" s="562"/>
      <c r="FGA41" s="562"/>
      <c r="FGB41" s="562"/>
      <c r="FGC41" s="562"/>
      <c r="FGD41" s="562"/>
      <c r="FGE41" s="562"/>
      <c r="FGF41" s="562"/>
      <c r="FGG41" s="562"/>
      <c r="FGH41" s="562"/>
      <c r="FGI41" s="562"/>
      <c r="FGJ41" s="562"/>
      <c r="FGK41" s="562"/>
      <c r="FGL41" s="562"/>
      <c r="FGM41" s="562"/>
      <c r="FGN41" s="562"/>
      <c r="FGO41" s="562"/>
      <c r="FGP41" s="562"/>
      <c r="FGQ41" s="562"/>
      <c r="FGR41" s="562"/>
      <c r="FGS41" s="562"/>
      <c r="FGT41" s="562"/>
      <c r="FGU41" s="562"/>
      <c r="FGV41" s="562"/>
      <c r="FGW41" s="562"/>
      <c r="FGX41" s="562"/>
      <c r="FGY41" s="562"/>
      <c r="FGZ41" s="562"/>
      <c r="FHA41" s="562"/>
      <c r="FHB41" s="562"/>
      <c r="FHC41" s="562"/>
      <c r="FHD41" s="562"/>
      <c r="FHE41" s="562"/>
      <c r="FHF41" s="562"/>
      <c r="FHG41" s="562"/>
      <c r="FHH41" s="562"/>
      <c r="FHI41" s="562"/>
      <c r="FHJ41" s="562"/>
      <c r="FHK41" s="562"/>
      <c r="FHL41" s="562"/>
      <c r="FHM41" s="562"/>
      <c r="FHN41" s="562"/>
      <c r="FHO41" s="562"/>
      <c r="FHP41" s="562"/>
      <c r="FHQ41" s="562"/>
      <c r="FHR41" s="562"/>
      <c r="FHS41" s="562"/>
      <c r="FHT41" s="562"/>
      <c r="FHU41" s="562"/>
      <c r="FHV41" s="562"/>
      <c r="FHW41" s="562"/>
      <c r="FHX41" s="562"/>
      <c r="FHY41" s="562"/>
      <c r="FHZ41" s="562"/>
      <c r="FIA41" s="562"/>
      <c r="FIB41" s="562"/>
      <c r="FIC41" s="562"/>
      <c r="FID41" s="562"/>
      <c r="FIE41" s="562"/>
      <c r="FIF41" s="562"/>
      <c r="FIG41" s="562"/>
      <c r="FIH41" s="562"/>
      <c r="FII41" s="562"/>
      <c r="FIJ41" s="562"/>
      <c r="FIK41" s="562"/>
      <c r="FIL41" s="562"/>
      <c r="FIM41" s="562"/>
      <c r="FIN41" s="562"/>
      <c r="FIO41" s="562"/>
      <c r="FIP41" s="562"/>
      <c r="FIQ41" s="562"/>
      <c r="FIR41" s="562"/>
      <c r="FIS41" s="562"/>
      <c r="FIT41" s="562"/>
      <c r="FIU41" s="562"/>
      <c r="FIV41" s="562"/>
      <c r="FIW41" s="562"/>
      <c r="FIX41" s="562"/>
      <c r="FIY41" s="562"/>
      <c r="FIZ41" s="562"/>
      <c r="FJA41" s="562"/>
      <c r="FJB41" s="562"/>
      <c r="FJC41" s="562"/>
      <c r="FJD41" s="562"/>
      <c r="FJE41" s="562"/>
      <c r="FJF41" s="562"/>
      <c r="FJG41" s="562"/>
      <c r="FJH41" s="562"/>
      <c r="FJI41" s="562"/>
      <c r="FJJ41" s="562"/>
      <c r="FJK41" s="562"/>
      <c r="FJL41" s="562"/>
      <c r="FJM41" s="562"/>
      <c r="FJN41" s="562"/>
      <c r="FJO41" s="562"/>
      <c r="FJP41" s="562"/>
      <c r="FJQ41" s="562"/>
      <c r="FJR41" s="562"/>
      <c r="FJS41" s="562"/>
      <c r="FJT41" s="562"/>
      <c r="FJU41" s="562"/>
      <c r="FJV41" s="562"/>
      <c r="FJW41" s="562"/>
      <c r="FJX41" s="562"/>
      <c r="FJY41" s="562"/>
      <c r="FJZ41" s="562"/>
      <c r="FKA41" s="562"/>
      <c r="FKB41" s="562"/>
      <c r="FKC41" s="562"/>
      <c r="FKD41" s="562"/>
      <c r="FKE41" s="562"/>
      <c r="FKF41" s="562"/>
      <c r="FKG41" s="562"/>
      <c r="FKH41" s="562"/>
      <c r="FKI41" s="562"/>
      <c r="FKJ41" s="562"/>
      <c r="FKK41" s="562"/>
      <c r="FKL41" s="562"/>
      <c r="FKM41" s="562"/>
      <c r="FKN41" s="562"/>
      <c r="FKO41" s="562"/>
      <c r="FKP41" s="562"/>
      <c r="FKQ41" s="562"/>
      <c r="FKR41" s="562"/>
      <c r="FKS41" s="562"/>
      <c r="FKT41" s="562"/>
      <c r="FKU41" s="562"/>
      <c r="FKV41" s="562"/>
      <c r="FKW41" s="562"/>
      <c r="FKX41" s="562"/>
      <c r="FKY41" s="562"/>
      <c r="FKZ41" s="562"/>
      <c r="FLA41" s="562"/>
      <c r="FLB41" s="562"/>
      <c r="FLC41" s="562"/>
      <c r="FLD41" s="562"/>
      <c r="FLE41" s="562"/>
      <c r="FLF41" s="562"/>
      <c r="FLG41" s="562"/>
      <c r="FLH41" s="562"/>
      <c r="FLI41" s="562"/>
      <c r="FLJ41" s="562"/>
      <c r="FLK41" s="562"/>
      <c r="FLL41" s="562"/>
      <c r="FLM41" s="562"/>
      <c r="FLN41" s="562"/>
      <c r="FLO41" s="562"/>
      <c r="FLP41" s="562"/>
      <c r="FLQ41" s="562"/>
      <c r="FLR41" s="562"/>
      <c r="FLS41" s="562"/>
      <c r="FLT41" s="562"/>
      <c r="FLU41" s="562"/>
      <c r="FLV41" s="562"/>
      <c r="FLW41" s="562"/>
      <c r="FLX41" s="562"/>
      <c r="FLY41" s="562"/>
      <c r="FLZ41" s="562"/>
      <c r="FMA41" s="562"/>
      <c r="FMB41" s="562"/>
      <c r="FMC41" s="562"/>
      <c r="FMD41" s="562"/>
      <c r="FME41" s="562"/>
      <c r="FMF41" s="562"/>
      <c r="FMG41" s="562"/>
      <c r="FMH41" s="562"/>
      <c r="FMI41" s="562"/>
      <c r="FMJ41" s="562"/>
      <c r="FMK41" s="562"/>
      <c r="FML41" s="562"/>
      <c r="FMM41" s="562"/>
      <c r="FMN41" s="562"/>
      <c r="FMO41" s="562"/>
      <c r="FMP41" s="562"/>
      <c r="FMQ41" s="562"/>
      <c r="FMR41" s="562"/>
      <c r="FMS41" s="562"/>
      <c r="FMT41" s="562"/>
      <c r="FMU41" s="562"/>
      <c r="FMV41" s="562"/>
      <c r="FMW41" s="562"/>
      <c r="FMX41" s="562"/>
      <c r="FMY41" s="562"/>
      <c r="FMZ41" s="562"/>
      <c r="FNA41" s="562"/>
      <c r="FNB41" s="562"/>
      <c r="FNC41" s="562"/>
      <c r="FND41" s="562"/>
      <c r="FNE41" s="562"/>
      <c r="FNF41" s="562"/>
      <c r="FNG41" s="562"/>
      <c r="FNH41" s="562"/>
      <c r="FNI41" s="562"/>
      <c r="FNJ41" s="562"/>
      <c r="FNK41" s="562"/>
      <c r="FNL41" s="562"/>
      <c r="FNM41" s="562"/>
      <c r="FNN41" s="562"/>
      <c r="FNO41" s="562"/>
      <c r="FNP41" s="562"/>
      <c r="FNQ41" s="562"/>
      <c r="FNR41" s="562"/>
      <c r="FNS41" s="562"/>
      <c r="FNT41" s="562"/>
      <c r="FNU41" s="562"/>
      <c r="FNV41" s="562"/>
      <c r="FNW41" s="562"/>
      <c r="FNX41" s="562"/>
      <c r="FNY41" s="562"/>
      <c r="FNZ41" s="562"/>
      <c r="FOA41" s="562"/>
      <c r="FOB41" s="562"/>
      <c r="FOC41" s="562"/>
      <c r="FOD41" s="562"/>
      <c r="FOE41" s="562"/>
      <c r="FOF41" s="562"/>
      <c r="FOG41" s="562"/>
      <c r="FOH41" s="562"/>
      <c r="FOI41" s="562"/>
      <c r="FOJ41" s="562"/>
      <c r="FOK41" s="562"/>
      <c r="FOL41" s="562"/>
      <c r="FOM41" s="562"/>
      <c r="FON41" s="562"/>
      <c r="FOO41" s="562"/>
      <c r="FOP41" s="562"/>
      <c r="FOQ41" s="562"/>
      <c r="FOR41" s="562"/>
      <c r="FOS41" s="562"/>
      <c r="FOT41" s="562"/>
      <c r="FOU41" s="562"/>
      <c r="FOV41" s="562"/>
      <c r="FOW41" s="562"/>
      <c r="FOX41" s="562"/>
      <c r="FOY41" s="562"/>
      <c r="FOZ41" s="562"/>
      <c r="FPA41" s="562"/>
      <c r="FPB41" s="562"/>
      <c r="FPC41" s="562"/>
      <c r="FPD41" s="562"/>
      <c r="FPE41" s="562"/>
      <c r="FPF41" s="562"/>
      <c r="FPG41" s="562"/>
      <c r="FPH41" s="562"/>
      <c r="FPI41" s="562"/>
      <c r="FPJ41" s="562"/>
      <c r="FPK41" s="562"/>
      <c r="FPL41" s="562"/>
      <c r="FPM41" s="562"/>
      <c r="FPN41" s="562"/>
      <c r="FPO41" s="562"/>
      <c r="FPP41" s="562"/>
      <c r="FPQ41" s="562"/>
      <c r="FPR41" s="562"/>
      <c r="FPS41" s="562"/>
      <c r="FPT41" s="562"/>
      <c r="FPU41" s="562"/>
      <c r="FPV41" s="562"/>
      <c r="FPW41" s="562"/>
      <c r="FPX41" s="562"/>
      <c r="FPY41" s="562"/>
      <c r="FPZ41" s="562"/>
      <c r="FQA41" s="562"/>
      <c r="FQB41" s="562"/>
      <c r="FQC41" s="562"/>
      <c r="FQD41" s="562"/>
      <c r="FQE41" s="562"/>
      <c r="FQF41" s="562"/>
      <c r="FQG41" s="562"/>
      <c r="FQH41" s="562"/>
      <c r="FQI41" s="562"/>
      <c r="FQJ41" s="562"/>
      <c r="FQK41" s="562"/>
      <c r="FQL41" s="562"/>
      <c r="FQM41" s="562"/>
      <c r="FQN41" s="562"/>
      <c r="FQO41" s="562"/>
      <c r="FQP41" s="562"/>
      <c r="FQQ41" s="562"/>
      <c r="FQR41" s="562"/>
      <c r="FQS41" s="562"/>
      <c r="FQT41" s="562"/>
      <c r="FQU41" s="562"/>
      <c r="FQV41" s="562"/>
      <c r="FQW41" s="562"/>
      <c r="FQX41" s="562"/>
      <c r="FQY41" s="562"/>
      <c r="FQZ41" s="562"/>
      <c r="FRA41" s="562"/>
      <c r="FRB41" s="562"/>
      <c r="FRC41" s="562"/>
      <c r="FRD41" s="562"/>
      <c r="FRE41" s="562"/>
      <c r="FRF41" s="562"/>
      <c r="FRG41" s="562"/>
      <c r="FRH41" s="562"/>
      <c r="FRI41" s="562"/>
      <c r="FRJ41" s="562"/>
      <c r="FRK41" s="562"/>
      <c r="FRL41" s="562"/>
      <c r="FRM41" s="562"/>
      <c r="FRN41" s="562"/>
      <c r="FRO41" s="562"/>
      <c r="FRP41" s="562"/>
      <c r="FRQ41" s="562"/>
      <c r="FRR41" s="562"/>
      <c r="FRS41" s="562"/>
      <c r="FRT41" s="562"/>
      <c r="FRU41" s="562"/>
      <c r="FRV41" s="562"/>
      <c r="FRW41" s="562"/>
      <c r="FRX41" s="562"/>
      <c r="FRY41" s="562"/>
      <c r="FRZ41" s="562"/>
      <c r="FSA41" s="562"/>
      <c r="FSB41" s="562"/>
      <c r="FSC41" s="562"/>
      <c r="FSD41" s="562"/>
      <c r="FSE41" s="562"/>
      <c r="FSF41" s="562"/>
      <c r="FSG41" s="562"/>
      <c r="FSH41" s="562"/>
      <c r="FSI41" s="562"/>
      <c r="FSJ41" s="562"/>
      <c r="FSK41" s="562"/>
      <c r="FSL41" s="562"/>
      <c r="FSM41" s="562"/>
      <c r="FSN41" s="562"/>
      <c r="FSO41" s="562"/>
      <c r="FSP41" s="562"/>
      <c r="FSQ41" s="562"/>
      <c r="FSR41" s="562"/>
      <c r="FSS41" s="562"/>
      <c r="FST41" s="562"/>
      <c r="FSU41" s="562"/>
      <c r="FSV41" s="562"/>
      <c r="FSW41" s="562"/>
      <c r="FSX41" s="562"/>
      <c r="FSY41" s="562"/>
      <c r="FSZ41" s="562"/>
      <c r="FTA41" s="562"/>
      <c r="FTB41" s="562"/>
      <c r="FTC41" s="562"/>
      <c r="FTD41" s="562"/>
      <c r="FTE41" s="562"/>
      <c r="FTF41" s="562"/>
      <c r="FTG41" s="562"/>
      <c r="FTH41" s="562"/>
      <c r="FTI41" s="562"/>
      <c r="FTJ41" s="562"/>
      <c r="FTK41" s="562"/>
      <c r="FTL41" s="562"/>
      <c r="FTM41" s="562"/>
      <c r="FTN41" s="562"/>
      <c r="FTO41" s="562"/>
      <c r="FTP41" s="562"/>
      <c r="FTQ41" s="562"/>
      <c r="FTR41" s="562"/>
      <c r="FTS41" s="562"/>
      <c r="FTT41" s="562"/>
      <c r="FTU41" s="562"/>
      <c r="FTV41" s="562"/>
      <c r="FTW41" s="562"/>
      <c r="FTX41" s="562"/>
      <c r="FTY41" s="562"/>
      <c r="FTZ41" s="562"/>
      <c r="FUA41" s="562"/>
      <c r="FUB41" s="562"/>
      <c r="FUC41" s="562"/>
      <c r="FUD41" s="562"/>
      <c r="FUE41" s="562"/>
      <c r="FUF41" s="562"/>
      <c r="FUG41" s="562"/>
      <c r="FUH41" s="562"/>
      <c r="FUI41" s="562"/>
      <c r="FUJ41" s="562"/>
      <c r="FUK41" s="562"/>
      <c r="FUL41" s="562"/>
      <c r="FUM41" s="562"/>
      <c r="FUN41" s="562"/>
      <c r="FUO41" s="562"/>
      <c r="FUP41" s="562"/>
      <c r="FUQ41" s="562"/>
      <c r="FUR41" s="562"/>
      <c r="FUS41" s="562"/>
      <c r="FUT41" s="562"/>
      <c r="FUU41" s="562"/>
      <c r="FUV41" s="562"/>
      <c r="FUW41" s="562"/>
      <c r="FUX41" s="562"/>
      <c r="FUY41" s="562"/>
      <c r="FUZ41" s="562"/>
      <c r="FVA41" s="562"/>
      <c r="FVB41" s="562"/>
      <c r="FVC41" s="562"/>
      <c r="FVD41" s="562"/>
      <c r="FVE41" s="562"/>
      <c r="FVF41" s="562"/>
      <c r="FVG41" s="562"/>
      <c r="FVH41" s="562"/>
      <c r="FVI41" s="562"/>
      <c r="FVJ41" s="562"/>
      <c r="FVK41" s="562"/>
      <c r="FVL41" s="562"/>
      <c r="FVM41" s="562"/>
      <c r="FVN41" s="562"/>
      <c r="FVO41" s="562"/>
      <c r="FVP41" s="562"/>
      <c r="FVQ41" s="562"/>
      <c r="FVR41" s="562"/>
      <c r="FVS41" s="562"/>
      <c r="FVT41" s="562"/>
      <c r="FVU41" s="562"/>
      <c r="FVV41" s="562"/>
      <c r="FVW41" s="562"/>
      <c r="FVX41" s="562"/>
      <c r="FVY41" s="562"/>
      <c r="FVZ41" s="562"/>
      <c r="FWA41" s="562"/>
      <c r="FWB41" s="562"/>
      <c r="FWC41" s="562"/>
      <c r="FWD41" s="562"/>
      <c r="FWE41" s="562"/>
      <c r="FWF41" s="562"/>
      <c r="FWG41" s="562"/>
      <c r="FWH41" s="562"/>
      <c r="FWI41" s="562"/>
      <c r="FWJ41" s="562"/>
      <c r="FWK41" s="562"/>
      <c r="FWL41" s="562"/>
      <c r="FWM41" s="562"/>
      <c r="FWN41" s="562"/>
      <c r="FWO41" s="562"/>
      <c r="FWP41" s="562"/>
      <c r="FWQ41" s="562"/>
      <c r="FWR41" s="562"/>
      <c r="FWS41" s="562"/>
      <c r="FWT41" s="562"/>
      <c r="FWU41" s="562"/>
      <c r="FWV41" s="562"/>
      <c r="FWW41" s="562"/>
      <c r="FWX41" s="562"/>
      <c r="FWY41" s="562"/>
      <c r="FWZ41" s="562"/>
      <c r="FXA41" s="562"/>
      <c r="FXB41" s="562"/>
      <c r="FXC41" s="562"/>
      <c r="FXD41" s="562"/>
      <c r="FXE41" s="562"/>
      <c r="FXF41" s="562"/>
      <c r="FXG41" s="562"/>
      <c r="FXH41" s="562"/>
      <c r="FXI41" s="562"/>
      <c r="FXJ41" s="562"/>
      <c r="FXK41" s="562"/>
      <c r="FXL41" s="562"/>
      <c r="FXM41" s="562"/>
      <c r="FXN41" s="562"/>
      <c r="FXO41" s="562"/>
      <c r="FXP41" s="562"/>
      <c r="FXQ41" s="562"/>
      <c r="FXR41" s="562"/>
      <c r="FXS41" s="562"/>
      <c r="FXT41" s="562"/>
      <c r="FXU41" s="562"/>
      <c r="FXV41" s="562"/>
      <c r="FXW41" s="562"/>
      <c r="FXX41" s="562"/>
      <c r="FXY41" s="562"/>
      <c r="FXZ41" s="562"/>
      <c r="FYA41" s="562"/>
      <c r="FYB41" s="562"/>
      <c r="FYC41" s="562"/>
      <c r="FYD41" s="562"/>
      <c r="FYE41" s="562"/>
      <c r="FYF41" s="562"/>
      <c r="FYG41" s="562"/>
      <c r="FYH41" s="562"/>
      <c r="FYI41" s="562"/>
      <c r="FYJ41" s="562"/>
      <c r="FYK41" s="562"/>
      <c r="FYL41" s="562"/>
      <c r="FYM41" s="562"/>
      <c r="FYN41" s="562"/>
      <c r="FYO41" s="562"/>
      <c r="FYP41" s="562"/>
      <c r="FYQ41" s="562"/>
      <c r="FYR41" s="562"/>
      <c r="FYS41" s="562"/>
      <c r="FYT41" s="562"/>
      <c r="FYU41" s="562"/>
      <c r="FYV41" s="562"/>
      <c r="FYW41" s="562"/>
      <c r="FYX41" s="562"/>
      <c r="FYY41" s="562"/>
      <c r="FYZ41" s="562"/>
      <c r="FZA41" s="562"/>
      <c r="FZB41" s="562"/>
      <c r="FZC41" s="562"/>
      <c r="FZD41" s="562"/>
      <c r="FZE41" s="562"/>
      <c r="FZF41" s="562"/>
      <c r="FZG41" s="562"/>
      <c r="FZH41" s="562"/>
      <c r="FZI41" s="562"/>
      <c r="FZJ41" s="562"/>
      <c r="FZK41" s="562"/>
      <c r="FZL41" s="562"/>
      <c r="FZM41" s="562"/>
      <c r="FZN41" s="562"/>
      <c r="FZO41" s="562"/>
      <c r="FZP41" s="562"/>
      <c r="FZQ41" s="562"/>
      <c r="FZR41" s="562"/>
      <c r="FZS41" s="562"/>
      <c r="FZT41" s="562"/>
      <c r="FZU41" s="562"/>
      <c r="FZV41" s="562"/>
      <c r="FZW41" s="562"/>
      <c r="FZX41" s="562"/>
      <c r="FZY41" s="562"/>
      <c r="FZZ41" s="562"/>
      <c r="GAA41" s="562"/>
      <c r="GAB41" s="562"/>
      <c r="GAC41" s="562"/>
      <c r="GAD41" s="562"/>
      <c r="GAE41" s="562"/>
      <c r="GAF41" s="562"/>
      <c r="GAG41" s="562"/>
      <c r="GAH41" s="562"/>
      <c r="GAI41" s="562"/>
      <c r="GAJ41" s="562"/>
      <c r="GAK41" s="562"/>
      <c r="GAL41" s="562"/>
      <c r="GAM41" s="562"/>
      <c r="GAN41" s="562"/>
      <c r="GAO41" s="562"/>
      <c r="GAP41" s="562"/>
      <c r="GAQ41" s="562"/>
      <c r="GAR41" s="562"/>
      <c r="GAS41" s="562"/>
      <c r="GAT41" s="562"/>
      <c r="GAU41" s="562"/>
      <c r="GAV41" s="562"/>
      <c r="GAW41" s="562"/>
      <c r="GAX41" s="562"/>
      <c r="GAY41" s="562"/>
      <c r="GAZ41" s="562"/>
      <c r="GBA41" s="562"/>
      <c r="GBB41" s="562"/>
      <c r="GBC41" s="562"/>
      <c r="GBD41" s="562"/>
      <c r="GBE41" s="562"/>
      <c r="GBF41" s="562"/>
      <c r="GBG41" s="562"/>
      <c r="GBH41" s="562"/>
      <c r="GBI41" s="562"/>
      <c r="GBJ41" s="562"/>
      <c r="GBK41" s="562"/>
      <c r="GBL41" s="562"/>
      <c r="GBM41" s="562"/>
      <c r="GBN41" s="562"/>
      <c r="GBO41" s="562"/>
      <c r="GBP41" s="562"/>
      <c r="GBQ41" s="562"/>
      <c r="GBR41" s="562"/>
      <c r="GBS41" s="562"/>
      <c r="GBT41" s="562"/>
      <c r="GBU41" s="562"/>
      <c r="GBV41" s="562"/>
      <c r="GBW41" s="562"/>
      <c r="GBX41" s="562"/>
      <c r="GBY41" s="562"/>
      <c r="GBZ41" s="562"/>
      <c r="GCA41" s="562"/>
      <c r="GCB41" s="562"/>
      <c r="GCC41" s="562"/>
      <c r="GCD41" s="562"/>
      <c r="GCE41" s="562"/>
      <c r="GCF41" s="562"/>
      <c r="GCG41" s="562"/>
      <c r="GCH41" s="562"/>
      <c r="GCI41" s="562"/>
      <c r="GCJ41" s="562"/>
      <c r="GCK41" s="562"/>
      <c r="GCL41" s="562"/>
      <c r="GCM41" s="562"/>
      <c r="GCN41" s="562"/>
      <c r="GCO41" s="562"/>
      <c r="GCP41" s="562"/>
      <c r="GCQ41" s="562"/>
      <c r="GCR41" s="562"/>
      <c r="GCS41" s="562"/>
      <c r="GCT41" s="562"/>
      <c r="GCU41" s="562"/>
      <c r="GCV41" s="562"/>
      <c r="GCW41" s="562"/>
      <c r="GCX41" s="562"/>
      <c r="GCY41" s="562"/>
      <c r="GCZ41" s="562"/>
      <c r="GDA41" s="562"/>
      <c r="GDB41" s="562"/>
      <c r="GDC41" s="562"/>
      <c r="GDD41" s="562"/>
      <c r="GDE41" s="562"/>
      <c r="GDF41" s="562"/>
      <c r="GDG41" s="562"/>
      <c r="GDH41" s="562"/>
      <c r="GDI41" s="562"/>
      <c r="GDJ41" s="562"/>
      <c r="GDK41" s="562"/>
      <c r="GDL41" s="562"/>
      <c r="GDM41" s="562"/>
      <c r="GDN41" s="562"/>
      <c r="GDO41" s="562"/>
      <c r="GDP41" s="562"/>
      <c r="GDQ41" s="562"/>
      <c r="GDR41" s="562"/>
      <c r="GDS41" s="562"/>
      <c r="GDT41" s="562"/>
      <c r="GDU41" s="562"/>
      <c r="GDV41" s="562"/>
      <c r="GDW41" s="562"/>
      <c r="GDX41" s="562"/>
      <c r="GDY41" s="562"/>
      <c r="GDZ41" s="562"/>
      <c r="GEA41" s="562"/>
      <c r="GEB41" s="562"/>
      <c r="GEC41" s="562"/>
      <c r="GED41" s="562"/>
      <c r="GEE41" s="562"/>
      <c r="GEF41" s="562"/>
      <c r="GEG41" s="562"/>
      <c r="GEH41" s="562"/>
      <c r="GEI41" s="562"/>
      <c r="GEJ41" s="562"/>
      <c r="GEK41" s="562"/>
      <c r="GEL41" s="562"/>
      <c r="GEM41" s="562"/>
      <c r="GEN41" s="562"/>
      <c r="GEO41" s="562"/>
      <c r="GEP41" s="562"/>
      <c r="GEQ41" s="562"/>
      <c r="GER41" s="562"/>
      <c r="GES41" s="562"/>
      <c r="GET41" s="562"/>
      <c r="GEU41" s="562"/>
      <c r="GEV41" s="562"/>
      <c r="GEW41" s="562"/>
      <c r="GEX41" s="562"/>
      <c r="GEY41" s="562"/>
      <c r="GEZ41" s="562"/>
      <c r="GFA41" s="562"/>
      <c r="GFB41" s="562"/>
      <c r="GFC41" s="562"/>
      <c r="GFD41" s="562"/>
      <c r="GFE41" s="562"/>
      <c r="GFF41" s="562"/>
      <c r="GFG41" s="562"/>
      <c r="GFH41" s="562"/>
      <c r="GFI41" s="562"/>
      <c r="GFJ41" s="562"/>
      <c r="GFK41" s="562"/>
      <c r="GFL41" s="562"/>
      <c r="GFM41" s="562"/>
      <c r="GFN41" s="562"/>
      <c r="GFO41" s="562"/>
      <c r="GFP41" s="562"/>
      <c r="GFQ41" s="562"/>
      <c r="GFR41" s="562"/>
      <c r="GFS41" s="562"/>
      <c r="GFT41" s="562"/>
      <c r="GFU41" s="562"/>
      <c r="GFV41" s="562"/>
      <c r="GFW41" s="562"/>
      <c r="GFX41" s="562"/>
      <c r="GFY41" s="562"/>
      <c r="GFZ41" s="562"/>
      <c r="GGA41" s="562"/>
      <c r="GGB41" s="562"/>
      <c r="GGC41" s="562"/>
      <c r="GGD41" s="562"/>
      <c r="GGE41" s="562"/>
      <c r="GGF41" s="562"/>
      <c r="GGG41" s="562"/>
      <c r="GGH41" s="562"/>
      <c r="GGI41" s="562"/>
      <c r="GGJ41" s="562"/>
      <c r="GGK41" s="562"/>
      <c r="GGL41" s="562"/>
      <c r="GGM41" s="562"/>
      <c r="GGN41" s="562"/>
      <c r="GGO41" s="562"/>
      <c r="GGP41" s="562"/>
      <c r="GGQ41" s="562"/>
      <c r="GGR41" s="562"/>
      <c r="GGS41" s="562"/>
      <c r="GGT41" s="562"/>
      <c r="GGU41" s="562"/>
      <c r="GGV41" s="562"/>
      <c r="GGW41" s="562"/>
      <c r="GGX41" s="562"/>
      <c r="GGY41" s="562"/>
      <c r="GGZ41" s="562"/>
      <c r="GHA41" s="562"/>
      <c r="GHB41" s="562"/>
      <c r="GHC41" s="562"/>
      <c r="GHD41" s="562"/>
      <c r="GHE41" s="562"/>
      <c r="GHF41" s="562"/>
      <c r="GHG41" s="562"/>
      <c r="GHH41" s="562"/>
      <c r="GHI41" s="562"/>
      <c r="GHJ41" s="562"/>
      <c r="GHK41" s="562"/>
      <c r="GHL41" s="562"/>
      <c r="GHM41" s="562"/>
      <c r="GHN41" s="562"/>
      <c r="GHO41" s="562"/>
      <c r="GHP41" s="562"/>
      <c r="GHQ41" s="562"/>
      <c r="GHR41" s="562"/>
      <c r="GHS41" s="562"/>
      <c r="GHT41" s="562"/>
      <c r="GHU41" s="562"/>
      <c r="GHV41" s="562"/>
      <c r="GHW41" s="562"/>
      <c r="GHX41" s="562"/>
      <c r="GHY41" s="562"/>
      <c r="GHZ41" s="562"/>
      <c r="GIA41" s="562"/>
      <c r="GIB41" s="562"/>
      <c r="GIC41" s="562"/>
      <c r="GID41" s="562"/>
      <c r="GIE41" s="562"/>
      <c r="GIF41" s="562"/>
      <c r="GIG41" s="562"/>
      <c r="GIH41" s="562"/>
      <c r="GII41" s="562"/>
      <c r="GIJ41" s="562"/>
      <c r="GIK41" s="562"/>
      <c r="GIL41" s="562"/>
      <c r="GIM41" s="562"/>
      <c r="GIN41" s="562"/>
      <c r="GIO41" s="562"/>
      <c r="GIP41" s="562"/>
      <c r="GIQ41" s="562"/>
      <c r="GIR41" s="562"/>
      <c r="GIS41" s="562"/>
      <c r="GIT41" s="562"/>
      <c r="GIU41" s="562"/>
      <c r="GIV41" s="562"/>
      <c r="GIW41" s="562"/>
      <c r="GIX41" s="562"/>
      <c r="GIY41" s="562"/>
      <c r="GIZ41" s="562"/>
      <c r="GJA41" s="562"/>
      <c r="GJB41" s="562"/>
      <c r="GJC41" s="562"/>
      <c r="GJD41" s="562"/>
      <c r="GJE41" s="562"/>
      <c r="GJF41" s="562"/>
      <c r="GJG41" s="562"/>
      <c r="GJH41" s="562"/>
      <c r="GJI41" s="562"/>
      <c r="GJJ41" s="562"/>
      <c r="GJK41" s="562"/>
      <c r="GJL41" s="562"/>
      <c r="GJM41" s="562"/>
      <c r="GJN41" s="562"/>
      <c r="GJO41" s="562"/>
      <c r="GJP41" s="562"/>
      <c r="GJQ41" s="562"/>
      <c r="GJR41" s="562"/>
      <c r="GJS41" s="562"/>
      <c r="GJT41" s="562"/>
      <c r="GJU41" s="562"/>
      <c r="GJV41" s="562"/>
      <c r="GJW41" s="562"/>
      <c r="GJX41" s="562"/>
      <c r="GJY41" s="562"/>
      <c r="GJZ41" s="562"/>
      <c r="GKA41" s="562"/>
      <c r="GKB41" s="562"/>
      <c r="GKC41" s="562"/>
      <c r="GKD41" s="562"/>
      <c r="GKE41" s="562"/>
      <c r="GKF41" s="562"/>
      <c r="GKG41" s="562"/>
      <c r="GKH41" s="562"/>
      <c r="GKI41" s="562"/>
      <c r="GKJ41" s="562"/>
      <c r="GKK41" s="562"/>
      <c r="GKL41" s="562"/>
      <c r="GKM41" s="562"/>
      <c r="GKN41" s="562"/>
      <c r="GKO41" s="562"/>
      <c r="GKP41" s="562"/>
      <c r="GKQ41" s="562"/>
      <c r="GKR41" s="562"/>
      <c r="GKS41" s="562"/>
      <c r="GKT41" s="562"/>
      <c r="GKU41" s="562"/>
      <c r="GKV41" s="562"/>
      <c r="GKW41" s="562"/>
      <c r="GKX41" s="562"/>
      <c r="GKY41" s="562"/>
      <c r="GKZ41" s="562"/>
      <c r="GLA41" s="562"/>
      <c r="GLB41" s="562"/>
      <c r="GLC41" s="562"/>
      <c r="GLD41" s="562"/>
      <c r="GLE41" s="562"/>
      <c r="GLF41" s="562"/>
      <c r="GLG41" s="562"/>
      <c r="GLH41" s="562"/>
      <c r="GLI41" s="562"/>
      <c r="GLJ41" s="562"/>
      <c r="GLK41" s="562"/>
      <c r="GLL41" s="562"/>
      <c r="GLM41" s="562"/>
      <c r="GLN41" s="562"/>
      <c r="GLO41" s="562"/>
      <c r="GLP41" s="562"/>
      <c r="GLQ41" s="562"/>
      <c r="GLR41" s="562"/>
      <c r="GLS41" s="562"/>
      <c r="GLT41" s="562"/>
      <c r="GLU41" s="562"/>
      <c r="GLV41" s="562"/>
      <c r="GLW41" s="562"/>
      <c r="GLX41" s="562"/>
      <c r="GLY41" s="562"/>
      <c r="GLZ41" s="562"/>
      <c r="GMA41" s="562"/>
      <c r="GMB41" s="562"/>
      <c r="GMC41" s="562"/>
      <c r="GMD41" s="562"/>
      <c r="GME41" s="562"/>
      <c r="GMF41" s="562"/>
      <c r="GMG41" s="562"/>
      <c r="GMH41" s="562"/>
      <c r="GMI41" s="562"/>
      <c r="GMJ41" s="562"/>
      <c r="GMK41" s="562"/>
      <c r="GML41" s="562"/>
      <c r="GMM41" s="562"/>
      <c r="GMN41" s="562"/>
      <c r="GMO41" s="562"/>
      <c r="GMP41" s="562"/>
      <c r="GMQ41" s="562"/>
      <c r="GMR41" s="562"/>
      <c r="GMS41" s="562"/>
      <c r="GMT41" s="562"/>
      <c r="GMU41" s="562"/>
      <c r="GMV41" s="562"/>
      <c r="GMW41" s="562"/>
      <c r="GMX41" s="562"/>
      <c r="GMY41" s="562"/>
      <c r="GMZ41" s="562"/>
      <c r="GNA41" s="562"/>
      <c r="GNB41" s="562"/>
      <c r="GNC41" s="562"/>
      <c r="GND41" s="562"/>
      <c r="GNE41" s="562"/>
      <c r="GNF41" s="562"/>
      <c r="GNG41" s="562"/>
      <c r="GNH41" s="562"/>
      <c r="GNI41" s="562"/>
      <c r="GNJ41" s="562"/>
      <c r="GNK41" s="562"/>
      <c r="GNL41" s="562"/>
      <c r="GNM41" s="562"/>
      <c r="GNN41" s="562"/>
      <c r="GNO41" s="562"/>
      <c r="GNP41" s="562"/>
      <c r="GNQ41" s="562"/>
      <c r="GNR41" s="562"/>
      <c r="GNS41" s="562"/>
      <c r="GNT41" s="562"/>
      <c r="GNU41" s="562"/>
      <c r="GNV41" s="562"/>
      <c r="GNW41" s="562"/>
      <c r="GNX41" s="562"/>
      <c r="GNY41" s="562"/>
      <c r="GNZ41" s="562"/>
      <c r="GOA41" s="562"/>
      <c r="GOB41" s="562"/>
      <c r="GOC41" s="562"/>
      <c r="GOD41" s="562"/>
      <c r="GOE41" s="562"/>
      <c r="GOF41" s="562"/>
      <c r="GOG41" s="562"/>
      <c r="GOH41" s="562"/>
      <c r="GOI41" s="562"/>
      <c r="GOJ41" s="562"/>
      <c r="GOK41" s="562"/>
      <c r="GOL41" s="562"/>
      <c r="GOM41" s="562"/>
      <c r="GON41" s="562"/>
      <c r="GOO41" s="562"/>
      <c r="GOP41" s="562"/>
      <c r="GOQ41" s="562"/>
      <c r="GOR41" s="562"/>
      <c r="GOS41" s="562"/>
      <c r="GOT41" s="562"/>
      <c r="GOU41" s="562"/>
      <c r="GOV41" s="562"/>
      <c r="GOW41" s="562"/>
      <c r="GOX41" s="562"/>
      <c r="GOY41" s="562"/>
      <c r="GOZ41" s="562"/>
      <c r="GPA41" s="562"/>
      <c r="GPB41" s="562"/>
      <c r="GPC41" s="562"/>
      <c r="GPD41" s="562"/>
      <c r="GPE41" s="562"/>
      <c r="GPF41" s="562"/>
      <c r="GPG41" s="562"/>
      <c r="GPH41" s="562"/>
      <c r="GPI41" s="562"/>
      <c r="GPJ41" s="562"/>
      <c r="GPK41" s="562"/>
      <c r="GPL41" s="562"/>
      <c r="GPM41" s="562"/>
      <c r="GPN41" s="562"/>
      <c r="GPO41" s="562"/>
      <c r="GPP41" s="562"/>
      <c r="GPQ41" s="562"/>
      <c r="GPR41" s="562"/>
      <c r="GPS41" s="562"/>
      <c r="GPT41" s="562"/>
      <c r="GPU41" s="562"/>
      <c r="GPV41" s="562"/>
      <c r="GPW41" s="562"/>
      <c r="GPX41" s="562"/>
      <c r="GPY41" s="562"/>
      <c r="GPZ41" s="562"/>
      <c r="GQA41" s="562"/>
      <c r="GQB41" s="562"/>
      <c r="GQC41" s="562"/>
      <c r="GQD41" s="562"/>
      <c r="GQE41" s="562"/>
      <c r="GQF41" s="562"/>
      <c r="GQG41" s="562"/>
      <c r="GQH41" s="562"/>
      <c r="GQI41" s="562"/>
      <c r="GQJ41" s="562"/>
      <c r="GQK41" s="562"/>
      <c r="GQL41" s="562"/>
      <c r="GQM41" s="562"/>
      <c r="GQN41" s="562"/>
      <c r="GQO41" s="562"/>
      <c r="GQP41" s="562"/>
      <c r="GQQ41" s="562"/>
      <c r="GQR41" s="562"/>
      <c r="GQS41" s="562"/>
      <c r="GQT41" s="562"/>
      <c r="GQU41" s="562"/>
      <c r="GQV41" s="562"/>
      <c r="GQW41" s="562"/>
      <c r="GQX41" s="562"/>
      <c r="GQY41" s="562"/>
      <c r="GQZ41" s="562"/>
      <c r="GRA41" s="562"/>
      <c r="GRB41" s="562"/>
      <c r="GRC41" s="562"/>
      <c r="GRD41" s="562"/>
      <c r="GRE41" s="562"/>
      <c r="GRF41" s="562"/>
      <c r="GRG41" s="562"/>
      <c r="GRH41" s="562"/>
      <c r="GRI41" s="562"/>
      <c r="GRJ41" s="562"/>
      <c r="GRK41" s="562"/>
      <c r="GRL41" s="562"/>
      <c r="GRM41" s="562"/>
      <c r="GRN41" s="562"/>
      <c r="GRO41" s="562"/>
      <c r="GRP41" s="562"/>
      <c r="GRQ41" s="562"/>
      <c r="GRR41" s="562"/>
      <c r="GRS41" s="562"/>
      <c r="GRT41" s="562"/>
      <c r="GRU41" s="562"/>
      <c r="GRV41" s="562"/>
      <c r="GRW41" s="562"/>
      <c r="GRX41" s="562"/>
      <c r="GRY41" s="562"/>
      <c r="GRZ41" s="562"/>
      <c r="GSA41" s="562"/>
      <c r="GSB41" s="562"/>
      <c r="GSC41" s="562"/>
      <c r="GSD41" s="562"/>
      <c r="GSE41" s="562"/>
      <c r="GSF41" s="562"/>
      <c r="GSG41" s="562"/>
      <c r="GSH41" s="562"/>
      <c r="GSI41" s="562"/>
      <c r="GSJ41" s="562"/>
      <c r="GSK41" s="562"/>
      <c r="GSL41" s="562"/>
      <c r="GSM41" s="562"/>
      <c r="GSN41" s="562"/>
      <c r="GSO41" s="562"/>
      <c r="GSP41" s="562"/>
      <c r="GSQ41" s="562"/>
      <c r="GSR41" s="562"/>
      <c r="GSS41" s="562"/>
      <c r="GST41" s="562"/>
      <c r="GSU41" s="562"/>
      <c r="GSV41" s="562"/>
      <c r="GSW41" s="562"/>
      <c r="GSX41" s="562"/>
      <c r="GSY41" s="562"/>
      <c r="GSZ41" s="562"/>
      <c r="GTA41" s="562"/>
      <c r="GTB41" s="562"/>
      <c r="GTC41" s="562"/>
      <c r="GTD41" s="562"/>
      <c r="GTE41" s="562"/>
      <c r="GTF41" s="562"/>
      <c r="GTG41" s="562"/>
      <c r="GTH41" s="562"/>
      <c r="GTI41" s="562"/>
      <c r="GTJ41" s="562"/>
      <c r="GTK41" s="562"/>
      <c r="GTL41" s="562"/>
      <c r="GTM41" s="562"/>
      <c r="GTN41" s="562"/>
      <c r="GTO41" s="562"/>
      <c r="GTP41" s="562"/>
      <c r="GTQ41" s="562"/>
      <c r="GTR41" s="562"/>
      <c r="GTS41" s="562"/>
      <c r="GTT41" s="562"/>
      <c r="GTU41" s="562"/>
      <c r="GTV41" s="562"/>
      <c r="GTW41" s="562"/>
      <c r="GTX41" s="562"/>
      <c r="GTY41" s="562"/>
      <c r="GTZ41" s="562"/>
      <c r="GUA41" s="562"/>
      <c r="GUB41" s="562"/>
      <c r="GUC41" s="562"/>
      <c r="GUD41" s="562"/>
      <c r="GUE41" s="562"/>
      <c r="GUF41" s="562"/>
      <c r="GUG41" s="562"/>
      <c r="GUH41" s="562"/>
      <c r="GUI41" s="562"/>
      <c r="GUJ41" s="562"/>
      <c r="GUK41" s="562"/>
      <c r="GUL41" s="562"/>
      <c r="GUM41" s="562"/>
      <c r="GUN41" s="562"/>
      <c r="GUO41" s="562"/>
      <c r="GUP41" s="562"/>
      <c r="GUQ41" s="562"/>
      <c r="GUR41" s="562"/>
      <c r="GUS41" s="562"/>
      <c r="GUT41" s="562"/>
      <c r="GUU41" s="562"/>
      <c r="GUV41" s="562"/>
      <c r="GUW41" s="562"/>
      <c r="GUX41" s="562"/>
      <c r="GUY41" s="562"/>
      <c r="GUZ41" s="562"/>
      <c r="GVA41" s="562"/>
      <c r="GVB41" s="562"/>
      <c r="GVC41" s="562"/>
      <c r="GVD41" s="562"/>
      <c r="GVE41" s="562"/>
      <c r="GVF41" s="562"/>
      <c r="GVG41" s="562"/>
      <c r="GVH41" s="562"/>
      <c r="GVI41" s="562"/>
      <c r="GVJ41" s="562"/>
      <c r="GVK41" s="562"/>
      <c r="GVL41" s="562"/>
      <c r="GVM41" s="562"/>
      <c r="GVN41" s="562"/>
      <c r="GVO41" s="562"/>
      <c r="GVP41" s="562"/>
      <c r="GVQ41" s="562"/>
      <c r="GVR41" s="562"/>
      <c r="GVS41" s="562"/>
      <c r="GVT41" s="562"/>
      <c r="GVU41" s="562"/>
      <c r="GVV41" s="562"/>
      <c r="GVW41" s="562"/>
      <c r="GVX41" s="562"/>
      <c r="GVY41" s="562"/>
      <c r="GVZ41" s="562"/>
      <c r="GWA41" s="562"/>
      <c r="GWB41" s="562"/>
      <c r="GWC41" s="562"/>
      <c r="GWD41" s="562"/>
      <c r="GWE41" s="562"/>
      <c r="GWF41" s="562"/>
      <c r="GWG41" s="562"/>
      <c r="GWH41" s="562"/>
      <c r="GWI41" s="562"/>
      <c r="GWJ41" s="562"/>
      <c r="GWK41" s="562"/>
      <c r="GWL41" s="562"/>
      <c r="GWM41" s="562"/>
      <c r="GWN41" s="562"/>
      <c r="GWO41" s="562"/>
      <c r="GWP41" s="562"/>
      <c r="GWQ41" s="562"/>
      <c r="GWR41" s="562"/>
      <c r="GWS41" s="562"/>
      <c r="GWT41" s="562"/>
      <c r="GWU41" s="562"/>
      <c r="GWV41" s="562"/>
      <c r="GWW41" s="562"/>
      <c r="GWX41" s="562"/>
      <c r="GWY41" s="562"/>
      <c r="GWZ41" s="562"/>
      <c r="GXA41" s="562"/>
      <c r="GXB41" s="562"/>
      <c r="GXC41" s="562"/>
      <c r="GXD41" s="562"/>
      <c r="GXE41" s="562"/>
      <c r="GXF41" s="562"/>
      <c r="GXG41" s="562"/>
      <c r="GXH41" s="562"/>
      <c r="GXI41" s="562"/>
      <c r="GXJ41" s="562"/>
      <c r="GXK41" s="562"/>
      <c r="GXL41" s="562"/>
      <c r="GXM41" s="562"/>
      <c r="GXN41" s="562"/>
      <c r="GXO41" s="562"/>
      <c r="GXP41" s="562"/>
      <c r="GXQ41" s="562"/>
      <c r="GXR41" s="562"/>
      <c r="GXS41" s="562"/>
      <c r="GXT41" s="562"/>
      <c r="GXU41" s="562"/>
      <c r="GXV41" s="562"/>
      <c r="GXW41" s="562"/>
      <c r="GXX41" s="562"/>
      <c r="GXY41" s="562"/>
      <c r="GXZ41" s="562"/>
      <c r="GYA41" s="562"/>
      <c r="GYB41" s="562"/>
      <c r="GYC41" s="562"/>
      <c r="GYD41" s="562"/>
      <c r="GYE41" s="562"/>
      <c r="GYF41" s="562"/>
      <c r="GYG41" s="562"/>
      <c r="GYH41" s="562"/>
      <c r="GYI41" s="562"/>
      <c r="GYJ41" s="562"/>
      <c r="GYK41" s="562"/>
      <c r="GYL41" s="562"/>
      <c r="GYM41" s="562"/>
      <c r="GYN41" s="562"/>
      <c r="GYO41" s="562"/>
      <c r="GYP41" s="562"/>
      <c r="GYQ41" s="562"/>
      <c r="GYR41" s="562"/>
      <c r="GYS41" s="562"/>
      <c r="GYT41" s="562"/>
      <c r="GYU41" s="562"/>
      <c r="GYV41" s="562"/>
      <c r="GYW41" s="562"/>
      <c r="GYX41" s="562"/>
      <c r="GYY41" s="562"/>
      <c r="GYZ41" s="562"/>
      <c r="GZA41" s="562"/>
      <c r="GZB41" s="562"/>
      <c r="GZC41" s="562"/>
      <c r="GZD41" s="562"/>
      <c r="GZE41" s="562"/>
      <c r="GZF41" s="562"/>
      <c r="GZG41" s="562"/>
      <c r="GZH41" s="562"/>
      <c r="GZI41" s="562"/>
      <c r="GZJ41" s="562"/>
      <c r="GZK41" s="562"/>
      <c r="GZL41" s="562"/>
      <c r="GZM41" s="562"/>
      <c r="GZN41" s="562"/>
      <c r="GZO41" s="562"/>
      <c r="GZP41" s="562"/>
      <c r="GZQ41" s="562"/>
      <c r="GZR41" s="562"/>
      <c r="GZS41" s="562"/>
      <c r="GZT41" s="562"/>
      <c r="GZU41" s="562"/>
      <c r="GZV41" s="562"/>
      <c r="GZW41" s="562"/>
      <c r="GZX41" s="562"/>
      <c r="GZY41" s="562"/>
      <c r="GZZ41" s="562"/>
      <c r="HAA41" s="562"/>
      <c r="HAB41" s="562"/>
      <c r="HAC41" s="562"/>
      <c r="HAD41" s="562"/>
      <c r="HAE41" s="562"/>
      <c r="HAF41" s="562"/>
      <c r="HAG41" s="562"/>
      <c r="HAH41" s="562"/>
      <c r="HAI41" s="562"/>
      <c r="HAJ41" s="562"/>
      <c r="HAK41" s="562"/>
      <c r="HAL41" s="562"/>
      <c r="HAM41" s="562"/>
      <c r="HAN41" s="562"/>
      <c r="HAO41" s="562"/>
      <c r="HAP41" s="562"/>
      <c r="HAQ41" s="562"/>
      <c r="HAR41" s="562"/>
      <c r="HAS41" s="562"/>
      <c r="HAT41" s="562"/>
      <c r="HAU41" s="562"/>
      <c r="HAV41" s="562"/>
      <c r="HAW41" s="562"/>
      <c r="HAX41" s="562"/>
      <c r="HAY41" s="562"/>
      <c r="HAZ41" s="562"/>
      <c r="HBA41" s="562"/>
      <c r="HBB41" s="562"/>
      <c r="HBC41" s="562"/>
      <c r="HBD41" s="562"/>
      <c r="HBE41" s="562"/>
      <c r="HBF41" s="562"/>
      <c r="HBG41" s="562"/>
      <c r="HBH41" s="562"/>
      <c r="HBI41" s="562"/>
      <c r="HBJ41" s="562"/>
      <c r="HBK41" s="562"/>
      <c r="HBL41" s="562"/>
      <c r="HBM41" s="562"/>
      <c r="HBN41" s="562"/>
      <c r="HBO41" s="562"/>
      <c r="HBP41" s="562"/>
      <c r="HBQ41" s="562"/>
      <c r="HBR41" s="562"/>
      <c r="HBS41" s="562"/>
      <c r="HBT41" s="562"/>
      <c r="HBU41" s="562"/>
      <c r="HBV41" s="562"/>
      <c r="HBW41" s="562"/>
      <c r="HBX41" s="562"/>
      <c r="HBY41" s="562"/>
      <c r="HBZ41" s="562"/>
      <c r="HCA41" s="562"/>
      <c r="HCB41" s="562"/>
      <c r="HCC41" s="562"/>
      <c r="HCD41" s="562"/>
      <c r="HCE41" s="562"/>
      <c r="HCF41" s="562"/>
      <c r="HCG41" s="562"/>
      <c r="HCH41" s="562"/>
      <c r="HCI41" s="562"/>
      <c r="HCJ41" s="562"/>
      <c r="HCK41" s="562"/>
      <c r="HCL41" s="562"/>
      <c r="HCM41" s="562"/>
      <c r="HCN41" s="562"/>
      <c r="HCO41" s="562"/>
      <c r="HCP41" s="562"/>
      <c r="HCQ41" s="562"/>
      <c r="HCR41" s="562"/>
      <c r="HCS41" s="562"/>
      <c r="HCT41" s="562"/>
      <c r="HCU41" s="562"/>
      <c r="HCV41" s="562"/>
      <c r="HCW41" s="562"/>
      <c r="HCX41" s="562"/>
      <c r="HCY41" s="562"/>
      <c r="HCZ41" s="562"/>
      <c r="HDA41" s="562"/>
      <c r="HDB41" s="562"/>
      <c r="HDC41" s="562"/>
      <c r="HDD41" s="562"/>
      <c r="HDE41" s="562"/>
      <c r="HDF41" s="562"/>
      <c r="HDG41" s="562"/>
      <c r="HDH41" s="562"/>
      <c r="HDI41" s="562"/>
      <c r="HDJ41" s="562"/>
      <c r="HDK41" s="562"/>
      <c r="HDL41" s="562"/>
      <c r="HDM41" s="562"/>
      <c r="HDN41" s="562"/>
      <c r="HDO41" s="562"/>
      <c r="HDP41" s="562"/>
      <c r="HDQ41" s="562"/>
      <c r="HDR41" s="562"/>
      <c r="HDS41" s="562"/>
      <c r="HDT41" s="562"/>
      <c r="HDU41" s="562"/>
      <c r="HDV41" s="562"/>
      <c r="HDW41" s="562"/>
      <c r="HDX41" s="562"/>
      <c r="HDY41" s="562"/>
      <c r="HDZ41" s="562"/>
      <c r="HEA41" s="562"/>
      <c r="HEB41" s="562"/>
      <c r="HEC41" s="562"/>
      <c r="HED41" s="562"/>
      <c r="HEE41" s="562"/>
      <c r="HEF41" s="562"/>
      <c r="HEG41" s="562"/>
      <c r="HEH41" s="562"/>
      <c r="HEI41" s="562"/>
      <c r="HEJ41" s="562"/>
      <c r="HEK41" s="562"/>
      <c r="HEL41" s="562"/>
      <c r="HEM41" s="562"/>
      <c r="HEN41" s="562"/>
      <c r="HEO41" s="562"/>
      <c r="HEP41" s="562"/>
      <c r="HEQ41" s="562"/>
      <c r="HER41" s="562"/>
      <c r="HES41" s="562"/>
      <c r="HET41" s="562"/>
      <c r="HEU41" s="562"/>
      <c r="HEV41" s="562"/>
      <c r="HEW41" s="562"/>
      <c r="HEX41" s="562"/>
      <c r="HEY41" s="562"/>
      <c r="HEZ41" s="562"/>
      <c r="HFA41" s="562"/>
      <c r="HFB41" s="562"/>
      <c r="HFC41" s="562"/>
      <c r="HFD41" s="562"/>
      <c r="HFE41" s="562"/>
      <c r="HFF41" s="562"/>
      <c r="HFG41" s="562"/>
      <c r="HFH41" s="562"/>
      <c r="HFI41" s="562"/>
      <c r="HFJ41" s="562"/>
      <c r="HFK41" s="562"/>
      <c r="HFL41" s="562"/>
      <c r="HFM41" s="562"/>
      <c r="HFN41" s="562"/>
      <c r="HFO41" s="562"/>
      <c r="HFP41" s="562"/>
      <c r="HFQ41" s="562"/>
      <c r="HFR41" s="562"/>
      <c r="HFS41" s="562"/>
      <c r="HFT41" s="562"/>
      <c r="HFU41" s="562"/>
      <c r="HFV41" s="562"/>
      <c r="HFW41" s="562"/>
      <c r="HFX41" s="562"/>
      <c r="HFY41" s="562"/>
      <c r="HFZ41" s="562"/>
      <c r="HGA41" s="562"/>
      <c r="HGB41" s="562"/>
      <c r="HGC41" s="562"/>
      <c r="HGD41" s="562"/>
      <c r="HGE41" s="562"/>
      <c r="HGF41" s="562"/>
      <c r="HGG41" s="562"/>
      <c r="HGH41" s="562"/>
      <c r="HGI41" s="562"/>
      <c r="HGJ41" s="562"/>
      <c r="HGK41" s="562"/>
      <c r="HGL41" s="562"/>
      <c r="HGM41" s="562"/>
      <c r="HGN41" s="562"/>
      <c r="HGO41" s="562"/>
      <c r="HGP41" s="562"/>
      <c r="HGQ41" s="562"/>
      <c r="HGR41" s="562"/>
      <c r="HGS41" s="562"/>
      <c r="HGT41" s="562"/>
      <c r="HGU41" s="562"/>
      <c r="HGV41" s="562"/>
      <c r="HGW41" s="562"/>
      <c r="HGX41" s="562"/>
      <c r="HGY41" s="562"/>
      <c r="HGZ41" s="562"/>
      <c r="HHA41" s="562"/>
      <c r="HHB41" s="562"/>
      <c r="HHC41" s="562"/>
      <c r="HHD41" s="562"/>
      <c r="HHE41" s="562"/>
      <c r="HHF41" s="562"/>
      <c r="HHG41" s="562"/>
      <c r="HHH41" s="562"/>
      <c r="HHI41" s="562"/>
      <c r="HHJ41" s="562"/>
      <c r="HHK41" s="562"/>
      <c r="HHL41" s="562"/>
      <c r="HHM41" s="562"/>
      <c r="HHN41" s="562"/>
      <c r="HHO41" s="562"/>
      <c r="HHP41" s="562"/>
      <c r="HHQ41" s="562"/>
      <c r="HHR41" s="562"/>
      <c r="HHS41" s="562"/>
      <c r="HHT41" s="562"/>
      <c r="HHU41" s="562"/>
      <c r="HHV41" s="562"/>
      <c r="HHW41" s="562"/>
      <c r="HHX41" s="562"/>
      <c r="HHY41" s="562"/>
      <c r="HHZ41" s="562"/>
      <c r="HIA41" s="562"/>
      <c r="HIB41" s="562"/>
      <c r="HIC41" s="562"/>
      <c r="HID41" s="562"/>
      <c r="HIE41" s="562"/>
      <c r="HIF41" s="562"/>
      <c r="HIG41" s="562"/>
      <c r="HIH41" s="562"/>
      <c r="HII41" s="562"/>
      <c r="HIJ41" s="562"/>
      <c r="HIK41" s="562"/>
      <c r="HIL41" s="562"/>
      <c r="HIM41" s="562"/>
      <c r="HIN41" s="562"/>
      <c r="HIO41" s="562"/>
      <c r="HIP41" s="562"/>
      <c r="HIQ41" s="562"/>
      <c r="HIR41" s="562"/>
      <c r="HIS41" s="562"/>
      <c r="HIT41" s="562"/>
      <c r="HIU41" s="562"/>
      <c r="HIV41" s="562"/>
      <c r="HIW41" s="562"/>
      <c r="HIX41" s="562"/>
      <c r="HIY41" s="562"/>
      <c r="HIZ41" s="562"/>
      <c r="HJA41" s="562"/>
      <c r="HJB41" s="562"/>
      <c r="HJC41" s="562"/>
      <c r="HJD41" s="562"/>
      <c r="HJE41" s="562"/>
      <c r="HJF41" s="562"/>
      <c r="HJG41" s="562"/>
      <c r="HJH41" s="562"/>
      <c r="HJI41" s="562"/>
      <c r="HJJ41" s="562"/>
      <c r="HJK41" s="562"/>
      <c r="HJL41" s="562"/>
      <c r="HJM41" s="562"/>
      <c r="HJN41" s="562"/>
      <c r="HJO41" s="562"/>
      <c r="HJP41" s="562"/>
      <c r="HJQ41" s="562"/>
      <c r="HJR41" s="562"/>
      <c r="HJS41" s="562"/>
      <c r="HJT41" s="562"/>
      <c r="HJU41" s="562"/>
      <c r="HJV41" s="562"/>
      <c r="HJW41" s="562"/>
      <c r="HJX41" s="562"/>
      <c r="HJY41" s="562"/>
      <c r="HJZ41" s="562"/>
      <c r="HKA41" s="562"/>
      <c r="HKB41" s="562"/>
      <c r="HKC41" s="562"/>
      <c r="HKD41" s="562"/>
      <c r="HKE41" s="562"/>
      <c r="HKF41" s="562"/>
      <c r="HKG41" s="562"/>
      <c r="HKH41" s="562"/>
      <c r="HKI41" s="562"/>
      <c r="HKJ41" s="562"/>
      <c r="HKK41" s="562"/>
      <c r="HKL41" s="562"/>
      <c r="HKM41" s="562"/>
      <c r="HKN41" s="562"/>
      <c r="HKO41" s="562"/>
      <c r="HKP41" s="562"/>
      <c r="HKQ41" s="562"/>
      <c r="HKR41" s="562"/>
      <c r="HKS41" s="562"/>
      <c r="HKT41" s="562"/>
      <c r="HKU41" s="562"/>
      <c r="HKV41" s="562"/>
      <c r="HKW41" s="562"/>
      <c r="HKX41" s="562"/>
      <c r="HKY41" s="562"/>
      <c r="HKZ41" s="562"/>
      <c r="HLA41" s="562"/>
      <c r="HLB41" s="562"/>
      <c r="HLC41" s="562"/>
      <c r="HLD41" s="562"/>
      <c r="HLE41" s="562"/>
      <c r="HLF41" s="562"/>
      <c r="HLG41" s="562"/>
      <c r="HLH41" s="562"/>
      <c r="HLI41" s="562"/>
      <c r="HLJ41" s="562"/>
      <c r="HLK41" s="562"/>
      <c r="HLL41" s="562"/>
      <c r="HLM41" s="562"/>
      <c r="HLN41" s="562"/>
      <c r="HLO41" s="562"/>
      <c r="HLP41" s="562"/>
      <c r="HLQ41" s="562"/>
      <c r="HLR41" s="562"/>
      <c r="HLS41" s="562"/>
      <c r="HLT41" s="562"/>
      <c r="HLU41" s="562"/>
      <c r="HLV41" s="562"/>
      <c r="HLW41" s="562"/>
      <c r="HLX41" s="562"/>
      <c r="HLY41" s="562"/>
      <c r="HLZ41" s="562"/>
      <c r="HMA41" s="562"/>
      <c r="HMB41" s="562"/>
      <c r="HMC41" s="562"/>
      <c r="HMD41" s="562"/>
      <c r="HME41" s="562"/>
      <c r="HMF41" s="562"/>
      <c r="HMG41" s="562"/>
      <c r="HMH41" s="562"/>
      <c r="HMI41" s="562"/>
      <c r="HMJ41" s="562"/>
      <c r="HMK41" s="562"/>
      <c r="HML41" s="562"/>
      <c r="HMM41" s="562"/>
      <c r="HMN41" s="562"/>
      <c r="HMO41" s="562"/>
      <c r="HMP41" s="562"/>
      <c r="HMQ41" s="562"/>
      <c r="HMR41" s="562"/>
      <c r="HMS41" s="562"/>
      <c r="HMT41" s="562"/>
      <c r="HMU41" s="562"/>
      <c r="HMV41" s="562"/>
      <c r="HMW41" s="562"/>
      <c r="HMX41" s="562"/>
      <c r="HMY41" s="562"/>
      <c r="HMZ41" s="562"/>
      <c r="HNA41" s="562"/>
      <c r="HNB41" s="562"/>
      <c r="HNC41" s="562"/>
      <c r="HND41" s="562"/>
      <c r="HNE41" s="562"/>
      <c r="HNF41" s="562"/>
      <c r="HNG41" s="562"/>
      <c r="HNH41" s="562"/>
      <c r="HNI41" s="562"/>
      <c r="HNJ41" s="562"/>
      <c r="HNK41" s="562"/>
      <c r="HNL41" s="562"/>
      <c r="HNM41" s="562"/>
      <c r="HNN41" s="562"/>
      <c r="HNO41" s="562"/>
      <c r="HNP41" s="562"/>
      <c r="HNQ41" s="562"/>
      <c r="HNR41" s="562"/>
      <c r="HNS41" s="562"/>
      <c r="HNT41" s="562"/>
      <c r="HNU41" s="562"/>
      <c r="HNV41" s="562"/>
      <c r="HNW41" s="562"/>
      <c r="HNX41" s="562"/>
      <c r="HNY41" s="562"/>
      <c r="HNZ41" s="562"/>
      <c r="HOA41" s="562"/>
      <c r="HOB41" s="562"/>
      <c r="HOC41" s="562"/>
      <c r="HOD41" s="562"/>
      <c r="HOE41" s="562"/>
      <c r="HOF41" s="562"/>
      <c r="HOG41" s="562"/>
      <c r="HOH41" s="562"/>
      <c r="HOI41" s="562"/>
      <c r="HOJ41" s="562"/>
      <c r="HOK41" s="562"/>
      <c r="HOL41" s="562"/>
      <c r="HOM41" s="562"/>
      <c r="HON41" s="562"/>
      <c r="HOO41" s="562"/>
      <c r="HOP41" s="562"/>
      <c r="HOQ41" s="562"/>
      <c r="HOR41" s="562"/>
      <c r="HOS41" s="562"/>
      <c r="HOT41" s="562"/>
      <c r="HOU41" s="562"/>
      <c r="HOV41" s="562"/>
      <c r="HOW41" s="562"/>
      <c r="HOX41" s="562"/>
      <c r="HOY41" s="562"/>
      <c r="HOZ41" s="562"/>
      <c r="HPA41" s="562"/>
      <c r="HPB41" s="562"/>
      <c r="HPC41" s="562"/>
      <c r="HPD41" s="562"/>
      <c r="HPE41" s="562"/>
      <c r="HPF41" s="562"/>
      <c r="HPG41" s="562"/>
      <c r="HPH41" s="562"/>
      <c r="HPI41" s="562"/>
      <c r="HPJ41" s="562"/>
      <c r="HPK41" s="562"/>
      <c r="HPL41" s="562"/>
      <c r="HPM41" s="562"/>
      <c r="HPN41" s="562"/>
      <c r="HPO41" s="562"/>
      <c r="HPP41" s="562"/>
      <c r="HPQ41" s="562"/>
      <c r="HPR41" s="562"/>
      <c r="HPS41" s="562"/>
      <c r="HPT41" s="562"/>
      <c r="HPU41" s="562"/>
      <c r="HPV41" s="562"/>
      <c r="HPW41" s="562"/>
      <c r="HPX41" s="562"/>
      <c r="HPY41" s="562"/>
      <c r="HPZ41" s="562"/>
      <c r="HQA41" s="562"/>
      <c r="HQB41" s="562"/>
      <c r="HQC41" s="562"/>
      <c r="HQD41" s="562"/>
      <c r="HQE41" s="562"/>
      <c r="HQF41" s="562"/>
      <c r="HQG41" s="562"/>
      <c r="HQH41" s="562"/>
      <c r="HQI41" s="562"/>
      <c r="HQJ41" s="562"/>
      <c r="HQK41" s="562"/>
      <c r="HQL41" s="562"/>
      <c r="HQM41" s="562"/>
      <c r="HQN41" s="562"/>
      <c r="HQO41" s="562"/>
      <c r="HQP41" s="562"/>
      <c r="HQQ41" s="562"/>
      <c r="HQR41" s="562"/>
      <c r="HQS41" s="562"/>
      <c r="HQT41" s="562"/>
      <c r="HQU41" s="562"/>
      <c r="HQV41" s="562"/>
      <c r="HQW41" s="562"/>
      <c r="HQX41" s="562"/>
      <c r="HQY41" s="562"/>
      <c r="HQZ41" s="562"/>
      <c r="HRA41" s="562"/>
      <c r="HRB41" s="562"/>
      <c r="HRC41" s="562"/>
      <c r="HRD41" s="562"/>
      <c r="HRE41" s="562"/>
      <c r="HRF41" s="562"/>
      <c r="HRG41" s="562"/>
      <c r="HRH41" s="562"/>
      <c r="HRI41" s="562"/>
      <c r="HRJ41" s="562"/>
      <c r="HRK41" s="562"/>
      <c r="HRL41" s="562"/>
      <c r="HRM41" s="562"/>
      <c r="HRN41" s="562"/>
      <c r="HRO41" s="562"/>
      <c r="HRP41" s="562"/>
      <c r="HRQ41" s="562"/>
      <c r="HRR41" s="562"/>
      <c r="HRS41" s="562"/>
      <c r="HRT41" s="562"/>
      <c r="HRU41" s="562"/>
      <c r="HRV41" s="562"/>
      <c r="HRW41" s="562"/>
      <c r="HRX41" s="562"/>
      <c r="HRY41" s="562"/>
      <c r="HRZ41" s="562"/>
      <c r="HSA41" s="562"/>
      <c r="HSB41" s="562"/>
      <c r="HSC41" s="562"/>
      <c r="HSD41" s="562"/>
      <c r="HSE41" s="562"/>
      <c r="HSF41" s="562"/>
      <c r="HSG41" s="562"/>
      <c r="HSH41" s="562"/>
      <c r="HSI41" s="562"/>
      <c r="HSJ41" s="562"/>
      <c r="HSK41" s="562"/>
      <c r="HSL41" s="562"/>
      <c r="HSM41" s="562"/>
      <c r="HSN41" s="562"/>
      <c r="HSO41" s="562"/>
      <c r="HSP41" s="562"/>
      <c r="HSQ41" s="562"/>
      <c r="HSR41" s="562"/>
      <c r="HSS41" s="562"/>
      <c r="HST41" s="562"/>
      <c r="HSU41" s="562"/>
      <c r="HSV41" s="562"/>
      <c r="HSW41" s="562"/>
      <c r="HSX41" s="562"/>
      <c r="HSY41" s="562"/>
      <c r="HSZ41" s="562"/>
      <c r="HTA41" s="562"/>
      <c r="HTB41" s="562"/>
      <c r="HTC41" s="562"/>
      <c r="HTD41" s="562"/>
      <c r="HTE41" s="562"/>
      <c r="HTF41" s="562"/>
      <c r="HTG41" s="562"/>
      <c r="HTH41" s="562"/>
      <c r="HTI41" s="562"/>
      <c r="HTJ41" s="562"/>
      <c r="HTK41" s="562"/>
      <c r="HTL41" s="562"/>
      <c r="HTM41" s="562"/>
      <c r="HTN41" s="562"/>
      <c r="HTO41" s="562"/>
      <c r="HTP41" s="562"/>
      <c r="HTQ41" s="562"/>
      <c r="HTR41" s="562"/>
      <c r="HTS41" s="562"/>
      <c r="HTT41" s="562"/>
      <c r="HTU41" s="562"/>
      <c r="HTV41" s="562"/>
      <c r="HTW41" s="562"/>
      <c r="HTX41" s="562"/>
      <c r="HTY41" s="562"/>
      <c r="HTZ41" s="562"/>
      <c r="HUA41" s="562"/>
      <c r="HUB41" s="562"/>
      <c r="HUC41" s="562"/>
      <c r="HUD41" s="562"/>
      <c r="HUE41" s="562"/>
      <c r="HUF41" s="562"/>
      <c r="HUG41" s="562"/>
      <c r="HUH41" s="562"/>
      <c r="HUI41" s="562"/>
      <c r="HUJ41" s="562"/>
      <c r="HUK41" s="562"/>
      <c r="HUL41" s="562"/>
      <c r="HUM41" s="562"/>
      <c r="HUN41" s="562"/>
      <c r="HUO41" s="562"/>
      <c r="HUP41" s="562"/>
      <c r="HUQ41" s="562"/>
      <c r="HUR41" s="562"/>
      <c r="HUS41" s="562"/>
      <c r="HUT41" s="562"/>
      <c r="HUU41" s="562"/>
      <c r="HUV41" s="562"/>
      <c r="HUW41" s="562"/>
      <c r="HUX41" s="562"/>
      <c r="HUY41" s="562"/>
      <c r="HUZ41" s="562"/>
      <c r="HVA41" s="562"/>
      <c r="HVB41" s="562"/>
      <c r="HVC41" s="562"/>
      <c r="HVD41" s="562"/>
      <c r="HVE41" s="562"/>
      <c r="HVF41" s="562"/>
      <c r="HVG41" s="562"/>
      <c r="HVH41" s="562"/>
      <c r="HVI41" s="562"/>
      <c r="HVJ41" s="562"/>
      <c r="HVK41" s="562"/>
      <c r="HVL41" s="562"/>
      <c r="HVM41" s="562"/>
      <c r="HVN41" s="562"/>
      <c r="HVO41" s="562"/>
      <c r="HVP41" s="562"/>
      <c r="HVQ41" s="562"/>
      <c r="HVR41" s="562"/>
      <c r="HVS41" s="562"/>
      <c r="HVT41" s="562"/>
      <c r="HVU41" s="562"/>
      <c r="HVV41" s="562"/>
      <c r="HVW41" s="562"/>
      <c r="HVX41" s="562"/>
      <c r="HVY41" s="562"/>
      <c r="HVZ41" s="562"/>
      <c r="HWA41" s="562"/>
      <c r="HWB41" s="562"/>
      <c r="HWC41" s="562"/>
      <c r="HWD41" s="562"/>
      <c r="HWE41" s="562"/>
      <c r="HWF41" s="562"/>
      <c r="HWG41" s="562"/>
      <c r="HWH41" s="562"/>
      <c r="HWI41" s="562"/>
      <c r="HWJ41" s="562"/>
      <c r="HWK41" s="562"/>
      <c r="HWL41" s="562"/>
      <c r="HWM41" s="562"/>
      <c r="HWN41" s="562"/>
      <c r="HWO41" s="562"/>
      <c r="HWP41" s="562"/>
      <c r="HWQ41" s="562"/>
      <c r="HWR41" s="562"/>
      <c r="HWS41" s="562"/>
      <c r="HWT41" s="562"/>
      <c r="HWU41" s="562"/>
      <c r="HWV41" s="562"/>
      <c r="HWW41" s="562"/>
      <c r="HWX41" s="562"/>
      <c r="HWY41" s="562"/>
      <c r="HWZ41" s="562"/>
      <c r="HXA41" s="562"/>
      <c r="HXB41" s="562"/>
      <c r="HXC41" s="562"/>
      <c r="HXD41" s="562"/>
      <c r="HXE41" s="562"/>
      <c r="HXF41" s="562"/>
      <c r="HXG41" s="562"/>
      <c r="HXH41" s="562"/>
      <c r="HXI41" s="562"/>
      <c r="HXJ41" s="562"/>
      <c r="HXK41" s="562"/>
      <c r="HXL41" s="562"/>
      <c r="HXM41" s="562"/>
      <c r="HXN41" s="562"/>
      <c r="HXO41" s="562"/>
      <c r="HXP41" s="562"/>
      <c r="HXQ41" s="562"/>
      <c r="HXR41" s="562"/>
      <c r="HXS41" s="562"/>
      <c r="HXT41" s="562"/>
      <c r="HXU41" s="562"/>
      <c r="HXV41" s="562"/>
      <c r="HXW41" s="562"/>
      <c r="HXX41" s="562"/>
      <c r="HXY41" s="562"/>
      <c r="HXZ41" s="562"/>
      <c r="HYA41" s="562"/>
      <c r="HYB41" s="562"/>
      <c r="HYC41" s="562"/>
      <c r="HYD41" s="562"/>
      <c r="HYE41" s="562"/>
      <c r="HYF41" s="562"/>
      <c r="HYG41" s="562"/>
      <c r="HYH41" s="562"/>
      <c r="HYI41" s="562"/>
      <c r="HYJ41" s="562"/>
      <c r="HYK41" s="562"/>
      <c r="HYL41" s="562"/>
      <c r="HYM41" s="562"/>
      <c r="HYN41" s="562"/>
      <c r="HYO41" s="562"/>
      <c r="HYP41" s="562"/>
      <c r="HYQ41" s="562"/>
      <c r="HYR41" s="562"/>
      <c r="HYS41" s="562"/>
      <c r="HYT41" s="562"/>
      <c r="HYU41" s="562"/>
      <c r="HYV41" s="562"/>
      <c r="HYW41" s="562"/>
      <c r="HYX41" s="562"/>
      <c r="HYY41" s="562"/>
      <c r="HYZ41" s="562"/>
      <c r="HZA41" s="562"/>
      <c r="HZB41" s="562"/>
      <c r="HZC41" s="562"/>
      <c r="HZD41" s="562"/>
      <c r="HZE41" s="562"/>
      <c r="HZF41" s="562"/>
      <c r="HZG41" s="562"/>
      <c r="HZH41" s="562"/>
      <c r="HZI41" s="562"/>
      <c r="HZJ41" s="562"/>
      <c r="HZK41" s="562"/>
      <c r="HZL41" s="562"/>
      <c r="HZM41" s="562"/>
      <c r="HZN41" s="562"/>
      <c r="HZO41" s="562"/>
      <c r="HZP41" s="562"/>
      <c r="HZQ41" s="562"/>
      <c r="HZR41" s="562"/>
      <c r="HZS41" s="562"/>
      <c r="HZT41" s="562"/>
      <c r="HZU41" s="562"/>
      <c r="HZV41" s="562"/>
      <c r="HZW41" s="562"/>
      <c r="HZX41" s="562"/>
      <c r="HZY41" s="562"/>
      <c r="HZZ41" s="562"/>
      <c r="IAA41" s="562"/>
      <c r="IAB41" s="562"/>
      <c r="IAC41" s="562"/>
      <c r="IAD41" s="562"/>
      <c r="IAE41" s="562"/>
      <c r="IAF41" s="562"/>
      <c r="IAG41" s="562"/>
      <c r="IAH41" s="562"/>
      <c r="IAI41" s="562"/>
      <c r="IAJ41" s="562"/>
      <c r="IAK41" s="562"/>
      <c r="IAL41" s="562"/>
      <c r="IAM41" s="562"/>
      <c r="IAN41" s="562"/>
      <c r="IAO41" s="562"/>
      <c r="IAP41" s="562"/>
      <c r="IAQ41" s="562"/>
      <c r="IAR41" s="562"/>
      <c r="IAS41" s="562"/>
      <c r="IAT41" s="562"/>
      <c r="IAU41" s="562"/>
      <c r="IAV41" s="562"/>
      <c r="IAW41" s="562"/>
      <c r="IAX41" s="562"/>
      <c r="IAY41" s="562"/>
      <c r="IAZ41" s="562"/>
      <c r="IBA41" s="562"/>
      <c r="IBB41" s="562"/>
      <c r="IBC41" s="562"/>
      <c r="IBD41" s="562"/>
      <c r="IBE41" s="562"/>
      <c r="IBF41" s="562"/>
      <c r="IBG41" s="562"/>
      <c r="IBH41" s="562"/>
      <c r="IBI41" s="562"/>
      <c r="IBJ41" s="562"/>
      <c r="IBK41" s="562"/>
      <c r="IBL41" s="562"/>
      <c r="IBM41" s="562"/>
      <c r="IBN41" s="562"/>
      <c r="IBO41" s="562"/>
      <c r="IBP41" s="562"/>
      <c r="IBQ41" s="562"/>
      <c r="IBR41" s="562"/>
      <c r="IBS41" s="562"/>
      <c r="IBT41" s="562"/>
      <c r="IBU41" s="562"/>
      <c r="IBV41" s="562"/>
      <c r="IBW41" s="562"/>
      <c r="IBX41" s="562"/>
      <c r="IBY41" s="562"/>
      <c r="IBZ41" s="562"/>
      <c r="ICA41" s="562"/>
      <c r="ICB41" s="562"/>
      <c r="ICC41" s="562"/>
      <c r="ICD41" s="562"/>
      <c r="ICE41" s="562"/>
      <c r="ICF41" s="562"/>
      <c r="ICG41" s="562"/>
      <c r="ICH41" s="562"/>
      <c r="ICI41" s="562"/>
      <c r="ICJ41" s="562"/>
      <c r="ICK41" s="562"/>
      <c r="ICL41" s="562"/>
      <c r="ICM41" s="562"/>
      <c r="ICN41" s="562"/>
      <c r="ICO41" s="562"/>
      <c r="ICP41" s="562"/>
      <c r="ICQ41" s="562"/>
      <c r="ICR41" s="562"/>
      <c r="ICS41" s="562"/>
      <c r="ICT41" s="562"/>
      <c r="ICU41" s="562"/>
      <c r="ICV41" s="562"/>
      <c r="ICW41" s="562"/>
      <c r="ICX41" s="562"/>
      <c r="ICY41" s="562"/>
      <c r="ICZ41" s="562"/>
      <c r="IDA41" s="562"/>
      <c r="IDB41" s="562"/>
      <c r="IDC41" s="562"/>
      <c r="IDD41" s="562"/>
      <c r="IDE41" s="562"/>
      <c r="IDF41" s="562"/>
      <c r="IDG41" s="562"/>
      <c r="IDH41" s="562"/>
      <c r="IDI41" s="562"/>
      <c r="IDJ41" s="562"/>
      <c r="IDK41" s="562"/>
      <c r="IDL41" s="562"/>
      <c r="IDM41" s="562"/>
      <c r="IDN41" s="562"/>
      <c r="IDO41" s="562"/>
      <c r="IDP41" s="562"/>
      <c r="IDQ41" s="562"/>
      <c r="IDR41" s="562"/>
      <c r="IDS41" s="562"/>
      <c r="IDT41" s="562"/>
      <c r="IDU41" s="562"/>
      <c r="IDV41" s="562"/>
      <c r="IDW41" s="562"/>
      <c r="IDX41" s="562"/>
      <c r="IDY41" s="562"/>
      <c r="IDZ41" s="562"/>
      <c r="IEA41" s="562"/>
      <c r="IEB41" s="562"/>
      <c r="IEC41" s="562"/>
      <c r="IED41" s="562"/>
      <c r="IEE41" s="562"/>
      <c r="IEF41" s="562"/>
      <c r="IEG41" s="562"/>
      <c r="IEH41" s="562"/>
      <c r="IEI41" s="562"/>
      <c r="IEJ41" s="562"/>
      <c r="IEK41" s="562"/>
      <c r="IEL41" s="562"/>
      <c r="IEM41" s="562"/>
      <c r="IEN41" s="562"/>
      <c r="IEO41" s="562"/>
      <c r="IEP41" s="562"/>
      <c r="IEQ41" s="562"/>
      <c r="IER41" s="562"/>
      <c r="IES41" s="562"/>
      <c r="IET41" s="562"/>
      <c r="IEU41" s="562"/>
      <c r="IEV41" s="562"/>
      <c r="IEW41" s="562"/>
      <c r="IEX41" s="562"/>
      <c r="IEY41" s="562"/>
      <c r="IEZ41" s="562"/>
      <c r="IFA41" s="562"/>
      <c r="IFB41" s="562"/>
      <c r="IFC41" s="562"/>
      <c r="IFD41" s="562"/>
      <c r="IFE41" s="562"/>
      <c r="IFF41" s="562"/>
      <c r="IFG41" s="562"/>
      <c r="IFH41" s="562"/>
      <c r="IFI41" s="562"/>
      <c r="IFJ41" s="562"/>
      <c r="IFK41" s="562"/>
      <c r="IFL41" s="562"/>
      <c r="IFM41" s="562"/>
      <c r="IFN41" s="562"/>
      <c r="IFO41" s="562"/>
      <c r="IFP41" s="562"/>
      <c r="IFQ41" s="562"/>
      <c r="IFR41" s="562"/>
      <c r="IFS41" s="562"/>
      <c r="IFT41" s="562"/>
      <c r="IFU41" s="562"/>
      <c r="IFV41" s="562"/>
      <c r="IFW41" s="562"/>
      <c r="IFX41" s="562"/>
      <c r="IFY41" s="562"/>
      <c r="IFZ41" s="562"/>
      <c r="IGA41" s="562"/>
      <c r="IGB41" s="562"/>
      <c r="IGC41" s="562"/>
      <c r="IGD41" s="562"/>
      <c r="IGE41" s="562"/>
      <c r="IGF41" s="562"/>
      <c r="IGG41" s="562"/>
      <c r="IGH41" s="562"/>
      <c r="IGI41" s="562"/>
      <c r="IGJ41" s="562"/>
      <c r="IGK41" s="562"/>
      <c r="IGL41" s="562"/>
      <c r="IGM41" s="562"/>
      <c r="IGN41" s="562"/>
      <c r="IGO41" s="562"/>
      <c r="IGP41" s="562"/>
      <c r="IGQ41" s="562"/>
      <c r="IGR41" s="562"/>
      <c r="IGS41" s="562"/>
      <c r="IGT41" s="562"/>
      <c r="IGU41" s="562"/>
      <c r="IGV41" s="562"/>
      <c r="IGW41" s="562"/>
      <c r="IGX41" s="562"/>
      <c r="IGY41" s="562"/>
      <c r="IGZ41" s="562"/>
      <c r="IHA41" s="562"/>
      <c r="IHB41" s="562"/>
      <c r="IHC41" s="562"/>
      <c r="IHD41" s="562"/>
      <c r="IHE41" s="562"/>
      <c r="IHF41" s="562"/>
      <c r="IHG41" s="562"/>
      <c r="IHH41" s="562"/>
      <c r="IHI41" s="562"/>
      <c r="IHJ41" s="562"/>
      <c r="IHK41" s="562"/>
      <c r="IHL41" s="562"/>
      <c r="IHM41" s="562"/>
      <c r="IHN41" s="562"/>
      <c r="IHO41" s="562"/>
      <c r="IHP41" s="562"/>
      <c r="IHQ41" s="562"/>
      <c r="IHR41" s="562"/>
      <c r="IHS41" s="562"/>
      <c r="IHT41" s="562"/>
      <c r="IHU41" s="562"/>
      <c r="IHV41" s="562"/>
      <c r="IHW41" s="562"/>
      <c r="IHX41" s="562"/>
      <c r="IHY41" s="562"/>
      <c r="IHZ41" s="562"/>
      <c r="IIA41" s="562"/>
      <c r="IIB41" s="562"/>
      <c r="IIC41" s="562"/>
      <c r="IID41" s="562"/>
      <c r="IIE41" s="562"/>
      <c r="IIF41" s="562"/>
      <c r="IIG41" s="562"/>
      <c r="IIH41" s="562"/>
      <c r="III41" s="562"/>
      <c r="IIJ41" s="562"/>
      <c r="IIK41" s="562"/>
      <c r="IIL41" s="562"/>
      <c r="IIM41" s="562"/>
      <c r="IIN41" s="562"/>
      <c r="IIO41" s="562"/>
      <c r="IIP41" s="562"/>
      <c r="IIQ41" s="562"/>
      <c r="IIR41" s="562"/>
      <c r="IIS41" s="562"/>
      <c r="IIT41" s="562"/>
      <c r="IIU41" s="562"/>
      <c r="IIV41" s="562"/>
      <c r="IIW41" s="562"/>
      <c r="IIX41" s="562"/>
      <c r="IIY41" s="562"/>
      <c r="IIZ41" s="562"/>
      <c r="IJA41" s="562"/>
      <c r="IJB41" s="562"/>
      <c r="IJC41" s="562"/>
      <c r="IJD41" s="562"/>
      <c r="IJE41" s="562"/>
      <c r="IJF41" s="562"/>
      <c r="IJG41" s="562"/>
      <c r="IJH41" s="562"/>
      <c r="IJI41" s="562"/>
      <c r="IJJ41" s="562"/>
      <c r="IJK41" s="562"/>
      <c r="IJL41" s="562"/>
      <c r="IJM41" s="562"/>
      <c r="IJN41" s="562"/>
      <c r="IJO41" s="562"/>
      <c r="IJP41" s="562"/>
      <c r="IJQ41" s="562"/>
      <c r="IJR41" s="562"/>
      <c r="IJS41" s="562"/>
      <c r="IJT41" s="562"/>
      <c r="IJU41" s="562"/>
      <c r="IJV41" s="562"/>
      <c r="IJW41" s="562"/>
      <c r="IJX41" s="562"/>
      <c r="IJY41" s="562"/>
      <c r="IJZ41" s="562"/>
      <c r="IKA41" s="562"/>
      <c r="IKB41" s="562"/>
      <c r="IKC41" s="562"/>
      <c r="IKD41" s="562"/>
      <c r="IKE41" s="562"/>
      <c r="IKF41" s="562"/>
      <c r="IKG41" s="562"/>
      <c r="IKH41" s="562"/>
      <c r="IKI41" s="562"/>
      <c r="IKJ41" s="562"/>
      <c r="IKK41" s="562"/>
      <c r="IKL41" s="562"/>
      <c r="IKM41" s="562"/>
      <c r="IKN41" s="562"/>
      <c r="IKO41" s="562"/>
      <c r="IKP41" s="562"/>
      <c r="IKQ41" s="562"/>
      <c r="IKR41" s="562"/>
      <c r="IKS41" s="562"/>
      <c r="IKT41" s="562"/>
      <c r="IKU41" s="562"/>
      <c r="IKV41" s="562"/>
      <c r="IKW41" s="562"/>
      <c r="IKX41" s="562"/>
      <c r="IKY41" s="562"/>
      <c r="IKZ41" s="562"/>
      <c r="ILA41" s="562"/>
      <c r="ILB41" s="562"/>
      <c r="ILC41" s="562"/>
      <c r="ILD41" s="562"/>
      <c r="ILE41" s="562"/>
      <c r="ILF41" s="562"/>
      <c r="ILG41" s="562"/>
      <c r="ILH41" s="562"/>
      <c r="ILI41" s="562"/>
      <c r="ILJ41" s="562"/>
      <c r="ILK41" s="562"/>
      <c r="ILL41" s="562"/>
      <c r="ILM41" s="562"/>
      <c r="ILN41" s="562"/>
      <c r="ILO41" s="562"/>
      <c r="ILP41" s="562"/>
      <c r="ILQ41" s="562"/>
      <c r="ILR41" s="562"/>
      <c r="ILS41" s="562"/>
      <c r="ILT41" s="562"/>
      <c r="ILU41" s="562"/>
      <c r="ILV41" s="562"/>
      <c r="ILW41" s="562"/>
      <c r="ILX41" s="562"/>
      <c r="ILY41" s="562"/>
      <c r="ILZ41" s="562"/>
      <c r="IMA41" s="562"/>
      <c r="IMB41" s="562"/>
      <c r="IMC41" s="562"/>
      <c r="IMD41" s="562"/>
      <c r="IME41" s="562"/>
      <c r="IMF41" s="562"/>
      <c r="IMG41" s="562"/>
      <c r="IMH41" s="562"/>
      <c r="IMI41" s="562"/>
      <c r="IMJ41" s="562"/>
      <c r="IMK41" s="562"/>
      <c r="IML41" s="562"/>
      <c r="IMM41" s="562"/>
      <c r="IMN41" s="562"/>
      <c r="IMO41" s="562"/>
      <c r="IMP41" s="562"/>
      <c r="IMQ41" s="562"/>
      <c r="IMR41" s="562"/>
      <c r="IMS41" s="562"/>
      <c r="IMT41" s="562"/>
      <c r="IMU41" s="562"/>
      <c r="IMV41" s="562"/>
      <c r="IMW41" s="562"/>
      <c r="IMX41" s="562"/>
      <c r="IMY41" s="562"/>
      <c r="IMZ41" s="562"/>
      <c r="INA41" s="562"/>
      <c r="INB41" s="562"/>
      <c r="INC41" s="562"/>
      <c r="IND41" s="562"/>
      <c r="INE41" s="562"/>
      <c r="INF41" s="562"/>
      <c r="ING41" s="562"/>
      <c r="INH41" s="562"/>
      <c r="INI41" s="562"/>
      <c r="INJ41" s="562"/>
      <c r="INK41" s="562"/>
      <c r="INL41" s="562"/>
      <c r="INM41" s="562"/>
      <c r="INN41" s="562"/>
      <c r="INO41" s="562"/>
      <c r="INP41" s="562"/>
      <c r="INQ41" s="562"/>
      <c r="INR41" s="562"/>
      <c r="INS41" s="562"/>
      <c r="INT41" s="562"/>
      <c r="INU41" s="562"/>
      <c r="INV41" s="562"/>
      <c r="INW41" s="562"/>
      <c r="INX41" s="562"/>
      <c r="INY41" s="562"/>
      <c r="INZ41" s="562"/>
      <c r="IOA41" s="562"/>
      <c r="IOB41" s="562"/>
      <c r="IOC41" s="562"/>
      <c r="IOD41" s="562"/>
      <c r="IOE41" s="562"/>
      <c r="IOF41" s="562"/>
      <c r="IOG41" s="562"/>
      <c r="IOH41" s="562"/>
      <c r="IOI41" s="562"/>
      <c r="IOJ41" s="562"/>
      <c r="IOK41" s="562"/>
      <c r="IOL41" s="562"/>
      <c r="IOM41" s="562"/>
      <c r="ION41" s="562"/>
      <c r="IOO41" s="562"/>
      <c r="IOP41" s="562"/>
      <c r="IOQ41" s="562"/>
      <c r="IOR41" s="562"/>
      <c r="IOS41" s="562"/>
      <c r="IOT41" s="562"/>
      <c r="IOU41" s="562"/>
      <c r="IOV41" s="562"/>
      <c r="IOW41" s="562"/>
      <c r="IOX41" s="562"/>
      <c r="IOY41" s="562"/>
      <c r="IOZ41" s="562"/>
      <c r="IPA41" s="562"/>
      <c r="IPB41" s="562"/>
      <c r="IPC41" s="562"/>
      <c r="IPD41" s="562"/>
      <c r="IPE41" s="562"/>
      <c r="IPF41" s="562"/>
      <c r="IPG41" s="562"/>
      <c r="IPH41" s="562"/>
      <c r="IPI41" s="562"/>
      <c r="IPJ41" s="562"/>
      <c r="IPK41" s="562"/>
      <c r="IPL41" s="562"/>
      <c r="IPM41" s="562"/>
      <c r="IPN41" s="562"/>
      <c r="IPO41" s="562"/>
      <c r="IPP41" s="562"/>
      <c r="IPQ41" s="562"/>
      <c r="IPR41" s="562"/>
      <c r="IPS41" s="562"/>
      <c r="IPT41" s="562"/>
      <c r="IPU41" s="562"/>
      <c r="IPV41" s="562"/>
      <c r="IPW41" s="562"/>
      <c r="IPX41" s="562"/>
      <c r="IPY41" s="562"/>
      <c r="IPZ41" s="562"/>
      <c r="IQA41" s="562"/>
      <c r="IQB41" s="562"/>
      <c r="IQC41" s="562"/>
      <c r="IQD41" s="562"/>
      <c r="IQE41" s="562"/>
      <c r="IQF41" s="562"/>
      <c r="IQG41" s="562"/>
      <c r="IQH41" s="562"/>
      <c r="IQI41" s="562"/>
      <c r="IQJ41" s="562"/>
      <c r="IQK41" s="562"/>
      <c r="IQL41" s="562"/>
      <c r="IQM41" s="562"/>
      <c r="IQN41" s="562"/>
      <c r="IQO41" s="562"/>
      <c r="IQP41" s="562"/>
      <c r="IQQ41" s="562"/>
      <c r="IQR41" s="562"/>
      <c r="IQS41" s="562"/>
      <c r="IQT41" s="562"/>
      <c r="IQU41" s="562"/>
      <c r="IQV41" s="562"/>
      <c r="IQW41" s="562"/>
      <c r="IQX41" s="562"/>
      <c r="IQY41" s="562"/>
      <c r="IQZ41" s="562"/>
      <c r="IRA41" s="562"/>
      <c r="IRB41" s="562"/>
      <c r="IRC41" s="562"/>
      <c r="IRD41" s="562"/>
      <c r="IRE41" s="562"/>
      <c r="IRF41" s="562"/>
      <c r="IRG41" s="562"/>
      <c r="IRH41" s="562"/>
      <c r="IRI41" s="562"/>
      <c r="IRJ41" s="562"/>
      <c r="IRK41" s="562"/>
      <c r="IRL41" s="562"/>
      <c r="IRM41" s="562"/>
      <c r="IRN41" s="562"/>
      <c r="IRO41" s="562"/>
      <c r="IRP41" s="562"/>
      <c r="IRQ41" s="562"/>
      <c r="IRR41" s="562"/>
      <c r="IRS41" s="562"/>
      <c r="IRT41" s="562"/>
      <c r="IRU41" s="562"/>
      <c r="IRV41" s="562"/>
      <c r="IRW41" s="562"/>
      <c r="IRX41" s="562"/>
      <c r="IRY41" s="562"/>
      <c r="IRZ41" s="562"/>
      <c r="ISA41" s="562"/>
      <c r="ISB41" s="562"/>
      <c r="ISC41" s="562"/>
      <c r="ISD41" s="562"/>
      <c r="ISE41" s="562"/>
      <c r="ISF41" s="562"/>
      <c r="ISG41" s="562"/>
      <c r="ISH41" s="562"/>
      <c r="ISI41" s="562"/>
      <c r="ISJ41" s="562"/>
      <c r="ISK41" s="562"/>
      <c r="ISL41" s="562"/>
      <c r="ISM41" s="562"/>
      <c r="ISN41" s="562"/>
      <c r="ISO41" s="562"/>
      <c r="ISP41" s="562"/>
      <c r="ISQ41" s="562"/>
      <c r="ISR41" s="562"/>
      <c r="ISS41" s="562"/>
      <c r="IST41" s="562"/>
      <c r="ISU41" s="562"/>
      <c r="ISV41" s="562"/>
      <c r="ISW41" s="562"/>
      <c r="ISX41" s="562"/>
      <c r="ISY41" s="562"/>
      <c r="ISZ41" s="562"/>
      <c r="ITA41" s="562"/>
      <c r="ITB41" s="562"/>
      <c r="ITC41" s="562"/>
      <c r="ITD41" s="562"/>
      <c r="ITE41" s="562"/>
      <c r="ITF41" s="562"/>
      <c r="ITG41" s="562"/>
      <c r="ITH41" s="562"/>
      <c r="ITI41" s="562"/>
      <c r="ITJ41" s="562"/>
      <c r="ITK41" s="562"/>
      <c r="ITL41" s="562"/>
      <c r="ITM41" s="562"/>
      <c r="ITN41" s="562"/>
      <c r="ITO41" s="562"/>
      <c r="ITP41" s="562"/>
      <c r="ITQ41" s="562"/>
      <c r="ITR41" s="562"/>
      <c r="ITS41" s="562"/>
      <c r="ITT41" s="562"/>
      <c r="ITU41" s="562"/>
      <c r="ITV41" s="562"/>
      <c r="ITW41" s="562"/>
      <c r="ITX41" s="562"/>
      <c r="ITY41" s="562"/>
      <c r="ITZ41" s="562"/>
      <c r="IUA41" s="562"/>
      <c r="IUB41" s="562"/>
      <c r="IUC41" s="562"/>
      <c r="IUD41" s="562"/>
      <c r="IUE41" s="562"/>
      <c r="IUF41" s="562"/>
      <c r="IUG41" s="562"/>
      <c r="IUH41" s="562"/>
      <c r="IUI41" s="562"/>
      <c r="IUJ41" s="562"/>
      <c r="IUK41" s="562"/>
      <c r="IUL41" s="562"/>
      <c r="IUM41" s="562"/>
      <c r="IUN41" s="562"/>
      <c r="IUO41" s="562"/>
      <c r="IUP41" s="562"/>
      <c r="IUQ41" s="562"/>
      <c r="IUR41" s="562"/>
      <c r="IUS41" s="562"/>
      <c r="IUT41" s="562"/>
      <c r="IUU41" s="562"/>
      <c r="IUV41" s="562"/>
      <c r="IUW41" s="562"/>
      <c r="IUX41" s="562"/>
      <c r="IUY41" s="562"/>
      <c r="IUZ41" s="562"/>
      <c r="IVA41" s="562"/>
      <c r="IVB41" s="562"/>
      <c r="IVC41" s="562"/>
      <c r="IVD41" s="562"/>
      <c r="IVE41" s="562"/>
      <c r="IVF41" s="562"/>
      <c r="IVG41" s="562"/>
      <c r="IVH41" s="562"/>
      <c r="IVI41" s="562"/>
      <c r="IVJ41" s="562"/>
      <c r="IVK41" s="562"/>
      <c r="IVL41" s="562"/>
      <c r="IVM41" s="562"/>
      <c r="IVN41" s="562"/>
      <c r="IVO41" s="562"/>
      <c r="IVP41" s="562"/>
      <c r="IVQ41" s="562"/>
      <c r="IVR41" s="562"/>
      <c r="IVS41" s="562"/>
      <c r="IVT41" s="562"/>
      <c r="IVU41" s="562"/>
      <c r="IVV41" s="562"/>
      <c r="IVW41" s="562"/>
      <c r="IVX41" s="562"/>
      <c r="IVY41" s="562"/>
      <c r="IVZ41" s="562"/>
      <c r="IWA41" s="562"/>
      <c r="IWB41" s="562"/>
      <c r="IWC41" s="562"/>
      <c r="IWD41" s="562"/>
      <c r="IWE41" s="562"/>
      <c r="IWF41" s="562"/>
      <c r="IWG41" s="562"/>
      <c r="IWH41" s="562"/>
      <c r="IWI41" s="562"/>
      <c r="IWJ41" s="562"/>
      <c r="IWK41" s="562"/>
      <c r="IWL41" s="562"/>
      <c r="IWM41" s="562"/>
      <c r="IWN41" s="562"/>
      <c r="IWO41" s="562"/>
      <c r="IWP41" s="562"/>
      <c r="IWQ41" s="562"/>
      <c r="IWR41" s="562"/>
      <c r="IWS41" s="562"/>
      <c r="IWT41" s="562"/>
      <c r="IWU41" s="562"/>
      <c r="IWV41" s="562"/>
      <c r="IWW41" s="562"/>
      <c r="IWX41" s="562"/>
      <c r="IWY41" s="562"/>
      <c r="IWZ41" s="562"/>
      <c r="IXA41" s="562"/>
      <c r="IXB41" s="562"/>
      <c r="IXC41" s="562"/>
      <c r="IXD41" s="562"/>
      <c r="IXE41" s="562"/>
      <c r="IXF41" s="562"/>
      <c r="IXG41" s="562"/>
      <c r="IXH41" s="562"/>
      <c r="IXI41" s="562"/>
      <c r="IXJ41" s="562"/>
      <c r="IXK41" s="562"/>
      <c r="IXL41" s="562"/>
      <c r="IXM41" s="562"/>
      <c r="IXN41" s="562"/>
      <c r="IXO41" s="562"/>
      <c r="IXP41" s="562"/>
      <c r="IXQ41" s="562"/>
      <c r="IXR41" s="562"/>
      <c r="IXS41" s="562"/>
      <c r="IXT41" s="562"/>
      <c r="IXU41" s="562"/>
      <c r="IXV41" s="562"/>
      <c r="IXW41" s="562"/>
      <c r="IXX41" s="562"/>
      <c r="IXY41" s="562"/>
      <c r="IXZ41" s="562"/>
      <c r="IYA41" s="562"/>
      <c r="IYB41" s="562"/>
      <c r="IYC41" s="562"/>
      <c r="IYD41" s="562"/>
      <c r="IYE41" s="562"/>
      <c r="IYF41" s="562"/>
      <c r="IYG41" s="562"/>
      <c r="IYH41" s="562"/>
      <c r="IYI41" s="562"/>
      <c r="IYJ41" s="562"/>
      <c r="IYK41" s="562"/>
      <c r="IYL41" s="562"/>
      <c r="IYM41" s="562"/>
      <c r="IYN41" s="562"/>
      <c r="IYO41" s="562"/>
      <c r="IYP41" s="562"/>
      <c r="IYQ41" s="562"/>
      <c r="IYR41" s="562"/>
      <c r="IYS41" s="562"/>
      <c r="IYT41" s="562"/>
      <c r="IYU41" s="562"/>
      <c r="IYV41" s="562"/>
      <c r="IYW41" s="562"/>
      <c r="IYX41" s="562"/>
      <c r="IYY41" s="562"/>
      <c r="IYZ41" s="562"/>
      <c r="IZA41" s="562"/>
      <c r="IZB41" s="562"/>
      <c r="IZC41" s="562"/>
      <c r="IZD41" s="562"/>
      <c r="IZE41" s="562"/>
      <c r="IZF41" s="562"/>
      <c r="IZG41" s="562"/>
      <c r="IZH41" s="562"/>
      <c r="IZI41" s="562"/>
      <c r="IZJ41" s="562"/>
      <c r="IZK41" s="562"/>
      <c r="IZL41" s="562"/>
      <c r="IZM41" s="562"/>
      <c r="IZN41" s="562"/>
      <c r="IZO41" s="562"/>
      <c r="IZP41" s="562"/>
      <c r="IZQ41" s="562"/>
      <c r="IZR41" s="562"/>
      <c r="IZS41" s="562"/>
      <c r="IZT41" s="562"/>
      <c r="IZU41" s="562"/>
      <c r="IZV41" s="562"/>
      <c r="IZW41" s="562"/>
      <c r="IZX41" s="562"/>
      <c r="IZY41" s="562"/>
      <c r="IZZ41" s="562"/>
      <c r="JAA41" s="562"/>
      <c r="JAB41" s="562"/>
      <c r="JAC41" s="562"/>
      <c r="JAD41" s="562"/>
      <c r="JAE41" s="562"/>
      <c r="JAF41" s="562"/>
      <c r="JAG41" s="562"/>
      <c r="JAH41" s="562"/>
      <c r="JAI41" s="562"/>
      <c r="JAJ41" s="562"/>
      <c r="JAK41" s="562"/>
      <c r="JAL41" s="562"/>
      <c r="JAM41" s="562"/>
      <c r="JAN41" s="562"/>
      <c r="JAO41" s="562"/>
      <c r="JAP41" s="562"/>
      <c r="JAQ41" s="562"/>
      <c r="JAR41" s="562"/>
      <c r="JAS41" s="562"/>
      <c r="JAT41" s="562"/>
      <c r="JAU41" s="562"/>
      <c r="JAV41" s="562"/>
      <c r="JAW41" s="562"/>
      <c r="JAX41" s="562"/>
      <c r="JAY41" s="562"/>
      <c r="JAZ41" s="562"/>
      <c r="JBA41" s="562"/>
      <c r="JBB41" s="562"/>
      <c r="JBC41" s="562"/>
      <c r="JBD41" s="562"/>
      <c r="JBE41" s="562"/>
      <c r="JBF41" s="562"/>
      <c r="JBG41" s="562"/>
      <c r="JBH41" s="562"/>
      <c r="JBI41" s="562"/>
      <c r="JBJ41" s="562"/>
      <c r="JBK41" s="562"/>
      <c r="JBL41" s="562"/>
      <c r="JBM41" s="562"/>
      <c r="JBN41" s="562"/>
      <c r="JBO41" s="562"/>
      <c r="JBP41" s="562"/>
      <c r="JBQ41" s="562"/>
      <c r="JBR41" s="562"/>
      <c r="JBS41" s="562"/>
      <c r="JBT41" s="562"/>
      <c r="JBU41" s="562"/>
      <c r="JBV41" s="562"/>
      <c r="JBW41" s="562"/>
      <c r="JBX41" s="562"/>
      <c r="JBY41" s="562"/>
      <c r="JBZ41" s="562"/>
      <c r="JCA41" s="562"/>
      <c r="JCB41" s="562"/>
      <c r="JCC41" s="562"/>
      <c r="JCD41" s="562"/>
      <c r="JCE41" s="562"/>
      <c r="JCF41" s="562"/>
      <c r="JCG41" s="562"/>
      <c r="JCH41" s="562"/>
      <c r="JCI41" s="562"/>
      <c r="JCJ41" s="562"/>
      <c r="JCK41" s="562"/>
      <c r="JCL41" s="562"/>
      <c r="JCM41" s="562"/>
      <c r="JCN41" s="562"/>
      <c r="JCO41" s="562"/>
      <c r="JCP41" s="562"/>
      <c r="JCQ41" s="562"/>
      <c r="JCR41" s="562"/>
      <c r="JCS41" s="562"/>
      <c r="JCT41" s="562"/>
      <c r="JCU41" s="562"/>
      <c r="JCV41" s="562"/>
      <c r="JCW41" s="562"/>
      <c r="JCX41" s="562"/>
      <c r="JCY41" s="562"/>
      <c r="JCZ41" s="562"/>
      <c r="JDA41" s="562"/>
      <c r="JDB41" s="562"/>
      <c r="JDC41" s="562"/>
      <c r="JDD41" s="562"/>
      <c r="JDE41" s="562"/>
      <c r="JDF41" s="562"/>
      <c r="JDG41" s="562"/>
      <c r="JDH41" s="562"/>
      <c r="JDI41" s="562"/>
      <c r="JDJ41" s="562"/>
      <c r="JDK41" s="562"/>
      <c r="JDL41" s="562"/>
      <c r="JDM41" s="562"/>
      <c r="JDN41" s="562"/>
      <c r="JDO41" s="562"/>
      <c r="JDP41" s="562"/>
      <c r="JDQ41" s="562"/>
      <c r="JDR41" s="562"/>
      <c r="JDS41" s="562"/>
      <c r="JDT41" s="562"/>
      <c r="JDU41" s="562"/>
      <c r="JDV41" s="562"/>
      <c r="JDW41" s="562"/>
      <c r="JDX41" s="562"/>
      <c r="JDY41" s="562"/>
      <c r="JDZ41" s="562"/>
      <c r="JEA41" s="562"/>
      <c r="JEB41" s="562"/>
      <c r="JEC41" s="562"/>
      <c r="JED41" s="562"/>
      <c r="JEE41" s="562"/>
      <c r="JEF41" s="562"/>
      <c r="JEG41" s="562"/>
      <c r="JEH41" s="562"/>
      <c r="JEI41" s="562"/>
      <c r="JEJ41" s="562"/>
      <c r="JEK41" s="562"/>
      <c r="JEL41" s="562"/>
      <c r="JEM41" s="562"/>
      <c r="JEN41" s="562"/>
      <c r="JEO41" s="562"/>
      <c r="JEP41" s="562"/>
      <c r="JEQ41" s="562"/>
      <c r="JER41" s="562"/>
      <c r="JES41" s="562"/>
      <c r="JET41" s="562"/>
      <c r="JEU41" s="562"/>
      <c r="JEV41" s="562"/>
      <c r="JEW41" s="562"/>
      <c r="JEX41" s="562"/>
      <c r="JEY41" s="562"/>
      <c r="JEZ41" s="562"/>
      <c r="JFA41" s="562"/>
      <c r="JFB41" s="562"/>
      <c r="JFC41" s="562"/>
      <c r="JFD41" s="562"/>
      <c r="JFE41" s="562"/>
      <c r="JFF41" s="562"/>
      <c r="JFG41" s="562"/>
      <c r="JFH41" s="562"/>
      <c r="JFI41" s="562"/>
      <c r="JFJ41" s="562"/>
      <c r="JFK41" s="562"/>
      <c r="JFL41" s="562"/>
      <c r="JFM41" s="562"/>
      <c r="JFN41" s="562"/>
      <c r="JFO41" s="562"/>
      <c r="JFP41" s="562"/>
      <c r="JFQ41" s="562"/>
      <c r="JFR41" s="562"/>
      <c r="JFS41" s="562"/>
      <c r="JFT41" s="562"/>
      <c r="JFU41" s="562"/>
      <c r="JFV41" s="562"/>
      <c r="JFW41" s="562"/>
      <c r="JFX41" s="562"/>
      <c r="JFY41" s="562"/>
      <c r="JFZ41" s="562"/>
      <c r="JGA41" s="562"/>
      <c r="JGB41" s="562"/>
      <c r="JGC41" s="562"/>
      <c r="JGD41" s="562"/>
      <c r="JGE41" s="562"/>
      <c r="JGF41" s="562"/>
      <c r="JGG41" s="562"/>
      <c r="JGH41" s="562"/>
      <c r="JGI41" s="562"/>
      <c r="JGJ41" s="562"/>
      <c r="JGK41" s="562"/>
      <c r="JGL41" s="562"/>
      <c r="JGM41" s="562"/>
      <c r="JGN41" s="562"/>
      <c r="JGO41" s="562"/>
      <c r="JGP41" s="562"/>
      <c r="JGQ41" s="562"/>
      <c r="JGR41" s="562"/>
      <c r="JGS41" s="562"/>
      <c r="JGT41" s="562"/>
      <c r="JGU41" s="562"/>
      <c r="JGV41" s="562"/>
      <c r="JGW41" s="562"/>
      <c r="JGX41" s="562"/>
      <c r="JGY41" s="562"/>
      <c r="JGZ41" s="562"/>
      <c r="JHA41" s="562"/>
      <c r="JHB41" s="562"/>
      <c r="JHC41" s="562"/>
      <c r="JHD41" s="562"/>
      <c r="JHE41" s="562"/>
      <c r="JHF41" s="562"/>
      <c r="JHG41" s="562"/>
      <c r="JHH41" s="562"/>
      <c r="JHI41" s="562"/>
      <c r="JHJ41" s="562"/>
      <c r="JHK41" s="562"/>
      <c r="JHL41" s="562"/>
      <c r="JHM41" s="562"/>
      <c r="JHN41" s="562"/>
      <c r="JHO41" s="562"/>
      <c r="JHP41" s="562"/>
      <c r="JHQ41" s="562"/>
      <c r="JHR41" s="562"/>
      <c r="JHS41" s="562"/>
      <c r="JHT41" s="562"/>
      <c r="JHU41" s="562"/>
      <c r="JHV41" s="562"/>
      <c r="JHW41" s="562"/>
      <c r="JHX41" s="562"/>
      <c r="JHY41" s="562"/>
      <c r="JHZ41" s="562"/>
      <c r="JIA41" s="562"/>
      <c r="JIB41" s="562"/>
      <c r="JIC41" s="562"/>
      <c r="JID41" s="562"/>
      <c r="JIE41" s="562"/>
      <c r="JIF41" s="562"/>
      <c r="JIG41" s="562"/>
      <c r="JIH41" s="562"/>
      <c r="JII41" s="562"/>
      <c r="JIJ41" s="562"/>
      <c r="JIK41" s="562"/>
      <c r="JIL41" s="562"/>
      <c r="JIM41" s="562"/>
      <c r="JIN41" s="562"/>
      <c r="JIO41" s="562"/>
      <c r="JIP41" s="562"/>
      <c r="JIQ41" s="562"/>
      <c r="JIR41" s="562"/>
      <c r="JIS41" s="562"/>
      <c r="JIT41" s="562"/>
      <c r="JIU41" s="562"/>
      <c r="JIV41" s="562"/>
      <c r="JIW41" s="562"/>
      <c r="JIX41" s="562"/>
      <c r="JIY41" s="562"/>
      <c r="JIZ41" s="562"/>
      <c r="JJA41" s="562"/>
      <c r="JJB41" s="562"/>
      <c r="JJC41" s="562"/>
      <c r="JJD41" s="562"/>
      <c r="JJE41" s="562"/>
      <c r="JJF41" s="562"/>
      <c r="JJG41" s="562"/>
      <c r="JJH41" s="562"/>
      <c r="JJI41" s="562"/>
      <c r="JJJ41" s="562"/>
      <c r="JJK41" s="562"/>
      <c r="JJL41" s="562"/>
      <c r="JJM41" s="562"/>
      <c r="JJN41" s="562"/>
      <c r="JJO41" s="562"/>
      <c r="JJP41" s="562"/>
      <c r="JJQ41" s="562"/>
      <c r="JJR41" s="562"/>
      <c r="JJS41" s="562"/>
      <c r="JJT41" s="562"/>
      <c r="JJU41" s="562"/>
      <c r="JJV41" s="562"/>
      <c r="JJW41" s="562"/>
      <c r="JJX41" s="562"/>
      <c r="JJY41" s="562"/>
      <c r="JJZ41" s="562"/>
      <c r="JKA41" s="562"/>
      <c r="JKB41" s="562"/>
      <c r="JKC41" s="562"/>
      <c r="JKD41" s="562"/>
      <c r="JKE41" s="562"/>
      <c r="JKF41" s="562"/>
      <c r="JKG41" s="562"/>
      <c r="JKH41" s="562"/>
      <c r="JKI41" s="562"/>
      <c r="JKJ41" s="562"/>
      <c r="JKK41" s="562"/>
      <c r="JKL41" s="562"/>
      <c r="JKM41" s="562"/>
      <c r="JKN41" s="562"/>
      <c r="JKO41" s="562"/>
      <c r="JKP41" s="562"/>
      <c r="JKQ41" s="562"/>
      <c r="JKR41" s="562"/>
      <c r="JKS41" s="562"/>
      <c r="JKT41" s="562"/>
      <c r="JKU41" s="562"/>
      <c r="JKV41" s="562"/>
      <c r="JKW41" s="562"/>
      <c r="JKX41" s="562"/>
      <c r="JKY41" s="562"/>
      <c r="JKZ41" s="562"/>
      <c r="JLA41" s="562"/>
      <c r="JLB41" s="562"/>
      <c r="JLC41" s="562"/>
      <c r="JLD41" s="562"/>
      <c r="JLE41" s="562"/>
      <c r="JLF41" s="562"/>
      <c r="JLG41" s="562"/>
      <c r="JLH41" s="562"/>
      <c r="JLI41" s="562"/>
      <c r="JLJ41" s="562"/>
      <c r="JLK41" s="562"/>
      <c r="JLL41" s="562"/>
      <c r="JLM41" s="562"/>
      <c r="JLN41" s="562"/>
      <c r="JLO41" s="562"/>
      <c r="JLP41" s="562"/>
      <c r="JLQ41" s="562"/>
      <c r="JLR41" s="562"/>
      <c r="JLS41" s="562"/>
      <c r="JLT41" s="562"/>
      <c r="JLU41" s="562"/>
      <c r="JLV41" s="562"/>
      <c r="JLW41" s="562"/>
      <c r="JLX41" s="562"/>
      <c r="JLY41" s="562"/>
      <c r="JLZ41" s="562"/>
      <c r="JMA41" s="562"/>
      <c r="JMB41" s="562"/>
      <c r="JMC41" s="562"/>
      <c r="JMD41" s="562"/>
      <c r="JME41" s="562"/>
      <c r="JMF41" s="562"/>
      <c r="JMG41" s="562"/>
      <c r="JMH41" s="562"/>
      <c r="JMI41" s="562"/>
      <c r="JMJ41" s="562"/>
      <c r="JMK41" s="562"/>
      <c r="JML41" s="562"/>
      <c r="JMM41" s="562"/>
      <c r="JMN41" s="562"/>
      <c r="JMO41" s="562"/>
      <c r="JMP41" s="562"/>
      <c r="JMQ41" s="562"/>
      <c r="JMR41" s="562"/>
      <c r="JMS41" s="562"/>
      <c r="JMT41" s="562"/>
      <c r="JMU41" s="562"/>
      <c r="JMV41" s="562"/>
      <c r="JMW41" s="562"/>
      <c r="JMX41" s="562"/>
      <c r="JMY41" s="562"/>
      <c r="JMZ41" s="562"/>
      <c r="JNA41" s="562"/>
      <c r="JNB41" s="562"/>
      <c r="JNC41" s="562"/>
      <c r="JND41" s="562"/>
      <c r="JNE41" s="562"/>
      <c r="JNF41" s="562"/>
      <c r="JNG41" s="562"/>
      <c r="JNH41" s="562"/>
      <c r="JNI41" s="562"/>
      <c r="JNJ41" s="562"/>
      <c r="JNK41" s="562"/>
      <c r="JNL41" s="562"/>
      <c r="JNM41" s="562"/>
      <c r="JNN41" s="562"/>
      <c r="JNO41" s="562"/>
      <c r="JNP41" s="562"/>
      <c r="JNQ41" s="562"/>
      <c r="JNR41" s="562"/>
      <c r="JNS41" s="562"/>
      <c r="JNT41" s="562"/>
      <c r="JNU41" s="562"/>
      <c r="JNV41" s="562"/>
      <c r="JNW41" s="562"/>
      <c r="JNX41" s="562"/>
      <c r="JNY41" s="562"/>
      <c r="JNZ41" s="562"/>
      <c r="JOA41" s="562"/>
      <c r="JOB41" s="562"/>
      <c r="JOC41" s="562"/>
      <c r="JOD41" s="562"/>
      <c r="JOE41" s="562"/>
      <c r="JOF41" s="562"/>
      <c r="JOG41" s="562"/>
      <c r="JOH41" s="562"/>
      <c r="JOI41" s="562"/>
      <c r="JOJ41" s="562"/>
      <c r="JOK41" s="562"/>
      <c r="JOL41" s="562"/>
      <c r="JOM41" s="562"/>
      <c r="JON41" s="562"/>
      <c r="JOO41" s="562"/>
      <c r="JOP41" s="562"/>
      <c r="JOQ41" s="562"/>
      <c r="JOR41" s="562"/>
      <c r="JOS41" s="562"/>
      <c r="JOT41" s="562"/>
      <c r="JOU41" s="562"/>
      <c r="JOV41" s="562"/>
      <c r="JOW41" s="562"/>
      <c r="JOX41" s="562"/>
      <c r="JOY41" s="562"/>
      <c r="JOZ41" s="562"/>
      <c r="JPA41" s="562"/>
      <c r="JPB41" s="562"/>
      <c r="JPC41" s="562"/>
      <c r="JPD41" s="562"/>
      <c r="JPE41" s="562"/>
      <c r="JPF41" s="562"/>
      <c r="JPG41" s="562"/>
      <c r="JPH41" s="562"/>
      <c r="JPI41" s="562"/>
      <c r="JPJ41" s="562"/>
      <c r="JPK41" s="562"/>
      <c r="JPL41" s="562"/>
      <c r="JPM41" s="562"/>
      <c r="JPN41" s="562"/>
      <c r="JPO41" s="562"/>
      <c r="JPP41" s="562"/>
      <c r="JPQ41" s="562"/>
      <c r="JPR41" s="562"/>
      <c r="JPS41" s="562"/>
      <c r="JPT41" s="562"/>
      <c r="JPU41" s="562"/>
      <c r="JPV41" s="562"/>
      <c r="JPW41" s="562"/>
      <c r="JPX41" s="562"/>
      <c r="JPY41" s="562"/>
      <c r="JPZ41" s="562"/>
      <c r="JQA41" s="562"/>
      <c r="JQB41" s="562"/>
      <c r="JQC41" s="562"/>
      <c r="JQD41" s="562"/>
      <c r="JQE41" s="562"/>
      <c r="JQF41" s="562"/>
      <c r="JQG41" s="562"/>
      <c r="JQH41" s="562"/>
      <c r="JQI41" s="562"/>
      <c r="JQJ41" s="562"/>
      <c r="JQK41" s="562"/>
      <c r="JQL41" s="562"/>
      <c r="JQM41" s="562"/>
      <c r="JQN41" s="562"/>
      <c r="JQO41" s="562"/>
      <c r="JQP41" s="562"/>
      <c r="JQQ41" s="562"/>
      <c r="JQR41" s="562"/>
      <c r="JQS41" s="562"/>
      <c r="JQT41" s="562"/>
      <c r="JQU41" s="562"/>
      <c r="JQV41" s="562"/>
      <c r="JQW41" s="562"/>
      <c r="JQX41" s="562"/>
      <c r="JQY41" s="562"/>
      <c r="JQZ41" s="562"/>
      <c r="JRA41" s="562"/>
      <c r="JRB41" s="562"/>
      <c r="JRC41" s="562"/>
      <c r="JRD41" s="562"/>
      <c r="JRE41" s="562"/>
      <c r="JRF41" s="562"/>
      <c r="JRG41" s="562"/>
      <c r="JRH41" s="562"/>
      <c r="JRI41" s="562"/>
      <c r="JRJ41" s="562"/>
      <c r="JRK41" s="562"/>
      <c r="JRL41" s="562"/>
      <c r="JRM41" s="562"/>
      <c r="JRN41" s="562"/>
      <c r="JRO41" s="562"/>
      <c r="JRP41" s="562"/>
      <c r="JRQ41" s="562"/>
      <c r="JRR41" s="562"/>
      <c r="JRS41" s="562"/>
      <c r="JRT41" s="562"/>
      <c r="JRU41" s="562"/>
      <c r="JRV41" s="562"/>
      <c r="JRW41" s="562"/>
      <c r="JRX41" s="562"/>
      <c r="JRY41" s="562"/>
      <c r="JRZ41" s="562"/>
      <c r="JSA41" s="562"/>
      <c r="JSB41" s="562"/>
      <c r="JSC41" s="562"/>
      <c r="JSD41" s="562"/>
      <c r="JSE41" s="562"/>
      <c r="JSF41" s="562"/>
      <c r="JSG41" s="562"/>
      <c r="JSH41" s="562"/>
      <c r="JSI41" s="562"/>
      <c r="JSJ41" s="562"/>
      <c r="JSK41" s="562"/>
      <c r="JSL41" s="562"/>
      <c r="JSM41" s="562"/>
      <c r="JSN41" s="562"/>
      <c r="JSO41" s="562"/>
      <c r="JSP41" s="562"/>
      <c r="JSQ41" s="562"/>
      <c r="JSR41" s="562"/>
      <c r="JSS41" s="562"/>
      <c r="JST41" s="562"/>
      <c r="JSU41" s="562"/>
      <c r="JSV41" s="562"/>
      <c r="JSW41" s="562"/>
      <c r="JSX41" s="562"/>
      <c r="JSY41" s="562"/>
      <c r="JSZ41" s="562"/>
      <c r="JTA41" s="562"/>
      <c r="JTB41" s="562"/>
      <c r="JTC41" s="562"/>
      <c r="JTD41" s="562"/>
      <c r="JTE41" s="562"/>
      <c r="JTF41" s="562"/>
      <c r="JTG41" s="562"/>
      <c r="JTH41" s="562"/>
      <c r="JTI41" s="562"/>
      <c r="JTJ41" s="562"/>
      <c r="JTK41" s="562"/>
      <c r="JTL41" s="562"/>
      <c r="JTM41" s="562"/>
      <c r="JTN41" s="562"/>
      <c r="JTO41" s="562"/>
      <c r="JTP41" s="562"/>
      <c r="JTQ41" s="562"/>
      <c r="JTR41" s="562"/>
      <c r="JTS41" s="562"/>
      <c r="JTT41" s="562"/>
      <c r="JTU41" s="562"/>
      <c r="JTV41" s="562"/>
      <c r="JTW41" s="562"/>
      <c r="JTX41" s="562"/>
      <c r="JTY41" s="562"/>
      <c r="JTZ41" s="562"/>
      <c r="JUA41" s="562"/>
      <c r="JUB41" s="562"/>
      <c r="JUC41" s="562"/>
      <c r="JUD41" s="562"/>
      <c r="JUE41" s="562"/>
      <c r="JUF41" s="562"/>
      <c r="JUG41" s="562"/>
      <c r="JUH41" s="562"/>
      <c r="JUI41" s="562"/>
      <c r="JUJ41" s="562"/>
      <c r="JUK41" s="562"/>
      <c r="JUL41" s="562"/>
      <c r="JUM41" s="562"/>
      <c r="JUN41" s="562"/>
      <c r="JUO41" s="562"/>
      <c r="JUP41" s="562"/>
      <c r="JUQ41" s="562"/>
      <c r="JUR41" s="562"/>
      <c r="JUS41" s="562"/>
      <c r="JUT41" s="562"/>
      <c r="JUU41" s="562"/>
      <c r="JUV41" s="562"/>
      <c r="JUW41" s="562"/>
      <c r="JUX41" s="562"/>
      <c r="JUY41" s="562"/>
      <c r="JUZ41" s="562"/>
      <c r="JVA41" s="562"/>
      <c r="JVB41" s="562"/>
      <c r="JVC41" s="562"/>
      <c r="JVD41" s="562"/>
      <c r="JVE41" s="562"/>
      <c r="JVF41" s="562"/>
      <c r="JVG41" s="562"/>
      <c r="JVH41" s="562"/>
      <c r="JVI41" s="562"/>
      <c r="JVJ41" s="562"/>
      <c r="JVK41" s="562"/>
      <c r="JVL41" s="562"/>
      <c r="JVM41" s="562"/>
      <c r="JVN41" s="562"/>
      <c r="JVO41" s="562"/>
      <c r="JVP41" s="562"/>
      <c r="JVQ41" s="562"/>
      <c r="JVR41" s="562"/>
      <c r="JVS41" s="562"/>
      <c r="JVT41" s="562"/>
      <c r="JVU41" s="562"/>
      <c r="JVV41" s="562"/>
      <c r="JVW41" s="562"/>
      <c r="JVX41" s="562"/>
      <c r="JVY41" s="562"/>
      <c r="JVZ41" s="562"/>
      <c r="JWA41" s="562"/>
      <c r="JWB41" s="562"/>
      <c r="JWC41" s="562"/>
      <c r="JWD41" s="562"/>
      <c r="JWE41" s="562"/>
      <c r="JWF41" s="562"/>
      <c r="JWG41" s="562"/>
      <c r="JWH41" s="562"/>
      <c r="JWI41" s="562"/>
      <c r="JWJ41" s="562"/>
      <c r="JWK41" s="562"/>
      <c r="JWL41" s="562"/>
      <c r="JWM41" s="562"/>
      <c r="JWN41" s="562"/>
      <c r="JWO41" s="562"/>
      <c r="JWP41" s="562"/>
      <c r="JWQ41" s="562"/>
      <c r="JWR41" s="562"/>
      <c r="JWS41" s="562"/>
      <c r="JWT41" s="562"/>
      <c r="JWU41" s="562"/>
      <c r="JWV41" s="562"/>
      <c r="JWW41" s="562"/>
      <c r="JWX41" s="562"/>
      <c r="JWY41" s="562"/>
      <c r="JWZ41" s="562"/>
      <c r="JXA41" s="562"/>
      <c r="JXB41" s="562"/>
      <c r="JXC41" s="562"/>
      <c r="JXD41" s="562"/>
      <c r="JXE41" s="562"/>
      <c r="JXF41" s="562"/>
      <c r="JXG41" s="562"/>
      <c r="JXH41" s="562"/>
      <c r="JXI41" s="562"/>
      <c r="JXJ41" s="562"/>
      <c r="JXK41" s="562"/>
      <c r="JXL41" s="562"/>
      <c r="JXM41" s="562"/>
      <c r="JXN41" s="562"/>
      <c r="JXO41" s="562"/>
      <c r="JXP41" s="562"/>
      <c r="JXQ41" s="562"/>
      <c r="JXR41" s="562"/>
      <c r="JXS41" s="562"/>
      <c r="JXT41" s="562"/>
      <c r="JXU41" s="562"/>
      <c r="JXV41" s="562"/>
      <c r="JXW41" s="562"/>
      <c r="JXX41" s="562"/>
      <c r="JXY41" s="562"/>
      <c r="JXZ41" s="562"/>
      <c r="JYA41" s="562"/>
      <c r="JYB41" s="562"/>
      <c r="JYC41" s="562"/>
      <c r="JYD41" s="562"/>
      <c r="JYE41" s="562"/>
      <c r="JYF41" s="562"/>
      <c r="JYG41" s="562"/>
      <c r="JYH41" s="562"/>
      <c r="JYI41" s="562"/>
      <c r="JYJ41" s="562"/>
      <c r="JYK41" s="562"/>
      <c r="JYL41" s="562"/>
      <c r="JYM41" s="562"/>
      <c r="JYN41" s="562"/>
      <c r="JYO41" s="562"/>
      <c r="JYP41" s="562"/>
      <c r="JYQ41" s="562"/>
      <c r="JYR41" s="562"/>
      <c r="JYS41" s="562"/>
      <c r="JYT41" s="562"/>
      <c r="JYU41" s="562"/>
      <c r="JYV41" s="562"/>
      <c r="JYW41" s="562"/>
      <c r="JYX41" s="562"/>
      <c r="JYY41" s="562"/>
      <c r="JYZ41" s="562"/>
      <c r="JZA41" s="562"/>
      <c r="JZB41" s="562"/>
      <c r="JZC41" s="562"/>
      <c r="JZD41" s="562"/>
      <c r="JZE41" s="562"/>
      <c r="JZF41" s="562"/>
      <c r="JZG41" s="562"/>
      <c r="JZH41" s="562"/>
      <c r="JZI41" s="562"/>
      <c r="JZJ41" s="562"/>
      <c r="JZK41" s="562"/>
      <c r="JZL41" s="562"/>
      <c r="JZM41" s="562"/>
      <c r="JZN41" s="562"/>
      <c r="JZO41" s="562"/>
      <c r="JZP41" s="562"/>
      <c r="JZQ41" s="562"/>
      <c r="JZR41" s="562"/>
      <c r="JZS41" s="562"/>
      <c r="JZT41" s="562"/>
      <c r="JZU41" s="562"/>
      <c r="JZV41" s="562"/>
      <c r="JZW41" s="562"/>
      <c r="JZX41" s="562"/>
      <c r="JZY41" s="562"/>
      <c r="JZZ41" s="562"/>
      <c r="KAA41" s="562"/>
      <c r="KAB41" s="562"/>
      <c r="KAC41" s="562"/>
      <c r="KAD41" s="562"/>
      <c r="KAE41" s="562"/>
      <c r="KAF41" s="562"/>
      <c r="KAG41" s="562"/>
      <c r="KAH41" s="562"/>
      <c r="KAI41" s="562"/>
      <c r="KAJ41" s="562"/>
      <c r="KAK41" s="562"/>
      <c r="KAL41" s="562"/>
      <c r="KAM41" s="562"/>
      <c r="KAN41" s="562"/>
      <c r="KAO41" s="562"/>
      <c r="KAP41" s="562"/>
      <c r="KAQ41" s="562"/>
      <c r="KAR41" s="562"/>
      <c r="KAS41" s="562"/>
      <c r="KAT41" s="562"/>
      <c r="KAU41" s="562"/>
      <c r="KAV41" s="562"/>
      <c r="KAW41" s="562"/>
      <c r="KAX41" s="562"/>
      <c r="KAY41" s="562"/>
      <c r="KAZ41" s="562"/>
      <c r="KBA41" s="562"/>
      <c r="KBB41" s="562"/>
      <c r="KBC41" s="562"/>
      <c r="KBD41" s="562"/>
      <c r="KBE41" s="562"/>
      <c r="KBF41" s="562"/>
      <c r="KBG41" s="562"/>
      <c r="KBH41" s="562"/>
      <c r="KBI41" s="562"/>
      <c r="KBJ41" s="562"/>
      <c r="KBK41" s="562"/>
      <c r="KBL41" s="562"/>
      <c r="KBM41" s="562"/>
      <c r="KBN41" s="562"/>
      <c r="KBO41" s="562"/>
      <c r="KBP41" s="562"/>
      <c r="KBQ41" s="562"/>
      <c r="KBR41" s="562"/>
      <c r="KBS41" s="562"/>
      <c r="KBT41" s="562"/>
      <c r="KBU41" s="562"/>
      <c r="KBV41" s="562"/>
      <c r="KBW41" s="562"/>
      <c r="KBX41" s="562"/>
      <c r="KBY41" s="562"/>
      <c r="KBZ41" s="562"/>
      <c r="KCA41" s="562"/>
      <c r="KCB41" s="562"/>
      <c r="KCC41" s="562"/>
      <c r="KCD41" s="562"/>
      <c r="KCE41" s="562"/>
      <c r="KCF41" s="562"/>
      <c r="KCG41" s="562"/>
      <c r="KCH41" s="562"/>
      <c r="KCI41" s="562"/>
      <c r="KCJ41" s="562"/>
      <c r="KCK41" s="562"/>
      <c r="KCL41" s="562"/>
      <c r="KCM41" s="562"/>
      <c r="KCN41" s="562"/>
      <c r="KCO41" s="562"/>
      <c r="KCP41" s="562"/>
      <c r="KCQ41" s="562"/>
      <c r="KCR41" s="562"/>
      <c r="KCS41" s="562"/>
      <c r="KCT41" s="562"/>
      <c r="KCU41" s="562"/>
      <c r="KCV41" s="562"/>
      <c r="KCW41" s="562"/>
      <c r="KCX41" s="562"/>
      <c r="KCY41" s="562"/>
      <c r="KCZ41" s="562"/>
      <c r="KDA41" s="562"/>
      <c r="KDB41" s="562"/>
      <c r="KDC41" s="562"/>
      <c r="KDD41" s="562"/>
      <c r="KDE41" s="562"/>
      <c r="KDF41" s="562"/>
      <c r="KDG41" s="562"/>
      <c r="KDH41" s="562"/>
      <c r="KDI41" s="562"/>
      <c r="KDJ41" s="562"/>
      <c r="KDK41" s="562"/>
      <c r="KDL41" s="562"/>
      <c r="KDM41" s="562"/>
      <c r="KDN41" s="562"/>
      <c r="KDO41" s="562"/>
      <c r="KDP41" s="562"/>
      <c r="KDQ41" s="562"/>
      <c r="KDR41" s="562"/>
      <c r="KDS41" s="562"/>
      <c r="KDT41" s="562"/>
      <c r="KDU41" s="562"/>
      <c r="KDV41" s="562"/>
      <c r="KDW41" s="562"/>
      <c r="KDX41" s="562"/>
      <c r="KDY41" s="562"/>
      <c r="KDZ41" s="562"/>
      <c r="KEA41" s="562"/>
      <c r="KEB41" s="562"/>
      <c r="KEC41" s="562"/>
      <c r="KED41" s="562"/>
      <c r="KEE41" s="562"/>
      <c r="KEF41" s="562"/>
      <c r="KEG41" s="562"/>
      <c r="KEH41" s="562"/>
      <c r="KEI41" s="562"/>
      <c r="KEJ41" s="562"/>
      <c r="KEK41" s="562"/>
      <c r="KEL41" s="562"/>
      <c r="KEM41" s="562"/>
      <c r="KEN41" s="562"/>
      <c r="KEO41" s="562"/>
      <c r="KEP41" s="562"/>
      <c r="KEQ41" s="562"/>
      <c r="KER41" s="562"/>
      <c r="KES41" s="562"/>
      <c r="KET41" s="562"/>
      <c r="KEU41" s="562"/>
      <c r="KEV41" s="562"/>
      <c r="KEW41" s="562"/>
      <c r="KEX41" s="562"/>
      <c r="KEY41" s="562"/>
      <c r="KEZ41" s="562"/>
      <c r="KFA41" s="562"/>
      <c r="KFB41" s="562"/>
      <c r="KFC41" s="562"/>
      <c r="KFD41" s="562"/>
      <c r="KFE41" s="562"/>
      <c r="KFF41" s="562"/>
      <c r="KFG41" s="562"/>
      <c r="KFH41" s="562"/>
      <c r="KFI41" s="562"/>
      <c r="KFJ41" s="562"/>
      <c r="KFK41" s="562"/>
      <c r="KFL41" s="562"/>
      <c r="KFM41" s="562"/>
      <c r="KFN41" s="562"/>
      <c r="KFO41" s="562"/>
      <c r="KFP41" s="562"/>
      <c r="KFQ41" s="562"/>
      <c r="KFR41" s="562"/>
      <c r="KFS41" s="562"/>
      <c r="KFT41" s="562"/>
      <c r="KFU41" s="562"/>
      <c r="KFV41" s="562"/>
      <c r="KFW41" s="562"/>
      <c r="KFX41" s="562"/>
      <c r="KFY41" s="562"/>
      <c r="KFZ41" s="562"/>
      <c r="KGA41" s="562"/>
      <c r="KGB41" s="562"/>
      <c r="KGC41" s="562"/>
      <c r="KGD41" s="562"/>
      <c r="KGE41" s="562"/>
      <c r="KGF41" s="562"/>
      <c r="KGG41" s="562"/>
      <c r="KGH41" s="562"/>
      <c r="KGI41" s="562"/>
      <c r="KGJ41" s="562"/>
      <c r="KGK41" s="562"/>
      <c r="KGL41" s="562"/>
      <c r="KGM41" s="562"/>
      <c r="KGN41" s="562"/>
      <c r="KGO41" s="562"/>
      <c r="KGP41" s="562"/>
      <c r="KGQ41" s="562"/>
      <c r="KGR41" s="562"/>
      <c r="KGS41" s="562"/>
      <c r="KGT41" s="562"/>
      <c r="KGU41" s="562"/>
      <c r="KGV41" s="562"/>
      <c r="KGW41" s="562"/>
      <c r="KGX41" s="562"/>
      <c r="KGY41" s="562"/>
      <c r="KGZ41" s="562"/>
      <c r="KHA41" s="562"/>
      <c r="KHB41" s="562"/>
      <c r="KHC41" s="562"/>
      <c r="KHD41" s="562"/>
      <c r="KHE41" s="562"/>
      <c r="KHF41" s="562"/>
      <c r="KHG41" s="562"/>
      <c r="KHH41" s="562"/>
      <c r="KHI41" s="562"/>
      <c r="KHJ41" s="562"/>
      <c r="KHK41" s="562"/>
      <c r="KHL41" s="562"/>
      <c r="KHM41" s="562"/>
      <c r="KHN41" s="562"/>
      <c r="KHO41" s="562"/>
      <c r="KHP41" s="562"/>
      <c r="KHQ41" s="562"/>
      <c r="KHR41" s="562"/>
      <c r="KHS41" s="562"/>
      <c r="KHT41" s="562"/>
      <c r="KHU41" s="562"/>
      <c r="KHV41" s="562"/>
      <c r="KHW41" s="562"/>
      <c r="KHX41" s="562"/>
      <c r="KHY41" s="562"/>
      <c r="KHZ41" s="562"/>
      <c r="KIA41" s="562"/>
      <c r="KIB41" s="562"/>
      <c r="KIC41" s="562"/>
      <c r="KID41" s="562"/>
      <c r="KIE41" s="562"/>
      <c r="KIF41" s="562"/>
      <c r="KIG41" s="562"/>
      <c r="KIH41" s="562"/>
      <c r="KII41" s="562"/>
      <c r="KIJ41" s="562"/>
      <c r="KIK41" s="562"/>
      <c r="KIL41" s="562"/>
      <c r="KIM41" s="562"/>
      <c r="KIN41" s="562"/>
      <c r="KIO41" s="562"/>
      <c r="KIP41" s="562"/>
      <c r="KIQ41" s="562"/>
      <c r="KIR41" s="562"/>
      <c r="KIS41" s="562"/>
      <c r="KIT41" s="562"/>
      <c r="KIU41" s="562"/>
      <c r="KIV41" s="562"/>
      <c r="KIW41" s="562"/>
      <c r="KIX41" s="562"/>
      <c r="KIY41" s="562"/>
      <c r="KIZ41" s="562"/>
      <c r="KJA41" s="562"/>
      <c r="KJB41" s="562"/>
      <c r="KJC41" s="562"/>
      <c r="KJD41" s="562"/>
      <c r="KJE41" s="562"/>
      <c r="KJF41" s="562"/>
      <c r="KJG41" s="562"/>
      <c r="KJH41" s="562"/>
      <c r="KJI41" s="562"/>
      <c r="KJJ41" s="562"/>
      <c r="KJK41" s="562"/>
      <c r="KJL41" s="562"/>
      <c r="KJM41" s="562"/>
      <c r="KJN41" s="562"/>
      <c r="KJO41" s="562"/>
      <c r="KJP41" s="562"/>
      <c r="KJQ41" s="562"/>
      <c r="KJR41" s="562"/>
      <c r="KJS41" s="562"/>
      <c r="KJT41" s="562"/>
      <c r="KJU41" s="562"/>
      <c r="KJV41" s="562"/>
      <c r="KJW41" s="562"/>
      <c r="KJX41" s="562"/>
      <c r="KJY41" s="562"/>
      <c r="KJZ41" s="562"/>
      <c r="KKA41" s="562"/>
      <c r="KKB41" s="562"/>
      <c r="KKC41" s="562"/>
      <c r="KKD41" s="562"/>
      <c r="KKE41" s="562"/>
      <c r="KKF41" s="562"/>
      <c r="KKG41" s="562"/>
      <c r="KKH41" s="562"/>
      <c r="KKI41" s="562"/>
      <c r="KKJ41" s="562"/>
      <c r="KKK41" s="562"/>
      <c r="KKL41" s="562"/>
      <c r="KKM41" s="562"/>
      <c r="KKN41" s="562"/>
      <c r="KKO41" s="562"/>
      <c r="KKP41" s="562"/>
      <c r="KKQ41" s="562"/>
      <c r="KKR41" s="562"/>
      <c r="KKS41" s="562"/>
      <c r="KKT41" s="562"/>
      <c r="KKU41" s="562"/>
      <c r="KKV41" s="562"/>
      <c r="KKW41" s="562"/>
      <c r="KKX41" s="562"/>
      <c r="KKY41" s="562"/>
      <c r="KKZ41" s="562"/>
      <c r="KLA41" s="562"/>
      <c r="KLB41" s="562"/>
      <c r="KLC41" s="562"/>
      <c r="KLD41" s="562"/>
      <c r="KLE41" s="562"/>
      <c r="KLF41" s="562"/>
      <c r="KLG41" s="562"/>
      <c r="KLH41" s="562"/>
      <c r="KLI41" s="562"/>
      <c r="KLJ41" s="562"/>
      <c r="KLK41" s="562"/>
      <c r="KLL41" s="562"/>
      <c r="KLM41" s="562"/>
      <c r="KLN41" s="562"/>
      <c r="KLO41" s="562"/>
      <c r="KLP41" s="562"/>
      <c r="KLQ41" s="562"/>
      <c r="KLR41" s="562"/>
      <c r="KLS41" s="562"/>
      <c r="KLT41" s="562"/>
      <c r="KLU41" s="562"/>
      <c r="KLV41" s="562"/>
      <c r="KLW41" s="562"/>
      <c r="KLX41" s="562"/>
      <c r="KLY41" s="562"/>
      <c r="KLZ41" s="562"/>
      <c r="KMA41" s="562"/>
      <c r="KMB41" s="562"/>
      <c r="KMC41" s="562"/>
      <c r="KMD41" s="562"/>
      <c r="KME41" s="562"/>
      <c r="KMF41" s="562"/>
      <c r="KMG41" s="562"/>
      <c r="KMH41" s="562"/>
      <c r="KMI41" s="562"/>
      <c r="KMJ41" s="562"/>
      <c r="KMK41" s="562"/>
      <c r="KML41" s="562"/>
      <c r="KMM41" s="562"/>
      <c r="KMN41" s="562"/>
      <c r="KMO41" s="562"/>
      <c r="KMP41" s="562"/>
      <c r="KMQ41" s="562"/>
      <c r="KMR41" s="562"/>
      <c r="KMS41" s="562"/>
      <c r="KMT41" s="562"/>
      <c r="KMU41" s="562"/>
      <c r="KMV41" s="562"/>
      <c r="KMW41" s="562"/>
      <c r="KMX41" s="562"/>
      <c r="KMY41" s="562"/>
      <c r="KMZ41" s="562"/>
      <c r="KNA41" s="562"/>
      <c r="KNB41" s="562"/>
      <c r="KNC41" s="562"/>
      <c r="KND41" s="562"/>
      <c r="KNE41" s="562"/>
      <c r="KNF41" s="562"/>
      <c r="KNG41" s="562"/>
      <c r="KNH41" s="562"/>
      <c r="KNI41" s="562"/>
      <c r="KNJ41" s="562"/>
      <c r="KNK41" s="562"/>
      <c r="KNL41" s="562"/>
      <c r="KNM41" s="562"/>
      <c r="KNN41" s="562"/>
      <c r="KNO41" s="562"/>
      <c r="KNP41" s="562"/>
      <c r="KNQ41" s="562"/>
      <c r="KNR41" s="562"/>
      <c r="KNS41" s="562"/>
      <c r="KNT41" s="562"/>
      <c r="KNU41" s="562"/>
      <c r="KNV41" s="562"/>
      <c r="KNW41" s="562"/>
      <c r="KNX41" s="562"/>
      <c r="KNY41" s="562"/>
      <c r="KNZ41" s="562"/>
      <c r="KOA41" s="562"/>
      <c r="KOB41" s="562"/>
      <c r="KOC41" s="562"/>
      <c r="KOD41" s="562"/>
      <c r="KOE41" s="562"/>
      <c r="KOF41" s="562"/>
      <c r="KOG41" s="562"/>
      <c r="KOH41" s="562"/>
      <c r="KOI41" s="562"/>
      <c r="KOJ41" s="562"/>
      <c r="KOK41" s="562"/>
      <c r="KOL41" s="562"/>
      <c r="KOM41" s="562"/>
      <c r="KON41" s="562"/>
      <c r="KOO41" s="562"/>
      <c r="KOP41" s="562"/>
      <c r="KOQ41" s="562"/>
      <c r="KOR41" s="562"/>
      <c r="KOS41" s="562"/>
      <c r="KOT41" s="562"/>
      <c r="KOU41" s="562"/>
      <c r="KOV41" s="562"/>
      <c r="KOW41" s="562"/>
      <c r="KOX41" s="562"/>
      <c r="KOY41" s="562"/>
      <c r="KOZ41" s="562"/>
      <c r="KPA41" s="562"/>
      <c r="KPB41" s="562"/>
      <c r="KPC41" s="562"/>
      <c r="KPD41" s="562"/>
      <c r="KPE41" s="562"/>
      <c r="KPF41" s="562"/>
      <c r="KPG41" s="562"/>
      <c r="KPH41" s="562"/>
      <c r="KPI41" s="562"/>
      <c r="KPJ41" s="562"/>
      <c r="KPK41" s="562"/>
      <c r="KPL41" s="562"/>
      <c r="KPM41" s="562"/>
      <c r="KPN41" s="562"/>
      <c r="KPO41" s="562"/>
      <c r="KPP41" s="562"/>
      <c r="KPQ41" s="562"/>
      <c r="KPR41" s="562"/>
      <c r="KPS41" s="562"/>
      <c r="KPT41" s="562"/>
      <c r="KPU41" s="562"/>
      <c r="KPV41" s="562"/>
      <c r="KPW41" s="562"/>
      <c r="KPX41" s="562"/>
      <c r="KPY41" s="562"/>
      <c r="KPZ41" s="562"/>
      <c r="KQA41" s="562"/>
      <c r="KQB41" s="562"/>
      <c r="KQC41" s="562"/>
      <c r="KQD41" s="562"/>
      <c r="KQE41" s="562"/>
      <c r="KQF41" s="562"/>
      <c r="KQG41" s="562"/>
      <c r="KQH41" s="562"/>
      <c r="KQI41" s="562"/>
      <c r="KQJ41" s="562"/>
      <c r="KQK41" s="562"/>
      <c r="KQL41" s="562"/>
      <c r="KQM41" s="562"/>
      <c r="KQN41" s="562"/>
      <c r="KQO41" s="562"/>
      <c r="KQP41" s="562"/>
      <c r="KQQ41" s="562"/>
      <c r="KQR41" s="562"/>
      <c r="KQS41" s="562"/>
      <c r="KQT41" s="562"/>
      <c r="KQU41" s="562"/>
      <c r="KQV41" s="562"/>
      <c r="KQW41" s="562"/>
      <c r="KQX41" s="562"/>
      <c r="KQY41" s="562"/>
      <c r="KQZ41" s="562"/>
      <c r="KRA41" s="562"/>
      <c r="KRB41" s="562"/>
      <c r="KRC41" s="562"/>
      <c r="KRD41" s="562"/>
      <c r="KRE41" s="562"/>
      <c r="KRF41" s="562"/>
      <c r="KRG41" s="562"/>
      <c r="KRH41" s="562"/>
      <c r="KRI41" s="562"/>
      <c r="KRJ41" s="562"/>
      <c r="KRK41" s="562"/>
      <c r="KRL41" s="562"/>
      <c r="KRM41" s="562"/>
      <c r="KRN41" s="562"/>
      <c r="KRO41" s="562"/>
      <c r="KRP41" s="562"/>
      <c r="KRQ41" s="562"/>
      <c r="KRR41" s="562"/>
      <c r="KRS41" s="562"/>
      <c r="KRT41" s="562"/>
      <c r="KRU41" s="562"/>
      <c r="KRV41" s="562"/>
      <c r="KRW41" s="562"/>
      <c r="KRX41" s="562"/>
      <c r="KRY41" s="562"/>
      <c r="KRZ41" s="562"/>
      <c r="KSA41" s="562"/>
      <c r="KSB41" s="562"/>
      <c r="KSC41" s="562"/>
      <c r="KSD41" s="562"/>
      <c r="KSE41" s="562"/>
      <c r="KSF41" s="562"/>
      <c r="KSG41" s="562"/>
      <c r="KSH41" s="562"/>
      <c r="KSI41" s="562"/>
      <c r="KSJ41" s="562"/>
      <c r="KSK41" s="562"/>
      <c r="KSL41" s="562"/>
      <c r="KSM41" s="562"/>
      <c r="KSN41" s="562"/>
      <c r="KSO41" s="562"/>
      <c r="KSP41" s="562"/>
      <c r="KSQ41" s="562"/>
      <c r="KSR41" s="562"/>
      <c r="KSS41" s="562"/>
      <c r="KST41" s="562"/>
      <c r="KSU41" s="562"/>
      <c r="KSV41" s="562"/>
      <c r="KSW41" s="562"/>
      <c r="KSX41" s="562"/>
      <c r="KSY41" s="562"/>
      <c r="KSZ41" s="562"/>
      <c r="KTA41" s="562"/>
      <c r="KTB41" s="562"/>
      <c r="KTC41" s="562"/>
      <c r="KTD41" s="562"/>
      <c r="KTE41" s="562"/>
      <c r="KTF41" s="562"/>
      <c r="KTG41" s="562"/>
      <c r="KTH41" s="562"/>
      <c r="KTI41" s="562"/>
      <c r="KTJ41" s="562"/>
      <c r="KTK41" s="562"/>
      <c r="KTL41" s="562"/>
      <c r="KTM41" s="562"/>
      <c r="KTN41" s="562"/>
      <c r="KTO41" s="562"/>
      <c r="KTP41" s="562"/>
      <c r="KTQ41" s="562"/>
      <c r="KTR41" s="562"/>
      <c r="KTS41" s="562"/>
      <c r="KTT41" s="562"/>
      <c r="KTU41" s="562"/>
      <c r="KTV41" s="562"/>
      <c r="KTW41" s="562"/>
      <c r="KTX41" s="562"/>
      <c r="KTY41" s="562"/>
      <c r="KTZ41" s="562"/>
      <c r="KUA41" s="562"/>
      <c r="KUB41" s="562"/>
      <c r="KUC41" s="562"/>
      <c r="KUD41" s="562"/>
      <c r="KUE41" s="562"/>
      <c r="KUF41" s="562"/>
      <c r="KUG41" s="562"/>
      <c r="KUH41" s="562"/>
      <c r="KUI41" s="562"/>
      <c r="KUJ41" s="562"/>
      <c r="KUK41" s="562"/>
      <c r="KUL41" s="562"/>
      <c r="KUM41" s="562"/>
      <c r="KUN41" s="562"/>
      <c r="KUO41" s="562"/>
      <c r="KUP41" s="562"/>
      <c r="KUQ41" s="562"/>
      <c r="KUR41" s="562"/>
      <c r="KUS41" s="562"/>
      <c r="KUT41" s="562"/>
      <c r="KUU41" s="562"/>
      <c r="KUV41" s="562"/>
      <c r="KUW41" s="562"/>
      <c r="KUX41" s="562"/>
      <c r="KUY41" s="562"/>
      <c r="KUZ41" s="562"/>
      <c r="KVA41" s="562"/>
      <c r="KVB41" s="562"/>
      <c r="KVC41" s="562"/>
      <c r="KVD41" s="562"/>
      <c r="KVE41" s="562"/>
      <c r="KVF41" s="562"/>
      <c r="KVG41" s="562"/>
      <c r="KVH41" s="562"/>
      <c r="KVI41" s="562"/>
      <c r="KVJ41" s="562"/>
      <c r="KVK41" s="562"/>
      <c r="KVL41" s="562"/>
      <c r="KVM41" s="562"/>
      <c r="KVN41" s="562"/>
      <c r="KVO41" s="562"/>
      <c r="KVP41" s="562"/>
      <c r="KVQ41" s="562"/>
      <c r="KVR41" s="562"/>
      <c r="KVS41" s="562"/>
      <c r="KVT41" s="562"/>
      <c r="KVU41" s="562"/>
      <c r="KVV41" s="562"/>
      <c r="KVW41" s="562"/>
      <c r="KVX41" s="562"/>
      <c r="KVY41" s="562"/>
      <c r="KVZ41" s="562"/>
      <c r="KWA41" s="562"/>
      <c r="KWB41" s="562"/>
      <c r="KWC41" s="562"/>
      <c r="KWD41" s="562"/>
      <c r="KWE41" s="562"/>
      <c r="KWF41" s="562"/>
      <c r="KWG41" s="562"/>
      <c r="KWH41" s="562"/>
      <c r="KWI41" s="562"/>
      <c r="KWJ41" s="562"/>
      <c r="KWK41" s="562"/>
      <c r="KWL41" s="562"/>
      <c r="KWM41" s="562"/>
      <c r="KWN41" s="562"/>
      <c r="KWO41" s="562"/>
      <c r="KWP41" s="562"/>
      <c r="KWQ41" s="562"/>
      <c r="KWR41" s="562"/>
      <c r="KWS41" s="562"/>
      <c r="KWT41" s="562"/>
      <c r="KWU41" s="562"/>
      <c r="KWV41" s="562"/>
      <c r="KWW41" s="562"/>
      <c r="KWX41" s="562"/>
      <c r="KWY41" s="562"/>
      <c r="KWZ41" s="562"/>
      <c r="KXA41" s="562"/>
      <c r="KXB41" s="562"/>
      <c r="KXC41" s="562"/>
      <c r="KXD41" s="562"/>
      <c r="KXE41" s="562"/>
      <c r="KXF41" s="562"/>
      <c r="KXG41" s="562"/>
      <c r="KXH41" s="562"/>
      <c r="KXI41" s="562"/>
      <c r="KXJ41" s="562"/>
      <c r="KXK41" s="562"/>
      <c r="KXL41" s="562"/>
      <c r="KXM41" s="562"/>
      <c r="KXN41" s="562"/>
      <c r="KXO41" s="562"/>
      <c r="KXP41" s="562"/>
      <c r="KXQ41" s="562"/>
      <c r="KXR41" s="562"/>
      <c r="KXS41" s="562"/>
      <c r="KXT41" s="562"/>
      <c r="KXU41" s="562"/>
      <c r="KXV41" s="562"/>
      <c r="KXW41" s="562"/>
      <c r="KXX41" s="562"/>
      <c r="KXY41" s="562"/>
      <c r="KXZ41" s="562"/>
      <c r="KYA41" s="562"/>
      <c r="KYB41" s="562"/>
      <c r="KYC41" s="562"/>
      <c r="KYD41" s="562"/>
      <c r="KYE41" s="562"/>
      <c r="KYF41" s="562"/>
      <c r="KYG41" s="562"/>
      <c r="KYH41" s="562"/>
      <c r="KYI41" s="562"/>
      <c r="KYJ41" s="562"/>
      <c r="KYK41" s="562"/>
      <c r="KYL41" s="562"/>
      <c r="KYM41" s="562"/>
      <c r="KYN41" s="562"/>
      <c r="KYO41" s="562"/>
      <c r="KYP41" s="562"/>
      <c r="KYQ41" s="562"/>
      <c r="KYR41" s="562"/>
      <c r="KYS41" s="562"/>
      <c r="KYT41" s="562"/>
      <c r="KYU41" s="562"/>
      <c r="KYV41" s="562"/>
      <c r="KYW41" s="562"/>
      <c r="KYX41" s="562"/>
      <c r="KYY41" s="562"/>
      <c r="KYZ41" s="562"/>
      <c r="KZA41" s="562"/>
      <c r="KZB41" s="562"/>
      <c r="KZC41" s="562"/>
      <c r="KZD41" s="562"/>
      <c r="KZE41" s="562"/>
      <c r="KZF41" s="562"/>
      <c r="KZG41" s="562"/>
      <c r="KZH41" s="562"/>
      <c r="KZI41" s="562"/>
      <c r="KZJ41" s="562"/>
      <c r="KZK41" s="562"/>
      <c r="KZL41" s="562"/>
      <c r="KZM41" s="562"/>
      <c r="KZN41" s="562"/>
      <c r="KZO41" s="562"/>
      <c r="KZP41" s="562"/>
      <c r="KZQ41" s="562"/>
      <c r="KZR41" s="562"/>
      <c r="KZS41" s="562"/>
      <c r="KZT41" s="562"/>
      <c r="KZU41" s="562"/>
      <c r="KZV41" s="562"/>
      <c r="KZW41" s="562"/>
      <c r="KZX41" s="562"/>
      <c r="KZY41" s="562"/>
      <c r="KZZ41" s="562"/>
      <c r="LAA41" s="562"/>
      <c r="LAB41" s="562"/>
      <c r="LAC41" s="562"/>
      <c r="LAD41" s="562"/>
      <c r="LAE41" s="562"/>
      <c r="LAF41" s="562"/>
      <c r="LAG41" s="562"/>
      <c r="LAH41" s="562"/>
      <c r="LAI41" s="562"/>
      <c r="LAJ41" s="562"/>
      <c r="LAK41" s="562"/>
      <c r="LAL41" s="562"/>
      <c r="LAM41" s="562"/>
      <c r="LAN41" s="562"/>
      <c r="LAO41" s="562"/>
      <c r="LAP41" s="562"/>
      <c r="LAQ41" s="562"/>
      <c r="LAR41" s="562"/>
      <c r="LAS41" s="562"/>
      <c r="LAT41" s="562"/>
      <c r="LAU41" s="562"/>
      <c r="LAV41" s="562"/>
      <c r="LAW41" s="562"/>
      <c r="LAX41" s="562"/>
      <c r="LAY41" s="562"/>
      <c r="LAZ41" s="562"/>
      <c r="LBA41" s="562"/>
      <c r="LBB41" s="562"/>
      <c r="LBC41" s="562"/>
      <c r="LBD41" s="562"/>
      <c r="LBE41" s="562"/>
      <c r="LBF41" s="562"/>
      <c r="LBG41" s="562"/>
      <c r="LBH41" s="562"/>
      <c r="LBI41" s="562"/>
      <c r="LBJ41" s="562"/>
      <c r="LBK41" s="562"/>
      <c r="LBL41" s="562"/>
      <c r="LBM41" s="562"/>
      <c r="LBN41" s="562"/>
      <c r="LBO41" s="562"/>
      <c r="LBP41" s="562"/>
      <c r="LBQ41" s="562"/>
      <c r="LBR41" s="562"/>
      <c r="LBS41" s="562"/>
      <c r="LBT41" s="562"/>
      <c r="LBU41" s="562"/>
      <c r="LBV41" s="562"/>
      <c r="LBW41" s="562"/>
      <c r="LBX41" s="562"/>
      <c r="LBY41" s="562"/>
      <c r="LBZ41" s="562"/>
      <c r="LCA41" s="562"/>
      <c r="LCB41" s="562"/>
      <c r="LCC41" s="562"/>
      <c r="LCD41" s="562"/>
      <c r="LCE41" s="562"/>
      <c r="LCF41" s="562"/>
      <c r="LCG41" s="562"/>
      <c r="LCH41" s="562"/>
      <c r="LCI41" s="562"/>
      <c r="LCJ41" s="562"/>
      <c r="LCK41" s="562"/>
      <c r="LCL41" s="562"/>
      <c r="LCM41" s="562"/>
      <c r="LCN41" s="562"/>
      <c r="LCO41" s="562"/>
      <c r="LCP41" s="562"/>
      <c r="LCQ41" s="562"/>
      <c r="LCR41" s="562"/>
      <c r="LCS41" s="562"/>
      <c r="LCT41" s="562"/>
      <c r="LCU41" s="562"/>
      <c r="LCV41" s="562"/>
      <c r="LCW41" s="562"/>
      <c r="LCX41" s="562"/>
      <c r="LCY41" s="562"/>
      <c r="LCZ41" s="562"/>
      <c r="LDA41" s="562"/>
      <c r="LDB41" s="562"/>
      <c r="LDC41" s="562"/>
      <c r="LDD41" s="562"/>
      <c r="LDE41" s="562"/>
      <c r="LDF41" s="562"/>
      <c r="LDG41" s="562"/>
      <c r="LDH41" s="562"/>
      <c r="LDI41" s="562"/>
      <c r="LDJ41" s="562"/>
      <c r="LDK41" s="562"/>
      <c r="LDL41" s="562"/>
      <c r="LDM41" s="562"/>
      <c r="LDN41" s="562"/>
      <c r="LDO41" s="562"/>
      <c r="LDP41" s="562"/>
      <c r="LDQ41" s="562"/>
      <c r="LDR41" s="562"/>
      <c r="LDS41" s="562"/>
      <c r="LDT41" s="562"/>
      <c r="LDU41" s="562"/>
      <c r="LDV41" s="562"/>
      <c r="LDW41" s="562"/>
      <c r="LDX41" s="562"/>
      <c r="LDY41" s="562"/>
      <c r="LDZ41" s="562"/>
      <c r="LEA41" s="562"/>
      <c r="LEB41" s="562"/>
      <c r="LEC41" s="562"/>
      <c r="LED41" s="562"/>
      <c r="LEE41" s="562"/>
      <c r="LEF41" s="562"/>
      <c r="LEG41" s="562"/>
      <c r="LEH41" s="562"/>
      <c r="LEI41" s="562"/>
      <c r="LEJ41" s="562"/>
      <c r="LEK41" s="562"/>
      <c r="LEL41" s="562"/>
      <c r="LEM41" s="562"/>
      <c r="LEN41" s="562"/>
      <c r="LEO41" s="562"/>
      <c r="LEP41" s="562"/>
      <c r="LEQ41" s="562"/>
      <c r="LER41" s="562"/>
      <c r="LES41" s="562"/>
      <c r="LET41" s="562"/>
      <c r="LEU41" s="562"/>
      <c r="LEV41" s="562"/>
      <c r="LEW41" s="562"/>
      <c r="LEX41" s="562"/>
      <c r="LEY41" s="562"/>
      <c r="LEZ41" s="562"/>
      <c r="LFA41" s="562"/>
      <c r="LFB41" s="562"/>
      <c r="LFC41" s="562"/>
      <c r="LFD41" s="562"/>
      <c r="LFE41" s="562"/>
      <c r="LFF41" s="562"/>
      <c r="LFG41" s="562"/>
      <c r="LFH41" s="562"/>
      <c r="LFI41" s="562"/>
      <c r="LFJ41" s="562"/>
      <c r="LFK41" s="562"/>
      <c r="LFL41" s="562"/>
      <c r="LFM41" s="562"/>
      <c r="LFN41" s="562"/>
      <c r="LFO41" s="562"/>
      <c r="LFP41" s="562"/>
      <c r="LFQ41" s="562"/>
      <c r="LFR41" s="562"/>
      <c r="LFS41" s="562"/>
      <c r="LFT41" s="562"/>
      <c r="LFU41" s="562"/>
      <c r="LFV41" s="562"/>
      <c r="LFW41" s="562"/>
      <c r="LFX41" s="562"/>
      <c r="LFY41" s="562"/>
      <c r="LFZ41" s="562"/>
      <c r="LGA41" s="562"/>
      <c r="LGB41" s="562"/>
      <c r="LGC41" s="562"/>
      <c r="LGD41" s="562"/>
      <c r="LGE41" s="562"/>
      <c r="LGF41" s="562"/>
      <c r="LGG41" s="562"/>
      <c r="LGH41" s="562"/>
      <c r="LGI41" s="562"/>
      <c r="LGJ41" s="562"/>
      <c r="LGK41" s="562"/>
      <c r="LGL41" s="562"/>
      <c r="LGM41" s="562"/>
      <c r="LGN41" s="562"/>
      <c r="LGO41" s="562"/>
      <c r="LGP41" s="562"/>
      <c r="LGQ41" s="562"/>
      <c r="LGR41" s="562"/>
      <c r="LGS41" s="562"/>
      <c r="LGT41" s="562"/>
      <c r="LGU41" s="562"/>
      <c r="LGV41" s="562"/>
      <c r="LGW41" s="562"/>
      <c r="LGX41" s="562"/>
      <c r="LGY41" s="562"/>
      <c r="LGZ41" s="562"/>
      <c r="LHA41" s="562"/>
      <c r="LHB41" s="562"/>
      <c r="LHC41" s="562"/>
      <c r="LHD41" s="562"/>
      <c r="LHE41" s="562"/>
      <c r="LHF41" s="562"/>
      <c r="LHG41" s="562"/>
      <c r="LHH41" s="562"/>
      <c r="LHI41" s="562"/>
      <c r="LHJ41" s="562"/>
      <c r="LHK41" s="562"/>
      <c r="LHL41" s="562"/>
      <c r="LHM41" s="562"/>
      <c r="LHN41" s="562"/>
      <c r="LHO41" s="562"/>
      <c r="LHP41" s="562"/>
      <c r="LHQ41" s="562"/>
      <c r="LHR41" s="562"/>
      <c r="LHS41" s="562"/>
      <c r="LHT41" s="562"/>
      <c r="LHU41" s="562"/>
      <c r="LHV41" s="562"/>
      <c r="LHW41" s="562"/>
      <c r="LHX41" s="562"/>
      <c r="LHY41" s="562"/>
      <c r="LHZ41" s="562"/>
      <c r="LIA41" s="562"/>
      <c r="LIB41" s="562"/>
      <c r="LIC41" s="562"/>
      <c r="LID41" s="562"/>
      <c r="LIE41" s="562"/>
      <c r="LIF41" s="562"/>
      <c r="LIG41" s="562"/>
      <c r="LIH41" s="562"/>
      <c r="LII41" s="562"/>
      <c r="LIJ41" s="562"/>
      <c r="LIK41" s="562"/>
      <c r="LIL41" s="562"/>
      <c r="LIM41" s="562"/>
      <c r="LIN41" s="562"/>
      <c r="LIO41" s="562"/>
      <c r="LIP41" s="562"/>
      <c r="LIQ41" s="562"/>
      <c r="LIR41" s="562"/>
      <c r="LIS41" s="562"/>
      <c r="LIT41" s="562"/>
      <c r="LIU41" s="562"/>
      <c r="LIV41" s="562"/>
      <c r="LIW41" s="562"/>
      <c r="LIX41" s="562"/>
      <c r="LIY41" s="562"/>
      <c r="LIZ41" s="562"/>
      <c r="LJA41" s="562"/>
      <c r="LJB41" s="562"/>
      <c r="LJC41" s="562"/>
      <c r="LJD41" s="562"/>
      <c r="LJE41" s="562"/>
      <c r="LJF41" s="562"/>
      <c r="LJG41" s="562"/>
      <c r="LJH41" s="562"/>
      <c r="LJI41" s="562"/>
      <c r="LJJ41" s="562"/>
      <c r="LJK41" s="562"/>
      <c r="LJL41" s="562"/>
      <c r="LJM41" s="562"/>
      <c r="LJN41" s="562"/>
      <c r="LJO41" s="562"/>
      <c r="LJP41" s="562"/>
      <c r="LJQ41" s="562"/>
      <c r="LJR41" s="562"/>
      <c r="LJS41" s="562"/>
      <c r="LJT41" s="562"/>
      <c r="LJU41" s="562"/>
      <c r="LJV41" s="562"/>
      <c r="LJW41" s="562"/>
      <c r="LJX41" s="562"/>
      <c r="LJY41" s="562"/>
      <c r="LJZ41" s="562"/>
      <c r="LKA41" s="562"/>
      <c r="LKB41" s="562"/>
      <c r="LKC41" s="562"/>
      <c r="LKD41" s="562"/>
      <c r="LKE41" s="562"/>
      <c r="LKF41" s="562"/>
      <c r="LKG41" s="562"/>
      <c r="LKH41" s="562"/>
      <c r="LKI41" s="562"/>
      <c r="LKJ41" s="562"/>
      <c r="LKK41" s="562"/>
      <c r="LKL41" s="562"/>
      <c r="LKM41" s="562"/>
      <c r="LKN41" s="562"/>
      <c r="LKO41" s="562"/>
      <c r="LKP41" s="562"/>
      <c r="LKQ41" s="562"/>
      <c r="LKR41" s="562"/>
      <c r="LKS41" s="562"/>
      <c r="LKT41" s="562"/>
      <c r="LKU41" s="562"/>
      <c r="LKV41" s="562"/>
      <c r="LKW41" s="562"/>
      <c r="LKX41" s="562"/>
      <c r="LKY41" s="562"/>
      <c r="LKZ41" s="562"/>
      <c r="LLA41" s="562"/>
      <c r="LLB41" s="562"/>
      <c r="LLC41" s="562"/>
      <c r="LLD41" s="562"/>
      <c r="LLE41" s="562"/>
      <c r="LLF41" s="562"/>
      <c r="LLG41" s="562"/>
      <c r="LLH41" s="562"/>
      <c r="LLI41" s="562"/>
      <c r="LLJ41" s="562"/>
      <c r="LLK41" s="562"/>
      <c r="LLL41" s="562"/>
      <c r="LLM41" s="562"/>
      <c r="LLN41" s="562"/>
      <c r="LLO41" s="562"/>
      <c r="LLP41" s="562"/>
      <c r="LLQ41" s="562"/>
      <c r="LLR41" s="562"/>
      <c r="LLS41" s="562"/>
      <c r="LLT41" s="562"/>
      <c r="LLU41" s="562"/>
      <c r="LLV41" s="562"/>
      <c r="LLW41" s="562"/>
      <c r="LLX41" s="562"/>
      <c r="LLY41" s="562"/>
      <c r="LLZ41" s="562"/>
      <c r="LMA41" s="562"/>
      <c r="LMB41" s="562"/>
      <c r="LMC41" s="562"/>
      <c r="LMD41" s="562"/>
      <c r="LME41" s="562"/>
      <c r="LMF41" s="562"/>
      <c r="LMG41" s="562"/>
      <c r="LMH41" s="562"/>
      <c r="LMI41" s="562"/>
      <c r="LMJ41" s="562"/>
      <c r="LMK41" s="562"/>
      <c r="LML41" s="562"/>
      <c r="LMM41" s="562"/>
      <c r="LMN41" s="562"/>
      <c r="LMO41" s="562"/>
      <c r="LMP41" s="562"/>
      <c r="LMQ41" s="562"/>
      <c r="LMR41" s="562"/>
      <c r="LMS41" s="562"/>
      <c r="LMT41" s="562"/>
      <c r="LMU41" s="562"/>
      <c r="LMV41" s="562"/>
      <c r="LMW41" s="562"/>
      <c r="LMX41" s="562"/>
      <c r="LMY41" s="562"/>
      <c r="LMZ41" s="562"/>
      <c r="LNA41" s="562"/>
      <c r="LNB41" s="562"/>
      <c r="LNC41" s="562"/>
      <c r="LND41" s="562"/>
      <c r="LNE41" s="562"/>
      <c r="LNF41" s="562"/>
      <c r="LNG41" s="562"/>
      <c r="LNH41" s="562"/>
      <c r="LNI41" s="562"/>
      <c r="LNJ41" s="562"/>
      <c r="LNK41" s="562"/>
      <c r="LNL41" s="562"/>
      <c r="LNM41" s="562"/>
      <c r="LNN41" s="562"/>
      <c r="LNO41" s="562"/>
      <c r="LNP41" s="562"/>
      <c r="LNQ41" s="562"/>
      <c r="LNR41" s="562"/>
      <c r="LNS41" s="562"/>
      <c r="LNT41" s="562"/>
      <c r="LNU41" s="562"/>
      <c r="LNV41" s="562"/>
      <c r="LNW41" s="562"/>
      <c r="LNX41" s="562"/>
      <c r="LNY41" s="562"/>
      <c r="LNZ41" s="562"/>
      <c r="LOA41" s="562"/>
      <c r="LOB41" s="562"/>
      <c r="LOC41" s="562"/>
      <c r="LOD41" s="562"/>
      <c r="LOE41" s="562"/>
      <c r="LOF41" s="562"/>
      <c r="LOG41" s="562"/>
      <c r="LOH41" s="562"/>
      <c r="LOI41" s="562"/>
      <c r="LOJ41" s="562"/>
      <c r="LOK41" s="562"/>
      <c r="LOL41" s="562"/>
      <c r="LOM41" s="562"/>
      <c r="LON41" s="562"/>
      <c r="LOO41" s="562"/>
      <c r="LOP41" s="562"/>
      <c r="LOQ41" s="562"/>
      <c r="LOR41" s="562"/>
      <c r="LOS41" s="562"/>
      <c r="LOT41" s="562"/>
      <c r="LOU41" s="562"/>
      <c r="LOV41" s="562"/>
      <c r="LOW41" s="562"/>
      <c r="LOX41" s="562"/>
      <c r="LOY41" s="562"/>
      <c r="LOZ41" s="562"/>
      <c r="LPA41" s="562"/>
      <c r="LPB41" s="562"/>
      <c r="LPC41" s="562"/>
      <c r="LPD41" s="562"/>
      <c r="LPE41" s="562"/>
      <c r="LPF41" s="562"/>
      <c r="LPG41" s="562"/>
      <c r="LPH41" s="562"/>
      <c r="LPI41" s="562"/>
      <c r="LPJ41" s="562"/>
      <c r="LPK41" s="562"/>
      <c r="LPL41" s="562"/>
      <c r="LPM41" s="562"/>
      <c r="LPN41" s="562"/>
      <c r="LPO41" s="562"/>
      <c r="LPP41" s="562"/>
      <c r="LPQ41" s="562"/>
      <c r="LPR41" s="562"/>
      <c r="LPS41" s="562"/>
      <c r="LPT41" s="562"/>
      <c r="LPU41" s="562"/>
      <c r="LPV41" s="562"/>
      <c r="LPW41" s="562"/>
      <c r="LPX41" s="562"/>
      <c r="LPY41" s="562"/>
      <c r="LPZ41" s="562"/>
      <c r="LQA41" s="562"/>
      <c r="LQB41" s="562"/>
      <c r="LQC41" s="562"/>
      <c r="LQD41" s="562"/>
      <c r="LQE41" s="562"/>
      <c r="LQF41" s="562"/>
      <c r="LQG41" s="562"/>
      <c r="LQH41" s="562"/>
      <c r="LQI41" s="562"/>
      <c r="LQJ41" s="562"/>
      <c r="LQK41" s="562"/>
      <c r="LQL41" s="562"/>
      <c r="LQM41" s="562"/>
      <c r="LQN41" s="562"/>
      <c r="LQO41" s="562"/>
      <c r="LQP41" s="562"/>
      <c r="LQQ41" s="562"/>
      <c r="LQR41" s="562"/>
      <c r="LQS41" s="562"/>
      <c r="LQT41" s="562"/>
      <c r="LQU41" s="562"/>
      <c r="LQV41" s="562"/>
      <c r="LQW41" s="562"/>
      <c r="LQX41" s="562"/>
      <c r="LQY41" s="562"/>
      <c r="LQZ41" s="562"/>
      <c r="LRA41" s="562"/>
      <c r="LRB41" s="562"/>
      <c r="LRC41" s="562"/>
      <c r="LRD41" s="562"/>
      <c r="LRE41" s="562"/>
      <c r="LRF41" s="562"/>
      <c r="LRG41" s="562"/>
      <c r="LRH41" s="562"/>
      <c r="LRI41" s="562"/>
      <c r="LRJ41" s="562"/>
      <c r="LRK41" s="562"/>
      <c r="LRL41" s="562"/>
      <c r="LRM41" s="562"/>
      <c r="LRN41" s="562"/>
      <c r="LRO41" s="562"/>
      <c r="LRP41" s="562"/>
      <c r="LRQ41" s="562"/>
      <c r="LRR41" s="562"/>
      <c r="LRS41" s="562"/>
      <c r="LRT41" s="562"/>
      <c r="LRU41" s="562"/>
      <c r="LRV41" s="562"/>
      <c r="LRW41" s="562"/>
      <c r="LRX41" s="562"/>
      <c r="LRY41" s="562"/>
      <c r="LRZ41" s="562"/>
      <c r="LSA41" s="562"/>
      <c r="LSB41" s="562"/>
      <c r="LSC41" s="562"/>
      <c r="LSD41" s="562"/>
      <c r="LSE41" s="562"/>
      <c r="LSF41" s="562"/>
      <c r="LSG41" s="562"/>
      <c r="LSH41" s="562"/>
      <c r="LSI41" s="562"/>
      <c r="LSJ41" s="562"/>
      <c r="LSK41" s="562"/>
      <c r="LSL41" s="562"/>
      <c r="LSM41" s="562"/>
      <c r="LSN41" s="562"/>
      <c r="LSO41" s="562"/>
      <c r="LSP41" s="562"/>
      <c r="LSQ41" s="562"/>
      <c r="LSR41" s="562"/>
      <c r="LSS41" s="562"/>
      <c r="LST41" s="562"/>
      <c r="LSU41" s="562"/>
      <c r="LSV41" s="562"/>
      <c r="LSW41" s="562"/>
      <c r="LSX41" s="562"/>
      <c r="LSY41" s="562"/>
      <c r="LSZ41" s="562"/>
      <c r="LTA41" s="562"/>
      <c r="LTB41" s="562"/>
      <c r="LTC41" s="562"/>
      <c r="LTD41" s="562"/>
      <c r="LTE41" s="562"/>
      <c r="LTF41" s="562"/>
      <c r="LTG41" s="562"/>
      <c r="LTH41" s="562"/>
      <c r="LTI41" s="562"/>
      <c r="LTJ41" s="562"/>
      <c r="LTK41" s="562"/>
      <c r="LTL41" s="562"/>
      <c r="LTM41" s="562"/>
      <c r="LTN41" s="562"/>
      <c r="LTO41" s="562"/>
      <c r="LTP41" s="562"/>
      <c r="LTQ41" s="562"/>
      <c r="LTR41" s="562"/>
      <c r="LTS41" s="562"/>
      <c r="LTT41" s="562"/>
      <c r="LTU41" s="562"/>
      <c r="LTV41" s="562"/>
      <c r="LTW41" s="562"/>
      <c r="LTX41" s="562"/>
      <c r="LTY41" s="562"/>
      <c r="LTZ41" s="562"/>
      <c r="LUA41" s="562"/>
      <c r="LUB41" s="562"/>
      <c r="LUC41" s="562"/>
      <c r="LUD41" s="562"/>
      <c r="LUE41" s="562"/>
      <c r="LUF41" s="562"/>
      <c r="LUG41" s="562"/>
      <c r="LUH41" s="562"/>
      <c r="LUI41" s="562"/>
      <c r="LUJ41" s="562"/>
      <c r="LUK41" s="562"/>
      <c r="LUL41" s="562"/>
      <c r="LUM41" s="562"/>
      <c r="LUN41" s="562"/>
      <c r="LUO41" s="562"/>
      <c r="LUP41" s="562"/>
      <c r="LUQ41" s="562"/>
      <c r="LUR41" s="562"/>
      <c r="LUS41" s="562"/>
      <c r="LUT41" s="562"/>
      <c r="LUU41" s="562"/>
      <c r="LUV41" s="562"/>
      <c r="LUW41" s="562"/>
      <c r="LUX41" s="562"/>
      <c r="LUY41" s="562"/>
      <c r="LUZ41" s="562"/>
      <c r="LVA41" s="562"/>
      <c r="LVB41" s="562"/>
      <c r="LVC41" s="562"/>
      <c r="LVD41" s="562"/>
      <c r="LVE41" s="562"/>
      <c r="LVF41" s="562"/>
      <c r="LVG41" s="562"/>
      <c r="LVH41" s="562"/>
      <c r="LVI41" s="562"/>
      <c r="LVJ41" s="562"/>
      <c r="LVK41" s="562"/>
      <c r="LVL41" s="562"/>
      <c r="LVM41" s="562"/>
      <c r="LVN41" s="562"/>
      <c r="LVO41" s="562"/>
      <c r="LVP41" s="562"/>
      <c r="LVQ41" s="562"/>
      <c r="LVR41" s="562"/>
      <c r="LVS41" s="562"/>
      <c r="LVT41" s="562"/>
      <c r="LVU41" s="562"/>
      <c r="LVV41" s="562"/>
      <c r="LVW41" s="562"/>
      <c r="LVX41" s="562"/>
      <c r="LVY41" s="562"/>
      <c r="LVZ41" s="562"/>
      <c r="LWA41" s="562"/>
      <c r="LWB41" s="562"/>
      <c r="LWC41" s="562"/>
      <c r="LWD41" s="562"/>
      <c r="LWE41" s="562"/>
      <c r="LWF41" s="562"/>
      <c r="LWG41" s="562"/>
      <c r="LWH41" s="562"/>
      <c r="LWI41" s="562"/>
      <c r="LWJ41" s="562"/>
      <c r="LWK41" s="562"/>
      <c r="LWL41" s="562"/>
      <c r="LWM41" s="562"/>
      <c r="LWN41" s="562"/>
      <c r="LWO41" s="562"/>
      <c r="LWP41" s="562"/>
      <c r="LWQ41" s="562"/>
      <c r="LWR41" s="562"/>
      <c r="LWS41" s="562"/>
      <c r="LWT41" s="562"/>
      <c r="LWU41" s="562"/>
      <c r="LWV41" s="562"/>
      <c r="LWW41" s="562"/>
      <c r="LWX41" s="562"/>
      <c r="LWY41" s="562"/>
      <c r="LWZ41" s="562"/>
      <c r="LXA41" s="562"/>
      <c r="LXB41" s="562"/>
      <c r="LXC41" s="562"/>
      <c r="LXD41" s="562"/>
      <c r="LXE41" s="562"/>
      <c r="LXF41" s="562"/>
      <c r="LXG41" s="562"/>
      <c r="LXH41" s="562"/>
      <c r="LXI41" s="562"/>
      <c r="LXJ41" s="562"/>
      <c r="LXK41" s="562"/>
      <c r="LXL41" s="562"/>
      <c r="LXM41" s="562"/>
      <c r="LXN41" s="562"/>
      <c r="LXO41" s="562"/>
      <c r="LXP41" s="562"/>
      <c r="LXQ41" s="562"/>
      <c r="LXR41" s="562"/>
      <c r="LXS41" s="562"/>
      <c r="LXT41" s="562"/>
      <c r="LXU41" s="562"/>
      <c r="LXV41" s="562"/>
      <c r="LXW41" s="562"/>
      <c r="LXX41" s="562"/>
      <c r="LXY41" s="562"/>
      <c r="LXZ41" s="562"/>
      <c r="LYA41" s="562"/>
      <c r="LYB41" s="562"/>
      <c r="LYC41" s="562"/>
      <c r="LYD41" s="562"/>
      <c r="LYE41" s="562"/>
      <c r="LYF41" s="562"/>
      <c r="LYG41" s="562"/>
      <c r="LYH41" s="562"/>
      <c r="LYI41" s="562"/>
      <c r="LYJ41" s="562"/>
      <c r="LYK41" s="562"/>
      <c r="LYL41" s="562"/>
      <c r="LYM41" s="562"/>
      <c r="LYN41" s="562"/>
      <c r="LYO41" s="562"/>
      <c r="LYP41" s="562"/>
      <c r="LYQ41" s="562"/>
      <c r="LYR41" s="562"/>
      <c r="LYS41" s="562"/>
      <c r="LYT41" s="562"/>
      <c r="LYU41" s="562"/>
      <c r="LYV41" s="562"/>
      <c r="LYW41" s="562"/>
      <c r="LYX41" s="562"/>
      <c r="LYY41" s="562"/>
      <c r="LYZ41" s="562"/>
      <c r="LZA41" s="562"/>
      <c r="LZB41" s="562"/>
      <c r="LZC41" s="562"/>
      <c r="LZD41" s="562"/>
      <c r="LZE41" s="562"/>
      <c r="LZF41" s="562"/>
      <c r="LZG41" s="562"/>
      <c r="LZH41" s="562"/>
      <c r="LZI41" s="562"/>
      <c r="LZJ41" s="562"/>
      <c r="LZK41" s="562"/>
      <c r="LZL41" s="562"/>
      <c r="LZM41" s="562"/>
      <c r="LZN41" s="562"/>
      <c r="LZO41" s="562"/>
      <c r="LZP41" s="562"/>
      <c r="LZQ41" s="562"/>
      <c r="LZR41" s="562"/>
      <c r="LZS41" s="562"/>
      <c r="LZT41" s="562"/>
      <c r="LZU41" s="562"/>
      <c r="LZV41" s="562"/>
      <c r="LZW41" s="562"/>
      <c r="LZX41" s="562"/>
      <c r="LZY41" s="562"/>
      <c r="LZZ41" s="562"/>
      <c r="MAA41" s="562"/>
      <c r="MAB41" s="562"/>
      <c r="MAC41" s="562"/>
      <c r="MAD41" s="562"/>
      <c r="MAE41" s="562"/>
      <c r="MAF41" s="562"/>
      <c r="MAG41" s="562"/>
      <c r="MAH41" s="562"/>
      <c r="MAI41" s="562"/>
      <c r="MAJ41" s="562"/>
      <c r="MAK41" s="562"/>
      <c r="MAL41" s="562"/>
      <c r="MAM41" s="562"/>
      <c r="MAN41" s="562"/>
      <c r="MAO41" s="562"/>
      <c r="MAP41" s="562"/>
      <c r="MAQ41" s="562"/>
      <c r="MAR41" s="562"/>
      <c r="MAS41" s="562"/>
      <c r="MAT41" s="562"/>
      <c r="MAU41" s="562"/>
      <c r="MAV41" s="562"/>
      <c r="MAW41" s="562"/>
      <c r="MAX41" s="562"/>
      <c r="MAY41" s="562"/>
      <c r="MAZ41" s="562"/>
      <c r="MBA41" s="562"/>
      <c r="MBB41" s="562"/>
      <c r="MBC41" s="562"/>
      <c r="MBD41" s="562"/>
      <c r="MBE41" s="562"/>
      <c r="MBF41" s="562"/>
      <c r="MBG41" s="562"/>
      <c r="MBH41" s="562"/>
      <c r="MBI41" s="562"/>
      <c r="MBJ41" s="562"/>
      <c r="MBK41" s="562"/>
      <c r="MBL41" s="562"/>
      <c r="MBM41" s="562"/>
      <c r="MBN41" s="562"/>
      <c r="MBO41" s="562"/>
      <c r="MBP41" s="562"/>
      <c r="MBQ41" s="562"/>
      <c r="MBR41" s="562"/>
      <c r="MBS41" s="562"/>
      <c r="MBT41" s="562"/>
      <c r="MBU41" s="562"/>
      <c r="MBV41" s="562"/>
      <c r="MBW41" s="562"/>
      <c r="MBX41" s="562"/>
      <c r="MBY41" s="562"/>
      <c r="MBZ41" s="562"/>
      <c r="MCA41" s="562"/>
      <c r="MCB41" s="562"/>
      <c r="MCC41" s="562"/>
      <c r="MCD41" s="562"/>
      <c r="MCE41" s="562"/>
      <c r="MCF41" s="562"/>
      <c r="MCG41" s="562"/>
      <c r="MCH41" s="562"/>
      <c r="MCI41" s="562"/>
      <c r="MCJ41" s="562"/>
      <c r="MCK41" s="562"/>
      <c r="MCL41" s="562"/>
      <c r="MCM41" s="562"/>
      <c r="MCN41" s="562"/>
      <c r="MCO41" s="562"/>
      <c r="MCP41" s="562"/>
      <c r="MCQ41" s="562"/>
      <c r="MCR41" s="562"/>
      <c r="MCS41" s="562"/>
      <c r="MCT41" s="562"/>
      <c r="MCU41" s="562"/>
      <c r="MCV41" s="562"/>
      <c r="MCW41" s="562"/>
      <c r="MCX41" s="562"/>
      <c r="MCY41" s="562"/>
      <c r="MCZ41" s="562"/>
      <c r="MDA41" s="562"/>
      <c r="MDB41" s="562"/>
      <c r="MDC41" s="562"/>
      <c r="MDD41" s="562"/>
      <c r="MDE41" s="562"/>
      <c r="MDF41" s="562"/>
      <c r="MDG41" s="562"/>
      <c r="MDH41" s="562"/>
      <c r="MDI41" s="562"/>
      <c r="MDJ41" s="562"/>
      <c r="MDK41" s="562"/>
      <c r="MDL41" s="562"/>
      <c r="MDM41" s="562"/>
      <c r="MDN41" s="562"/>
      <c r="MDO41" s="562"/>
      <c r="MDP41" s="562"/>
      <c r="MDQ41" s="562"/>
      <c r="MDR41" s="562"/>
      <c r="MDS41" s="562"/>
      <c r="MDT41" s="562"/>
      <c r="MDU41" s="562"/>
      <c r="MDV41" s="562"/>
      <c r="MDW41" s="562"/>
      <c r="MDX41" s="562"/>
      <c r="MDY41" s="562"/>
      <c r="MDZ41" s="562"/>
      <c r="MEA41" s="562"/>
      <c r="MEB41" s="562"/>
      <c r="MEC41" s="562"/>
      <c r="MED41" s="562"/>
      <c r="MEE41" s="562"/>
      <c r="MEF41" s="562"/>
      <c r="MEG41" s="562"/>
      <c r="MEH41" s="562"/>
      <c r="MEI41" s="562"/>
      <c r="MEJ41" s="562"/>
      <c r="MEK41" s="562"/>
      <c r="MEL41" s="562"/>
      <c r="MEM41" s="562"/>
      <c r="MEN41" s="562"/>
      <c r="MEO41" s="562"/>
      <c r="MEP41" s="562"/>
      <c r="MEQ41" s="562"/>
      <c r="MER41" s="562"/>
      <c r="MES41" s="562"/>
      <c r="MET41" s="562"/>
      <c r="MEU41" s="562"/>
      <c r="MEV41" s="562"/>
      <c r="MEW41" s="562"/>
      <c r="MEX41" s="562"/>
      <c r="MEY41" s="562"/>
      <c r="MEZ41" s="562"/>
      <c r="MFA41" s="562"/>
      <c r="MFB41" s="562"/>
      <c r="MFC41" s="562"/>
      <c r="MFD41" s="562"/>
      <c r="MFE41" s="562"/>
      <c r="MFF41" s="562"/>
      <c r="MFG41" s="562"/>
      <c r="MFH41" s="562"/>
      <c r="MFI41" s="562"/>
      <c r="MFJ41" s="562"/>
      <c r="MFK41" s="562"/>
      <c r="MFL41" s="562"/>
      <c r="MFM41" s="562"/>
      <c r="MFN41" s="562"/>
      <c r="MFO41" s="562"/>
      <c r="MFP41" s="562"/>
      <c r="MFQ41" s="562"/>
      <c r="MFR41" s="562"/>
      <c r="MFS41" s="562"/>
      <c r="MFT41" s="562"/>
      <c r="MFU41" s="562"/>
      <c r="MFV41" s="562"/>
      <c r="MFW41" s="562"/>
      <c r="MFX41" s="562"/>
      <c r="MFY41" s="562"/>
      <c r="MFZ41" s="562"/>
      <c r="MGA41" s="562"/>
      <c r="MGB41" s="562"/>
      <c r="MGC41" s="562"/>
      <c r="MGD41" s="562"/>
      <c r="MGE41" s="562"/>
      <c r="MGF41" s="562"/>
      <c r="MGG41" s="562"/>
      <c r="MGH41" s="562"/>
      <c r="MGI41" s="562"/>
      <c r="MGJ41" s="562"/>
      <c r="MGK41" s="562"/>
      <c r="MGL41" s="562"/>
      <c r="MGM41" s="562"/>
      <c r="MGN41" s="562"/>
      <c r="MGO41" s="562"/>
      <c r="MGP41" s="562"/>
      <c r="MGQ41" s="562"/>
      <c r="MGR41" s="562"/>
      <c r="MGS41" s="562"/>
      <c r="MGT41" s="562"/>
      <c r="MGU41" s="562"/>
      <c r="MGV41" s="562"/>
      <c r="MGW41" s="562"/>
      <c r="MGX41" s="562"/>
      <c r="MGY41" s="562"/>
      <c r="MGZ41" s="562"/>
      <c r="MHA41" s="562"/>
      <c r="MHB41" s="562"/>
      <c r="MHC41" s="562"/>
      <c r="MHD41" s="562"/>
      <c r="MHE41" s="562"/>
      <c r="MHF41" s="562"/>
      <c r="MHG41" s="562"/>
      <c r="MHH41" s="562"/>
      <c r="MHI41" s="562"/>
      <c r="MHJ41" s="562"/>
      <c r="MHK41" s="562"/>
      <c r="MHL41" s="562"/>
      <c r="MHM41" s="562"/>
      <c r="MHN41" s="562"/>
      <c r="MHO41" s="562"/>
      <c r="MHP41" s="562"/>
      <c r="MHQ41" s="562"/>
      <c r="MHR41" s="562"/>
      <c r="MHS41" s="562"/>
      <c r="MHT41" s="562"/>
      <c r="MHU41" s="562"/>
      <c r="MHV41" s="562"/>
      <c r="MHW41" s="562"/>
      <c r="MHX41" s="562"/>
      <c r="MHY41" s="562"/>
      <c r="MHZ41" s="562"/>
      <c r="MIA41" s="562"/>
      <c r="MIB41" s="562"/>
      <c r="MIC41" s="562"/>
      <c r="MID41" s="562"/>
      <c r="MIE41" s="562"/>
      <c r="MIF41" s="562"/>
      <c r="MIG41" s="562"/>
      <c r="MIH41" s="562"/>
      <c r="MII41" s="562"/>
      <c r="MIJ41" s="562"/>
      <c r="MIK41" s="562"/>
      <c r="MIL41" s="562"/>
      <c r="MIM41" s="562"/>
      <c r="MIN41" s="562"/>
      <c r="MIO41" s="562"/>
      <c r="MIP41" s="562"/>
      <c r="MIQ41" s="562"/>
      <c r="MIR41" s="562"/>
      <c r="MIS41" s="562"/>
      <c r="MIT41" s="562"/>
      <c r="MIU41" s="562"/>
      <c r="MIV41" s="562"/>
      <c r="MIW41" s="562"/>
      <c r="MIX41" s="562"/>
      <c r="MIY41" s="562"/>
      <c r="MIZ41" s="562"/>
      <c r="MJA41" s="562"/>
      <c r="MJB41" s="562"/>
      <c r="MJC41" s="562"/>
      <c r="MJD41" s="562"/>
      <c r="MJE41" s="562"/>
      <c r="MJF41" s="562"/>
      <c r="MJG41" s="562"/>
      <c r="MJH41" s="562"/>
      <c r="MJI41" s="562"/>
      <c r="MJJ41" s="562"/>
      <c r="MJK41" s="562"/>
      <c r="MJL41" s="562"/>
      <c r="MJM41" s="562"/>
      <c r="MJN41" s="562"/>
      <c r="MJO41" s="562"/>
      <c r="MJP41" s="562"/>
      <c r="MJQ41" s="562"/>
      <c r="MJR41" s="562"/>
      <c r="MJS41" s="562"/>
      <c r="MJT41" s="562"/>
      <c r="MJU41" s="562"/>
      <c r="MJV41" s="562"/>
      <c r="MJW41" s="562"/>
      <c r="MJX41" s="562"/>
      <c r="MJY41" s="562"/>
      <c r="MJZ41" s="562"/>
      <c r="MKA41" s="562"/>
      <c r="MKB41" s="562"/>
      <c r="MKC41" s="562"/>
      <c r="MKD41" s="562"/>
      <c r="MKE41" s="562"/>
      <c r="MKF41" s="562"/>
      <c r="MKG41" s="562"/>
      <c r="MKH41" s="562"/>
      <c r="MKI41" s="562"/>
      <c r="MKJ41" s="562"/>
      <c r="MKK41" s="562"/>
      <c r="MKL41" s="562"/>
      <c r="MKM41" s="562"/>
      <c r="MKN41" s="562"/>
      <c r="MKO41" s="562"/>
      <c r="MKP41" s="562"/>
      <c r="MKQ41" s="562"/>
      <c r="MKR41" s="562"/>
      <c r="MKS41" s="562"/>
      <c r="MKT41" s="562"/>
      <c r="MKU41" s="562"/>
      <c r="MKV41" s="562"/>
      <c r="MKW41" s="562"/>
      <c r="MKX41" s="562"/>
      <c r="MKY41" s="562"/>
      <c r="MKZ41" s="562"/>
      <c r="MLA41" s="562"/>
      <c r="MLB41" s="562"/>
      <c r="MLC41" s="562"/>
      <c r="MLD41" s="562"/>
      <c r="MLE41" s="562"/>
      <c r="MLF41" s="562"/>
      <c r="MLG41" s="562"/>
      <c r="MLH41" s="562"/>
      <c r="MLI41" s="562"/>
      <c r="MLJ41" s="562"/>
      <c r="MLK41" s="562"/>
      <c r="MLL41" s="562"/>
      <c r="MLM41" s="562"/>
      <c r="MLN41" s="562"/>
      <c r="MLO41" s="562"/>
      <c r="MLP41" s="562"/>
      <c r="MLQ41" s="562"/>
      <c r="MLR41" s="562"/>
      <c r="MLS41" s="562"/>
      <c r="MLT41" s="562"/>
      <c r="MLU41" s="562"/>
      <c r="MLV41" s="562"/>
      <c r="MLW41" s="562"/>
      <c r="MLX41" s="562"/>
      <c r="MLY41" s="562"/>
      <c r="MLZ41" s="562"/>
      <c r="MMA41" s="562"/>
      <c r="MMB41" s="562"/>
      <c r="MMC41" s="562"/>
      <c r="MMD41" s="562"/>
      <c r="MME41" s="562"/>
      <c r="MMF41" s="562"/>
      <c r="MMG41" s="562"/>
      <c r="MMH41" s="562"/>
      <c r="MMI41" s="562"/>
      <c r="MMJ41" s="562"/>
      <c r="MMK41" s="562"/>
      <c r="MML41" s="562"/>
      <c r="MMM41" s="562"/>
      <c r="MMN41" s="562"/>
      <c r="MMO41" s="562"/>
      <c r="MMP41" s="562"/>
      <c r="MMQ41" s="562"/>
      <c r="MMR41" s="562"/>
      <c r="MMS41" s="562"/>
      <c r="MMT41" s="562"/>
      <c r="MMU41" s="562"/>
      <c r="MMV41" s="562"/>
      <c r="MMW41" s="562"/>
      <c r="MMX41" s="562"/>
      <c r="MMY41" s="562"/>
      <c r="MMZ41" s="562"/>
      <c r="MNA41" s="562"/>
      <c r="MNB41" s="562"/>
      <c r="MNC41" s="562"/>
      <c r="MND41" s="562"/>
      <c r="MNE41" s="562"/>
      <c r="MNF41" s="562"/>
      <c r="MNG41" s="562"/>
      <c r="MNH41" s="562"/>
      <c r="MNI41" s="562"/>
      <c r="MNJ41" s="562"/>
      <c r="MNK41" s="562"/>
      <c r="MNL41" s="562"/>
      <c r="MNM41" s="562"/>
      <c r="MNN41" s="562"/>
      <c r="MNO41" s="562"/>
      <c r="MNP41" s="562"/>
      <c r="MNQ41" s="562"/>
      <c r="MNR41" s="562"/>
      <c r="MNS41" s="562"/>
      <c r="MNT41" s="562"/>
      <c r="MNU41" s="562"/>
      <c r="MNV41" s="562"/>
      <c r="MNW41" s="562"/>
      <c r="MNX41" s="562"/>
      <c r="MNY41" s="562"/>
      <c r="MNZ41" s="562"/>
      <c r="MOA41" s="562"/>
      <c r="MOB41" s="562"/>
      <c r="MOC41" s="562"/>
      <c r="MOD41" s="562"/>
      <c r="MOE41" s="562"/>
      <c r="MOF41" s="562"/>
      <c r="MOG41" s="562"/>
      <c r="MOH41" s="562"/>
      <c r="MOI41" s="562"/>
      <c r="MOJ41" s="562"/>
      <c r="MOK41" s="562"/>
      <c r="MOL41" s="562"/>
      <c r="MOM41" s="562"/>
      <c r="MON41" s="562"/>
      <c r="MOO41" s="562"/>
      <c r="MOP41" s="562"/>
      <c r="MOQ41" s="562"/>
      <c r="MOR41" s="562"/>
      <c r="MOS41" s="562"/>
      <c r="MOT41" s="562"/>
      <c r="MOU41" s="562"/>
      <c r="MOV41" s="562"/>
      <c r="MOW41" s="562"/>
      <c r="MOX41" s="562"/>
      <c r="MOY41" s="562"/>
      <c r="MOZ41" s="562"/>
      <c r="MPA41" s="562"/>
      <c r="MPB41" s="562"/>
      <c r="MPC41" s="562"/>
      <c r="MPD41" s="562"/>
      <c r="MPE41" s="562"/>
      <c r="MPF41" s="562"/>
      <c r="MPG41" s="562"/>
      <c r="MPH41" s="562"/>
      <c r="MPI41" s="562"/>
      <c r="MPJ41" s="562"/>
      <c r="MPK41" s="562"/>
      <c r="MPL41" s="562"/>
      <c r="MPM41" s="562"/>
      <c r="MPN41" s="562"/>
      <c r="MPO41" s="562"/>
      <c r="MPP41" s="562"/>
      <c r="MPQ41" s="562"/>
      <c r="MPR41" s="562"/>
      <c r="MPS41" s="562"/>
      <c r="MPT41" s="562"/>
      <c r="MPU41" s="562"/>
      <c r="MPV41" s="562"/>
      <c r="MPW41" s="562"/>
      <c r="MPX41" s="562"/>
      <c r="MPY41" s="562"/>
      <c r="MPZ41" s="562"/>
      <c r="MQA41" s="562"/>
      <c r="MQB41" s="562"/>
      <c r="MQC41" s="562"/>
      <c r="MQD41" s="562"/>
      <c r="MQE41" s="562"/>
      <c r="MQF41" s="562"/>
      <c r="MQG41" s="562"/>
      <c r="MQH41" s="562"/>
      <c r="MQI41" s="562"/>
      <c r="MQJ41" s="562"/>
      <c r="MQK41" s="562"/>
      <c r="MQL41" s="562"/>
      <c r="MQM41" s="562"/>
      <c r="MQN41" s="562"/>
      <c r="MQO41" s="562"/>
      <c r="MQP41" s="562"/>
      <c r="MQQ41" s="562"/>
      <c r="MQR41" s="562"/>
      <c r="MQS41" s="562"/>
      <c r="MQT41" s="562"/>
      <c r="MQU41" s="562"/>
      <c r="MQV41" s="562"/>
      <c r="MQW41" s="562"/>
      <c r="MQX41" s="562"/>
      <c r="MQY41" s="562"/>
      <c r="MQZ41" s="562"/>
      <c r="MRA41" s="562"/>
      <c r="MRB41" s="562"/>
      <c r="MRC41" s="562"/>
      <c r="MRD41" s="562"/>
      <c r="MRE41" s="562"/>
      <c r="MRF41" s="562"/>
      <c r="MRG41" s="562"/>
      <c r="MRH41" s="562"/>
      <c r="MRI41" s="562"/>
      <c r="MRJ41" s="562"/>
      <c r="MRK41" s="562"/>
      <c r="MRL41" s="562"/>
      <c r="MRM41" s="562"/>
      <c r="MRN41" s="562"/>
      <c r="MRO41" s="562"/>
      <c r="MRP41" s="562"/>
      <c r="MRQ41" s="562"/>
      <c r="MRR41" s="562"/>
      <c r="MRS41" s="562"/>
      <c r="MRT41" s="562"/>
      <c r="MRU41" s="562"/>
      <c r="MRV41" s="562"/>
      <c r="MRW41" s="562"/>
      <c r="MRX41" s="562"/>
      <c r="MRY41" s="562"/>
      <c r="MRZ41" s="562"/>
      <c r="MSA41" s="562"/>
      <c r="MSB41" s="562"/>
      <c r="MSC41" s="562"/>
      <c r="MSD41" s="562"/>
      <c r="MSE41" s="562"/>
      <c r="MSF41" s="562"/>
      <c r="MSG41" s="562"/>
      <c r="MSH41" s="562"/>
      <c r="MSI41" s="562"/>
      <c r="MSJ41" s="562"/>
      <c r="MSK41" s="562"/>
      <c r="MSL41" s="562"/>
      <c r="MSM41" s="562"/>
      <c r="MSN41" s="562"/>
      <c r="MSO41" s="562"/>
      <c r="MSP41" s="562"/>
      <c r="MSQ41" s="562"/>
      <c r="MSR41" s="562"/>
      <c r="MSS41" s="562"/>
      <c r="MST41" s="562"/>
      <c r="MSU41" s="562"/>
      <c r="MSV41" s="562"/>
      <c r="MSW41" s="562"/>
      <c r="MSX41" s="562"/>
      <c r="MSY41" s="562"/>
      <c r="MSZ41" s="562"/>
      <c r="MTA41" s="562"/>
      <c r="MTB41" s="562"/>
      <c r="MTC41" s="562"/>
      <c r="MTD41" s="562"/>
      <c r="MTE41" s="562"/>
      <c r="MTF41" s="562"/>
      <c r="MTG41" s="562"/>
      <c r="MTH41" s="562"/>
      <c r="MTI41" s="562"/>
      <c r="MTJ41" s="562"/>
      <c r="MTK41" s="562"/>
      <c r="MTL41" s="562"/>
      <c r="MTM41" s="562"/>
      <c r="MTN41" s="562"/>
      <c r="MTO41" s="562"/>
      <c r="MTP41" s="562"/>
      <c r="MTQ41" s="562"/>
      <c r="MTR41" s="562"/>
      <c r="MTS41" s="562"/>
      <c r="MTT41" s="562"/>
      <c r="MTU41" s="562"/>
      <c r="MTV41" s="562"/>
      <c r="MTW41" s="562"/>
      <c r="MTX41" s="562"/>
      <c r="MTY41" s="562"/>
      <c r="MTZ41" s="562"/>
      <c r="MUA41" s="562"/>
      <c r="MUB41" s="562"/>
      <c r="MUC41" s="562"/>
      <c r="MUD41" s="562"/>
      <c r="MUE41" s="562"/>
      <c r="MUF41" s="562"/>
      <c r="MUG41" s="562"/>
      <c r="MUH41" s="562"/>
      <c r="MUI41" s="562"/>
      <c r="MUJ41" s="562"/>
      <c r="MUK41" s="562"/>
      <c r="MUL41" s="562"/>
      <c r="MUM41" s="562"/>
      <c r="MUN41" s="562"/>
      <c r="MUO41" s="562"/>
      <c r="MUP41" s="562"/>
      <c r="MUQ41" s="562"/>
      <c r="MUR41" s="562"/>
      <c r="MUS41" s="562"/>
      <c r="MUT41" s="562"/>
      <c r="MUU41" s="562"/>
      <c r="MUV41" s="562"/>
      <c r="MUW41" s="562"/>
      <c r="MUX41" s="562"/>
      <c r="MUY41" s="562"/>
      <c r="MUZ41" s="562"/>
      <c r="MVA41" s="562"/>
      <c r="MVB41" s="562"/>
      <c r="MVC41" s="562"/>
      <c r="MVD41" s="562"/>
      <c r="MVE41" s="562"/>
      <c r="MVF41" s="562"/>
      <c r="MVG41" s="562"/>
      <c r="MVH41" s="562"/>
      <c r="MVI41" s="562"/>
      <c r="MVJ41" s="562"/>
      <c r="MVK41" s="562"/>
      <c r="MVL41" s="562"/>
      <c r="MVM41" s="562"/>
      <c r="MVN41" s="562"/>
      <c r="MVO41" s="562"/>
      <c r="MVP41" s="562"/>
      <c r="MVQ41" s="562"/>
      <c r="MVR41" s="562"/>
      <c r="MVS41" s="562"/>
      <c r="MVT41" s="562"/>
      <c r="MVU41" s="562"/>
      <c r="MVV41" s="562"/>
      <c r="MVW41" s="562"/>
      <c r="MVX41" s="562"/>
      <c r="MVY41" s="562"/>
      <c r="MVZ41" s="562"/>
      <c r="MWA41" s="562"/>
      <c r="MWB41" s="562"/>
      <c r="MWC41" s="562"/>
      <c r="MWD41" s="562"/>
      <c r="MWE41" s="562"/>
      <c r="MWF41" s="562"/>
      <c r="MWG41" s="562"/>
      <c r="MWH41" s="562"/>
      <c r="MWI41" s="562"/>
      <c r="MWJ41" s="562"/>
      <c r="MWK41" s="562"/>
      <c r="MWL41" s="562"/>
      <c r="MWM41" s="562"/>
      <c r="MWN41" s="562"/>
      <c r="MWO41" s="562"/>
      <c r="MWP41" s="562"/>
      <c r="MWQ41" s="562"/>
      <c r="MWR41" s="562"/>
      <c r="MWS41" s="562"/>
      <c r="MWT41" s="562"/>
      <c r="MWU41" s="562"/>
      <c r="MWV41" s="562"/>
      <c r="MWW41" s="562"/>
      <c r="MWX41" s="562"/>
      <c r="MWY41" s="562"/>
      <c r="MWZ41" s="562"/>
      <c r="MXA41" s="562"/>
      <c r="MXB41" s="562"/>
      <c r="MXC41" s="562"/>
      <c r="MXD41" s="562"/>
      <c r="MXE41" s="562"/>
      <c r="MXF41" s="562"/>
      <c r="MXG41" s="562"/>
      <c r="MXH41" s="562"/>
      <c r="MXI41" s="562"/>
      <c r="MXJ41" s="562"/>
      <c r="MXK41" s="562"/>
      <c r="MXL41" s="562"/>
      <c r="MXM41" s="562"/>
      <c r="MXN41" s="562"/>
      <c r="MXO41" s="562"/>
      <c r="MXP41" s="562"/>
      <c r="MXQ41" s="562"/>
      <c r="MXR41" s="562"/>
      <c r="MXS41" s="562"/>
      <c r="MXT41" s="562"/>
      <c r="MXU41" s="562"/>
      <c r="MXV41" s="562"/>
      <c r="MXW41" s="562"/>
      <c r="MXX41" s="562"/>
      <c r="MXY41" s="562"/>
      <c r="MXZ41" s="562"/>
      <c r="MYA41" s="562"/>
      <c r="MYB41" s="562"/>
      <c r="MYC41" s="562"/>
      <c r="MYD41" s="562"/>
      <c r="MYE41" s="562"/>
      <c r="MYF41" s="562"/>
      <c r="MYG41" s="562"/>
      <c r="MYH41" s="562"/>
      <c r="MYI41" s="562"/>
      <c r="MYJ41" s="562"/>
      <c r="MYK41" s="562"/>
      <c r="MYL41" s="562"/>
      <c r="MYM41" s="562"/>
      <c r="MYN41" s="562"/>
      <c r="MYO41" s="562"/>
      <c r="MYP41" s="562"/>
      <c r="MYQ41" s="562"/>
      <c r="MYR41" s="562"/>
      <c r="MYS41" s="562"/>
      <c r="MYT41" s="562"/>
      <c r="MYU41" s="562"/>
      <c r="MYV41" s="562"/>
      <c r="MYW41" s="562"/>
      <c r="MYX41" s="562"/>
      <c r="MYY41" s="562"/>
      <c r="MYZ41" s="562"/>
      <c r="MZA41" s="562"/>
      <c r="MZB41" s="562"/>
      <c r="MZC41" s="562"/>
      <c r="MZD41" s="562"/>
      <c r="MZE41" s="562"/>
      <c r="MZF41" s="562"/>
      <c r="MZG41" s="562"/>
      <c r="MZH41" s="562"/>
      <c r="MZI41" s="562"/>
      <c r="MZJ41" s="562"/>
      <c r="MZK41" s="562"/>
      <c r="MZL41" s="562"/>
      <c r="MZM41" s="562"/>
      <c r="MZN41" s="562"/>
      <c r="MZO41" s="562"/>
      <c r="MZP41" s="562"/>
      <c r="MZQ41" s="562"/>
      <c r="MZR41" s="562"/>
      <c r="MZS41" s="562"/>
      <c r="MZT41" s="562"/>
      <c r="MZU41" s="562"/>
      <c r="MZV41" s="562"/>
      <c r="MZW41" s="562"/>
      <c r="MZX41" s="562"/>
      <c r="MZY41" s="562"/>
      <c r="MZZ41" s="562"/>
      <c r="NAA41" s="562"/>
      <c r="NAB41" s="562"/>
      <c r="NAC41" s="562"/>
      <c r="NAD41" s="562"/>
      <c r="NAE41" s="562"/>
      <c r="NAF41" s="562"/>
      <c r="NAG41" s="562"/>
      <c r="NAH41" s="562"/>
      <c r="NAI41" s="562"/>
      <c r="NAJ41" s="562"/>
      <c r="NAK41" s="562"/>
      <c r="NAL41" s="562"/>
      <c r="NAM41" s="562"/>
      <c r="NAN41" s="562"/>
      <c r="NAO41" s="562"/>
      <c r="NAP41" s="562"/>
      <c r="NAQ41" s="562"/>
      <c r="NAR41" s="562"/>
      <c r="NAS41" s="562"/>
      <c r="NAT41" s="562"/>
      <c r="NAU41" s="562"/>
      <c r="NAV41" s="562"/>
      <c r="NAW41" s="562"/>
      <c r="NAX41" s="562"/>
      <c r="NAY41" s="562"/>
      <c r="NAZ41" s="562"/>
      <c r="NBA41" s="562"/>
      <c r="NBB41" s="562"/>
      <c r="NBC41" s="562"/>
      <c r="NBD41" s="562"/>
      <c r="NBE41" s="562"/>
      <c r="NBF41" s="562"/>
      <c r="NBG41" s="562"/>
      <c r="NBH41" s="562"/>
      <c r="NBI41" s="562"/>
      <c r="NBJ41" s="562"/>
      <c r="NBK41" s="562"/>
      <c r="NBL41" s="562"/>
      <c r="NBM41" s="562"/>
      <c r="NBN41" s="562"/>
      <c r="NBO41" s="562"/>
      <c r="NBP41" s="562"/>
      <c r="NBQ41" s="562"/>
      <c r="NBR41" s="562"/>
      <c r="NBS41" s="562"/>
      <c r="NBT41" s="562"/>
      <c r="NBU41" s="562"/>
      <c r="NBV41" s="562"/>
      <c r="NBW41" s="562"/>
      <c r="NBX41" s="562"/>
      <c r="NBY41" s="562"/>
      <c r="NBZ41" s="562"/>
      <c r="NCA41" s="562"/>
      <c r="NCB41" s="562"/>
      <c r="NCC41" s="562"/>
      <c r="NCD41" s="562"/>
      <c r="NCE41" s="562"/>
      <c r="NCF41" s="562"/>
      <c r="NCG41" s="562"/>
      <c r="NCH41" s="562"/>
      <c r="NCI41" s="562"/>
      <c r="NCJ41" s="562"/>
      <c r="NCK41" s="562"/>
      <c r="NCL41" s="562"/>
      <c r="NCM41" s="562"/>
      <c r="NCN41" s="562"/>
      <c r="NCO41" s="562"/>
      <c r="NCP41" s="562"/>
      <c r="NCQ41" s="562"/>
      <c r="NCR41" s="562"/>
      <c r="NCS41" s="562"/>
      <c r="NCT41" s="562"/>
      <c r="NCU41" s="562"/>
      <c r="NCV41" s="562"/>
      <c r="NCW41" s="562"/>
      <c r="NCX41" s="562"/>
      <c r="NCY41" s="562"/>
      <c r="NCZ41" s="562"/>
      <c r="NDA41" s="562"/>
      <c r="NDB41" s="562"/>
      <c r="NDC41" s="562"/>
      <c r="NDD41" s="562"/>
      <c r="NDE41" s="562"/>
      <c r="NDF41" s="562"/>
      <c r="NDG41" s="562"/>
      <c r="NDH41" s="562"/>
      <c r="NDI41" s="562"/>
      <c r="NDJ41" s="562"/>
      <c r="NDK41" s="562"/>
      <c r="NDL41" s="562"/>
      <c r="NDM41" s="562"/>
      <c r="NDN41" s="562"/>
      <c r="NDO41" s="562"/>
      <c r="NDP41" s="562"/>
      <c r="NDQ41" s="562"/>
      <c r="NDR41" s="562"/>
      <c r="NDS41" s="562"/>
      <c r="NDT41" s="562"/>
      <c r="NDU41" s="562"/>
      <c r="NDV41" s="562"/>
      <c r="NDW41" s="562"/>
      <c r="NDX41" s="562"/>
      <c r="NDY41" s="562"/>
      <c r="NDZ41" s="562"/>
      <c r="NEA41" s="562"/>
      <c r="NEB41" s="562"/>
      <c r="NEC41" s="562"/>
      <c r="NED41" s="562"/>
      <c r="NEE41" s="562"/>
      <c r="NEF41" s="562"/>
      <c r="NEG41" s="562"/>
      <c r="NEH41" s="562"/>
      <c r="NEI41" s="562"/>
      <c r="NEJ41" s="562"/>
      <c r="NEK41" s="562"/>
      <c r="NEL41" s="562"/>
      <c r="NEM41" s="562"/>
      <c r="NEN41" s="562"/>
      <c r="NEO41" s="562"/>
      <c r="NEP41" s="562"/>
      <c r="NEQ41" s="562"/>
      <c r="NER41" s="562"/>
      <c r="NES41" s="562"/>
      <c r="NET41" s="562"/>
      <c r="NEU41" s="562"/>
      <c r="NEV41" s="562"/>
      <c r="NEW41" s="562"/>
      <c r="NEX41" s="562"/>
      <c r="NEY41" s="562"/>
      <c r="NEZ41" s="562"/>
      <c r="NFA41" s="562"/>
      <c r="NFB41" s="562"/>
      <c r="NFC41" s="562"/>
      <c r="NFD41" s="562"/>
      <c r="NFE41" s="562"/>
      <c r="NFF41" s="562"/>
      <c r="NFG41" s="562"/>
      <c r="NFH41" s="562"/>
      <c r="NFI41" s="562"/>
      <c r="NFJ41" s="562"/>
      <c r="NFK41" s="562"/>
      <c r="NFL41" s="562"/>
      <c r="NFM41" s="562"/>
      <c r="NFN41" s="562"/>
      <c r="NFO41" s="562"/>
      <c r="NFP41" s="562"/>
      <c r="NFQ41" s="562"/>
      <c r="NFR41" s="562"/>
      <c r="NFS41" s="562"/>
      <c r="NFT41" s="562"/>
      <c r="NFU41" s="562"/>
      <c r="NFV41" s="562"/>
      <c r="NFW41" s="562"/>
      <c r="NFX41" s="562"/>
      <c r="NFY41" s="562"/>
      <c r="NFZ41" s="562"/>
      <c r="NGA41" s="562"/>
      <c r="NGB41" s="562"/>
      <c r="NGC41" s="562"/>
      <c r="NGD41" s="562"/>
      <c r="NGE41" s="562"/>
      <c r="NGF41" s="562"/>
      <c r="NGG41" s="562"/>
      <c r="NGH41" s="562"/>
      <c r="NGI41" s="562"/>
      <c r="NGJ41" s="562"/>
      <c r="NGK41" s="562"/>
      <c r="NGL41" s="562"/>
      <c r="NGM41" s="562"/>
      <c r="NGN41" s="562"/>
      <c r="NGO41" s="562"/>
      <c r="NGP41" s="562"/>
      <c r="NGQ41" s="562"/>
      <c r="NGR41" s="562"/>
      <c r="NGS41" s="562"/>
      <c r="NGT41" s="562"/>
      <c r="NGU41" s="562"/>
      <c r="NGV41" s="562"/>
      <c r="NGW41" s="562"/>
      <c r="NGX41" s="562"/>
      <c r="NGY41" s="562"/>
      <c r="NGZ41" s="562"/>
      <c r="NHA41" s="562"/>
      <c r="NHB41" s="562"/>
      <c r="NHC41" s="562"/>
      <c r="NHD41" s="562"/>
      <c r="NHE41" s="562"/>
      <c r="NHF41" s="562"/>
      <c r="NHG41" s="562"/>
      <c r="NHH41" s="562"/>
      <c r="NHI41" s="562"/>
      <c r="NHJ41" s="562"/>
      <c r="NHK41" s="562"/>
      <c r="NHL41" s="562"/>
      <c r="NHM41" s="562"/>
      <c r="NHN41" s="562"/>
      <c r="NHO41" s="562"/>
      <c r="NHP41" s="562"/>
      <c r="NHQ41" s="562"/>
      <c r="NHR41" s="562"/>
      <c r="NHS41" s="562"/>
      <c r="NHT41" s="562"/>
      <c r="NHU41" s="562"/>
      <c r="NHV41" s="562"/>
      <c r="NHW41" s="562"/>
      <c r="NHX41" s="562"/>
      <c r="NHY41" s="562"/>
      <c r="NHZ41" s="562"/>
      <c r="NIA41" s="562"/>
      <c r="NIB41" s="562"/>
      <c r="NIC41" s="562"/>
      <c r="NID41" s="562"/>
      <c r="NIE41" s="562"/>
      <c r="NIF41" s="562"/>
      <c r="NIG41" s="562"/>
      <c r="NIH41" s="562"/>
      <c r="NII41" s="562"/>
      <c r="NIJ41" s="562"/>
      <c r="NIK41" s="562"/>
      <c r="NIL41" s="562"/>
      <c r="NIM41" s="562"/>
      <c r="NIN41" s="562"/>
      <c r="NIO41" s="562"/>
      <c r="NIP41" s="562"/>
      <c r="NIQ41" s="562"/>
      <c r="NIR41" s="562"/>
      <c r="NIS41" s="562"/>
      <c r="NIT41" s="562"/>
      <c r="NIU41" s="562"/>
      <c r="NIV41" s="562"/>
      <c r="NIW41" s="562"/>
      <c r="NIX41" s="562"/>
      <c r="NIY41" s="562"/>
      <c r="NIZ41" s="562"/>
      <c r="NJA41" s="562"/>
      <c r="NJB41" s="562"/>
      <c r="NJC41" s="562"/>
      <c r="NJD41" s="562"/>
      <c r="NJE41" s="562"/>
      <c r="NJF41" s="562"/>
      <c r="NJG41" s="562"/>
      <c r="NJH41" s="562"/>
      <c r="NJI41" s="562"/>
      <c r="NJJ41" s="562"/>
      <c r="NJK41" s="562"/>
      <c r="NJL41" s="562"/>
      <c r="NJM41" s="562"/>
      <c r="NJN41" s="562"/>
      <c r="NJO41" s="562"/>
      <c r="NJP41" s="562"/>
      <c r="NJQ41" s="562"/>
      <c r="NJR41" s="562"/>
      <c r="NJS41" s="562"/>
      <c r="NJT41" s="562"/>
      <c r="NJU41" s="562"/>
      <c r="NJV41" s="562"/>
      <c r="NJW41" s="562"/>
      <c r="NJX41" s="562"/>
      <c r="NJY41" s="562"/>
      <c r="NJZ41" s="562"/>
      <c r="NKA41" s="562"/>
      <c r="NKB41" s="562"/>
      <c r="NKC41" s="562"/>
      <c r="NKD41" s="562"/>
      <c r="NKE41" s="562"/>
      <c r="NKF41" s="562"/>
      <c r="NKG41" s="562"/>
      <c r="NKH41" s="562"/>
      <c r="NKI41" s="562"/>
      <c r="NKJ41" s="562"/>
      <c r="NKK41" s="562"/>
      <c r="NKL41" s="562"/>
      <c r="NKM41" s="562"/>
      <c r="NKN41" s="562"/>
      <c r="NKO41" s="562"/>
      <c r="NKP41" s="562"/>
      <c r="NKQ41" s="562"/>
      <c r="NKR41" s="562"/>
      <c r="NKS41" s="562"/>
      <c r="NKT41" s="562"/>
      <c r="NKU41" s="562"/>
      <c r="NKV41" s="562"/>
      <c r="NKW41" s="562"/>
      <c r="NKX41" s="562"/>
      <c r="NKY41" s="562"/>
      <c r="NKZ41" s="562"/>
      <c r="NLA41" s="562"/>
      <c r="NLB41" s="562"/>
      <c r="NLC41" s="562"/>
      <c r="NLD41" s="562"/>
      <c r="NLE41" s="562"/>
      <c r="NLF41" s="562"/>
      <c r="NLG41" s="562"/>
      <c r="NLH41" s="562"/>
      <c r="NLI41" s="562"/>
      <c r="NLJ41" s="562"/>
      <c r="NLK41" s="562"/>
      <c r="NLL41" s="562"/>
      <c r="NLM41" s="562"/>
      <c r="NLN41" s="562"/>
      <c r="NLO41" s="562"/>
      <c r="NLP41" s="562"/>
      <c r="NLQ41" s="562"/>
      <c r="NLR41" s="562"/>
      <c r="NLS41" s="562"/>
      <c r="NLT41" s="562"/>
      <c r="NLU41" s="562"/>
      <c r="NLV41" s="562"/>
      <c r="NLW41" s="562"/>
      <c r="NLX41" s="562"/>
      <c r="NLY41" s="562"/>
      <c r="NLZ41" s="562"/>
      <c r="NMA41" s="562"/>
      <c r="NMB41" s="562"/>
      <c r="NMC41" s="562"/>
      <c r="NMD41" s="562"/>
      <c r="NME41" s="562"/>
      <c r="NMF41" s="562"/>
      <c r="NMG41" s="562"/>
      <c r="NMH41" s="562"/>
      <c r="NMI41" s="562"/>
      <c r="NMJ41" s="562"/>
      <c r="NMK41" s="562"/>
      <c r="NML41" s="562"/>
      <c r="NMM41" s="562"/>
      <c r="NMN41" s="562"/>
      <c r="NMO41" s="562"/>
      <c r="NMP41" s="562"/>
      <c r="NMQ41" s="562"/>
      <c r="NMR41" s="562"/>
      <c r="NMS41" s="562"/>
      <c r="NMT41" s="562"/>
      <c r="NMU41" s="562"/>
      <c r="NMV41" s="562"/>
      <c r="NMW41" s="562"/>
      <c r="NMX41" s="562"/>
      <c r="NMY41" s="562"/>
      <c r="NMZ41" s="562"/>
      <c r="NNA41" s="562"/>
      <c r="NNB41" s="562"/>
      <c r="NNC41" s="562"/>
      <c r="NND41" s="562"/>
      <c r="NNE41" s="562"/>
      <c r="NNF41" s="562"/>
      <c r="NNG41" s="562"/>
      <c r="NNH41" s="562"/>
      <c r="NNI41" s="562"/>
      <c r="NNJ41" s="562"/>
      <c r="NNK41" s="562"/>
      <c r="NNL41" s="562"/>
      <c r="NNM41" s="562"/>
      <c r="NNN41" s="562"/>
      <c r="NNO41" s="562"/>
      <c r="NNP41" s="562"/>
      <c r="NNQ41" s="562"/>
      <c r="NNR41" s="562"/>
      <c r="NNS41" s="562"/>
      <c r="NNT41" s="562"/>
      <c r="NNU41" s="562"/>
      <c r="NNV41" s="562"/>
      <c r="NNW41" s="562"/>
      <c r="NNX41" s="562"/>
      <c r="NNY41" s="562"/>
      <c r="NNZ41" s="562"/>
      <c r="NOA41" s="562"/>
      <c r="NOB41" s="562"/>
      <c r="NOC41" s="562"/>
      <c r="NOD41" s="562"/>
      <c r="NOE41" s="562"/>
      <c r="NOF41" s="562"/>
      <c r="NOG41" s="562"/>
      <c r="NOH41" s="562"/>
      <c r="NOI41" s="562"/>
      <c r="NOJ41" s="562"/>
      <c r="NOK41" s="562"/>
      <c r="NOL41" s="562"/>
      <c r="NOM41" s="562"/>
      <c r="NON41" s="562"/>
      <c r="NOO41" s="562"/>
      <c r="NOP41" s="562"/>
      <c r="NOQ41" s="562"/>
      <c r="NOR41" s="562"/>
      <c r="NOS41" s="562"/>
      <c r="NOT41" s="562"/>
      <c r="NOU41" s="562"/>
      <c r="NOV41" s="562"/>
      <c r="NOW41" s="562"/>
      <c r="NOX41" s="562"/>
      <c r="NOY41" s="562"/>
      <c r="NOZ41" s="562"/>
      <c r="NPA41" s="562"/>
      <c r="NPB41" s="562"/>
      <c r="NPC41" s="562"/>
      <c r="NPD41" s="562"/>
      <c r="NPE41" s="562"/>
      <c r="NPF41" s="562"/>
      <c r="NPG41" s="562"/>
      <c r="NPH41" s="562"/>
      <c r="NPI41" s="562"/>
      <c r="NPJ41" s="562"/>
      <c r="NPK41" s="562"/>
      <c r="NPL41" s="562"/>
      <c r="NPM41" s="562"/>
      <c r="NPN41" s="562"/>
      <c r="NPO41" s="562"/>
      <c r="NPP41" s="562"/>
      <c r="NPQ41" s="562"/>
      <c r="NPR41" s="562"/>
      <c r="NPS41" s="562"/>
      <c r="NPT41" s="562"/>
      <c r="NPU41" s="562"/>
      <c r="NPV41" s="562"/>
      <c r="NPW41" s="562"/>
      <c r="NPX41" s="562"/>
      <c r="NPY41" s="562"/>
      <c r="NPZ41" s="562"/>
      <c r="NQA41" s="562"/>
      <c r="NQB41" s="562"/>
      <c r="NQC41" s="562"/>
      <c r="NQD41" s="562"/>
      <c r="NQE41" s="562"/>
      <c r="NQF41" s="562"/>
      <c r="NQG41" s="562"/>
      <c r="NQH41" s="562"/>
      <c r="NQI41" s="562"/>
      <c r="NQJ41" s="562"/>
      <c r="NQK41" s="562"/>
      <c r="NQL41" s="562"/>
      <c r="NQM41" s="562"/>
      <c r="NQN41" s="562"/>
      <c r="NQO41" s="562"/>
      <c r="NQP41" s="562"/>
      <c r="NQQ41" s="562"/>
      <c r="NQR41" s="562"/>
      <c r="NQS41" s="562"/>
      <c r="NQT41" s="562"/>
      <c r="NQU41" s="562"/>
      <c r="NQV41" s="562"/>
      <c r="NQW41" s="562"/>
      <c r="NQX41" s="562"/>
      <c r="NQY41" s="562"/>
      <c r="NQZ41" s="562"/>
      <c r="NRA41" s="562"/>
      <c r="NRB41" s="562"/>
      <c r="NRC41" s="562"/>
      <c r="NRD41" s="562"/>
      <c r="NRE41" s="562"/>
      <c r="NRF41" s="562"/>
      <c r="NRG41" s="562"/>
      <c r="NRH41" s="562"/>
      <c r="NRI41" s="562"/>
      <c r="NRJ41" s="562"/>
      <c r="NRK41" s="562"/>
      <c r="NRL41" s="562"/>
      <c r="NRM41" s="562"/>
      <c r="NRN41" s="562"/>
      <c r="NRO41" s="562"/>
      <c r="NRP41" s="562"/>
      <c r="NRQ41" s="562"/>
      <c r="NRR41" s="562"/>
      <c r="NRS41" s="562"/>
      <c r="NRT41" s="562"/>
      <c r="NRU41" s="562"/>
      <c r="NRV41" s="562"/>
      <c r="NRW41" s="562"/>
      <c r="NRX41" s="562"/>
      <c r="NRY41" s="562"/>
      <c r="NRZ41" s="562"/>
      <c r="NSA41" s="562"/>
      <c r="NSB41" s="562"/>
      <c r="NSC41" s="562"/>
      <c r="NSD41" s="562"/>
      <c r="NSE41" s="562"/>
      <c r="NSF41" s="562"/>
      <c r="NSG41" s="562"/>
      <c r="NSH41" s="562"/>
      <c r="NSI41" s="562"/>
      <c r="NSJ41" s="562"/>
      <c r="NSK41" s="562"/>
      <c r="NSL41" s="562"/>
      <c r="NSM41" s="562"/>
      <c r="NSN41" s="562"/>
      <c r="NSO41" s="562"/>
      <c r="NSP41" s="562"/>
      <c r="NSQ41" s="562"/>
      <c r="NSR41" s="562"/>
      <c r="NSS41" s="562"/>
      <c r="NST41" s="562"/>
      <c r="NSU41" s="562"/>
      <c r="NSV41" s="562"/>
      <c r="NSW41" s="562"/>
      <c r="NSX41" s="562"/>
      <c r="NSY41" s="562"/>
      <c r="NSZ41" s="562"/>
      <c r="NTA41" s="562"/>
      <c r="NTB41" s="562"/>
      <c r="NTC41" s="562"/>
      <c r="NTD41" s="562"/>
      <c r="NTE41" s="562"/>
      <c r="NTF41" s="562"/>
      <c r="NTG41" s="562"/>
      <c r="NTH41" s="562"/>
      <c r="NTI41" s="562"/>
      <c r="NTJ41" s="562"/>
      <c r="NTK41" s="562"/>
      <c r="NTL41" s="562"/>
      <c r="NTM41" s="562"/>
      <c r="NTN41" s="562"/>
      <c r="NTO41" s="562"/>
      <c r="NTP41" s="562"/>
      <c r="NTQ41" s="562"/>
      <c r="NTR41" s="562"/>
      <c r="NTS41" s="562"/>
      <c r="NTT41" s="562"/>
      <c r="NTU41" s="562"/>
      <c r="NTV41" s="562"/>
      <c r="NTW41" s="562"/>
      <c r="NTX41" s="562"/>
      <c r="NTY41" s="562"/>
      <c r="NTZ41" s="562"/>
      <c r="NUA41" s="562"/>
      <c r="NUB41" s="562"/>
      <c r="NUC41" s="562"/>
      <c r="NUD41" s="562"/>
      <c r="NUE41" s="562"/>
      <c r="NUF41" s="562"/>
      <c r="NUG41" s="562"/>
      <c r="NUH41" s="562"/>
      <c r="NUI41" s="562"/>
      <c r="NUJ41" s="562"/>
      <c r="NUK41" s="562"/>
      <c r="NUL41" s="562"/>
      <c r="NUM41" s="562"/>
      <c r="NUN41" s="562"/>
      <c r="NUO41" s="562"/>
      <c r="NUP41" s="562"/>
      <c r="NUQ41" s="562"/>
      <c r="NUR41" s="562"/>
      <c r="NUS41" s="562"/>
      <c r="NUT41" s="562"/>
      <c r="NUU41" s="562"/>
      <c r="NUV41" s="562"/>
      <c r="NUW41" s="562"/>
      <c r="NUX41" s="562"/>
      <c r="NUY41" s="562"/>
      <c r="NUZ41" s="562"/>
      <c r="NVA41" s="562"/>
      <c r="NVB41" s="562"/>
      <c r="NVC41" s="562"/>
      <c r="NVD41" s="562"/>
      <c r="NVE41" s="562"/>
      <c r="NVF41" s="562"/>
      <c r="NVG41" s="562"/>
      <c r="NVH41" s="562"/>
      <c r="NVI41" s="562"/>
      <c r="NVJ41" s="562"/>
      <c r="NVK41" s="562"/>
      <c r="NVL41" s="562"/>
      <c r="NVM41" s="562"/>
      <c r="NVN41" s="562"/>
      <c r="NVO41" s="562"/>
      <c r="NVP41" s="562"/>
      <c r="NVQ41" s="562"/>
      <c r="NVR41" s="562"/>
      <c r="NVS41" s="562"/>
      <c r="NVT41" s="562"/>
      <c r="NVU41" s="562"/>
      <c r="NVV41" s="562"/>
      <c r="NVW41" s="562"/>
      <c r="NVX41" s="562"/>
      <c r="NVY41" s="562"/>
      <c r="NVZ41" s="562"/>
      <c r="NWA41" s="562"/>
      <c r="NWB41" s="562"/>
      <c r="NWC41" s="562"/>
      <c r="NWD41" s="562"/>
      <c r="NWE41" s="562"/>
      <c r="NWF41" s="562"/>
      <c r="NWG41" s="562"/>
      <c r="NWH41" s="562"/>
      <c r="NWI41" s="562"/>
      <c r="NWJ41" s="562"/>
      <c r="NWK41" s="562"/>
      <c r="NWL41" s="562"/>
      <c r="NWM41" s="562"/>
      <c r="NWN41" s="562"/>
      <c r="NWO41" s="562"/>
      <c r="NWP41" s="562"/>
      <c r="NWQ41" s="562"/>
      <c r="NWR41" s="562"/>
      <c r="NWS41" s="562"/>
      <c r="NWT41" s="562"/>
      <c r="NWU41" s="562"/>
      <c r="NWV41" s="562"/>
      <c r="NWW41" s="562"/>
      <c r="NWX41" s="562"/>
      <c r="NWY41" s="562"/>
      <c r="NWZ41" s="562"/>
      <c r="NXA41" s="562"/>
      <c r="NXB41" s="562"/>
      <c r="NXC41" s="562"/>
      <c r="NXD41" s="562"/>
      <c r="NXE41" s="562"/>
      <c r="NXF41" s="562"/>
      <c r="NXG41" s="562"/>
      <c r="NXH41" s="562"/>
      <c r="NXI41" s="562"/>
      <c r="NXJ41" s="562"/>
      <c r="NXK41" s="562"/>
      <c r="NXL41" s="562"/>
      <c r="NXM41" s="562"/>
      <c r="NXN41" s="562"/>
      <c r="NXO41" s="562"/>
      <c r="NXP41" s="562"/>
      <c r="NXQ41" s="562"/>
      <c r="NXR41" s="562"/>
      <c r="NXS41" s="562"/>
      <c r="NXT41" s="562"/>
      <c r="NXU41" s="562"/>
      <c r="NXV41" s="562"/>
      <c r="NXW41" s="562"/>
      <c r="NXX41" s="562"/>
      <c r="NXY41" s="562"/>
      <c r="NXZ41" s="562"/>
      <c r="NYA41" s="562"/>
      <c r="NYB41" s="562"/>
      <c r="NYC41" s="562"/>
      <c r="NYD41" s="562"/>
      <c r="NYE41" s="562"/>
      <c r="NYF41" s="562"/>
      <c r="NYG41" s="562"/>
      <c r="NYH41" s="562"/>
      <c r="NYI41" s="562"/>
      <c r="NYJ41" s="562"/>
      <c r="NYK41" s="562"/>
      <c r="NYL41" s="562"/>
      <c r="NYM41" s="562"/>
      <c r="NYN41" s="562"/>
      <c r="NYO41" s="562"/>
      <c r="NYP41" s="562"/>
      <c r="NYQ41" s="562"/>
      <c r="NYR41" s="562"/>
      <c r="NYS41" s="562"/>
      <c r="NYT41" s="562"/>
      <c r="NYU41" s="562"/>
      <c r="NYV41" s="562"/>
      <c r="NYW41" s="562"/>
      <c r="NYX41" s="562"/>
      <c r="NYY41" s="562"/>
      <c r="NYZ41" s="562"/>
      <c r="NZA41" s="562"/>
      <c r="NZB41" s="562"/>
      <c r="NZC41" s="562"/>
      <c r="NZD41" s="562"/>
      <c r="NZE41" s="562"/>
      <c r="NZF41" s="562"/>
      <c r="NZG41" s="562"/>
      <c r="NZH41" s="562"/>
      <c r="NZI41" s="562"/>
      <c r="NZJ41" s="562"/>
      <c r="NZK41" s="562"/>
      <c r="NZL41" s="562"/>
      <c r="NZM41" s="562"/>
      <c r="NZN41" s="562"/>
      <c r="NZO41" s="562"/>
      <c r="NZP41" s="562"/>
      <c r="NZQ41" s="562"/>
      <c r="NZR41" s="562"/>
      <c r="NZS41" s="562"/>
      <c r="NZT41" s="562"/>
      <c r="NZU41" s="562"/>
      <c r="NZV41" s="562"/>
      <c r="NZW41" s="562"/>
      <c r="NZX41" s="562"/>
      <c r="NZY41" s="562"/>
      <c r="NZZ41" s="562"/>
      <c r="OAA41" s="562"/>
      <c r="OAB41" s="562"/>
      <c r="OAC41" s="562"/>
      <c r="OAD41" s="562"/>
      <c r="OAE41" s="562"/>
      <c r="OAF41" s="562"/>
      <c r="OAG41" s="562"/>
      <c r="OAH41" s="562"/>
      <c r="OAI41" s="562"/>
      <c r="OAJ41" s="562"/>
      <c r="OAK41" s="562"/>
      <c r="OAL41" s="562"/>
      <c r="OAM41" s="562"/>
      <c r="OAN41" s="562"/>
      <c r="OAO41" s="562"/>
      <c r="OAP41" s="562"/>
      <c r="OAQ41" s="562"/>
      <c r="OAR41" s="562"/>
      <c r="OAS41" s="562"/>
      <c r="OAT41" s="562"/>
      <c r="OAU41" s="562"/>
      <c r="OAV41" s="562"/>
      <c r="OAW41" s="562"/>
      <c r="OAX41" s="562"/>
      <c r="OAY41" s="562"/>
      <c r="OAZ41" s="562"/>
      <c r="OBA41" s="562"/>
      <c r="OBB41" s="562"/>
      <c r="OBC41" s="562"/>
      <c r="OBD41" s="562"/>
      <c r="OBE41" s="562"/>
      <c r="OBF41" s="562"/>
      <c r="OBG41" s="562"/>
      <c r="OBH41" s="562"/>
      <c r="OBI41" s="562"/>
      <c r="OBJ41" s="562"/>
      <c r="OBK41" s="562"/>
      <c r="OBL41" s="562"/>
      <c r="OBM41" s="562"/>
      <c r="OBN41" s="562"/>
      <c r="OBO41" s="562"/>
      <c r="OBP41" s="562"/>
      <c r="OBQ41" s="562"/>
      <c r="OBR41" s="562"/>
      <c r="OBS41" s="562"/>
      <c r="OBT41" s="562"/>
      <c r="OBU41" s="562"/>
      <c r="OBV41" s="562"/>
      <c r="OBW41" s="562"/>
      <c r="OBX41" s="562"/>
      <c r="OBY41" s="562"/>
      <c r="OBZ41" s="562"/>
      <c r="OCA41" s="562"/>
      <c r="OCB41" s="562"/>
      <c r="OCC41" s="562"/>
      <c r="OCD41" s="562"/>
      <c r="OCE41" s="562"/>
      <c r="OCF41" s="562"/>
      <c r="OCG41" s="562"/>
      <c r="OCH41" s="562"/>
      <c r="OCI41" s="562"/>
      <c r="OCJ41" s="562"/>
      <c r="OCK41" s="562"/>
      <c r="OCL41" s="562"/>
      <c r="OCM41" s="562"/>
      <c r="OCN41" s="562"/>
      <c r="OCO41" s="562"/>
      <c r="OCP41" s="562"/>
      <c r="OCQ41" s="562"/>
      <c r="OCR41" s="562"/>
      <c r="OCS41" s="562"/>
      <c r="OCT41" s="562"/>
      <c r="OCU41" s="562"/>
      <c r="OCV41" s="562"/>
      <c r="OCW41" s="562"/>
      <c r="OCX41" s="562"/>
      <c r="OCY41" s="562"/>
      <c r="OCZ41" s="562"/>
      <c r="ODA41" s="562"/>
      <c r="ODB41" s="562"/>
      <c r="ODC41" s="562"/>
      <c r="ODD41" s="562"/>
      <c r="ODE41" s="562"/>
      <c r="ODF41" s="562"/>
      <c r="ODG41" s="562"/>
      <c r="ODH41" s="562"/>
      <c r="ODI41" s="562"/>
      <c r="ODJ41" s="562"/>
      <c r="ODK41" s="562"/>
      <c r="ODL41" s="562"/>
      <c r="ODM41" s="562"/>
      <c r="ODN41" s="562"/>
      <c r="ODO41" s="562"/>
      <c r="ODP41" s="562"/>
      <c r="ODQ41" s="562"/>
      <c r="ODR41" s="562"/>
      <c r="ODS41" s="562"/>
      <c r="ODT41" s="562"/>
      <c r="ODU41" s="562"/>
      <c r="ODV41" s="562"/>
      <c r="ODW41" s="562"/>
      <c r="ODX41" s="562"/>
      <c r="ODY41" s="562"/>
      <c r="ODZ41" s="562"/>
      <c r="OEA41" s="562"/>
      <c r="OEB41" s="562"/>
      <c r="OEC41" s="562"/>
      <c r="OED41" s="562"/>
      <c r="OEE41" s="562"/>
      <c r="OEF41" s="562"/>
      <c r="OEG41" s="562"/>
      <c r="OEH41" s="562"/>
      <c r="OEI41" s="562"/>
      <c r="OEJ41" s="562"/>
      <c r="OEK41" s="562"/>
      <c r="OEL41" s="562"/>
      <c r="OEM41" s="562"/>
      <c r="OEN41" s="562"/>
      <c r="OEO41" s="562"/>
      <c r="OEP41" s="562"/>
      <c r="OEQ41" s="562"/>
      <c r="OER41" s="562"/>
      <c r="OES41" s="562"/>
      <c r="OET41" s="562"/>
      <c r="OEU41" s="562"/>
      <c r="OEV41" s="562"/>
      <c r="OEW41" s="562"/>
      <c r="OEX41" s="562"/>
      <c r="OEY41" s="562"/>
      <c r="OEZ41" s="562"/>
      <c r="OFA41" s="562"/>
      <c r="OFB41" s="562"/>
      <c r="OFC41" s="562"/>
      <c r="OFD41" s="562"/>
      <c r="OFE41" s="562"/>
      <c r="OFF41" s="562"/>
      <c r="OFG41" s="562"/>
      <c r="OFH41" s="562"/>
      <c r="OFI41" s="562"/>
      <c r="OFJ41" s="562"/>
      <c r="OFK41" s="562"/>
      <c r="OFL41" s="562"/>
      <c r="OFM41" s="562"/>
      <c r="OFN41" s="562"/>
      <c r="OFO41" s="562"/>
      <c r="OFP41" s="562"/>
      <c r="OFQ41" s="562"/>
      <c r="OFR41" s="562"/>
      <c r="OFS41" s="562"/>
      <c r="OFT41" s="562"/>
      <c r="OFU41" s="562"/>
      <c r="OFV41" s="562"/>
      <c r="OFW41" s="562"/>
      <c r="OFX41" s="562"/>
      <c r="OFY41" s="562"/>
      <c r="OFZ41" s="562"/>
      <c r="OGA41" s="562"/>
      <c r="OGB41" s="562"/>
      <c r="OGC41" s="562"/>
      <c r="OGD41" s="562"/>
      <c r="OGE41" s="562"/>
      <c r="OGF41" s="562"/>
      <c r="OGG41" s="562"/>
      <c r="OGH41" s="562"/>
      <c r="OGI41" s="562"/>
      <c r="OGJ41" s="562"/>
      <c r="OGK41" s="562"/>
      <c r="OGL41" s="562"/>
      <c r="OGM41" s="562"/>
      <c r="OGN41" s="562"/>
      <c r="OGO41" s="562"/>
      <c r="OGP41" s="562"/>
      <c r="OGQ41" s="562"/>
      <c r="OGR41" s="562"/>
      <c r="OGS41" s="562"/>
      <c r="OGT41" s="562"/>
      <c r="OGU41" s="562"/>
      <c r="OGV41" s="562"/>
      <c r="OGW41" s="562"/>
      <c r="OGX41" s="562"/>
      <c r="OGY41" s="562"/>
      <c r="OGZ41" s="562"/>
      <c r="OHA41" s="562"/>
      <c r="OHB41" s="562"/>
      <c r="OHC41" s="562"/>
      <c r="OHD41" s="562"/>
      <c r="OHE41" s="562"/>
      <c r="OHF41" s="562"/>
      <c r="OHG41" s="562"/>
      <c r="OHH41" s="562"/>
      <c r="OHI41" s="562"/>
      <c r="OHJ41" s="562"/>
      <c r="OHK41" s="562"/>
      <c r="OHL41" s="562"/>
      <c r="OHM41" s="562"/>
      <c r="OHN41" s="562"/>
      <c r="OHO41" s="562"/>
      <c r="OHP41" s="562"/>
      <c r="OHQ41" s="562"/>
      <c r="OHR41" s="562"/>
      <c r="OHS41" s="562"/>
      <c r="OHT41" s="562"/>
      <c r="OHU41" s="562"/>
      <c r="OHV41" s="562"/>
      <c r="OHW41" s="562"/>
      <c r="OHX41" s="562"/>
      <c r="OHY41" s="562"/>
      <c r="OHZ41" s="562"/>
      <c r="OIA41" s="562"/>
      <c r="OIB41" s="562"/>
      <c r="OIC41" s="562"/>
      <c r="OID41" s="562"/>
      <c r="OIE41" s="562"/>
      <c r="OIF41" s="562"/>
      <c r="OIG41" s="562"/>
      <c r="OIH41" s="562"/>
      <c r="OII41" s="562"/>
      <c r="OIJ41" s="562"/>
      <c r="OIK41" s="562"/>
      <c r="OIL41" s="562"/>
      <c r="OIM41" s="562"/>
      <c r="OIN41" s="562"/>
      <c r="OIO41" s="562"/>
      <c r="OIP41" s="562"/>
      <c r="OIQ41" s="562"/>
      <c r="OIR41" s="562"/>
      <c r="OIS41" s="562"/>
      <c r="OIT41" s="562"/>
      <c r="OIU41" s="562"/>
      <c r="OIV41" s="562"/>
      <c r="OIW41" s="562"/>
      <c r="OIX41" s="562"/>
      <c r="OIY41" s="562"/>
      <c r="OIZ41" s="562"/>
      <c r="OJA41" s="562"/>
      <c r="OJB41" s="562"/>
      <c r="OJC41" s="562"/>
      <c r="OJD41" s="562"/>
      <c r="OJE41" s="562"/>
      <c r="OJF41" s="562"/>
      <c r="OJG41" s="562"/>
      <c r="OJH41" s="562"/>
      <c r="OJI41" s="562"/>
      <c r="OJJ41" s="562"/>
      <c r="OJK41" s="562"/>
      <c r="OJL41" s="562"/>
      <c r="OJM41" s="562"/>
      <c r="OJN41" s="562"/>
      <c r="OJO41" s="562"/>
      <c r="OJP41" s="562"/>
      <c r="OJQ41" s="562"/>
      <c r="OJR41" s="562"/>
      <c r="OJS41" s="562"/>
      <c r="OJT41" s="562"/>
      <c r="OJU41" s="562"/>
      <c r="OJV41" s="562"/>
      <c r="OJW41" s="562"/>
      <c r="OJX41" s="562"/>
      <c r="OJY41" s="562"/>
      <c r="OJZ41" s="562"/>
      <c r="OKA41" s="562"/>
      <c r="OKB41" s="562"/>
      <c r="OKC41" s="562"/>
      <c r="OKD41" s="562"/>
      <c r="OKE41" s="562"/>
      <c r="OKF41" s="562"/>
      <c r="OKG41" s="562"/>
      <c r="OKH41" s="562"/>
      <c r="OKI41" s="562"/>
      <c r="OKJ41" s="562"/>
      <c r="OKK41" s="562"/>
      <c r="OKL41" s="562"/>
      <c r="OKM41" s="562"/>
      <c r="OKN41" s="562"/>
      <c r="OKO41" s="562"/>
      <c r="OKP41" s="562"/>
      <c r="OKQ41" s="562"/>
      <c r="OKR41" s="562"/>
      <c r="OKS41" s="562"/>
      <c r="OKT41" s="562"/>
      <c r="OKU41" s="562"/>
      <c r="OKV41" s="562"/>
      <c r="OKW41" s="562"/>
      <c r="OKX41" s="562"/>
      <c r="OKY41" s="562"/>
      <c r="OKZ41" s="562"/>
      <c r="OLA41" s="562"/>
      <c r="OLB41" s="562"/>
      <c r="OLC41" s="562"/>
      <c r="OLD41" s="562"/>
      <c r="OLE41" s="562"/>
      <c r="OLF41" s="562"/>
      <c r="OLG41" s="562"/>
      <c r="OLH41" s="562"/>
      <c r="OLI41" s="562"/>
      <c r="OLJ41" s="562"/>
      <c r="OLK41" s="562"/>
      <c r="OLL41" s="562"/>
      <c r="OLM41" s="562"/>
      <c r="OLN41" s="562"/>
      <c r="OLO41" s="562"/>
      <c r="OLP41" s="562"/>
      <c r="OLQ41" s="562"/>
      <c r="OLR41" s="562"/>
      <c r="OLS41" s="562"/>
      <c r="OLT41" s="562"/>
      <c r="OLU41" s="562"/>
      <c r="OLV41" s="562"/>
      <c r="OLW41" s="562"/>
      <c r="OLX41" s="562"/>
      <c r="OLY41" s="562"/>
      <c r="OLZ41" s="562"/>
      <c r="OMA41" s="562"/>
      <c r="OMB41" s="562"/>
      <c r="OMC41" s="562"/>
      <c r="OMD41" s="562"/>
      <c r="OME41" s="562"/>
      <c r="OMF41" s="562"/>
      <c r="OMG41" s="562"/>
      <c r="OMH41" s="562"/>
      <c r="OMI41" s="562"/>
      <c r="OMJ41" s="562"/>
      <c r="OMK41" s="562"/>
      <c r="OML41" s="562"/>
      <c r="OMM41" s="562"/>
      <c r="OMN41" s="562"/>
      <c r="OMO41" s="562"/>
      <c r="OMP41" s="562"/>
      <c r="OMQ41" s="562"/>
      <c r="OMR41" s="562"/>
      <c r="OMS41" s="562"/>
      <c r="OMT41" s="562"/>
      <c r="OMU41" s="562"/>
      <c r="OMV41" s="562"/>
      <c r="OMW41" s="562"/>
      <c r="OMX41" s="562"/>
      <c r="OMY41" s="562"/>
      <c r="OMZ41" s="562"/>
      <c r="ONA41" s="562"/>
      <c r="ONB41" s="562"/>
      <c r="ONC41" s="562"/>
      <c r="OND41" s="562"/>
      <c r="ONE41" s="562"/>
      <c r="ONF41" s="562"/>
      <c r="ONG41" s="562"/>
      <c r="ONH41" s="562"/>
      <c r="ONI41" s="562"/>
      <c r="ONJ41" s="562"/>
      <c r="ONK41" s="562"/>
      <c r="ONL41" s="562"/>
      <c r="ONM41" s="562"/>
      <c r="ONN41" s="562"/>
      <c r="ONO41" s="562"/>
      <c r="ONP41" s="562"/>
      <c r="ONQ41" s="562"/>
      <c r="ONR41" s="562"/>
      <c r="ONS41" s="562"/>
      <c r="ONT41" s="562"/>
      <c r="ONU41" s="562"/>
      <c r="ONV41" s="562"/>
      <c r="ONW41" s="562"/>
      <c r="ONX41" s="562"/>
      <c r="ONY41" s="562"/>
      <c r="ONZ41" s="562"/>
      <c r="OOA41" s="562"/>
      <c r="OOB41" s="562"/>
      <c r="OOC41" s="562"/>
      <c r="OOD41" s="562"/>
      <c r="OOE41" s="562"/>
      <c r="OOF41" s="562"/>
      <c r="OOG41" s="562"/>
      <c r="OOH41" s="562"/>
      <c r="OOI41" s="562"/>
      <c r="OOJ41" s="562"/>
      <c r="OOK41" s="562"/>
      <c r="OOL41" s="562"/>
      <c r="OOM41" s="562"/>
      <c r="OON41" s="562"/>
      <c r="OOO41" s="562"/>
      <c r="OOP41" s="562"/>
      <c r="OOQ41" s="562"/>
      <c r="OOR41" s="562"/>
      <c r="OOS41" s="562"/>
      <c r="OOT41" s="562"/>
      <c r="OOU41" s="562"/>
      <c r="OOV41" s="562"/>
      <c r="OOW41" s="562"/>
      <c r="OOX41" s="562"/>
      <c r="OOY41" s="562"/>
      <c r="OOZ41" s="562"/>
      <c r="OPA41" s="562"/>
      <c r="OPB41" s="562"/>
      <c r="OPC41" s="562"/>
      <c r="OPD41" s="562"/>
      <c r="OPE41" s="562"/>
      <c r="OPF41" s="562"/>
      <c r="OPG41" s="562"/>
      <c r="OPH41" s="562"/>
      <c r="OPI41" s="562"/>
      <c r="OPJ41" s="562"/>
      <c r="OPK41" s="562"/>
      <c r="OPL41" s="562"/>
      <c r="OPM41" s="562"/>
      <c r="OPN41" s="562"/>
      <c r="OPO41" s="562"/>
      <c r="OPP41" s="562"/>
      <c r="OPQ41" s="562"/>
      <c r="OPR41" s="562"/>
      <c r="OPS41" s="562"/>
      <c r="OPT41" s="562"/>
      <c r="OPU41" s="562"/>
      <c r="OPV41" s="562"/>
      <c r="OPW41" s="562"/>
      <c r="OPX41" s="562"/>
      <c r="OPY41" s="562"/>
      <c r="OPZ41" s="562"/>
      <c r="OQA41" s="562"/>
      <c r="OQB41" s="562"/>
      <c r="OQC41" s="562"/>
      <c r="OQD41" s="562"/>
      <c r="OQE41" s="562"/>
      <c r="OQF41" s="562"/>
      <c r="OQG41" s="562"/>
      <c r="OQH41" s="562"/>
      <c r="OQI41" s="562"/>
      <c r="OQJ41" s="562"/>
      <c r="OQK41" s="562"/>
      <c r="OQL41" s="562"/>
      <c r="OQM41" s="562"/>
      <c r="OQN41" s="562"/>
      <c r="OQO41" s="562"/>
      <c r="OQP41" s="562"/>
      <c r="OQQ41" s="562"/>
      <c r="OQR41" s="562"/>
      <c r="OQS41" s="562"/>
      <c r="OQT41" s="562"/>
      <c r="OQU41" s="562"/>
      <c r="OQV41" s="562"/>
      <c r="OQW41" s="562"/>
      <c r="OQX41" s="562"/>
      <c r="OQY41" s="562"/>
      <c r="OQZ41" s="562"/>
      <c r="ORA41" s="562"/>
      <c r="ORB41" s="562"/>
      <c r="ORC41" s="562"/>
      <c r="ORD41" s="562"/>
      <c r="ORE41" s="562"/>
      <c r="ORF41" s="562"/>
      <c r="ORG41" s="562"/>
      <c r="ORH41" s="562"/>
      <c r="ORI41" s="562"/>
      <c r="ORJ41" s="562"/>
      <c r="ORK41" s="562"/>
      <c r="ORL41" s="562"/>
      <c r="ORM41" s="562"/>
      <c r="ORN41" s="562"/>
      <c r="ORO41" s="562"/>
      <c r="ORP41" s="562"/>
      <c r="ORQ41" s="562"/>
      <c r="ORR41" s="562"/>
      <c r="ORS41" s="562"/>
      <c r="ORT41" s="562"/>
      <c r="ORU41" s="562"/>
      <c r="ORV41" s="562"/>
      <c r="ORW41" s="562"/>
      <c r="ORX41" s="562"/>
      <c r="ORY41" s="562"/>
      <c r="ORZ41" s="562"/>
      <c r="OSA41" s="562"/>
      <c r="OSB41" s="562"/>
      <c r="OSC41" s="562"/>
      <c r="OSD41" s="562"/>
      <c r="OSE41" s="562"/>
      <c r="OSF41" s="562"/>
      <c r="OSG41" s="562"/>
      <c r="OSH41" s="562"/>
      <c r="OSI41" s="562"/>
      <c r="OSJ41" s="562"/>
      <c r="OSK41" s="562"/>
      <c r="OSL41" s="562"/>
      <c r="OSM41" s="562"/>
      <c r="OSN41" s="562"/>
      <c r="OSO41" s="562"/>
      <c r="OSP41" s="562"/>
      <c r="OSQ41" s="562"/>
      <c r="OSR41" s="562"/>
      <c r="OSS41" s="562"/>
      <c r="OST41" s="562"/>
      <c r="OSU41" s="562"/>
      <c r="OSV41" s="562"/>
      <c r="OSW41" s="562"/>
      <c r="OSX41" s="562"/>
      <c r="OSY41" s="562"/>
      <c r="OSZ41" s="562"/>
      <c r="OTA41" s="562"/>
      <c r="OTB41" s="562"/>
      <c r="OTC41" s="562"/>
      <c r="OTD41" s="562"/>
      <c r="OTE41" s="562"/>
      <c r="OTF41" s="562"/>
      <c r="OTG41" s="562"/>
      <c r="OTH41" s="562"/>
      <c r="OTI41" s="562"/>
      <c r="OTJ41" s="562"/>
      <c r="OTK41" s="562"/>
      <c r="OTL41" s="562"/>
      <c r="OTM41" s="562"/>
      <c r="OTN41" s="562"/>
      <c r="OTO41" s="562"/>
      <c r="OTP41" s="562"/>
      <c r="OTQ41" s="562"/>
      <c r="OTR41" s="562"/>
      <c r="OTS41" s="562"/>
      <c r="OTT41" s="562"/>
      <c r="OTU41" s="562"/>
      <c r="OTV41" s="562"/>
      <c r="OTW41" s="562"/>
      <c r="OTX41" s="562"/>
      <c r="OTY41" s="562"/>
      <c r="OTZ41" s="562"/>
      <c r="OUA41" s="562"/>
      <c r="OUB41" s="562"/>
      <c r="OUC41" s="562"/>
      <c r="OUD41" s="562"/>
      <c r="OUE41" s="562"/>
      <c r="OUF41" s="562"/>
      <c r="OUG41" s="562"/>
      <c r="OUH41" s="562"/>
      <c r="OUI41" s="562"/>
      <c r="OUJ41" s="562"/>
      <c r="OUK41" s="562"/>
      <c r="OUL41" s="562"/>
      <c r="OUM41" s="562"/>
      <c r="OUN41" s="562"/>
      <c r="OUO41" s="562"/>
      <c r="OUP41" s="562"/>
      <c r="OUQ41" s="562"/>
      <c r="OUR41" s="562"/>
      <c r="OUS41" s="562"/>
      <c r="OUT41" s="562"/>
      <c r="OUU41" s="562"/>
      <c r="OUV41" s="562"/>
      <c r="OUW41" s="562"/>
      <c r="OUX41" s="562"/>
      <c r="OUY41" s="562"/>
      <c r="OUZ41" s="562"/>
      <c r="OVA41" s="562"/>
      <c r="OVB41" s="562"/>
      <c r="OVC41" s="562"/>
      <c r="OVD41" s="562"/>
      <c r="OVE41" s="562"/>
      <c r="OVF41" s="562"/>
      <c r="OVG41" s="562"/>
      <c r="OVH41" s="562"/>
      <c r="OVI41" s="562"/>
      <c r="OVJ41" s="562"/>
      <c r="OVK41" s="562"/>
      <c r="OVL41" s="562"/>
      <c r="OVM41" s="562"/>
      <c r="OVN41" s="562"/>
      <c r="OVO41" s="562"/>
      <c r="OVP41" s="562"/>
      <c r="OVQ41" s="562"/>
      <c r="OVR41" s="562"/>
      <c r="OVS41" s="562"/>
      <c r="OVT41" s="562"/>
      <c r="OVU41" s="562"/>
      <c r="OVV41" s="562"/>
      <c r="OVW41" s="562"/>
      <c r="OVX41" s="562"/>
      <c r="OVY41" s="562"/>
      <c r="OVZ41" s="562"/>
      <c r="OWA41" s="562"/>
      <c r="OWB41" s="562"/>
      <c r="OWC41" s="562"/>
      <c r="OWD41" s="562"/>
      <c r="OWE41" s="562"/>
      <c r="OWF41" s="562"/>
      <c r="OWG41" s="562"/>
      <c r="OWH41" s="562"/>
      <c r="OWI41" s="562"/>
      <c r="OWJ41" s="562"/>
      <c r="OWK41" s="562"/>
      <c r="OWL41" s="562"/>
      <c r="OWM41" s="562"/>
      <c r="OWN41" s="562"/>
      <c r="OWO41" s="562"/>
      <c r="OWP41" s="562"/>
      <c r="OWQ41" s="562"/>
      <c r="OWR41" s="562"/>
      <c r="OWS41" s="562"/>
      <c r="OWT41" s="562"/>
      <c r="OWU41" s="562"/>
      <c r="OWV41" s="562"/>
      <c r="OWW41" s="562"/>
      <c r="OWX41" s="562"/>
      <c r="OWY41" s="562"/>
      <c r="OWZ41" s="562"/>
      <c r="OXA41" s="562"/>
      <c r="OXB41" s="562"/>
      <c r="OXC41" s="562"/>
      <c r="OXD41" s="562"/>
      <c r="OXE41" s="562"/>
      <c r="OXF41" s="562"/>
      <c r="OXG41" s="562"/>
      <c r="OXH41" s="562"/>
      <c r="OXI41" s="562"/>
      <c r="OXJ41" s="562"/>
      <c r="OXK41" s="562"/>
      <c r="OXL41" s="562"/>
      <c r="OXM41" s="562"/>
      <c r="OXN41" s="562"/>
      <c r="OXO41" s="562"/>
      <c r="OXP41" s="562"/>
      <c r="OXQ41" s="562"/>
      <c r="OXR41" s="562"/>
      <c r="OXS41" s="562"/>
      <c r="OXT41" s="562"/>
      <c r="OXU41" s="562"/>
      <c r="OXV41" s="562"/>
      <c r="OXW41" s="562"/>
      <c r="OXX41" s="562"/>
      <c r="OXY41" s="562"/>
      <c r="OXZ41" s="562"/>
      <c r="OYA41" s="562"/>
      <c r="OYB41" s="562"/>
      <c r="OYC41" s="562"/>
      <c r="OYD41" s="562"/>
      <c r="OYE41" s="562"/>
      <c r="OYF41" s="562"/>
      <c r="OYG41" s="562"/>
      <c r="OYH41" s="562"/>
      <c r="OYI41" s="562"/>
      <c r="OYJ41" s="562"/>
      <c r="OYK41" s="562"/>
      <c r="OYL41" s="562"/>
      <c r="OYM41" s="562"/>
      <c r="OYN41" s="562"/>
      <c r="OYO41" s="562"/>
      <c r="OYP41" s="562"/>
      <c r="OYQ41" s="562"/>
      <c r="OYR41" s="562"/>
      <c r="OYS41" s="562"/>
      <c r="OYT41" s="562"/>
      <c r="OYU41" s="562"/>
      <c r="OYV41" s="562"/>
      <c r="OYW41" s="562"/>
      <c r="OYX41" s="562"/>
      <c r="OYY41" s="562"/>
      <c r="OYZ41" s="562"/>
      <c r="OZA41" s="562"/>
      <c r="OZB41" s="562"/>
      <c r="OZC41" s="562"/>
      <c r="OZD41" s="562"/>
      <c r="OZE41" s="562"/>
      <c r="OZF41" s="562"/>
      <c r="OZG41" s="562"/>
      <c r="OZH41" s="562"/>
      <c r="OZI41" s="562"/>
      <c r="OZJ41" s="562"/>
      <c r="OZK41" s="562"/>
      <c r="OZL41" s="562"/>
      <c r="OZM41" s="562"/>
      <c r="OZN41" s="562"/>
      <c r="OZO41" s="562"/>
      <c r="OZP41" s="562"/>
      <c r="OZQ41" s="562"/>
      <c r="OZR41" s="562"/>
      <c r="OZS41" s="562"/>
      <c r="OZT41" s="562"/>
      <c r="OZU41" s="562"/>
      <c r="OZV41" s="562"/>
      <c r="OZW41" s="562"/>
      <c r="OZX41" s="562"/>
      <c r="OZY41" s="562"/>
      <c r="OZZ41" s="562"/>
      <c r="PAA41" s="562"/>
      <c r="PAB41" s="562"/>
      <c r="PAC41" s="562"/>
      <c r="PAD41" s="562"/>
      <c r="PAE41" s="562"/>
      <c r="PAF41" s="562"/>
      <c r="PAG41" s="562"/>
      <c r="PAH41" s="562"/>
      <c r="PAI41" s="562"/>
      <c r="PAJ41" s="562"/>
      <c r="PAK41" s="562"/>
      <c r="PAL41" s="562"/>
      <c r="PAM41" s="562"/>
      <c r="PAN41" s="562"/>
      <c r="PAO41" s="562"/>
      <c r="PAP41" s="562"/>
      <c r="PAQ41" s="562"/>
      <c r="PAR41" s="562"/>
      <c r="PAS41" s="562"/>
      <c r="PAT41" s="562"/>
      <c r="PAU41" s="562"/>
      <c r="PAV41" s="562"/>
      <c r="PAW41" s="562"/>
      <c r="PAX41" s="562"/>
      <c r="PAY41" s="562"/>
      <c r="PAZ41" s="562"/>
      <c r="PBA41" s="562"/>
      <c r="PBB41" s="562"/>
      <c r="PBC41" s="562"/>
      <c r="PBD41" s="562"/>
      <c r="PBE41" s="562"/>
      <c r="PBF41" s="562"/>
      <c r="PBG41" s="562"/>
      <c r="PBH41" s="562"/>
      <c r="PBI41" s="562"/>
      <c r="PBJ41" s="562"/>
      <c r="PBK41" s="562"/>
      <c r="PBL41" s="562"/>
      <c r="PBM41" s="562"/>
      <c r="PBN41" s="562"/>
      <c r="PBO41" s="562"/>
      <c r="PBP41" s="562"/>
      <c r="PBQ41" s="562"/>
      <c r="PBR41" s="562"/>
      <c r="PBS41" s="562"/>
      <c r="PBT41" s="562"/>
      <c r="PBU41" s="562"/>
      <c r="PBV41" s="562"/>
      <c r="PBW41" s="562"/>
      <c r="PBX41" s="562"/>
      <c r="PBY41" s="562"/>
      <c r="PBZ41" s="562"/>
      <c r="PCA41" s="562"/>
      <c r="PCB41" s="562"/>
      <c r="PCC41" s="562"/>
      <c r="PCD41" s="562"/>
      <c r="PCE41" s="562"/>
      <c r="PCF41" s="562"/>
      <c r="PCG41" s="562"/>
      <c r="PCH41" s="562"/>
      <c r="PCI41" s="562"/>
      <c r="PCJ41" s="562"/>
      <c r="PCK41" s="562"/>
      <c r="PCL41" s="562"/>
      <c r="PCM41" s="562"/>
      <c r="PCN41" s="562"/>
      <c r="PCO41" s="562"/>
      <c r="PCP41" s="562"/>
      <c r="PCQ41" s="562"/>
      <c r="PCR41" s="562"/>
      <c r="PCS41" s="562"/>
      <c r="PCT41" s="562"/>
      <c r="PCU41" s="562"/>
      <c r="PCV41" s="562"/>
      <c r="PCW41" s="562"/>
      <c r="PCX41" s="562"/>
      <c r="PCY41" s="562"/>
      <c r="PCZ41" s="562"/>
      <c r="PDA41" s="562"/>
      <c r="PDB41" s="562"/>
      <c r="PDC41" s="562"/>
      <c r="PDD41" s="562"/>
      <c r="PDE41" s="562"/>
      <c r="PDF41" s="562"/>
      <c r="PDG41" s="562"/>
      <c r="PDH41" s="562"/>
      <c r="PDI41" s="562"/>
      <c r="PDJ41" s="562"/>
      <c r="PDK41" s="562"/>
      <c r="PDL41" s="562"/>
      <c r="PDM41" s="562"/>
      <c r="PDN41" s="562"/>
      <c r="PDO41" s="562"/>
      <c r="PDP41" s="562"/>
      <c r="PDQ41" s="562"/>
      <c r="PDR41" s="562"/>
      <c r="PDS41" s="562"/>
      <c r="PDT41" s="562"/>
      <c r="PDU41" s="562"/>
      <c r="PDV41" s="562"/>
      <c r="PDW41" s="562"/>
      <c r="PDX41" s="562"/>
      <c r="PDY41" s="562"/>
      <c r="PDZ41" s="562"/>
      <c r="PEA41" s="562"/>
      <c r="PEB41" s="562"/>
      <c r="PEC41" s="562"/>
      <c r="PED41" s="562"/>
      <c r="PEE41" s="562"/>
      <c r="PEF41" s="562"/>
      <c r="PEG41" s="562"/>
      <c r="PEH41" s="562"/>
      <c r="PEI41" s="562"/>
      <c r="PEJ41" s="562"/>
      <c r="PEK41" s="562"/>
      <c r="PEL41" s="562"/>
      <c r="PEM41" s="562"/>
      <c r="PEN41" s="562"/>
      <c r="PEO41" s="562"/>
      <c r="PEP41" s="562"/>
      <c r="PEQ41" s="562"/>
      <c r="PER41" s="562"/>
      <c r="PES41" s="562"/>
      <c r="PET41" s="562"/>
      <c r="PEU41" s="562"/>
      <c r="PEV41" s="562"/>
      <c r="PEW41" s="562"/>
      <c r="PEX41" s="562"/>
      <c r="PEY41" s="562"/>
      <c r="PEZ41" s="562"/>
      <c r="PFA41" s="562"/>
      <c r="PFB41" s="562"/>
      <c r="PFC41" s="562"/>
      <c r="PFD41" s="562"/>
      <c r="PFE41" s="562"/>
      <c r="PFF41" s="562"/>
      <c r="PFG41" s="562"/>
      <c r="PFH41" s="562"/>
      <c r="PFI41" s="562"/>
      <c r="PFJ41" s="562"/>
      <c r="PFK41" s="562"/>
      <c r="PFL41" s="562"/>
      <c r="PFM41" s="562"/>
      <c r="PFN41" s="562"/>
      <c r="PFO41" s="562"/>
      <c r="PFP41" s="562"/>
      <c r="PFQ41" s="562"/>
      <c r="PFR41" s="562"/>
      <c r="PFS41" s="562"/>
      <c r="PFT41" s="562"/>
      <c r="PFU41" s="562"/>
      <c r="PFV41" s="562"/>
      <c r="PFW41" s="562"/>
      <c r="PFX41" s="562"/>
      <c r="PFY41" s="562"/>
      <c r="PFZ41" s="562"/>
      <c r="PGA41" s="562"/>
      <c r="PGB41" s="562"/>
      <c r="PGC41" s="562"/>
      <c r="PGD41" s="562"/>
      <c r="PGE41" s="562"/>
      <c r="PGF41" s="562"/>
      <c r="PGG41" s="562"/>
      <c r="PGH41" s="562"/>
      <c r="PGI41" s="562"/>
      <c r="PGJ41" s="562"/>
      <c r="PGK41" s="562"/>
      <c r="PGL41" s="562"/>
      <c r="PGM41" s="562"/>
      <c r="PGN41" s="562"/>
      <c r="PGO41" s="562"/>
      <c r="PGP41" s="562"/>
      <c r="PGQ41" s="562"/>
      <c r="PGR41" s="562"/>
      <c r="PGS41" s="562"/>
      <c r="PGT41" s="562"/>
      <c r="PGU41" s="562"/>
      <c r="PGV41" s="562"/>
      <c r="PGW41" s="562"/>
      <c r="PGX41" s="562"/>
      <c r="PGY41" s="562"/>
      <c r="PGZ41" s="562"/>
      <c r="PHA41" s="562"/>
      <c r="PHB41" s="562"/>
      <c r="PHC41" s="562"/>
      <c r="PHD41" s="562"/>
      <c r="PHE41" s="562"/>
      <c r="PHF41" s="562"/>
      <c r="PHG41" s="562"/>
      <c r="PHH41" s="562"/>
      <c r="PHI41" s="562"/>
      <c r="PHJ41" s="562"/>
      <c r="PHK41" s="562"/>
      <c r="PHL41" s="562"/>
      <c r="PHM41" s="562"/>
      <c r="PHN41" s="562"/>
      <c r="PHO41" s="562"/>
      <c r="PHP41" s="562"/>
      <c r="PHQ41" s="562"/>
      <c r="PHR41" s="562"/>
      <c r="PHS41" s="562"/>
      <c r="PHT41" s="562"/>
      <c r="PHU41" s="562"/>
      <c r="PHV41" s="562"/>
      <c r="PHW41" s="562"/>
      <c r="PHX41" s="562"/>
      <c r="PHY41" s="562"/>
      <c r="PHZ41" s="562"/>
      <c r="PIA41" s="562"/>
      <c r="PIB41" s="562"/>
      <c r="PIC41" s="562"/>
      <c r="PID41" s="562"/>
      <c r="PIE41" s="562"/>
      <c r="PIF41" s="562"/>
      <c r="PIG41" s="562"/>
      <c r="PIH41" s="562"/>
      <c r="PII41" s="562"/>
      <c r="PIJ41" s="562"/>
      <c r="PIK41" s="562"/>
      <c r="PIL41" s="562"/>
      <c r="PIM41" s="562"/>
      <c r="PIN41" s="562"/>
      <c r="PIO41" s="562"/>
      <c r="PIP41" s="562"/>
      <c r="PIQ41" s="562"/>
      <c r="PIR41" s="562"/>
      <c r="PIS41" s="562"/>
      <c r="PIT41" s="562"/>
      <c r="PIU41" s="562"/>
      <c r="PIV41" s="562"/>
      <c r="PIW41" s="562"/>
      <c r="PIX41" s="562"/>
      <c r="PIY41" s="562"/>
      <c r="PIZ41" s="562"/>
      <c r="PJA41" s="562"/>
      <c r="PJB41" s="562"/>
      <c r="PJC41" s="562"/>
      <c r="PJD41" s="562"/>
      <c r="PJE41" s="562"/>
      <c r="PJF41" s="562"/>
      <c r="PJG41" s="562"/>
      <c r="PJH41" s="562"/>
      <c r="PJI41" s="562"/>
      <c r="PJJ41" s="562"/>
      <c r="PJK41" s="562"/>
      <c r="PJL41" s="562"/>
      <c r="PJM41" s="562"/>
      <c r="PJN41" s="562"/>
      <c r="PJO41" s="562"/>
      <c r="PJP41" s="562"/>
      <c r="PJQ41" s="562"/>
      <c r="PJR41" s="562"/>
      <c r="PJS41" s="562"/>
      <c r="PJT41" s="562"/>
      <c r="PJU41" s="562"/>
      <c r="PJV41" s="562"/>
      <c r="PJW41" s="562"/>
      <c r="PJX41" s="562"/>
      <c r="PJY41" s="562"/>
      <c r="PJZ41" s="562"/>
      <c r="PKA41" s="562"/>
      <c r="PKB41" s="562"/>
      <c r="PKC41" s="562"/>
      <c r="PKD41" s="562"/>
      <c r="PKE41" s="562"/>
      <c r="PKF41" s="562"/>
      <c r="PKG41" s="562"/>
      <c r="PKH41" s="562"/>
      <c r="PKI41" s="562"/>
      <c r="PKJ41" s="562"/>
      <c r="PKK41" s="562"/>
      <c r="PKL41" s="562"/>
      <c r="PKM41" s="562"/>
      <c r="PKN41" s="562"/>
      <c r="PKO41" s="562"/>
      <c r="PKP41" s="562"/>
      <c r="PKQ41" s="562"/>
      <c r="PKR41" s="562"/>
      <c r="PKS41" s="562"/>
      <c r="PKT41" s="562"/>
      <c r="PKU41" s="562"/>
      <c r="PKV41" s="562"/>
      <c r="PKW41" s="562"/>
      <c r="PKX41" s="562"/>
      <c r="PKY41" s="562"/>
      <c r="PKZ41" s="562"/>
      <c r="PLA41" s="562"/>
      <c r="PLB41" s="562"/>
      <c r="PLC41" s="562"/>
      <c r="PLD41" s="562"/>
      <c r="PLE41" s="562"/>
      <c r="PLF41" s="562"/>
      <c r="PLG41" s="562"/>
      <c r="PLH41" s="562"/>
      <c r="PLI41" s="562"/>
      <c r="PLJ41" s="562"/>
      <c r="PLK41" s="562"/>
      <c r="PLL41" s="562"/>
      <c r="PLM41" s="562"/>
      <c r="PLN41" s="562"/>
      <c r="PLO41" s="562"/>
      <c r="PLP41" s="562"/>
      <c r="PLQ41" s="562"/>
      <c r="PLR41" s="562"/>
      <c r="PLS41" s="562"/>
      <c r="PLT41" s="562"/>
      <c r="PLU41" s="562"/>
      <c r="PLV41" s="562"/>
      <c r="PLW41" s="562"/>
      <c r="PLX41" s="562"/>
      <c r="PLY41" s="562"/>
      <c r="PLZ41" s="562"/>
      <c r="PMA41" s="562"/>
      <c r="PMB41" s="562"/>
      <c r="PMC41" s="562"/>
      <c r="PMD41" s="562"/>
      <c r="PME41" s="562"/>
      <c r="PMF41" s="562"/>
      <c r="PMG41" s="562"/>
      <c r="PMH41" s="562"/>
      <c r="PMI41" s="562"/>
      <c r="PMJ41" s="562"/>
      <c r="PMK41" s="562"/>
      <c r="PML41" s="562"/>
      <c r="PMM41" s="562"/>
      <c r="PMN41" s="562"/>
      <c r="PMO41" s="562"/>
      <c r="PMP41" s="562"/>
      <c r="PMQ41" s="562"/>
      <c r="PMR41" s="562"/>
      <c r="PMS41" s="562"/>
      <c r="PMT41" s="562"/>
      <c r="PMU41" s="562"/>
      <c r="PMV41" s="562"/>
      <c r="PMW41" s="562"/>
      <c r="PMX41" s="562"/>
      <c r="PMY41" s="562"/>
      <c r="PMZ41" s="562"/>
      <c r="PNA41" s="562"/>
      <c r="PNB41" s="562"/>
      <c r="PNC41" s="562"/>
      <c r="PND41" s="562"/>
      <c r="PNE41" s="562"/>
      <c r="PNF41" s="562"/>
      <c r="PNG41" s="562"/>
      <c r="PNH41" s="562"/>
      <c r="PNI41" s="562"/>
      <c r="PNJ41" s="562"/>
      <c r="PNK41" s="562"/>
      <c r="PNL41" s="562"/>
      <c r="PNM41" s="562"/>
      <c r="PNN41" s="562"/>
      <c r="PNO41" s="562"/>
      <c r="PNP41" s="562"/>
      <c r="PNQ41" s="562"/>
      <c r="PNR41" s="562"/>
      <c r="PNS41" s="562"/>
      <c r="PNT41" s="562"/>
      <c r="PNU41" s="562"/>
      <c r="PNV41" s="562"/>
      <c r="PNW41" s="562"/>
      <c r="PNX41" s="562"/>
      <c r="PNY41" s="562"/>
      <c r="PNZ41" s="562"/>
      <c r="POA41" s="562"/>
      <c r="POB41" s="562"/>
      <c r="POC41" s="562"/>
      <c r="POD41" s="562"/>
      <c r="POE41" s="562"/>
      <c r="POF41" s="562"/>
      <c r="POG41" s="562"/>
      <c r="POH41" s="562"/>
      <c r="POI41" s="562"/>
      <c r="POJ41" s="562"/>
      <c r="POK41" s="562"/>
      <c r="POL41" s="562"/>
      <c r="POM41" s="562"/>
      <c r="PON41" s="562"/>
      <c r="POO41" s="562"/>
      <c r="POP41" s="562"/>
      <c r="POQ41" s="562"/>
      <c r="POR41" s="562"/>
      <c r="POS41" s="562"/>
      <c r="POT41" s="562"/>
      <c r="POU41" s="562"/>
      <c r="POV41" s="562"/>
      <c r="POW41" s="562"/>
      <c r="POX41" s="562"/>
      <c r="POY41" s="562"/>
      <c r="POZ41" s="562"/>
      <c r="PPA41" s="562"/>
      <c r="PPB41" s="562"/>
      <c r="PPC41" s="562"/>
      <c r="PPD41" s="562"/>
      <c r="PPE41" s="562"/>
      <c r="PPF41" s="562"/>
      <c r="PPG41" s="562"/>
      <c r="PPH41" s="562"/>
      <c r="PPI41" s="562"/>
      <c r="PPJ41" s="562"/>
      <c r="PPK41" s="562"/>
      <c r="PPL41" s="562"/>
      <c r="PPM41" s="562"/>
      <c r="PPN41" s="562"/>
      <c r="PPO41" s="562"/>
      <c r="PPP41" s="562"/>
      <c r="PPQ41" s="562"/>
      <c r="PPR41" s="562"/>
      <c r="PPS41" s="562"/>
      <c r="PPT41" s="562"/>
      <c r="PPU41" s="562"/>
      <c r="PPV41" s="562"/>
      <c r="PPW41" s="562"/>
      <c r="PPX41" s="562"/>
      <c r="PPY41" s="562"/>
      <c r="PPZ41" s="562"/>
      <c r="PQA41" s="562"/>
      <c r="PQB41" s="562"/>
      <c r="PQC41" s="562"/>
      <c r="PQD41" s="562"/>
      <c r="PQE41" s="562"/>
      <c r="PQF41" s="562"/>
      <c r="PQG41" s="562"/>
      <c r="PQH41" s="562"/>
      <c r="PQI41" s="562"/>
      <c r="PQJ41" s="562"/>
      <c r="PQK41" s="562"/>
      <c r="PQL41" s="562"/>
      <c r="PQM41" s="562"/>
      <c r="PQN41" s="562"/>
      <c r="PQO41" s="562"/>
      <c r="PQP41" s="562"/>
      <c r="PQQ41" s="562"/>
      <c r="PQR41" s="562"/>
      <c r="PQS41" s="562"/>
      <c r="PQT41" s="562"/>
      <c r="PQU41" s="562"/>
      <c r="PQV41" s="562"/>
      <c r="PQW41" s="562"/>
      <c r="PQX41" s="562"/>
      <c r="PQY41" s="562"/>
      <c r="PQZ41" s="562"/>
      <c r="PRA41" s="562"/>
      <c r="PRB41" s="562"/>
      <c r="PRC41" s="562"/>
      <c r="PRD41" s="562"/>
      <c r="PRE41" s="562"/>
      <c r="PRF41" s="562"/>
      <c r="PRG41" s="562"/>
      <c r="PRH41" s="562"/>
      <c r="PRI41" s="562"/>
      <c r="PRJ41" s="562"/>
      <c r="PRK41" s="562"/>
      <c r="PRL41" s="562"/>
      <c r="PRM41" s="562"/>
      <c r="PRN41" s="562"/>
      <c r="PRO41" s="562"/>
      <c r="PRP41" s="562"/>
      <c r="PRQ41" s="562"/>
      <c r="PRR41" s="562"/>
      <c r="PRS41" s="562"/>
      <c r="PRT41" s="562"/>
      <c r="PRU41" s="562"/>
      <c r="PRV41" s="562"/>
      <c r="PRW41" s="562"/>
      <c r="PRX41" s="562"/>
      <c r="PRY41" s="562"/>
      <c r="PRZ41" s="562"/>
      <c r="PSA41" s="562"/>
      <c r="PSB41" s="562"/>
      <c r="PSC41" s="562"/>
      <c r="PSD41" s="562"/>
      <c r="PSE41" s="562"/>
      <c r="PSF41" s="562"/>
      <c r="PSG41" s="562"/>
      <c r="PSH41" s="562"/>
      <c r="PSI41" s="562"/>
      <c r="PSJ41" s="562"/>
      <c r="PSK41" s="562"/>
      <c r="PSL41" s="562"/>
      <c r="PSM41" s="562"/>
      <c r="PSN41" s="562"/>
      <c r="PSO41" s="562"/>
      <c r="PSP41" s="562"/>
      <c r="PSQ41" s="562"/>
      <c r="PSR41" s="562"/>
      <c r="PSS41" s="562"/>
      <c r="PST41" s="562"/>
      <c r="PSU41" s="562"/>
      <c r="PSV41" s="562"/>
      <c r="PSW41" s="562"/>
      <c r="PSX41" s="562"/>
      <c r="PSY41" s="562"/>
      <c r="PSZ41" s="562"/>
      <c r="PTA41" s="562"/>
      <c r="PTB41" s="562"/>
      <c r="PTC41" s="562"/>
      <c r="PTD41" s="562"/>
      <c r="PTE41" s="562"/>
      <c r="PTF41" s="562"/>
      <c r="PTG41" s="562"/>
      <c r="PTH41" s="562"/>
      <c r="PTI41" s="562"/>
      <c r="PTJ41" s="562"/>
      <c r="PTK41" s="562"/>
      <c r="PTL41" s="562"/>
      <c r="PTM41" s="562"/>
      <c r="PTN41" s="562"/>
      <c r="PTO41" s="562"/>
      <c r="PTP41" s="562"/>
      <c r="PTQ41" s="562"/>
      <c r="PTR41" s="562"/>
      <c r="PTS41" s="562"/>
      <c r="PTT41" s="562"/>
      <c r="PTU41" s="562"/>
      <c r="PTV41" s="562"/>
      <c r="PTW41" s="562"/>
      <c r="PTX41" s="562"/>
      <c r="PTY41" s="562"/>
      <c r="PTZ41" s="562"/>
      <c r="PUA41" s="562"/>
      <c r="PUB41" s="562"/>
      <c r="PUC41" s="562"/>
      <c r="PUD41" s="562"/>
      <c r="PUE41" s="562"/>
      <c r="PUF41" s="562"/>
      <c r="PUG41" s="562"/>
      <c r="PUH41" s="562"/>
      <c r="PUI41" s="562"/>
      <c r="PUJ41" s="562"/>
      <c r="PUK41" s="562"/>
      <c r="PUL41" s="562"/>
      <c r="PUM41" s="562"/>
      <c r="PUN41" s="562"/>
      <c r="PUO41" s="562"/>
      <c r="PUP41" s="562"/>
      <c r="PUQ41" s="562"/>
      <c r="PUR41" s="562"/>
      <c r="PUS41" s="562"/>
      <c r="PUT41" s="562"/>
      <c r="PUU41" s="562"/>
      <c r="PUV41" s="562"/>
      <c r="PUW41" s="562"/>
      <c r="PUX41" s="562"/>
      <c r="PUY41" s="562"/>
      <c r="PUZ41" s="562"/>
      <c r="PVA41" s="562"/>
      <c r="PVB41" s="562"/>
      <c r="PVC41" s="562"/>
      <c r="PVD41" s="562"/>
      <c r="PVE41" s="562"/>
      <c r="PVF41" s="562"/>
      <c r="PVG41" s="562"/>
      <c r="PVH41" s="562"/>
      <c r="PVI41" s="562"/>
      <c r="PVJ41" s="562"/>
      <c r="PVK41" s="562"/>
      <c r="PVL41" s="562"/>
      <c r="PVM41" s="562"/>
      <c r="PVN41" s="562"/>
      <c r="PVO41" s="562"/>
      <c r="PVP41" s="562"/>
      <c r="PVQ41" s="562"/>
      <c r="PVR41" s="562"/>
      <c r="PVS41" s="562"/>
      <c r="PVT41" s="562"/>
      <c r="PVU41" s="562"/>
      <c r="PVV41" s="562"/>
      <c r="PVW41" s="562"/>
      <c r="PVX41" s="562"/>
      <c r="PVY41" s="562"/>
      <c r="PVZ41" s="562"/>
      <c r="PWA41" s="562"/>
      <c r="PWB41" s="562"/>
      <c r="PWC41" s="562"/>
      <c r="PWD41" s="562"/>
      <c r="PWE41" s="562"/>
      <c r="PWF41" s="562"/>
      <c r="PWG41" s="562"/>
      <c r="PWH41" s="562"/>
      <c r="PWI41" s="562"/>
      <c r="PWJ41" s="562"/>
      <c r="PWK41" s="562"/>
      <c r="PWL41" s="562"/>
      <c r="PWM41" s="562"/>
      <c r="PWN41" s="562"/>
      <c r="PWO41" s="562"/>
      <c r="PWP41" s="562"/>
      <c r="PWQ41" s="562"/>
      <c r="PWR41" s="562"/>
      <c r="PWS41" s="562"/>
      <c r="PWT41" s="562"/>
      <c r="PWU41" s="562"/>
      <c r="PWV41" s="562"/>
      <c r="PWW41" s="562"/>
      <c r="PWX41" s="562"/>
      <c r="PWY41" s="562"/>
      <c r="PWZ41" s="562"/>
      <c r="PXA41" s="562"/>
      <c r="PXB41" s="562"/>
      <c r="PXC41" s="562"/>
      <c r="PXD41" s="562"/>
      <c r="PXE41" s="562"/>
      <c r="PXF41" s="562"/>
      <c r="PXG41" s="562"/>
      <c r="PXH41" s="562"/>
      <c r="PXI41" s="562"/>
      <c r="PXJ41" s="562"/>
      <c r="PXK41" s="562"/>
      <c r="PXL41" s="562"/>
      <c r="PXM41" s="562"/>
      <c r="PXN41" s="562"/>
      <c r="PXO41" s="562"/>
      <c r="PXP41" s="562"/>
      <c r="PXQ41" s="562"/>
      <c r="PXR41" s="562"/>
      <c r="PXS41" s="562"/>
      <c r="PXT41" s="562"/>
      <c r="PXU41" s="562"/>
      <c r="PXV41" s="562"/>
      <c r="PXW41" s="562"/>
      <c r="PXX41" s="562"/>
      <c r="PXY41" s="562"/>
      <c r="PXZ41" s="562"/>
      <c r="PYA41" s="562"/>
      <c r="PYB41" s="562"/>
      <c r="PYC41" s="562"/>
      <c r="PYD41" s="562"/>
      <c r="PYE41" s="562"/>
      <c r="PYF41" s="562"/>
      <c r="PYG41" s="562"/>
      <c r="PYH41" s="562"/>
      <c r="PYI41" s="562"/>
      <c r="PYJ41" s="562"/>
      <c r="PYK41" s="562"/>
      <c r="PYL41" s="562"/>
      <c r="PYM41" s="562"/>
      <c r="PYN41" s="562"/>
      <c r="PYO41" s="562"/>
      <c r="PYP41" s="562"/>
      <c r="PYQ41" s="562"/>
      <c r="PYR41" s="562"/>
      <c r="PYS41" s="562"/>
      <c r="PYT41" s="562"/>
      <c r="PYU41" s="562"/>
      <c r="PYV41" s="562"/>
      <c r="PYW41" s="562"/>
      <c r="PYX41" s="562"/>
      <c r="PYY41" s="562"/>
      <c r="PYZ41" s="562"/>
      <c r="PZA41" s="562"/>
      <c r="PZB41" s="562"/>
      <c r="PZC41" s="562"/>
      <c r="PZD41" s="562"/>
      <c r="PZE41" s="562"/>
      <c r="PZF41" s="562"/>
      <c r="PZG41" s="562"/>
      <c r="PZH41" s="562"/>
      <c r="PZI41" s="562"/>
      <c r="PZJ41" s="562"/>
      <c r="PZK41" s="562"/>
      <c r="PZL41" s="562"/>
      <c r="PZM41" s="562"/>
      <c r="PZN41" s="562"/>
      <c r="PZO41" s="562"/>
      <c r="PZP41" s="562"/>
      <c r="PZQ41" s="562"/>
      <c r="PZR41" s="562"/>
      <c r="PZS41" s="562"/>
      <c r="PZT41" s="562"/>
      <c r="PZU41" s="562"/>
      <c r="PZV41" s="562"/>
      <c r="PZW41" s="562"/>
      <c r="PZX41" s="562"/>
      <c r="PZY41" s="562"/>
      <c r="PZZ41" s="562"/>
      <c r="QAA41" s="562"/>
      <c r="QAB41" s="562"/>
      <c r="QAC41" s="562"/>
      <c r="QAD41" s="562"/>
      <c r="QAE41" s="562"/>
      <c r="QAF41" s="562"/>
      <c r="QAG41" s="562"/>
      <c r="QAH41" s="562"/>
      <c r="QAI41" s="562"/>
      <c r="QAJ41" s="562"/>
      <c r="QAK41" s="562"/>
      <c r="QAL41" s="562"/>
      <c r="QAM41" s="562"/>
      <c r="QAN41" s="562"/>
      <c r="QAO41" s="562"/>
      <c r="QAP41" s="562"/>
      <c r="QAQ41" s="562"/>
      <c r="QAR41" s="562"/>
      <c r="QAS41" s="562"/>
      <c r="QAT41" s="562"/>
      <c r="QAU41" s="562"/>
      <c r="QAV41" s="562"/>
      <c r="QAW41" s="562"/>
      <c r="QAX41" s="562"/>
      <c r="QAY41" s="562"/>
      <c r="QAZ41" s="562"/>
      <c r="QBA41" s="562"/>
      <c r="QBB41" s="562"/>
      <c r="QBC41" s="562"/>
      <c r="QBD41" s="562"/>
      <c r="QBE41" s="562"/>
      <c r="QBF41" s="562"/>
      <c r="QBG41" s="562"/>
      <c r="QBH41" s="562"/>
      <c r="QBI41" s="562"/>
      <c r="QBJ41" s="562"/>
      <c r="QBK41" s="562"/>
      <c r="QBL41" s="562"/>
      <c r="QBM41" s="562"/>
      <c r="QBN41" s="562"/>
      <c r="QBO41" s="562"/>
      <c r="QBP41" s="562"/>
      <c r="QBQ41" s="562"/>
      <c r="QBR41" s="562"/>
      <c r="QBS41" s="562"/>
      <c r="QBT41" s="562"/>
      <c r="QBU41" s="562"/>
      <c r="QBV41" s="562"/>
      <c r="QBW41" s="562"/>
      <c r="QBX41" s="562"/>
      <c r="QBY41" s="562"/>
      <c r="QBZ41" s="562"/>
      <c r="QCA41" s="562"/>
      <c r="QCB41" s="562"/>
      <c r="QCC41" s="562"/>
      <c r="QCD41" s="562"/>
      <c r="QCE41" s="562"/>
      <c r="QCF41" s="562"/>
      <c r="QCG41" s="562"/>
      <c r="QCH41" s="562"/>
      <c r="QCI41" s="562"/>
      <c r="QCJ41" s="562"/>
      <c r="QCK41" s="562"/>
      <c r="QCL41" s="562"/>
      <c r="QCM41" s="562"/>
      <c r="QCN41" s="562"/>
      <c r="QCO41" s="562"/>
      <c r="QCP41" s="562"/>
      <c r="QCQ41" s="562"/>
      <c r="QCR41" s="562"/>
      <c r="QCS41" s="562"/>
      <c r="QCT41" s="562"/>
      <c r="QCU41" s="562"/>
      <c r="QCV41" s="562"/>
      <c r="QCW41" s="562"/>
      <c r="QCX41" s="562"/>
      <c r="QCY41" s="562"/>
      <c r="QCZ41" s="562"/>
      <c r="QDA41" s="562"/>
      <c r="QDB41" s="562"/>
      <c r="QDC41" s="562"/>
      <c r="QDD41" s="562"/>
      <c r="QDE41" s="562"/>
      <c r="QDF41" s="562"/>
      <c r="QDG41" s="562"/>
      <c r="QDH41" s="562"/>
      <c r="QDI41" s="562"/>
      <c r="QDJ41" s="562"/>
      <c r="QDK41" s="562"/>
      <c r="QDL41" s="562"/>
      <c r="QDM41" s="562"/>
      <c r="QDN41" s="562"/>
      <c r="QDO41" s="562"/>
      <c r="QDP41" s="562"/>
      <c r="QDQ41" s="562"/>
      <c r="QDR41" s="562"/>
      <c r="QDS41" s="562"/>
      <c r="QDT41" s="562"/>
      <c r="QDU41" s="562"/>
      <c r="QDV41" s="562"/>
      <c r="QDW41" s="562"/>
      <c r="QDX41" s="562"/>
      <c r="QDY41" s="562"/>
      <c r="QDZ41" s="562"/>
      <c r="QEA41" s="562"/>
      <c r="QEB41" s="562"/>
      <c r="QEC41" s="562"/>
      <c r="QED41" s="562"/>
      <c r="QEE41" s="562"/>
      <c r="QEF41" s="562"/>
      <c r="QEG41" s="562"/>
      <c r="QEH41" s="562"/>
      <c r="QEI41" s="562"/>
      <c r="QEJ41" s="562"/>
      <c r="QEK41" s="562"/>
      <c r="QEL41" s="562"/>
      <c r="QEM41" s="562"/>
      <c r="QEN41" s="562"/>
      <c r="QEO41" s="562"/>
      <c r="QEP41" s="562"/>
      <c r="QEQ41" s="562"/>
      <c r="QER41" s="562"/>
      <c r="QES41" s="562"/>
      <c r="QET41" s="562"/>
      <c r="QEU41" s="562"/>
      <c r="QEV41" s="562"/>
      <c r="QEW41" s="562"/>
      <c r="QEX41" s="562"/>
      <c r="QEY41" s="562"/>
      <c r="QEZ41" s="562"/>
      <c r="QFA41" s="562"/>
      <c r="QFB41" s="562"/>
      <c r="QFC41" s="562"/>
      <c r="QFD41" s="562"/>
      <c r="QFE41" s="562"/>
      <c r="QFF41" s="562"/>
      <c r="QFG41" s="562"/>
      <c r="QFH41" s="562"/>
      <c r="QFI41" s="562"/>
      <c r="QFJ41" s="562"/>
      <c r="QFK41" s="562"/>
      <c r="QFL41" s="562"/>
      <c r="QFM41" s="562"/>
      <c r="QFN41" s="562"/>
      <c r="QFO41" s="562"/>
      <c r="QFP41" s="562"/>
      <c r="QFQ41" s="562"/>
      <c r="QFR41" s="562"/>
      <c r="QFS41" s="562"/>
      <c r="QFT41" s="562"/>
      <c r="QFU41" s="562"/>
      <c r="QFV41" s="562"/>
      <c r="QFW41" s="562"/>
      <c r="QFX41" s="562"/>
      <c r="QFY41" s="562"/>
      <c r="QFZ41" s="562"/>
      <c r="QGA41" s="562"/>
      <c r="QGB41" s="562"/>
      <c r="QGC41" s="562"/>
      <c r="QGD41" s="562"/>
      <c r="QGE41" s="562"/>
      <c r="QGF41" s="562"/>
      <c r="QGG41" s="562"/>
      <c r="QGH41" s="562"/>
      <c r="QGI41" s="562"/>
      <c r="QGJ41" s="562"/>
      <c r="QGK41" s="562"/>
      <c r="QGL41" s="562"/>
      <c r="QGM41" s="562"/>
      <c r="QGN41" s="562"/>
      <c r="QGO41" s="562"/>
      <c r="QGP41" s="562"/>
      <c r="QGQ41" s="562"/>
      <c r="QGR41" s="562"/>
      <c r="QGS41" s="562"/>
      <c r="QGT41" s="562"/>
      <c r="QGU41" s="562"/>
      <c r="QGV41" s="562"/>
      <c r="QGW41" s="562"/>
      <c r="QGX41" s="562"/>
      <c r="QGY41" s="562"/>
      <c r="QGZ41" s="562"/>
      <c r="QHA41" s="562"/>
      <c r="QHB41" s="562"/>
      <c r="QHC41" s="562"/>
      <c r="QHD41" s="562"/>
      <c r="QHE41" s="562"/>
      <c r="QHF41" s="562"/>
      <c r="QHG41" s="562"/>
      <c r="QHH41" s="562"/>
      <c r="QHI41" s="562"/>
      <c r="QHJ41" s="562"/>
      <c r="QHK41" s="562"/>
      <c r="QHL41" s="562"/>
      <c r="QHM41" s="562"/>
      <c r="QHN41" s="562"/>
      <c r="QHO41" s="562"/>
      <c r="QHP41" s="562"/>
      <c r="QHQ41" s="562"/>
      <c r="QHR41" s="562"/>
      <c r="QHS41" s="562"/>
      <c r="QHT41" s="562"/>
      <c r="QHU41" s="562"/>
      <c r="QHV41" s="562"/>
      <c r="QHW41" s="562"/>
      <c r="QHX41" s="562"/>
      <c r="QHY41" s="562"/>
      <c r="QHZ41" s="562"/>
      <c r="QIA41" s="562"/>
      <c r="QIB41" s="562"/>
      <c r="QIC41" s="562"/>
      <c r="QID41" s="562"/>
      <c r="QIE41" s="562"/>
      <c r="QIF41" s="562"/>
      <c r="QIG41" s="562"/>
      <c r="QIH41" s="562"/>
      <c r="QII41" s="562"/>
      <c r="QIJ41" s="562"/>
      <c r="QIK41" s="562"/>
      <c r="QIL41" s="562"/>
      <c r="QIM41" s="562"/>
      <c r="QIN41" s="562"/>
      <c r="QIO41" s="562"/>
      <c r="QIP41" s="562"/>
      <c r="QIQ41" s="562"/>
      <c r="QIR41" s="562"/>
      <c r="QIS41" s="562"/>
      <c r="QIT41" s="562"/>
      <c r="QIU41" s="562"/>
      <c r="QIV41" s="562"/>
      <c r="QIW41" s="562"/>
      <c r="QIX41" s="562"/>
      <c r="QIY41" s="562"/>
      <c r="QIZ41" s="562"/>
      <c r="QJA41" s="562"/>
      <c r="QJB41" s="562"/>
      <c r="QJC41" s="562"/>
      <c r="QJD41" s="562"/>
      <c r="QJE41" s="562"/>
      <c r="QJF41" s="562"/>
      <c r="QJG41" s="562"/>
      <c r="QJH41" s="562"/>
      <c r="QJI41" s="562"/>
      <c r="QJJ41" s="562"/>
      <c r="QJK41" s="562"/>
      <c r="QJL41" s="562"/>
      <c r="QJM41" s="562"/>
      <c r="QJN41" s="562"/>
      <c r="QJO41" s="562"/>
      <c r="QJP41" s="562"/>
      <c r="QJQ41" s="562"/>
      <c r="QJR41" s="562"/>
      <c r="QJS41" s="562"/>
      <c r="QJT41" s="562"/>
      <c r="QJU41" s="562"/>
      <c r="QJV41" s="562"/>
      <c r="QJW41" s="562"/>
      <c r="QJX41" s="562"/>
      <c r="QJY41" s="562"/>
      <c r="QJZ41" s="562"/>
      <c r="QKA41" s="562"/>
      <c r="QKB41" s="562"/>
      <c r="QKC41" s="562"/>
      <c r="QKD41" s="562"/>
      <c r="QKE41" s="562"/>
      <c r="QKF41" s="562"/>
      <c r="QKG41" s="562"/>
      <c r="QKH41" s="562"/>
      <c r="QKI41" s="562"/>
      <c r="QKJ41" s="562"/>
      <c r="QKK41" s="562"/>
      <c r="QKL41" s="562"/>
      <c r="QKM41" s="562"/>
      <c r="QKN41" s="562"/>
      <c r="QKO41" s="562"/>
      <c r="QKP41" s="562"/>
      <c r="QKQ41" s="562"/>
      <c r="QKR41" s="562"/>
      <c r="QKS41" s="562"/>
      <c r="QKT41" s="562"/>
      <c r="QKU41" s="562"/>
      <c r="QKV41" s="562"/>
      <c r="QKW41" s="562"/>
      <c r="QKX41" s="562"/>
      <c r="QKY41" s="562"/>
      <c r="QKZ41" s="562"/>
      <c r="QLA41" s="562"/>
      <c r="QLB41" s="562"/>
      <c r="QLC41" s="562"/>
      <c r="QLD41" s="562"/>
      <c r="QLE41" s="562"/>
      <c r="QLF41" s="562"/>
      <c r="QLG41" s="562"/>
      <c r="QLH41" s="562"/>
      <c r="QLI41" s="562"/>
      <c r="QLJ41" s="562"/>
      <c r="QLK41" s="562"/>
      <c r="QLL41" s="562"/>
      <c r="QLM41" s="562"/>
      <c r="QLN41" s="562"/>
      <c r="QLO41" s="562"/>
      <c r="QLP41" s="562"/>
      <c r="QLQ41" s="562"/>
      <c r="QLR41" s="562"/>
      <c r="QLS41" s="562"/>
      <c r="QLT41" s="562"/>
      <c r="QLU41" s="562"/>
      <c r="QLV41" s="562"/>
      <c r="QLW41" s="562"/>
      <c r="QLX41" s="562"/>
      <c r="QLY41" s="562"/>
      <c r="QLZ41" s="562"/>
      <c r="QMA41" s="562"/>
      <c r="QMB41" s="562"/>
      <c r="QMC41" s="562"/>
      <c r="QMD41" s="562"/>
      <c r="QME41" s="562"/>
      <c r="QMF41" s="562"/>
      <c r="QMG41" s="562"/>
      <c r="QMH41" s="562"/>
      <c r="QMI41" s="562"/>
      <c r="QMJ41" s="562"/>
      <c r="QMK41" s="562"/>
      <c r="QML41" s="562"/>
      <c r="QMM41" s="562"/>
      <c r="QMN41" s="562"/>
      <c r="QMO41" s="562"/>
      <c r="QMP41" s="562"/>
      <c r="QMQ41" s="562"/>
      <c r="QMR41" s="562"/>
      <c r="QMS41" s="562"/>
      <c r="QMT41" s="562"/>
      <c r="QMU41" s="562"/>
      <c r="QMV41" s="562"/>
      <c r="QMW41" s="562"/>
      <c r="QMX41" s="562"/>
      <c r="QMY41" s="562"/>
      <c r="QMZ41" s="562"/>
      <c r="QNA41" s="562"/>
      <c r="QNB41" s="562"/>
      <c r="QNC41" s="562"/>
      <c r="QND41" s="562"/>
      <c r="QNE41" s="562"/>
      <c r="QNF41" s="562"/>
      <c r="QNG41" s="562"/>
      <c r="QNH41" s="562"/>
      <c r="QNI41" s="562"/>
      <c r="QNJ41" s="562"/>
      <c r="QNK41" s="562"/>
      <c r="QNL41" s="562"/>
      <c r="QNM41" s="562"/>
      <c r="QNN41" s="562"/>
      <c r="QNO41" s="562"/>
      <c r="QNP41" s="562"/>
      <c r="QNQ41" s="562"/>
      <c r="QNR41" s="562"/>
      <c r="QNS41" s="562"/>
      <c r="QNT41" s="562"/>
      <c r="QNU41" s="562"/>
      <c r="QNV41" s="562"/>
      <c r="QNW41" s="562"/>
      <c r="QNX41" s="562"/>
      <c r="QNY41" s="562"/>
      <c r="QNZ41" s="562"/>
      <c r="QOA41" s="562"/>
      <c r="QOB41" s="562"/>
      <c r="QOC41" s="562"/>
      <c r="QOD41" s="562"/>
      <c r="QOE41" s="562"/>
      <c r="QOF41" s="562"/>
      <c r="QOG41" s="562"/>
      <c r="QOH41" s="562"/>
      <c r="QOI41" s="562"/>
      <c r="QOJ41" s="562"/>
      <c r="QOK41" s="562"/>
      <c r="QOL41" s="562"/>
      <c r="QOM41" s="562"/>
      <c r="QON41" s="562"/>
      <c r="QOO41" s="562"/>
      <c r="QOP41" s="562"/>
      <c r="QOQ41" s="562"/>
      <c r="QOR41" s="562"/>
      <c r="QOS41" s="562"/>
      <c r="QOT41" s="562"/>
      <c r="QOU41" s="562"/>
      <c r="QOV41" s="562"/>
      <c r="QOW41" s="562"/>
      <c r="QOX41" s="562"/>
      <c r="QOY41" s="562"/>
      <c r="QOZ41" s="562"/>
      <c r="QPA41" s="562"/>
      <c r="QPB41" s="562"/>
      <c r="QPC41" s="562"/>
      <c r="QPD41" s="562"/>
      <c r="QPE41" s="562"/>
      <c r="QPF41" s="562"/>
      <c r="QPG41" s="562"/>
      <c r="QPH41" s="562"/>
      <c r="QPI41" s="562"/>
      <c r="QPJ41" s="562"/>
      <c r="QPK41" s="562"/>
      <c r="QPL41" s="562"/>
      <c r="QPM41" s="562"/>
      <c r="QPN41" s="562"/>
      <c r="QPO41" s="562"/>
      <c r="QPP41" s="562"/>
      <c r="QPQ41" s="562"/>
      <c r="QPR41" s="562"/>
      <c r="QPS41" s="562"/>
      <c r="QPT41" s="562"/>
      <c r="QPU41" s="562"/>
      <c r="QPV41" s="562"/>
      <c r="QPW41" s="562"/>
      <c r="QPX41" s="562"/>
      <c r="QPY41" s="562"/>
      <c r="QPZ41" s="562"/>
      <c r="QQA41" s="562"/>
      <c r="QQB41" s="562"/>
      <c r="QQC41" s="562"/>
      <c r="QQD41" s="562"/>
      <c r="QQE41" s="562"/>
      <c r="QQF41" s="562"/>
      <c r="QQG41" s="562"/>
      <c r="QQH41" s="562"/>
      <c r="QQI41" s="562"/>
      <c r="QQJ41" s="562"/>
      <c r="QQK41" s="562"/>
      <c r="QQL41" s="562"/>
      <c r="QQM41" s="562"/>
      <c r="QQN41" s="562"/>
      <c r="QQO41" s="562"/>
      <c r="QQP41" s="562"/>
      <c r="QQQ41" s="562"/>
      <c r="QQR41" s="562"/>
      <c r="QQS41" s="562"/>
      <c r="QQT41" s="562"/>
      <c r="QQU41" s="562"/>
      <c r="QQV41" s="562"/>
      <c r="QQW41" s="562"/>
      <c r="QQX41" s="562"/>
      <c r="QQY41" s="562"/>
      <c r="QQZ41" s="562"/>
      <c r="QRA41" s="562"/>
      <c r="QRB41" s="562"/>
      <c r="QRC41" s="562"/>
      <c r="QRD41" s="562"/>
      <c r="QRE41" s="562"/>
      <c r="QRF41" s="562"/>
      <c r="QRG41" s="562"/>
      <c r="QRH41" s="562"/>
      <c r="QRI41" s="562"/>
      <c r="QRJ41" s="562"/>
      <c r="QRK41" s="562"/>
      <c r="QRL41" s="562"/>
      <c r="QRM41" s="562"/>
      <c r="QRN41" s="562"/>
      <c r="QRO41" s="562"/>
      <c r="QRP41" s="562"/>
      <c r="QRQ41" s="562"/>
      <c r="QRR41" s="562"/>
      <c r="QRS41" s="562"/>
      <c r="QRT41" s="562"/>
      <c r="QRU41" s="562"/>
      <c r="QRV41" s="562"/>
      <c r="QRW41" s="562"/>
      <c r="QRX41" s="562"/>
      <c r="QRY41" s="562"/>
      <c r="QRZ41" s="562"/>
      <c r="QSA41" s="562"/>
      <c r="QSB41" s="562"/>
      <c r="QSC41" s="562"/>
      <c r="QSD41" s="562"/>
      <c r="QSE41" s="562"/>
      <c r="QSF41" s="562"/>
      <c r="QSG41" s="562"/>
      <c r="QSH41" s="562"/>
      <c r="QSI41" s="562"/>
      <c r="QSJ41" s="562"/>
      <c r="QSK41" s="562"/>
      <c r="QSL41" s="562"/>
      <c r="QSM41" s="562"/>
      <c r="QSN41" s="562"/>
      <c r="QSO41" s="562"/>
      <c r="QSP41" s="562"/>
      <c r="QSQ41" s="562"/>
      <c r="QSR41" s="562"/>
      <c r="QSS41" s="562"/>
      <c r="QST41" s="562"/>
      <c r="QSU41" s="562"/>
      <c r="QSV41" s="562"/>
      <c r="QSW41" s="562"/>
      <c r="QSX41" s="562"/>
      <c r="QSY41" s="562"/>
      <c r="QSZ41" s="562"/>
      <c r="QTA41" s="562"/>
      <c r="QTB41" s="562"/>
      <c r="QTC41" s="562"/>
      <c r="QTD41" s="562"/>
      <c r="QTE41" s="562"/>
      <c r="QTF41" s="562"/>
      <c r="QTG41" s="562"/>
      <c r="QTH41" s="562"/>
      <c r="QTI41" s="562"/>
      <c r="QTJ41" s="562"/>
      <c r="QTK41" s="562"/>
      <c r="QTL41" s="562"/>
      <c r="QTM41" s="562"/>
      <c r="QTN41" s="562"/>
      <c r="QTO41" s="562"/>
      <c r="QTP41" s="562"/>
      <c r="QTQ41" s="562"/>
      <c r="QTR41" s="562"/>
      <c r="QTS41" s="562"/>
      <c r="QTT41" s="562"/>
      <c r="QTU41" s="562"/>
      <c r="QTV41" s="562"/>
      <c r="QTW41" s="562"/>
      <c r="QTX41" s="562"/>
      <c r="QTY41" s="562"/>
      <c r="QTZ41" s="562"/>
      <c r="QUA41" s="562"/>
      <c r="QUB41" s="562"/>
      <c r="QUC41" s="562"/>
      <c r="QUD41" s="562"/>
      <c r="QUE41" s="562"/>
      <c r="QUF41" s="562"/>
      <c r="QUG41" s="562"/>
      <c r="QUH41" s="562"/>
      <c r="QUI41" s="562"/>
      <c r="QUJ41" s="562"/>
      <c r="QUK41" s="562"/>
      <c r="QUL41" s="562"/>
      <c r="QUM41" s="562"/>
      <c r="QUN41" s="562"/>
      <c r="QUO41" s="562"/>
      <c r="QUP41" s="562"/>
      <c r="QUQ41" s="562"/>
      <c r="QUR41" s="562"/>
      <c r="QUS41" s="562"/>
      <c r="QUT41" s="562"/>
      <c r="QUU41" s="562"/>
      <c r="QUV41" s="562"/>
      <c r="QUW41" s="562"/>
      <c r="QUX41" s="562"/>
      <c r="QUY41" s="562"/>
      <c r="QUZ41" s="562"/>
      <c r="QVA41" s="562"/>
      <c r="QVB41" s="562"/>
      <c r="QVC41" s="562"/>
      <c r="QVD41" s="562"/>
      <c r="QVE41" s="562"/>
      <c r="QVF41" s="562"/>
      <c r="QVG41" s="562"/>
      <c r="QVH41" s="562"/>
      <c r="QVI41" s="562"/>
      <c r="QVJ41" s="562"/>
      <c r="QVK41" s="562"/>
      <c r="QVL41" s="562"/>
      <c r="QVM41" s="562"/>
      <c r="QVN41" s="562"/>
      <c r="QVO41" s="562"/>
      <c r="QVP41" s="562"/>
      <c r="QVQ41" s="562"/>
      <c r="QVR41" s="562"/>
      <c r="QVS41" s="562"/>
      <c r="QVT41" s="562"/>
      <c r="QVU41" s="562"/>
      <c r="QVV41" s="562"/>
      <c r="QVW41" s="562"/>
      <c r="QVX41" s="562"/>
      <c r="QVY41" s="562"/>
      <c r="QVZ41" s="562"/>
      <c r="QWA41" s="562"/>
      <c r="QWB41" s="562"/>
      <c r="QWC41" s="562"/>
      <c r="QWD41" s="562"/>
      <c r="QWE41" s="562"/>
      <c r="QWF41" s="562"/>
      <c r="QWG41" s="562"/>
      <c r="QWH41" s="562"/>
      <c r="QWI41" s="562"/>
      <c r="QWJ41" s="562"/>
      <c r="QWK41" s="562"/>
      <c r="QWL41" s="562"/>
      <c r="QWM41" s="562"/>
      <c r="QWN41" s="562"/>
      <c r="QWO41" s="562"/>
      <c r="QWP41" s="562"/>
      <c r="QWQ41" s="562"/>
      <c r="QWR41" s="562"/>
      <c r="QWS41" s="562"/>
      <c r="QWT41" s="562"/>
      <c r="QWU41" s="562"/>
      <c r="QWV41" s="562"/>
      <c r="QWW41" s="562"/>
      <c r="QWX41" s="562"/>
      <c r="QWY41" s="562"/>
      <c r="QWZ41" s="562"/>
      <c r="QXA41" s="562"/>
      <c r="QXB41" s="562"/>
      <c r="QXC41" s="562"/>
      <c r="QXD41" s="562"/>
      <c r="QXE41" s="562"/>
      <c r="QXF41" s="562"/>
      <c r="QXG41" s="562"/>
      <c r="QXH41" s="562"/>
      <c r="QXI41" s="562"/>
      <c r="QXJ41" s="562"/>
      <c r="QXK41" s="562"/>
      <c r="QXL41" s="562"/>
      <c r="QXM41" s="562"/>
      <c r="QXN41" s="562"/>
      <c r="QXO41" s="562"/>
      <c r="QXP41" s="562"/>
      <c r="QXQ41" s="562"/>
      <c r="QXR41" s="562"/>
      <c r="QXS41" s="562"/>
      <c r="QXT41" s="562"/>
      <c r="QXU41" s="562"/>
      <c r="QXV41" s="562"/>
      <c r="QXW41" s="562"/>
      <c r="QXX41" s="562"/>
      <c r="QXY41" s="562"/>
      <c r="QXZ41" s="562"/>
      <c r="QYA41" s="562"/>
      <c r="QYB41" s="562"/>
      <c r="QYC41" s="562"/>
      <c r="QYD41" s="562"/>
      <c r="QYE41" s="562"/>
      <c r="QYF41" s="562"/>
      <c r="QYG41" s="562"/>
      <c r="QYH41" s="562"/>
      <c r="QYI41" s="562"/>
      <c r="QYJ41" s="562"/>
      <c r="QYK41" s="562"/>
      <c r="QYL41" s="562"/>
      <c r="QYM41" s="562"/>
      <c r="QYN41" s="562"/>
      <c r="QYO41" s="562"/>
      <c r="QYP41" s="562"/>
      <c r="QYQ41" s="562"/>
      <c r="QYR41" s="562"/>
      <c r="QYS41" s="562"/>
      <c r="QYT41" s="562"/>
      <c r="QYU41" s="562"/>
      <c r="QYV41" s="562"/>
      <c r="QYW41" s="562"/>
      <c r="QYX41" s="562"/>
      <c r="QYY41" s="562"/>
      <c r="QYZ41" s="562"/>
      <c r="QZA41" s="562"/>
      <c r="QZB41" s="562"/>
      <c r="QZC41" s="562"/>
      <c r="QZD41" s="562"/>
      <c r="QZE41" s="562"/>
      <c r="QZF41" s="562"/>
      <c r="QZG41" s="562"/>
      <c r="QZH41" s="562"/>
      <c r="QZI41" s="562"/>
      <c r="QZJ41" s="562"/>
      <c r="QZK41" s="562"/>
      <c r="QZL41" s="562"/>
      <c r="QZM41" s="562"/>
      <c r="QZN41" s="562"/>
      <c r="QZO41" s="562"/>
      <c r="QZP41" s="562"/>
      <c r="QZQ41" s="562"/>
      <c r="QZR41" s="562"/>
      <c r="QZS41" s="562"/>
      <c r="QZT41" s="562"/>
      <c r="QZU41" s="562"/>
      <c r="QZV41" s="562"/>
      <c r="QZW41" s="562"/>
      <c r="QZX41" s="562"/>
      <c r="QZY41" s="562"/>
      <c r="QZZ41" s="562"/>
      <c r="RAA41" s="562"/>
      <c r="RAB41" s="562"/>
      <c r="RAC41" s="562"/>
      <c r="RAD41" s="562"/>
      <c r="RAE41" s="562"/>
      <c r="RAF41" s="562"/>
      <c r="RAG41" s="562"/>
      <c r="RAH41" s="562"/>
      <c r="RAI41" s="562"/>
      <c r="RAJ41" s="562"/>
      <c r="RAK41" s="562"/>
      <c r="RAL41" s="562"/>
      <c r="RAM41" s="562"/>
      <c r="RAN41" s="562"/>
      <c r="RAO41" s="562"/>
      <c r="RAP41" s="562"/>
      <c r="RAQ41" s="562"/>
      <c r="RAR41" s="562"/>
      <c r="RAS41" s="562"/>
      <c r="RAT41" s="562"/>
      <c r="RAU41" s="562"/>
      <c r="RAV41" s="562"/>
      <c r="RAW41" s="562"/>
      <c r="RAX41" s="562"/>
      <c r="RAY41" s="562"/>
      <c r="RAZ41" s="562"/>
      <c r="RBA41" s="562"/>
      <c r="RBB41" s="562"/>
      <c r="RBC41" s="562"/>
      <c r="RBD41" s="562"/>
      <c r="RBE41" s="562"/>
      <c r="RBF41" s="562"/>
      <c r="RBG41" s="562"/>
      <c r="RBH41" s="562"/>
      <c r="RBI41" s="562"/>
      <c r="RBJ41" s="562"/>
      <c r="RBK41" s="562"/>
      <c r="RBL41" s="562"/>
      <c r="RBM41" s="562"/>
      <c r="RBN41" s="562"/>
      <c r="RBO41" s="562"/>
      <c r="RBP41" s="562"/>
      <c r="RBQ41" s="562"/>
      <c r="RBR41" s="562"/>
      <c r="RBS41" s="562"/>
      <c r="RBT41" s="562"/>
      <c r="RBU41" s="562"/>
      <c r="RBV41" s="562"/>
      <c r="RBW41" s="562"/>
      <c r="RBX41" s="562"/>
      <c r="RBY41" s="562"/>
      <c r="RBZ41" s="562"/>
      <c r="RCA41" s="562"/>
      <c r="RCB41" s="562"/>
      <c r="RCC41" s="562"/>
      <c r="RCD41" s="562"/>
      <c r="RCE41" s="562"/>
      <c r="RCF41" s="562"/>
      <c r="RCG41" s="562"/>
      <c r="RCH41" s="562"/>
      <c r="RCI41" s="562"/>
      <c r="RCJ41" s="562"/>
      <c r="RCK41" s="562"/>
      <c r="RCL41" s="562"/>
      <c r="RCM41" s="562"/>
      <c r="RCN41" s="562"/>
      <c r="RCO41" s="562"/>
      <c r="RCP41" s="562"/>
      <c r="RCQ41" s="562"/>
      <c r="RCR41" s="562"/>
      <c r="RCS41" s="562"/>
      <c r="RCT41" s="562"/>
      <c r="RCU41" s="562"/>
      <c r="RCV41" s="562"/>
      <c r="RCW41" s="562"/>
      <c r="RCX41" s="562"/>
      <c r="RCY41" s="562"/>
      <c r="RCZ41" s="562"/>
      <c r="RDA41" s="562"/>
      <c r="RDB41" s="562"/>
      <c r="RDC41" s="562"/>
      <c r="RDD41" s="562"/>
      <c r="RDE41" s="562"/>
      <c r="RDF41" s="562"/>
      <c r="RDG41" s="562"/>
      <c r="RDH41" s="562"/>
      <c r="RDI41" s="562"/>
      <c r="RDJ41" s="562"/>
      <c r="RDK41" s="562"/>
      <c r="RDL41" s="562"/>
      <c r="RDM41" s="562"/>
      <c r="RDN41" s="562"/>
      <c r="RDO41" s="562"/>
      <c r="RDP41" s="562"/>
      <c r="RDQ41" s="562"/>
      <c r="RDR41" s="562"/>
      <c r="RDS41" s="562"/>
      <c r="RDT41" s="562"/>
      <c r="RDU41" s="562"/>
      <c r="RDV41" s="562"/>
      <c r="RDW41" s="562"/>
      <c r="RDX41" s="562"/>
      <c r="RDY41" s="562"/>
      <c r="RDZ41" s="562"/>
      <c r="REA41" s="562"/>
      <c r="REB41" s="562"/>
      <c r="REC41" s="562"/>
      <c r="RED41" s="562"/>
      <c r="REE41" s="562"/>
      <c r="REF41" s="562"/>
      <c r="REG41" s="562"/>
      <c r="REH41" s="562"/>
      <c r="REI41" s="562"/>
      <c r="REJ41" s="562"/>
      <c r="REK41" s="562"/>
      <c r="REL41" s="562"/>
      <c r="REM41" s="562"/>
      <c r="REN41" s="562"/>
      <c r="REO41" s="562"/>
      <c r="REP41" s="562"/>
      <c r="REQ41" s="562"/>
      <c r="RER41" s="562"/>
      <c r="RES41" s="562"/>
      <c r="RET41" s="562"/>
      <c r="REU41" s="562"/>
      <c r="REV41" s="562"/>
      <c r="REW41" s="562"/>
      <c r="REX41" s="562"/>
      <c r="REY41" s="562"/>
      <c r="REZ41" s="562"/>
      <c r="RFA41" s="562"/>
      <c r="RFB41" s="562"/>
      <c r="RFC41" s="562"/>
      <c r="RFD41" s="562"/>
      <c r="RFE41" s="562"/>
      <c r="RFF41" s="562"/>
      <c r="RFG41" s="562"/>
      <c r="RFH41" s="562"/>
      <c r="RFI41" s="562"/>
      <c r="RFJ41" s="562"/>
      <c r="RFK41" s="562"/>
      <c r="RFL41" s="562"/>
      <c r="RFM41" s="562"/>
      <c r="RFN41" s="562"/>
      <c r="RFO41" s="562"/>
      <c r="RFP41" s="562"/>
      <c r="RFQ41" s="562"/>
      <c r="RFR41" s="562"/>
      <c r="RFS41" s="562"/>
      <c r="RFT41" s="562"/>
      <c r="RFU41" s="562"/>
      <c r="RFV41" s="562"/>
      <c r="RFW41" s="562"/>
      <c r="RFX41" s="562"/>
      <c r="RFY41" s="562"/>
      <c r="RFZ41" s="562"/>
      <c r="RGA41" s="562"/>
      <c r="RGB41" s="562"/>
      <c r="RGC41" s="562"/>
      <c r="RGD41" s="562"/>
      <c r="RGE41" s="562"/>
      <c r="RGF41" s="562"/>
      <c r="RGG41" s="562"/>
      <c r="RGH41" s="562"/>
      <c r="RGI41" s="562"/>
      <c r="RGJ41" s="562"/>
      <c r="RGK41" s="562"/>
      <c r="RGL41" s="562"/>
      <c r="RGM41" s="562"/>
      <c r="RGN41" s="562"/>
      <c r="RGO41" s="562"/>
      <c r="RGP41" s="562"/>
      <c r="RGQ41" s="562"/>
      <c r="RGR41" s="562"/>
      <c r="RGS41" s="562"/>
      <c r="RGT41" s="562"/>
      <c r="RGU41" s="562"/>
      <c r="RGV41" s="562"/>
      <c r="RGW41" s="562"/>
      <c r="RGX41" s="562"/>
      <c r="RGY41" s="562"/>
      <c r="RGZ41" s="562"/>
      <c r="RHA41" s="562"/>
      <c r="RHB41" s="562"/>
      <c r="RHC41" s="562"/>
      <c r="RHD41" s="562"/>
      <c r="RHE41" s="562"/>
      <c r="RHF41" s="562"/>
      <c r="RHG41" s="562"/>
      <c r="RHH41" s="562"/>
      <c r="RHI41" s="562"/>
      <c r="RHJ41" s="562"/>
      <c r="RHK41" s="562"/>
      <c r="RHL41" s="562"/>
      <c r="RHM41" s="562"/>
      <c r="RHN41" s="562"/>
      <c r="RHO41" s="562"/>
      <c r="RHP41" s="562"/>
      <c r="RHQ41" s="562"/>
      <c r="RHR41" s="562"/>
      <c r="RHS41" s="562"/>
      <c r="RHT41" s="562"/>
      <c r="RHU41" s="562"/>
      <c r="RHV41" s="562"/>
      <c r="RHW41" s="562"/>
      <c r="RHX41" s="562"/>
      <c r="RHY41" s="562"/>
      <c r="RHZ41" s="562"/>
      <c r="RIA41" s="562"/>
      <c r="RIB41" s="562"/>
      <c r="RIC41" s="562"/>
      <c r="RID41" s="562"/>
      <c r="RIE41" s="562"/>
      <c r="RIF41" s="562"/>
      <c r="RIG41" s="562"/>
      <c r="RIH41" s="562"/>
      <c r="RII41" s="562"/>
      <c r="RIJ41" s="562"/>
      <c r="RIK41" s="562"/>
      <c r="RIL41" s="562"/>
      <c r="RIM41" s="562"/>
      <c r="RIN41" s="562"/>
      <c r="RIO41" s="562"/>
      <c r="RIP41" s="562"/>
      <c r="RIQ41" s="562"/>
      <c r="RIR41" s="562"/>
      <c r="RIS41" s="562"/>
      <c r="RIT41" s="562"/>
      <c r="RIU41" s="562"/>
      <c r="RIV41" s="562"/>
      <c r="RIW41" s="562"/>
      <c r="RIX41" s="562"/>
      <c r="RIY41" s="562"/>
      <c r="RIZ41" s="562"/>
      <c r="RJA41" s="562"/>
      <c r="RJB41" s="562"/>
      <c r="RJC41" s="562"/>
      <c r="RJD41" s="562"/>
      <c r="RJE41" s="562"/>
      <c r="RJF41" s="562"/>
      <c r="RJG41" s="562"/>
      <c r="RJH41" s="562"/>
      <c r="RJI41" s="562"/>
      <c r="RJJ41" s="562"/>
      <c r="RJK41" s="562"/>
      <c r="RJL41" s="562"/>
      <c r="RJM41" s="562"/>
      <c r="RJN41" s="562"/>
      <c r="RJO41" s="562"/>
      <c r="RJP41" s="562"/>
      <c r="RJQ41" s="562"/>
      <c r="RJR41" s="562"/>
      <c r="RJS41" s="562"/>
      <c r="RJT41" s="562"/>
      <c r="RJU41" s="562"/>
      <c r="RJV41" s="562"/>
      <c r="RJW41" s="562"/>
      <c r="RJX41" s="562"/>
      <c r="RJY41" s="562"/>
      <c r="RJZ41" s="562"/>
      <c r="RKA41" s="562"/>
      <c r="RKB41" s="562"/>
      <c r="RKC41" s="562"/>
      <c r="RKD41" s="562"/>
      <c r="RKE41" s="562"/>
      <c r="RKF41" s="562"/>
      <c r="RKG41" s="562"/>
      <c r="RKH41" s="562"/>
      <c r="RKI41" s="562"/>
      <c r="RKJ41" s="562"/>
      <c r="RKK41" s="562"/>
      <c r="RKL41" s="562"/>
      <c r="RKM41" s="562"/>
      <c r="RKN41" s="562"/>
      <c r="RKO41" s="562"/>
      <c r="RKP41" s="562"/>
      <c r="RKQ41" s="562"/>
      <c r="RKR41" s="562"/>
      <c r="RKS41" s="562"/>
      <c r="RKT41" s="562"/>
      <c r="RKU41" s="562"/>
      <c r="RKV41" s="562"/>
      <c r="RKW41" s="562"/>
      <c r="RKX41" s="562"/>
      <c r="RKY41" s="562"/>
      <c r="RKZ41" s="562"/>
      <c r="RLA41" s="562"/>
      <c r="RLB41" s="562"/>
      <c r="RLC41" s="562"/>
      <c r="RLD41" s="562"/>
      <c r="RLE41" s="562"/>
      <c r="RLF41" s="562"/>
      <c r="RLG41" s="562"/>
      <c r="RLH41" s="562"/>
      <c r="RLI41" s="562"/>
      <c r="RLJ41" s="562"/>
      <c r="RLK41" s="562"/>
      <c r="RLL41" s="562"/>
      <c r="RLM41" s="562"/>
      <c r="RLN41" s="562"/>
      <c r="RLO41" s="562"/>
      <c r="RLP41" s="562"/>
      <c r="RLQ41" s="562"/>
      <c r="RLR41" s="562"/>
      <c r="RLS41" s="562"/>
      <c r="RLT41" s="562"/>
      <c r="RLU41" s="562"/>
      <c r="RLV41" s="562"/>
      <c r="RLW41" s="562"/>
      <c r="RLX41" s="562"/>
      <c r="RLY41" s="562"/>
      <c r="RLZ41" s="562"/>
      <c r="RMA41" s="562"/>
      <c r="RMB41" s="562"/>
      <c r="RMC41" s="562"/>
      <c r="RMD41" s="562"/>
      <c r="RME41" s="562"/>
      <c r="RMF41" s="562"/>
      <c r="RMG41" s="562"/>
      <c r="RMH41" s="562"/>
      <c r="RMI41" s="562"/>
      <c r="RMJ41" s="562"/>
      <c r="RMK41" s="562"/>
      <c r="RML41" s="562"/>
      <c r="RMM41" s="562"/>
      <c r="RMN41" s="562"/>
      <c r="RMO41" s="562"/>
      <c r="RMP41" s="562"/>
      <c r="RMQ41" s="562"/>
      <c r="RMR41" s="562"/>
      <c r="RMS41" s="562"/>
      <c r="RMT41" s="562"/>
      <c r="RMU41" s="562"/>
      <c r="RMV41" s="562"/>
      <c r="RMW41" s="562"/>
      <c r="RMX41" s="562"/>
      <c r="RMY41" s="562"/>
      <c r="RMZ41" s="562"/>
      <c r="RNA41" s="562"/>
      <c r="RNB41" s="562"/>
      <c r="RNC41" s="562"/>
      <c r="RND41" s="562"/>
      <c r="RNE41" s="562"/>
      <c r="RNF41" s="562"/>
      <c r="RNG41" s="562"/>
      <c r="RNH41" s="562"/>
      <c r="RNI41" s="562"/>
      <c r="RNJ41" s="562"/>
      <c r="RNK41" s="562"/>
      <c r="RNL41" s="562"/>
      <c r="RNM41" s="562"/>
      <c r="RNN41" s="562"/>
      <c r="RNO41" s="562"/>
      <c r="RNP41" s="562"/>
      <c r="RNQ41" s="562"/>
      <c r="RNR41" s="562"/>
      <c r="RNS41" s="562"/>
      <c r="RNT41" s="562"/>
      <c r="RNU41" s="562"/>
      <c r="RNV41" s="562"/>
      <c r="RNW41" s="562"/>
      <c r="RNX41" s="562"/>
      <c r="RNY41" s="562"/>
      <c r="RNZ41" s="562"/>
      <c r="ROA41" s="562"/>
      <c r="ROB41" s="562"/>
      <c r="ROC41" s="562"/>
      <c r="ROD41" s="562"/>
      <c r="ROE41" s="562"/>
      <c r="ROF41" s="562"/>
      <c r="ROG41" s="562"/>
      <c r="ROH41" s="562"/>
      <c r="ROI41" s="562"/>
      <c r="ROJ41" s="562"/>
      <c r="ROK41" s="562"/>
      <c r="ROL41" s="562"/>
      <c r="ROM41" s="562"/>
      <c r="RON41" s="562"/>
      <c r="ROO41" s="562"/>
      <c r="ROP41" s="562"/>
      <c r="ROQ41" s="562"/>
      <c r="ROR41" s="562"/>
      <c r="ROS41" s="562"/>
      <c r="ROT41" s="562"/>
      <c r="ROU41" s="562"/>
      <c r="ROV41" s="562"/>
      <c r="ROW41" s="562"/>
      <c r="ROX41" s="562"/>
      <c r="ROY41" s="562"/>
      <c r="ROZ41" s="562"/>
      <c r="RPA41" s="562"/>
      <c r="RPB41" s="562"/>
      <c r="RPC41" s="562"/>
      <c r="RPD41" s="562"/>
      <c r="RPE41" s="562"/>
      <c r="RPF41" s="562"/>
      <c r="RPG41" s="562"/>
      <c r="RPH41" s="562"/>
      <c r="RPI41" s="562"/>
      <c r="RPJ41" s="562"/>
      <c r="RPK41" s="562"/>
      <c r="RPL41" s="562"/>
      <c r="RPM41" s="562"/>
      <c r="RPN41" s="562"/>
      <c r="RPO41" s="562"/>
      <c r="RPP41" s="562"/>
      <c r="RPQ41" s="562"/>
      <c r="RPR41" s="562"/>
      <c r="RPS41" s="562"/>
      <c r="RPT41" s="562"/>
      <c r="RPU41" s="562"/>
      <c r="RPV41" s="562"/>
      <c r="RPW41" s="562"/>
      <c r="RPX41" s="562"/>
      <c r="RPY41" s="562"/>
      <c r="RPZ41" s="562"/>
      <c r="RQA41" s="562"/>
      <c r="RQB41" s="562"/>
      <c r="RQC41" s="562"/>
      <c r="RQD41" s="562"/>
      <c r="RQE41" s="562"/>
      <c r="RQF41" s="562"/>
      <c r="RQG41" s="562"/>
      <c r="RQH41" s="562"/>
      <c r="RQI41" s="562"/>
      <c r="RQJ41" s="562"/>
      <c r="RQK41" s="562"/>
      <c r="RQL41" s="562"/>
      <c r="RQM41" s="562"/>
      <c r="RQN41" s="562"/>
      <c r="RQO41" s="562"/>
      <c r="RQP41" s="562"/>
      <c r="RQQ41" s="562"/>
      <c r="RQR41" s="562"/>
      <c r="RQS41" s="562"/>
      <c r="RQT41" s="562"/>
      <c r="RQU41" s="562"/>
      <c r="RQV41" s="562"/>
      <c r="RQW41" s="562"/>
      <c r="RQX41" s="562"/>
      <c r="RQY41" s="562"/>
      <c r="RQZ41" s="562"/>
      <c r="RRA41" s="562"/>
      <c r="RRB41" s="562"/>
      <c r="RRC41" s="562"/>
      <c r="RRD41" s="562"/>
      <c r="RRE41" s="562"/>
      <c r="RRF41" s="562"/>
      <c r="RRG41" s="562"/>
      <c r="RRH41" s="562"/>
      <c r="RRI41" s="562"/>
      <c r="RRJ41" s="562"/>
      <c r="RRK41" s="562"/>
      <c r="RRL41" s="562"/>
      <c r="RRM41" s="562"/>
      <c r="RRN41" s="562"/>
      <c r="RRO41" s="562"/>
      <c r="RRP41" s="562"/>
      <c r="RRQ41" s="562"/>
      <c r="RRR41" s="562"/>
      <c r="RRS41" s="562"/>
      <c r="RRT41" s="562"/>
      <c r="RRU41" s="562"/>
      <c r="RRV41" s="562"/>
      <c r="RRW41" s="562"/>
      <c r="RRX41" s="562"/>
      <c r="RRY41" s="562"/>
      <c r="RRZ41" s="562"/>
      <c r="RSA41" s="562"/>
      <c r="RSB41" s="562"/>
      <c r="RSC41" s="562"/>
      <c r="RSD41" s="562"/>
      <c r="RSE41" s="562"/>
      <c r="RSF41" s="562"/>
      <c r="RSG41" s="562"/>
      <c r="RSH41" s="562"/>
      <c r="RSI41" s="562"/>
      <c r="RSJ41" s="562"/>
      <c r="RSK41" s="562"/>
      <c r="RSL41" s="562"/>
      <c r="RSM41" s="562"/>
      <c r="RSN41" s="562"/>
      <c r="RSO41" s="562"/>
      <c r="RSP41" s="562"/>
      <c r="RSQ41" s="562"/>
      <c r="RSR41" s="562"/>
      <c r="RSS41" s="562"/>
      <c r="RST41" s="562"/>
      <c r="RSU41" s="562"/>
      <c r="RSV41" s="562"/>
      <c r="RSW41" s="562"/>
      <c r="RSX41" s="562"/>
      <c r="RSY41" s="562"/>
      <c r="RSZ41" s="562"/>
      <c r="RTA41" s="562"/>
      <c r="RTB41" s="562"/>
      <c r="RTC41" s="562"/>
      <c r="RTD41" s="562"/>
      <c r="RTE41" s="562"/>
      <c r="RTF41" s="562"/>
      <c r="RTG41" s="562"/>
      <c r="RTH41" s="562"/>
      <c r="RTI41" s="562"/>
      <c r="RTJ41" s="562"/>
      <c r="RTK41" s="562"/>
      <c r="RTL41" s="562"/>
      <c r="RTM41" s="562"/>
      <c r="RTN41" s="562"/>
      <c r="RTO41" s="562"/>
      <c r="RTP41" s="562"/>
      <c r="RTQ41" s="562"/>
      <c r="RTR41" s="562"/>
      <c r="RTS41" s="562"/>
      <c r="RTT41" s="562"/>
      <c r="RTU41" s="562"/>
      <c r="RTV41" s="562"/>
      <c r="RTW41" s="562"/>
      <c r="RTX41" s="562"/>
      <c r="RTY41" s="562"/>
      <c r="RTZ41" s="562"/>
      <c r="RUA41" s="562"/>
      <c r="RUB41" s="562"/>
      <c r="RUC41" s="562"/>
      <c r="RUD41" s="562"/>
      <c r="RUE41" s="562"/>
      <c r="RUF41" s="562"/>
      <c r="RUG41" s="562"/>
      <c r="RUH41" s="562"/>
      <c r="RUI41" s="562"/>
      <c r="RUJ41" s="562"/>
      <c r="RUK41" s="562"/>
      <c r="RUL41" s="562"/>
      <c r="RUM41" s="562"/>
      <c r="RUN41" s="562"/>
      <c r="RUO41" s="562"/>
      <c r="RUP41" s="562"/>
      <c r="RUQ41" s="562"/>
      <c r="RUR41" s="562"/>
      <c r="RUS41" s="562"/>
      <c r="RUT41" s="562"/>
      <c r="RUU41" s="562"/>
      <c r="RUV41" s="562"/>
      <c r="RUW41" s="562"/>
      <c r="RUX41" s="562"/>
      <c r="RUY41" s="562"/>
      <c r="RUZ41" s="562"/>
      <c r="RVA41" s="562"/>
      <c r="RVB41" s="562"/>
      <c r="RVC41" s="562"/>
      <c r="RVD41" s="562"/>
      <c r="RVE41" s="562"/>
      <c r="RVF41" s="562"/>
      <c r="RVG41" s="562"/>
      <c r="RVH41" s="562"/>
      <c r="RVI41" s="562"/>
      <c r="RVJ41" s="562"/>
      <c r="RVK41" s="562"/>
      <c r="RVL41" s="562"/>
      <c r="RVM41" s="562"/>
      <c r="RVN41" s="562"/>
      <c r="RVO41" s="562"/>
      <c r="RVP41" s="562"/>
      <c r="RVQ41" s="562"/>
      <c r="RVR41" s="562"/>
      <c r="RVS41" s="562"/>
      <c r="RVT41" s="562"/>
      <c r="RVU41" s="562"/>
      <c r="RVV41" s="562"/>
      <c r="RVW41" s="562"/>
      <c r="RVX41" s="562"/>
      <c r="RVY41" s="562"/>
      <c r="RVZ41" s="562"/>
      <c r="RWA41" s="562"/>
      <c r="RWB41" s="562"/>
      <c r="RWC41" s="562"/>
      <c r="RWD41" s="562"/>
      <c r="RWE41" s="562"/>
      <c r="RWF41" s="562"/>
      <c r="RWG41" s="562"/>
      <c r="RWH41" s="562"/>
      <c r="RWI41" s="562"/>
      <c r="RWJ41" s="562"/>
      <c r="RWK41" s="562"/>
      <c r="RWL41" s="562"/>
      <c r="RWM41" s="562"/>
      <c r="RWN41" s="562"/>
      <c r="RWO41" s="562"/>
      <c r="RWP41" s="562"/>
      <c r="RWQ41" s="562"/>
      <c r="RWR41" s="562"/>
      <c r="RWS41" s="562"/>
      <c r="RWT41" s="562"/>
      <c r="RWU41" s="562"/>
      <c r="RWV41" s="562"/>
      <c r="RWW41" s="562"/>
      <c r="RWX41" s="562"/>
      <c r="RWY41" s="562"/>
      <c r="RWZ41" s="562"/>
      <c r="RXA41" s="562"/>
      <c r="RXB41" s="562"/>
      <c r="RXC41" s="562"/>
      <c r="RXD41" s="562"/>
      <c r="RXE41" s="562"/>
      <c r="RXF41" s="562"/>
      <c r="RXG41" s="562"/>
      <c r="RXH41" s="562"/>
      <c r="RXI41" s="562"/>
      <c r="RXJ41" s="562"/>
      <c r="RXK41" s="562"/>
      <c r="RXL41" s="562"/>
      <c r="RXM41" s="562"/>
      <c r="RXN41" s="562"/>
      <c r="RXO41" s="562"/>
      <c r="RXP41" s="562"/>
      <c r="RXQ41" s="562"/>
      <c r="RXR41" s="562"/>
      <c r="RXS41" s="562"/>
      <c r="RXT41" s="562"/>
      <c r="RXU41" s="562"/>
      <c r="RXV41" s="562"/>
      <c r="RXW41" s="562"/>
      <c r="RXX41" s="562"/>
      <c r="RXY41" s="562"/>
      <c r="RXZ41" s="562"/>
      <c r="RYA41" s="562"/>
      <c r="RYB41" s="562"/>
      <c r="RYC41" s="562"/>
      <c r="RYD41" s="562"/>
      <c r="RYE41" s="562"/>
      <c r="RYF41" s="562"/>
      <c r="RYG41" s="562"/>
      <c r="RYH41" s="562"/>
      <c r="RYI41" s="562"/>
      <c r="RYJ41" s="562"/>
      <c r="RYK41" s="562"/>
      <c r="RYL41" s="562"/>
      <c r="RYM41" s="562"/>
      <c r="RYN41" s="562"/>
      <c r="RYO41" s="562"/>
      <c r="RYP41" s="562"/>
      <c r="RYQ41" s="562"/>
      <c r="RYR41" s="562"/>
      <c r="RYS41" s="562"/>
      <c r="RYT41" s="562"/>
      <c r="RYU41" s="562"/>
      <c r="RYV41" s="562"/>
      <c r="RYW41" s="562"/>
      <c r="RYX41" s="562"/>
      <c r="RYY41" s="562"/>
      <c r="RYZ41" s="562"/>
      <c r="RZA41" s="562"/>
      <c r="RZB41" s="562"/>
      <c r="RZC41" s="562"/>
      <c r="RZD41" s="562"/>
      <c r="RZE41" s="562"/>
      <c r="RZF41" s="562"/>
      <c r="RZG41" s="562"/>
      <c r="RZH41" s="562"/>
      <c r="RZI41" s="562"/>
      <c r="RZJ41" s="562"/>
      <c r="RZK41" s="562"/>
      <c r="RZL41" s="562"/>
      <c r="RZM41" s="562"/>
      <c r="RZN41" s="562"/>
      <c r="RZO41" s="562"/>
      <c r="RZP41" s="562"/>
      <c r="RZQ41" s="562"/>
      <c r="RZR41" s="562"/>
      <c r="RZS41" s="562"/>
      <c r="RZT41" s="562"/>
      <c r="RZU41" s="562"/>
      <c r="RZV41" s="562"/>
      <c r="RZW41" s="562"/>
      <c r="RZX41" s="562"/>
      <c r="RZY41" s="562"/>
      <c r="RZZ41" s="562"/>
      <c r="SAA41" s="562"/>
      <c r="SAB41" s="562"/>
      <c r="SAC41" s="562"/>
      <c r="SAD41" s="562"/>
      <c r="SAE41" s="562"/>
      <c r="SAF41" s="562"/>
      <c r="SAG41" s="562"/>
      <c r="SAH41" s="562"/>
      <c r="SAI41" s="562"/>
      <c r="SAJ41" s="562"/>
      <c r="SAK41" s="562"/>
      <c r="SAL41" s="562"/>
      <c r="SAM41" s="562"/>
      <c r="SAN41" s="562"/>
      <c r="SAO41" s="562"/>
      <c r="SAP41" s="562"/>
      <c r="SAQ41" s="562"/>
      <c r="SAR41" s="562"/>
      <c r="SAS41" s="562"/>
      <c r="SAT41" s="562"/>
      <c r="SAU41" s="562"/>
      <c r="SAV41" s="562"/>
      <c r="SAW41" s="562"/>
      <c r="SAX41" s="562"/>
      <c r="SAY41" s="562"/>
      <c r="SAZ41" s="562"/>
      <c r="SBA41" s="562"/>
      <c r="SBB41" s="562"/>
      <c r="SBC41" s="562"/>
      <c r="SBD41" s="562"/>
      <c r="SBE41" s="562"/>
      <c r="SBF41" s="562"/>
      <c r="SBG41" s="562"/>
      <c r="SBH41" s="562"/>
      <c r="SBI41" s="562"/>
      <c r="SBJ41" s="562"/>
      <c r="SBK41" s="562"/>
      <c r="SBL41" s="562"/>
      <c r="SBM41" s="562"/>
      <c r="SBN41" s="562"/>
      <c r="SBO41" s="562"/>
      <c r="SBP41" s="562"/>
      <c r="SBQ41" s="562"/>
      <c r="SBR41" s="562"/>
      <c r="SBS41" s="562"/>
      <c r="SBT41" s="562"/>
      <c r="SBU41" s="562"/>
      <c r="SBV41" s="562"/>
      <c r="SBW41" s="562"/>
      <c r="SBX41" s="562"/>
      <c r="SBY41" s="562"/>
      <c r="SBZ41" s="562"/>
      <c r="SCA41" s="562"/>
      <c r="SCB41" s="562"/>
      <c r="SCC41" s="562"/>
      <c r="SCD41" s="562"/>
      <c r="SCE41" s="562"/>
      <c r="SCF41" s="562"/>
      <c r="SCG41" s="562"/>
      <c r="SCH41" s="562"/>
      <c r="SCI41" s="562"/>
      <c r="SCJ41" s="562"/>
      <c r="SCK41" s="562"/>
      <c r="SCL41" s="562"/>
      <c r="SCM41" s="562"/>
      <c r="SCN41" s="562"/>
      <c r="SCO41" s="562"/>
      <c r="SCP41" s="562"/>
      <c r="SCQ41" s="562"/>
      <c r="SCR41" s="562"/>
      <c r="SCS41" s="562"/>
      <c r="SCT41" s="562"/>
      <c r="SCU41" s="562"/>
      <c r="SCV41" s="562"/>
      <c r="SCW41" s="562"/>
      <c r="SCX41" s="562"/>
      <c r="SCY41" s="562"/>
      <c r="SCZ41" s="562"/>
      <c r="SDA41" s="562"/>
      <c r="SDB41" s="562"/>
      <c r="SDC41" s="562"/>
      <c r="SDD41" s="562"/>
      <c r="SDE41" s="562"/>
      <c r="SDF41" s="562"/>
      <c r="SDG41" s="562"/>
      <c r="SDH41" s="562"/>
      <c r="SDI41" s="562"/>
      <c r="SDJ41" s="562"/>
      <c r="SDK41" s="562"/>
      <c r="SDL41" s="562"/>
      <c r="SDM41" s="562"/>
      <c r="SDN41" s="562"/>
      <c r="SDO41" s="562"/>
      <c r="SDP41" s="562"/>
      <c r="SDQ41" s="562"/>
      <c r="SDR41" s="562"/>
      <c r="SDS41" s="562"/>
      <c r="SDT41" s="562"/>
      <c r="SDU41" s="562"/>
      <c r="SDV41" s="562"/>
      <c r="SDW41" s="562"/>
      <c r="SDX41" s="562"/>
      <c r="SDY41" s="562"/>
      <c r="SDZ41" s="562"/>
      <c r="SEA41" s="562"/>
      <c r="SEB41" s="562"/>
      <c r="SEC41" s="562"/>
      <c r="SED41" s="562"/>
      <c r="SEE41" s="562"/>
      <c r="SEF41" s="562"/>
      <c r="SEG41" s="562"/>
      <c r="SEH41" s="562"/>
      <c r="SEI41" s="562"/>
      <c r="SEJ41" s="562"/>
      <c r="SEK41" s="562"/>
      <c r="SEL41" s="562"/>
      <c r="SEM41" s="562"/>
      <c r="SEN41" s="562"/>
      <c r="SEO41" s="562"/>
      <c r="SEP41" s="562"/>
      <c r="SEQ41" s="562"/>
      <c r="SER41" s="562"/>
      <c r="SES41" s="562"/>
      <c r="SET41" s="562"/>
      <c r="SEU41" s="562"/>
      <c r="SEV41" s="562"/>
      <c r="SEW41" s="562"/>
      <c r="SEX41" s="562"/>
      <c r="SEY41" s="562"/>
      <c r="SEZ41" s="562"/>
      <c r="SFA41" s="562"/>
      <c r="SFB41" s="562"/>
      <c r="SFC41" s="562"/>
      <c r="SFD41" s="562"/>
      <c r="SFE41" s="562"/>
      <c r="SFF41" s="562"/>
      <c r="SFG41" s="562"/>
      <c r="SFH41" s="562"/>
      <c r="SFI41" s="562"/>
      <c r="SFJ41" s="562"/>
      <c r="SFK41" s="562"/>
      <c r="SFL41" s="562"/>
      <c r="SFM41" s="562"/>
      <c r="SFN41" s="562"/>
      <c r="SFO41" s="562"/>
      <c r="SFP41" s="562"/>
      <c r="SFQ41" s="562"/>
      <c r="SFR41" s="562"/>
      <c r="SFS41" s="562"/>
      <c r="SFT41" s="562"/>
      <c r="SFU41" s="562"/>
      <c r="SFV41" s="562"/>
      <c r="SFW41" s="562"/>
      <c r="SFX41" s="562"/>
      <c r="SFY41" s="562"/>
      <c r="SFZ41" s="562"/>
      <c r="SGA41" s="562"/>
      <c r="SGB41" s="562"/>
      <c r="SGC41" s="562"/>
      <c r="SGD41" s="562"/>
      <c r="SGE41" s="562"/>
      <c r="SGF41" s="562"/>
      <c r="SGG41" s="562"/>
      <c r="SGH41" s="562"/>
      <c r="SGI41" s="562"/>
      <c r="SGJ41" s="562"/>
      <c r="SGK41" s="562"/>
      <c r="SGL41" s="562"/>
      <c r="SGM41" s="562"/>
      <c r="SGN41" s="562"/>
      <c r="SGO41" s="562"/>
      <c r="SGP41" s="562"/>
      <c r="SGQ41" s="562"/>
      <c r="SGR41" s="562"/>
      <c r="SGS41" s="562"/>
      <c r="SGT41" s="562"/>
      <c r="SGU41" s="562"/>
      <c r="SGV41" s="562"/>
      <c r="SGW41" s="562"/>
      <c r="SGX41" s="562"/>
      <c r="SGY41" s="562"/>
      <c r="SGZ41" s="562"/>
      <c r="SHA41" s="562"/>
      <c r="SHB41" s="562"/>
      <c r="SHC41" s="562"/>
      <c r="SHD41" s="562"/>
      <c r="SHE41" s="562"/>
      <c r="SHF41" s="562"/>
      <c r="SHG41" s="562"/>
      <c r="SHH41" s="562"/>
      <c r="SHI41" s="562"/>
      <c r="SHJ41" s="562"/>
      <c r="SHK41" s="562"/>
      <c r="SHL41" s="562"/>
      <c r="SHM41" s="562"/>
      <c r="SHN41" s="562"/>
      <c r="SHO41" s="562"/>
      <c r="SHP41" s="562"/>
      <c r="SHQ41" s="562"/>
      <c r="SHR41" s="562"/>
      <c r="SHS41" s="562"/>
      <c r="SHT41" s="562"/>
      <c r="SHU41" s="562"/>
      <c r="SHV41" s="562"/>
      <c r="SHW41" s="562"/>
      <c r="SHX41" s="562"/>
      <c r="SHY41" s="562"/>
      <c r="SHZ41" s="562"/>
      <c r="SIA41" s="562"/>
      <c r="SIB41" s="562"/>
      <c r="SIC41" s="562"/>
      <c r="SID41" s="562"/>
      <c r="SIE41" s="562"/>
      <c r="SIF41" s="562"/>
      <c r="SIG41" s="562"/>
      <c r="SIH41" s="562"/>
      <c r="SII41" s="562"/>
      <c r="SIJ41" s="562"/>
      <c r="SIK41" s="562"/>
      <c r="SIL41" s="562"/>
      <c r="SIM41" s="562"/>
      <c r="SIN41" s="562"/>
      <c r="SIO41" s="562"/>
      <c r="SIP41" s="562"/>
      <c r="SIQ41" s="562"/>
      <c r="SIR41" s="562"/>
      <c r="SIS41" s="562"/>
      <c r="SIT41" s="562"/>
      <c r="SIU41" s="562"/>
      <c r="SIV41" s="562"/>
      <c r="SIW41" s="562"/>
      <c r="SIX41" s="562"/>
      <c r="SIY41" s="562"/>
      <c r="SIZ41" s="562"/>
      <c r="SJA41" s="562"/>
      <c r="SJB41" s="562"/>
      <c r="SJC41" s="562"/>
      <c r="SJD41" s="562"/>
      <c r="SJE41" s="562"/>
      <c r="SJF41" s="562"/>
      <c r="SJG41" s="562"/>
      <c r="SJH41" s="562"/>
      <c r="SJI41" s="562"/>
      <c r="SJJ41" s="562"/>
      <c r="SJK41" s="562"/>
      <c r="SJL41" s="562"/>
      <c r="SJM41" s="562"/>
      <c r="SJN41" s="562"/>
      <c r="SJO41" s="562"/>
      <c r="SJP41" s="562"/>
      <c r="SJQ41" s="562"/>
      <c r="SJR41" s="562"/>
      <c r="SJS41" s="562"/>
      <c r="SJT41" s="562"/>
      <c r="SJU41" s="562"/>
      <c r="SJV41" s="562"/>
      <c r="SJW41" s="562"/>
      <c r="SJX41" s="562"/>
      <c r="SJY41" s="562"/>
      <c r="SJZ41" s="562"/>
      <c r="SKA41" s="562"/>
      <c r="SKB41" s="562"/>
      <c r="SKC41" s="562"/>
      <c r="SKD41" s="562"/>
      <c r="SKE41" s="562"/>
      <c r="SKF41" s="562"/>
      <c r="SKG41" s="562"/>
      <c r="SKH41" s="562"/>
      <c r="SKI41" s="562"/>
      <c r="SKJ41" s="562"/>
      <c r="SKK41" s="562"/>
      <c r="SKL41" s="562"/>
      <c r="SKM41" s="562"/>
      <c r="SKN41" s="562"/>
      <c r="SKO41" s="562"/>
      <c r="SKP41" s="562"/>
      <c r="SKQ41" s="562"/>
      <c r="SKR41" s="562"/>
      <c r="SKS41" s="562"/>
      <c r="SKT41" s="562"/>
      <c r="SKU41" s="562"/>
      <c r="SKV41" s="562"/>
      <c r="SKW41" s="562"/>
      <c r="SKX41" s="562"/>
      <c r="SKY41" s="562"/>
      <c r="SKZ41" s="562"/>
      <c r="SLA41" s="562"/>
      <c r="SLB41" s="562"/>
      <c r="SLC41" s="562"/>
      <c r="SLD41" s="562"/>
      <c r="SLE41" s="562"/>
      <c r="SLF41" s="562"/>
      <c r="SLG41" s="562"/>
      <c r="SLH41" s="562"/>
      <c r="SLI41" s="562"/>
      <c r="SLJ41" s="562"/>
      <c r="SLK41" s="562"/>
      <c r="SLL41" s="562"/>
      <c r="SLM41" s="562"/>
      <c r="SLN41" s="562"/>
      <c r="SLO41" s="562"/>
      <c r="SLP41" s="562"/>
      <c r="SLQ41" s="562"/>
      <c r="SLR41" s="562"/>
      <c r="SLS41" s="562"/>
      <c r="SLT41" s="562"/>
      <c r="SLU41" s="562"/>
      <c r="SLV41" s="562"/>
      <c r="SLW41" s="562"/>
      <c r="SLX41" s="562"/>
      <c r="SLY41" s="562"/>
      <c r="SLZ41" s="562"/>
      <c r="SMA41" s="562"/>
      <c r="SMB41" s="562"/>
      <c r="SMC41" s="562"/>
      <c r="SMD41" s="562"/>
      <c r="SME41" s="562"/>
      <c r="SMF41" s="562"/>
      <c r="SMG41" s="562"/>
      <c r="SMH41" s="562"/>
      <c r="SMI41" s="562"/>
      <c r="SMJ41" s="562"/>
      <c r="SMK41" s="562"/>
      <c r="SML41" s="562"/>
      <c r="SMM41" s="562"/>
      <c r="SMN41" s="562"/>
      <c r="SMO41" s="562"/>
      <c r="SMP41" s="562"/>
      <c r="SMQ41" s="562"/>
      <c r="SMR41" s="562"/>
      <c r="SMS41" s="562"/>
      <c r="SMT41" s="562"/>
      <c r="SMU41" s="562"/>
      <c r="SMV41" s="562"/>
      <c r="SMW41" s="562"/>
      <c r="SMX41" s="562"/>
      <c r="SMY41" s="562"/>
      <c r="SMZ41" s="562"/>
      <c r="SNA41" s="562"/>
      <c r="SNB41" s="562"/>
      <c r="SNC41" s="562"/>
      <c r="SND41" s="562"/>
      <c r="SNE41" s="562"/>
      <c r="SNF41" s="562"/>
      <c r="SNG41" s="562"/>
      <c r="SNH41" s="562"/>
      <c r="SNI41" s="562"/>
      <c r="SNJ41" s="562"/>
      <c r="SNK41" s="562"/>
      <c r="SNL41" s="562"/>
      <c r="SNM41" s="562"/>
      <c r="SNN41" s="562"/>
      <c r="SNO41" s="562"/>
      <c r="SNP41" s="562"/>
      <c r="SNQ41" s="562"/>
      <c r="SNR41" s="562"/>
      <c r="SNS41" s="562"/>
      <c r="SNT41" s="562"/>
      <c r="SNU41" s="562"/>
      <c r="SNV41" s="562"/>
      <c r="SNW41" s="562"/>
      <c r="SNX41" s="562"/>
      <c r="SNY41" s="562"/>
      <c r="SNZ41" s="562"/>
      <c r="SOA41" s="562"/>
      <c r="SOB41" s="562"/>
      <c r="SOC41" s="562"/>
      <c r="SOD41" s="562"/>
      <c r="SOE41" s="562"/>
      <c r="SOF41" s="562"/>
      <c r="SOG41" s="562"/>
      <c r="SOH41" s="562"/>
      <c r="SOI41" s="562"/>
      <c r="SOJ41" s="562"/>
      <c r="SOK41" s="562"/>
      <c r="SOL41" s="562"/>
      <c r="SOM41" s="562"/>
      <c r="SON41" s="562"/>
      <c r="SOO41" s="562"/>
      <c r="SOP41" s="562"/>
      <c r="SOQ41" s="562"/>
      <c r="SOR41" s="562"/>
      <c r="SOS41" s="562"/>
      <c r="SOT41" s="562"/>
      <c r="SOU41" s="562"/>
      <c r="SOV41" s="562"/>
      <c r="SOW41" s="562"/>
      <c r="SOX41" s="562"/>
      <c r="SOY41" s="562"/>
      <c r="SOZ41" s="562"/>
      <c r="SPA41" s="562"/>
      <c r="SPB41" s="562"/>
      <c r="SPC41" s="562"/>
      <c r="SPD41" s="562"/>
      <c r="SPE41" s="562"/>
      <c r="SPF41" s="562"/>
      <c r="SPG41" s="562"/>
      <c r="SPH41" s="562"/>
      <c r="SPI41" s="562"/>
      <c r="SPJ41" s="562"/>
      <c r="SPK41" s="562"/>
      <c r="SPL41" s="562"/>
      <c r="SPM41" s="562"/>
      <c r="SPN41" s="562"/>
      <c r="SPO41" s="562"/>
      <c r="SPP41" s="562"/>
      <c r="SPQ41" s="562"/>
      <c r="SPR41" s="562"/>
      <c r="SPS41" s="562"/>
      <c r="SPT41" s="562"/>
      <c r="SPU41" s="562"/>
      <c r="SPV41" s="562"/>
      <c r="SPW41" s="562"/>
      <c r="SPX41" s="562"/>
      <c r="SPY41" s="562"/>
      <c r="SPZ41" s="562"/>
      <c r="SQA41" s="562"/>
      <c r="SQB41" s="562"/>
      <c r="SQC41" s="562"/>
      <c r="SQD41" s="562"/>
      <c r="SQE41" s="562"/>
      <c r="SQF41" s="562"/>
      <c r="SQG41" s="562"/>
      <c r="SQH41" s="562"/>
      <c r="SQI41" s="562"/>
      <c r="SQJ41" s="562"/>
      <c r="SQK41" s="562"/>
      <c r="SQL41" s="562"/>
      <c r="SQM41" s="562"/>
      <c r="SQN41" s="562"/>
      <c r="SQO41" s="562"/>
      <c r="SQP41" s="562"/>
      <c r="SQQ41" s="562"/>
      <c r="SQR41" s="562"/>
      <c r="SQS41" s="562"/>
      <c r="SQT41" s="562"/>
      <c r="SQU41" s="562"/>
      <c r="SQV41" s="562"/>
      <c r="SQW41" s="562"/>
      <c r="SQX41" s="562"/>
      <c r="SQY41" s="562"/>
      <c r="SQZ41" s="562"/>
      <c r="SRA41" s="562"/>
      <c r="SRB41" s="562"/>
      <c r="SRC41" s="562"/>
      <c r="SRD41" s="562"/>
      <c r="SRE41" s="562"/>
      <c r="SRF41" s="562"/>
      <c r="SRG41" s="562"/>
      <c r="SRH41" s="562"/>
      <c r="SRI41" s="562"/>
      <c r="SRJ41" s="562"/>
      <c r="SRK41" s="562"/>
      <c r="SRL41" s="562"/>
      <c r="SRM41" s="562"/>
      <c r="SRN41" s="562"/>
      <c r="SRO41" s="562"/>
      <c r="SRP41" s="562"/>
      <c r="SRQ41" s="562"/>
      <c r="SRR41" s="562"/>
      <c r="SRS41" s="562"/>
      <c r="SRT41" s="562"/>
      <c r="SRU41" s="562"/>
      <c r="SRV41" s="562"/>
      <c r="SRW41" s="562"/>
      <c r="SRX41" s="562"/>
      <c r="SRY41" s="562"/>
      <c r="SRZ41" s="562"/>
      <c r="SSA41" s="562"/>
      <c r="SSB41" s="562"/>
      <c r="SSC41" s="562"/>
      <c r="SSD41" s="562"/>
      <c r="SSE41" s="562"/>
      <c r="SSF41" s="562"/>
      <c r="SSG41" s="562"/>
      <c r="SSH41" s="562"/>
      <c r="SSI41" s="562"/>
      <c r="SSJ41" s="562"/>
      <c r="SSK41" s="562"/>
      <c r="SSL41" s="562"/>
      <c r="SSM41" s="562"/>
      <c r="SSN41" s="562"/>
      <c r="SSO41" s="562"/>
      <c r="SSP41" s="562"/>
      <c r="SSQ41" s="562"/>
      <c r="SSR41" s="562"/>
      <c r="SSS41" s="562"/>
      <c r="SST41" s="562"/>
      <c r="SSU41" s="562"/>
      <c r="SSV41" s="562"/>
      <c r="SSW41" s="562"/>
      <c r="SSX41" s="562"/>
      <c r="SSY41" s="562"/>
      <c r="SSZ41" s="562"/>
      <c r="STA41" s="562"/>
      <c r="STB41" s="562"/>
      <c r="STC41" s="562"/>
      <c r="STD41" s="562"/>
      <c r="STE41" s="562"/>
      <c r="STF41" s="562"/>
      <c r="STG41" s="562"/>
      <c r="STH41" s="562"/>
      <c r="STI41" s="562"/>
      <c r="STJ41" s="562"/>
      <c r="STK41" s="562"/>
      <c r="STL41" s="562"/>
      <c r="STM41" s="562"/>
      <c r="STN41" s="562"/>
      <c r="STO41" s="562"/>
      <c r="STP41" s="562"/>
      <c r="STQ41" s="562"/>
      <c r="STR41" s="562"/>
      <c r="STS41" s="562"/>
      <c r="STT41" s="562"/>
      <c r="STU41" s="562"/>
      <c r="STV41" s="562"/>
      <c r="STW41" s="562"/>
      <c r="STX41" s="562"/>
      <c r="STY41" s="562"/>
      <c r="STZ41" s="562"/>
      <c r="SUA41" s="562"/>
      <c r="SUB41" s="562"/>
      <c r="SUC41" s="562"/>
      <c r="SUD41" s="562"/>
      <c r="SUE41" s="562"/>
      <c r="SUF41" s="562"/>
      <c r="SUG41" s="562"/>
      <c r="SUH41" s="562"/>
      <c r="SUI41" s="562"/>
      <c r="SUJ41" s="562"/>
      <c r="SUK41" s="562"/>
      <c r="SUL41" s="562"/>
      <c r="SUM41" s="562"/>
      <c r="SUN41" s="562"/>
      <c r="SUO41" s="562"/>
      <c r="SUP41" s="562"/>
      <c r="SUQ41" s="562"/>
      <c r="SUR41" s="562"/>
      <c r="SUS41" s="562"/>
      <c r="SUT41" s="562"/>
      <c r="SUU41" s="562"/>
      <c r="SUV41" s="562"/>
      <c r="SUW41" s="562"/>
      <c r="SUX41" s="562"/>
      <c r="SUY41" s="562"/>
      <c r="SUZ41" s="562"/>
      <c r="SVA41" s="562"/>
      <c r="SVB41" s="562"/>
      <c r="SVC41" s="562"/>
      <c r="SVD41" s="562"/>
      <c r="SVE41" s="562"/>
      <c r="SVF41" s="562"/>
      <c r="SVG41" s="562"/>
      <c r="SVH41" s="562"/>
      <c r="SVI41" s="562"/>
      <c r="SVJ41" s="562"/>
      <c r="SVK41" s="562"/>
      <c r="SVL41" s="562"/>
      <c r="SVM41" s="562"/>
      <c r="SVN41" s="562"/>
      <c r="SVO41" s="562"/>
      <c r="SVP41" s="562"/>
      <c r="SVQ41" s="562"/>
      <c r="SVR41" s="562"/>
      <c r="SVS41" s="562"/>
      <c r="SVT41" s="562"/>
      <c r="SVU41" s="562"/>
      <c r="SVV41" s="562"/>
      <c r="SVW41" s="562"/>
      <c r="SVX41" s="562"/>
      <c r="SVY41" s="562"/>
      <c r="SVZ41" s="562"/>
      <c r="SWA41" s="562"/>
      <c r="SWB41" s="562"/>
      <c r="SWC41" s="562"/>
      <c r="SWD41" s="562"/>
      <c r="SWE41" s="562"/>
      <c r="SWF41" s="562"/>
      <c r="SWG41" s="562"/>
      <c r="SWH41" s="562"/>
      <c r="SWI41" s="562"/>
      <c r="SWJ41" s="562"/>
      <c r="SWK41" s="562"/>
      <c r="SWL41" s="562"/>
      <c r="SWM41" s="562"/>
      <c r="SWN41" s="562"/>
      <c r="SWO41" s="562"/>
      <c r="SWP41" s="562"/>
      <c r="SWQ41" s="562"/>
      <c r="SWR41" s="562"/>
      <c r="SWS41" s="562"/>
      <c r="SWT41" s="562"/>
      <c r="SWU41" s="562"/>
      <c r="SWV41" s="562"/>
      <c r="SWW41" s="562"/>
      <c r="SWX41" s="562"/>
      <c r="SWY41" s="562"/>
      <c r="SWZ41" s="562"/>
      <c r="SXA41" s="562"/>
      <c r="SXB41" s="562"/>
      <c r="SXC41" s="562"/>
      <c r="SXD41" s="562"/>
      <c r="SXE41" s="562"/>
      <c r="SXF41" s="562"/>
      <c r="SXG41" s="562"/>
      <c r="SXH41" s="562"/>
      <c r="SXI41" s="562"/>
      <c r="SXJ41" s="562"/>
      <c r="SXK41" s="562"/>
      <c r="SXL41" s="562"/>
      <c r="SXM41" s="562"/>
      <c r="SXN41" s="562"/>
      <c r="SXO41" s="562"/>
      <c r="SXP41" s="562"/>
      <c r="SXQ41" s="562"/>
      <c r="SXR41" s="562"/>
      <c r="SXS41" s="562"/>
      <c r="SXT41" s="562"/>
      <c r="SXU41" s="562"/>
      <c r="SXV41" s="562"/>
      <c r="SXW41" s="562"/>
      <c r="SXX41" s="562"/>
      <c r="SXY41" s="562"/>
      <c r="SXZ41" s="562"/>
      <c r="SYA41" s="562"/>
      <c r="SYB41" s="562"/>
      <c r="SYC41" s="562"/>
      <c r="SYD41" s="562"/>
      <c r="SYE41" s="562"/>
      <c r="SYF41" s="562"/>
      <c r="SYG41" s="562"/>
      <c r="SYH41" s="562"/>
      <c r="SYI41" s="562"/>
      <c r="SYJ41" s="562"/>
      <c r="SYK41" s="562"/>
      <c r="SYL41" s="562"/>
      <c r="SYM41" s="562"/>
      <c r="SYN41" s="562"/>
      <c r="SYO41" s="562"/>
      <c r="SYP41" s="562"/>
      <c r="SYQ41" s="562"/>
      <c r="SYR41" s="562"/>
      <c r="SYS41" s="562"/>
      <c r="SYT41" s="562"/>
      <c r="SYU41" s="562"/>
      <c r="SYV41" s="562"/>
      <c r="SYW41" s="562"/>
      <c r="SYX41" s="562"/>
      <c r="SYY41" s="562"/>
      <c r="SYZ41" s="562"/>
      <c r="SZA41" s="562"/>
      <c r="SZB41" s="562"/>
      <c r="SZC41" s="562"/>
      <c r="SZD41" s="562"/>
      <c r="SZE41" s="562"/>
      <c r="SZF41" s="562"/>
      <c r="SZG41" s="562"/>
      <c r="SZH41" s="562"/>
      <c r="SZI41" s="562"/>
      <c r="SZJ41" s="562"/>
      <c r="SZK41" s="562"/>
      <c r="SZL41" s="562"/>
      <c r="SZM41" s="562"/>
      <c r="SZN41" s="562"/>
      <c r="SZO41" s="562"/>
      <c r="SZP41" s="562"/>
      <c r="SZQ41" s="562"/>
      <c r="SZR41" s="562"/>
      <c r="SZS41" s="562"/>
      <c r="SZT41" s="562"/>
      <c r="SZU41" s="562"/>
      <c r="SZV41" s="562"/>
      <c r="SZW41" s="562"/>
      <c r="SZX41" s="562"/>
      <c r="SZY41" s="562"/>
      <c r="SZZ41" s="562"/>
      <c r="TAA41" s="562"/>
      <c r="TAB41" s="562"/>
      <c r="TAC41" s="562"/>
      <c r="TAD41" s="562"/>
      <c r="TAE41" s="562"/>
      <c r="TAF41" s="562"/>
      <c r="TAG41" s="562"/>
      <c r="TAH41" s="562"/>
      <c r="TAI41" s="562"/>
      <c r="TAJ41" s="562"/>
      <c r="TAK41" s="562"/>
      <c r="TAL41" s="562"/>
      <c r="TAM41" s="562"/>
      <c r="TAN41" s="562"/>
      <c r="TAO41" s="562"/>
      <c r="TAP41" s="562"/>
      <c r="TAQ41" s="562"/>
      <c r="TAR41" s="562"/>
      <c r="TAS41" s="562"/>
      <c r="TAT41" s="562"/>
      <c r="TAU41" s="562"/>
      <c r="TAV41" s="562"/>
      <c r="TAW41" s="562"/>
      <c r="TAX41" s="562"/>
      <c r="TAY41" s="562"/>
      <c r="TAZ41" s="562"/>
      <c r="TBA41" s="562"/>
      <c r="TBB41" s="562"/>
      <c r="TBC41" s="562"/>
      <c r="TBD41" s="562"/>
      <c r="TBE41" s="562"/>
      <c r="TBF41" s="562"/>
      <c r="TBG41" s="562"/>
      <c r="TBH41" s="562"/>
      <c r="TBI41" s="562"/>
      <c r="TBJ41" s="562"/>
      <c r="TBK41" s="562"/>
      <c r="TBL41" s="562"/>
      <c r="TBM41" s="562"/>
      <c r="TBN41" s="562"/>
      <c r="TBO41" s="562"/>
      <c r="TBP41" s="562"/>
      <c r="TBQ41" s="562"/>
      <c r="TBR41" s="562"/>
      <c r="TBS41" s="562"/>
      <c r="TBT41" s="562"/>
      <c r="TBU41" s="562"/>
      <c r="TBV41" s="562"/>
      <c r="TBW41" s="562"/>
      <c r="TBX41" s="562"/>
      <c r="TBY41" s="562"/>
      <c r="TBZ41" s="562"/>
      <c r="TCA41" s="562"/>
      <c r="TCB41" s="562"/>
      <c r="TCC41" s="562"/>
      <c r="TCD41" s="562"/>
      <c r="TCE41" s="562"/>
      <c r="TCF41" s="562"/>
      <c r="TCG41" s="562"/>
      <c r="TCH41" s="562"/>
      <c r="TCI41" s="562"/>
      <c r="TCJ41" s="562"/>
      <c r="TCK41" s="562"/>
      <c r="TCL41" s="562"/>
      <c r="TCM41" s="562"/>
      <c r="TCN41" s="562"/>
      <c r="TCO41" s="562"/>
      <c r="TCP41" s="562"/>
      <c r="TCQ41" s="562"/>
      <c r="TCR41" s="562"/>
      <c r="TCS41" s="562"/>
      <c r="TCT41" s="562"/>
      <c r="TCU41" s="562"/>
      <c r="TCV41" s="562"/>
      <c r="TCW41" s="562"/>
      <c r="TCX41" s="562"/>
      <c r="TCY41" s="562"/>
      <c r="TCZ41" s="562"/>
      <c r="TDA41" s="562"/>
      <c r="TDB41" s="562"/>
      <c r="TDC41" s="562"/>
      <c r="TDD41" s="562"/>
      <c r="TDE41" s="562"/>
      <c r="TDF41" s="562"/>
      <c r="TDG41" s="562"/>
      <c r="TDH41" s="562"/>
      <c r="TDI41" s="562"/>
      <c r="TDJ41" s="562"/>
      <c r="TDK41" s="562"/>
      <c r="TDL41" s="562"/>
      <c r="TDM41" s="562"/>
      <c r="TDN41" s="562"/>
      <c r="TDO41" s="562"/>
      <c r="TDP41" s="562"/>
      <c r="TDQ41" s="562"/>
      <c r="TDR41" s="562"/>
      <c r="TDS41" s="562"/>
      <c r="TDT41" s="562"/>
      <c r="TDU41" s="562"/>
      <c r="TDV41" s="562"/>
      <c r="TDW41" s="562"/>
      <c r="TDX41" s="562"/>
      <c r="TDY41" s="562"/>
      <c r="TDZ41" s="562"/>
      <c r="TEA41" s="562"/>
      <c r="TEB41" s="562"/>
      <c r="TEC41" s="562"/>
      <c r="TED41" s="562"/>
      <c r="TEE41" s="562"/>
      <c r="TEF41" s="562"/>
      <c r="TEG41" s="562"/>
      <c r="TEH41" s="562"/>
      <c r="TEI41" s="562"/>
      <c r="TEJ41" s="562"/>
      <c r="TEK41" s="562"/>
      <c r="TEL41" s="562"/>
      <c r="TEM41" s="562"/>
      <c r="TEN41" s="562"/>
      <c r="TEO41" s="562"/>
      <c r="TEP41" s="562"/>
      <c r="TEQ41" s="562"/>
      <c r="TER41" s="562"/>
      <c r="TES41" s="562"/>
      <c r="TET41" s="562"/>
      <c r="TEU41" s="562"/>
      <c r="TEV41" s="562"/>
      <c r="TEW41" s="562"/>
      <c r="TEX41" s="562"/>
      <c r="TEY41" s="562"/>
      <c r="TEZ41" s="562"/>
      <c r="TFA41" s="562"/>
      <c r="TFB41" s="562"/>
      <c r="TFC41" s="562"/>
      <c r="TFD41" s="562"/>
      <c r="TFE41" s="562"/>
      <c r="TFF41" s="562"/>
      <c r="TFG41" s="562"/>
      <c r="TFH41" s="562"/>
      <c r="TFI41" s="562"/>
      <c r="TFJ41" s="562"/>
      <c r="TFK41" s="562"/>
      <c r="TFL41" s="562"/>
      <c r="TFM41" s="562"/>
      <c r="TFN41" s="562"/>
      <c r="TFO41" s="562"/>
      <c r="TFP41" s="562"/>
      <c r="TFQ41" s="562"/>
      <c r="TFR41" s="562"/>
      <c r="TFS41" s="562"/>
      <c r="TFT41" s="562"/>
      <c r="TFU41" s="562"/>
      <c r="TFV41" s="562"/>
      <c r="TFW41" s="562"/>
      <c r="TFX41" s="562"/>
      <c r="TFY41" s="562"/>
      <c r="TFZ41" s="562"/>
      <c r="TGA41" s="562"/>
      <c r="TGB41" s="562"/>
      <c r="TGC41" s="562"/>
      <c r="TGD41" s="562"/>
      <c r="TGE41" s="562"/>
      <c r="TGF41" s="562"/>
      <c r="TGG41" s="562"/>
      <c r="TGH41" s="562"/>
      <c r="TGI41" s="562"/>
      <c r="TGJ41" s="562"/>
      <c r="TGK41" s="562"/>
      <c r="TGL41" s="562"/>
      <c r="TGM41" s="562"/>
      <c r="TGN41" s="562"/>
      <c r="TGO41" s="562"/>
      <c r="TGP41" s="562"/>
      <c r="TGQ41" s="562"/>
      <c r="TGR41" s="562"/>
      <c r="TGS41" s="562"/>
      <c r="TGT41" s="562"/>
      <c r="TGU41" s="562"/>
      <c r="TGV41" s="562"/>
      <c r="TGW41" s="562"/>
      <c r="TGX41" s="562"/>
      <c r="TGY41" s="562"/>
      <c r="TGZ41" s="562"/>
      <c r="THA41" s="562"/>
      <c r="THB41" s="562"/>
      <c r="THC41" s="562"/>
      <c r="THD41" s="562"/>
      <c r="THE41" s="562"/>
      <c r="THF41" s="562"/>
      <c r="THG41" s="562"/>
      <c r="THH41" s="562"/>
      <c r="THI41" s="562"/>
      <c r="THJ41" s="562"/>
      <c r="THK41" s="562"/>
      <c r="THL41" s="562"/>
      <c r="THM41" s="562"/>
      <c r="THN41" s="562"/>
      <c r="THO41" s="562"/>
      <c r="THP41" s="562"/>
      <c r="THQ41" s="562"/>
      <c r="THR41" s="562"/>
      <c r="THS41" s="562"/>
      <c r="THT41" s="562"/>
      <c r="THU41" s="562"/>
      <c r="THV41" s="562"/>
      <c r="THW41" s="562"/>
      <c r="THX41" s="562"/>
      <c r="THY41" s="562"/>
      <c r="THZ41" s="562"/>
      <c r="TIA41" s="562"/>
      <c r="TIB41" s="562"/>
      <c r="TIC41" s="562"/>
      <c r="TID41" s="562"/>
      <c r="TIE41" s="562"/>
      <c r="TIF41" s="562"/>
      <c r="TIG41" s="562"/>
      <c r="TIH41" s="562"/>
      <c r="TII41" s="562"/>
      <c r="TIJ41" s="562"/>
      <c r="TIK41" s="562"/>
      <c r="TIL41" s="562"/>
      <c r="TIM41" s="562"/>
      <c r="TIN41" s="562"/>
      <c r="TIO41" s="562"/>
      <c r="TIP41" s="562"/>
      <c r="TIQ41" s="562"/>
      <c r="TIR41" s="562"/>
      <c r="TIS41" s="562"/>
      <c r="TIT41" s="562"/>
      <c r="TIU41" s="562"/>
      <c r="TIV41" s="562"/>
      <c r="TIW41" s="562"/>
      <c r="TIX41" s="562"/>
      <c r="TIY41" s="562"/>
      <c r="TIZ41" s="562"/>
      <c r="TJA41" s="562"/>
      <c r="TJB41" s="562"/>
      <c r="TJC41" s="562"/>
      <c r="TJD41" s="562"/>
      <c r="TJE41" s="562"/>
      <c r="TJF41" s="562"/>
      <c r="TJG41" s="562"/>
      <c r="TJH41" s="562"/>
      <c r="TJI41" s="562"/>
      <c r="TJJ41" s="562"/>
      <c r="TJK41" s="562"/>
      <c r="TJL41" s="562"/>
      <c r="TJM41" s="562"/>
      <c r="TJN41" s="562"/>
      <c r="TJO41" s="562"/>
      <c r="TJP41" s="562"/>
      <c r="TJQ41" s="562"/>
      <c r="TJR41" s="562"/>
      <c r="TJS41" s="562"/>
      <c r="TJT41" s="562"/>
      <c r="TJU41" s="562"/>
      <c r="TJV41" s="562"/>
      <c r="TJW41" s="562"/>
      <c r="TJX41" s="562"/>
      <c r="TJY41" s="562"/>
      <c r="TJZ41" s="562"/>
      <c r="TKA41" s="562"/>
      <c r="TKB41" s="562"/>
      <c r="TKC41" s="562"/>
      <c r="TKD41" s="562"/>
      <c r="TKE41" s="562"/>
      <c r="TKF41" s="562"/>
      <c r="TKG41" s="562"/>
      <c r="TKH41" s="562"/>
      <c r="TKI41" s="562"/>
      <c r="TKJ41" s="562"/>
      <c r="TKK41" s="562"/>
      <c r="TKL41" s="562"/>
      <c r="TKM41" s="562"/>
      <c r="TKN41" s="562"/>
      <c r="TKO41" s="562"/>
      <c r="TKP41" s="562"/>
      <c r="TKQ41" s="562"/>
      <c r="TKR41" s="562"/>
      <c r="TKS41" s="562"/>
      <c r="TKT41" s="562"/>
      <c r="TKU41" s="562"/>
      <c r="TKV41" s="562"/>
      <c r="TKW41" s="562"/>
      <c r="TKX41" s="562"/>
      <c r="TKY41" s="562"/>
      <c r="TKZ41" s="562"/>
      <c r="TLA41" s="562"/>
      <c r="TLB41" s="562"/>
      <c r="TLC41" s="562"/>
      <c r="TLD41" s="562"/>
      <c r="TLE41" s="562"/>
      <c r="TLF41" s="562"/>
      <c r="TLG41" s="562"/>
      <c r="TLH41" s="562"/>
      <c r="TLI41" s="562"/>
      <c r="TLJ41" s="562"/>
      <c r="TLK41" s="562"/>
      <c r="TLL41" s="562"/>
      <c r="TLM41" s="562"/>
      <c r="TLN41" s="562"/>
      <c r="TLO41" s="562"/>
      <c r="TLP41" s="562"/>
      <c r="TLQ41" s="562"/>
      <c r="TLR41" s="562"/>
      <c r="TLS41" s="562"/>
      <c r="TLT41" s="562"/>
      <c r="TLU41" s="562"/>
      <c r="TLV41" s="562"/>
      <c r="TLW41" s="562"/>
      <c r="TLX41" s="562"/>
      <c r="TLY41" s="562"/>
      <c r="TLZ41" s="562"/>
      <c r="TMA41" s="562"/>
      <c r="TMB41" s="562"/>
      <c r="TMC41" s="562"/>
      <c r="TMD41" s="562"/>
      <c r="TME41" s="562"/>
      <c r="TMF41" s="562"/>
      <c r="TMG41" s="562"/>
      <c r="TMH41" s="562"/>
      <c r="TMI41" s="562"/>
      <c r="TMJ41" s="562"/>
      <c r="TMK41" s="562"/>
      <c r="TML41" s="562"/>
      <c r="TMM41" s="562"/>
      <c r="TMN41" s="562"/>
      <c r="TMO41" s="562"/>
      <c r="TMP41" s="562"/>
      <c r="TMQ41" s="562"/>
      <c r="TMR41" s="562"/>
      <c r="TMS41" s="562"/>
      <c r="TMT41" s="562"/>
      <c r="TMU41" s="562"/>
      <c r="TMV41" s="562"/>
      <c r="TMW41" s="562"/>
      <c r="TMX41" s="562"/>
      <c r="TMY41" s="562"/>
      <c r="TMZ41" s="562"/>
      <c r="TNA41" s="562"/>
      <c r="TNB41" s="562"/>
      <c r="TNC41" s="562"/>
      <c r="TND41" s="562"/>
      <c r="TNE41" s="562"/>
      <c r="TNF41" s="562"/>
      <c r="TNG41" s="562"/>
      <c r="TNH41" s="562"/>
      <c r="TNI41" s="562"/>
      <c r="TNJ41" s="562"/>
      <c r="TNK41" s="562"/>
      <c r="TNL41" s="562"/>
      <c r="TNM41" s="562"/>
      <c r="TNN41" s="562"/>
      <c r="TNO41" s="562"/>
      <c r="TNP41" s="562"/>
      <c r="TNQ41" s="562"/>
      <c r="TNR41" s="562"/>
      <c r="TNS41" s="562"/>
      <c r="TNT41" s="562"/>
      <c r="TNU41" s="562"/>
      <c r="TNV41" s="562"/>
      <c r="TNW41" s="562"/>
      <c r="TNX41" s="562"/>
      <c r="TNY41" s="562"/>
      <c r="TNZ41" s="562"/>
      <c r="TOA41" s="562"/>
      <c r="TOB41" s="562"/>
      <c r="TOC41" s="562"/>
      <c r="TOD41" s="562"/>
      <c r="TOE41" s="562"/>
      <c r="TOF41" s="562"/>
      <c r="TOG41" s="562"/>
      <c r="TOH41" s="562"/>
      <c r="TOI41" s="562"/>
      <c r="TOJ41" s="562"/>
      <c r="TOK41" s="562"/>
      <c r="TOL41" s="562"/>
      <c r="TOM41" s="562"/>
      <c r="TON41" s="562"/>
      <c r="TOO41" s="562"/>
      <c r="TOP41" s="562"/>
      <c r="TOQ41" s="562"/>
      <c r="TOR41" s="562"/>
      <c r="TOS41" s="562"/>
      <c r="TOT41" s="562"/>
      <c r="TOU41" s="562"/>
      <c r="TOV41" s="562"/>
      <c r="TOW41" s="562"/>
      <c r="TOX41" s="562"/>
      <c r="TOY41" s="562"/>
      <c r="TOZ41" s="562"/>
      <c r="TPA41" s="562"/>
      <c r="TPB41" s="562"/>
      <c r="TPC41" s="562"/>
      <c r="TPD41" s="562"/>
      <c r="TPE41" s="562"/>
      <c r="TPF41" s="562"/>
      <c r="TPG41" s="562"/>
      <c r="TPH41" s="562"/>
      <c r="TPI41" s="562"/>
      <c r="TPJ41" s="562"/>
      <c r="TPK41" s="562"/>
      <c r="TPL41" s="562"/>
      <c r="TPM41" s="562"/>
      <c r="TPN41" s="562"/>
      <c r="TPO41" s="562"/>
      <c r="TPP41" s="562"/>
      <c r="TPQ41" s="562"/>
      <c r="TPR41" s="562"/>
      <c r="TPS41" s="562"/>
      <c r="TPT41" s="562"/>
      <c r="TPU41" s="562"/>
      <c r="TPV41" s="562"/>
      <c r="TPW41" s="562"/>
      <c r="TPX41" s="562"/>
      <c r="TPY41" s="562"/>
      <c r="TPZ41" s="562"/>
      <c r="TQA41" s="562"/>
      <c r="TQB41" s="562"/>
      <c r="TQC41" s="562"/>
      <c r="TQD41" s="562"/>
      <c r="TQE41" s="562"/>
      <c r="TQF41" s="562"/>
      <c r="TQG41" s="562"/>
      <c r="TQH41" s="562"/>
      <c r="TQI41" s="562"/>
      <c r="TQJ41" s="562"/>
      <c r="TQK41" s="562"/>
      <c r="TQL41" s="562"/>
      <c r="TQM41" s="562"/>
      <c r="TQN41" s="562"/>
      <c r="TQO41" s="562"/>
      <c r="TQP41" s="562"/>
      <c r="TQQ41" s="562"/>
      <c r="TQR41" s="562"/>
      <c r="TQS41" s="562"/>
      <c r="TQT41" s="562"/>
      <c r="TQU41" s="562"/>
      <c r="TQV41" s="562"/>
      <c r="TQW41" s="562"/>
      <c r="TQX41" s="562"/>
      <c r="TQY41" s="562"/>
      <c r="TQZ41" s="562"/>
      <c r="TRA41" s="562"/>
      <c r="TRB41" s="562"/>
      <c r="TRC41" s="562"/>
      <c r="TRD41" s="562"/>
      <c r="TRE41" s="562"/>
      <c r="TRF41" s="562"/>
      <c r="TRG41" s="562"/>
      <c r="TRH41" s="562"/>
      <c r="TRI41" s="562"/>
      <c r="TRJ41" s="562"/>
      <c r="TRK41" s="562"/>
      <c r="TRL41" s="562"/>
      <c r="TRM41" s="562"/>
      <c r="TRN41" s="562"/>
      <c r="TRO41" s="562"/>
      <c r="TRP41" s="562"/>
      <c r="TRQ41" s="562"/>
      <c r="TRR41" s="562"/>
      <c r="TRS41" s="562"/>
      <c r="TRT41" s="562"/>
      <c r="TRU41" s="562"/>
      <c r="TRV41" s="562"/>
      <c r="TRW41" s="562"/>
      <c r="TRX41" s="562"/>
      <c r="TRY41" s="562"/>
      <c r="TRZ41" s="562"/>
      <c r="TSA41" s="562"/>
      <c r="TSB41" s="562"/>
      <c r="TSC41" s="562"/>
      <c r="TSD41" s="562"/>
      <c r="TSE41" s="562"/>
      <c r="TSF41" s="562"/>
      <c r="TSG41" s="562"/>
      <c r="TSH41" s="562"/>
      <c r="TSI41" s="562"/>
      <c r="TSJ41" s="562"/>
      <c r="TSK41" s="562"/>
      <c r="TSL41" s="562"/>
      <c r="TSM41" s="562"/>
      <c r="TSN41" s="562"/>
      <c r="TSO41" s="562"/>
      <c r="TSP41" s="562"/>
      <c r="TSQ41" s="562"/>
      <c r="TSR41" s="562"/>
      <c r="TSS41" s="562"/>
      <c r="TST41" s="562"/>
      <c r="TSU41" s="562"/>
      <c r="TSV41" s="562"/>
      <c r="TSW41" s="562"/>
      <c r="TSX41" s="562"/>
      <c r="TSY41" s="562"/>
      <c r="TSZ41" s="562"/>
      <c r="TTA41" s="562"/>
      <c r="TTB41" s="562"/>
      <c r="TTC41" s="562"/>
      <c r="TTD41" s="562"/>
      <c r="TTE41" s="562"/>
      <c r="TTF41" s="562"/>
      <c r="TTG41" s="562"/>
      <c r="TTH41" s="562"/>
      <c r="TTI41" s="562"/>
      <c r="TTJ41" s="562"/>
      <c r="TTK41" s="562"/>
      <c r="TTL41" s="562"/>
      <c r="TTM41" s="562"/>
      <c r="TTN41" s="562"/>
      <c r="TTO41" s="562"/>
      <c r="TTP41" s="562"/>
      <c r="TTQ41" s="562"/>
      <c r="TTR41" s="562"/>
      <c r="TTS41" s="562"/>
      <c r="TTT41" s="562"/>
      <c r="TTU41" s="562"/>
      <c r="TTV41" s="562"/>
      <c r="TTW41" s="562"/>
      <c r="TTX41" s="562"/>
      <c r="TTY41" s="562"/>
      <c r="TTZ41" s="562"/>
      <c r="TUA41" s="562"/>
      <c r="TUB41" s="562"/>
      <c r="TUC41" s="562"/>
      <c r="TUD41" s="562"/>
      <c r="TUE41" s="562"/>
      <c r="TUF41" s="562"/>
      <c r="TUG41" s="562"/>
      <c r="TUH41" s="562"/>
      <c r="TUI41" s="562"/>
      <c r="TUJ41" s="562"/>
      <c r="TUK41" s="562"/>
      <c r="TUL41" s="562"/>
      <c r="TUM41" s="562"/>
      <c r="TUN41" s="562"/>
      <c r="TUO41" s="562"/>
      <c r="TUP41" s="562"/>
      <c r="TUQ41" s="562"/>
      <c r="TUR41" s="562"/>
      <c r="TUS41" s="562"/>
      <c r="TUT41" s="562"/>
      <c r="TUU41" s="562"/>
      <c r="TUV41" s="562"/>
      <c r="TUW41" s="562"/>
      <c r="TUX41" s="562"/>
      <c r="TUY41" s="562"/>
      <c r="TUZ41" s="562"/>
      <c r="TVA41" s="562"/>
      <c r="TVB41" s="562"/>
      <c r="TVC41" s="562"/>
      <c r="TVD41" s="562"/>
      <c r="TVE41" s="562"/>
      <c r="TVF41" s="562"/>
      <c r="TVG41" s="562"/>
      <c r="TVH41" s="562"/>
      <c r="TVI41" s="562"/>
      <c r="TVJ41" s="562"/>
      <c r="TVK41" s="562"/>
      <c r="TVL41" s="562"/>
      <c r="TVM41" s="562"/>
      <c r="TVN41" s="562"/>
      <c r="TVO41" s="562"/>
      <c r="TVP41" s="562"/>
      <c r="TVQ41" s="562"/>
      <c r="TVR41" s="562"/>
      <c r="TVS41" s="562"/>
      <c r="TVT41" s="562"/>
      <c r="TVU41" s="562"/>
      <c r="TVV41" s="562"/>
      <c r="TVW41" s="562"/>
      <c r="TVX41" s="562"/>
      <c r="TVY41" s="562"/>
      <c r="TVZ41" s="562"/>
      <c r="TWA41" s="562"/>
      <c r="TWB41" s="562"/>
      <c r="TWC41" s="562"/>
      <c r="TWD41" s="562"/>
      <c r="TWE41" s="562"/>
      <c r="TWF41" s="562"/>
      <c r="TWG41" s="562"/>
      <c r="TWH41" s="562"/>
      <c r="TWI41" s="562"/>
      <c r="TWJ41" s="562"/>
      <c r="TWK41" s="562"/>
      <c r="TWL41" s="562"/>
      <c r="TWM41" s="562"/>
      <c r="TWN41" s="562"/>
      <c r="TWO41" s="562"/>
      <c r="TWP41" s="562"/>
      <c r="TWQ41" s="562"/>
      <c r="TWR41" s="562"/>
      <c r="TWS41" s="562"/>
      <c r="TWT41" s="562"/>
      <c r="TWU41" s="562"/>
      <c r="TWV41" s="562"/>
      <c r="TWW41" s="562"/>
      <c r="TWX41" s="562"/>
      <c r="TWY41" s="562"/>
      <c r="TWZ41" s="562"/>
      <c r="TXA41" s="562"/>
      <c r="TXB41" s="562"/>
      <c r="TXC41" s="562"/>
      <c r="TXD41" s="562"/>
      <c r="TXE41" s="562"/>
      <c r="TXF41" s="562"/>
      <c r="TXG41" s="562"/>
      <c r="TXH41" s="562"/>
      <c r="TXI41" s="562"/>
      <c r="TXJ41" s="562"/>
      <c r="TXK41" s="562"/>
      <c r="TXL41" s="562"/>
      <c r="TXM41" s="562"/>
      <c r="TXN41" s="562"/>
      <c r="TXO41" s="562"/>
      <c r="TXP41" s="562"/>
      <c r="TXQ41" s="562"/>
      <c r="TXR41" s="562"/>
      <c r="TXS41" s="562"/>
      <c r="TXT41" s="562"/>
      <c r="TXU41" s="562"/>
      <c r="TXV41" s="562"/>
      <c r="TXW41" s="562"/>
      <c r="TXX41" s="562"/>
      <c r="TXY41" s="562"/>
      <c r="TXZ41" s="562"/>
      <c r="TYA41" s="562"/>
      <c r="TYB41" s="562"/>
      <c r="TYC41" s="562"/>
      <c r="TYD41" s="562"/>
      <c r="TYE41" s="562"/>
      <c r="TYF41" s="562"/>
      <c r="TYG41" s="562"/>
      <c r="TYH41" s="562"/>
      <c r="TYI41" s="562"/>
      <c r="TYJ41" s="562"/>
      <c r="TYK41" s="562"/>
      <c r="TYL41" s="562"/>
      <c r="TYM41" s="562"/>
      <c r="TYN41" s="562"/>
      <c r="TYO41" s="562"/>
      <c r="TYP41" s="562"/>
      <c r="TYQ41" s="562"/>
      <c r="TYR41" s="562"/>
      <c r="TYS41" s="562"/>
      <c r="TYT41" s="562"/>
      <c r="TYU41" s="562"/>
      <c r="TYV41" s="562"/>
      <c r="TYW41" s="562"/>
      <c r="TYX41" s="562"/>
      <c r="TYY41" s="562"/>
      <c r="TYZ41" s="562"/>
      <c r="TZA41" s="562"/>
      <c r="TZB41" s="562"/>
      <c r="TZC41" s="562"/>
      <c r="TZD41" s="562"/>
      <c r="TZE41" s="562"/>
      <c r="TZF41" s="562"/>
      <c r="TZG41" s="562"/>
      <c r="TZH41" s="562"/>
      <c r="TZI41" s="562"/>
      <c r="TZJ41" s="562"/>
      <c r="TZK41" s="562"/>
      <c r="TZL41" s="562"/>
      <c r="TZM41" s="562"/>
      <c r="TZN41" s="562"/>
      <c r="TZO41" s="562"/>
      <c r="TZP41" s="562"/>
      <c r="TZQ41" s="562"/>
      <c r="TZR41" s="562"/>
      <c r="TZS41" s="562"/>
      <c r="TZT41" s="562"/>
      <c r="TZU41" s="562"/>
      <c r="TZV41" s="562"/>
      <c r="TZW41" s="562"/>
      <c r="TZX41" s="562"/>
      <c r="TZY41" s="562"/>
      <c r="TZZ41" s="562"/>
      <c r="UAA41" s="562"/>
      <c r="UAB41" s="562"/>
      <c r="UAC41" s="562"/>
      <c r="UAD41" s="562"/>
      <c r="UAE41" s="562"/>
      <c r="UAF41" s="562"/>
      <c r="UAG41" s="562"/>
      <c r="UAH41" s="562"/>
      <c r="UAI41" s="562"/>
      <c r="UAJ41" s="562"/>
      <c r="UAK41" s="562"/>
      <c r="UAL41" s="562"/>
      <c r="UAM41" s="562"/>
      <c r="UAN41" s="562"/>
      <c r="UAO41" s="562"/>
      <c r="UAP41" s="562"/>
      <c r="UAQ41" s="562"/>
      <c r="UAR41" s="562"/>
      <c r="UAS41" s="562"/>
      <c r="UAT41" s="562"/>
      <c r="UAU41" s="562"/>
      <c r="UAV41" s="562"/>
      <c r="UAW41" s="562"/>
      <c r="UAX41" s="562"/>
      <c r="UAY41" s="562"/>
      <c r="UAZ41" s="562"/>
      <c r="UBA41" s="562"/>
      <c r="UBB41" s="562"/>
      <c r="UBC41" s="562"/>
      <c r="UBD41" s="562"/>
      <c r="UBE41" s="562"/>
      <c r="UBF41" s="562"/>
      <c r="UBG41" s="562"/>
      <c r="UBH41" s="562"/>
      <c r="UBI41" s="562"/>
      <c r="UBJ41" s="562"/>
      <c r="UBK41" s="562"/>
      <c r="UBL41" s="562"/>
      <c r="UBM41" s="562"/>
      <c r="UBN41" s="562"/>
      <c r="UBO41" s="562"/>
      <c r="UBP41" s="562"/>
      <c r="UBQ41" s="562"/>
      <c r="UBR41" s="562"/>
      <c r="UBS41" s="562"/>
      <c r="UBT41" s="562"/>
      <c r="UBU41" s="562"/>
      <c r="UBV41" s="562"/>
      <c r="UBW41" s="562"/>
      <c r="UBX41" s="562"/>
      <c r="UBY41" s="562"/>
      <c r="UBZ41" s="562"/>
      <c r="UCA41" s="562"/>
      <c r="UCB41" s="562"/>
      <c r="UCC41" s="562"/>
      <c r="UCD41" s="562"/>
      <c r="UCE41" s="562"/>
      <c r="UCF41" s="562"/>
      <c r="UCG41" s="562"/>
      <c r="UCH41" s="562"/>
      <c r="UCI41" s="562"/>
      <c r="UCJ41" s="562"/>
      <c r="UCK41" s="562"/>
      <c r="UCL41" s="562"/>
      <c r="UCM41" s="562"/>
      <c r="UCN41" s="562"/>
      <c r="UCO41" s="562"/>
      <c r="UCP41" s="562"/>
      <c r="UCQ41" s="562"/>
      <c r="UCR41" s="562"/>
      <c r="UCS41" s="562"/>
      <c r="UCT41" s="562"/>
      <c r="UCU41" s="562"/>
      <c r="UCV41" s="562"/>
      <c r="UCW41" s="562"/>
      <c r="UCX41" s="562"/>
      <c r="UCY41" s="562"/>
      <c r="UCZ41" s="562"/>
      <c r="UDA41" s="562"/>
      <c r="UDB41" s="562"/>
      <c r="UDC41" s="562"/>
      <c r="UDD41" s="562"/>
      <c r="UDE41" s="562"/>
      <c r="UDF41" s="562"/>
      <c r="UDG41" s="562"/>
      <c r="UDH41" s="562"/>
      <c r="UDI41" s="562"/>
      <c r="UDJ41" s="562"/>
      <c r="UDK41" s="562"/>
      <c r="UDL41" s="562"/>
      <c r="UDM41" s="562"/>
      <c r="UDN41" s="562"/>
      <c r="UDO41" s="562"/>
      <c r="UDP41" s="562"/>
      <c r="UDQ41" s="562"/>
      <c r="UDR41" s="562"/>
      <c r="UDS41" s="562"/>
      <c r="UDT41" s="562"/>
      <c r="UDU41" s="562"/>
      <c r="UDV41" s="562"/>
      <c r="UDW41" s="562"/>
      <c r="UDX41" s="562"/>
      <c r="UDY41" s="562"/>
      <c r="UDZ41" s="562"/>
      <c r="UEA41" s="562"/>
      <c r="UEB41" s="562"/>
      <c r="UEC41" s="562"/>
      <c r="UED41" s="562"/>
      <c r="UEE41" s="562"/>
      <c r="UEF41" s="562"/>
      <c r="UEG41" s="562"/>
      <c r="UEH41" s="562"/>
      <c r="UEI41" s="562"/>
      <c r="UEJ41" s="562"/>
      <c r="UEK41" s="562"/>
      <c r="UEL41" s="562"/>
      <c r="UEM41" s="562"/>
      <c r="UEN41" s="562"/>
      <c r="UEO41" s="562"/>
      <c r="UEP41" s="562"/>
      <c r="UEQ41" s="562"/>
      <c r="UER41" s="562"/>
      <c r="UES41" s="562"/>
      <c r="UET41" s="562"/>
      <c r="UEU41" s="562"/>
      <c r="UEV41" s="562"/>
      <c r="UEW41" s="562"/>
      <c r="UEX41" s="562"/>
      <c r="UEY41" s="562"/>
      <c r="UEZ41" s="562"/>
      <c r="UFA41" s="562"/>
      <c r="UFB41" s="562"/>
      <c r="UFC41" s="562"/>
      <c r="UFD41" s="562"/>
      <c r="UFE41" s="562"/>
      <c r="UFF41" s="562"/>
      <c r="UFG41" s="562"/>
      <c r="UFH41" s="562"/>
      <c r="UFI41" s="562"/>
      <c r="UFJ41" s="562"/>
      <c r="UFK41" s="562"/>
      <c r="UFL41" s="562"/>
      <c r="UFM41" s="562"/>
      <c r="UFN41" s="562"/>
      <c r="UFO41" s="562"/>
      <c r="UFP41" s="562"/>
      <c r="UFQ41" s="562"/>
      <c r="UFR41" s="562"/>
      <c r="UFS41" s="562"/>
      <c r="UFT41" s="562"/>
      <c r="UFU41" s="562"/>
      <c r="UFV41" s="562"/>
      <c r="UFW41" s="562"/>
      <c r="UFX41" s="562"/>
      <c r="UFY41" s="562"/>
      <c r="UFZ41" s="562"/>
      <c r="UGA41" s="562"/>
      <c r="UGB41" s="562"/>
      <c r="UGC41" s="562"/>
      <c r="UGD41" s="562"/>
      <c r="UGE41" s="562"/>
      <c r="UGF41" s="562"/>
      <c r="UGG41" s="562"/>
      <c r="UGH41" s="562"/>
      <c r="UGI41" s="562"/>
      <c r="UGJ41" s="562"/>
      <c r="UGK41" s="562"/>
      <c r="UGL41" s="562"/>
      <c r="UGM41" s="562"/>
      <c r="UGN41" s="562"/>
      <c r="UGO41" s="562"/>
      <c r="UGP41" s="562"/>
      <c r="UGQ41" s="562"/>
      <c r="UGR41" s="562"/>
      <c r="UGS41" s="562"/>
      <c r="UGT41" s="562"/>
      <c r="UGU41" s="562"/>
      <c r="UGV41" s="562"/>
      <c r="UGW41" s="562"/>
      <c r="UGX41" s="562"/>
      <c r="UGY41" s="562"/>
      <c r="UGZ41" s="562"/>
      <c r="UHA41" s="562"/>
      <c r="UHB41" s="562"/>
      <c r="UHC41" s="562"/>
      <c r="UHD41" s="562"/>
      <c r="UHE41" s="562"/>
      <c r="UHF41" s="562"/>
      <c r="UHG41" s="562"/>
      <c r="UHH41" s="562"/>
      <c r="UHI41" s="562"/>
      <c r="UHJ41" s="562"/>
      <c r="UHK41" s="562"/>
      <c r="UHL41" s="562"/>
      <c r="UHM41" s="562"/>
      <c r="UHN41" s="562"/>
      <c r="UHO41" s="562"/>
      <c r="UHP41" s="562"/>
      <c r="UHQ41" s="562"/>
      <c r="UHR41" s="562"/>
      <c r="UHS41" s="562"/>
      <c r="UHT41" s="562"/>
      <c r="UHU41" s="562"/>
      <c r="UHV41" s="562"/>
      <c r="UHW41" s="562"/>
      <c r="UHX41" s="562"/>
      <c r="UHY41" s="562"/>
      <c r="UHZ41" s="562"/>
      <c r="UIA41" s="562"/>
      <c r="UIB41" s="562"/>
      <c r="UIC41" s="562"/>
      <c r="UID41" s="562"/>
      <c r="UIE41" s="562"/>
      <c r="UIF41" s="562"/>
      <c r="UIG41" s="562"/>
      <c r="UIH41" s="562"/>
      <c r="UII41" s="562"/>
      <c r="UIJ41" s="562"/>
      <c r="UIK41" s="562"/>
      <c r="UIL41" s="562"/>
      <c r="UIM41" s="562"/>
      <c r="UIN41" s="562"/>
      <c r="UIO41" s="562"/>
      <c r="UIP41" s="562"/>
      <c r="UIQ41" s="562"/>
      <c r="UIR41" s="562"/>
      <c r="UIS41" s="562"/>
      <c r="UIT41" s="562"/>
      <c r="UIU41" s="562"/>
      <c r="UIV41" s="562"/>
      <c r="UIW41" s="562"/>
      <c r="UIX41" s="562"/>
      <c r="UIY41" s="562"/>
      <c r="UIZ41" s="562"/>
      <c r="UJA41" s="562"/>
      <c r="UJB41" s="562"/>
      <c r="UJC41" s="562"/>
      <c r="UJD41" s="562"/>
      <c r="UJE41" s="562"/>
      <c r="UJF41" s="562"/>
      <c r="UJG41" s="562"/>
      <c r="UJH41" s="562"/>
      <c r="UJI41" s="562"/>
      <c r="UJJ41" s="562"/>
      <c r="UJK41" s="562"/>
      <c r="UJL41" s="562"/>
      <c r="UJM41" s="562"/>
      <c r="UJN41" s="562"/>
      <c r="UJO41" s="562"/>
      <c r="UJP41" s="562"/>
      <c r="UJQ41" s="562"/>
      <c r="UJR41" s="562"/>
      <c r="UJS41" s="562"/>
      <c r="UJT41" s="562"/>
      <c r="UJU41" s="562"/>
      <c r="UJV41" s="562"/>
      <c r="UJW41" s="562"/>
      <c r="UJX41" s="562"/>
      <c r="UJY41" s="562"/>
      <c r="UJZ41" s="562"/>
      <c r="UKA41" s="562"/>
      <c r="UKB41" s="562"/>
      <c r="UKC41" s="562"/>
      <c r="UKD41" s="562"/>
      <c r="UKE41" s="562"/>
      <c r="UKF41" s="562"/>
      <c r="UKG41" s="562"/>
      <c r="UKH41" s="562"/>
      <c r="UKI41" s="562"/>
      <c r="UKJ41" s="562"/>
      <c r="UKK41" s="562"/>
      <c r="UKL41" s="562"/>
      <c r="UKM41" s="562"/>
      <c r="UKN41" s="562"/>
      <c r="UKO41" s="562"/>
      <c r="UKP41" s="562"/>
      <c r="UKQ41" s="562"/>
      <c r="UKR41" s="562"/>
      <c r="UKS41" s="562"/>
      <c r="UKT41" s="562"/>
      <c r="UKU41" s="562"/>
      <c r="UKV41" s="562"/>
      <c r="UKW41" s="562"/>
      <c r="UKX41" s="562"/>
      <c r="UKY41" s="562"/>
      <c r="UKZ41" s="562"/>
      <c r="ULA41" s="562"/>
      <c r="ULB41" s="562"/>
      <c r="ULC41" s="562"/>
      <c r="ULD41" s="562"/>
      <c r="ULE41" s="562"/>
      <c r="ULF41" s="562"/>
      <c r="ULG41" s="562"/>
      <c r="ULH41" s="562"/>
      <c r="ULI41" s="562"/>
      <c r="ULJ41" s="562"/>
      <c r="ULK41" s="562"/>
      <c r="ULL41" s="562"/>
      <c r="ULM41" s="562"/>
      <c r="ULN41" s="562"/>
      <c r="ULO41" s="562"/>
      <c r="ULP41" s="562"/>
      <c r="ULQ41" s="562"/>
      <c r="ULR41" s="562"/>
      <c r="ULS41" s="562"/>
      <c r="ULT41" s="562"/>
      <c r="ULU41" s="562"/>
      <c r="ULV41" s="562"/>
      <c r="ULW41" s="562"/>
      <c r="ULX41" s="562"/>
      <c r="ULY41" s="562"/>
      <c r="ULZ41" s="562"/>
      <c r="UMA41" s="562"/>
      <c r="UMB41" s="562"/>
      <c r="UMC41" s="562"/>
      <c r="UMD41" s="562"/>
      <c r="UME41" s="562"/>
      <c r="UMF41" s="562"/>
      <c r="UMG41" s="562"/>
      <c r="UMH41" s="562"/>
      <c r="UMI41" s="562"/>
      <c r="UMJ41" s="562"/>
      <c r="UMK41" s="562"/>
      <c r="UML41" s="562"/>
      <c r="UMM41" s="562"/>
      <c r="UMN41" s="562"/>
      <c r="UMO41" s="562"/>
      <c r="UMP41" s="562"/>
      <c r="UMQ41" s="562"/>
      <c r="UMR41" s="562"/>
      <c r="UMS41" s="562"/>
      <c r="UMT41" s="562"/>
      <c r="UMU41" s="562"/>
      <c r="UMV41" s="562"/>
      <c r="UMW41" s="562"/>
      <c r="UMX41" s="562"/>
      <c r="UMY41" s="562"/>
      <c r="UMZ41" s="562"/>
      <c r="UNA41" s="562"/>
      <c r="UNB41" s="562"/>
      <c r="UNC41" s="562"/>
      <c r="UND41" s="562"/>
      <c r="UNE41" s="562"/>
      <c r="UNF41" s="562"/>
      <c r="UNG41" s="562"/>
      <c r="UNH41" s="562"/>
      <c r="UNI41" s="562"/>
      <c r="UNJ41" s="562"/>
      <c r="UNK41" s="562"/>
      <c r="UNL41" s="562"/>
      <c r="UNM41" s="562"/>
      <c r="UNN41" s="562"/>
      <c r="UNO41" s="562"/>
      <c r="UNP41" s="562"/>
      <c r="UNQ41" s="562"/>
      <c r="UNR41" s="562"/>
      <c r="UNS41" s="562"/>
      <c r="UNT41" s="562"/>
      <c r="UNU41" s="562"/>
      <c r="UNV41" s="562"/>
      <c r="UNW41" s="562"/>
      <c r="UNX41" s="562"/>
      <c r="UNY41" s="562"/>
      <c r="UNZ41" s="562"/>
      <c r="UOA41" s="562"/>
      <c r="UOB41" s="562"/>
      <c r="UOC41" s="562"/>
      <c r="UOD41" s="562"/>
      <c r="UOE41" s="562"/>
      <c r="UOF41" s="562"/>
      <c r="UOG41" s="562"/>
      <c r="UOH41" s="562"/>
      <c r="UOI41" s="562"/>
      <c r="UOJ41" s="562"/>
      <c r="UOK41" s="562"/>
      <c r="UOL41" s="562"/>
      <c r="UOM41" s="562"/>
      <c r="UON41" s="562"/>
      <c r="UOO41" s="562"/>
      <c r="UOP41" s="562"/>
      <c r="UOQ41" s="562"/>
      <c r="UOR41" s="562"/>
      <c r="UOS41" s="562"/>
      <c r="UOT41" s="562"/>
      <c r="UOU41" s="562"/>
      <c r="UOV41" s="562"/>
      <c r="UOW41" s="562"/>
      <c r="UOX41" s="562"/>
      <c r="UOY41" s="562"/>
      <c r="UOZ41" s="562"/>
      <c r="UPA41" s="562"/>
      <c r="UPB41" s="562"/>
      <c r="UPC41" s="562"/>
      <c r="UPD41" s="562"/>
      <c r="UPE41" s="562"/>
      <c r="UPF41" s="562"/>
      <c r="UPG41" s="562"/>
      <c r="UPH41" s="562"/>
      <c r="UPI41" s="562"/>
      <c r="UPJ41" s="562"/>
      <c r="UPK41" s="562"/>
      <c r="UPL41" s="562"/>
      <c r="UPM41" s="562"/>
      <c r="UPN41" s="562"/>
      <c r="UPO41" s="562"/>
      <c r="UPP41" s="562"/>
      <c r="UPQ41" s="562"/>
      <c r="UPR41" s="562"/>
      <c r="UPS41" s="562"/>
      <c r="UPT41" s="562"/>
      <c r="UPU41" s="562"/>
      <c r="UPV41" s="562"/>
      <c r="UPW41" s="562"/>
      <c r="UPX41" s="562"/>
      <c r="UPY41" s="562"/>
      <c r="UPZ41" s="562"/>
      <c r="UQA41" s="562"/>
      <c r="UQB41" s="562"/>
      <c r="UQC41" s="562"/>
      <c r="UQD41" s="562"/>
      <c r="UQE41" s="562"/>
      <c r="UQF41" s="562"/>
      <c r="UQG41" s="562"/>
      <c r="UQH41" s="562"/>
      <c r="UQI41" s="562"/>
      <c r="UQJ41" s="562"/>
      <c r="UQK41" s="562"/>
      <c r="UQL41" s="562"/>
      <c r="UQM41" s="562"/>
      <c r="UQN41" s="562"/>
      <c r="UQO41" s="562"/>
      <c r="UQP41" s="562"/>
      <c r="UQQ41" s="562"/>
      <c r="UQR41" s="562"/>
      <c r="UQS41" s="562"/>
      <c r="UQT41" s="562"/>
      <c r="UQU41" s="562"/>
      <c r="UQV41" s="562"/>
      <c r="UQW41" s="562"/>
      <c r="UQX41" s="562"/>
      <c r="UQY41" s="562"/>
      <c r="UQZ41" s="562"/>
      <c r="URA41" s="562"/>
      <c r="URB41" s="562"/>
      <c r="URC41" s="562"/>
      <c r="URD41" s="562"/>
      <c r="URE41" s="562"/>
      <c r="URF41" s="562"/>
      <c r="URG41" s="562"/>
      <c r="URH41" s="562"/>
      <c r="URI41" s="562"/>
      <c r="URJ41" s="562"/>
      <c r="URK41" s="562"/>
      <c r="URL41" s="562"/>
      <c r="URM41" s="562"/>
      <c r="URN41" s="562"/>
      <c r="URO41" s="562"/>
      <c r="URP41" s="562"/>
      <c r="URQ41" s="562"/>
      <c r="URR41" s="562"/>
      <c r="URS41" s="562"/>
      <c r="URT41" s="562"/>
      <c r="URU41" s="562"/>
      <c r="URV41" s="562"/>
      <c r="URW41" s="562"/>
      <c r="URX41" s="562"/>
      <c r="URY41" s="562"/>
      <c r="URZ41" s="562"/>
      <c r="USA41" s="562"/>
      <c r="USB41" s="562"/>
      <c r="USC41" s="562"/>
      <c r="USD41" s="562"/>
      <c r="USE41" s="562"/>
      <c r="USF41" s="562"/>
      <c r="USG41" s="562"/>
      <c r="USH41" s="562"/>
      <c r="USI41" s="562"/>
      <c r="USJ41" s="562"/>
      <c r="USK41" s="562"/>
      <c r="USL41" s="562"/>
      <c r="USM41" s="562"/>
      <c r="USN41" s="562"/>
      <c r="USO41" s="562"/>
      <c r="USP41" s="562"/>
      <c r="USQ41" s="562"/>
      <c r="USR41" s="562"/>
      <c r="USS41" s="562"/>
      <c r="UST41" s="562"/>
      <c r="USU41" s="562"/>
      <c r="USV41" s="562"/>
      <c r="USW41" s="562"/>
      <c r="USX41" s="562"/>
      <c r="USY41" s="562"/>
      <c r="USZ41" s="562"/>
      <c r="UTA41" s="562"/>
      <c r="UTB41" s="562"/>
      <c r="UTC41" s="562"/>
      <c r="UTD41" s="562"/>
      <c r="UTE41" s="562"/>
      <c r="UTF41" s="562"/>
      <c r="UTG41" s="562"/>
      <c r="UTH41" s="562"/>
      <c r="UTI41" s="562"/>
      <c r="UTJ41" s="562"/>
      <c r="UTK41" s="562"/>
      <c r="UTL41" s="562"/>
      <c r="UTM41" s="562"/>
      <c r="UTN41" s="562"/>
      <c r="UTO41" s="562"/>
      <c r="UTP41" s="562"/>
      <c r="UTQ41" s="562"/>
      <c r="UTR41" s="562"/>
      <c r="UTS41" s="562"/>
      <c r="UTT41" s="562"/>
      <c r="UTU41" s="562"/>
      <c r="UTV41" s="562"/>
      <c r="UTW41" s="562"/>
      <c r="UTX41" s="562"/>
      <c r="UTY41" s="562"/>
      <c r="UTZ41" s="562"/>
      <c r="UUA41" s="562"/>
      <c r="UUB41" s="562"/>
      <c r="UUC41" s="562"/>
      <c r="UUD41" s="562"/>
      <c r="UUE41" s="562"/>
      <c r="UUF41" s="562"/>
      <c r="UUG41" s="562"/>
      <c r="UUH41" s="562"/>
      <c r="UUI41" s="562"/>
      <c r="UUJ41" s="562"/>
      <c r="UUK41" s="562"/>
      <c r="UUL41" s="562"/>
      <c r="UUM41" s="562"/>
      <c r="UUN41" s="562"/>
      <c r="UUO41" s="562"/>
      <c r="UUP41" s="562"/>
      <c r="UUQ41" s="562"/>
      <c r="UUR41" s="562"/>
      <c r="UUS41" s="562"/>
      <c r="UUT41" s="562"/>
      <c r="UUU41" s="562"/>
      <c r="UUV41" s="562"/>
      <c r="UUW41" s="562"/>
      <c r="UUX41" s="562"/>
      <c r="UUY41" s="562"/>
      <c r="UUZ41" s="562"/>
      <c r="UVA41" s="562"/>
      <c r="UVB41" s="562"/>
      <c r="UVC41" s="562"/>
      <c r="UVD41" s="562"/>
      <c r="UVE41" s="562"/>
      <c r="UVF41" s="562"/>
      <c r="UVG41" s="562"/>
      <c r="UVH41" s="562"/>
      <c r="UVI41" s="562"/>
      <c r="UVJ41" s="562"/>
      <c r="UVK41" s="562"/>
      <c r="UVL41" s="562"/>
      <c r="UVM41" s="562"/>
      <c r="UVN41" s="562"/>
      <c r="UVO41" s="562"/>
      <c r="UVP41" s="562"/>
      <c r="UVQ41" s="562"/>
      <c r="UVR41" s="562"/>
      <c r="UVS41" s="562"/>
      <c r="UVT41" s="562"/>
      <c r="UVU41" s="562"/>
      <c r="UVV41" s="562"/>
      <c r="UVW41" s="562"/>
      <c r="UVX41" s="562"/>
      <c r="UVY41" s="562"/>
      <c r="UVZ41" s="562"/>
      <c r="UWA41" s="562"/>
      <c r="UWB41" s="562"/>
      <c r="UWC41" s="562"/>
      <c r="UWD41" s="562"/>
      <c r="UWE41" s="562"/>
      <c r="UWF41" s="562"/>
      <c r="UWG41" s="562"/>
      <c r="UWH41" s="562"/>
      <c r="UWI41" s="562"/>
      <c r="UWJ41" s="562"/>
      <c r="UWK41" s="562"/>
      <c r="UWL41" s="562"/>
      <c r="UWM41" s="562"/>
      <c r="UWN41" s="562"/>
      <c r="UWO41" s="562"/>
      <c r="UWP41" s="562"/>
      <c r="UWQ41" s="562"/>
      <c r="UWR41" s="562"/>
      <c r="UWS41" s="562"/>
      <c r="UWT41" s="562"/>
      <c r="UWU41" s="562"/>
      <c r="UWV41" s="562"/>
      <c r="UWW41" s="562"/>
      <c r="UWX41" s="562"/>
      <c r="UWY41" s="562"/>
      <c r="UWZ41" s="562"/>
      <c r="UXA41" s="562"/>
      <c r="UXB41" s="562"/>
      <c r="UXC41" s="562"/>
      <c r="UXD41" s="562"/>
      <c r="UXE41" s="562"/>
      <c r="UXF41" s="562"/>
      <c r="UXG41" s="562"/>
      <c r="UXH41" s="562"/>
      <c r="UXI41" s="562"/>
      <c r="UXJ41" s="562"/>
      <c r="UXK41" s="562"/>
      <c r="UXL41" s="562"/>
      <c r="UXM41" s="562"/>
      <c r="UXN41" s="562"/>
      <c r="UXO41" s="562"/>
      <c r="UXP41" s="562"/>
      <c r="UXQ41" s="562"/>
      <c r="UXR41" s="562"/>
      <c r="UXS41" s="562"/>
      <c r="UXT41" s="562"/>
      <c r="UXU41" s="562"/>
      <c r="UXV41" s="562"/>
      <c r="UXW41" s="562"/>
      <c r="UXX41" s="562"/>
      <c r="UXY41" s="562"/>
      <c r="UXZ41" s="562"/>
      <c r="UYA41" s="562"/>
      <c r="UYB41" s="562"/>
      <c r="UYC41" s="562"/>
      <c r="UYD41" s="562"/>
      <c r="UYE41" s="562"/>
      <c r="UYF41" s="562"/>
      <c r="UYG41" s="562"/>
      <c r="UYH41" s="562"/>
      <c r="UYI41" s="562"/>
      <c r="UYJ41" s="562"/>
      <c r="UYK41" s="562"/>
      <c r="UYL41" s="562"/>
      <c r="UYM41" s="562"/>
      <c r="UYN41" s="562"/>
      <c r="UYO41" s="562"/>
      <c r="UYP41" s="562"/>
      <c r="UYQ41" s="562"/>
      <c r="UYR41" s="562"/>
      <c r="UYS41" s="562"/>
      <c r="UYT41" s="562"/>
      <c r="UYU41" s="562"/>
      <c r="UYV41" s="562"/>
      <c r="UYW41" s="562"/>
      <c r="UYX41" s="562"/>
      <c r="UYY41" s="562"/>
      <c r="UYZ41" s="562"/>
      <c r="UZA41" s="562"/>
      <c r="UZB41" s="562"/>
      <c r="UZC41" s="562"/>
      <c r="UZD41" s="562"/>
      <c r="UZE41" s="562"/>
      <c r="UZF41" s="562"/>
      <c r="UZG41" s="562"/>
      <c r="UZH41" s="562"/>
      <c r="UZI41" s="562"/>
      <c r="UZJ41" s="562"/>
      <c r="UZK41" s="562"/>
      <c r="UZL41" s="562"/>
      <c r="UZM41" s="562"/>
      <c r="UZN41" s="562"/>
      <c r="UZO41" s="562"/>
      <c r="UZP41" s="562"/>
      <c r="UZQ41" s="562"/>
      <c r="UZR41" s="562"/>
      <c r="UZS41" s="562"/>
      <c r="UZT41" s="562"/>
      <c r="UZU41" s="562"/>
      <c r="UZV41" s="562"/>
      <c r="UZW41" s="562"/>
      <c r="UZX41" s="562"/>
      <c r="UZY41" s="562"/>
      <c r="UZZ41" s="562"/>
      <c r="VAA41" s="562"/>
      <c r="VAB41" s="562"/>
      <c r="VAC41" s="562"/>
      <c r="VAD41" s="562"/>
      <c r="VAE41" s="562"/>
      <c r="VAF41" s="562"/>
      <c r="VAG41" s="562"/>
      <c r="VAH41" s="562"/>
      <c r="VAI41" s="562"/>
      <c r="VAJ41" s="562"/>
      <c r="VAK41" s="562"/>
      <c r="VAL41" s="562"/>
      <c r="VAM41" s="562"/>
      <c r="VAN41" s="562"/>
      <c r="VAO41" s="562"/>
      <c r="VAP41" s="562"/>
      <c r="VAQ41" s="562"/>
      <c r="VAR41" s="562"/>
      <c r="VAS41" s="562"/>
      <c r="VAT41" s="562"/>
      <c r="VAU41" s="562"/>
      <c r="VAV41" s="562"/>
      <c r="VAW41" s="562"/>
      <c r="VAX41" s="562"/>
      <c r="VAY41" s="562"/>
      <c r="VAZ41" s="562"/>
      <c r="VBA41" s="562"/>
      <c r="VBB41" s="562"/>
      <c r="VBC41" s="562"/>
      <c r="VBD41" s="562"/>
      <c r="VBE41" s="562"/>
      <c r="VBF41" s="562"/>
      <c r="VBG41" s="562"/>
      <c r="VBH41" s="562"/>
      <c r="VBI41" s="562"/>
      <c r="VBJ41" s="562"/>
      <c r="VBK41" s="562"/>
      <c r="VBL41" s="562"/>
      <c r="VBM41" s="562"/>
      <c r="VBN41" s="562"/>
      <c r="VBO41" s="562"/>
      <c r="VBP41" s="562"/>
      <c r="VBQ41" s="562"/>
      <c r="VBR41" s="562"/>
      <c r="VBS41" s="562"/>
      <c r="VBT41" s="562"/>
      <c r="VBU41" s="562"/>
      <c r="VBV41" s="562"/>
      <c r="VBW41" s="562"/>
      <c r="VBX41" s="562"/>
      <c r="VBY41" s="562"/>
      <c r="VBZ41" s="562"/>
      <c r="VCA41" s="562"/>
      <c r="VCB41" s="562"/>
      <c r="VCC41" s="562"/>
      <c r="VCD41" s="562"/>
      <c r="VCE41" s="562"/>
      <c r="VCF41" s="562"/>
      <c r="VCG41" s="562"/>
      <c r="VCH41" s="562"/>
      <c r="VCI41" s="562"/>
      <c r="VCJ41" s="562"/>
      <c r="VCK41" s="562"/>
      <c r="VCL41" s="562"/>
      <c r="VCM41" s="562"/>
      <c r="VCN41" s="562"/>
      <c r="VCO41" s="562"/>
      <c r="VCP41" s="562"/>
      <c r="VCQ41" s="562"/>
      <c r="VCR41" s="562"/>
      <c r="VCS41" s="562"/>
      <c r="VCT41" s="562"/>
      <c r="VCU41" s="562"/>
      <c r="VCV41" s="562"/>
      <c r="VCW41" s="562"/>
      <c r="VCX41" s="562"/>
      <c r="VCY41" s="562"/>
      <c r="VCZ41" s="562"/>
      <c r="VDA41" s="562"/>
      <c r="VDB41" s="562"/>
      <c r="VDC41" s="562"/>
      <c r="VDD41" s="562"/>
      <c r="VDE41" s="562"/>
      <c r="VDF41" s="562"/>
      <c r="VDG41" s="562"/>
      <c r="VDH41" s="562"/>
      <c r="VDI41" s="562"/>
      <c r="VDJ41" s="562"/>
      <c r="VDK41" s="562"/>
      <c r="VDL41" s="562"/>
      <c r="VDM41" s="562"/>
      <c r="VDN41" s="562"/>
      <c r="VDO41" s="562"/>
      <c r="VDP41" s="562"/>
      <c r="VDQ41" s="562"/>
      <c r="VDR41" s="562"/>
      <c r="VDS41" s="562"/>
      <c r="VDT41" s="562"/>
      <c r="VDU41" s="562"/>
      <c r="VDV41" s="562"/>
      <c r="VDW41" s="562"/>
      <c r="VDX41" s="562"/>
      <c r="VDY41" s="562"/>
      <c r="VDZ41" s="562"/>
      <c r="VEA41" s="562"/>
      <c r="VEB41" s="562"/>
      <c r="VEC41" s="562"/>
      <c r="VED41" s="562"/>
      <c r="VEE41" s="562"/>
      <c r="VEF41" s="562"/>
      <c r="VEG41" s="562"/>
      <c r="VEH41" s="562"/>
      <c r="VEI41" s="562"/>
      <c r="VEJ41" s="562"/>
      <c r="VEK41" s="562"/>
      <c r="VEL41" s="562"/>
      <c r="VEM41" s="562"/>
      <c r="VEN41" s="562"/>
      <c r="VEO41" s="562"/>
      <c r="VEP41" s="562"/>
      <c r="VEQ41" s="562"/>
      <c r="VER41" s="562"/>
      <c r="VES41" s="562"/>
      <c r="VET41" s="562"/>
      <c r="VEU41" s="562"/>
      <c r="VEV41" s="562"/>
      <c r="VEW41" s="562"/>
      <c r="VEX41" s="562"/>
      <c r="VEY41" s="562"/>
      <c r="VEZ41" s="562"/>
      <c r="VFA41" s="562"/>
      <c r="VFB41" s="562"/>
      <c r="VFC41" s="562"/>
      <c r="VFD41" s="562"/>
      <c r="VFE41" s="562"/>
      <c r="VFF41" s="562"/>
      <c r="VFG41" s="562"/>
      <c r="VFH41" s="562"/>
      <c r="VFI41" s="562"/>
      <c r="VFJ41" s="562"/>
      <c r="VFK41" s="562"/>
      <c r="VFL41" s="562"/>
      <c r="VFM41" s="562"/>
      <c r="VFN41" s="562"/>
      <c r="VFO41" s="562"/>
      <c r="VFP41" s="562"/>
      <c r="VFQ41" s="562"/>
      <c r="VFR41" s="562"/>
      <c r="VFS41" s="562"/>
      <c r="VFT41" s="562"/>
      <c r="VFU41" s="562"/>
      <c r="VFV41" s="562"/>
      <c r="VFW41" s="562"/>
      <c r="VFX41" s="562"/>
      <c r="VFY41" s="562"/>
      <c r="VFZ41" s="562"/>
      <c r="VGA41" s="562"/>
      <c r="VGB41" s="562"/>
      <c r="VGC41" s="562"/>
      <c r="VGD41" s="562"/>
      <c r="VGE41" s="562"/>
      <c r="VGF41" s="562"/>
      <c r="VGG41" s="562"/>
      <c r="VGH41" s="562"/>
      <c r="VGI41" s="562"/>
      <c r="VGJ41" s="562"/>
      <c r="VGK41" s="562"/>
      <c r="VGL41" s="562"/>
      <c r="VGM41" s="562"/>
      <c r="VGN41" s="562"/>
      <c r="VGO41" s="562"/>
      <c r="VGP41" s="562"/>
      <c r="VGQ41" s="562"/>
      <c r="VGR41" s="562"/>
      <c r="VGS41" s="562"/>
      <c r="VGT41" s="562"/>
      <c r="VGU41" s="562"/>
      <c r="VGV41" s="562"/>
      <c r="VGW41" s="562"/>
      <c r="VGX41" s="562"/>
      <c r="VGY41" s="562"/>
      <c r="VGZ41" s="562"/>
      <c r="VHA41" s="562"/>
      <c r="VHB41" s="562"/>
      <c r="VHC41" s="562"/>
      <c r="VHD41" s="562"/>
      <c r="VHE41" s="562"/>
      <c r="VHF41" s="562"/>
      <c r="VHG41" s="562"/>
      <c r="VHH41" s="562"/>
      <c r="VHI41" s="562"/>
      <c r="VHJ41" s="562"/>
      <c r="VHK41" s="562"/>
      <c r="VHL41" s="562"/>
      <c r="VHM41" s="562"/>
      <c r="VHN41" s="562"/>
      <c r="VHO41" s="562"/>
      <c r="VHP41" s="562"/>
      <c r="VHQ41" s="562"/>
      <c r="VHR41" s="562"/>
      <c r="VHS41" s="562"/>
      <c r="VHT41" s="562"/>
      <c r="VHU41" s="562"/>
      <c r="VHV41" s="562"/>
      <c r="VHW41" s="562"/>
      <c r="VHX41" s="562"/>
      <c r="VHY41" s="562"/>
      <c r="VHZ41" s="562"/>
      <c r="VIA41" s="562"/>
      <c r="VIB41" s="562"/>
      <c r="VIC41" s="562"/>
      <c r="VID41" s="562"/>
      <c r="VIE41" s="562"/>
      <c r="VIF41" s="562"/>
      <c r="VIG41" s="562"/>
      <c r="VIH41" s="562"/>
      <c r="VII41" s="562"/>
      <c r="VIJ41" s="562"/>
      <c r="VIK41" s="562"/>
      <c r="VIL41" s="562"/>
      <c r="VIM41" s="562"/>
      <c r="VIN41" s="562"/>
      <c r="VIO41" s="562"/>
      <c r="VIP41" s="562"/>
      <c r="VIQ41" s="562"/>
      <c r="VIR41" s="562"/>
      <c r="VIS41" s="562"/>
      <c r="VIT41" s="562"/>
      <c r="VIU41" s="562"/>
      <c r="VIV41" s="562"/>
      <c r="VIW41" s="562"/>
      <c r="VIX41" s="562"/>
      <c r="VIY41" s="562"/>
      <c r="VIZ41" s="562"/>
      <c r="VJA41" s="562"/>
      <c r="VJB41" s="562"/>
      <c r="VJC41" s="562"/>
      <c r="VJD41" s="562"/>
      <c r="VJE41" s="562"/>
      <c r="VJF41" s="562"/>
      <c r="VJG41" s="562"/>
      <c r="VJH41" s="562"/>
      <c r="VJI41" s="562"/>
      <c r="VJJ41" s="562"/>
      <c r="VJK41" s="562"/>
      <c r="VJL41" s="562"/>
      <c r="VJM41" s="562"/>
      <c r="VJN41" s="562"/>
      <c r="VJO41" s="562"/>
      <c r="VJP41" s="562"/>
      <c r="VJQ41" s="562"/>
      <c r="VJR41" s="562"/>
      <c r="VJS41" s="562"/>
      <c r="VJT41" s="562"/>
      <c r="VJU41" s="562"/>
      <c r="VJV41" s="562"/>
      <c r="VJW41" s="562"/>
      <c r="VJX41" s="562"/>
      <c r="VJY41" s="562"/>
      <c r="VJZ41" s="562"/>
      <c r="VKA41" s="562"/>
      <c r="VKB41" s="562"/>
      <c r="VKC41" s="562"/>
      <c r="VKD41" s="562"/>
      <c r="VKE41" s="562"/>
      <c r="VKF41" s="562"/>
      <c r="VKG41" s="562"/>
      <c r="VKH41" s="562"/>
      <c r="VKI41" s="562"/>
      <c r="VKJ41" s="562"/>
      <c r="VKK41" s="562"/>
      <c r="VKL41" s="562"/>
      <c r="VKM41" s="562"/>
      <c r="VKN41" s="562"/>
      <c r="VKO41" s="562"/>
      <c r="VKP41" s="562"/>
      <c r="VKQ41" s="562"/>
      <c r="VKR41" s="562"/>
      <c r="VKS41" s="562"/>
      <c r="VKT41" s="562"/>
      <c r="VKU41" s="562"/>
      <c r="VKV41" s="562"/>
      <c r="VKW41" s="562"/>
      <c r="VKX41" s="562"/>
      <c r="VKY41" s="562"/>
      <c r="VKZ41" s="562"/>
      <c r="VLA41" s="562"/>
      <c r="VLB41" s="562"/>
      <c r="VLC41" s="562"/>
      <c r="VLD41" s="562"/>
      <c r="VLE41" s="562"/>
      <c r="VLF41" s="562"/>
      <c r="VLG41" s="562"/>
      <c r="VLH41" s="562"/>
      <c r="VLI41" s="562"/>
      <c r="VLJ41" s="562"/>
      <c r="VLK41" s="562"/>
      <c r="VLL41" s="562"/>
      <c r="VLM41" s="562"/>
      <c r="VLN41" s="562"/>
      <c r="VLO41" s="562"/>
      <c r="VLP41" s="562"/>
      <c r="VLQ41" s="562"/>
      <c r="VLR41" s="562"/>
      <c r="VLS41" s="562"/>
      <c r="VLT41" s="562"/>
      <c r="VLU41" s="562"/>
      <c r="VLV41" s="562"/>
      <c r="VLW41" s="562"/>
      <c r="VLX41" s="562"/>
      <c r="VLY41" s="562"/>
      <c r="VLZ41" s="562"/>
      <c r="VMA41" s="562"/>
      <c r="VMB41" s="562"/>
      <c r="VMC41" s="562"/>
      <c r="VMD41" s="562"/>
      <c r="VME41" s="562"/>
      <c r="VMF41" s="562"/>
      <c r="VMG41" s="562"/>
      <c r="VMH41" s="562"/>
      <c r="VMI41" s="562"/>
      <c r="VMJ41" s="562"/>
      <c r="VMK41" s="562"/>
      <c r="VML41" s="562"/>
      <c r="VMM41" s="562"/>
      <c r="VMN41" s="562"/>
      <c r="VMO41" s="562"/>
      <c r="VMP41" s="562"/>
      <c r="VMQ41" s="562"/>
      <c r="VMR41" s="562"/>
      <c r="VMS41" s="562"/>
      <c r="VMT41" s="562"/>
      <c r="VMU41" s="562"/>
      <c r="VMV41" s="562"/>
      <c r="VMW41" s="562"/>
      <c r="VMX41" s="562"/>
      <c r="VMY41" s="562"/>
      <c r="VMZ41" s="562"/>
      <c r="VNA41" s="562"/>
      <c r="VNB41" s="562"/>
      <c r="VNC41" s="562"/>
      <c r="VND41" s="562"/>
      <c r="VNE41" s="562"/>
      <c r="VNF41" s="562"/>
      <c r="VNG41" s="562"/>
      <c r="VNH41" s="562"/>
      <c r="VNI41" s="562"/>
      <c r="VNJ41" s="562"/>
      <c r="VNK41" s="562"/>
      <c r="VNL41" s="562"/>
      <c r="VNM41" s="562"/>
      <c r="VNN41" s="562"/>
      <c r="VNO41" s="562"/>
      <c r="VNP41" s="562"/>
      <c r="VNQ41" s="562"/>
      <c r="VNR41" s="562"/>
      <c r="VNS41" s="562"/>
      <c r="VNT41" s="562"/>
      <c r="VNU41" s="562"/>
      <c r="VNV41" s="562"/>
      <c r="VNW41" s="562"/>
      <c r="VNX41" s="562"/>
      <c r="VNY41" s="562"/>
      <c r="VNZ41" s="562"/>
      <c r="VOA41" s="562"/>
      <c r="VOB41" s="562"/>
      <c r="VOC41" s="562"/>
      <c r="VOD41" s="562"/>
      <c r="VOE41" s="562"/>
      <c r="VOF41" s="562"/>
      <c r="VOG41" s="562"/>
      <c r="VOH41" s="562"/>
      <c r="VOI41" s="562"/>
      <c r="VOJ41" s="562"/>
      <c r="VOK41" s="562"/>
      <c r="VOL41" s="562"/>
      <c r="VOM41" s="562"/>
      <c r="VON41" s="562"/>
      <c r="VOO41" s="562"/>
      <c r="VOP41" s="562"/>
      <c r="VOQ41" s="562"/>
      <c r="VOR41" s="562"/>
      <c r="VOS41" s="562"/>
      <c r="VOT41" s="562"/>
      <c r="VOU41" s="562"/>
      <c r="VOV41" s="562"/>
      <c r="VOW41" s="562"/>
      <c r="VOX41" s="562"/>
      <c r="VOY41" s="562"/>
      <c r="VOZ41" s="562"/>
      <c r="VPA41" s="562"/>
      <c r="VPB41" s="562"/>
      <c r="VPC41" s="562"/>
      <c r="VPD41" s="562"/>
      <c r="VPE41" s="562"/>
      <c r="VPF41" s="562"/>
      <c r="VPG41" s="562"/>
      <c r="VPH41" s="562"/>
      <c r="VPI41" s="562"/>
      <c r="VPJ41" s="562"/>
      <c r="VPK41" s="562"/>
      <c r="VPL41" s="562"/>
      <c r="VPM41" s="562"/>
      <c r="VPN41" s="562"/>
      <c r="VPO41" s="562"/>
      <c r="VPP41" s="562"/>
      <c r="VPQ41" s="562"/>
      <c r="VPR41" s="562"/>
      <c r="VPS41" s="562"/>
      <c r="VPT41" s="562"/>
      <c r="VPU41" s="562"/>
      <c r="VPV41" s="562"/>
      <c r="VPW41" s="562"/>
      <c r="VPX41" s="562"/>
      <c r="VPY41" s="562"/>
      <c r="VPZ41" s="562"/>
      <c r="VQA41" s="562"/>
      <c r="VQB41" s="562"/>
      <c r="VQC41" s="562"/>
      <c r="VQD41" s="562"/>
      <c r="VQE41" s="562"/>
      <c r="VQF41" s="562"/>
      <c r="VQG41" s="562"/>
      <c r="VQH41" s="562"/>
      <c r="VQI41" s="562"/>
      <c r="VQJ41" s="562"/>
      <c r="VQK41" s="562"/>
      <c r="VQL41" s="562"/>
      <c r="VQM41" s="562"/>
      <c r="VQN41" s="562"/>
      <c r="VQO41" s="562"/>
      <c r="VQP41" s="562"/>
      <c r="VQQ41" s="562"/>
      <c r="VQR41" s="562"/>
      <c r="VQS41" s="562"/>
      <c r="VQT41" s="562"/>
      <c r="VQU41" s="562"/>
      <c r="VQV41" s="562"/>
      <c r="VQW41" s="562"/>
      <c r="VQX41" s="562"/>
      <c r="VQY41" s="562"/>
      <c r="VQZ41" s="562"/>
      <c r="VRA41" s="562"/>
      <c r="VRB41" s="562"/>
      <c r="VRC41" s="562"/>
      <c r="VRD41" s="562"/>
      <c r="VRE41" s="562"/>
      <c r="VRF41" s="562"/>
      <c r="VRG41" s="562"/>
      <c r="VRH41" s="562"/>
      <c r="VRI41" s="562"/>
      <c r="VRJ41" s="562"/>
      <c r="VRK41" s="562"/>
      <c r="VRL41" s="562"/>
      <c r="VRM41" s="562"/>
      <c r="VRN41" s="562"/>
      <c r="VRO41" s="562"/>
      <c r="VRP41" s="562"/>
      <c r="VRQ41" s="562"/>
      <c r="VRR41" s="562"/>
      <c r="VRS41" s="562"/>
      <c r="VRT41" s="562"/>
      <c r="VRU41" s="562"/>
      <c r="VRV41" s="562"/>
      <c r="VRW41" s="562"/>
      <c r="VRX41" s="562"/>
      <c r="VRY41" s="562"/>
      <c r="VRZ41" s="562"/>
      <c r="VSA41" s="562"/>
      <c r="VSB41" s="562"/>
      <c r="VSC41" s="562"/>
      <c r="VSD41" s="562"/>
      <c r="VSE41" s="562"/>
      <c r="VSF41" s="562"/>
      <c r="VSG41" s="562"/>
      <c r="VSH41" s="562"/>
      <c r="VSI41" s="562"/>
      <c r="VSJ41" s="562"/>
      <c r="VSK41" s="562"/>
      <c r="VSL41" s="562"/>
      <c r="VSM41" s="562"/>
      <c r="VSN41" s="562"/>
      <c r="VSO41" s="562"/>
      <c r="VSP41" s="562"/>
      <c r="VSQ41" s="562"/>
      <c r="VSR41" s="562"/>
      <c r="VSS41" s="562"/>
      <c r="VST41" s="562"/>
      <c r="VSU41" s="562"/>
      <c r="VSV41" s="562"/>
      <c r="VSW41" s="562"/>
      <c r="VSX41" s="562"/>
      <c r="VSY41" s="562"/>
      <c r="VSZ41" s="562"/>
      <c r="VTA41" s="562"/>
      <c r="VTB41" s="562"/>
      <c r="VTC41" s="562"/>
      <c r="VTD41" s="562"/>
      <c r="VTE41" s="562"/>
      <c r="VTF41" s="562"/>
      <c r="VTG41" s="562"/>
      <c r="VTH41" s="562"/>
      <c r="VTI41" s="562"/>
      <c r="VTJ41" s="562"/>
      <c r="VTK41" s="562"/>
      <c r="VTL41" s="562"/>
      <c r="VTM41" s="562"/>
      <c r="VTN41" s="562"/>
      <c r="VTO41" s="562"/>
      <c r="VTP41" s="562"/>
      <c r="VTQ41" s="562"/>
      <c r="VTR41" s="562"/>
      <c r="VTS41" s="562"/>
      <c r="VTT41" s="562"/>
      <c r="VTU41" s="562"/>
      <c r="VTV41" s="562"/>
      <c r="VTW41" s="562"/>
      <c r="VTX41" s="562"/>
      <c r="VTY41" s="562"/>
      <c r="VTZ41" s="562"/>
      <c r="VUA41" s="562"/>
      <c r="VUB41" s="562"/>
      <c r="VUC41" s="562"/>
      <c r="VUD41" s="562"/>
      <c r="VUE41" s="562"/>
      <c r="VUF41" s="562"/>
      <c r="VUG41" s="562"/>
      <c r="VUH41" s="562"/>
      <c r="VUI41" s="562"/>
      <c r="VUJ41" s="562"/>
      <c r="VUK41" s="562"/>
      <c r="VUL41" s="562"/>
      <c r="VUM41" s="562"/>
      <c r="VUN41" s="562"/>
      <c r="VUO41" s="562"/>
      <c r="VUP41" s="562"/>
      <c r="VUQ41" s="562"/>
      <c r="VUR41" s="562"/>
      <c r="VUS41" s="562"/>
      <c r="VUT41" s="562"/>
      <c r="VUU41" s="562"/>
      <c r="VUV41" s="562"/>
      <c r="VUW41" s="562"/>
      <c r="VUX41" s="562"/>
      <c r="VUY41" s="562"/>
      <c r="VUZ41" s="562"/>
      <c r="VVA41" s="562"/>
      <c r="VVB41" s="562"/>
      <c r="VVC41" s="562"/>
      <c r="VVD41" s="562"/>
      <c r="VVE41" s="562"/>
      <c r="VVF41" s="562"/>
      <c r="VVG41" s="562"/>
      <c r="VVH41" s="562"/>
      <c r="VVI41" s="562"/>
      <c r="VVJ41" s="562"/>
      <c r="VVK41" s="562"/>
      <c r="VVL41" s="562"/>
      <c r="VVM41" s="562"/>
      <c r="VVN41" s="562"/>
      <c r="VVO41" s="562"/>
      <c r="VVP41" s="562"/>
      <c r="VVQ41" s="562"/>
      <c r="VVR41" s="562"/>
      <c r="VVS41" s="562"/>
      <c r="VVT41" s="562"/>
      <c r="VVU41" s="562"/>
      <c r="VVV41" s="562"/>
      <c r="VVW41" s="562"/>
      <c r="VVX41" s="562"/>
      <c r="VVY41" s="562"/>
      <c r="VVZ41" s="562"/>
      <c r="VWA41" s="562"/>
      <c r="VWB41" s="562"/>
      <c r="VWC41" s="562"/>
      <c r="VWD41" s="562"/>
      <c r="VWE41" s="562"/>
      <c r="VWF41" s="562"/>
      <c r="VWG41" s="562"/>
      <c r="VWH41" s="562"/>
      <c r="VWI41" s="562"/>
      <c r="VWJ41" s="562"/>
      <c r="VWK41" s="562"/>
      <c r="VWL41" s="562"/>
      <c r="VWM41" s="562"/>
      <c r="VWN41" s="562"/>
      <c r="VWO41" s="562"/>
      <c r="VWP41" s="562"/>
      <c r="VWQ41" s="562"/>
      <c r="VWR41" s="562"/>
      <c r="VWS41" s="562"/>
      <c r="VWT41" s="562"/>
      <c r="VWU41" s="562"/>
      <c r="VWV41" s="562"/>
      <c r="VWW41" s="562"/>
      <c r="VWX41" s="562"/>
      <c r="VWY41" s="562"/>
      <c r="VWZ41" s="562"/>
      <c r="VXA41" s="562"/>
      <c r="VXB41" s="562"/>
      <c r="VXC41" s="562"/>
      <c r="VXD41" s="562"/>
      <c r="VXE41" s="562"/>
      <c r="VXF41" s="562"/>
      <c r="VXG41" s="562"/>
      <c r="VXH41" s="562"/>
      <c r="VXI41" s="562"/>
      <c r="VXJ41" s="562"/>
      <c r="VXK41" s="562"/>
      <c r="VXL41" s="562"/>
      <c r="VXM41" s="562"/>
      <c r="VXN41" s="562"/>
      <c r="VXO41" s="562"/>
      <c r="VXP41" s="562"/>
      <c r="VXQ41" s="562"/>
      <c r="VXR41" s="562"/>
      <c r="VXS41" s="562"/>
      <c r="VXT41" s="562"/>
      <c r="VXU41" s="562"/>
      <c r="VXV41" s="562"/>
      <c r="VXW41" s="562"/>
      <c r="VXX41" s="562"/>
      <c r="VXY41" s="562"/>
      <c r="VXZ41" s="562"/>
      <c r="VYA41" s="562"/>
      <c r="VYB41" s="562"/>
      <c r="VYC41" s="562"/>
      <c r="VYD41" s="562"/>
      <c r="VYE41" s="562"/>
      <c r="VYF41" s="562"/>
      <c r="VYG41" s="562"/>
      <c r="VYH41" s="562"/>
      <c r="VYI41" s="562"/>
      <c r="VYJ41" s="562"/>
      <c r="VYK41" s="562"/>
      <c r="VYL41" s="562"/>
      <c r="VYM41" s="562"/>
      <c r="VYN41" s="562"/>
      <c r="VYO41" s="562"/>
      <c r="VYP41" s="562"/>
      <c r="VYQ41" s="562"/>
      <c r="VYR41" s="562"/>
      <c r="VYS41" s="562"/>
      <c r="VYT41" s="562"/>
      <c r="VYU41" s="562"/>
      <c r="VYV41" s="562"/>
      <c r="VYW41" s="562"/>
      <c r="VYX41" s="562"/>
      <c r="VYY41" s="562"/>
      <c r="VYZ41" s="562"/>
      <c r="VZA41" s="562"/>
      <c r="VZB41" s="562"/>
      <c r="VZC41" s="562"/>
      <c r="VZD41" s="562"/>
      <c r="VZE41" s="562"/>
      <c r="VZF41" s="562"/>
      <c r="VZG41" s="562"/>
      <c r="VZH41" s="562"/>
      <c r="VZI41" s="562"/>
      <c r="VZJ41" s="562"/>
      <c r="VZK41" s="562"/>
      <c r="VZL41" s="562"/>
      <c r="VZM41" s="562"/>
      <c r="VZN41" s="562"/>
      <c r="VZO41" s="562"/>
      <c r="VZP41" s="562"/>
      <c r="VZQ41" s="562"/>
      <c r="VZR41" s="562"/>
      <c r="VZS41" s="562"/>
      <c r="VZT41" s="562"/>
      <c r="VZU41" s="562"/>
      <c r="VZV41" s="562"/>
      <c r="VZW41" s="562"/>
      <c r="VZX41" s="562"/>
      <c r="VZY41" s="562"/>
      <c r="VZZ41" s="562"/>
      <c r="WAA41" s="562"/>
      <c r="WAB41" s="562"/>
      <c r="WAC41" s="562"/>
      <c r="WAD41" s="562"/>
      <c r="WAE41" s="562"/>
      <c r="WAF41" s="562"/>
      <c r="WAG41" s="562"/>
      <c r="WAH41" s="562"/>
      <c r="WAI41" s="562"/>
      <c r="WAJ41" s="562"/>
      <c r="WAK41" s="562"/>
      <c r="WAL41" s="562"/>
      <c r="WAM41" s="562"/>
      <c r="WAN41" s="562"/>
      <c r="WAO41" s="562"/>
      <c r="WAP41" s="562"/>
      <c r="WAQ41" s="562"/>
      <c r="WAR41" s="562"/>
      <c r="WAS41" s="562"/>
      <c r="WAT41" s="562"/>
      <c r="WAU41" s="562"/>
      <c r="WAV41" s="562"/>
      <c r="WAW41" s="562"/>
      <c r="WAX41" s="562"/>
      <c r="WAY41" s="562"/>
      <c r="WAZ41" s="562"/>
      <c r="WBA41" s="562"/>
      <c r="WBB41" s="562"/>
      <c r="WBC41" s="562"/>
      <c r="WBD41" s="562"/>
      <c r="WBE41" s="562"/>
      <c r="WBF41" s="562"/>
      <c r="WBG41" s="562"/>
      <c r="WBH41" s="562"/>
      <c r="WBI41" s="562"/>
      <c r="WBJ41" s="562"/>
      <c r="WBK41" s="562"/>
      <c r="WBL41" s="562"/>
      <c r="WBM41" s="562"/>
      <c r="WBN41" s="562"/>
      <c r="WBO41" s="562"/>
      <c r="WBP41" s="562"/>
      <c r="WBQ41" s="562"/>
      <c r="WBR41" s="562"/>
      <c r="WBS41" s="562"/>
      <c r="WBT41" s="562"/>
      <c r="WBU41" s="562"/>
      <c r="WBV41" s="562"/>
      <c r="WBW41" s="562"/>
      <c r="WBX41" s="562"/>
      <c r="WBY41" s="562"/>
      <c r="WBZ41" s="562"/>
      <c r="WCA41" s="562"/>
      <c r="WCB41" s="562"/>
      <c r="WCC41" s="562"/>
      <c r="WCD41" s="562"/>
      <c r="WCE41" s="562"/>
      <c r="WCF41" s="562"/>
      <c r="WCG41" s="562"/>
      <c r="WCH41" s="562"/>
      <c r="WCI41" s="562"/>
      <c r="WCJ41" s="562"/>
      <c r="WCK41" s="562"/>
      <c r="WCL41" s="562"/>
      <c r="WCM41" s="562"/>
      <c r="WCN41" s="562"/>
      <c r="WCO41" s="562"/>
      <c r="WCP41" s="562"/>
      <c r="WCQ41" s="562"/>
      <c r="WCR41" s="562"/>
      <c r="WCS41" s="562"/>
      <c r="WCT41" s="562"/>
      <c r="WCU41" s="562"/>
      <c r="WCV41" s="562"/>
      <c r="WCW41" s="562"/>
      <c r="WCX41" s="562"/>
      <c r="WCY41" s="562"/>
      <c r="WCZ41" s="562"/>
      <c r="WDA41" s="562"/>
      <c r="WDB41" s="562"/>
      <c r="WDC41" s="562"/>
      <c r="WDD41" s="562"/>
      <c r="WDE41" s="562"/>
      <c r="WDF41" s="562"/>
      <c r="WDG41" s="562"/>
      <c r="WDH41" s="562"/>
      <c r="WDI41" s="562"/>
      <c r="WDJ41" s="562"/>
      <c r="WDK41" s="562"/>
      <c r="WDL41" s="562"/>
      <c r="WDM41" s="562"/>
      <c r="WDN41" s="562"/>
      <c r="WDO41" s="562"/>
      <c r="WDP41" s="562"/>
      <c r="WDQ41" s="562"/>
      <c r="WDR41" s="562"/>
      <c r="WDS41" s="562"/>
      <c r="WDT41" s="562"/>
      <c r="WDU41" s="562"/>
      <c r="WDV41" s="562"/>
      <c r="WDW41" s="562"/>
      <c r="WDX41" s="562"/>
      <c r="WDY41" s="562"/>
      <c r="WDZ41" s="562"/>
      <c r="WEA41" s="562"/>
      <c r="WEB41" s="562"/>
      <c r="WEC41" s="562"/>
      <c r="WED41" s="562"/>
      <c r="WEE41" s="562"/>
      <c r="WEF41" s="562"/>
      <c r="WEG41" s="562"/>
      <c r="WEH41" s="562"/>
      <c r="WEI41" s="562"/>
      <c r="WEJ41" s="562"/>
      <c r="WEK41" s="562"/>
      <c r="WEL41" s="562"/>
      <c r="WEM41" s="562"/>
      <c r="WEN41" s="562"/>
      <c r="WEO41" s="562"/>
      <c r="WEP41" s="562"/>
      <c r="WEQ41" s="562"/>
      <c r="WER41" s="562"/>
      <c r="WES41" s="562"/>
      <c r="WET41" s="562"/>
      <c r="WEU41" s="562"/>
      <c r="WEV41" s="562"/>
      <c r="WEW41" s="562"/>
      <c r="WEX41" s="562"/>
      <c r="WEY41" s="562"/>
      <c r="WEZ41" s="562"/>
      <c r="WFA41" s="562"/>
      <c r="WFB41" s="562"/>
      <c r="WFC41" s="562"/>
      <c r="WFD41" s="562"/>
      <c r="WFE41" s="562"/>
      <c r="WFF41" s="562"/>
      <c r="WFG41" s="562"/>
      <c r="WFH41" s="562"/>
      <c r="WFI41" s="562"/>
      <c r="WFJ41" s="562"/>
      <c r="WFK41" s="562"/>
      <c r="WFL41" s="562"/>
      <c r="WFM41" s="562"/>
      <c r="WFN41" s="562"/>
      <c r="WFO41" s="562"/>
      <c r="WFP41" s="562"/>
      <c r="WFQ41" s="562"/>
      <c r="WFR41" s="562"/>
      <c r="WFS41" s="562"/>
      <c r="WFT41" s="562"/>
      <c r="WFU41" s="562"/>
      <c r="WFV41" s="562"/>
      <c r="WFW41" s="562"/>
      <c r="WFX41" s="562"/>
      <c r="WFY41" s="562"/>
      <c r="WFZ41" s="562"/>
      <c r="WGA41" s="562"/>
      <c r="WGB41" s="562"/>
      <c r="WGC41" s="562"/>
      <c r="WGD41" s="562"/>
      <c r="WGE41" s="562"/>
      <c r="WGF41" s="562"/>
      <c r="WGG41" s="562"/>
      <c r="WGH41" s="562"/>
      <c r="WGI41" s="562"/>
      <c r="WGJ41" s="562"/>
      <c r="WGK41" s="562"/>
      <c r="WGL41" s="562"/>
      <c r="WGM41" s="562"/>
      <c r="WGN41" s="562"/>
      <c r="WGO41" s="562"/>
      <c r="WGP41" s="562"/>
      <c r="WGQ41" s="562"/>
      <c r="WGR41" s="562"/>
      <c r="WGS41" s="562"/>
      <c r="WGT41" s="562"/>
      <c r="WGU41" s="562"/>
      <c r="WGV41" s="562"/>
      <c r="WGW41" s="562"/>
      <c r="WGX41" s="562"/>
      <c r="WGY41" s="562"/>
      <c r="WGZ41" s="562"/>
      <c r="WHA41" s="562"/>
      <c r="WHB41" s="562"/>
      <c r="WHC41" s="562"/>
      <c r="WHD41" s="562"/>
      <c r="WHE41" s="562"/>
      <c r="WHF41" s="562"/>
      <c r="WHG41" s="562"/>
      <c r="WHH41" s="562"/>
      <c r="WHI41" s="562"/>
      <c r="WHJ41" s="562"/>
      <c r="WHK41" s="562"/>
      <c r="WHL41" s="562"/>
      <c r="WHM41" s="562"/>
      <c r="WHN41" s="562"/>
      <c r="WHO41" s="562"/>
      <c r="WHP41" s="562"/>
      <c r="WHQ41" s="562"/>
      <c r="WHR41" s="562"/>
      <c r="WHS41" s="562"/>
      <c r="WHT41" s="562"/>
      <c r="WHU41" s="562"/>
      <c r="WHV41" s="562"/>
      <c r="WHW41" s="562"/>
      <c r="WHX41" s="562"/>
      <c r="WHY41" s="562"/>
      <c r="WHZ41" s="562"/>
      <c r="WIA41" s="562"/>
      <c r="WIB41" s="562"/>
      <c r="WIC41" s="562"/>
      <c r="WID41" s="562"/>
      <c r="WIE41" s="562"/>
      <c r="WIF41" s="562"/>
      <c r="WIG41" s="562"/>
      <c r="WIH41" s="562"/>
      <c r="WII41" s="562"/>
      <c r="WIJ41" s="562"/>
      <c r="WIK41" s="562"/>
      <c r="WIL41" s="562"/>
      <c r="WIM41" s="562"/>
      <c r="WIN41" s="562"/>
      <c r="WIO41" s="562"/>
      <c r="WIP41" s="562"/>
      <c r="WIQ41" s="562"/>
      <c r="WIR41" s="562"/>
      <c r="WIS41" s="562"/>
      <c r="WIT41" s="562"/>
      <c r="WIU41" s="562"/>
      <c r="WIV41" s="562"/>
      <c r="WIW41" s="562"/>
      <c r="WIX41" s="562"/>
      <c r="WIY41" s="562"/>
      <c r="WIZ41" s="562"/>
      <c r="WJA41" s="562"/>
      <c r="WJB41" s="562"/>
      <c r="WJC41" s="562"/>
      <c r="WJD41" s="562"/>
      <c r="WJE41" s="562"/>
      <c r="WJF41" s="562"/>
      <c r="WJG41" s="562"/>
      <c r="WJH41" s="562"/>
      <c r="WJI41" s="562"/>
      <c r="WJJ41" s="562"/>
      <c r="WJK41" s="562"/>
      <c r="WJL41" s="562"/>
      <c r="WJM41" s="562"/>
      <c r="WJN41" s="562"/>
      <c r="WJO41" s="562"/>
      <c r="WJP41" s="562"/>
      <c r="WJQ41" s="562"/>
      <c r="WJR41" s="562"/>
      <c r="WJS41" s="562"/>
      <c r="WJT41" s="562"/>
      <c r="WJU41" s="562"/>
      <c r="WJV41" s="562"/>
      <c r="WJW41" s="562"/>
      <c r="WJX41" s="562"/>
      <c r="WJY41" s="562"/>
      <c r="WJZ41" s="562"/>
      <c r="WKA41" s="562"/>
      <c r="WKB41" s="562"/>
      <c r="WKC41" s="562"/>
      <c r="WKD41" s="562"/>
      <c r="WKE41" s="562"/>
      <c r="WKF41" s="562"/>
      <c r="WKG41" s="562"/>
      <c r="WKH41" s="562"/>
      <c r="WKI41" s="562"/>
      <c r="WKJ41" s="562"/>
      <c r="WKK41" s="562"/>
      <c r="WKL41" s="562"/>
      <c r="WKM41" s="562"/>
      <c r="WKN41" s="562"/>
      <c r="WKO41" s="562"/>
      <c r="WKP41" s="562"/>
      <c r="WKQ41" s="562"/>
      <c r="WKR41" s="562"/>
      <c r="WKS41" s="562"/>
      <c r="WKT41" s="562"/>
      <c r="WKU41" s="562"/>
      <c r="WKV41" s="562"/>
      <c r="WKW41" s="562"/>
      <c r="WKX41" s="562"/>
      <c r="WKY41" s="562"/>
      <c r="WKZ41" s="562"/>
      <c r="WLA41" s="562"/>
      <c r="WLB41" s="562"/>
      <c r="WLC41" s="562"/>
      <c r="WLD41" s="562"/>
      <c r="WLE41" s="562"/>
      <c r="WLF41" s="562"/>
      <c r="WLG41" s="562"/>
      <c r="WLH41" s="562"/>
      <c r="WLI41" s="562"/>
      <c r="WLJ41" s="562"/>
      <c r="WLK41" s="562"/>
      <c r="WLL41" s="562"/>
      <c r="WLM41" s="562"/>
      <c r="WLN41" s="562"/>
      <c r="WLO41" s="562"/>
      <c r="WLP41" s="562"/>
      <c r="WLQ41" s="562"/>
      <c r="WLR41" s="562"/>
      <c r="WLS41" s="562"/>
      <c r="WLT41" s="562"/>
      <c r="WLU41" s="562"/>
      <c r="WLV41" s="562"/>
      <c r="WLW41" s="562"/>
      <c r="WLX41" s="562"/>
      <c r="WLY41" s="562"/>
      <c r="WLZ41" s="562"/>
      <c r="WMA41" s="562"/>
      <c r="WMB41" s="562"/>
      <c r="WMC41" s="562"/>
      <c r="WMD41" s="562"/>
      <c r="WME41" s="562"/>
      <c r="WMF41" s="562"/>
      <c r="WMG41" s="562"/>
      <c r="WMH41" s="562"/>
      <c r="WMI41" s="562"/>
      <c r="WMJ41" s="562"/>
      <c r="WMK41" s="562"/>
      <c r="WML41" s="562"/>
      <c r="WMM41" s="562"/>
      <c r="WMN41" s="562"/>
      <c r="WMO41" s="562"/>
      <c r="WMP41" s="562"/>
      <c r="WMQ41" s="562"/>
      <c r="WMR41" s="562"/>
      <c r="WMS41" s="562"/>
      <c r="WMT41" s="562"/>
      <c r="WMU41" s="562"/>
      <c r="WMV41" s="562"/>
      <c r="WMW41" s="562"/>
      <c r="WMX41" s="562"/>
      <c r="WMY41" s="562"/>
      <c r="WMZ41" s="562"/>
      <c r="WNA41" s="562"/>
      <c r="WNB41" s="562"/>
      <c r="WNC41" s="562"/>
      <c r="WND41" s="562"/>
      <c r="WNE41" s="562"/>
      <c r="WNF41" s="562"/>
      <c r="WNG41" s="562"/>
      <c r="WNH41" s="562"/>
      <c r="WNI41" s="562"/>
      <c r="WNJ41" s="562"/>
      <c r="WNK41" s="562"/>
      <c r="WNL41" s="562"/>
      <c r="WNM41" s="562"/>
      <c r="WNN41" s="562"/>
      <c r="WNO41" s="562"/>
      <c r="WNP41" s="562"/>
      <c r="WNQ41" s="562"/>
      <c r="WNR41" s="562"/>
      <c r="WNS41" s="562"/>
      <c r="WNT41" s="562"/>
      <c r="WNU41" s="562"/>
      <c r="WNV41" s="562"/>
      <c r="WNW41" s="562"/>
      <c r="WNX41" s="562"/>
      <c r="WNY41" s="562"/>
      <c r="WNZ41" s="562"/>
      <c r="WOA41" s="562"/>
      <c r="WOB41" s="562"/>
      <c r="WOC41" s="562"/>
      <c r="WOD41" s="562"/>
      <c r="WOE41" s="562"/>
      <c r="WOF41" s="562"/>
      <c r="WOG41" s="562"/>
      <c r="WOH41" s="562"/>
      <c r="WOI41" s="562"/>
      <c r="WOJ41" s="562"/>
      <c r="WOK41" s="562"/>
      <c r="WOL41" s="562"/>
      <c r="WOM41" s="562"/>
      <c r="WON41" s="562"/>
      <c r="WOO41" s="562"/>
      <c r="WOP41" s="562"/>
      <c r="WOQ41" s="562"/>
      <c r="WOR41" s="562"/>
      <c r="WOS41" s="562"/>
      <c r="WOT41" s="562"/>
      <c r="WOU41" s="562"/>
      <c r="WOV41" s="562"/>
      <c r="WOW41" s="562"/>
      <c r="WOX41" s="562"/>
      <c r="WOY41" s="562"/>
      <c r="WOZ41" s="562"/>
      <c r="WPA41" s="562"/>
      <c r="WPB41" s="562"/>
      <c r="WPC41" s="562"/>
      <c r="WPD41" s="562"/>
      <c r="WPE41" s="562"/>
      <c r="WPF41" s="562"/>
      <c r="WPG41" s="562"/>
      <c r="WPH41" s="562"/>
      <c r="WPI41" s="562"/>
      <c r="WPJ41" s="562"/>
      <c r="WPK41" s="562"/>
      <c r="WPL41" s="562"/>
      <c r="WPM41" s="562"/>
      <c r="WPN41" s="562"/>
      <c r="WPO41" s="562"/>
      <c r="WPP41" s="562"/>
      <c r="WPQ41" s="562"/>
      <c r="WPR41" s="562"/>
      <c r="WPS41" s="562"/>
      <c r="WPT41" s="562"/>
      <c r="WPU41" s="562"/>
      <c r="WPV41" s="562"/>
      <c r="WPW41" s="562"/>
      <c r="WPX41" s="562"/>
      <c r="WPY41" s="562"/>
      <c r="WPZ41" s="562"/>
      <c r="WQA41" s="562"/>
      <c r="WQB41" s="562"/>
      <c r="WQC41" s="562"/>
      <c r="WQD41" s="562"/>
      <c r="WQE41" s="562"/>
      <c r="WQF41" s="562"/>
      <c r="WQG41" s="562"/>
      <c r="WQH41" s="562"/>
      <c r="WQI41" s="562"/>
      <c r="WQJ41" s="562"/>
      <c r="WQK41" s="562"/>
      <c r="WQL41" s="562"/>
      <c r="WQM41" s="562"/>
      <c r="WQN41" s="562"/>
      <c r="WQO41" s="562"/>
      <c r="WQP41" s="562"/>
      <c r="WQQ41" s="562"/>
      <c r="WQR41" s="562"/>
      <c r="WQS41" s="562"/>
      <c r="WQT41" s="562"/>
      <c r="WQU41" s="562"/>
      <c r="WQV41" s="562"/>
      <c r="WQW41" s="562"/>
      <c r="WQX41" s="562"/>
      <c r="WQY41" s="562"/>
      <c r="WQZ41" s="562"/>
      <c r="WRA41" s="562"/>
      <c r="WRB41" s="562"/>
      <c r="WRC41" s="562"/>
      <c r="WRD41" s="562"/>
      <c r="WRE41" s="562"/>
      <c r="WRF41" s="562"/>
      <c r="WRG41" s="562"/>
      <c r="WRH41" s="562"/>
      <c r="WRI41" s="562"/>
      <c r="WRJ41" s="562"/>
      <c r="WRK41" s="562"/>
      <c r="WRL41" s="562"/>
      <c r="WRM41" s="562"/>
      <c r="WRN41" s="562"/>
      <c r="WRO41" s="562"/>
      <c r="WRP41" s="562"/>
      <c r="WRQ41" s="562"/>
      <c r="WRR41" s="562"/>
      <c r="WRS41" s="562"/>
      <c r="WRT41" s="562"/>
      <c r="WRU41" s="562"/>
      <c r="WRV41" s="562"/>
      <c r="WRW41" s="562"/>
      <c r="WRX41" s="562"/>
      <c r="WRY41" s="562"/>
      <c r="WRZ41" s="562"/>
      <c r="WSA41" s="562"/>
      <c r="WSB41" s="562"/>
      <c r="WSC41" s="562"/>
      <c r="WSD41" s="562"/>
      <c r="WSE41" s="562"/>
      <c r="WSF41" s="562"/>
      <c r="WSG41" s="562"/>
      <c r="WSH41" s="562"/>
      <c r="WSI41" s="562"/>
      <c r="WSJ41" s="562"/>
      <c r="WSK41" s="562"/>
      <c r="WSL41" s="562"/>
      <c r="WSM41" s="562"/>
      <c r="WSN41" s="562"/>
      <c r="WSO41" s="562"/>
      <c r="WSP41" s="562"/>
      <c r="WSQ41" s="562"/>
      <c r="WSR41" s="562"/>
      <c r="WSS41" s="562"/>
      <c r="WST41" s="562"/>
      <c r="WSU41" s="562"/>
      <c r="WSV41" s="562"/>
      <c r="WSW41" s="562"/>
      <c r="WSX41" s="562"/>
      <c r="WSY41" s="562"/>
      <c r="WSZ41" s="562"/>
      <c r="WTA41" s="562"/>
      <c r="WTB41" s="562"/>
      <c r="WTC41" s="562"/>
      <c r="WTD41" s="562"/>
      <c r="WTE41" s="562"/>
      <c r="WTF41" s="562"/>
      <c r="WTG41" s="562"/>
      <c r="WTH41" s="562"/>
      <c r="WTI41" s="562"/>
      <c r="WTJ41" s="562"/>
      <c r="WTK41" s="562"/>
      <c r="WTL41" s="562"/>
      <c r="WTM41" s="562"/>
      <c r="WTN41" s="562"/>
      <c r="WTO41" s="562"/>
      <c r="WTP41" s="562"/>
      <c r="WTQ41" s="562"/>
      <c r="WTR41" s="562"/>
      <c r="WTS41" s="562"/>
      <c r="WTT41" s="562"/>
      <c r="WTU41" s="562"/>
      <c r="WTV41" s="562"/>
      <c r="WTW41" s="562"/>
      <c r="WTX41" s="562"/>
      <c r="WTY41" s="562"/>
      <c r="WTZ41" s="562"/>
      <c r="WUA41" s="562"/>
      <c r="WUB41" s="562"/>
      <c r="WUC41" s="562"/>
      <c r="WUD41" s="562"/>
      <c r="WUE41" s="562"/>
      <c r="WUF41" s="562"/>
      <c r="WUG41" s="562"/>
      <c r="WUH41" s="562"/>
      <c r="WUI41" s="562"/>
      <c r="WUJ41" s="562"/>
      <c r="WUK41" s="562"/>
      <c r="WUL41" s="562"/>
      <c r="WUM41" s="562"/>
      <c r="WUN41" s="562"/>
      <c r="WUO41" s="562"/>
      <c r="WUP41" s="562"/>
      <c r="WUQ41" s="562"/>
      <c r="WUR41" s="562"/>
      <c r="WUS41" s="562"/>
      <c r="WUT41" s="562"/>
      <c r="WUU41" s="562"/>
      <c r="WUV41" s="562"/>
      <c r="WUW41" s="562"/>
      <c r="WUX41" s="562"/>
      <c r="WUY41" s="562"/>
      <c r="WUZ41" s="562"/>
      <c r="WVA41" s="562"/>
      <c r="WVB41" s="562"/>
      <c r="WVC41" s="562"/>
      <c r="WVD41" s="562"/>
      <c r="WVE41" s="562"/>
      <c r="WVF41" s="562"/>
      <c r="WVG41" s="562"/>
      <c r="WVH41" s="562"/>
      <c r="WVI41" s="562"/>
      <c r="WVJ41" s="562"/>
      <c r="WVK41" s="562"/>
      <c r="WVL41" s="562"/>
      <c r="WVM41" s="562"/>
      <c r="WVN41" s="562"/>
      <c r="WVO41" s="562"/>
      <c r="WVP41" s="562"/>
      <c r="WVQ41" s="562"/>
      <c r="WVR41" s="562"/>
      <c r="WVS41" s="562"/>
      <c r="WVT41" s="562"/>
      <c r="WVU41" s="562"/>
      <c r="WVV41" s="562"/>
      <c r="WVW41" s="562"/>
      <c r="WVX41" s="562"/>
      <c r="WVY41" s="562"/>
      <c r="WVZ41" s="562"/>
      <c r="WWA41" s="562"/>
      <c r="WWB41" s="562"/>
      <c r="WWC41" s="562"/>
      <c r="WWD41" s="562"/>
      <c r="WWE41" s="562"/>
      <c r="WWF41" s="562"/>
      <c r="WWG41" s="562"/>
      <c r="WWH41" s="562"/>
      <c r="WWI41" s="562"/>
      <c r="WWJ41" s="562"/>
      <c r="WWK41" s="562"/>
      <c r="WWL41" s="562"/>
      <c r="WWM41" s="562"/>
      <c r="WWN41" s="562"/>
      <c r="WWO41" s="562"/>
      <c r="WWP41" s="562"/>
      <c r="WWQ41" s="562"/>
      <c r="WWR41" s="562"/>
      <c r="WWS41" s="562"/>
      <c r="WWT41" s="562"/>
      <c r="WWU41" s="562"/>
      <c r="WWV41" s="562"/>
      <c r="WWW41" s="562"/>
      <c r="WWX41" s="562"/>
      <c r="WWY41" s="562"/>
      <c r="WWZ41" s="562"/>
      <c r="WXA41" s="562"/>
      <c r="WXB41" s="562"/>
      <c r="WXC41" s="562"/>
      <c r="WXD41" s="562"/>
      <c r="WXE41" s="562"/>
      <c r="WXF41" s="562"/>
      <c r="WXG41" s="562"/>
      <c r="WXH41" s="562"/>
      <c r="WXI41" s="562"/>
      <c r="WXJ41" s="562"/>
      <c r="WXK41" s="562"/>
      <c r="WXL41" s="562"/>
      <c r="WXM41" s="562"/>
      <c r="WXN41" s="562"/>
      <c r="WXO41" s="562"/>
      <c r="WXP41" s="562"/>
      <c r="WXQ41" s="562"/>
      <c r="WXR41" s="562"/>
      <c r="WXS41" s="562"/>
      <c r="WXT41" s="562"/>
      <c r="WXU41" s="562"/>
      <c r="WXV41" s="562"/>
      <c r="WXW41" s="562"/>
      <c r="WXX41" s="562"/>
      <c r="WXY41" s="562"/>
      <c r="WXZ41" s="562"/>
      <c r="WYA41" s="562"/>
      <c r="WYB41" s="562"/>
      <c r="WYC41" s="562"/>
      <c r="WYD41" s="562"/>
      <c r="WYE41" s="562"/>
      <c r="WYF41" s="562"/>
      <c r="WYG41" s="562"/>
      <c r="WYH41" s="562"/>
      <c r="WYI41" s="562"/>
      <c r="WYJ41" s="562"/>
      <c r="WYK41" s="562"/>
      <c r="WYL41" s="562"/>
      <c r="WYM41" s="562"/>
      <c r="WYN41" s="562"/>
      <c r="WYO41" s="562"/>
      <c r="WYP41" s="562"/>
      <c r="WYQ41" s="562"/>
      <c r="WYR41" s="562"/>
      <c r="WYS41" s="562"/>
      <c r="WYT41" s="562"/>
      <c r="WYU41" s="562"/>
      <c r="WYV41" s="562"/>
      <c r="WYW41" s="562"/>
      <c r="WYX41" s="562"/>
      <c r="WYY41" s="562"/>
      <c r="WYZ41" s="562"/>
      <c r="WZA41" s="562"/>
      <c r="WZB41" s="562"/>
      <c r="WZC41" s="562"/>
      <c r="WZD41" s="562"/>
      <c r="WZE41" s="562"/>
      <c r="WZF41" s="562"/>
      <c r="WZG41" s="562"/>
      <c r="WZH41" s="562"/>
      <c r="WZI41" s="562"/>
      <c r="WZJ41" s="562"/>
      <c r="WZK41" s="562"/>
      <c r="WZL41" s="562"/>
      <c r="WZM41" s="562"/>
      <c r="WZN41" s="562"/>
      <c r="WZO41" s="562"/>
      <c r="WZP41" s="562"/>
      <c r="WZQ41" s="562"/>
      <c r="WZR41" s="562"/>
      <c r="WZS41" s="562"/>
      <c r="WZT41" s="562"/>
      <c r="WZU41" s="562"/>
      <c r="WZV41" s="562"/>
      <c r="WZW41" s="562"/>
      <c r="WZX41" s="562"/>
      <c r="WZY41" s="562"/>
      <c r="WZZ41" s="562"/>
      <c r="XAA41" s="562"/>
      <c r="XAB41" s="562"/>
      <c r="XAC41" s="562"/>
      <c r="XAD41" s="562"/>
      <c r="XAE41" s="562"/>
      <c r="XAF41" s="562"/>
      <c r="XAG41" s="562"/>
      <c r="XAH41" s="562"/>
      <c r="XAI41" s="562"/>
      <c r="XAJ41" s="562"/>
      <c r="XAK41" s="562"/>
      <c r="XAL41" s="562"/>
      <c r="XAM41" s="562"/>
      <c r="XAN41" s="562"/>
      <c r="XAO41" s="562"/>
      <c r="XAP41" s="562"/>
      <c r="XAQ41" s="562"/>
      <c r="XAR41" s="562"/>
      <c r="XAS41" s="562"/>
      <c r="XAT41" s="562"/>
      <c r="XAU41" s="562"/>
      <c r="XAV41" s="562"/>
      <c r="XAW41" s="562"/>
      <c r="XAX41" s="562"/>
      <c r="XAY41" s="562"/>
      <c r="XAZ41" s="562"/>
      <c r="XBA41" s="562"/>
      <c r="XBB41" s="562"/>
      <c r="XBC41" s="562"/>
      <c r="XBD41" s="562"/>
      <c r="XBE41" s="562"/>
      <c r="XBF41" s="562"/>
      <c r="XBG41" s="562"/>
      <c r="XBH41" s="562"/>
      <c r="XBI41" s="562"/>
      <c r="XBJ41" s="562"/>
      <c r="XBK41" s="562"/>
      <c r="XBL41" s="562"/>
      <c r="XBM41" s="562"/>
      <c r="XBN41" s="562"/>
      <c r="XBO41" s="562"/>
      <c r="XBP41" s="562"/>
      <c r="XBQ41" s="562"/>
      <c r="XBR41" s="562"/>
      <c r="XBS41" s="562"/>
      <c r="XBT41" s="562"/>
      <c r="XBU41" s="562"/>
      <c r="XBV41" s="562"/>
      <c r="XBW41" s="562"/>
      <c r="XBX41" s="562"/>
      <c r="XBY41" s="562"/>
      <c r="XBZ41" s="562"/>
      <c r="XCA41" s="562"/>
      <c r="XCB41" s="562"/>
      <c r="XCC41" s="562"/>
      <c r="XCD41" s="562"/>
      <c r="XCE41" s="562"/>
      <c r="XCF41" s="562"/>
      <c r="XCG41" s="562"/>
      <c r="XCH41" s="562"/>
      <c r="XCI41" s="562"/>
      <c r="XCJ41" s="562"/>
      <c r="XCK41" s="562"/>
      <c r="XCL41" s="562"/>
      <c r="XCM41" s="562"/>
      <c r="XCN41" s="562"/>
      <c r="XCO41" s="562"/>
      <c r="XCP41" s="562"/>
      <c r="XCQ41" s="562"/>
      <c r="XCR41" s="562"/>
      <c r="XCS41" s="562"/>
      <c r="XCT41" s="562"/>
      <c r="XCU41" s="562"/>
      <c r="XCV41" s="562"/>
      <c r="XCW41" s="562"/>
      <c r="XCX41" s="562"/>
      <c r="XCY41" s="562"/>
      <c r="XCZ41" s="562"/>
      <c r="XDA41" s="562"/>
      <c r="XDB41" s="562"/>
      <c r="XDC41" s="562"/>
      <c r="XDD41" s="562"/>
      <c r="XDE41" s="562"/>
      <c r="XDF41" s="562"/>
      <c r="XDG41" s="562"/>
      <c r="XDH41" s="562"/>
      <c r="XDI41" s="562"/>
      <c r="XDJ41" s="562"/>
      <c r="XDK41" s="562"/>
      <c r="XDL41" s="562"/>
      <c r="XDM41" s="562"/>
      <c r="XDN41" s="562"/>
      <c r="XDO41" s="562"/>
      <c r="XDP41" s="562"/>
      <c r="XDQ41" s="562"/>
      <c r="XDR41" s="562"/>
      <c r="XDS41" s="562"/>
      <c r="XDT41" s="562"/>
      <c r="XDU41" s="562"/>
      <c r="XDV41" s="562"/>
      <c r="XDW41" s="562"/>
      <c r="XDX41" s="562"/>
      <c r="XDY41" s="562"/>
      <c r="XDZ41" s="562"/>
      <c r="XEA41" s="562"/>
      <c r="XEB41" s="562"/>
      <c r="XEC41" s="562"/>
      <c r="XED41" s="562"/>
      <c r="XEE41" s="562"/>
      <c r="XEF41" s="562"/>
      <c r="XEG41" s="562"/>
      <c r="XEH41" s="562"/>
      <c r="XEI41" s="562"/>
      <c r="XEJ41" s="562"/>
      <c r="XEK41" s="562"/>
      <c r="XEL41" s="562"/>
      <c r="XEM41" s="562"/>
      <c r="XEN41" s="562"/>
      <c r="XEO41" s="562"/>
      <c r="XEP41" s="562"/>
      <c r="XEQ41" s="562"/>
      <c r="XER41" s="562"/>
      <c r="XES41" s="562"/>
      <c r="XET41" s="562"/>
      <c r="XEU41" s="562"/>
      <c r="XEV41" s="562"/>
      <c r="XEW41" s="562"/>
    </row>
    <row r="42" spans="1:16377" s="573" customFormat="1">
      <c r="A42" s="570" t="s">
        <v>76</v>
      </c>
      <c r="B42" s="572"/>
      <c r="C42" s="570" t="s">
        <v>54</v>
      </c>
      <c r="D42" s="570" t="s">
        <v>77</v>
      </c>
      <c r="E42" s="571" t="s">
        <v>39</v>
      </c>
      <c r="F42" s="570" t="s">
        <v>23</v>
      </c>
      <c r="G42" s="570"/>
      <c r="H42" s="681"/>
      <c r="I42" s="567">
        <v>6.4</v>
      </c>
      <c r="J42" s="573">
        <v>17.2</v>
      </c>
      <c r="K42" s="569">
        <v>20.289999999999964</v>
      </c>
      <c r="L42" s="569">
        <v>2415.87</v>
      </c>
      <c r="M42" s="569">
        <f t="shared" si="4"/>
        <v>2436.16</v>
      </c>
      <c r="N42" s="569">
        <f t="shared" si="16"/>
        <v>2456.4499999999998</v>
      </c>
      <c r="O42" s="569">
        <f t="shared" si="16"/>
        <v>2476.7399999999998</v>
      </c>
      <c r="P42" s="569">
        <f t="shared" si="16"/>
        <v>2497.0300000000002</v>
      </c>
      <c r="Q42" s="569">
        <f t="shared" si="16"/>
        <v>2517.3200000000002</v>
      </c>
      <c r="R42" s="569">
        <f t="shared" si="16"/>
        <v>2537.61</v>
      </c>
      <c r="S42" s="569">
        <f t="shared" si="16"/>
        <v>2557.9</v>
      </c>
      <c r="T42" s="569">
        <f t="shared" si="16"/>
        <v>2578.19</v>
      </c>
      <c r="U42" s="569">
        <f t="shared" si="16"/>
        <v>2598.48</v>
      </c>
      <c r="V42" s="569">
        <f t="shared" si="16"/>
        <v>2618.77</v>
      </c>
      <c r="W42" s="569">
        <f t="shared" si="16"/>
        <v>2639.06</v>
      </c>
      <c r="X42" s="569">
        <f t="shared" si="16"/>
        <v>2659.35</v>
      </c>
      <c r="Y42" s="569">
        <f t="shared" si="16"/>
        <v>2679.64</v>
      </c>
      <c r="Z42" s="569">
        <f t="shared" si="16"/>
        <v>2699.93</v>
      </c>
      <c r="AA42" s="569">
        <f t="shared" si="16"/>
        <v>2720.22</v>
      </c>
      <c r="AB42" s="569">
        <f t="shared" si="16"/>
        <v>2740.51</v>
      </c>
      <c r="AC42" s="569">
        <f t="shared" si="16"/>
        <v>2760.8</v>
      </c>
      <c r="AD42" s="569">
        <f t="shared" si="16"/>
        <v>2781.09</v>
      </c>
      <c r="AE42" s="569">
        <f t="shared" si="16"/>
        <v>2801.38</v>
      </c>
      <c r="AF42" s="569">
        <f t="shared" si="16"/>
        <v>2821.67</v>
      </c>
      <c r="AG42" s="569">
        <f t="shared" si="16"/>
        <v>2841.96</v>
      </c>
      <c r="AH42" s="569">
        <f t="shared" si="12"/>
        <v>2862.25</v>
      </c>
      <c r="AI42" s="569">
        <f t="shared" si="12"/>
        <v>2882.54</v>
      </c>
      <c r="AJ42" s="569">
        <f t="shared" si="14"/>
        <v>2902.83</v>
      </c>
      <c r="AK42" s="569">
        <f t="shared" si="15"/>
        <v>2923.12</v>
      </c>
      <c r="AL42" s="649"/>
    </row>
    <row r="43" spans="1:16377">
      <c r="A43" s="531" t="s">
        <v>78</v>
      </c>
      <c r="C43" s="531" t="s">
        <v>79</v>
      </c>
      <c r="D43" s="531" t="s">
        <v>45</v>
      </c>
      <c r="E43" s="532" t="s">
        <v>27</v>
      </c>
      <c r="F43" s="531" t="s">
        <v>57</v>
      </c>
      <c r="H43" s="681" t="s">
        <v>80</v>
      </c>
      <c r="I43" s="665">
        <v>6.4</v>
      </c>
      <c r="J43" s="533">
        <v>17.8</v>
      </c>
      <c r="K43" s="569">
        <v>15.850000000000136</v>
      </c>
      <c r="L43" s="569">
        <v>1583.59</v>
      </c>
      <c r="M43" s="569">
        <f t="shared" si="4"/>
        <v>1599.44</v>
      </c>
      <c r="N43" s="569">
        <f t="shared" si="16"/>
        <v>1615.29</v>
      </c>
      <c r="O43" s="569">
        <f t="shared" si="16"/>
        <v>1631.14</v>
      </c>
      <c r="P43" s="569">
        <f t="shared" si="16"/>
        <v>1646.99</v>
      </c>
      <c r="Q43" s="569">
        <f t="shared" si="16"/>
        <v>1662.84</v>
      </c>
      <c r="R43" s="569">
        <f t="shared" si="16"/>
        <v>1678.69</v>
      </c>
      <c r="S43" s="569">
        <f t="shared" si="16"/>
        <v>1694.54</v>
      </c>
      <c r="T43" s="569">
        <f t="shared" si="16"/>
        <v>1710.39</v>
      </c>
      <c r="U43" s="569">
        <f t="shared" si="16"/>
        <v>1726.24</v>
      </c>
      <c r="V43" s="569">
        <f t="shared" si="16"/>
        <v>1742.09</v>
      </c>
      <c r="W43" s="569">
        <f t="shared" si="16"/>
        <v>1757.94</v>
      </c>
      <c r="X43" s="569">
        <f t="shared" si="16"/>
        <v>1773.79</v>
      </c>
      <c r="Y43" s="569">
        <f t="shared" si="16"/>
        <v>1789.64</v>
      </c>
      <c r="Z43" s="569">
        <f t="shared" si="16"/>
        <v>1805.49</v>
      </c>
      <c r="AA43" s="569">
        <f t="shared" si="16"/>
        <v>1821.34</v>
      </c>
      <c r="AB43" s="569">
        <f t="shared" si="16"/>
        <v>1837.19</v>
      </c>
      <c r="AC43" s="569">
        <f t="shared" si="16"/>
        <v>1853.04</v>
      </c>
      <c r="AD43" s="569">
        <f t="shared" si="16"/>
        <v>1868.89</v>
      </c>
      <c r="AE43" s="569">
        <f t="shared" si="16"/>
        <v>1884.74</v>
      </c>
      <c r="AF43" s="569">
        <f t="shared" si="16"/>
        <v>1900.59</v>
      </c>
      <c r="AG43" s="569">
        <f t="shared" si="16"/>
        <v>1916.44</v>
      </c>
      <c r="AH43" s="569">
        <f t="shared" si="12"/>
        <v>1932.29</v>
      </c>
      <c r="AI43" s="569">
        <f t="shared" si="12"/>
        <v>1948.14</v>
      </c>
      <c r="AJ43" s="569">
        <f t="shared" si="14"/>
        <v>1963.99</v>
      </c>
      <c r="AK43" s="569">
        <f t="shared" si="15"/>
        <v>1979.84</v>
      </c>
      <c r="AL43" s="649"/>
    </row>
    <row r="44" spans="1:16377" s="573" customFormat="1">
      <c r="A44" s="570" t="s">
        <v>81</v>
      </c>
      <c r="B44" s="572"/>
      <c r="C44" s="570" t="s">
        <v>79</v>
      </c>
      <c r="D44" s="570" t="s">
        <v>45</v>
      </c>
      <c r="E44" s="571" t="s">
        <v>82</v>
      </c>
      <c r="F44" s="570" t="s">
        <v>23</v>
      </c>
      <c r="G44" s="570"/>
      <c r="H44" s="681"/>
      <c r="I44" s="567">
        <v>6.4</v>
      </c>
      <c r="J44" s="568">
        <v>9.4</v>
      </c>
      <c r="K44" s="569">
        <v>9.9200000000000728</v>
      </c>
      <c r="L44" s="569">
        <v>1177.28</v>
      </c>
      <c r="M44" s="569">
        <f t="shared" si="4"/>
        <v>1187.2</v>
      </c>
      <c r="N44" s="569">
        <f t="shared" si="16"/>
        <v>1197.1199999999999</v>
      </c>
      <c r="O44" s="569">
        <f t="shared" si="16"/>
        <v>1207.04</v>
      </c>
      <c r="P44" s="569">
        <f t="shared" si="16"/>
        <v>1216.96</v>
      </c>
      <c r="Q44" s="569">
        <f t="shared" si="16"/>
        <v>1226.8800000000001</v>
      </c>
      <c r="R44" s="569">
        <f t="shared" si="16"/>
        <v>1236.8</v>
      </c>
      <c r="S44" s="569">
        <f t="shared" si="16"/>
        <v>1246.72</v>
      </c>
      <c r="T44" s="569">
        <f t="shared" si="16"/>
        <v>1256.6400000000001</v>
      </c>
      <c r="U44" s="569">
        <f t="shared" si="16"/>
        <v>1266.56</v>
      </c>
      <c r="V44" s="569">
        <f t="shared" si="16"/>
        <v>1276.48</v>
      </c>
      <c r="W44" s="569">
        <f t="shared" si="16"/>
        <v>1286.4000000000001</v>
      </c>
      <c r="X44" s="569">
        <f t="shared" si="16"/>
        <v>1296.32</v>
      </c>
      <c r="Y44" s="569">
        <f t="shared" si="16"/>
        <v>1306.24</v>
      </c>
      <c r="Z44" s="569">
        <f t="shared" si="16"/>
        <v>1316.16</v>
      </c>
      <c r="AA44" s="569">
        <f t="shared" si="16"/>
        <v>1326.08</v>
      </c>
      <c r="AB44" s="569">
        <f t="shared" si="16"/>
        <v>1336</v>
      </c>
      <c r="AC44" s="569">
        <f t="shared" si="16"/>
        <v>1345.92</v>
      </c>
      <c r="AD44" s="569">
        <f t="shared" si="16"/>
        <v>1355.84</v>
      </c>
      <c r="AE44" s="569">
        <f t="shared" si="16"/>
        <v>1365.76</v>
      </c>
      <c r="AF44" s="569">
        <f t="shared" si="16"/>
        <v>1375.68</v>
      </c>
      <c r="AG44" s="569">
        <f t="shared" si="16"/>
        <v>1385.6</v>
      </c>
      <c r="AH44" s="569">
        <f t="shared" si="12"/>
        <v>1395.52</v>
      </c>
      <c r="AI44" s="569">
        <f t="shared" si="12"/>
        <v>1405.44</v>
      </c>
      <c r="AJ44" s="569">
        <f t="shared" si="14"/>
        <v>1415.36</v>
      </c>
      <c r="AK44" s="569">
        <f t="shared" si="15"/>
        <v>1425.28</v>
      </c>
      <c r="AL44" s="649"/>
    </row>
    <row r="45" spans="1:16377" s="573" customFormat="1">
      <c r="A45" s="564" t="s">
        <v>83</v>
      </c>
      <c r="B45" s="594"/>
      <c r="C45" s="564" t="s">
        <v>79</v>
      </c>
      <c r="D45" s="564" t="s">
        <v>45</v>
      </c>
      <c r="E45" s="565" t="s">
        <v>25</v>
      </c>
      <c r="F45" s="564" t="s">
        <v>23</v>
      </c>
      <c r="G45" s="564"/>
      <c r="H45" s="689"/>
      <c r="I45" s="567">
        <v>6.4</v>
      </c>
      <c r="J45" s="573">
        <v>31.6</v>
      </c>
      <c r="K45" s="569">
        <v>34.619999999999891</v>
      </c>
      <c r="L45" s="569">
        <v>3530.75</v>
      </c>
      <c r="M45" s="569">
        <f t="shared" si="4"/>
        <v>3565.37</v>
      </c>
      <c r="N45" s="569">
        <f t="shared" si="16"/>
        <v>3599.99</v>
      </c>
      <c r="O45" s="569">
        <f t="shared" si="16"/>
        <v>3634.61</v>
      </c>
      <c r="P45" s="569">
        <f t="shared" si="16"/>
        <v>3669.23</v>
      </c>
      <c r="Q45" s="569">
        <f t="shared" si="16"/>
        <v>3703.85</v>
      </c>
      <c r="R45" s="569">
        <f t="shared" si="16"/>
        <v>3738.47</v>
      </c>
      <c r="S45" s="569">
        <f t="shared" si="16"/>
        <v>3773.09</v>
      </c>
      <c r="T45" s="569">
        <f t="shared" si="16"/>
        <v>3807.71</v>
      </c>
      <c r="U45" s="569">
        <f t="shared" si="16"/>
        <v>3842.33</v>
      </c>
      <c r="V45" s="569">
        <f t="shared" si="16"/>
        <v>3876.95</v>
      </c>
      <c r="W45" s="569">
        <f t="shared" si="16"/>
        <v>3911.57</v>
      </c>
      <c r="X45" s="569">
        <f t="shared" si="16"/>
        <v>3946.19</v>
      </c>
      <c r="Y45" s="569">
        <f t="shared" si="16"/>
        <v>3980.81</v>
      </c>
      <c r="Z45" s="569">
        <f t="shared" si="16"/>
        <v>4015.43</v>
      </c>
      <c r="AA45" s="569">
        <f t="shared" si="16"/>
        <v>4050.05</v>
      </c>
      <c r="AB45" s="569">
        <f t="shared" si="16"/>
        <v>4084.67</v>
      </c>
      <c r="AC45" s="569">
        <f t="shared" si="16"/>
        <v>4119.29</v>
      </c>
      <c r="AD45" s="569">
        <f t="shared" si="16"/>
        <v>4153.91</v>
      </c>
      <c r="AE45" s="569">
        <f t="shared" si="16"/>
        <v>4188.53</v>
      </c>
      <c r="AF45" s="569">
        <f t="shared" si="16"/>
        <v>4223.1499999999996</v>
      </c>
      <c r="AG45" s="569">
        <f t="shared" si="16"/>
        <v>4257.7700000000004</v>
      </c>
      <c r="AH45" s="569">
        <f t="shared" si="12"/>
        <v>4292.3900000000003</v>
      </c>
      <c r="AI45" s="569">
        <f t="shared" si="12"/>
        <v>4327.01</v>
      </c>
      <c r="AJ45" s="569">
        <f t="shared" si="14"/>
        <v>4361.63</v>
      </c>
      <c r="AK45" s="569">
        <f t="shared" si="15"/>
        <v>4396.25</v>
      </c>
      <c r="AL45" s="649"/>
    </row>
    <row r="46" spans="1:16377" s="573" customFormat="1">
      <c r="A46" s="570" t="s">
        <v>84</v>
      </c>
      <c r="B46" s="572"/>
      <c r="C46" s="570" t="s">
        <v>79</v>
      </c>
      <c r="D46" s="570" t="s">
        <v>45</v>
      </c>
      <c r="E46" s="571" t="s">
        <v>31</v>
      </c>
      <c r="F46" s="570" t="s">
        <v>23</v>
      </c>
      <c r="G46" s="570"/>
      <c r="H46" s="681"/>
      <c r="I46" s="567">
        <v>6.4</v>
      </c>
      <c r="J46" s="573">
        <v>31.6</v>
      </c>
      <c r="K46" s="569">
        <v>32.190000000000055</v>
      </c>
      <c r="L46" s="569">
        <v>3283.39</v>
      </c>
      <c r="M46" s="569">
        <f t="shared" si="4"/>
        <v>3315.58</v>
      </c>
      <c r="N46" s="569">
        <f t="shared" si="16"/>
        <v>3347.77</v>
      </c>
      <c r="O46" s="569">
        <f t="shared" si="16"/>
        <v>3379.96</v>
      </c>
      <c r="P46" s="569">
        <f t="shared" si="16"/>
        <v>3412.15</v>
      </c>
      <c r="Q46" s="569">
        <f t="shared" si="16"/>
        <v>3444.34</v>
      </c>
      <c r="R46" s="569">
        <f t="shared" si="16"/>
        <v>3476.53</v>
      </c>
      <c r="S46" s="569">
        <f t="shared" si="16"/>
        <v>3508.72</v>
      </c>
      <c r="T46" s="569">
        <f t="shared" si="16"/>
        <v>3540.91</v>
      </c>
      <c r="U46" s="569">
        <f t="shared" si="16"/>
        <v>3573.1</v>
      </c>
      <c r="V46" s="569">
        <f t="shared" si="16"/>
        <v>3605.29</v>
      </c>
      <c r="W46" s="569">
        <f t="shared" si="16"/>
        <v>3637.48</v>
      </c>
      <c r="X46" s="569">
        <f t="shared" si="16"/>
        <v>3669.67</v>
      </c>
      <c r="Y46" s="569">
        <f t="shared" si="16"/>
        <v>3701.86</v>
      </c>
      <c r="Z46" s="569">
        <f t="shared" si="16"/>
        <v>3734.05</v>
      </c>
      <c r="AA46" s="569">
        <f t="shared" si="16"/>
        <v>3766.24</v>
      </c>
      <c r="AB46" s="569">
        <f t="shared" si="16"/>
        <v>3798.43</v>
      </c>
      <c r="AC46" s="569">
        <f t="shared" si="16"/>
        <v>3830.62</v>
      </c>
      <c r="AD46" s="569">
        <f t="shared" si="16"/>
        <v>3862.81</v>
      </c>
      <c r="AE46" s="569">
        <f t="shared" si="16"/>
        <v>3895</v>
      </c>
      <c r="AF46" s="569">
        <f t="shared" si="16"/>
        <v>3927.19</v>
      </c>
      <c r="AG46" s="569">
        <f t="shared" si="16"/>
        <v>3959.38</v>
      </c>
      <c r="AH46" s="569">
        <f t="shared" si="12"/>
        <v>3991.57</v>
      </c>
      <c r="AI46" s="569">
        <f t="shared" si="12"/>
        <v>4023.76</v>
      </c>
      <c r="AJ46" s="569">
        <f t="shared" si="14"/>
        <v>4055.95</v>
      </c>
      <c r="AK46" s="569">
        <f t="shared" si="15"/>
        <v>4088.14</v>
      </c>
      <c r="AL46" s="649"/>
    </row>
    <row r="47" spans="1:16377" s="573" customFormat="1">
      <c r="A47" s="570" t="s">
        <v>85</v>
      </c>
      <c r="B47" s="572"/>
      <c r="C47" s="570" t="s">
        <v>79</v>
      </c>
      <c r="D47" s="570" t="s">
        <v>45</v>
      </c>
      <c r="E47" s="571" t="s">
        <v>31</v>
      </c>
      <c r="F47" s="570" t="s">
        <v>23</v>
      </c>
      <c r="G47" s="570"/>
      <c r="H47" s="681"/>
      <c r="I47" s="567">
        <v>6.4</v>
      </c>
      <c r="J47" s="568">
        <v>15.8</v>
      </c>
      <c r="K47" s="569">
        <v>16.579999999999927</v>
      </c>
      <c r="L47" s="569">
        <v>1515.33</v>
      </c>
      <c r="M47" s="569">
        <f t="shared" si="4"/>
        <v>1531.91</v>
      </c>
      <c r="N47" s="569">
        <f t="shared" si="16"/>
        <v>1548.49</v>
      </c>
      <c r="O47" s="569">
        <f t="shared" si="16"/>
        <v>1565.07</v>
      </c>
      <c r="P47" s="569">
        <f t="shared" si="16"/>
        <v>1581.65</v>
      </c>
      <c r="Q47" s="569">
        <f t="shared" si="16"/>
        <v>1598.23</v>
      </c>
      <c r="R47" s="569">
        <f t="shared" si="16"/>
        <v>1614.81</v>
      </c>
      <c r="S47" s="569">
        <f t="shared" si="16"/>
        <v>1631.39</v>
      </c>
      <c r="T47" s="569">
        <f t="shared" si="16"/>
        <v>1647.97</v>
      </c>
      <c r="U47" s="569">
        <f t="shared" si="16"/>
        <v>1664.55</v>
      </c>
      <c r="V47" s="569">
        <f t="shared" si="16"/>
        <v>1681.13</v>
      </c>
      <c r="W47" s="569">
        <f t="shared" si="16"/>
        <v>1697.71</v>
      </c>
      <c r="X47" s="569">
        <f t="shared" si="16"/>
        <v>1714.29</v>
      </c>
      <c r="Y47" s="569">
        <f t="shared" si="16"/>
        <v>1730.87</v>
      </c>
      <c r="Z47" s="569">
        <f t="shared" si="16"/>
        <v>1747.45</v>
      </c>
      <c r="AA47" s="569">
        <f t="shared" si="16"/>
        <v>1764.03</v>
      </c>
      <c r="AB47" s="569">
        <f t="shared" si="16"/>
        <v>1780.61</v>
      </c>
      <c r="AC47" s="569">
        <f t="shared" si="16"/>
        <v>1797.19</v>
      </c>
      <c r="AD47" s="569">
        <f t="shared" si="16"/>
        <v>1813.77</v>
      </c>
      <c r="AE47" s="569">
        <f t="shared" si="16"/>
        <v>1830.35</v>
      </c>
      <c r="AF47" s="569">
        <f t="shared" si="16"/>
        <v>1846.93</v>
      </c>
      <c r="AG47" s="569">
        <f t="shared" si="16"/>
        <v>1863.51</v>
      </c>
      <c r="AH47" s="569">
        <f t="shared" si="12"/>
        <v>1880.09</v>
      </c>
      <c r="AI47" s="569">
        <f t="shared" si="12"/>
        <v>1896.67</v>
      </c>
      <c r="AJ47" s="569">
        <f t="shared" si="14"/>
        <v>1913.25</v>
      </c>
      <c r="AK47" s="569">
        <f t="shared" si="15"/>
        <v>1929.83</v>
      </c>
      <c r="AL47" s="649"/>
    </row>
    <row r="48" spans="1:16377">
      <c r="A48" s="531" t="s">
        <v>86</v>
      </c>
      <c r="C48" s="531" t="s">
        <v>79</v>
      </c>
      <c r="D48" s="531" t="s">
        <v>45</v>
      </c>
      <c r="E48" s="532" t="s">
        <v>39</v>
      </c>
      <c r="F48" s="531" t="s">
        <v>23</v>
      </c>
      <c r="G48" s="566" t="s">
        <v>87</v>
      </c>
      <c r="H48" s="681" t="s">
        <v>88</v>
      </c>
      <c r="I48" s="665">
        <v>6.4</v>
      </c>
      <c r="J48" s="533">
        <v>15.8</v>
      </c>
      <c r="K48" s="569">
        <v>15.24</v>
      </c>
      <c r="L48" s="569">
        <v>1522.68</v>
      </c>
      <c r="M48" s="569">
        <f t="shared" si="4"/>
        <v>1537.92</v>
      </c>
      <c r="N48" s="569">
        <f t="shared" si="16"/>
        <v>1553.16</v>
      </c>
      <c r="O48" s="569">
        <f t="shared" si="16"/>
        <v>1568.4</v>
      </c>
      <c r="P48" s="569">
        <f t="shared" si="16"/>
        <v>1583.64</v>
      </c>
      <c r="Q48" s="569">
        <f t="shared" si="16"/>
        <v>1598.88</v>
      </c>
      <c r="R48" s="569">
        <f t="shared" si="16"/>
        <v>1614.12</v>
      </c>
      <c r="S48" s="569">
        <f t="shared" si="16"/>
        <v>1629.36</v>
      </c>
      <c r="T48" s="569">
        <f t="shared" si="16"/>
        <v>1644.6</v>
      </c>
      <c r="U48" s="569">
        <f t="shared" si="16"/>
        <v>1659.84</v>
      </c>
      <c r="V48" s="569">
        <f t="shared" si="16"/>
        <v>1675.08</v>
      </c>
      <c r="W48" s="569">
        <f t="shared" si="16"/>
        <v>1690.32</v>
      </c>
      <c r="X48" s="569">
        <f t="shared" si="16"/>
        <v>1705.56</v>
      </c>
      <c r="Y48" s="569">
        <f t="shared" si="16"/>
        <v>1720.8</v>
      </c>
      <c r="Z48" s="569">
        <f t="shared" si="16"/>
        <v>1736.04</v>
      </c>
      <c r="AA48" s="569">
        <f t="shared" si="16"/>
        <v>1751.28</v>
      </c>
      <c r="AB48" s="569">
        <f t="shared" si="16"/>
        <v>1766.52</v>
      </c>
      <c r="AC48" s="569">
        <f t="shared" si="16"/>
        <v>1781.76</v>
      </c>
      <c r="AD48" s="569">
        <f t="shared" si="16"/>
        <v>1797</v>
      </c>
      <c r="AE48" s="569">
        <f t="shared" si="16"/>
        <v>1812.24</v>
      </c>
      <c r="AF48" s="569">
        <f t="shared" si="16"/>
        <v>1827.48</v>
      </c>
      <c r="AG48" s="569">
        <f t="shared" si="16"/>
        <v>1842.72</v>
      </c>
      <c r="AH48" s="569">
        <f t="shared" si="12"/>
        <v>1857.96</v>
      </c>
      <c r="AI48" s="569">
        <f t="shared" si="12"/>
        <v>1873.2</v>
      </c>
      <c r="AJ48" s="569">
        <f t="shared" si="14"/>
        <v>1888.44</v>
      </c>
      <c r="AK48" s="569">
        <f t="shared" si="15"/>
        <v>1903.68</v>
      </c>
      <c r="AL48" s="612">
        <f>L48+$J48*($AL$10-$L$10)/1000</f>
        <v>1886.08</v>
      </c>
    </row>
    <row r="49" spans="1:38" s="573" customFormat="1">
      <c r="A49" s="564" t="s">
        <v>86</v>
      </c>
      <c r="B49" s="594"/>
      <c r="C49" s="564" t="s">
        <v>79</v>
      </c>
      <c r="D49" s="564" t="s">
        <v>45</v>
      </c>
      <c r="E49" s="565" t="s">
        <v>25</v>
      </c>
      <c r="F49" s="564" t="s">
        <v>23</v>
      </c>
      <c r="G49" s="564" t="s">
        <v>40</v>
      </c>
      <c r="H49" s="689"/>
      <c r="I49" s="567">
        <v>6.4</v>
      </c>
      <c r="J49" s="573">
        <v>15.8</v>
      </c>
      <c r="K49" s="569">
        <v>17.279999999999973</v>
      </c>
      <c r="L49" s="569">
        <v>1716.48</v>
      </c>
      <c r="M49" s="569">
        <f t="shared" si="4"/>
        <v>1733.76</v>
      </c>
      <c r="N49" s="569">
        <f t="shared" si="16"/>
        <v>1751.04</v>
      </c>
      <c r="O49" s="569">
        <f t="shared" si="16"/>
        <v>1768.32</v>
      </c>
      <c r="P49" s="569">
        <f t="shared" si="16"/>
        <v>1785.6</v>
      </c>
      <c r="Q49" s="569">
        <f t="shared" si="16"/>
        <v>1802.88</v>
      </c>
      <c r="R49" s="569">
        <f t="shared" si="16"/>
        <v>1820.16</v>
      </c>
      <c r="S49" s="569">
        <f t="shared" si="16"/>
        <v>1837.44</v>
      </c>
      <c r="T49" s="569">
        <f t="shared" si="16"/>
        <v>1854.72</v>
      </c>
      <c r="U49" s="569">
        <f t="shared" si="16"/>
        <v>1872</v>
      </c>
      <c r="V49" s="569">
        <f t="shared" si="16"/>
        <v>1889.28</v>
      </c>
      <c r="W49" s="569">
        <f t="shared" si="16"/>
        <v>1906.56</v>
      </c>
      <c r="X49" s="569">
        <f t="shared" si="16"/>
        <v>1923.84</v>
      </c>
      <c r="Y49" s="569">
        <f t="shared" si="16"/>
        <v>1941.12</v>
      </c>
      <c r="Z49" s="569">
        <f t="shared" si="16"/>
        <v>1958.4</v>
      </c>
      <c r="AA49" s="569">
        <f t="shared" si="16"/>
        <v>1975.68</v>
      </c>
      <c r="AB49" s="569">
        <f t="shared" si="16"/>
        <v>1992.96</v>
      </c>
      <c r="AC49" s="569">
        <f t="shared" si="16"/>
        <v>2010.24</v>
      </c>
      <c r="AD49" s="569">
        <f t="shared" si="16"/>
        <v>2027.52</v>
      </c>
      <c r="AE49" s="569">
        <f t="shared" si="16"/>
        <v>2044.8</v>
      </c>
      <c r="AF49" s="569">
        <f t="shared" si="16"/>
        <v>2062.08</v>
      </c>
      <c r="AG49" s="569">
        <f t="shared" si="16"/>
        <v>2079.36</v>
      </c>
      <c r="AH49" s="569">
        <f t="shared" si="12"/>
        <v>2096.64</v>
      </c>
      <c r="AI49" s="569">
        <f t="shared" si="12"/>
        <v>2113.92</v>
      </c>
      <c r="AJ49" s="569">
        <f t="shared" si="14"/>
        <v>2131.1999999999998</v>
      </c>
      <c r="AK49" s="569">
        <f t="shared" si="15"/>
        <v>2148.48</v>
      </c>
      <c r="AL49" s="649"/>
    </row>
    <row r="50" spans="1:38" s="573" customFormat="1">
      <c r="A50" s="469" t="s">
        <v>86</v>
      </c>
      <c r="B50" s="595"/>
      <c r="C50" s="469" t="s">
        <v>79</v>
      </c>
      <c r="D50" s="469" t="s">
        <v>45</v>
      </c>
      <c r="E50" s="666" t="s">
        <v>22</v>
      </c>
      <c r="F50" s="469" t="s">
        <v>23</v>
      </c>
      <c r="G50" s="469"/>
      <c r="H50" s="689"/>
      <c r="I50" s="567">
        <v>6.4</v>
      </c>
      <c r="J50" s="573">
        <v>15.8</v>
      </c>
      <c r="K50" s="569">
        <v>17.920000000000073</v>
      </c>
      <c r="L50" s="569">
        <v>1771.65</v>
      </c>
      <c r="M50" s="569">
        <f t="shared" si="4"/>
        <v>1789.57</v>
      </c>
      <c r="N50" s="569">
        <f t="shared" si="16"/>
        <v>1807.49</v>
      </c>
      <c r="O50" s="569">
        <f t="shared" si="16"/>
        <v>1825.41</v>
      </c>
      <c r="P50" s="569">
        <f t="shared" si="16"/>
        <v>1843.33</v>
      </c>
      <c r="Q50" s="569">
        <f t="shared" si="16"/>
        <v>1861.25</v>
      </c>
      <c r="R50" s="569">
        <f t="shared" si="16"/>
        <v>1879.17</v>
      </c>
      <c r="S50" s="569">
        <f t="shared" si="16"/>
        <v>1897.09</v>
      </c>
      <c r="T50" s="569">
        <f t="shared" si="16"/>
        <v>1915.01</v>
      </c>
      <c r="U50" s="569">
        <f t="shared" si="16"/>
        <v>1932.93</v>
      </c>
      <c r="V50" s="569">
        <f t="shared" si="16"/>
        <v>1950.85</v>
      </c>
      <c r="W50" s="569">
        <f t="shared" si="16"/>
        <v>1968.77</v>
      </c>
      <c r="X50" s="569">
        <f t="shared" si="16"/>
        <v>1986.69</v>
      </c>
      <c r="Y50" s="569">
        <f t="shared" si="16"/>
        <v>2004.61</v>
      </c>
      <c r="Z50" s="569">
        <f t="shared" si="16"/>
        <v>2022.53</v>
      </c>
      <c r="AA50" s="569">
        <f t="shared" si="16"/>
        <v>2040.45</v>
      </c>
      <c r="AB50" s="569">
        <f t="shared" si="16"/>
        <v>2058.37</v>
      </c>
      <c r="AC50" s="569">
        <f t="shared" si="16"/>
        <v>2076.29</v>
      </c>
      <c r="AD50" s="569">
        <f t="shared" si="16"/>
        <v>2094.21</v>
      </c>
      <c r="AE50" s="569">
        <f t="shared" si="16"/>
        <v>2112.13</v>
      </c>
      <c r="AF50" s="569">
        <f t="shared" si="16"/>
        <v>2130.0500000000002</v>
      </c>
      <c r="AG50" s="569">
        <f t="shared" si="16"/>
        <v>2147.9699999999998</v>
      </c>
      <c r="AH50" s="569">
        <f t="shared" si="12"/>
        <v>2165.89</v>
      </c>
      <c r="AI50" s="569">
        <f t="shared" si="12"/>
        <v>2183.81</v>
      </c>
      <c r="AJ50" s="569">
        <f t="shared" si="14"/>
        <v>2201.73</v>
      </c>
      <c r="AK50" s="569">
        <f t="shared" si="15"/>
        <v>2219.65</v>
      </c>
      <c r="AL50" s="649"/>
    </row>
    <row r="51" spans="1:38" s="573" customFormat="1">
      <c r="A51" s="574" t="s">
        <v>89</v>
      </c>
      <c r="B51" s="596"/>
      <c r="C51" s="574" t="s">
        <v>79</v>
      </c>
      <c r="D51" s="574" t="s">
        <v>90</v>
      </c>
      <c r="E51" s="575" t="s">
        <v>31</v>
      </c>
      <c r="F51" s="574" t="s">
        <v>91</v>
      </c>
      <c r="G51" s="574"/>
      <c r="H51" s="681"/>
      <c r="I51" s="567">
        <v>6.4</v>
      </c>
      <c r="J51" s="573">
        <v>14.5</v>
      </c>
      <c r="K51" s="569">
        <v>17.279999999999973</v>
      </c>
      <c r="L51" s="569">
        <v>1488.19</v>
      </c>
      <c r="M51" s="569">
        <f t="shared" si="4"/>
        <v>1505.47</v>
      </c>
      <c r="N51" s="569">
        <f t="shared" si="16"/>
        <v>1522.75</v>
      </c>
      <c r="O51" s="569">
        <f t="shared" si="16"/>
        <v>1540.03</v>
      </c>
      <c r="P51" s="569">
        <f t="shared" si="16"/>
        <v>1557.31</v>
      </c>
      <c r="Q51" s="569">
        <f t="shared" si="16"/>
        <v>1574.59</v>
      </c>
      <c r="R51" s="569">
        <f t="shared" si="16"/>
        <v>1591.87</v>
      </c>
      <c r="S51" s="569">
        <f t="shared" si="16"/>
        <v>1609.15</v>
      </c>
      <c r="T51" s="569">
        <f t="shared" si="16"/>
        <v>1626.43</v>
      </c>
      <c r="U51" s="569">
        <f t="shared" si="16"/>
        <v>1643.71</v>
      </c>
      <c r="V51" s="569">
        <f t="shared" si="16"/>
        <v>1660.99</v>
      </c>
      <c r="W51" s="569">
        <f t="shared" si="16"/>
        <v>1678.27</v>
      </c>
      <c r="X51" s="569">
        <f t="shared" si="16"/>
        <v>1695.55</v>
      </c>
      <c r="Y51" s="569">
        <f t="shared" si="16"/>
        <v>1712.83</v>
      </c>
      <c r="Z51" s="569">
        <f t="shared" si="16"/>
        <v>1730.11</v>
      </c>
      <c r="AA51" s="569">
        <f t="shared" si="16"/>
        <v>1747.39</v>
      </c>
      <c r="AB51" s="569">
        <f t="shared" si="16"/>
        <v>1764.67</v>
      </c>
      <c r="AC51" s="569">
        <f t="shared" si="16"/>
        <v>1781.95</v>
      </c>
      <c r="AD51" s="569">
        <f t="shared" si="16"/>
        <v>1799.23</v>
      </c>
      <c r="AE51" s="569">
        <f t="shared" si="16"/>
        <v>1816.51</v>
      </c>
      <c r="AF51" s="569">
        <f t="shared" si="16"/>
        <v>1833.79</v>
      </c>
      <c r="AG51" s="569">
        <f t="shared" si="16"/>
        <v>1851.07</v>
      </c>
      <c r="AH51" s="569">
        <f t="shared" si="12"/>
        <v>1868.35</v>
      </c>
      <c r="AI51" s="569">
        <f t="shared" si="12"/>
        <v>1885.63</v>
      </c>
      <c r="AJ51" s="569">
        <f t="shared" si="14"/>
        <v>1902.91</v>
      </c>
      <c r="AK51" s="569">
        <f t="shared" si="15"/>
        <v>1920.19</v>
      </c>
      <c r="AL51" s="649"/>
    </row>
    <row r="52" spans="1:38" s="573" customFormat="1">
      <c r="A52" s="570" t="s">
        <v>92</v>
      </c>
      <c r="B52" s="572"/>
      <c r="C52" s="570" t="s">
        <v>79</v>
      </c>
      <c r="D52" s="570" t="s">
        <v>90</v>
      </c>
      <c r="E52" s="571" t="s">
        <v>39</v>
      </c>
      <c r="F52" s="570" t="s">
        <v>91</v>
      </c>
      <c r="G52" s="570"/>
      <c r="H52" s="681"/>
      <c r="I52" s="567">
        <v>6.4</v>
      </c>
      <c r="J52" s="573">
        <v>14.5</v>
      </c>
      <c r="K52" s="569">
        <v>17.019999999999982</v>
      </c>
      <c r="L52" s="569">
        <v>1521.6</v>
      </c>
      <c r="M52" s="569">
        <f t="shared" si="4"/>
        <v>1538.62</v>
      </c>
      <c r="N52" s="569">
        <f t="shared" ref="N52:AG66" si="18">ROUND(M52+$K52,2)</f>
        <v>1555.64</v>
      </c>
      <c r="O52" s="569">
        <f t="shared" si="18"/>
        <v>1572.66</v>
      </c>
      <c r="P52" s="569">
        <f t="shared" si="18"/>
        <v>1589.68</v>
      </c>
      <c r="Q52" s="569">
        <f t="shared" si="18"/>
        <v>1606.7</v>
      </c>
      <c r="R52" s="569">
        <f t="shared" si="18"/>
        <v>1623.72</v>
      </c>
      <c r="S52" s="569">
        <f t="shared" si="18"/>
        <v>1640.74</v>
      </c>
      <c r="T52" s="569">
        <f t="shared" si="18"/>
        <v>1657.76</v>
      </c>
      <c r="U52" s="569">
        <f t="shared" si="18"/>
        <v>1674.78</v>
      </c>
      <c r="V52" s="569">
        <f t="shared" si="18"/>
        <v>1691.8</v>
      </c>
      <c r="W52" s="569">
        <f t="shared" si="18"/>
        <v>1708.82</v>
      </c>
      <c r="X52" s="569">
        <f t="shared" si="18"/>
        <v>1725.84</v>
      </c>
      <c r="Y52" s="569">
        <f t="shared" si="18"/>
        <v>1742.86</v>
      </c>
      <c r="Z52" s="569">
        <f t="shared" si="18"/>
        <v>1759.88</v>
      </c>
      <c r="AA52" s="569">
        <f t="shared" si="18"/>
        <v>1776.9</v>
      </c>
      <c r="AB52" s="569">
        <f t="shared" si="18"/>
        <v>1793.92</v>
      </c>
      <c r="AC52" s="569">
        <f t="shared" si="18"/>
        <v>1810.94</v>
      </c>
      <c r="AD52" s="569">
        <f t="shared" si="18"/>
        <v>1827.96</v>
      </c>
      <c r="AE52" s="569">
        <f t="shared" si="18"/>
        <v>1844.98</v>
      </c>
      <c r="AF52" s="569">
        <f t="shared" si="18"/>
        <v>1862</v>
      </c>
      <c r="AG52" s="569">
        <f t="shared" si="18"/>
        <v>1879.02</v>
      </c>
      <c r="AH52" s="569">
        <f t="shared" si="12"/>
        <v>1896.04</v>
      </c>
      <c r="AI52" s="569">
        <f t="shared" si="12"/>
        <v>1913.06</v>
      </c>
      <c r="AJ52" s="569">
        <f t="shared" si="14"/>
        <v>1930.08</v>
      </c>
      <c r="AK52" s="569">
        <f t="shared" si="15"/>
        <v>1947.1</v>
      </c>
      <c r="AL52" s="649"/>
    </row>
    <row r="53" spans="1:38" s="573" customFormat="1">
      <c r="A53" s="570" t="s">
        <v>93</v>
      </c>
      <c r="B53" s="572"/>
      <c r="C53" s="570" t="s">
        <v>79</v>
      </c>
      <c r="D53" s="570" t="s">
        <v>90</v>
      </c>
      <c r="E53" s="571" t="s">
        <v>39</v>
      </c>
      <c r="F53" s="570" t="s">
        <v>91</v>
      </c>
      <c r="G53" s="570"/>
      <c r="H53" s="681"/>
      <c r="I53" s="567">
        <v>6.4</v>
      </c>
      <c r="J53" s="573">
        <v>15.2</v>
      </c>
      <c r="K53" s="569">
        <v>17.210000000000036</v>
      </c>
      <c r="L53" s="569">
        <v>1542.78</v>
      </c>
      <c r="M53" s="569">
        <f t="shared" si="4"/>
        <v>1559.99</v>
      </c>
      <c r="N53" s="569">
        <f t="shared" si="18"/>
        <v>1577.2</v>
      </c>
      <c r="O53" s="569">
        <f t="shared" si="18"/>
        <v>1594.41</v>
      </c>
      <c r="P53" s="569">
        <f t="shared" si="18"/>
        <v>1611.62</v>
      </c>
      <c r="Q53" s="569">
        <f t="shared" si="18"/>
        <v>1628.83</v>
      </c>
      <c r="R53" s="569">
        <f t="shared" si="18"/>
        <v>1646.04</v>
      </c>
      <c r="S53" s="569">
        <f t="shared" si="18"/>
        <v>1663.25</v>
      </c>
      <c r="T53" s="569">
        <f t="shared" si="18"/>
        <v>1680.46</v>
      </c>
      <c r="U53" s="569">
        <f t="shared" si="18"/>
        <v>1697.67</v>
      </c>
      <c r="V53" s="569">
        <f t="shared" si="18"/>
        <v>1714.88</v>
      </c>
      <c r="W53" s="569">
        <f t="shared" si="18"/>
        <v>1732.09</v>
      </c>
      <c r="X53" s="569">
        <f t="shared" si="18"/>
        <v>1749.3</v>
      </c>
      <c r="Y53" s="569">
        <f t="shared" si="18"/>
        <v>1766.51</v>
      </c>
      <c r="Z53" s="569">
        <f t="shared" si="18"/>
        <v>1783.72</v>
      </c>
      <c r="AA53" s="569">
        <f t="shared" si="18"/>
        <v>1800.93</v>
      </c>
      <c r="AB53" s="569">
        <f t="shared" si="18"/>
        <v>1818.14</v>
      </c>
      <c r="AC53" s="569">
        <f t="shared" si="18"/>
        <v>1835.35</v>
      </c>
      <c r="AD53" s="569">
        <f t="shared" si="18"/>
        <v>1852.56</v>
      </c>
      <c r="AE53" s="569">
        <f t="shared" si="18"/>
        <v>1869.77</v>
      </c>
      <c r="AF53" s="569">
        <f t="shared" si="18"/>
        <v>1886.98</v>
      </c>
      <c r="AG53" s="569">
        <f t="shared" si="18"/>
        <v>1904.19</v>
      </c>
      <c r="AH53" s="569">
        <f t="shared" ref="AH53:AI68" si="19">ROUND(AG53+$K53,2)</f>
        <v>1921.4</v>
      </c>
      <c r="AI53" s="569">
        <f t="shared" si="19"/>
        <v>1938.61</v>
      </c>
      <c r="AJ53" s="569">
        <f t="shared" si="14"/>
        <v>1955.82</v>
      </c>
      <c r="AK53" s="569">
        <f t="shared" si="15"/>
        <v>1973.03</v>
      </c>
      <c r="AL53" s="649"/>
    </row>
    <row r="54" spans="1:38" s="573" customFormat="1">
      <c r="A54" s="564" t="s">
        <v>94</v>
      </c>
      <c r="B54" s="594"/>
      <c r="C54" s="564" t="s">
        <v>79</v>
      </c>
      <c r="D54" s="564" t="s">
        <v>90</v>
      </c>
      <c r="E54" s="565" t="s">
        <v>95</v>
      </c>
      <c r="F54" s="564" t="s">
        <v>96</v>
      </c>
      <c r="G54" s="564"/>
      <c r="H54" s="689"/>
      <c r="I54" s="567">
        <v>6.4</v>
      </c>
      <c r="J54" s="568">
        <v>15.2</v>
      </c>
      <c r="K54" s="569">
        <v>18.179999999999836</v>
      </c>
      <c r="L54" s="569">
        <v>1578.82</v>
      </c>
      <c r="M54" s="569">
        <f t="shared" si="4"/>
        <v>1597</v>
      </c>
      <c r="N54" s="569">
        <f t="shared" si="18"/>
        <v>1615.18</v>
      </c>
      <c r="O54" s="569">
        <f t="shared" si="18"/>
        <v>1633.36</v>
      </c>
      <c r="P54" s="569">
        <f t="shared" si="18"/>
        <v>1651.54</v>
      </c>
      <c r="Q54" s="569">
        <f t="shared" si="18"/>
        <v>1669.72</v>
      </c>
      <c r="R54" s="569">
        <f t="shared" si="18"/>
        <v>1687.9</v>
      </c>
      <c r="S54" s="569">
        <f t="shared" si="18"/>
        <v>1706.08</v>
      </c>
      <c r="T54" s="569">
        <f t="shared" si="18"/>
        <v>1724.26</v>
      </c>
      <c r="U54" s="569">
        <f t="shared" si="18"/>
        <v>1742.44</v>
      </c>
      <c r="V54" s="569">
        <f t="shared" si="18"/>
        <v>1760.62</v>
      </c>
      <c r="W54" s="569">
        <f t="shared" si="18"/>
        <v>1778.8</v>
      </c>
      <c r="X54" s="569">
        <f t="shared" si="18"/>
        <v>1796.98</v>
      </c>
      <c r="Y54" s="569">
        <f t="shared" si="18"/>
        <v>1815.16</v>
      </c>
      <c r="Z54" s="569">
        <f t="shared" si="18"/>
        <v>1833.34</v>
      </c>
      <c r="AA54" s="569">
        <f t="shared" si="18"/>
        <v>1851.52</v>
      </c>
      <c r="AB54" s="569">
        <f t="shared" si="18"/>
        <v>1869.7</v>
      </c>
      <c r="AC54" s="569">
        <f t="shared" si="18"/>
        <v>1887.88</v>
      </c>
      <c r="AD54" s="569">
        <f t="shared" si="18"/>
        <v>1906.06</v>
      </c>
      <c r="AE54" s="569">
        <f t="shared" si="18"/>
        <v>1924.24</v>
      </c>
      <c r="AF54" s="569">
        <f t="shared" si="18"/>
        <v>1942.42</v>
      </c>
      <c r="AG54" s="569">
        <f t="shared" si="18"/>
        <v>1960.6</v>
      </c>
      <c r="AH54" s="569">
        <f t="shared" si="19"/>
        <v>1978.78</v>
      </c>
      <c r="AI54" s="569">
        <f t="shared" si="19"/>
        <v>1996.96</v>
      </c>
      <c r="AJ54" s="569">
        <f t="shared" si="14"/>
        <v>2015.14</v>
      </c>
      <c r="AK54" s="569">
        <f t="shared" si="15"/>
        <v>2033.32</v>
      </c>
      <c r="AL54" s="649"/>
    </row>
    <row r="55" spans="1:38" s="573" customFormat="1">
      <c r="A55" s="469" t="s">
        <v>94</v>
      </c>
      <c r="B55" s="594"/>
      <c r="C55" s="469" t="s">
        <v>79</v>
      </c>
      <c r="D55" s="469" t="s">
        <v>90</v>
      </c>
      <c r="E55" s="666" t="s">
        <v>97</v>
      </c>
      <c r="F55" s="564" t="s">
        <v>96</v>
      </c>
      <c r="G55" s="564"/>
      <c r="H55" s="689"/>
      <c r="I55" s="567">
        <v>6.4</v>
      </c>
      <c r="J55" s="568">
        <v>15.2</v>
      </c>
      <c r="K55" s="569">
        <v>18.179999999999836</v>
      </c>
      <c r="L55" s="569">
        <v>1578.82</v>
      </c>
      <c r="M55" s="569">
        <f t="shared" si="4"/>
        <v>1597</v>
      </c>
      <c r="N55" s="569">
        <f t="shared" si="18"/>
        <v>1615.18</v>
      </c>
      <c r="O55" s="569">
        <f t="shared" si="18"/>
        <v>1633.36</v>
      </c>
      <c r="P55" s="569">
        <f t="shared" si="18"/>
        <v>1651.54</v>
      </c>
      <c r="Q55" s="569">
        <f t="shared" si="18"/>
        <v>1669.72</v>
      </c>
      <c r="R55" s="569">
        <f t="shared" si="18"/>
        <v>1687.9</v>
      </c>
      <c r="S55" s="569">
        <f t="shared" si="18"/>
        <v>1706.08</v>
      </c>
      <c r="T55" s="569">
        <f t="shared" si="18"/>
        <v>1724.26</v>
      </c>
      <c r="U55" s="569">
        <f t="shared" si="18"/>
        <v>1742.44</v>
      </c>
      <c r="V55" s="569">
        <f t="shared" si="18"/>
        <v>1760.62</v>
      </c>
      <c r="W55" s="569">
        <f t="shared" si="18"/>
        <v>1778.8</v>
      </c>
      <c r="X55" s="569">
        <f t="shared" si="18"/>
        <v>1796.98</v>
      </c>
      <c r="Y55" s="569">
        <f t="shared" si="18"/>
        <v>1815.16</v>
      </c>
      <c r="Z55" s="569">
        <f t="shared" si="18"/>
        <v>1833.34</v>
      </c>
      <c r="AA55" s="569">
        <f t="shared" si="18"/>
        <v>1851.52</v>
      </c>
      <c r="AB55" s="569">
        <f t="shared" si="18"/>
        <v>1869.7</v>
      </c>
      <c r="AC55" s="569">
        <f t="shared" si="18"/>
        <v>1887.88</v>
      </c>
      <c r="AD55" s="569">
        <f t="shared" si="18"/>
        <v>1906.06</v>
      </c>
      <c r="AE55" s="569">
        <f t="shared" si="18"/>
        <v>1924.24</v>
      </c>
      <c r="AF55" s="569">
        <f t="shared" si="18"/>
        <v>1942.42</v>
      </c>
      <c r="AG55" s="569">
        <f t="shared" si="18"/>
        <v>1960.6</v>
      </c>
      <c r="AH55" s="569">
        <f t="shared" si="19"/>
        <v>1978.78</v>
      </c>
      <c r="AI55" s="569">
        <f t="shared" si="19"/>
        <v>1996.96</v>
      </c>
      <c r="AJ55" s="569">
        <f t="shared" si="14"/>
        <v>2015.14</v>
      </c>
      <c r="AK55" s="569">
        <f t="shared" si="15"/>
        <v>2033.32</v>
      </c>
      <c r="AL55" s="649"/>
    </row>
    <row r="56" spans="1:38" s="573" customFormat="1">
      <c r="A56" s="564" t="s">
        <v>98</v>
      </c>
      <c r="B56" s="594"/>
      <c r="C56" s="564" t="s">
        <v>79</v>
      </c>
      <c r="D56" s="564" t="s">
        <v>90</v>
      </c>
      <c r="E56" s="565" t="s">
        <v>95</v>
      </c>
      <c r="F56" s="564" t="s">
        <v>96</v>
      </c>
      <c r="G56" s="564"/>
      <c r="H56" s="689"/>
      <c r="I56" s="567">
        <v>6.4</v>
      </c>
      <c r="J56" s="568">
        <v>30.4</v>
      </c>
      <c r="K56" s="569">
        <v>38.650000000000091</v>
      </c>
      <c r="L56" s="569">
        <v>3371.58</v>
      </c>
      <c r="M56" s="569">
        <f t="shared" si="4"/>
        <v>3410.23</v>
      </c>
      <c r="N56" s="569">
        <f t="shared" si="18"/>
        <v>3448.88</v>
      </c>
      <c r="O56" s="569">
        <f t="shared" si="18"/>
        <v>3487.53</v>
      </c>
      <c r="P56" s="569">
        <f t="shared" si="18"/>
        <v>3526.18</v>
      </c>
      <c r="Q56" s="569">
        <f t="shared" si="18"/>
        <v>3564.83</v>
      </c>
      <c r="R56" s="569">
        <f t="shared" si="18"/>
        <v>3603.48</v>
      </c>
      <c r="S56" s="569">
        <f t="shared" si="18"/>
        <v>3642.13</v>
      </c>
      <c r="T56" s="569">
        <f t="shared" si="18"/>
        <v>3680.78</v>
      </c>
      <c r="U56" s="569">
        <f t="shared" si="18"/>
        <v>3719.43</v>
      </c>
      <c r="V56" s="569">
        <f t="shared" si="18"/>
        <v>3758.08</v>
      </c>
      <c r="W56" s="569">
        <f t="shared" si="18"/>
        <v>3796.73</v>
      </c>
      <c r="X56" s="569">
        <f t="shared" si="18"/>
        <v>3835.38</v>
      </c>
      <c r="Y56" s="569">
        <f t="shared" si="18"/>
        <v>3874.03</v>
      </c>
      <c r="Z56" s="569">
        <f t="shared" si="18"/>
        <v>3912.68</v>
      </c>
      <c r="AA56" s="569">
        <f t="shared" si="18"/>
        <v>3951.33</v>
      </c>
      <c r="AB56" s="569">
        <f t="shared" si="18"/>
        <v>3989.98</v>
      </c>
      <c r="AC56" s="569">
        <f t="shared" si="18"/>
        <v>4028.63</v>
      </c>
      <c r="AD56" s="569">
        <f t="shared" si="18"/>
        <v>4067.28</v>
      </c>
      <c r="AE56" s="569">
        <f t="shared" si="18"/>
        <v>4105.93</v>
      </c>
      <c r="AF56" s="569">
        <f t="shared" si="18"/>
        <v>4144.58</v>
      </c>
      <c r="AG56" s="569">
        <f t="shared" si="18"/>
        <v>4183.2299999999996</v>
      </c>
      <c r="AH56" s="569">
        <f t="shared" si="19"/>
        <v>4221.88</v>
      </c>
      <c r="AI56" s="569">
        <f t="shared" si="19"/>
        <v>4260.53</v>
      </c>
      <c r="AJ56" s="569">
        <f t="shared" si="14"/>
        <v>4299.18</v>
      </c>
      <c r="AK56" s="569">
        <f t="shared" si="15"/>
        <v>4337.83</v>
      </c>
      <c r="AL56" s="649"/>
    </row>
    <row r="57" spans="1:38" s="573" customFormat="1">
      <c r="A57" s="469" t="s">
        <v>99</v>
      </c>
      <c r="B57" s="595"/>
      <c r="C57" s="570" t="s">
        <v>79</v>
      </c>
      <c r="D57" s="570" t="s">
        <v>100</v>
      </c>
      <c r="E57" s="571" t="s">
        <v>101</v>
      </c>
      <c r="F57" s="570" t="s">
        <v>23</v>
      </c>
      <c r="G57" s="570"/>
      <c r="H57" s="681"/>
      <c r="I57" s="567">
        <v>6.4</v>
      </c>
      <c r="J57" s="568"/>
      <c r="K57" s="569">
        <v>44.090000000000146</v>
      </c>
      <c r="L57" s="569">
        <v>5624.83</v>
      </c>
      <c r="M57" s="569">
        <f t="shared" si="4"/>
        <v>5668.92</v>
      </c>
      <c r="N57" s="569">
        <f t="shared" si="18"/>
        <v>5713.01</v>
      </c>
      <c r="O57" s="569">
        <f t="shared" si="18"/>
        <v>5757.1</v>
      </c>
      <c r="P57" s="569">
        <f t="shared" si="18"/>
        <v>5801.19</v>
      </c>
      <c r="Q57" s="569">
        <f t="shared" si="18"/>
        <v>5845.28</v>
      </c>
      <c r="R57" s="569">
        <f t="shared" si="18"/>
        <v>5889.37</v>
      </c>
      <c r="S57" s="569">
        <f t="shared" si="18"/>
        <v>5933.46</v>
      </c>
      <c r="T57" s="569">
        <f t="shared" si="18"/>
        <v>5977.55</v>
      </c>
      <c r="U57" s="569">
        <f t="shared" si="18"/>
        <v>6021.64</v>
      </c>
      <c r="V57" s="569">
        <f t="shared" si="18"/>
        <v>6065.73</v>
      </c>
      <c r="W57" s="569">
        <f t="shared" si="18"/>
        <v>6109.82</v>
      </c>
      <c r="X57" s="569">
        <f t="shared" si="18"/>
        <v>6153.91</v>
      </c>
      <c r="Y57" s="569">
        <f t="shared" si="18"/>
        <v>6198</v>
      </c>
      <c r="Z57" s="569">
        <f t="shared" si="18"/>
        <v>6242.09</v>
      </c>
      <c r="AA57" s="569">
        <f t="shared" si="18"/>
        <v>6286.18</v>
      </c>
      <c r="AB57" s="569">
        <f t="shared" si="18"/>
        <v>6330.27</v>
      </c>
      <c r="AC57" s="569">
        <f t="shared" si="18"/>
        <v>6374.36</v>
      </c>
      <c r="AD57" s="569">
        <f t="shared" si="18"/>
        <v>6418.45</v>
      </c>
      <c r="AE57" s="569">
        <f t="shared" si="18"/>
        <v>6462.54</v>
      </c>
      <c r="AF57" s="569">
        <f t="shared" si="18"/>
        <v>6506.63</v>
      </c>
      <c r="AG57" s="569">
        <f t="shared" si="18"/>
        <v>6550.72</v>
      </c>
      <c r="AH57" s="569">
        <f t="shared" si="19"/>
        <v>6594.81</v>
      </c>
      <c r="AI57" s="569">
        <f t="shared" si="19"/>
        <v>6638.9</v>
      </c>
      <c r="AJ57" s="569">
        <f t="shared" si="14"/>
        <v>6682.99</v>
      </c>
      <c r="AK57" s="569">
        <f t="shared" si="15"/>
        <v>6727.08</v>
      </c>
      <c r="AL57" s="649"/>
    </row>
    <row r="58" spans="1:38" s="556" customFormat="1">
      <c r="A58" s="552" t="s">
        <v>102</v>
      </c>
      <c r="B58" s="552"/>
      <c r="C58" s="552" t="s">
        <v>103</v>
      </c>
      <c r="D58" s="552" t="s">
        <v>104</v>
      </c>
      <c r="E58" s="553" t="s">
        <v>39</v>
      </c>
      <c r="F58" s="552" t="s">
        <v>23</v>
      </c>
      <c r="G58" s="552"/>
      <c r="H58" s="682" t="s">
        <v>105</v>
      </c>
      <c r="I58" s="555">
        <v>6.4</v>
      </c>
      <c r="J58" s="556">
        <v>35.6</v>
      </c>
      <c r="K58" s="557">
        <v>35.650000000000546</v>
      </c>
      <c r="L58" s="557">
        <v>4342.8500000000004</v>
      </c>
      <c r="M58" s="557">
        <f t="shared" si="4"/>
        <v>4378.5</v>
      </c>
      <c r="N58" s="557">
        <f t="shared" si="18"/>
        <v>4414.1499999999996</v>
      </c>
      <c r="O58" s="557">
        <f t="shared" si="18"/>
        <v>4449.8</v>
      </c>
      <c r="P58" s="557">
        <f t="shared" si="18"/>
        <v>4485.45</v>
      </c>
      <c r="Q58" s="557">
        <f t="shared" si="18"/>
        <v>4521.1000000000004</v>
      </c>
      <c r="R58" s="557">
        <f t="shared" si="18"/>
        <v>4556.75</v>
      </c>
      <c r="S58" s="557">
        <f t="shared" si="18"/>
        <v>4592.3999999999996</v>
      </c>
      <c r="T58" s="557">
        <f t="shared" si="18"/>
        <v>4628.05</v>
      </c>
      <c r="U58" s="557">
        <f t="shared" si="18"/>
        <v>4663.7</v>
      </c>
      <c r="V58" s="557">
        <f t="shared" si="18"/>
        <v>4699.3500000000004</v>
      </c>
      <c r="W58" s="557">
        <f t="shared" si="18"/>
        <v>4735</v>
      </c>
      <c r="X58" s="557">
        <f t="shared" si="18"/>
        <v>4770.6499999999996</v>
      </c>
      <c r="Y58" s="557">
        <f t="shared" si="18"/>
        <v>4806.3</v>
      </c>
      <c r="Z58" s="557">
        <f t="shared" si="18"/>
        <v>4841.95</v>
      </c>
      <c r="AA58" s="557">
        <f t="shared" si="18"/>
        <v>4877.6000000000004</v>
      </c>
      <c r="AB58" s="557">
        <f t="shared" si="18"/>
        <v>4913.25</v>
      </c>
      <c r="AC58" s="557">
        <f t="shared" si="18"/>
        <v>4948.8999999999996</v>
      </c>
      <c r="AD58" s="557">
        <f t="shared" si="18"/>
        <v>4984.55</v>
      </c>
      <c r="AE58" s="557">
        <f t="shared" si="18"/>
        <v>5020.2</v>
      </c>
      <c r="AF58" s="557">
        <f t="shared" si="18"/>
        <v>5055.8500000000004</v>
      </c>
      <c r="AG58" s="557">
        <f t="shared" si="18"/>
        <v>5091.5</v>
      </c>
      <c r="AH58" s="557">
        <f t="shared" si="19"/>
        <v>5127.1499999999996</v>
      </c>
      <c r="AI58" s="557">
        <f t="shared" si="19"/>
        <v>5162.8</v>
      </c>
      <c r="AJ58" s="557">
        <f t="shared" si="14"/>
        <v>5198.45</v>
      </c>
      <c r="AK58" s="557">
        <f t="shared" si="15"/>
        <v>5234.1000000000004</v>
      </c>
      <c r="AL58" s="612"/>
    </row>
    <row r="59" spans="1:38" s="562" customFormat="1">
      <c r="A59" s="558" t="s">
        <v>102</v>
      </c>
      <c r="B59" s="558"/>
      <c r="C59" s="558" t="s">
        <v>103</v>
      </c>
      <c r="D59" s="558" t="s">
        <v>104</v>
      </c>
      <c r="E59" s="559" t="s">
        <v>39</v>
      </c>
      <c r="F59" s="558" t="s">
        <v>23</v>
      </c>
      <c r="G59" s="558"/>
      <c r="H59" s="690" t="s">
        <v>105</v>
      </c>
      <c r="I59" s="561">
        <v>6.4</v>
      </c>
      <c r="J59" s="562">
        <v>35.6</v>
      </c>
      <c r="K59" s="563">
        <f>ROUND(K58*0.99,2)</f>
        <v>35.29</v>
      </c>
      <c r="L59" s="563">
        <f>ROUND(L58*0.99,2)</f>
        <v>4299.42</v>
      </c>
      <c r="M59" s="563">
        <f>L59+$K59</f>
        <v>4334.71</v>
      </c>
      <c r="N59" s="563">
        <f t="shared" ref="N59:AG59" si="20">M59+$K59</f>
        <v>4370</v>
      </c>
      <c r="O59" s="563">
        <f t="shared" si="20"/>
        <v>4405.29</v>
      </c>
      <c r="P59" s="563">
        <f t="shared" si="20"/>
        <v>4440.58</v>
      </c>
      <c r="Q59" s="563">
        <f t="shared" si="20"/>
        <v>4475.87</v>
      </c>
      <c r="R59" s="563">
        <f t="shared" si="20"/>
        <v>4511.16</v>
      </c>
      <c r="S59" s="563">
        <f t="shared" si="20"/>
        <v>4546.45</v>
      </c>
      <c r="T59" s="563">
        <f t="shared" si="20"/>
        <v>4581.74</v>
      </c>
      <c r="U59" s="563">
        <f t="shared" si="20"/>
        <v>4617.03</v>
      </c>
      <c r="V59" s="563">
        <f t="shared" si="20"/>
        <v>4652.32</v>
      </c>
      <c r="W59" s="563">
        <f t="shared" si="20"/>
        <v>4687.6099999999997</v>
      </c>
      <c r="X59" s="563">
        <f t="shared" si="20"/>
        <v>4722.8999999999996</v>
      </c>
      <c r="Y59" s="563">
        <f t="shared" si="20"/>
        <v>4758.1899999999996</v>
      </c>
      <c r="Z59" s="563">
        <f t="shared" si="20"/>
        <v>4793.4799999999996</v>
      </c>
      <c r="AA59" s="563">
        <f t="shared" si="20"/>
        <v>4828.7699999999995</v>
      </c>
      <c r="AB59" s="563">
        <f t="shared" si="20"/>
        <v>4864.0599999999995</v>
      </c>
      <c r="AC59" s="563">
        <f t="shared" si="20"/>
        <v>4899.3499999999995</v>
      </c>
      <c r="AD59" s="563">
        <f t="shared" si="20"/>
        <v>4934.6399999999994</v>
      </c>
      <c r="AE59" s="563">
        <f t="shared" si="20"/>
        <v>4969.9299999999994</v>
      </c>
      <c r="AF59" s="563">
        <f t="shared" si="20"/>
        <v>5005.2199999999993</v>
      </c>
      <c r="AG59" s="563">
        <f t="shared" si="20"/>
        <v>5040.5099999999993</v>
      </c>
      <c r="AH59" s="563">
        <f t="shared" ref="AH59" si="21">AG59+$K59</f>
        <v>5075.7999999999993</v>
      </c>
      <c r="AI59" s="563">
        <f t="shared" ref="AI59" si="22">AH59+$K59</f>
        <v>5111.0899999999992</v>
      </c>
      <c r="AJ59" s="563">
        <f t="shared" ref="AJ59" si="23">AI59+$K59</f>
        <v>5146.3799999999992</v>
      </c>
      <c r="AK59" s="563">
        <f t="shared" ref="AK59" si="24">AJ59+$K59</f>
        <v>5181.6699999999992</v>
      </c>
      <c r="AL59" s="612"/>
    </row>
    <row r="60" spans="1:38" s="573" customFormat="1">
      <c r="A60" s="564" t="s">
        <v>102</v>
      </c>
      <c r="B60" s="564"/>
      <c r="C60" s="564" t="s">
        <v>103</v>
      </c>
      <c r="D60" s="564" t="s">
        <v>104</v>
      </c>
      <c r="E60" s="565" t="s">
        <v>106</v>
      </c>
      <c r="F60" s="564" t="s">
        <v>23</v>
      </c>
      <c r="G60" s="564"/>
      <c r="H60" s="681" t="s">
        <v>107</v>
      </c>
      <c r="I60" s="567">
        <v>6.4</v>
      </c>
      <c r="J60" s="568">
        <v>35.6</v>
      </c>
      <c r="K60" s="569">
        <v>35.970000000000255</v>
      </c>
      <c r="L60" s="569">
        <v>4629.76</v>
      </c>
      <c r="M60" s="569">
        <f t="shared" si="4"/>
        <v>4665.7299999999996</v>
      </c>
      <c r="N60" s="569">
        <f t="shared" si="18"/>
        <v>4701.7</v>
      </c>
      <c r="O60" s="569">
        <f t="shared" si="18"/>
        <v>4737.67</v>
      </c>
      <c r="P60" s="569">
        <f t="shared" si="18"/>
        <v>4773.6400000000003</v>
      </c>
      <c r="Q60" s="569">
        <f t="shared" si="18"/>
        <v>4809.6099999999997</v>
      </c>
      <c r="R60" s="569">
        <f t="shared" si="18"/>
        <v>4845.58</v>
      </c>
      <c r="S60" s="569">
        <f t="shared" si="18"/>
        <v>4881.55</v>
      </c>
      <c r="T60" s="569">
        <f t="shared" si="18"/>
        <v>4917.5200000000004</v>
      </c>
      <c r="U60" s="569">
        <f t="shared" si="18"/>
        <v>4953.49</v>
      </c>
      <c r="V60" s="569">
        <f t="shared" si="18"/>
        <v>4989.46</v>
      </c>
      <c r="W60" s="569">
        <f t="shared" si="18"/>
        <v>5025.43</v>
      </c>
      <c r="X60" s="569">
        <f t="shared" si="18"/>
        <v>5061.3999999999996</v>
      </c>
      <c r="Y60" s="569">
        <f t="shared" si="18"/>
        <v>5097.37</v>
      </c>
      <c r="Z60" s="569">
        <f t="shared" si="18"/>
        <v>5133.34</v>
      </c>
      <c r="AA60" s="569">
        <f t="shared" si="18"/>
        <v>5169.3100000000004</v>
      </c>
      <c r="AB60" s="569">
        <f t="shared" si="18"/>
        <v>5205.28</v>
      </c>
      <c r="AC60" s="569">
        <f t="shared" si="18"/>
        <v>5241.25</v>
      </c>
      <c r="AD60" s="569">
        <f t="shared" si="18"/>
        <v>5277.22</v>
      </c>
      <c r="AE60" s="569">
        <f t="shared" si="18"/>
        <v>5313.19</v>
      </c>
      <c r="AF60" s="569">
        <f t="shared" si="18"/>
        <v>5349.16</v>
      </c>
      <c r="AG60" s="569">
        <f t="shared" si="18"/>
        <v>5385.13</v>
      </c>
      <c r="AH60" s="569">
        <f t="shared" si="19"/>
        <v>5421.1</v>
      </c>
      <c r="AI60" s="569">
        <f t="shared" si="19"/>
        <v>5457.07</v>
      </c>
      <c r="AJ60" s="569">
        <f t="shared" ref="AJ60:AJ78" si="25">ROUND(AI60+$K60,2)</f>
        <v>5493.04</v>
      </c>
      <c r="AK60" s="569">
        <f t="shared" ref="AK60:AK78" si="26">ROUND(AJ60+$K60,2)</f>
        <v>5529.01</v>
      </c>
      <c r="AL60" s="612"/>
    </row>
    <row r="61" spans="1:38" s="573" customFormat="1">
      <c r="A61" s="570" t="s">
        <v>102</v>
      </c>
      <c r="B61" s="570"/>
      <c r="C61" s="570" t="s">
        <v>103</v>
      </c>
      <c r="D61" s="570" t="s">
        <v>104</v>
      </c>
      <c r="E61" s="571" t="s">
        <v>101</v>
      </c>
      <c r="F61" s="570" t="s">
        <v>23</v>
      </c>
      <c r="G61" s="570"/>
      <c r="H61" s="681"/>
      <c r="I61" s="567">
        <v>6.4</v>
      </c>
      <c r="J61" s="573">
        <v>35.6</v>
      </c>
      <c r="K61" s="569">
        <v>37.119999999999891</v>
      </c>
      <c r="L61" s="569">
        <v>4770.88</v>
      </c>
      <c r="M61" s="569">
        <f t="shared" si="4"/>
        <v>4808</v>
      </c>
      <c r="N61" s="569">
        <f t="shared" si="18"/>
        <v>4845.12</v>
      </c>
      <c r="O61" s="569">
        <f t="shared" si="18"/>
        <v>4882.24</v>
      </c>
      <c r="P61" s="569">
        <f t="shared" si="18"/>
        <v>4919.3599999999997</v>
      </c>
      <c r="Q61" s="569">
        <f t="shared" si="18"/>
        <v>4956.4799999999996</v>
      </c>
      <c r="R61" s="569">
        <f t="shared" si="18"/>
        <v>4993.6000000000004</v>
      </c>
      <c r="S61" s="569">
        <f t="shared" si="18"/>
        <v>5030.72</v>
      </c>
      <c r="T61" s="569">
        <f t="shared" si="18"/>
        <v>5067.84</v>
      </c>
      <c r="U61" s="569">
        <f t="shared" si="18"/>
        <v>5104.96</v>
      </c>
      <c r="V61" s="569">
        <f t="shared" si="18"/>
        <v>5142.08</v>
      </c>
      <c r="W61" s="569">
        <f t="shared" si="18"/>
        <v>5179.2</v>
      </c>
      <c r="X61" s="569">
        <f t="shared" si="18"/>
        <v>5216.32</v>
      </c>
      <c r="Y61" s="569">
        <f t="shared" si="18"/>
        <v>5253.44</v>
      </c>
      <c r="Z61" s="569">
        <f t="shared" si="18"/>
        <v>5290.56</v>
      </c>
      <c r="AA61" s="569">
        <f t="shared" si="18"/>
        <v>5327.68</v>
      </c>
      <c r="AB61" s="569">
        <f t="shared" si="18"/>
        <v>5364.8</v>
      </c>
      <c r="AC61" s="569">
        <f t="shared" si="18"/>
        <v>5401.92</v>
      </c>
      <c r="AD61" s="569">
        <f t="shared" si="18"/>
        <v>5439.04</v>
      </c>
      <c r="AE61" s="569">
        <f t="shared" si="18"/>
        <v>5476.16</v>
      </c>
      <c r="AF61" s="569">
        <f t="shared" si="18"/>
        <v>5513.28</v>
      </c>
      <c r="AG61" s="569">
        <f t="shared" si="18"/>
        <v>5550.4</v>
      </c>
      <c r="AH61" s="569">
        <f t="shared" si="19"/>
        <v>5587.52</v>
      </c>
      <c r="AI61" s="569">
        <f t="shared" si="19"/>
        <v>5624.64</v>
      </c>
      <c r="AJ61" s="569">
        <f t="shared" si="25"/>
        <v>5661.76</v>
      </c>
      <c r="AK61" s="569">
        <f t="shared" si="26"/>
        <v>5698.88</v>
      </c>
      <c r="AL61" s="612"/>
    </row>
    <row r="62" spans="1:38" s="556" customFormat="1">
      <c r="A62" s="552" t="s">
        <v>108</v>
      </c>
      <c r="B62" s="552"/>
      <c r="C62" s="552" t="s">
        <v>103</v>
      </c>
      <c r="D62" s="552" t="s">
        <v>104</v>
      </c>
      <c r="E62" s="553" t="s">
        <v>39</v>
      </c>
      <c r="F62" s="552" t="s">
        <v>23</v>
      </c>
      <c r="G62" s="552"/>
      <c r="H62" s="682" t="s">
        <v>109</v>
      </c>
      <c r="I62" s="555">
        <v>6.4</v>
      </c>
      <c r="J62" s="556">
        <v>17.8</v>
      </c>
      <c r="K62" s="557">
        <v>17.210000000000036</v>
      </c>
      <c r="L62" s="557">
        <v>2097.98</v>
      </c>
      <c r="M62" s="557">
        <f t="shared" si="4"/>
        <v>2115.19</v>
      </c>
      <c r="N62" s="557">
        <f t="shared" si="18"/>
        <v>2132.4</v>
      </c>
      <c r="O62" s="557">
        <f t="shared" si="18"/>
        <v>2149.61</v>
      </c>
      <c r="P62" s="557">
        <f t="shared" si="18"/>
        <v>2166.8200000000002</v>
      </c>
      <c r="Q62" s="557">
        <f t="shared" si="18"/>
        <v>2184.0300000000002</v>
      </c>
      <c r="R62" s="557">
        <f t="shared" si="18"/>
        <v>2201.2399999999998</v>
      </c>
      <c r="S62" s="557">
        <f t="shared" si="18"/>
        <v>2218.4499999999998</v>
      </c>
      <c r="T62" s="557">
        <f t="shared" si="18"/>
        <v>2235.66</v>
      </c>
      <c r="U62" s="557">
        <f t="shared" si="18"/>
        <v>2252.87</v>
      </c>
      <c r="V62" s="557">
        <f t="shared" si="18"/>
        <v>2270.08</v>
      </c>
      <c r="W62" s="557">
        <f t="shared" si="18"/>
        <v>2287.29</v>
      </c>
      <c r="X62" s="557">
        <f t="shared" si="18"/>
        <v>2304.5</v>
      </c>
      <c r="Y62" s="557">
        <f t="shared" si="18"/>
        <v>2321.71</v>
      </c>
      <c r="Z62" s="557">
        <f t="shared" si="18"/>
        <v>2338.92</v>
      </c>
      <c r="AA62" s="557">
        <f t="shared" si="18"/>
        <v>2356.13</v>
      </c>
      <c r="AB62" s="557">
        <f t="shared" si="18"/>
        <v>2373.34</v>
      </c>
      <c r="AC62" s="557">
        <f t="shared" si="18"/>
        <v>2390.5500000000002</v>
      </c>
      <c r="AD62" s="557">
        <f t="shared" si="18"/>
        <v>2407.7600000000002</v>
      </c>
      <c r="AE62" s="557">
        <f t="shared" si="18"/>
        <v>2424.9699999999998</v>
      </c>
      <c r="AF62" s="557">
        <f t="shared" si="18"/>
        <v>2442.1799999999998</v>
      </c>
      <c r="AG62" s="557">
        <f t="shared" si="18"/>
        <v>2459.39</v>
      </c>
      <c r="AH62" s="557">
        <f t="shared" si="19"/>
        <v>2476.6</v>
      </c>
      <c r="AI62" s="557">
        <f t="shared" si="19"/>
        <v>2493.81</v>
      </c>
      <c r="AJ62" s="557">
        <f t="shared" si="25"/>
        <v>2511.02</v>
      </c>
      <c r="AK62" s="557">
        <f t="shared" si="26"/>
        <v>2528.23</v>
      </c>
      <c r="AL62" s="612"/>
    </row>
    <row r="63" spans="1:38" s="562" customFormat="1">
      <c r="A63" s="558" t="s">
        <v>108</v>
      </c>
      <c r="B63" s="558"/>
      <c r="C63" s="558" t="s">
        <v>103</v>
      </c>
      <c r="D63" s="558" t="s">
        <v>104</v>
      </c>
      <c r="E63" s="559" t="s">
        <v>39</v>
      </c>
      <c r="F63" s="558" t="s">
        <v>23</v>
      </c>
      <c r="G63" s="558"/>
      <c r="H63" s="690" t="s">
        <v>109</v>
      </c>
      <c r="I63" s="561">
        <v>6.4</v>
      </c>
      <c r="J63" s="562">
        <v>17.8</v>
      </c>
      <c r="K63" s="563">
        <f>ROUND(K62*0.99,2)</f>
        <v>17.04</v>
      </c>
      <c r="L63" s="563">
        <f>ROUND(L62*0.99,2)</f>
        <v>2077</v>
      </c>
      <c r="M63" s="563">
        <f t="shared" ref="M63:AG63" si="27">ROUND(L63+$K63,2)</f>
        <v>2094.04</v>
      </c>
      <c r="N63" s="563">
        <f t="shared" si="27"/>
        <v>2111.08</v>
      </c>
      <c r="O63" s="563">
        <f t="shared" si="27"/>
        <v>2128.12</v>
      </c>
      <c r="P63" s="563">
        <f t="shared" si="27"/>
        <v>2145.16</v>
      </c>
      <c r="Q63" s="563">
        <f t="shared" si="27"/>
        <v>2162.1999999999998</v>
      </c>
      <c r="R63" s="563">
        <f t="shared" si="27"/>
        <v>2179.2399999999998</v>
      </c>
      <c r="S63" s="563">
        <f t="shared" si="27"/>
        <v>2196.2800000000002</v>
      </c>
      <c r="T63" s="563">
        <f t="shared" si="27"/>
        <v>2213.3200000000002</v>
      </c>
      <c r="U63" s="563">
        <f t="shared" si="27"/>
        <v>2230.36</v>
      </c>
      <c r="V63" s="563">
        <f t="shared" si="27"/>
        <v>2247.4</v>
      </c>
      <c r="W63" s="563">
        <f t="shared" si="27"/>
        <v>2264.44</v>
      </c>
      <c r="X63" s="563">
        <f t="shared" si="27"/>
        <v>2281.48</v>
      </c>
      <c r="Y63" s="563">
        <f t="shared" si="27"/>
        <v>2298.52</v>
      </c>
      <c r="Z63" s="563">
        <f t="shared" si="27"/>
        <v>2315.56</v>
      </c>
      <c r="AA63" s="563">
        <f t="shared" si="27"/>
        <v>2332.6</v>
      </c>
      <c r="AB63" s="563">
        <f t="shared" si="27"/>
        <v>2349.64</v>
      </c>
      <c r="AC63" s="563">
        <f t="shared" si="27"/>
        <v>2366.6799999999998</v>
      </c>
      <c r="AD63" s="563">
        <f t="shared" si="27"/>
        <v>2383.7199999999998</v>
      </c>
      <c r="AE63" s="563">
        <f t="shared" si="27"/>
        <v>2400.7600000000002</v>
      </c>
      <c r="AF63" s="563">
        <f t="shared" si="27"/>
        <v>2417.8000000000002</v>
      </c>
      <c r="AG63" s="563">
        <f t="shared" si="27"/>
        <v>2434.84</v>
      </c>
      <c r="AH63" s="563">
        <f t="shared" si="19"/>
        <v>2451.88</v>
      </c>
      <c r="AI63" s="563">
        <f t="shared" si="19"/>
        <v>2468.92</v>
      </c>
      <c r="AJ63" s="563">
        <f t="shared" si="25"/>
        <v>2485.96</v>
      </c>
      <c r="AK63" s="563">
        <f t="shared" si="26"/>
        <v>2503</v>
      </c>
      <c r="AL63" s="612"/>
    </row>
    <row r="64" spans="1:38" s="573" customFormat="1">
      <c r="A64" s="574" t="s">
        <v>108</v>
      </c>
      <c r="B64" s="574">
        <v>23</v>
      </c>
      <c r="C64" s="574" t="s">
        <v>103</v>
      </c>
      <c r="D64" s="574" t="s">
        <v>104</v>
      </c>
      <c r="E64" s="575" t="s">
        <v>106</v>
      </c>
      <c r="F64" s="574" t="s">
        <v>23</v>
      </c>
      <c r="G64" s="574"/>
      <c r="H64" s="681" t="s">
        <v>110</v>
      </c>
      <c r="I64" s="567">
        <v>6.4</v>
      </c>
      <c r="J64" s="573">
        <v>17.8</v>
      </c>
      <c r="K64" s="569">
        <v>17.090000000000146</v>
      </c>
      <c r="L64" s="569">
        <v>2203.52</v>
      </c>
      <c r="M64" s="569">
        <f t="shared" si="4"/>
        <v>2220.61</v>
      </c>
      <c r="N64" s="569">
        <f t="shared" si="18"/>
        <v>2237.6999999999998</v>
      </c>
      <c r="O64" s="569">
        <f t="shared" si="18"/>
        <v>2254.79</v>
      </c>
      <c r="P64" s="569">
        <f t="shared" si="18"/>
        <v>2271.88</v>
      </c>
      <c r="Q64" s="569">
        <f t="shared" si="18"/>
        <v>2288.9699999999998</v>
      </c>
      <c r="R64" s="569">
        <f t="shared" si="18"/>
        <v>2306.06</v>
      </c>
      <c r="S64" s="569">
        <f t="shared" si="18"/>
        <v>2323.15</v>
      </c>
      <c r="T64" s="569">
        <f t="shared" si="18"/>
        <v>2340.2399999999998</v>
      </c>
      <c r="U64" s="569">
        <f t="shared" si="18"/>
        <v>2357.33</v>
      </c>
      <c r="V64" s="569">
        <f t="shared" si="18"/>
        <v>2374.42</v>
      </c>
      <c r="W64" s="569">
        <f t="shared" si="18"/>
        <v>2391.5100000000002</v>
      </c>
      <c r="X64" s="569">
        <f t="shared" si="18"/>
        <v>2408.6</v>
      </c>
      <c r="Y64" s="569">
        <f t="shared" si="18"/>
        <v>2425.69</v>
      </c>
      <c r="Z64" s="569">
        <f t="shared" si="18"/>
        <v>2442.7800000000002</v>
      </c>
      <c r="AA64" s="569">
        <f t="shared" si="18"/>
        <v>2459.87</v>
      </c>
      <c r="AB64" s="569">
        <f t="shared" si="18"/>
        <v>2476.96</v>
      </c>
      <c r="AC64" s="569">
        <f t="shared" si="18"/>
        <v>2494.0500000000002</v>
      </c>
      <c r="AD64" s="569">
        <f t="shared" si="18"/>
        <v>2511.14</v>
      </c>
      <c r="AE64" s="569">
        <f t="shared" si="18"/>
        <v>2528.23</v>
      </c>
      <c r="AF64" s="569">
        <f t="shared" si="18"/>
        <v>2545.3200000000002</v>
      </c>
      <c r="AG64" s="569">
        <f t="shared" si="18"/>
        <v>2562.41</v>
      </c>
      <c r="AH64" s="569">
        <f t="shared" si="19"/>
        <v>2579.5</v>
      </c>
      <c r="AI64" s="569">
        <f t="shared" si="19"/>
        <v>2596.59</v>
      </c>
      <c r="AJ64" s="569">
        <f t="shared" si="25"/>
        <v>2613.6799999999998</v>
      </c>
      <c r="AK64" s="569">
        <f t="shared" si="26"/>
        <v>2630.77</v>
      </c>
      <c r="AL64" s="612"/>
    </row>
    <row r="65" spans="1:38" s="573" customFormat="1">
      <c r="A65" s="570" t="s">
        <v>108</v>
      </c>
      <c r="B65" s="570">
        <v>23</v>
      </c>
      <c r="C65" s="570" t="s">
        <v>103</v>
      </c>
      <c r="D65" s="570" t="s">
        <v>104</v>
      </c>
      <c r="E65" s="571" t="s">
        <v>101</v>
      </c>
      <c r="F65" s="570" t="s">
        <v>23</v>
      </c>
      <c r="G65" s="570"/>
      <c r="H65" s="681" t="s">
        <v>111</v>
      </c>
      <c r="I65" s="567">
        <v>6.4</v>
      </c>
      <c r="J65" s="573">
        <v>17.8</v>
      </c>
      <c r="K65" s="569">
        <v>17.660000000000309</v>
      </c>
      <c r="L65" s="569">
        <v>2271.5500000000002</v>
      </c>
      <c r="M65" s="569">
        <f t="shared" si="4"/>
        <v>2289.21</v>
      </c>
      <c r="N65" s="569">
        <f t="shared" si="18"/>
        <v>2306.87</v>
      </c>
      <c r="O65" s="569">
        <f t="shared" si="18"/>
        <v>2324.5300000000002</v>
      </c>
      <c r="P65" s="569">
        <f t="shared" si="18"/>
        <v>2342.19</v>
      </c>
      <c r="Q65" s="569">
        <f t="shared" si="18"/>
        <v>2359.85</v>
      </c>
      <c r="R65" s="569">
        <f t="shared" si="18"/>
        <v>2377.5100000000002</v>
      </c>
      <c r="S65" s="569">
        <f t="shared" si="18"/>
        <v>2395.17</v>
      </c>
      <c r="T65" s="569">
        <f t="shared" si="18"/>
        <v>2412.83</v>
      </c>
      <c r="U65" s="569">
        <f t="shared" si="18"/>
        <v>2430.4899999999998</v>
      </c>
      <c r="V65" s="569">
        <f t="shared" si="18"/>
        <v>2448.15</v>
      </c>
      <c r="W65" s="569">
        <f t="shared" si="18"/>
        <v>2465.81</v>
      </c>
      <c r="X65" s="569">
        <f t="shared" si="18"/>
        <v>2483.4699999999998</v>
      </c>
      <c r="Y65" s="569">
        <f t="shared" si="18"/>
        <v>2501.13</v>
      </c>
      <c r="Z65" s="569">
        <f t="shared" si="18"/>
        <v>2518.79</v>
      </c>
      <c r="AA65" s="569">
        <f t="shared" si="18"/>
        <v>2536.4499999999998</v>
      </c>
      <c r="AB65" s="569">
        <f t="shared" si="18"/>
        <v>2554.11</v>
      </c>
      <c r="AC65" s="569">
        <f t="shared" si="18"/>
        <v>2571.77</v>
      </c>
      <c r="AD65" s="569">
        <f t="shared" si="18"/>
        <v>2589.4299999999998</v>
      </c>
      <c r="AE65" s="569">
        <f t="shared" si="18"/>
        <v>2607.09</v>
      </c>
      <c r="AF65" s="569">
        <f t="shared" si="18"/>
        <v>2624.75</v>
      </c>
      <c r="AG65" s="569">
        <f t="shared" si="18"/>
        <v>2642.41</v>
      </c>
      <c r="AH65" s="569">
        <f t="shared" si="19"/>
        <v>2660.07</v>
      </c>
      <c r="AI65" s="569">
        <f t="shared" si="19"/>
        <v>2677.73</v>
      </c>
      <c r="AJ65" s="569">
        <f t="shared" si="25"/>
        <v>2695.39</v>
      </c>
      <c r="AK65" s="569">
        <f t="shared" si="26"/>
        <v>2713.05</v>
      </c>
      <c r="AL65" s="612"/>
    </row>
    <row r="66" spans="1:38" s="579" customFormat="1">
      <c r="A66" s="576" t="s">
        <v>112</v>
      </c>
      <c r="B66" s="577"/>
      <c r="C66" s="577" t="s">
        <v>103</v>
      </c>
      <c r="D66" s="577" t="s">
        <v>113</v>
      </c>
      <c r="E66" s="578" t="s">
        <v>39</v>
      </c>
      <c r="F66" s="577" t="s">
        <v>23</v>
      </c>
      <c r="G66" s="577"/>
      <c r="H66" s="691"/>
      <c r="I66" s="580">
        <v>6.4</v>
      </c>
      <c r="J66" s="579">
        <v>17.8</v>
      </c>
      <c r="K66" s="569">
        <v>17.559999999999999</v>
      </c>
      <c r="L66" s="569">
        <v>2139.9499999999998</v>
      </c>
      <c r="M66" s="569">
        <f t="shared" si="4"/>
        <v>2157.5100000000002</v>
      </c>
      <c r="N66" s="569">
        <f t="shared" si="18"/>
        <v>2175.0700000000002</v>
      </c>
      <c r="O66" s="569">
        <f t="shared" si="18"/>
        <v>2192.63</v>
      </c>
      <c r="P66" s="569">
        <f t="shared" si="18"/>
        <v>2210.19</v>
      </c>
      <c r="Q66" s="569">
        <f t="shared" si="18"/>
        <v>2227.75</v>
      </c>
      <c r="R66" s="569">
        <f t="shared" si="18"/>
        <v>2245.31</v>
      </c>
      <c r="S66" s="569">
        <f t="shared" si="18"/>
        <v>2262.87</v>
      </c>
      <c r="T66" s="569">
        <f t="shared" si="18"/>
        <v>2280.4299999999998</v>
      </c>
      <c r="U66" s="569">
        <f t="shared" si="18"/>
        <v>2297.9899999999998</v>
      </c>
      <c r="V66" s="569">
        <f t="shared" si="18"/>
        <v>2315.5500000000002</v>
      </c>
      <c r="W66" s="569">
        <f t="shared" si="18"/>
        <v>2333.11</v>
      </c>
      <c r="X66" s="569">
        <f t="shared" si="18"/>
        <v>2350.67</v>
      </c>
      <c r="Y66" s="569">
        <f t="shared" si="18"/>
        <v>2368.23</v>
      </c>
      <c r="Z66" s="569">
        <f t="shared" si="18"/>
        <v>2385.79</v>
      </c>
      <c r="AA66" s="569">
        <f t="shared" si="18"/>
        <v>2403.35</v>
      </c>
      <c r="AB66" s="569">
        <f t="shared" si="18"/>
        <v>2420.91</v>
      </c>
      <c r="AC66" s="569">
        <f t="shared" ref="N66:AG78" si="28">ROUND(AB66+$K66,2)</f>
        <v>2438.4699999999998</v>
      </c>
      <c r="AD66" s="569">
        <f t="shared" si="28"/>
        <v>2456.0300000000002</v>
      </c>
      <c r="AE66" s="569">
        <f t="shared" si="28"/>
        <v>2473.59</v>
      </c>
      <c r="AF66" s="569">
        <f t="shared" si="28"/>
        <v>2491.15</v>
      </c>
      <c r="AG66" s="569">
        <f t="shared" si="28"/>
        <v>2508.71</v>
      </c>
      <c r="AH66" s="569">
        <f t="shared" si="19"/>
        <v>2526.27</v>
      </c>
      <c r="AI66" s="569">
        <f t="shared" si="19"/>
        <v>2543.83</v>
      </c>
      <c r="AJ66" s="569">
        <f t="shared" si="25"/>
        <v>2561.39</v>
      </c>
      <c r="AK66" s="569">
        <f t="shared" si="26"/>
        <v>2578.9499999999998</v>
      </c>
      <c r="AL66" s="612"/>
    </row>
    <row r="67" spans="1:38" s="573" customFormat="1">
      <c r="A67" s="570" t="s">
        <v>114</v>
      </c>
      <c r="B67" s="572"/>
      <c r="C67" s="570" t="s">
        <v>103</v>
      </c>
      <c r="D67" s="570" t="s">
        <v>113</v>
      </c>
      <c r="E67" s="571" t="s">
        <v>115</v>
      </c>
      <c r="F67" s="570" t="s">
        <v>57</v>
      </c>
      <c r="G67" s="570"/>
      <c r="H67" s="681" t="s">
        <v>116</v>
      </c>
      <c r="I67" s="567">
        <v>6.9</v>
      </c>
      <c r="J67" s="573">
        <v>17.8</v>
      </c>
      <c r="K67" s="569">
        <v>17.43</v>
      </c>
      <c r="L67" s="569">
        <v>2247.59</v>
      </c>
      <c r="M67" s="569">
        <f t="shared" si="4"/>
        <v>2265.02</v>
      </c>
      <c r="N67" s="569">
        <f t="shared" si="28"/>
        <v>2282.4499999999998</v>
      </c>
      <c r="O67" s="569">
        <f t="shared" si="28"/>
        <v>2299.88</v>
      </c>
      <c r="P67" s="569">
        <f t="shared" si="28"/>
        <v>2317.31</v>
      </c>
      <c r="Q67" s="569">
        <f t="shared" si="28"/>
        <v>2334.7399999999998</v>
      </c>
      <c r="R67" s="569">
        <f t="shared" si="28"/>
        <v>2352.17</v>
      </c>
      <c r="S67" s="569">
        <f t="shared" si="28"/>
        <v>2369.6</v>
      </c>
      <c r="T67" s="569">
        <f t="shared" si="28"/>
        <v>2387.0300000000002</v>
      </c>
      <c r="U67" s="569">
        <f t="shared" si="28"/>
        <v>2404.46</v>
      </c>
      <c r="V67" s="569">
        <f t="shared" si="28"/>
        <v>2421.89</v>
      </c>
      <c r="W67" s="569">
        <f t="shared" si="28"/>
        <v>2439.3200000000002</v>
      </c>
      <c r="X67" s="569">
        <f t="shared" si="28"/>
        <v>2456.75</v>
      </c>
      <c r="Y67" s="569">
        <f t="shared" si="28"/>
        <v>2474.1799999999998</v>
      </c>
      <c r="Z67" s="569">
        <f t="shared" si="28"/>
        <v>2491.61</v>
      </c>
      <c r="AA67" s="569">
        <f t="shared" si="28"/>
        <v>2509.04</v>
      </c>
      <c r="AB67" s="569">
        <f t="shared" si="28"/>
        <v>2526.4699999999998</v>
      </c>
      <c r="AC67" s="569">
        <f t="shared" si="28"/>
        <v>2543.9</v>
      </c>
      <c r="AD67" s="569">
        <f t="shared" si="28"/>
        <v>2561.33</v>
      </c>
      <c r="AE67" s="569">
        <f t="shared" si="28"/>
        <v>2578.7600000000002</v>
      </c>
      <c r="AF67" s="569">
        <f t="shared" si="28"/>
        <v>2596.19</v>
      </c>
      <c r="AG67" s="569">
        <f t="shared" si="28"/>
        <v>2613.62</v>
      </c>
      <c r="AH67" s="569">
        <f t="shared" si="19"/>
        <v>2631.05</v>
      </c>
      <c r="AI67" s="569">
        <f t="shared" si="19"/>
        <v>2648.48</v>
      </c>
      <c r="AJ67" s="569">
        <f t="shared" si="25"/>
        <v>2665.91</v>
      </c>
      <c r="AK67" s="569">
        <f t="shared" si="26"/>
        <v>2683.34</v>
      </c>
      <c r="AL67" s="612"/>
    </row>
    <row r="68" spans="1:38" s="573" customFormat="1">
      <c r="A68" s="570" t="s">
        <v>117</v>
      </c>
      <c r="B68" s="572"/>
      <c r="C68" s="570" t="s">
        <v>103</v>
      </c>
      <c r="D68" s="570" t="s">
        <v>113</v>
      </c>
      <c r="E68" s="571" t="s">
        <v>115</v>
      </c>
      <c r="F68" s="570" t="s">
        <v>57</v>
      </c>
      <c r="G68" s="570"/>
      <c r="H68" s="681"/>
      <c r="I68" s="581"/>
      <c r="K68" s="569">
        <v>17.600000000000001</v>
      </c>
      <c r="L68" s="569">
        <v>2274.6099999999974</v>
      </c>
      <c r="M68" s="569">
        <f t="shared" si="4"/>
        <v>2292.21</v>
      </c>
      <c r="N68" s="569">
        <f t="shared" si="28"/>
        <v>2309.81</v>
      </c>
      <c r="O68" s="569">
        <f t="shared" si="28"/>
        <v>2327.41</v>
      </c>
      <c r="P68" s="569">
        <f t="shared" si="28"/>
        <v>2345.0100000000002</v>
      </c>
      <c r="Q68" s="569">
        <f t="shared" si="28"/>
        <v>2362.61</v>
      </c>
      <c r="R68" s="569">
        <f t="shared" si="28"/>
        <v>2380.21</v>
      </c>
      <c r="S68" s="569">
        <f t="shared" si="28"/>
        <v>2397.81</v>
      </c>
      <c r="T68" s="569">
        <f t="shared" si="28"/>
        <v>2415.41</v>
      </c>
      <c r="U68" s="569">
        <f t="shared" si="28"/>
        <v>2433.0100000000002</v>
      </c>
      <c r="V68" s="569">
        <f t="shared" si="28"/>
        <v>2450.61</v>
      </c>
      <c r="W68" s="569">
        <f t="shared" si="28"/>
        <v>2468.21</v>
      </c>
      <c r="X68" s="569">
        <f t="shared" si="28"/>
        <v>2485.81</v>
      </c>
      <c r="Y68" s="569">
        <f t="shared" si="28"/>
        <v>2503.41</v>
      </c>
      <c r="Z68" s="569">
        <f t="shared" si="28"/>
        <v>2521.0100000000002</v>
      </c>
      <c r="AA68" s="569">
        <f t="shared" si="28"/>
        <v>2538.61</v>
      </c>
      <c r="AB68" s="569">
        <f t="shared" si="28"/>
        <v>2556.21</v>
      </c>
      <c r="AC68" s="569">
        <f t="shared" si="28"/>
        <v>2573.81</v>
      </c>
      <c r="AD68" s="569">
        <f t="shared" si="28"/>
        <v>2591.41</v>
      </c>
      <c r="AE68" s="569">
        <f t="shared" si="28"/>
        <v>2609.0100000000002</v>
      </c>
      <c r="AF68" s="569">
        <f t="shared" si="28"/>
        <v>2626.61</v>
      </c>
      <c r="AG68" s="569">
        <f t="shared" si="28"/>
        <v>2644.21</v>
      </c>
      <c r="AH68" s="569">
        <f t="shared" si="19"/>
        <v>2661.81</v>
      </c>
      <c r="AI68" s="569">
        <f t="shared" si="19"/>
        <v>2679.41</v>
      </c>
      <c r="AJ68" s="569">
        <f t="shared" si="25"/>
        <v>2697.01</v>
      </c>
      <c r="AK68" s="569">
        <f t="shared" si="26"/>
        <v>2714.61</v>
      </c>
      <c r="AL68" s="612"/>
    </row>
    <row r="69" spans="1:38" s="586" customFormat="1">
      <c r="A69" s="583" t="s">
        <v>118</v>
      </c>
      <c r="B69" s="584"/>
      <c r="C69" s="583" t="s">
        <v>103</v>
      </c>
      <c r="D69" s="583" t="s">
        <v>21</v>
      </c>
      <c r="E69" s="593" t="s">
        <v>25</v>
      </c>
      <c r="F69" s="582" t="s">
        <v>23</v>
      </c>
      <c r="G69" s="583"/>
      <c r="H69" s="692"/>
      <c r="I69" s="585">
        <v>6.4</v>
      </c>
      <c r="J69" s="586">
        <v>35.6</v>
      </c>
      <c r="K69" s="587">
        <v>37.270000000000003</v>
      </c>
      <c r="L69" s="569">
        <v>4602.84</v>
      </c>
      <c r="M69" s="569">
        <f t="shared" si="4"/>
        <v>4640.1099999999997</v>
      </c>
      <c r="N69" s="569">
        <f t="shared" si="28"/>
        <v>4677.38</v>
      </c>
      <c r="O69" s="569">
        <f t="shared" si="28"/>
        <v>4714.6499999999996</v>
      </c>
      <c r="P69" s="569">
        <f t="shared" si="28"/>
        <v>4751.92</v>
      </c>
      <c r="Q69" s="569">
        <f t="shared" si="28"/>
        <v>4789.1899999999996</v>
      </c>
      <c r="R69" s="569">
        <f t="shared" si="28"/>
        <v>4826.46</v>
      </c>
      <c r="S69" s="569">
        <f t="shared" si="28"/>
        <v>4863.7299999999996</v>
      </c>
      <c r="T69" s="569">
        <f t="shared" si="28"/>
        <v>4901</v>
      </c>
      <c r="U69" s="569">
        <f t="shared" si="28"/>
        <v>4938.2700000000004</v>
      </c>
      <c r="V69" s="569">
        <f t="shared" si="28"/>
        <v>4975.54</v>
      </c>
      <c r="W69" s="569">
        <f t="shared" si="28"/>
        <v>5012.8100000000004</v>
      </c>
      <c r="X69" s="569">
        <f t="shared" si="28"/>
        <v>5050.08</v>
      </c>
      <c r="Y69" s="569">
        <f t="shared" si="28"/>
        <v>5087.3500000000004</v>
      </c>
      <c r="Z69" s="569">
        <f t="shared" si="28"/>
        <v>5124.62</v>
      </c>
      <c r="AA69" s="569">
        <f t="shared" si="28"/>
        <v>5161.8900000000003</v>
      </c>
      <c r="AB69" s="569">
        <f t="shared" si="28"/>
        <v>5199.16</v>
      </c>
      <c r="AC69" s="569">
        <f t="shared" si="28"/>
        <v>5236.43</v>
      </c>
      <c r="AD69" s="569">
        <f t="shared" si="28"/>
        <v>5273.7</v>
      </c>
      <c r="AE69" s="569">
        <f t="shared" si="28"/>
        <v>5310.97</v>
      </c>
      <c r="AF69" s="569">
        <f t="shared" si="28"/>
        <v>5348.24</v>
      </c>
      <c r="AG69" s="569">
        <f t="shared" si="28"/>
        <v>5385.51</v>
      </c>
      <c r="AH69" s="569">
        <f t="shared" ref="AH69:AH78" si="29">ROUND(AG69+$K69,2)</f>
        <v>5422.78</v>
      </c>
      <c r="AI69" s="569">
        <f t="shared" ref="AI69:AI78" si="30">ROUND(AH69+$K69,2)</f>
        <v>5460.05</v>
      </c>
      <c r="AJ69" s="569">
        <f t="shared" si="25"/>
        <v>5497.32</v>
      </c>
      <c r="AK69" s="569">
        <f t="shared" si="26"/>
        <v>5534.59</v>
      </c>
      <c r="AL69" s="612"/>
    </row>
    <row r="70" spans="1:38" s="591" customFormat="1">
      <c r="A70" s="588" t="s">
        <v>119</v>
      </c>
      <c r="B70" s="544"/>
      <c r="C70" s="588" t="s">
        <v>103</v>
      </c>
      <c r="D70" s="588" t="s">
        <v>21</v>
      </c>
      <c r="E70" s="589" t="s">
        <v>39</v>
      </c>
      <c r="F70" s="588" t="s">
        <v>23</v>
      </c>
      <c r="G70" s="588"/>
      <c r="H70" s="693"/>
      <c r="I70" s="590">
        <v>6.4</v>
      </c>
      <c r="J70" s="591">
        <v>17.8</v>
      </c>
      <c r="K70" s="592">
        <v>17.21</v>
      </c>
      <c r="L70" s="679">
        <v>2102.0300000000002</v>
      </c>
      <c r="M70" s="679">
        <f t="shared" si="4"/>
        <v>2119.2399999999998</v>
      </c>
      <c r="N70" s="679">
        <f t="shared" si="28"/>
        <v>2136.4499999999998</v>
      </c>
      <c r="O70" s="679">
        <f t="shared" si="28"/>
        <v>2153.66</v>
      </c>
      <c r="P70" s="679">
        <f t="shared" si="28"/>
        <v>2170.87</v>
      </c>
      <c r="Q70" s="679">
        <f t="shared" si="28"/>
        <v>2188.08</v>
      </c>
      <c r="R70" s="679">
        <f t="shared" si="28"/>
        <v>2205.29</v>
      </c>
      <c r="S70" s="679">
        <f t="shared" si="28"/>
        <v>2222.5</v>
      </c>
      <c r="T70" s="679">
        <f t="shared" si="28"/>
        <v>2239.71</v>
      </c>
      <c r="U70" s="679">
        <f t="shared" si="28"/>
        <v>2256.92</v>
      </c>
      <c r="V70" s="679">
        <f t="shared" si="28"/>
        <v>2274.13</v>
      </c>
      <c r="W70" s="679">
        <f t="shared" si="28"/>
        <v>2291.34</v>
      </c>
      <c r="X70" s="679">
        <f t="shared" si="28"/>
        <v>2308.5500000000002</v>
      </c>
      <c r="Y70" s="679">
        <f t="shared" si="28"/>
        <v>2325.7600000000002</v>
      </c>
      <c r="Z70" s="679">
        <f t="shared" si="28"/>
        <v>2342.9699999999998</v>
      </c>
      <c r="AA70" s="679">
        <f t="shared" si="28"/>
        <v>2360.1799999999998</v>
      </c>
      <c r="AB70" s="679">
        <f t="shared" si="28"/>
        <v>2377.39</v>
      </c>
      <c r="AC70" s="679">
        <f t="shared" si="28"/>
        <v>2394.6</v>
      </c>
      <c r="AD70" s="679">
        <f t="shared" si="28"/>
        <v>2411.81</v>
      </c>
      <c r="AE70" s="679">
        <f t="shared" si="28"/>
        <v>2429.02</v>
      </c>
      <c r="AF70" s="679">
        <f t="shared" si="28"/>
        <v>2446.23</v>
      </c>
      <c r="AG70" s="679">
        <f t="shared" si="28"/>
        <v>2463.44</v>
      </c>
      <c r="AH70" s="679">
        <f t="shared" si="29"/>
        <v>2480.65</v>
      </c>
      <c r="AI70" s="679">
        <f t="shared" si="30"/>
        <v>2497.86</v>
      </c>
      <c r="AJ70" s="679">
        <f t="shared" si="25"/>
        <v>2515.0700000000002</v>
      </c>
      <c r="AK70" s="679">
        <f t="shared" si="26"/>
        <v>2532.2800000000002</v>
      </c>
      <c r="AL70" s="612"/>
    </row>
    <row r="71" spans="1:38" s="573" customFormat="1">
      <c r="A71" s="564" t="s">
        <v>119</v>
      </c>
      <c r="B71" s="584">
        <v>23</v>
      </c>
      <c r="C71" s="570" t="s">
        <v>103</v>
      </c>
      <c r="D71" s="570" t="s">
        <v>21</v>
      </c>
      <c r="E71" s="571" t="s">
        <v>25</v>
      </c>
      <c r="F71" s="583" t="s">
        <v>23</v>
      </c>
      <c r="G71" s="583"/>
      <c r="H71" s="681"/>
      <c r="I71" s="567">
        <v>6.4</v>
      </c>
      <c r="J71" s="573">
        <v>17.8</v>
      </c>
      <c r="K71" s="569">
        <v>17.47</v>
      </c>
      <c r="L71" s="569">
        <v>2150.08</v>
      </c>
      <c r="M71" s="569">
        <f t="shared" si="4"/>
        <v>2167.5500000000002</v>
      </c>
      <c r="N71" s="569">
        <f t="shared" si="28"/>
        <v>2185.02</v>
      </c>
      <c r="O71" s="569">
        <f t="shared" si="28"/>
        <v>2202.4899999999998</v>
      </c>
      <c r="P71" s="569">
        <f t="shared" si="28"/>
        <v>2219.96</v>
      </c>
      <c r="Q71" s="569">
        <f t="shared" si="28"/>
        <v>2237.4299999999998</v>
      </c>
      <c r="R71" s="569">
        <f t="shared" si="28"/>
        <v>2254.9</v>
      </c>
      <c r="S71" s="569">
        <f t="shared" si="28"/>
        <v>2272.37</v>
      </c>
      <c r="T71" s="569">
        <f t="shared" si="28"/>
        <v>2289.84</v>
      </c>
      <c r="U71" s="569">
        <f t="shared" si="28"/>
        <v>2307.31</v>
      </c>
      <c r="V71" s="569">
        <f t="shared" si="28"/>
        <v>2324.7800000000002</v>
      </c>
      <c r="W71" s="569">
        <f t="shared" si="28"/>
        <v>2342.25</v>
      </c>
      <c r="X71" s="569">
        <f t="shared" si="28"/>
        <v>2359.7199999999998</v>
      </c>
      <c r="Y71" s="569">
        <f t="shared" si="28"/>
        <v>2377.19</v>
      </c>
      <c r="Z71" s="569">
        <f t="shared" si="28"/>
        <v>2394.66</v>
      </c>
      <c r="AA71" s="569">
        <f t="shared" si="28"/>
        <v>2412.13</v>
      </c>
      <c r="AB71" s="569">
        <f t="shared" si="28"/>
        <v>2429.6</v>
      </c>
      <c r="AC71" s="569">
        <f t="shared" si="28"/>
        <v>2447.0700000000002</v>
      </c>
      <c r="AD71" s="569">
        <f t="shared" si="28"/>
        <v>2464.54</v>
      </c>
      <c r="AE71" s="569">
        <f t="shared" si="28"/>
        <v>2482.0100000000002</v>
      </c>
      <c r="AF71" s="569">
        <f t="shared" si="28"/>
        <v>2499.48</v>
      </c>
      <c r="AG71" s="569">
        <f t="shared" si="28"/>
        <v>2516.9499999999998</v>
      </c>
      <c r="AH71" s="569">
        <f t="shared" si="29"/>
        <v>2534.42</v>
      </c>
      <c r="AI71" s="569">
        <f t="shared" si="30"/>
        <v>2551.89</v>
      </c>
      <c r="AJ71" s="569">
        <f t="shared" si="25"/>
        <v>2569.36</v>
      </c>
      <c r="AK71" s="569">
        <f t="shared" si="26"/>
        <v>2586.83</v>
      </c>
      <c r="AL71" s="626"/>
    </row>
    <row r="72" spans="1:38" s="573" customFormat="1">
      <c r="A72" s="570" t="s">
        <v>120</v>
      </c>
      <c r="B72" s="584">
        <v>23</v>
      </c>
      <c r="C72" s="570" t="s">
        <v>103</v>
      </c>
      <c r="D72" s="570" t="s">
        <v>21</v>
      </c>
      <c r="E72" s="571" t="s">
        <v>22</v>
      </c>
      <c r="F72" s="583" t="s">
        <v>23</v>
      </c>
      <c r="G72" s="583"/>
      <c r="H72" s="681"/>
      <c r="I72" s="567">
        <v>6.4</v>
      </c>
      <c r="J72" s="573">
        <v>17.8</v>
      </c>
      <c r="K72" s="569">
        <v>17.989999999999998</v>
      </c>
      <c r="L72" s="569">
        <v>2257.63</v>
      </c>
      <c r="M72" s="569">
        <f t="shared" si="4"/>
        <v>2275.62</v>
      </c>
      <c r="N72" s="569">
        <f t="shared" si="28"/>
        <v>2293.61</v>
      </c>
      <c r="O72" s="569">
        <f t="shared" si="28"/>
        <v>2311.6</v>
      </c>
      <c r="P72" s="569">
        <f t="shared" si="28"/>
        <v>2329.59</v>
      </c>
      <c r="Q72" s="569">
        <f t="shared" si="28"/>
        <v>2347.58</v>
      </c>
      <c r="R72" s="569">
        <f t="shared" si="28"/>
        <v>2365.5700000000002</v>
      </c>
      <c r="S72" s="569">
        <f t="shared" si="28"/>
        <v>2383.56</v>
      </c>
      <c r="T72" s="569">
        <f t="shared" si="28"/>
        <v>2401.5500000000002</v>
      </c>
      <c r="U72" s="569">
        <f t="shared" si="28"/>
        <v>2419.54</v>
      </c>
      <c r="V72" s="569">
        <f t="shared" si="28"/>
        <v>2437.5300000000002</v>
      </c>
      <c r="W72" s="569">
        <f t="shared" si="28"/>
        <v>2455.52</v>
      </c>
      <c r="X72" s="569">
        <f t="shared" si="28"/>
        <v>2473.5100000000002</v>
      </c>
      <c r="Y72" s="569">
        <f t="shared" si="28"/>
        <v>2491.5</v>
      </c>
      <c r="Z72" s="569">
        <f t="shared" si="28"/>
        <v>2509.4899999999998</v>
      </c>
      <c r="AA72" s="569">
        <f t="shared" si="28"/>
        <v>2527.48</v>
      </c>
      <c r="AB72" s="569">
        <f t="shared" si="28"/>
        <v>2545.4699999999998</v>
      </c>
      <c r="AC72" s="569">
        <f t="shared" si="28"/>
        <v>2563.46</v>
      </c>
      <c r="AD72" s="569">
        <f t="shared" si="28"/>
        <v>2581.4499999999998</v>
      </c>
      <c r="AE72" s="569">
        <f t="shared" si="28"/>
        <v>2599.44</v>
      </c>
      <c r="AF72" s="569">
        <f t="shared" si="28"/>
        <v>2617.4299999999998</v>
      </c>
      <c r="AG72" s="569">
        <f t="shared" si="28"/>
        <v>2635.42</v>
      </c>
      <c r="AH72" s="569">
        <f t="shared" si="29"/>
        <v>2653.41</v>
      </c>
      <c r="AI72" s="569">
        <f t="shared" si="30"/>
        <v>2671.4</v>
      </c>
      <c r="AJ72" s="569">
        <f t="shared" si="25"/>
        <v>2689.39</v>
      </c>
      <c r="AK72" s="569">
        <f t="shared" si="26"/>
        <v>2707.38</v>
      </c>
      <c r="AL72" s="626"/>
    </row>
    <row r="73" spans="1:38" s="573" customFormat="1">
      <c r="A73" s="570" t="s">
        <v>118</v>
      </c>
      <c r="B73" s="584"/>
      <c r="C73" s="570" t="s">
        <v>103</v>
      </c>
      <c r="D73" s="570" t="s">
        <v>21</v>
      </c>
      <c r="E73" s="571" t="s">
        <v>39</v>
      </c>
      <c r="F73" s="583" t="s">
        <v>23</v>
      </c>
      <c r="G73" s="583"/>
      <c r="H73" s="681"/>
      <c r="I73" s="567">
        <v>6.4</v>
      </c>
      <c r="J73" s="573">
        <v>17.8</v>
      </c>
      <c r="K73" s="569">
        <v>36.630000000000003</v>
      </c>
      <c r="L73" s="569">
        <v>4350.32</v>
      </c>
      <c r="M73" s="569">
        <f t="shared" si="4"/>
        <v>4386.95</v>
      </c>
      <c r="N73" s="569">
        <f t="shared" si="28"/>
        <v>4423.58</v>
      </c>
      <c r="O73" s="569">
        <f t="shared" si="28"/>
        <v>4460.21</v>
      </c>
      <c r="P73" s="569">
        <f t="shared" si="28"/>
        <v>4496.84</v>
      </c>
      <c r="Q73" s="569">
        <f t="shared" si="28"/>
        <v>4533.47</v>
      </c>
      <c r="R73" s="569">
        <f t="shared" si="28"/>
        <v>4570.1000000000004</v>
      </c>
      <c r="S73" s="569">
        <f t="shared" si="28"/>
        <v>4606.7299999999996</v>
      </c>
      <c r="T73" s="569">
        <f t="shared" si="28"/>
        <v>4643.3599999999997</v>
      </c>
      <c r="U73" s="569">
        <f t="shared" si="28"/>
        <v>4679.99</v>
      </c>
      <c r="V73" s="569">
        <f t="shared" si="28"/>
        <v>4716.62</v>
      </c>
      <c r="W73" s="569">
        <f t="shared" si="28"/>
        <v>4753.25</v>
      </c>
      <c r="X73" s="569">
        <f t="shared" si="28"/>
        <v>4789.88</v>
      </c>
      <c r="Y73" s="569">
        <f t="shared" si="28"/>
        <v>4826.51</v>
      </c>
      <c r="Z73" s="569">
        <f t="shared" si="28"/>
        <v>4863.1400000000003</v>
      </c>
      <c r="AA73" s="569">
        <f t="shared" si="28"/>
        <v>4899.7700000000004</v>
      </c>
      <c r="AB73" s="569">
        <f t="shared" si="28"/>
        <v>4936.3999999999996</v>
      </c>
      <c r="AC73" s="569">
        <f t="shared" si="28"/>
        <v>4973.03</v>
      </c>
      <c r="AD73" s="569">
        <f t="shared" si="28"/>
        <v>5009.66</v>
      </c>
      <c r="AE73" s="569">
        <f t="shared" si="28"/>
        <v>5046.29</v>
      </c>
      <c r="AF73" s="569">
        <f t="shared" si="28"/>
        <v>5082.92</v>
      </c>
      <c r="AG73" s="569">
        <f t="shared" si="28"/>
        <v>5119.55</v>
      </c>
      <c r="AH73" s="569">
        <f t="shared" si="29"/>
        <v>5156.18</v>
      </c>
      <c r="AI73" s="569">
        <f t="shared" si="30"/>
        <v>5192.8100000000004</v>
      </c>
      <c r="AJ73" s="569">
        <f t="shared" si="25"/>
        <v>5229.4399999999996</v>
      </c>
      <c r="AK73" s="569">
        <f t="shared" si="26"/>
        <v>5266.07</v>
      </c>
      <c r="AL73" s="626"/>
    </row>
    <row r="74" spans="1:38" s="573" customFormat="1">
      <c r="A74" s="570" t="s">
        <v>121</v>
      </c>
      <c r="B74" s="584"/>
      <c r="C74" s="570" t="s">
        <v>103</v>
      </c>
      <c r="D74" s="570" t="s">
        <v>21</v>
      </c>
      <c r="E74" s="571" t="s">
        <v>25</v>
      </c>
      <c r="F74" s="583" t="s">
        <v>23</v>
      </c>
      <c r="G74" s="583"/>
      <c r="H74" s="681"/>
      <c r="I74" s="567">
        <v>6.4</v>
      </c>
      <c r="J74" s="573">
        <v>17.8</v>
      </c>
      <c r="K74" s="569">
        <v>17.760000000000002</v>
      </c>
      <c r="L74" s="569">
        <v>2210.9299999999998</v>
      </c>
      <c r="M74" s="569">
        <f t="shared" si="4"/>
        <v>2228.69</v>
      </c>
      <c r="N74" s="569">
        <f t="shared" si="28"/>
        <v>2246.4499999999998</v>
      </c>
      <c r="O74" s="569">
        <f t="shared" si="28"/>
        <v>2264.21</v>
      </c>
      <c r="P74" s="569">
        <f t="shared" si="28"/>
        <v>2281.9699999999998</v>
      </c>
      <c r="Q74" s="569">
        <f t="shared" si="28"/>
        <v>2299.73</v>
      </c>
      <c r="R74" s="569">
        <f t="shared" si="28"/>
        <v>2317.4899999999998</v>
      </c>
      <c r="S74" s="569">
        <f t="shared" si="28"/>
        <v>2335.25</v>
      </c>
      <c r="T74" s="569">
        <f t="shared" si="28"/>
        <v>2353.0100000000002</v>
      </c>
      <c r="U74" s="569">
        <f t="shared" si="28"/>
        <v>2370.77</v>
      </c>
      <c r="V74" s="569">
        <f>ROUND(U74+$K74,2)</f>
        <v>2388.5300000000002</v>
      </c>
      <c r="W74" s="569">
        <f t="shared" si="28"/>
        <v>2406.29</v>
      </c>
      <c r="X74" s="569">
        <f t="shared" si="28"/>
        <v>2424.0500000000002</v>
      </c>
      <c r="Y74" s="569">
        <f t="shared" si="28"/>
        <v>2441.81</v>
      </c>
      <c r="Z74" s="569">
        <f t="shared" si="28"/>
        <v>2459.5700000000002</v>
      </c>
      <c r="AA74" s="569">
        <f t="shared" si="28"/>
        <v>2477.33</v>
      </c>
      <c r="AB74" s="569">
        <f t="shared" si="28"/>
        <v>2495.09</v>
      </c>
      <c r="AC74" s="569">
        <f t="shared" si="28"/>
        <v>2512.85</v>
      </c>
      <c r="AD74" s="569">
        <f t="shared" si="28"/>
        <v>2530.61</v>
      </c>
      <c r="AE74" s="569">
        <f t="shared" si="28"/>
        <v>2548.37</v>
      </c>
      <c r="AF74" s="569">
        <f t="shared" si="28"/>
        <v>2566.13</v>
      </c>
      <c r="AG74" s="569">
        <f t="shared" si="28"/>
        <v>2583.89</v>
      </c>
      <c r="AH74" s="569">
        <f t="shared" si="29"/>
        <v>2601.65</v>
      </c>
      <c r="AI74" s="569">
        <f t="shared" si="30"/>
        <v>2619.41</v>
      </c>
      <c r="AJ74" s="569">
        <f t="shared" si="25"/>
        <v>2637.17</v>
      </c>
      <c r="AK74" s="569">
        <f t="shared" si="26"/>
        <v>2654.93</v>
      </c>
      <c r="AL74" s="626"/>
    </row>
    <row r="75" spans="1:38" s="573" customFormat="1">
      <c r="A75" s="564" t="s">
        <v>122</v>
      </c>
      <c r="B75" s="594">
        <v>23</v>
      </c>
      <c r="C75" s="574" t="s">
        <v>103</v>
      </c>
      <c r="D75" s="574" t="s">
        <v>21</v>
      </c>
      <c r="E75" s="575" t="s">
        <v>25</v>
      </c>
      <c r="F75" s="574" t="s">
        <v>23</v>
      </c>
      <c r="G75" s="574"/>
      <c r="H75" s="681"/>
      <c r="I75" s="567">
        <v>6.4</v>
      </c>
      <c r="J75" s="573">
        <v>18.899999999999999</v>
      </c>
      <c r="K75" s="569">
        <v>19.59</v>
      </c>
      <c r="L75" s="569">
        <v>2472.69</v>
      </c>
      <c r="M75" s="569">
        <f t="shared" si="4"/>
        <v>2492.2800000000002</v>
      </c>
      <c r="N75" s="569">
        <f t="shared" si="28"/>
        <v>2511.87</v>
      </c>
      <c r="O75" s="569">
        <f t="shared" si="28"/>
        <v>2531.46</v>
      </c>
      <c r="P75" s="569">
        <f t="shared" si="28"/>
        <v>2551.0500000000002</v>
      </c>
      <c r="Q75" s="569">
        <f t="shared" si="28"/>
        <v>2570.64</v>
      </c>
      <c r="R75" s="569">
        <f t="shared" si="28"/>
        <v>2590.23</v>
      </c>
      <c r="S75" s="569">
        <f t="shared" si="28"/>
        <v>2609.8200000000002</v>
      </c>
      <c r="T75" s="569">
        <f t="shared" si="28"/>
        <v>2629.41</v>
      </c>
      <c r="U75" s="569">
        <f t="shared" si="28"/>
        <v>2649</v>
      </c>
      <c r="V75" s="569">
        <f t="shared" si="28"/>
        <v>2668.59</v>
      </c>
      <c r="W75" s="569">
        <f t="shared" si="28"/>
        <v>2688.18</v>
      </c>
      <c r="X75" s="569">
        <f t="shared" si="28"/>
        <v>2707.77</v>
      </c>
      <c r="Y75" s="569">
        <f t="shared" si="28"/>
        <v>2727.36</v>
      </c>
      <c r="Z75" s="569">
        <f t="shared" si="28"/>
        <v>2746.95</v>
      </c>
      <c r="AA75" s="569">
        <f t="shared" si="28"/>
        <v>2766.54</v>
      </c>
      <c r="AB75" s="569">
        <f t="shared" si="28"/>
        <v>2786.13</v>
      </c>
      <c r="AC75" s="569">
        <f t="shared" si="28"/>
        <v>2805.72</v>
      </c>
      <c r="AD75" s="569">
        <f t="shared" si="28"/>
        <v>2825.31</v>
      </c>
      <c r="AE75" s="569">
        <f t="shared" si="28"/>
        <v>2844.9</v>
      </c>
      <c r="AF75" s="569">
        <f t="shared" si="28"/>
        <v>2864.49</v>
      </c>
      <c r="AG75" s="569">
        <f t="shared" si="28"/>
        <v>2884.08</v>
      </c>
      <c r="AH75" s="569">
        <f t="shared" si="29"/>
        <v>2903.67</v>
      </c>
      <c r="AI75" s="569">
        <f t="shared" si="30"/>
        <v>2923.26</v>
      </c>
      <c r="AJ75" s="569">
        <f t="shared" si="25"/>
        <v>2942.85</v>
      </c>
      <c r="AK75" s="569">
        <f t="shared" si="26"/>
        <v>2962.44</v>
      </c>
      <c r="AL75" s="612"/>
    </row>
    <row r="76" spans="1:38" s="573" customFormat="1">
      <c r="A76" s="469" t="s">
        <v>123</v>
      </c>
      <c r="B76" s="595">
        <v>23</v>
      </c>
      <c r="C76" s="570" t="s">
        <v>124</v>
      </c>
      <c r="D76" s="570" t="s">
        <v>21</v>
      </c>
      <c r="E76" s="571" t="s">
        <v>22</v>
      </c>
      <c r="F76" s="570" t="s">
        <v>23</v>
      </c>
      <c r="G76" s="570"/>
      <c r="H76" s="681"/>
      <c r="I76" s="567">
        <v>6.4</v>
      </c>
      <c r="J76" s="573">
        <v>18.899999999999999</v>
      </c>
      <c r="K76" s="569">
        <v>19.579999999999927</v>
      </c>
      <c r="L76" s="569">
        <v>2490.94</v>
      </c>
      <c r="M76" s="569">
        <f t="shared" si="4"/>
        <v>2510.52</v>
      </c>
      <c r="N76" s="569">
        <f t="shared" si="28"/>
        <v>2530.1</v>
      </c>
      <c r="O76" s="569">
        <f t="shared" si="28"/>
        <v>2549.6799999999998</v>
      </c>
      <c r="P76" s="569">
        <f t="shared" si="28"/>
        <v>2569.2600000000002</v>
      </c>
      <c r="Q76" s="569">
        <f t="shared" si="28"/>
        <v>2588.84</v>
      </c>
      <c r="R76" s="569">
        <f t="shared" si="28"/>
        <v>2608.42</v>
      </c>
      <c r="S76" s="569">
        <f t="shared" si="28"/>
        <v>2628</v>
      </c>
      <c r="T76" s="569">
        <f t="shared" si="28"/>
        <v>2647.58</v>
      </c>
      <c r="U76" s="569">
        <f t="shared" si="28"/>
        <v>2667.16</v>
      </c>
      <c r="V76" s="569">
        <f t="shared" si="28"/>
        <v>2686.74</v>
      </c>
      <c r="W76" s="569">
        <f t="shared" si="28"/>
        <v>2706.32</v>
      </c>
      <c r="X76" s="569">
        <f t="shared" si="28"/>
        <v>2725.9</v>
      </c>
      <c r="Y76" s="569">
        <f t="shared" si="28"/>
        <v>2745.48</v>
      </c>
      <c r="Z76" s="569">
        <f t="shared" si="28"/>
        <v>2765.06</v>
      </c>
      <c r="AA76" s="569">
        <f t="shared" si="28"/>
        <v>2784.64</v>
      </c>
      <c r="AB76" s="569">
        <f t="shared" si="28"/>
        <v>2804.22</v>
      </c>
      <c r="AC76" s="569">
        <f t="shared" si="28"/>
        <v>2823.8</v>
      </c>
      <c r="AD76" s="569">
        <f t="shared" si="28"/>
        <v>2843.38</v>
      </c>
      <c r="AE76" s="569">
        <f t="shared" si="28"/>
        <v>2862.96</v>
      </c>
      <c r="AF76" s="569">
        <f t="shared" si="28"/>
        <v>2882.54</v>
      </c>
      <c r="AG76" s="569">
        <f t="shared" si="28"/>
        <v>2902.12</v>
      </c>
      <c r="AH76" s="569">
        <f t="shared" si="29"/>
        <v>2921.7</v>
      </c>
      <c r="AI76" s="569">
        <f t="shared" si="30"/>
        <v>2941.28</v>
      </c>
      <c r="AJ76" s="569">
        <f t="shared" si="25"/>
        <v>2960.86</v>
      </c>
      <c r="AK76" s="569">
        <f t="shared" si="26"/>
        <v>2980.44</v>
      </c>
      <c r="AL76" s="612"/>
    </row>
    <row r="77" spans="1:38" s="573" customFormat="1">
      <c r="A77" s="570" t="s">
        <v>125</v>
      </c>
      <c r="B77" s="572"/>
      <c r="C77" s="570" t="s">
        <v>124</v>
      </c>
      <c r="D77" s="570" t="s">
        <v>104</v>
      </c>
      <c r="E77" s="571" t="s">
        <v>39</v>
      </c>
      <c r="F77" s="570" t="s">
        <v>57</v>
      </c>
      <c r="G77" s="570"/>
      <c r="H77" s="681"/>
      <c r="I77" s="567">
        <v>6.4</v>
      </c>
      <c r="J77" s="573">
        <v>19.5</v>
      </c>
      <c r="K77" s="569">
        <v>19.779999999999745</v>
      </c>
      <c r="L77" s="569">
        <v>2447.4899999999998</v>
      </c>
      <c r="M77" s="569">
        <f t="shared" si="4"/>
        <v>2467.27</v>
      </c>
      <c r="N77" s="569">
        <f t="shared" si="28"/>
        <v>2487.0500000000002</v>
      </c>
      <c r="O77" s="569">
        <f t="shared" si="28"/>
        <v>2506.83</v>
      </c>
      <c r="P77" s="569">
        <f t="shared" si="28"/>
        <v>2526.61</v>
      </c>
      <c r="Q77" s="569">
        <f t="shared" si="28"/>
        <v>2546.39</v>
      </c>
      <c r="R77" s="569">
        <f t="shared" si="28"/>
        <v>2566.17</v>
      </c>
      <c r="S77" s="569">
        <f t="shared" si="28"/>
        <v>2585.9499999999998</v>
      </c>
      <c r="T77" s="569">
        <f t="shared" si="28"/>
        <v>2605.73</v>
      </c>
      <c r="U77" s="569">
        <f t="shared" si="28"/>
        <v>2625.51</v>
      </c>
      <c r="V77" s="569">
        <f t="shared" si="28"/>
        <v>2645.29</v>
      </c>
      <c r="W77" s="569">
        <f t="shared" si="28"/>
        <v>2665.07</v>
      </c>
      <c r="X77" s="569">
        <f t="shared" si="28"/>
        <v>2684.85</v>
      </c>
      <c r="Y77" s="569">
        <f t="shared" si="28"/>
        <v>2704.63</v>
      </c>
      <c r="Z77" s="569">
        <f t="shared" si="28"/>
        <v>2724.41</v>
      </c>
      <c r="AA77" s="569">
        <f t="shared" si="28"/>
        <v>2744.19</v>
      </c>
      <c r="AB77" s="569">
        <f t="shared" si="28"/>
        <v>2763.97</v>
      </c>
      <c r="AC77" s="569">
        <f t="shared" si="28"/>
        <v>2783.75</v>
      </c>
      <c r="AD77" s="569">
        <f t="shared" si="28"/>
        <v>2803.53</v>
      </c>
      <c r="AE77" s="569">
        <f t="shared" si="28"/>
        <v>2823.31</v>
      </c>
      <c r="AF77" s="569">
        <f t="shared" si="28"/>
        <v>2843.09</v>
      </c>
      <c r="AG77" s="569">
        <f t="shared" si="28"/>
        <v>2862.87</v>
      </c>
      <c r="AH77" s="569">
        <f t="shared" si="29"/>
        <v>2882.65</v>
      </c>
      <c r="AI77" s="569">
        <f t="shared" si="30"/>
        <v>2902.43</v>
      </c>
      <c r="AJ77" s="569">
        <f t="shared" si="25"/>
        <v>2922.21</v>
      </c>
      <c r="AK77" s="569">
        <f t="shared" si="26"/>
        <v>2941.99</v>
      </c>
      <c r="AL77" s="612"/>
    </row>
    <row r="78" spans="1:38" s="573" customFormat="1">
      <c r="A78" s="574" t="s">
        <v>126</v>
      </c>
      <c r="B78" s="574"/>
      <c r="C78" s="574" t="s">
        <v>124</v>
      </c>
      <c r="D78" s="574" t="s">
        <v>21</v>
      </c>
      <c r="E78" s="575" t="s">
        <v>27</v>
      </c>
      <c r="F78" s="574" t="s">
        <v>23</v>
      </c>
      <c r="G78" s="574"/>
      <c r="H78" s="694"/>
      <c r="I78" s="567">
        <v>6.4</v>
      </c>
      <c r="J78" s="573">
        <v>18.899999999999999</v>
      </c>
      <c r="K78" s="569">
        <v>19.590000000000146</v>
      </c>
      <c r="L78" s="569">
        <v>2339.7800000000002</v>
      </c>
      <c r="M78" s="569">
        <f t="shared" si="4"/>
        <v>2359.37</v>
      </c>
      <c r="N78" s="569">
        <f t="shared" si="28"/>
        <v>2378.96</v>
      </c>
      <c r="O78" s="569">
        <f t="shared" si="28"/>
        <v>2398.5500000000002</v>
      </c>
      <c r="P78" s="569">
        <f t="shared" si="28"/>
        <v>2418.14</v>
      </c>
      <c r="Q78" s="569">
        <f t="shared" si="28"/>
        <v>2437.73</v>
      </c>
      <c r="R78" s="569">
        <f t="shared" si="28"/>
        <v>2457.3200000000002</v>
      </c>
      <c r="S78" s="569">
        <f t="shared" si="28"/>
        <v>2476.91</v>
      </c>
      <c r="T78" s="569">
        <f t="shared" si="28"/>
        <v>2496.5</v>
      </c>
      <c r="U78" s="569">
        <f t="shared" si="28"/>
        <v>2516.09</v>
      </c>
      <c r="V78" s="569">
        <f t="shared" si="28"/>
        <v>2535.6799999999998</v>
      </c>
      <c r="W78" s="569">
        <f t="shared" si="28"/>
        <v>2555.27</v>
      </c>
      <c r="X78" s="569">
        <f t="shared" ref="X78:AG80" si="31">ROUND(W78+$K78,2)</f>
        <v>2574.86</v>
      </c>
      <c r="Y78" s="569">
        <f t="shared" si="31"/>
        <v>2594.4499999999998</v>
      </c>
      <c r="Z78" s="569">
        <f t="shared" si="31"/>
        <v>2614.04</v>
      </c>
      <c r="AA78" s="569">
        <f t="shared" si="31"/>
        <v>2633.63</v>
      </c>
      <c r="AB78" s="569">
        <f t="shared" si="31"/>
        <v>2653.22</v>
      </c>
      <c r="AC78" s="569">
        <f t="shared" si="31"/>
        <v>2672.81</v>
      </c>
      <c r="AD78" s="569">
        <f t="shared" si="31"/>
        <v>2692.4</v>
      </c>
      <c r="AE78" s="569">
        <f t="shared" si="31"/>
        <v>2711.99</v>
      </c>
      <c r="AF78" s="569">
        <f t="shared" si="31"/>
        <v>2731.58</v>
      </c>
      <c r="AG78" s="569">
        <f t="shared" si="31"/>
        <v>2751.17</v>
      </c>
      <c r="AH78" s="569">
        <f t="shared" si="29"/>
        <v>2770.76</v>
      </c>
      <c r="AI78" s="569">
        <f t="shared" si="30"/>
        <v>2790.35</v>
      </c>
      <c r="AJ78" s="569">
        <f t="shared" si="25"/>
        <v>2809.94</v>
      </c>
      <c r="AK78" s="569">
        <f t="shared" si="26"/>
        <v>2829.53</v>
      </c>
      <c r="AL78" s="612"/>
    </row>
    <row r="79" spans="1:38" s="591" customFormat="1">
      <c r="A79" s="588" t="s">
        <v>127</v>
      </c>
      <c r="B79" s="544"/>
      <c r="C79" s="588" t="s">
        <v>103</v>
      </c>
      <c r="D79" s="588" t="s">
        <v>21</v>
      </c>
      <c r="E79" s="589" t="s">
        <v>39</v>
      </c>
      <c r="F79" s="588" t="s">
        <v>23</v>
      </c>
      <c r="G79" s="588"/>
      <c r="H79" s="693"/>
      <c r="I79" s="590">
        <v>6.4</v>
      </c>
      <c r="J79" s="591">
        <v>17.8</v>
      </c>
      <c r="K79" s="592"/>
      <c r="L79" s="679">
        <f t="shared" ref="L79:AG79" si="32">L62-25</f>
        <v>2072.98</v>
      </c>
      <c r="M79" s="679">
        <f t="shared" si="32"/>
        <v>2090.19</v>
      </c>
      <c r="N79" s="679">
        <f t="shared" si="32"/>
        <v>2107.4</v>
      </c>
      <c r="O79" s="679">
        <f t="shared" si="32"/>
        <v>2124.61</v>
      </c>
      <c r="P79" s="679">
        <f t="shared" si="32"/>
        <v>2141.8200000000002</v>
      </c>
      <c r="Q79" s="679">
        <f t="shared" si="32"/>
        <v>2159.0300000000002</v>
      </c>
      <c r="R79" s="679">
        <f t="shared" si="32"/>
        <v>2176.2399999999998</v>
      </c>
      <c r="S79" s="679">
        <f t="shared" si="32"/>
        <v>2193.4499999999998</v>
      </c>
      <c r="T79" s="679">
        <f t="shared" si="32"/>
        <v>2210.66</v>
      </c>
      <c r="U79" s="679">
        <f t="shared" si="32"/>
        <v>2227.87</v>
      </c>
      <c r="V79" s="679">
        <f t="shared" si="32"/>
        <v>2245.08</v>
      </c>
      <c r="W79" s="679">
        <f t="shared" si="32"/>
        <v>2262.29</v>
      </c>
      <c r="X79" s="679">
        <f t="shared" si="32"/>
        <v>2279.5</v>
      </c>
      <c r="Y79" s="679">
        <f t="shared" si="32"/>
        <v>2296.71</v>
      </c>
      <c r="Z79" s="679">
        <f t="shared" si="32"/>
        <v>2313.92</v>
      </c>
      <c r="AA79" s="679">
        <f t="shared" si="32"/>
        <v>2331.13</v>
      </c>
      <c r="AB79" s="679">
        <f t="shared" si="32"/>
        <v>2348.34</v>
      </c>
      <c r="AC79" s="679">
        <f t="shared" si="32"/>
        <v>2365.5500000000002</v>
      </c>
      <c r="AD79" s="679">
        <f t="shared" si="32"/>
        <v>2382.7600000000002</v>
      </c>
      <c r="AE79" s="679">
        <f t="shared" si="32"/>
        <v>2399.9699999999998</v>
      </c>
      <c r="AF79" s="679">
        <f t="shared" si="32"/>
        <v>2417.1799999999998</v>
      </c>
      <c r="AG79" s="679">
        <f t="shared" si="32"/>
        <v>2434.39</v>
      </c>
      <c r="AH79" s="679">
        <f t="shared" ref="AH79:AI79" si="33">AH62-25</f>
        <v>2451.6</v>
      </c>
      <c r="AI79" s="679">
        <f t="shared" si="33"/>
        <v>2468.81</v>
      </c>
      <c r="AJ79" s="679">
        <f t="shared" ref="AJ79:AK79" si="34">AJ62-25</f>
        <v>2486.02</v>
      </c>
      <c r="AK79" s="679">
        <f t="shared" si="34"/>
        <v>2503.23</v>
      </c>
      <c r="AL79" s="612"/>
    </row>
    <row r="80" spans="1:38" s="573" customFormat="1">
      <c r="A80" s="570" t="s">
        <v>128</v>
      </c>
      <c r="B80" s="572"/>
      <c r="C80" s="570" t="s">
        <v>124</v>
      </c>
      <c r="D80" s="570" t="s">
        <v>100</v>
      </c>
      <c r="E80" s="571" t="s">
        <v>129</v>
      </c>
      <c r="F80" s="570" t="s">
        <v>23</v>
      </c>
      <c r="G80" s="570"/>
      <c r="H80" s="681" t="s">
        <v>130</v>
      </c>
      <c r="I80" s="567">
        <v>6.4</v>
      </c>
      <c r="J80" s="573">
        <v>21</v>
      </c>
      <c r="K80" s="569">
        <v>20.409999999999854</v>
      </c>
      <c r="L80" s="569">
        <v>2399.42</v>
      </c>
      <c r="M80" s="569">
        <f t="shared" ref="M80:AB131" si="35">ROUND(L80+$K80,2)</f>
        <v>2419.83</v>
      </c>
      <c r="N80" s="569">
        <f t="shared" si="35"/>
        <v>2440.2399999999998</v>
      </c>
      <c r="O80" s="569">
        <f t="shared" si="35"/>
        <v>2460.65</v>
      </c>
      <c r="P80" s="569">
        <f t="shared" si="35"/>
        <v>2481.06</v>
      </c>
      <c r="Q80" s="569">
        <f t="shared" si="35"/>
        <v>2501.4699999999998</v>
      </c>
      <c r="R80" s="569">
        <f t="shared" si="35"/>
        <v>2521.88</v>
      </c>
      <c r="S80" s="569">
        <f t="shared" si="35"/>
        <v>2542.29</v>
      </c>
      <c r="T80" s="569">
        <f t="shared" si="35"/>
        <v>2562.6999999999998</v>
      </c>
      <c r="U80" s="569">
        <f t="shared" si="35"/>
        <v>2583.11</v>
      </c>
      <c r="V80" s="569">
        <f t="shared" si="35"/>
        <v>2603.52</v>
      </c>
      <c r="W80" s="569">
        <f t="shared" si="35"/>
        <v>2623.93</v>
      </c>
      <c r="X80" s="569">
        <f t="shared" si="35"/>
        <v>2644.34</v>
      </c>
      <c r="Y80" s="569">
        <f t="shared" si="35"/>
        <v>2664.75</v>
      </c>
      <c r="Z80" s="569">
        <f t="shared" si="35"/>
        <v>2685.16</v>
      </c>
      <c r="AA80" s="569">
        <f t="shared" si="35"/>
        <v>2705.57</v>
      </c>
      <c r="AB80" s="569">
        <f t="shared" si="35"/>
        <v>2725.98</v>
      </c>
      <c r="AC80" s="569">
        <f t="shared" si="31"/>
        <v>2746.39</v>
      </c>
      <c r="AD80" s="569">
        <f t="shared" si="31"/>
        <v>2766.8</v>
      </c>
      <c r="AE80" s="569">
        <f t="shared" si="31"/>
        <v>2787.21</v>
      </c>
      <c r="AF80" s="569">
        <f t="shared" si="31"/>
        <v>2807.62</v>
      </c>
      <c r="AG80" s="569">
        <f t="shared" si="31"/>
        <v>2828.03</v>
      </c>
      <c r="AH80" s="569">
        <f t="shared" ref="AH80:AI95" si="36">ROUND(AG80+$K80,2)</f>
        <v>2848.44</v>
      </c>
      <c r="AI80" s="569">
        <f t="shared" ref="AI80" si="37">ROUND(AH80+$K80,2)</f>
        <v>2868.85</v>
      </c>
      <c r="AJ80" s="569">
        <f t="shared" ref="AJ80:AJ131" si="38">ROUND(AI80+$K80,2)</f>
        <v>2889.26</v>
      </c>
      <c r="AK80" s="569">
        <f t="shared" ref="AK80:AK131" si="39">ROUND(AJ80+$K80,2)</f>
        <v>2909.67</v>
      </c>
      <c r="AL80" s="612"/>
    </row>
    <row r="81" spans="1:39" s="573" customFormat="1">
      <c r="A81" s="574" t="s">
        <v>131</v>
      </c>
      <c r="B81" s="596">
        <v>23</v>
      </c>
      <c r="C81" s="574" t="s">
        <v>124</v>
      </c>
      <c r="D81" s="574" t="s">
        <v>100</v>
      </c>
      <c r="E81" s="575" t="s">
        <v>106</v>
      </c>
      <c r="F81" s="570" t="s">
        <v>23</v>
      </c>
      <c r="G81" s="570"/>
      <c r="H81" s="681" t="s">
        <v>132</v>
      </c>
      <c r="I81" s="567">
        <v>6.4</v>
      </c>
      <c r="J81" s="573">
        <v>21</v>
      </c>
      <c r="K81" s="569">
        <v>20.349999999999909</v>
      </c>
      <c r="L81" s="569">
        <v>2499.71</v>
      </c>
      <c r="M81" s="569">
        <f t="shared" si="35"/>
        <v>2520.06</v>
      </c>
      <c r="N81" s="569">
        <f t="shared" ref="N81:AG93" si="40">ROUND(M81+$K81,2)</f>
        <v>2540.41</v>
      </c>
      <c r="O81" s="569">
        <f t="shared" si="40"/>
        <v>2560.7600000000002</v>
      </c>
      <c r="P81" s="569">
        <f t="shared" si="40"/>
        <v>2581.11</v>
      </c>
      <c r="Q81" s="569">
        <f t="shared" si="40"/>
        <v>2601.46</v>
      </c>
      <c r="R81" s="569">
        <f t="shared" si="40"/>
        <v>2621.81</v>
      </c>
      <c r="S81" s="569">
        <f t="shared" si="40"/>
        <v>2642.16</v>
      </c>
      <c r="T81" s="569">
        <f t="shared" si="40"/>
        <v>2662.51</v>
      </c>
      <c r="U81" s="569">
        <f t="shared" si="40"/>
        <v>2682.86</v>
      </c>
      <c r="V81" s="569">
        <f t="shared" si="40"/>
        <v>2703.21</v>
      </c>
      <c r="W81" s="569">
        <f t="shared" si="40"/>
        <v>2723.56</v>
      </c>
      <c r="X81" s="569">
        <f t="shared" si="40"/>
        <v>2743.91</v>
      </c>
      <c r="Y81" s="569">
        <f t="shared" si="40"/>
        <v>2764.26</v>
      </c>
      <c r="Z81" s="569">
        <f t="shared" si="40"/>
        <v>2784.61</v>
      </c>
      <c r="AA81" s="569">
        <f t="shared" si="40"/>
        <v>2804.96</v>
      </c>
      <c r="AB81" s="569">
        <f t="shared" si="40"/>
        <v>2825.31</v>
      </c>
      <c r="AC81" s="569">
        <f t="shared" si="40"/>
        <v>2845.66</v>
      </c>
      <c r="AD81" s="569">
        <f t="shared" si="40"/>
        <v>2866.01</v>
      </c>
      <c r="AE81" s="569">
        <f t="shared" si="40"/>
        <v>2886.36</v>
      </c>
      <c r="AF81" s="569">
        <f t="shared" si="40"/>
        <v>2906.71</v>
      </c>
      <c r="AG81" s="569">
        <f t="shared" si="40"/>
        <v>2927.06</v>
      </c>
      <c r="AH81" s="569">
        <f t="shared" si="36"/>
        <v>2947.41</v>
      </c>
      <c r="AI81" s="569">
        <f t="shared" si="36"/>
        <v>2967.76</v>
      </c>
      <c r="AJ81" s="569">
        <f t="shared" si="38"/>
        <v>2988.11</v>
      </c>
      <c r="AK81" s="569">
        <f t="shared" si="39"/>
        <v>3008.46</v>
      </c>
      <c r="AL81" s="612"/>
    </row>
    <row r="82" spans="1:39" s="573" customFormat="1">
      <c r="A82" s="597" t="s">
        <v>128</v>
      </c>
      <c r="B82" s="597"/>
      <c r="C82" s="597" t="s">
        <v>124</v>
      </c>
      <c r="D82" s="597" t="s">
        <v>100</v>
      </c>
      <c r="E82" s="598" t="s">
        <v>22</v>
      </c>
      <c r="F82" s="570" t="s">
        <v>23</v>
      </c>
      <c r="G82" s="570"/>
      <c r="H82" s="681"/>
      <c r="I82" s="599">
        <v>6.4</v>
      </c>
      <c r="J82" s="600">
        <v>21</v>
      </c>
      <c r="K82" s="569">
        <v>20.960500000000138</v>
      </c>
      <c r="L82" s="569">
        <v>2574.7013000000002</v>
      </c>
      <c r="M82" s="569">
        <f t="shared" si="35"/>
        <v>2595.66</v>
      </c>
      <c r="N82" s="569">
        <f t="shared" si="40"/>
        <v>2616.62</v>
      </c>
      <c r="O82" s="569">
        <f t="shared" si="40"/>
        <v>2637.58</v>
      </c>
      <c r="P82" s="569">
        <f t="shared" si="40"/>
        <v>2658.54</v>
      </c>
      <c r="Q82" s="569">
        <f t="shared" si="40"/>
        <v>2679.5</v>
      </c>
      <c r="R82" s="569">
        <f t="shared" si="40"/>
        <v>2700.46</v>
      </c>
      <c r="S82" s="569">
        <f t="shared" si="40"/>
        <v>2721.42</v>
      </c>
      <c r="T82" s="569">
        <f t="shared" si="40"/>
        <v>2742.38</v>
      </c>
      <c r="U82" s="569">
        <f t="shared" si="40"/>
        <v>2763.34</v>
      </c>
      <c r="V82" s="569">
        <f t="shared" si="40"/>
        <v>2784.3</v>
      </c>
      <c r="W82" s="569">
        <f t="shared" si="40"/>
        <v>2805.26</v>
      </c>
      <c r="X82" s="569">
        <f t="shared" si="40"/>
        <v>2826.22</v>
      </c>
      <c r="Y82" s="569">
        <f t="shared" si="40"/>
        <v>2847.18</v>
      </c>
      <c r="Z82" s="569">
        <f t="shared" si="40"/>
        <v>2868.14</v>
      </c>
      <c r="AA82" s="569">
        <f t="shared" si="40"/>
        <v>2889.1</v>
      </c>
      <c r="AB82" s="569">
        <f t="shared" si="40"/>
        <v>2910.06</v>
      </c>
      <c r="AC82" s="569">
        <f t="shared" si="40"/>
        <v>2931.02</v>
      </c>
      <c r="AD82" s="569">
        <f t="shared" si="40"/>
        <v>2951.98</v>
      </c>
      <c r="AE82" s="569">
        <f t="shared" si="40"/>
        <v>2972.94</v>
      </c>
      <c r="AF82" s="569">
        <f t="shared" si="40"/>
        <v>2993.9</v>
      </c>
      <c r="AG82" s="569">
        <f t="shared" si="40"/>
        <v>3014.86</v>
      </c>
      <c r="AH82" s="569">
        <f t="shared" si="36"/>
        <v>3035.82</v>
      </c>
      <c r="AI82" s="569">
        <f t="shared" si="36"/>
        <v>3056.78</v>
      </c>
      <c r="AJ82" s="569">
        <f t="shared" si="38"/>
        <v>3077.74</v>
      </c>
      <c r="AK82" s="569">
        <f t="shared" si="39"/>
        <v>3098.7</v>
      </c>
      <c r="AL82" s="612"/>
    </row>
    <row r="83" spans="1:39" s="591" customFormat="1">
      <c r="A83" s="588" t="s">
        <v>133</v>
      </c>
      <c r="B83" s="544"/>
      <c r="C83" s="588" t="s">
        <v>124</v>
      </c>
      <c r="D83" s="588" t="s">
        <v>134</v>
      </c>
      <c r="E83" s="589" t="s">
        <v>39</v>
      </c>
      <c r="F83" s="588" t="s">
        <v>23</v>
      </c>
      <c r="G83" s="588"/>
      <c r="H83" s="693" t="s">
        <v>135</v>
      </c>
      <c r="I83" s="590">
        <v>6.4</v>
      </c>
      <c r="J83" s="591">
        <v>17.8</v>
      </c>
      <c r="K83" s="592">
        <v>16.640000000000327</v>
      </c>
      <c r="L83" s="679">
        <v>2067.6999999999998</v>
      </c>
      <c r="M83" s="679">
        <f>ROUND(L83+$K83,2)</f>
        <v>2084.34</v>
      </c>
      <c r="N83" s="679">
        <f t="shared" si="40"/>
        <v>2100.98</v>
      </c>
      <c r="O83" s="679">
        <f t="shared" si="40"/>
        <v>2117.62</v>
      </c>
      <c r="P83" s="679">
        <f t="shared" si="40"/>
        <v>2134.2600000000002</v>
      </c>
      <c r="Q83" s="679">
        <f t="shared" si="40"/>
        <v>2150.9</v>
      </c>
      <c r="R83" s="679">
        <f t="shared" si="40"/>
        <v>2167.54</v>
      </c>
      <c r="S83" s="679">
        <f t="shared" si="40"/>
        <v>2184.1799999999998</v>
      </c>
      <c r="T83" s="679">
        <f t="shared" si="40"/>
        <v>2200.8200000000002</v>
      </c>
      <c r="U83" s="679">
        <f t="shared" si="40"/>
        <v>2217.46</v>
      </c>
      <c r="V83" s="679">
        <f t="shared" si="40"/>
        <v>2234.1</v>
      </c>
      <c r="W83" s="679">
        <f t="shared" si="40"/>
        <v>2250.7399999999998</v>
      </c>
      <c r="X83" s="679">
        <f t="shared" si="40"/>
        <v>2267.38</v>
      </c>
      <c r="Y83" s="679">
        <f t="shared" si="40"/>
        <v>2284.02</v>
      </c>
      <c r="Z83" s="679">
        <f t="shared" si="40"/>
        <v>2300.66</v>
      </c>
      <c r="AA83" s="679">
        <f t="shared" si="40"/>
        <v>2317.3000000000002</v>
      </c>
      <c r="AB83" s="679">
        <f t="shared" si="40"/>
        <v>2333.94</v>
      </c>
      <c r="AC83" s="679">
        <f t="shared" si="40"/>
        <v>2350.58</v>
      </c>
      <c r="AD83" s="679">
        <f t="shared" si="40"/>
        <v>2367.2199999999998</v>
      </c>
      <c r="AE83" s="679">
        <f t="shared" si="40"/>
        <v>2383.86</v>
      </c>
      <c r="AF83" s="679">
        <f t="shared" si="40"/>
        <v>2400.5</v>
      </c>
      <c r="AG83" s="679">
        <f t="shared" si="40"/>
        <v>2417.14</v>
      </c>
      <c r="AH83" s="679">
        <f t="shared" si="36"/>
        <v>2433.7800000000002</v>
      </c>
      <c r="AI83" s="679">
        <f t="shared" si="36"/>
        <v>2450.42</v>
      </c>
      <c r="AJ83" s="679">
        <f t="shared" si="38"/>
        <v>2467.06</v>
      </c>
      <c r="AK83" s="679">
        <f t="shared" si="39"/>
        <v>2483.6999999999998</v>
      </c>
      <c r="AL83" s="612"/>
    </row>
    <row r="84" spans="1:39" s="573" customFormat="1">
      <c r="A84" s="570" t="s">
        <v>133</v>
      </c>
      <c r="B84" s="572">
        <v>23</v>
      </c>
      <c r="C84" s="570" t="s">
        <v>124</v>
      </c>
      <c r="D84" s="570" t="s">
        <v>77</v>
      </c>
      <c r="E84" s="571" t="s">
        <v>106</v>
      </c>
      <c r="F84" s="570" t="s">
        <v>23</v>
      </c>
      <c r="G84" s="570"/>
      <c r="H84" s="681" t="s">
        <v>136</v>
      </c>
      <c r="I84" s="567">
        <v>6.4</v>
      </c>
      <c r="J84" s="573">
        <v>17.8</v>
      </c>
      <c r="K84" s="569">
        <v>17.150000000000091</v>
      </c>
      <c r="L84" s="569">
        <v>2158.21</v>
      </c>
      <c r="M84" s="569">
        <f t="shared" si="35"/>
        <v>2175.36</v>
      </c>
      <c r="N84" s="569">
        <f t="shared" si="40"/>
        <v>2192.5100000000002</v>
      </c>
      <c r="O84" s="569">
        <f t="shared" si="40"/>
        <v>2209.66</v>
      </c>
      <c r="P84" s="569">
        <f t="shared" si="40"/>
        <v>2226.81</v>
      </c>
      <c r="Q84" s="569">
        <f t="shared" si="40"/>
        <v>2243.96</v>
      </c>
      <c r="R84" s="569">
        <f t="shared" si="40"/>
        <v>2261.11</v>
      </c>
      <c r="S84" s="569">
        <f t="shared" si="40"/>
        <v>2278.2600000000002</v>
      </c>
      <c r="T84" s="569">
        <f t="shared" si="40"/>
        <v>2295.41</v>
      </c>
      <c r="U84" s="569">
        <f t="shared" si="40"/>
        <v>2312.56</v>
      </c>
      <c r="V84" s="569">
        <f t="shared" si="40"/>
        <v>2329.71</v>
      </c>
      <c r="W84" s="569">
        <f t="shared" si="40"/>
        <v>2346.86</v>
      </c>
      <c r="X84" s="569">
        <f t="shared" si="40"/>
        <v>2364.0100000000002</v>
      </c>
      <c r="Y84" s="569">
        <f t="shared" si="40"/>
        <v>2381.16</v>
      </c>
      <c r="Z84" s="569">
        <f t="shared" si="40"/>
        <v>2398.31</v>
      </c>
      <c r="AA84" s="569">
        <f t="shared" si="40"/>
        <v>2415.46</v>
      </c>
      <c r="AB84" s="569">
        <f t="shared" si="40"/>
        <v>2432.61</v>
      </c>
      <c r="AC84" s="569">
        <f t="shared" si="40"/>
        <v>2449.7600000000002</v>
      </c>
      <c r="AD84" s="569">
        <f t="shared" si="40"/>
        <v>2466.91</v>
      </c>
      <c r="AE84" s="569">
        <f t="shared" si="40"/>
        <v>2484.06</v>
      </c>
      <c r="AF84" s="569">
        <f t="shared" si="40"/>
        <v>2501.21</v>
      </c>
      <c r="AG84" s="569">
        <f t="shared" si="40"/>
        <v>2518.36</v>
      </c>
      <c r="AH84" s="569">
        <f t="shared" si="36"/>
        <v>2535.5100000000002</v>
      </c>
      <c r="AI84" s="569">
        <f t="shared" si="36"/>
        <v>2552.66</v>
      </c>
      <c r="AJ84" s="569">
        <f t="shared" si="38"/>
        <v>2569.81</v>
      </c>
      <c r="AK84" s="569">
        <f t="shared" si="39"/>
        <v>2586.96</v>
      </c>
      <c r="AL84" s="612"/>
    </row>
    <row r="85" spans="1:39" s="573" customFormat="1">
      <c r="A85" s="570" t="s">
        <v>137</v>
      </c>
      <c r="B85" s="572"/>
      <c r="C85" s="570" t="s">
        <v>124</v>
      </c>
      <c r="D85" s="570" t="s">
        <v>77</v>
      </c>
      <c r="E85" s="571" t="s">
        <v>22</v>
      </c>
      <c r="F85" s="570" t="s">
        <v>23</v>
      </c>
      <c r="G85" s="570"/>
      <c r="H85" s="681" t="s">
        <v>138</v>
      </c>
      <c r="I85" s="567">
        <v>6.4</v>
      </c>
      <c r="J85" s="573">
        <v>17.8</v>
      </c>
      <c r="K85" s="569">
        <v>17.730000000000018</v>
      </c>
      <c r="L85" s="569">
        <v>2224.77</v>
      </c>
      <c r="M85" s="569">
        <f t="shared" si="35"/>
        <v>2242.5</v>
      </c>
      <c r="N85" s="569">
        <f t="shared" si="40"/>
        <v>2260.23</v>
      </c>
      <c r="O85" s="569">
        <f t="shared" si="40"/>
        <v>2277.96</v>
      </c>
      <c r="P85" s="569">
        <f t="shared" si="40"/>
        <v>2295.69</v>
      </c>
      <c r="Q85" s="569">
        <f t="shared" si="40"/>
        <v>2313.42</v>
      </c>
      <c r="R85" s="569">
        <f t="shared" si="40"/>
        <v>2331.15</v>
      </c>
      <c r="S85" s="569">
        <f t="shared" si="40"/>
        <v>2348.88</v>
      </c>
      <c r="T85" s="569">
        <f t="shared" si="40"/>
        <v>2366.61</v>
      </c>
      <c r="U85" s="569">
        <f t="shared" si="40"/>
        <v>2384.34</v>
      </c>
      <c r="V85" s="569">
        <f t="shared" si="40"/>
        <v>2402.0700000000002</v>
      </c>
      <c r="W85" s="569">
        <f t="shared" si="40"/>
        <v>2419.8000000000002</v>
      </c>
      <c r="X85" s="569">
        <f t="shared" si="40"/>
        <v>2437.5300000000002</v>
      </c>
      <c r="Y85" s="569">
        <f t="shared" si="40"/>
        <v>2455.2600000000002</v>
      </c>
      <c r="Z85" s="569">
        <f t="shared" si="40"/>
        <v>2472.9899999999998</v>
      </c>
      <c r="AA85" s="569">
        <f t="shared" si="40"/>
        <v>2490.7199999999998</v>
      </c>
      <c r="AB85" s="569">
        <f t="shared" si="40"/>
        <v>2508.4499999999998</v>
      </c>
      <c r="AC85" s="569">
        <f t="shared" si="40"/>
        <v>2526.1799999999998</v>
      </c>
      <c r="AD85" s="569">
        <f t="shared" si="40"/>
        <v>2543.91</v>
      </c>
      <c r="AE85" s="569">
        <f t="shared" si="40"/>
        <v>2561.64</v>
      </c>
      <c r="AF85" s="569">
        <f t="shared" si="40"/>
        <v>2579.37</v>
      </c>
      <c r="AG85" s="569">
        <f t="shared" si="40"/>
        <v>2597.1</v>
      </c>
      <c r="AH85" s="569">
        <f t="shared" si="36"/>
        <v>2614.83</v>
      </c>
      <c r="AI85" s="569">
        <f t="shared" si="36"/>
        <v>2632.56</v>
      </c>
      <c r="AJ85" s="569">
        <f t="shared" si="38"/>
        <v>2650.29</v>
      </c>
      <c r="AK85" s="569">
        <f t="shared" si="39"/>
        <v>2668.02</v>
      </c>
      <c r="AL85" s="612"/>
    </row>
    <row r="86" spans="1:39" s="573" customFormat="1">
      <c r="A86" s="570" t="s">
        <v>139</v>
      </c>
      <c r="B86" s="572"/>
      <c r="C86" s="570" t="s">
        <v>124</v>
      </c>
      <c r="D86" s="570" t="s">
        <v>77</v>
      </c>
      <c r="E86" s="571" t="s">
        <v>39</v>
      </c>
      <c r="F86" s="570" t="s">
        <v>23</v>
      </c>
      <c r="G86" s="570"/>
      <c r="H86" s="681" t="s">
        <v>140</v>
      </c>
      <c r="I86" s="567">
        <v>6.4</v>
      </c>
      <c r="J86" s="573">
        <v>35.6</v>
      </c>
      <c r="K86" s="569">
        <v>34.819999999999709</v>
      </c>
      <c r="L86" s="569">
        <v>4328.8999999999996</v>
      </c>
      <c r="M86" s="569">
        <f t="shared" si="35"/>
        <v>4363.72</v>
      </c>
      <c r="N86" s="569">
        <f t="shared" si="40"/>
        <v>4398.54</v>
      </c>
      <c r="O86" s="569">
        <f t="shared" si="40"/>
        <v>4433.3599999999997</v>
      </c>
      <c r="P86" s="569">
        <f t="shared" si="40"/>
        <v>4468.18</v>
      </c>
      <c r="Q86" s="569">
        <f t="shared" si="40"/>
        <v>4503</v>
      </c>
      <c r="R86" s="569">
        <f t="shared" si="40"/>
        <v>4537.82</v>
      </c>
      <c r="S86" s="569">
        <f t="shared" si="40"/>
        <v>4572.6400000000003</v>
      </c>
      <c r="T86" s="569">
        <f t="shared" si="40"/>
        <v>4607.46</v>
      </c>
      <c r="U86" s="569">
        <f t="shared" si="40"/>
        <v>4642.28</v>
      </c>
      <c r="V86" s="569">
        <f t="shared" si="40"/>
        <v>4677.1000000000004</v>
      </c>
      <c r="W86" s="569">
        <f t="shared" si="40"/>
        <v>4711.92</v>
      </c>
      <c r="X86" s="569">
        <f t="shared" si="40"/>
        <v>4746.74</v>
      </c>
      <c r="Y86" s="569">
        <f t="shared" si="40"/>
        <v>4781.5600000000004</v>
      </c>
      <c r="Z86" s="569">
        <f t="shared" si="40"/>
        <v>4816.38</v>
      </c>
      <c r="AA86" s="569">
        <f t="shared" si="40"/>
        <v>4851.2</v>
      </c>
      <c r="AB86" s="569">
        <f t="shared" si="40"/>
        <v>4886.0200000000004</v>
      </c>
      <c r="AC86" s="569">
        <f t="shared" si="40"/>
        <v>4920.84</v>
      </c>
      <c r="AD86" s="569">
        <f t="shared" si="40"/>
        <v>4955.66</v>
      </c>
      <c r="AE86" s="569">
        <f t="shared" si="40"/>
        <v>4990.4799999999996</v>
      </c>
      <c r="AF86" s="569">
        <f t="shared" si="40"/>
        <v>5025.3</v>
      </c>
      <c r="AG86" s="569">
        <f t="shared" si="40"/>
        <v>5060.12</v>
      </c>
      <c r="AH86" s="569">
        <f t="shared" si="36"/>
        <v>5094.9399999999996</v>
      </c>
      <c r="AI86" s="569">
        <f t="shared" si="36"/>
        <v>5129.76</v>
      </c>
      <c r="AJ86" s="569">
        <f t="shared" si="38"/>
        <v>5164.58</v>
      </c>
      <c r="AK86" s="569">
        <f t="shared" si="39"/>
        <v>5199.3999999999996</v>
      </c>
      <c r="AL86" s="612"/>
    </row>
    <row r="87" spans="1:39" s="573" customFormat="1">
      <c r="A87" s="570" t="s">
        <v>139</v>
      </c>
      <c r="B87" s="572"/>
      <c r="C87" s="570" t="s">
        <v>124</v>
      </c>
      <c r="D87" s="570" t="s">
        <v>77</v>
      </c>
      <c r="E87" s="571" t="s">
        <v>25</v>
      </c>
      <c r="F87" s="570" t="s">
        <v>23</v>
      </c>
      <c r="G87" s="570"/>
      <c r="H87" s="681"/>
      <c r="I87" s="567">
        <v>6.4</v>
      </c>
      <c r="J87" s="573">
        <v>35.6</v>
      </c>
      <c r="K87" s="569">
        <v>34.819999999999709</v>
      </c>
      <c r="L87" s="569">
        <v>4430.3999999999996</v>
      </c>
      <c r="M87" s="569">
        <f t="shared" si="35"/>
        <v>4465.22</v>
      </c>
      <c r="N87" s="569">
        <f t="shared" si="40"/>
        <v>4500.04</v>
      </c>
      <c r="O87" s="569">
        <f t="shared" si="40"/>
        <v>4534.8599999999997</v>
      </c>
      <c r="P87" s="569">
        <f t="shared" si="40"/>
        <v>4569.68</v>
      </c>
      <c r="Q87" s="569">
        <f t="shared" si="40"/>
        <v>4604.5</v>
      </c>
      <c r="R87" s="569">
        <f t="shared" si="40"/>
        <v>4639.32</v>
      </c>
      <c r="S87" s="569">
        <f t="shared" si="40"/>
        <v>4674.1400000000003</v>
      </c>
      <c r="T87" s="569">
        <f t="shared" si="40"/>
        <v>4708.96</v>
      </c>
      <c r="U87" s="569">
        <f t="shared" si="40"/>
        <v>4743.78</v>
      </c>
      <c r="V87" s="569">
        <f t="shared" si="40"/>
        <v>4778.6000000000004</v>
      </c>
      <c r="W87" s="569">
        <f t="shared" si="40"/>
        <v>4813.42</v>
      </c>
      <c r="X87" s="569">
        <f t="shared" si="40"/>
        <v>4848.24</v>
      </c>
      <c r="Y87" s="569">
        <f t="shared" si="40"/>
        <v>4883.0600000000004</v>
      </c>
      <c r="Z87" s="569">
        <f t="shared" si="40"/>
        <v>4917.88</v>
      </c>
      <c r="AA87" s="569">
        <f t="shared" si="40"/>
        <v>4952.7</v>
      </c>
      <c r="AB87" s="569">
        <f t="shared" si="40"/>
        <v>4987.5200000000004</v>
      </c>
      <c r="AC87" s="569">
        <f t="shared" si="40"/>
        <v>5022.34</v>
      </c>
      <c r="AD87" s="569">
        <f t="shared" si="40"/>
        <v>5057.16</v>
      </c>
      <c r="AE87" s="569">
        <f t="shared" si="40"/>
        <v>5091.9799999999996</v>
      </c>
      <c r="AF87" s="569">
        <f t="shared" si="40"/>
        <v>5126.8</v>
      </c>
      <c r="AG87" s="569">
        <f t="shared" si="40"/>
        <v>5161.62</v>
      </c>
      <c r="AH87" s="569">
        <f t="shared" si="36"/>
        <v>5196.4399999999996</v>
      </c>
      <c r="AI87" s="569">
        <f t="shared" si="36"/>
        <v>5231.26</v>
      </c>
      <c r="AJ87" s="569">
        <f t="shared" si="38"/>
        <v>5266.08</v>
      </c>
      <c r="AK87" s="569">
        <f t="shared" si="39"/>
        <v>5300.9</v>
      </c>
      <c r="AL87" s="612"/>
    </row>
    <row r="88" spans="1:39" s="573" customFormat="1">
      <c r="A88" s="574" t="s">
        <v>141</v>
      </c>
      <c r="B88" s="596"/>
      <c r="C88" s="574" t="s">
        <v>103</v>
      </c>
      <c r="D88" s="574" t="s">
        <v>142</v>
      </c>
      <c r="E88" s="575" t="s">
        <v>25</v>
      </c>
      <c r="F88" s="574" t="s">
        <v>57</v>
      </c>
      <c r="G88" s="574"/>
      <c r="H88" s="681"/>
      <c r="I88" s="567">
        <v>6.4</v>
      </c>
      <c r="J88" s="573">
        <v>32.799999999999997</v>
      </c>
      <c r="K88" s="569">
        <v>40.449999999999818</v>
      </c>
      <c r="L88" s="569">
        <v>4577.54</v>
      </c>
      <c r="M88" s="569">
        <f t="shared" si="35"/>
        <v>4617.99</v>
      </c>
      <c r="N88" s="569">
        <f t="shared" si="40"/>
        <v>4658.4399999999996</v>
      </c>
      <c r="O88" s="569">
        <f t="shared" si="40"/>
        <v>4698.8900000000003</v>
      </c>
      <c r="P88" s="569">
        <f t="shared" si="40"/>
        <v>4739.34</v>
      </c>
      <c r="Q88" s="569">
        <f t="shared" si="40"/>
        <v>4779.79</v>
      </c>
      <c r="R88" s="569">
        <f t="shared" si="40"/>
        <v>4820.24</v>
      </c>
      <c r="S88" s="569">
        <f t="shared" si="40"/>
        <v>4860.6899999999996</v>
      </c>
      <c r="T88" s="569">
        <f t="shared" si="40"/>
        <v>4901.1400000000003</v>
      </c>
      <c r="U88" s="569">
        <f t="shared" si="40"/>
        <v>4941.59</v>
      </c>
      <c r="V88" s="569">
        <f t="shared" si="40"/>
        <v>4982.04</v>
      </c>
      <c r="W88" s="569">
        <f t="shared" si="40"/>
        <v>5022.49</v>
      </c>
      <c r="X88" s="569">
        <f t="shared" si="40"/>
        <v>5062.9399999999996</v>
      </c>
      <c r="Y88" s="569">
        <f t="shared" si="40"/>
        <v>5103.3900000000003</v>
      </c>
      <c r="Z88" s="569">
        <f t="shared" si="40"/>
        <v>5143.84</v>
      </c>
      <c r="AA88" s="569">
        <f t="shared" si="40"/>
        <v>5184.29</v>
      </c>
      <c r="AB88" s="569">
        <f t="shared" si="40"/>
        <v>5224.74</v>
      </c>
      <c r="AC88" s="569">
        <f t="shared" si="40"/>
        <v>5265.19</v>
      </c>
      <c r="AD88" s="569">
        <f t="shared" si="40"/>
        <v>5305.64</v>
      </c>
      <c r="AE88" s="569">
        <f t="shared" si="40"/>
        <v>5346.09</v>
      </c>
      <c r="AF88" s="569">
        <f t="shared" si="40"/>
        <v>5386.54</v>
      </c>
      <c r="AG88" s="569">
        <f t="shared" si="40"/>
        <v>5426.99</v>
      </c>
      <c r="AH88" s="569">
        <f t="shared" si="36"/>
        <v>5467.44</v>
      </c>
      <c r="AI88" s="569">
        <f t="shared" si="36"/>
        <v>5507.89</v>
      </c>
      <c r="AJ88" s="569">
        <f t="shared" si="38"/>
        <v>5548.34</v>
      </c>
      <c r="AK88" s="569">
        <f t="shared" si="39"/>
        <v>5588.79</v>
      </c>
      <c r="AL88" s="612"/>
    </row>
    <row r="89" spans="1:39" s="591" customFormat="1">
      <c r="A89" s="588" t="s">
        <v>143</v>
      </c>
      <c r="B89" s="544"/>
      <c r="C89" s="588" t="s">
        <v>103</v>
      </c>
      <c r="D89" s="588" t="s">
        <v>45</v>
      </c>
      <c r="E89" s="589" t="s">
        <v>39</v>
      </c>
      <c r="F89" s="588" t="s">
        <v>57</v>
      </c>
      <c r="G89" s="588"/>
      <c r="H89" s="693"/>
      <c r="I89" s="590">
        <v>6.4</v>
      </c>
      <c r="J89" s="591">
        <v>16.399999999999999</v>
      </c>
      <c r="K89" s="592">
        <v>19.009999999999764</v>
      </c>
      <c r="L89" s="679">
        <v>2139.14</v>
      </c>
      <c r="M89" s="679">
        <f t="shared" si="35"/>
        <v>2158.15</v>
      </c>
      <c r="N89" s="679">
        <f t="shared" si="40"/>
        <v>2177.16</v>
      </c>
      <c r="O89" s="679">
        <f t="shared" si="40"/>
        <v>2196.17</v>
      </c>
      <c r="P89" s="679">
        <f t="shared" si="40"/>
        <v>2215.1799999999998</v>
      </c>
      <c r="Q89" s="679">
        <f t="shared" si="40"/>
        <v>2234.19</v>
      </c>
      <c r="R89" s="679">
        <f t="shared" si="40"/>
        <v>2253.1999999999998</v>
      </c>
      <c r="S89" s="679">
        <f t="shared" si="40"/>
        <v>2272.21</v>
      </c>
      <c r="T89" s="679">
        <f t="shared" si="40"/>
        <v>2291.2199999999998</v>
      </c>
      <c r="U89" s="679">
        <f t="shared" si="40"/>
        <v>2310.23</v>
      </c>
      <c r="V89" s="679">
        <f t="shared" si="40"/>
        <v>2329.2399999999998</v>
      </c>
      <c r="W89" s="679">
        <f t="shared" si="40"/>
        <v>2348.25</v>
      </c>
      <c r="X89" s="679">
        <f t="shared" si="40"/>
        <v>2367.2600000000002</v>
      </c>
      <c r="Y89" s="679">
        <f t="shared" si="40"/>
        <v>2386.27</v>
      </c>
      <c r="Z89" s="679">
        <f t="shared" si="40"/>
        <v>2405.2800000000002</v>
      </c>
      <c r="AA89" s="679">
        <f t="shared" si="40"/>
        <v>2424.29</v>
      </c>
      <c r="AB89" s="679">
        <f t="shared" si="40"/>
        <v>2443.3000000000002</v>
      </c>
      <c r="AC89" s="679">
        <f t="shared" si="40"/>
        <v>2462.31</v>
      </c>
      <c r="AD89" s="679">
        <f t="shared" si="40"/>
        <v>2481.3200000000002</v>
      </c>
      <c r="AE89" s="679">
        <f t="shared" si="40"/>
        <v>2500.33</v>
      </c>
      <c r="AF89" s="679">
        <f t="shared" si="40"/>
        <v>2519.34</v>
      </c>
      <c r="AG89" s="679">
        <f t="shared" si="40"/>
        <v>2538.35</v>
      </c>
      <c r="AH89" s="679">
        <f t="shared" si="36"/>
        <v>2557.36</v>
      </c>
      <c r="AI89" s="679">
        <f t="shared" si="36"/>
        <v>2576.37</v>
      </c>
      <c r="AJ89" s="679">
        <f t="shared" si="38"/>
        <v>2595.38</v>
      </c>
      <c r="AK89" s="679">
        <f t="shared" si="39"/>
        <v>2614.39</v>
      </c>
      <c r="AL89" s="612">
        <f>L89+$J89*($AL$10-$L$10)/1000</f>
        <v>2516.3399999999997</v>
      </c>
      <c r="AM89" s="613">
        <f>AL89/AE89-1</f>
        <v>6.4031547835685654E-3</v>
      </c>
    </row>
    <row r="90" spans="1:39" s="573" customFormat="1">
      <c r="A90" s="574" t="s">
        <v>144</v>
      </c>
      <c r="B90" s="596">
        <v>23</v>
      </c>
      <c r="C90" s="574" t="s">
        <v>103</v>
      </c>
      <c r="D90" s="574" t="s">
        <v>45</v>
      </c>
      <c r="E90" s="575" t="s">
        <v>25</v>
      </c>
      <c r="F90" s="574" t="s">
        <v>57</v>
      </c>
      <c r="G90" s="574"/>
      <c r="H90" s="681"/>
      <c r="I90" s="567">
        <v>6.4</v>
      </c>
      <c r="J90" s="573">
        <v>16.399999999999999</v>
      </c>
      <c r="K90" s="569">
        <v>19.070000000000164</v>
      </c>
      <c r="L90" s="569">
        <v>2189.5</v>
      </c>
      <c r="M90" s="569">
        <f t="shared" si="35"/>
        <v>2208.5700000000002</v>
      </c>
      <c r="N90" s="569">
        <f t="shared" si="40"/>
        <v>2227.64</v>
      </c>
      <c r="O90" s="569">
        <f t="shared" si="40"/>
        <v>2246.71</v>
      </c>
      <c r="P90" s="569">
        <f t="shared" si="40"/>
        <v>2265.7800000000002</v>
      </c>
      <c r="Q90" s="569">
        <f t="shared" si="40"/>
        <v>2284.85</v>
      </c>
      <c r="R90" s="569">
        <f t="shared" si="40"/>
        <v>2303.92</v>
      </c>
      <c r="S90" s="569">
        <f t="shared" si="40"/>
        <v>2322.9899999999998</v>
      </c>
      <c r="T90" s="569">
        <f t="shared" si="40"/>
        <v>2342.06</v>
      </c>
      <c r="U90" s="569">
        <f t="shared" si="40"/>
        <v>2361.13</v>
      </c>
      <c r="V90" s="569">
        <f t="shared" si="40"/>
        <v>2380.1999999999998</v>
      </c>
      <c r="W90" s="569">
        <f t="shared" si="40"/>
        <v>2399.27</v>
      </c>
      <c r="X90" s="569">
        <f t="shared" si="40"/>
        <v>2418.34</v>
      </c>
      <c r="Y90" s="569">
        <f t="shared" si="40"/>
        <v>2437.41</v>
      </c>
      <c r="Z90" s="569">
        <f t="shared" si="40"/>
        <v>2456.48</v>
      </c>
      <c r="AA90" s="569">
        <f t="shared" si="40"/>
        <v>2475.5500000000002</v>
      </c>
      <c r="AB90" s="569">
        <f t="shared" si="40"/>
        <v>2494.62</v>
      </c>
      <c r="AC90" s="569">
        <f t="shared" si="40"/>
        <v>2513.69</v>
      </c>
      <c r="AD90" s="569">
        <f t="shared" si="40"/>
        <v>2532.7600000000002</v>
      </c>
      <c r="AE90" s="569">
        <f t="shared" si="40"/>
        <v>2551.83</v>
      </c>
      <c r="AF90" s="569">
        <f t="shared" si="40"/>
        <v>2570.9</v>
      </c>
      <c r="AG90" s="569">
        <f t="shared" si="40"/>
        <v>2589.9699999999998</v>
      </c>
      <c r="AH90" s="569">
        <f t="shared" si="36"/>
        <v>2609.04</v>
      </c>
      <c r="AI90" s="569">
        <f t="shared" si="36"/>
        <v>2628.11</v>
      </c>
      <c r="AJ90" s="569">
        <f t="shared" si="38"/>
        <v>2647.18</v>
      </c>
      <c r="AK90" s="569">
        <f t="shared" si="39"/>
        <v>2666.25</v>
      </c>
      <c r="AL90" s="612">
        <f t="shared" ref="AL90:AL95" si="41">L90+$J90*($AL$10-$L$10)/1000</f>
        <v>2566.6999999999998</v>
      </c>
      <c r="AM90" s="625">
        <f t="shared" ref="AM90:AM95" si="42">AL90/AE90-1</f>
        <v>5.8271906827649378E-3</v>
      </c>
    </row>
    <row r="91" spans="1:39" s="573" customFormat="1">
      <c r="A91" s="570" t="s">
        <v>143</v>
      </c>
      <c r="B91" s="572"/>
      <c r="C91" s="570" t="s">
        <v>103</v>
      </c>
      <c r="D91" s="570" t="s">
        <v>45</v>
      </c>
      <c r="E91" s="571" t="s">
        <v>22</v>
      </c>
      <c r="F91" s="570" t="s">
        <v>57</v>
      </c>
      <c r="G91" s="570"/>
      <c r="H91" s="681"/>
      <c r="I91" s="567">
        <v>6.4</v>
      </c>
      <c r="J91" s="573">
        <v>16.399999999999999</v>
      </c>
      <c r="K91" s="569">
        <v>19.650000000000091</v>
      </c>
      <c r="L91" s="569">
        <v>2255.17</v>
      </c>
      <c r="M91" s="569">
        <f t="shared" si="35"/>
        <v>2274.8200000000002</v>
      </c>
      <c r="N91" s="569">
        <f t="shared" si="40"/>
        <v>2294.4699999999998</v>
      </c>
      <c r="O91" s="569">
        <f t="shared" si="40"/>
        <v>2314.12</v>
      </c>
      <c r="P91" s="569">
        <f t="shared" si="40"/>
        <v>2333.77</v>
      </c>
      <c r="Q91" s="569">
        <f t="shared" si="40"/>
        <v>2353.42</v>
      </c>
      <c r="R91" s="569">
        <f t="shared" si="40"/>
        <v>2373.0700000000002</v>
      </c>
      <c r="S91" s="569">
        <f t="shared" si="40"/>
        <v>2392.7199999999998</v>
      </c>
      <c r="T91" s="569">
        <f t="shared" si="40"/>
        <v>2412.37</v>
      </c>
      <c r="U91" s="569">
        <f t="shared" si="40"/>
        <v>2432.02</v>
      </c>
      <c r="V91" s="569">
        <f t="shared" si="40"/>
        <v>2451.67</v>
      </c>
      <c r="W91" s="569">
        <f t="shared" si="40"/>
        <v>2471.3200000000002</v>
      </c>
      <c r="X91" s="569">
        <f t="shared" si="40"/>
        <v>2490.9699999999998</v>
      </c>
      <c r="Y91" s="569">
        <f t="shared" si="40"/>
        <v>2510.62</v>
      </c>
      <c r="Z91" s="569">
        <f t="shared" si="40"/>
        <v>2530.27</v>
      </c>
      <c r="AA91" s="569">
        <f t="shared" si="40"/>
        <v>2549.92</v>
      </c>
      <c r="AB91" s="569">
        <f t="shared" si="40"/>
        <v>2569.5700000000002</v>
      </c>
      <c r="AC91" s="569">
        <f t="shared" si="40"/>
        <v>2589.2199999999998</v>
      </c>
      <c r="AD91" s="569">
        <f t="shared" si="40"/>
        <v>2608.87</v>
      </c>
      <c r="AE91" s="569">
        <f t="shared" si="40"/>
        <v>2628.52</v>
      </c>
      <c r="AF91" s="569">
        <f t="shared" si="40"/>
        <v>2648.17</v>
      </c>
      <c r="AG91" s="569">
        <f t="shared" si="40"/>
        <v>2667.82</v>
      </c>
      <c r="AH91" s="569">
        <f t="shared" si="36"/>
        <v>2687.47</v>
      </c>
      <c r="AI91" s="569">
        <f t="shared" si="36"/>
        <v>2707.12</v>
      </c>
      <c r="AJ91" s="569">
        <f t="shared" si="38"/>
        <v>2726.77</v>
      </c>
      <c r="AK91" s="569">
        <f t="shared" si="39"/>
        <v>2746.42</v>
      </c>
      <c r="AL91" s="612">
        <f t="shared" si="41"/>
        <v>2632.37</v>
      </c>
      <c r="AM91" s="625">
        <f t="shared" si="42"/>
        <v>1.4647025702676508E-3</v>
      </c>
    </row>
    <row r="92" spans="1:39" s="606" customFormat="1" ht="28">
      <c r="A92" s="601" t="s">
        <v>145</v>
      </c>
      <c r="B92" s="602"/>
      <c r="C92" s="603" t="s">
        <v>103</v>
      </c>
      <c r="D92" s="603" t="s">
        <v>45</v>
      </c>
      <c r="E92" s="604" t="s">
        <v>22</v>
      </c>
      <c r="F92" s="603" t="s">
        <v>57</v>
      </c>
      <c r="G92" s="603"/>
      <c r="H92" s="695"/>
      <c r="I92" s="605">
        <v>6.4</v>
      </c>
      <c r="J92" s="606">
        <v>16.399999999999999</v>
      </c>
      <c r="K92" s="569">
        <v>20.230000000000018</v>
      </c>
      <c r="L92" s="569">
        <v>2322.8200000000002</v>
      </c>
      <c r="M92" s="569">
        <f t="shared" si="35"/>
        <v>2343.0500000000002</v>
      </c>
      <c r="N92" s="569">
        <f t="shared" si="40"/>
        <v>2363.2800000000002</v>
      </c>
      <c r="O92" s="569">
        <f t="shared" si="40"/>
        <v>2383.5100000000002</v>
      </c>
      <c r="P92" s="569">
        <f t="shared" si="40"/>
        <v>2403.7399999999998</v>
      </c>
      <c r="Q92" s="569">
        <f t="shared" si="40"/>
        <v>2423.9699999999998</v>
      </c>
      <c r="R92" s="569">
        <f t="shared" si="40"/>
        <v>2444.1999999999998</v>
      </c>
      <c r="S92" s="569">
        <f t="shared" si="40"/>
        <v>2464.4299999999998</v>
      </c>
      <c r="T92" s="569">
        <f t="shared" si="40"/>
        <v>2484.66</v>
      </c>
      <c r="U92" s="569">
        <f t="shared" si="40"/>
        <v>2504.89</v>
      </c>
      <c r="V92" s="569">
        <f t="shared" si="40"/>
        <v>2525.12</v>
      </c>
      <c r="W92" s="569">
        <f t="shared" si="40"/>
        <v>2545.35</v>
      </c>
      <c r="X92" s="569">
        <f t="shared" si="40"/>
        <v>2565.58</v>
      </c>
      <c r="Y92" s="569">
        <f t="shared" si="40"/>
        <v>2585.81</v>
      </c>
      <c r="Z92" s="569">
        <f t="shared" si="40"/>
        <v>2606.04</v>
      </c>
      <c r="AA92" s="569">
        <f t="shared" si="40"/>
        <v>2626.27</v>
      </c>
      <c r="AB92" s="569">
        <f t="shared" si="40"/>
        <v>2646.5</v>
      </c>
      <c r="AC92" s="569">
        <f t="shared" si="40"/>
        <v>2666.73</v>
      </c>
      <c r="AD92" s="569">
        <f t="shared" si="40"/>
        <v>2686.96</v>
      </c>
      <c r="AE92" s="569">
        <f t="shared" si="40"/>
        <v>2707.19</v>
      </c>
      <c r="AF92" s="569">
        <f t="shared" si="40"/>
        <v>2727.42</v>
      </c>
      <c r="AG92" s="569">
        <f t="shared" si="40"/>
        <v>2747.65</v>
      </c>
      <c r="AH92" s="569">
        <f t="shared" si="36"/>
        <v>2767.88</v>
      </c>
      <c r="AI92" s="569">
        <f t="shared" si="36"/>
        <v>2788.11</v>
      </c>
      <c r="AJ92" s="569">
        <f t="shared" si="38"/>
        <v>2808.34</v>
      </c>
      <c r="AK92" s="569">
        <f t="shared" si="39"/>
        <v>2828.57</v>
      </c>
      <c r="AL92" s="612">
        <f t="shared" si="41"/>
        <v>2700.02</v>
      </c>
      <c r="AM92" s="625">
        <f t="shared" si="42"/>
        <v>-2.6485026909821574E-3</v>
      </c>
    </row>
    <row r="93" spans="1:39" s="621" customFormat="1">
      <c r="A93" s="617" t="s">
        <v>146</v>
      </c>
      <c r="B93" s="618"/>
      <c r="C93" s="617" t="s">
        <v>103</v>
      </c>
      <c r="D93" s="617" t="s">
        <v>45</v>
      </c>
      <c r="E93" s="619" t="s">
        <v>39</v>
      </c>
      <c r="F93" s="617" t="s">
        <v>57</v>
      </c>
      <c r="G93" s="617"/>
      <c r="H93" s="696" t="s">
        <v>147</v>
      </c>
      <c r="I93" s="620">
        <v>6.4</v>
      </c>
      <c r="J93" s="621">
        <v>16.399999999999999</v>
      </c>
      <c r="K93" s="622">
        <v>17.36</v>
      </c>
      <c r="L93" s="622">
        <v>1861.63</v>
      </c>
      <c r="M93" s="622">
        <f t="shared" si="35"/>
        <v>1878.99</v>
      </c>
      <c r="N93" s="622">
        <f t="shared" si="40"/>
        <v>1896.35</v>
      </c>
      <c r="O93" s="622">
        <f t="shared" si="40"/>
        <v>1913.71</v>
      </c>
      <c r="P93" s="622">
        <f t="shared" si="40"/>
        <v>1931.07</v>
      </c>
      <c r="Q93" s="622">
        <f t="shared" si="40"/>
        <v>1948.43</v>
      </c>
      <c r="R93" s="622">
        <f t="shared" si="40"/>
        <v>1965.79</v>
      </c>
      <c r="S93" s="622">
        <f t="shared" si="40"/>
        <v>1983.15</v>
      </c>
      <c r="T93" s="622">
        <f t="shared" si="40"/>
        <v>2000.51</v>
      </c>
      <c r="U93" s="622">
        <f t="shared" si="40"/>
        <v>2017.87</v>
      </c>
      <c r="V93" s="622">
        <f t="shared" si="40"/>
        <v>2035.23</v>
      </c>
      <c r="W93" s="622">
        <f t="shared" si="40"/>
        <v>2052.59</v>
      </c>
      <c r="X93" s="622">
        <f t="shared" si="40"/>
        <v>2069.9499999999998</v>
      </c>
      <c r="Y93" s="622">
        <f t="shared" si="40"/>
        <v>2087.31</v>
      </c>
      <c r="Z93" s="622">
        <f t="shared" si="40"/>
        <v>2104.67</v>
      </c>
      <c r="AA93" s="622">
        <f t="shared" si="40"/>
        <v>2122.0300000000002</v>
      </c>
      <c r="AB93" s="622">
        <f t="shared" si="40"/>
        <v>2139.39</v>
      </c>
      <c r="AC93" s="622">
        <f t="shared" ref="N93:AG108" si="43">ROUND(AB93+$K93,2)</f>
        <v>2156.75</v>
      </c>
      <c r="AD93" s="622">
        <f t="shared" si="43"/>
        <v>2174.11</v>
      </c>
      <c r="AE93" s="622">
        <f t="shared" si="43"/>
        <v>2191.4699999999998</v>
      </c>
      <c r="AF93" s="622">
        <f t="shared" si="43"/>
        <v>2208.83</v>
      </c>
      <c r="AG93" s="622">
        <f t="shared" si="43"/>
        <v>2226.19</v>
      </c>
      <c r="AH93" s="622">
        <f t="shared" si="36"/>
        <v>2243.5500000000002</v>
      </c>
      <c r="AI93" s="622">
        <f t="shared" si="36"/>
        <v>2260.91</v>
      </c>
      <c r="AJ93" s="622">
        <f t="shared" si="38"/>
        <v>2278.27</v>
      </c>
      <c r="AK93" s="622">
        <f t="shared" si="39"/>
        <v>2295.63</v>
      </c>
      <c r="AL93" s="623">
        <f t="shared" si="41"/>
        <v>2238.83</v>
      </c>
      <c r="AM93" s="624">
        <f t="shared" si="42"/>
        <v>2.1611064719115447E-2</v>
      </c>
    </row>
    <row r="94" spans="1:39" s="621" customFormat="1">
      <c r="A94" s="617" t="s">
        <v>146</v>
      </c>
      <c r="B94" s="618"/>
      <c r="C94" s="617" t="s">
        <v>103</v>
      </c>
      <c r="D94" s="617" t="s">
        <v>45</v>
      </c>
      <c r="E94" s="619" t="s">
        <v>25</v>
      </c>
      <c r="F94" s="617" t="s">
        <v>57</v>
      </c>
      <c r="G94" s="617"/>
      <c r="H94" s="696"/>
      <c r="I94" s="620">
        <v>6.4</v>
      </c>
      <c r="J94" s="621">
        <v>16.399999999999999</v>
      </c>
      <c r="K94" s="622">
        <v>17.36</v>
      </c>
      <c r="L94" s="622">
        <v>1967.75</v>
      </c>
      <c r="M94" s="622">
        <f t="shared" si="35"/>
        <v>1985.11</v>
      </c>
      <c r="N94" s="622">
        <f t="shared" si="43"/>
        <v>2002.47</v>
      </c>
      <c r="O94" s="622">
        <f t="shared" si="43"/>
        <v>2019.83</v>
      </c>
      <c r="P94" s="622">
        <f t="shared" si="43"/>
        <v>2037.19</v>
      </c>
      <c r="Q94" s="622">
        <f t="shared" si="43"/>
        <v>2054.5500000000002</v>
      </c>
      <c r="R94" s="622">
        <f t="shared" si="43"/>
        <v>2071.91</v>
      </c>
      <c r="S94" s="622">
        <f t="shared" si="43"/>
        <v>2089.27</v>
      </c>
      <c r="T94" s="622">
        <f t="shared" si="43"/>
        <v>2106.63</v>
      </c>
      <c r="U94" s="622">
        <f t="shared" si="43"/>
        <v>2123.9899999999998</v>
      </c>
      <c r="V94" s="622">
        <f t="shared" si="43"/>
        <v>2141.35</v>
      </c>
      <c r="W94" s="622">
        <f t="shared" si="43"/>
        <v>2158.71</v>
      </c>
      <c r="X94" s="622">
        <f t="shared" si="43"/>
        <v>2176.0700000000002</v>
      </c>
      <c r="Y94" s="622">
        <f t="shared" si="43"/>
        <v>2193.4299999999998</v>
      </c>
      <c r="Z94" s="622">
        <f t="shared" si="43"/>
        <v>2210.79</v>
      </c>
      <c r="AA94" s="622">
        <f t="shared" si="43"/>
        <v>2228.15</v>
      </c>
      <c r="AB94" s="622">
        <f t="shared" si="43"/>
        <v>2245.5100000000002</v>
      </c>
      <c r="AC94" s="622">
        <f t="shared" si="43"/>
        <v>2262.87</v>
      </c>
      <c r="AD94" s="622">
        <f t="shared" si="43"/>
        <v>2280.23</v>
      </c>
      <c r="AE94" s="622">
        <f t="shared" si="43"/>
        <v>2297.59</v>
      </c>
      <c r="AF94" s="622">
        <f t="shared" si="43"/>
        <v>2314.9499999999998</v>
      </c>
      <c r="AG94" s="622">
        <f t="shared" si="43"/>
        <v>2332.31</v>
      </c>
      <c r="AH94" s="622">
        <f t="shared" si="36"/>
        <v>2349.67</v>
      </c>
      <c r="AI94" s="622">
        <f t="shared" si="36"/>
        <v>2367.0300000000002</v>
      </c>
      <c r="AJ94" s="622">
        <f t="shared" si="38"/>
        <v>2384.39</v>
      </c>
      <c r="AK94" s="622">
        <f t="shared" si="39"/>
        <v>2401.75</v>
      </c>
      <c r="AL94" s="623">
        <f t="shared" si="41"/>
        <v>2344.9499999999998</v>
      </c>
      <c r="AM94" s="624">
        <f t="shared" si="42"/>
        <v>2.0612903085406753E-2</v>
      </c>
    </row>
    <row r="95" spans="1:39" s="621" customFormat="1">
      <c r="A95" s="617" t="s">
        <v>146</v>
      </c>
      <c r="B95" s="618"/>
      <c r="C95" s="617" t="s">
        <v>103</v>
      </c>
      <c r="D95" s="617" t="s">
        <v>45</v>
      </c>
      <c r="E95" s="619" t="s">
        <v>22</v>
      </c>
      <c r="F95" s="617" t="s">
        <v>57</v>
      </c>
      <c r="G95" s="617"/>
      <c r="H95" s="696"/>
      <c r="I95" s="620">
        <v>6.4</v>
      </c>
      <c r="J95" s="621">
        <v>16.399999999999999</v>
      </c>
      <c r="K95" s="622">
        <v>17.36</v>
      </c>
      <c r="L95" s="622">
        <v>2026.78</v>
      </c>
      <c r="M95" s="622">
        <f t="shared" si="35"/>
        <v>2044.14</v>
      </c>
      <c r="N95" s="622">
        <f t="shared" si="43"/>
        <v>2061.5</v>
      </c>
      <c r="O95" s="622">
        <f t="shared" si="43"/>
        <v>2078.86</v>
      </c>
      <c r="P95" s="622">
        <f t="shared" si="43"/>
        <v>2096.2199999999998</v>
      </c>
      <c r="Q95" s="622">
        <f t="shared" si="43"/>
        <v>2113.58</v>
      </c>
      <c r="R95" s="622">
        <f t="shared" si="43"/>
        <v>2130.94</v>
      </c>
      <c r="S95" s="622">
        <f t="shared" si="43"/>
        <v>2148.3000000000002</v>
      </c>
      <c r="T95" s="622">
        <f t="shared" si="43"/>
        <v>2165.66</v>
      </c>
      <c r="U95" s="622">
        <f t="shared" si="43"/>
        <v>2183.02</v>
      </c>
      <c r="V95" s="622">
        <f t="shared" si="43"/>
        <v>2200.38</v>
      </c>
      <c r="W95" s="622">
        <f t="shared" si="43"/>
        <v>2217.7399999999998</v>
      </c>
      <c r="X95" s="622">
        <f t="shared" si="43"/>
        <v>2235.1</v>
      </c>
      <c r="Y95" s="622">
        <f t="shared" si="43"/>
        <v>2252.46</v>
      </c>
      <c r="Z95" s="622">
        <f t="shared" si="43"/>
        <v>2269.8200000000002</v>
      </c>
      <c r="AA95" s="622">
        <f t="shared" si="43"/>
        <v>2287.1799999999998</v>
      </c>
      <c r="AB95" s="622">
        <f t="shared" si="43"/>
        <v>2304.54</v>
      </c>
      <c r="AC95" s="622">
        <f t="shared" si="43"/>
        <v>2321.9</v>
      </c>
      <c r="AD95" s="622">
        <f t="shared" si="43"/>
        <v>2339.2600000000002</v>
      </c>
      <c r="AE95" s="622">
        <f t="shared" si="43"/>
        <v>2356.62</v>
      </c>
      <c r="AF95" s="622">
        <f t="shared" si="43"/>
        <v>2373.98</v>
      </c>
      <c r="AG95" s="622">
        <f t="shared" si="43"/>
        <v>2391.34</v>
      </c>
      <c r="AH95" s="622">
        <f t="shared" si="36"/>
        <v>2408.6999999999998</v>
      </c>
      <c r="AI95" s="622">
        <f t="shared" si="36"/>
        <v>2426.06</v>
      </c>
      <c r="AJ95" s="622">
        <f t="shared" si="38"/>
        <v>2443.42</v>
      </c>
      <c r="AK95" s="622">
        <f t="shared" si="39"/>
        <v>2460.7800000000002</v>
      </c>
      <c r="AL95" s="623">
        <f t="shared" si="41"/>
        <v>2403.98</v>
      </c>
      <c r="AM95" s="624">
        <f t="shared" si="42"/>
        <v>2.0096578998735515E-2</v>
      </c>
    </row>
    <row r="96" spans="1:39" s="610" customFormat="1">
      <c r="A96" s="607" t="s">
        <v>148</v>
      </c>
      <c r="B96" s="608"/>
      <c r="C96" s="607" t="s">
        <v>149</v>
      </c>
      <c r="D96" s="607" t="s">
        <v>35</v>
      </c>
      <c r="E96" s="609" t="s">
        <v>150</v>
      </c>
      <c r="F96" s="558" t="s">
        <v>57</v>
      </c>
      <c r="G96" s="607"/>
      <c r="H96" s="690" t="s">
        <v>151</v>
      </c>
      <c r="I96" s="610">
        <v>6.4</v>
      </c>
      <c r="K96" s="611">
        <v>17.309999999999999</v>
      </c>
      <c r="L96" s="563">
        <v>1899.2</v>
      </c>
      <c r="M96" s="563">
        <f t="shared" ref="M96:AG96" si="44">ROUND(L96+$K96,2)</f>
        <v>1916.51</v>
      </c>
      <c r="N96" s="563">
        <f t="shared" si="44"/>
        <v>1933.82</v>
      </c>
      <c r="O96" s="563">
        <f t="shared" si="44"/>
        <v>1951.13</v>
      </c>
      <c r="P96" s="563">
        <f t="shared" si="44"/>
        <v>1968.44</v>
      </c>
      <c r="Q96" s="563">
        <f t="shared" si="44"/>
        <v>1985.75</v>
      </c>
      <c r="R96" s="563">
        <f t="shared" si="44"/>
        <v>2003.06</v>
      </c>
      <c r="S96" s="563">
        <f t="shared" si="44"/>
        <v>2020.37</v>
      </c>
      <c r="T96" s="563">
        <f t="shared" si="44"/>
        <v>2037.68</v>
      </c>
      <c r="U96" s="563">
        <f t="shared" si="44"/>
        <v>2054.9899999999998</v>
      </c>
      <c r="V96" s="563">
        <f t="shared" si="44"/>
        <v>2072.3000000000002</v>
      </c>
      <c r="W96" s="563">
        <f t="shared" si="44"/>
        <v>2089.61</v>
      </c>
      <c r="X96" s="563">
        <f t="shared" si="44"/>
        <v>2106.92</v>
      </c>
      <c r="Y96" s="563">
        <f t="shared" si="44"/>
        <v>2124.23</v>
      </c>
      <c r="Z96" s="563">
        <f t="shared" si="44"/>
        <v>2141.54</v>
      </c>
      <c r="AA96" s="563">
        <f t="shared" si="44"/>
        <v>2158.85</v>
      </c>
      <c r="AB96" s="563">
        <f t="shared" si="44"/>
        <v>2176.16</v>
      </c>
      <c r="AC96" s="563">
        <f t="shared" si="44"/>
        <v>2193.4699999999998</v>
      </c>
      <c r="AD96" s="563">
        <f t="shared" si="44"/>
        <v>2210.7800000000002</v>
      </c>
      <c r="AE96" s="563">
        <f t="shared" si="44"/>
        <v>2228.09</v>
      </c>
      <c r="AF96" s="563">
        <f t="shared" si="44"/>
        <v>2245.4</v>
      </c>
      <c r="AG96" s="563">
        <f t="shared" si="44"/>
        <v>2262.71</v>
      </c>
      <c r="AH96" s="563">
        <f t="shared" ref="AH96:AI111" si="45">ROUND(AG96+$K96,2)</f>
        <v>2280.02</v>
      </c>
      <c r="AI96" s="563">
        <f t="shared" ref="AI96:AI97" si="46">ROUND(AH96+$K96,2)</f>
        <v>2297.33</v>
      </c>
      <c r="AJ96" s="563">
        <f t="shared" si="38"/>
        <v>2314.64</v>
      </c>
      <c r="AK96" s="563">
        <f t="shared" si="39"/>
        <v>2331.9499999999998</v>
      </c>
      <c r="AL96" s="612"/>
    </row>
    <row r="97" spans="1:38" s="610" customFormat="1">
      <c r="A97" s="607" t="s">
        <v>148</v>
      </c>
      <c r="B97" s="608"/>
      <c r="C97" s="607" t="s">
        <v>149</v>
      </c>
      <c r="D97" s="607" t="s">
        <v>35</v>
      </c>
      <c r="E97" s="609" t="s">
        <v>56</v>
      </c>
      <c r="F97" s="558" t="s">
        <v>57</v>
      </c>
      <c r="G97" s="607"/>
      <c r="H97" s="690" t="s">
        <v>152</v>
      </c>
      <c r="I97" s="610">
        <v>6.4</v>
      </c>
      <c r="K97" s="611">
        <v>17.309999999999999</v>
      </c>
      <c r="L97" s="563">
        <v>2028.59</v>
      </c>
      <c r="M97" s="563">
        <f t="shared" ref="M97:AG97" si="47">ROUND(L97+$K97,2)</f>
        <v>2045.9</v>
      </c>
      <c r="N97" s="563">
        <f t="shared" si="47"/>
        <v>2063.21</v>
      </c>
      <c r="O97" s="563">
        <f t="shared" si="47"/>
        <v>2080.52</v>
      </c>
      <c r="P97" s="563">
        <f t="shared" si="47"/>
        <v>2097.83</v>
      </c>
      <c r="Q97" s="563">
        <f t="shared" si="47"/>
        <v>2115.14</v>
      </c>
      <c r="R97" s="563">
        <f t="shared" si="47"/>
        <v>2132.4499999999998</v>
      </c>
      <c r="S97" s="563">
        <f t="shared" si="47"/>
        <v>2149.7600000000002</v>
      </c>
      <c r="T97" s="563">
        <f t="shared" si="47"/>
        <v>2167.0700000000002</v>
      </c>
      <c r="U97" s="563">
        <f t="shared" si="47"/>
        <v>2184.38</v>
      </c>
      <c r="V97" s="563">
        <f t="shared" si="47"/>
        <v>2201.69</v>
      </c>
      <c r="W97" s="563">
        <f t="shared" si="47"/>
        <v>2219</v>
      </c>
      <c r="X97" s="563">
        <f t="shared" si="47"/>
        <v>2236.31</v>
      </c>
      <c r="Y97" s="563">
        <f t="shared" si="47"/>
        <v>2253.62</v>
      </c>
      <c r="Z97" s="563">
        <f t="shared" si="47"/>
        <v>2270.9299999999998</v>
      </c>
      <c r="AA97" s="563">
        <f t="shared" si="47"/>
        <v>2288.2399999999998</v>
      </c>
      <c r="AB97" s="563">
        <f t="shared" si="47"/>
        <v>2305.5500000000002</v>
      </c>
      <c r="AC97" s="563">
        <f t="shared" si="47"/>
        <v>2322.86</v>
      </c>
      <c r="AD97" s="563">
        <f t="shared" si="47"/>
        <v>2340.17</v>
      </c>
      <c r="AE97" s="563">
        <f t="shared" si="47"/>
        <v>2357.48</v>
      </c>
      <c r="AF97" s="563">
        <f t="shared" si="47"/>
        <v>2374.79</v>
      </c>
      <c r="AG97" s="563">
        <f t="shared" si="47"/>
        <v>2392.1</v>
      </c>
      <c r="AH97" s="563">
        <f t="shared" si="45"/>
        <v>2409.41</v>
      </c>
      <c r="AI97" s="563">
        <f t="shared" si="46"/>
        <v>2426.7199999999998</v>
      </c>
      <c r="AJ97" s="563">
        <f t="shared" si="38"/>
        <v>2444.0300000000002</v>
      </c>
      <c r="AK97" s="563">
        <f t="shared" si="39"/>
        <v>2461.34</v>
      </c>
      <c r="AL97" s="612"/>
    </row>
    <row r="98" spans="1:38" s="573" customFormat="1">
      <c r="A98" s="570" t="s">
        <v>153</v>
      </c>
      <c r="B98" s="572"/>
      <c r="C98" s="570" t="s">
        <v>154</v>
      </c>
      <c r="D98" s="570" t="s">
        <v>100</v>
      </c>
      <c r="E98" s="571" t="s">
        <v>39</v>
      </c>
      <c r="F98" s="570" t="s">
        <v>57</v>
      </c>
      <c r="G98" s="570"/>
      <c r="H98" s="681"/>
      <c r="I98" s="567">
        <v>6.4</v>
      </c>
      <c r="J98" s="573">
        <v>38.4</v>
      </c>
      <c r="K98" s="569">
        <v>34.5</v>
      </c>
      <c r="L98" s="569">
        <v>4868.6099999999997</v>
      </c>
      <c r="M98" s="569">
        <f t="shared" si="35"/>
        <v>4903.1099999999997</v>
      </c>
      <c r="N98" s="569">
        <f t="shared" si="43"/>
        <v>4937.6099999999997</v>
      </c>
      <c r="O98" s="569">
        <f t="shared" si="43"/>
        <v>4972.1099999999997</v>
      </c>
      <c r="P98" s="569">
        <f t="shared" si="43"/>
        <v>5006.6099999999997</v>
      </c>
      <c r="Q98" s="569">
        <f t="shared" si="43"/>
        <v>5041.1099999999997</v>
      </c>
      <c r="R98" s="569">
        <f t="shared" si="43"/>
        <v>5075.6099999999997</v>
      </c>
      <c r="S98" s="569">
        <f t="shared" si="43"/>
        <v>5110.1099999999997</v>
      </c>
      <c r="T98" s="569">
        <f t="shared" si="43"/>
        <v>5144.6099999999997</v>
      </c>
      <c r="U98" s="569">
        <f t="shared" si="43"/>
        <v>5179.1099999999997</v>
      </c>
      <c r="V98" s="569">
        <f t="shared" si="43"/>
        <v>5213.6099999999997</v>
      </c>
      <c r="W98" s="569">
        <f t="shared" si="43"/>
        <v>5248.11</v>
      </c>
      <c r="X98" s="569">
        <f t="shared" si="43"/>
        <v>5282.61</v>
      </c>
      <c r="Y98" s="569">
        <f t="shared" si="43"/>
        <v>5317.11</v>
      </c>
      <c r="Z98" s="569">
        <f t="shared" si="43"/>
        <v>5351.61</v>
      </c>
      <c r="AA98" s="569">
        <f t="shared" si="43"/>
        <v>5386.11</v>
      </c>
      <c r="AB98" s="569">
        <f t="shared" si="43"/>
        <v>5420.61</v>
      </c>
      <c r="AC98" s="569">
        <f t="shared" si="43"/>
        <v>5455.11</v>
      </c>
      <c r="AD98" s="569">
        <f t="shared" si="43"/>
        <v>5489.61</v>
      </c>
      <c r="AE98" s="569">
        <f t="shared" si="43"/>
        <v>5524.11</v>
      </c>
      <c r="AF98" s="569">
        <f t="shared" si="43"/>
        <v>5558.61</v>
      </c>
      <c r="AG98" s="569">
        <f t="shared" si="43"/>
        <v>5593.11</v>
      </c>
      <c r="AH98" s="569">
        <f t="shared" si="45"/>
        <v>5627.61</v>
      </c>
      <c r="AI98" s="569">
        <f t="shared" si="45"/>
        <v>5662.11</v>
      </c>
      <c r="AJ98" s="569">
        <f t="shared" si="38"/>
        <v>5696.61</v>
      </c>
      <c r="AK98" s="569">
        <f t="shared" si="39"/>
        <v>5731.11</v>
      </c>
      <c r="AL98" s="649"/>
    </row>
    <row r="99" spans="1:38" s="573" customFormat="1">
      <c r="A99" s="570" t="s">
        <v>155</v>
      </c>
      <c r="B99" s="572"/>
      <c r="C99" s="570" t="s">
        <v>154</v>
      </c>
      <c r="D99" s="570" t="s">
        <v>100</v>
      </c>
      <c r="E99" s="571" t="s">
        <v>39</v>
      </c>
      <c r="F99" s="570" t="s">
        <v>57</v>
      </c>
      <c r="G99" s="570"/>
      <c r="H99" s="681"/>
      <c r="I99" s="567">
        <v>6.4</v>
      </c>
      <c r="J99" s="573">
        <v>38.4</v>
      </c>
      <c r="K99" s="569">
        <v>39.550000000000182</v>
      </c>
      <c r="L99" s="569">
        <v>5372.29</v>
      </c>
      <c r="M99" s="569">
        <f t="shared" si="35"/>
        <v>5411.84</v>
      </c>
      <c r="N99" s="569">
        <f t="shared" si="43"/>
        <v>5451.39</v>
      </c>
      <c r="O99" s="569">
        <f t="shared" si="43"/>
        <v>5490.94</v>
      </c>
      <c r="P99" s="569">
        <f t="shared" si="43"/>
        <v>5530.49</v>
      </c>
      <c r="Q99" s="569">
        <f t="shared" si="43"/>
        <v>5570.04</v>
      </c>
      <c r="R99" s="569">
        <f t="shared" si="43"/>
        <v>5609.59</v>
      </c>
      <c r="S99" s="569">
        <f t="shared" si="43"/>
        <v>5649.14</v>
      </c>
      <c r="T99" s="569">
        <f t="shared" si="43"/>
        <v>5688.69</v>
      </c>
      <c r="U99" s="569">
        <f t="shared" si="43"/>
        <v>5728.24</v>
      </c>
      <c r="V99" s="569">
        <f t="shared" si="43"/>
        <v>5767.79</v>
      </c>
      <c r="W99" s="569">
        <f t="shared" si="43"/>
        <v>5807.34</v>
      </c>
      <c r="X99" s="569">
        <f t="shared" si="43"/>
        <v>5846.89</v>
      </c>
      <c r="Y99" s="569">
        <f t="shared" si="43"/>
        <v>5886.44</v>
      </c>
      <c r="Z99" s="569">
        <f t="shared" si="43"/>
        <v>5925.99</v>
      </c>
      <c r="AA99" s="569">
        <f t="shared" si="43"/>
        <v>5965.54</v>
      </c>
      <c r="AB99" s="569">
        <f t="shared" si="43"/>
        <v>6005.09</v>
      </c>
      <c r="AC99" s="569">
        <f t="shared" si="43"/>
        <v>6044.64</v>
      </c>
      <c r="AD99" s="569">
        <f t="shared" si="43"/>
        <v>6084.19</v>
      </c>
      <c r="AE99" s="569">
        <f t="shared" si="43"/>
        <v>6123.74</v>
      </c>
      <c r="AF99" s="569">
        <f t="shared" si="43"/>
        <v>6163.29</v>
      </c>
      <c r="AG99" s="569">
        <f t="shared" si="43"/>
        <v>6202.84</v>
      </c>
      <c r="AH99" s="569">
        <f t="shared" si="45"/>
        <v>6242.39</v>
      </c>
      <c r="AI99" s="569">
        <f t="shared" si="45"/>
        <v>6281.94</v>
      </c>
      <c r="AJ99" s="569">
        <f t="shared" si="38"/>
        <v>6321.49</v>
      </c>
      <c r="AK99" s="569">
        <f t="shared" si="39"/>
        <v>6361.04</v>
      </c>
      <c r="AL99" s="649"/>
    </row>
    <row r="100" spans="1:38" s="573" customFormat="1">
      <c r="A100" s="570" t="s">
        <v>156</v>
      </c>
      <c r="B100" s="572"/>
      <c r="C100" s="570" t="s">
        <v>154</v>
      </c>
      <c r="D100" s="570" t="s">
        <v>100</v>
      </c>
      <c r="E100" s="571" t="s">
        <v>39</v>
      </c>
      <c r="F100" s="570" t="s">
        <v>57</v>
      </c>
      <c r="G100" s="570"/>
      <c r="H100" s="681"/>
      <c r="I100" s="567">
        <v>6.4</v>
      </c>
      <c r="J100" s="573">
        <v>19.2</v>
      </c>
      <c r="K100" s="569">
        <v>16.380000000000109</v>
      </c>
      <c r="L100" s="569">
        <v>2317.12</v>
      </c>
      <c r="M100" s="569">
        <f t="shared" si="35"/>
        <v>2333.5</v>
      </c>
      <c r="N100" s="569">
        <f t="shared" si="43"/>
        <v>2349.88</v>
      </c>
      <c r="O100" s="569">
        <f t="shared" si="43"/>
        <v>2366.2600000000002</v>
      </c>
      <c r="P100" s="569">
        <f t="shared" si="43"/>
        <v>2382.64</v>
      </c>
      <c r="Q100" s="569">
        <f t="shared" si="43"/>
        <v>2399.02</v>
      </c>
      <c r="R100" s="569">
        <f t="shared" si="43"/>
        <v>2415.4</v>
      </c>
      <c r="S100" s="569">
        <f t="shared" si="43"/>
        <v>2431.7800000000002</v>
      </c>
      <c r="T100" s="569">
        <f t="shared" si="43"/>
        <v>2448.16</v>
      </c>
      <c r="U100" s="569">
        <f t="shared" si="43"/>
        <v>2464.54</v>
      </c>
      <c r="V100" s="569">
        <f t="shared" si="43"/>
        <v>2480.92</v>
      </c>
      <c r="W100" s="569">
        <f t="shared" si="43"/>
        <v>2497.3000000000002</v>
      </c>
      <c r="X100" s="569">
        <f t="shared" si="43"/>
        <v>2513.6799999999998</v>
      </c>
      <c r="Y100" s="569">
        <f t="shared" si="43"/>
        <v>2530.06</v>
      </c>
      <c r="Z100" s="569">
        <f t="shared" si="43"/>
        <v>2546.44</v>
      </c>
      <c r="AA100" s="569">
        <f t="shared" si="43"/>
        <v>2562.8200000000002</v>
      </c>
      <c r="AB100" s="569">
        <f t="shared" si="43"/>
        <v>2579.1999999999998</v>
      </c>
      <c r="AC100" s="569">
        <f t="shared" si="43"/>
        <v>2595.58</v>
      </c>
      <c r="AD100" s="569">
        <f t="shared" si="43"/>
        <v>2611.96</v>
      </c>
      <c r="AE100" s="569">
        <f t="shared" si="43"/>
        <v>2628.34</v>
      </c>
      <c r="AF100" s="569">
        <f t="shared" si="43"/>
        <v>2644.72</v>
      </c>
      <c r="AG100" s="569">
        <f t="shared" si="43"/>
        <v>2661.1</v>
      </c>
      <c r="AH100" s="569">
        <f t="shared" si="45"/>
        <v>2677.48</v>
      </c>
      <c r="AI100" s="569">
        <f t="shared" si="45"/>
        <v>2693.86</v>
      </c>
      <c r="AJ100" s="569">
        <f t="shared" si="38"/>
        <v>2710.24</v>
      </c>
      <c r="AK100" s="569">
        <f t="shared" si="39"/>
        <v>2726.62</v>
      </c>
      <c r="AL100" s="649"/>
    </row>
    <row r="101" spans="1:38" s="573" customFormat="1">
      <c r="A101" s="570" t="s">
        <v>157</v>
      </c>
      <c r="B101" s="572"/>
      <c r="C101" s="570" t="s">
        <v>154</v>
      </c>
      <c r="D101" s="570" t="s">
        <v>100</v>
      </c>
      <c r="E101" s="571" t="s">
        <v>39</v>
      </c>
      <c r="F101" s="570" t="s">
        <v>57</v>
      </c>
      <c r="G101" s="570"/>
      <c r="H101" s="681"/>
      <c r="I101" s="567">
        <v>6.4</v>
      </c>
      <c r="J101" s="573">
        <v>19.2</v>
      </c>
      <c r="K101" s="569">
        <v>18.819999999999709</v>
      </c>
      <c r="L101" s="569">
        <v>2557.6999999999998</v>
      </c>
      <c r="M101" s="569">
        <f t="shared" si="35"/>
        <v>2576.52</v>
      </c>
      <c r="N101" s="569">
        <f t="shared" si="43"/>
        <v>2595.34</v>
      </c>
      <c r="O101" s="569">
        <f t="shared" si="43"/>
        <v>2614.16</v>
      </c>
      <c r="P101" s="569">
        <f t="shared" si="43"/>
        <v>2632.98</v>
      </c>
      <c r="Q101" s="569">
        <f t="shared" si="43"/>
        <v>2651.8</v>
      </c>
      <c r="R101" s="569">
        <f t="shared" si="43"/>
        <v>2670.62</v>
      </c>
      <c r="S101" s="569">
        <f t="shared" si="43"/>
        <v>2689.44</v>
      </c>
      <c r="T101" s="569">
        <f t="shared" si="43"/>
        <v>2708.26</v>
      </c>
      <c r="U101" s="569">
        <f t="shared" si="43"/>
        <v>2727.08</v>
      </c>
      <c r="V101" s="569">
        <f t="shared" si="43"/>
        <v>2745.9</v>
      </c>
      <c r="W101" s="569">
        <f t="shared" si="43"/>
        <v>2764.72</v>
      </c>
      <c r="X101" s="569">
        <f t="shared" si="43"/>
        <v>2783.54</v>
      </c>
      <c r="Y101" s="569">
        <f t="shared" si="43"/>
        <v>2802.36</v>
      </c>
      <c r="Z101" s="569">
        <f t="shared" si="43"/>
        <v>2821.18</v>
      </c>
      <c r="AA101" s="569">
        <f t="shared" si="43"/>
        <v>2840</v>
      </c>
      <c r="AB101" s="569">
        <f t="shared" si="43"/>
        <v>2858.82</v>
      </c>
      <c r="AC101" s="569">
        <f t="shared" si="43"/>
        <v>2877.64</v>
      </c>
      <c r="AD101" s="569">
        <f t="shared" si="43"/>
        <v>2896.46</v>
      </c>
      <c r="AE101" s="569">
        <f t="shared" si="43"/>
        <v>2915.28</v>
      </c>
      <c r="AF101" s="569">
        <f t="shared" si="43"/>
        <v>2934.1</v>
      </c>
      <c r="AG101" s="569">
        <f t="shared" si="43"/>
        <v>2952.92</v>
      </c>
      <c r="AH101" s="569">
        <f t="shared" si="45"/>
        <v>2971.74</v>
      </c>
      <c r="AI101" s="569">
        <f t="shared" si="45"/>
        <v>2990.56</v>
      </c>
      <c r="AJ101" s="569">
        <f t="shared" si="38"/>
        <v>3009.38</v>
      </c>
      <c r="AK101" s="569">
        <f t="shared" si="39"/>
        <v>3028.2</v>
      </c>
      <c r="AL101" s="649"/>
    </row>
    <row r="102" spans="1:38" s="573" customFormat="1">
      <c r="A102" s="574" t="s">
        <v>158</v>
      </c>
      <c r="B102" s="596">
        <v>23</v>
      </c>
      <c r="C102" s="574" t="s">
        <v>154</v>
      </c>
      <c r="D102" s="574" t="s">
        <v>100</v>
      </c>
      <c r="E102" s="575" t="s">
        <v>159</v>
      </c>
      <c r="F102" s="574" t="s">
        <v>23</v>
      </c>
      <c r="G102" s="574"/>
      <c r="H102" s="681" t="s">
        <v>160</v>
      </c>
      <c r="I102" s="567">
        <v>6.4</v>
      </c>
      <c r="J102" s="573">
        <v>21</v>
      </c>
      <c r="K102" s="569">
        <v>19.9699999999998</v>
      </c>
      <c r="L102" s="569">
        <v>2609.41</v>
      </c>
      <c r="M102" s="569">
        <f t="shared" si="35"/>
        <v>2629.38</v>
      </c>
      <c r="N102" s="569">
        <f t="shared" si="43"/>
        <v>2649.35</v>
      </c>
      <c r="O102" s="569">
        <f t="shared" si="43"/>
        <v>2669.32</v>
      </c>
      <c r="P102" s="569">
        <f t="shared" si="43"/>
        <v>2689.29</v>
      </c>
      <c r="Q102" s="569">
        <f t="shared" si="43"/>
        <v>2709.26</v>
      </c>
      <c r="R102" s="569">
        <f t="shared" si="43"/>
        <v>2729.23</v>
      </c>
      <c r="S102" s="569">
        <f t="shared" si="43"/>
        <v>2749.2</v>
      </c>
      <c r="T102" s="569">
        <f t="shared" si="43"/>
        <v>2769.17</v>
      </c>
      <c r="U102" s="569">
        <f t="shared" si="43"/>
        <v>2789.14</v>
      </c>
      <c r="V102" s="569">
        <f t="shared" si="43"/>
        <v>2809.11</v>
      </c>
      <c r="W102" s="569">
        <f t="shared" si="43"/>
        <v>2829.08</v>
      </c>
      <c r="X102" s="569">
        <f t="shared" si="43"/>
        <v>2849.05</v>
      </c>
      <c r="Y102" s="569">
        <f t="shared" si="43"/>
        <v>2869.02</v>
      </c>
      <c r="Z102" s="569">
        <f t="shared" si="43"/>
        <v>2888.99</v>
      </c>
      <c r="AA102" s="569">
        <f t="shared" si="43"/>
        <v>2908.96</v>
      </c>
      <c r="AB102" s="569">
        <f t="shared" si="43"/>
        <v>2928.93</v>
      </c>
      <c r="AC102" s="569">
        <f t="shared" si="43"/>
        <v>2948.9</v>
      </c>
      <c r="AD102" s="569">
        <f t="shared" si="43"/>
        <v>2968.87</v>
      </c>
      <c r="AE102" s="569">
        <f t="shared" si="43"/>
        <v>2988.84</v>
      </c>
      <c r="AF102" s="569">
        <f t="shared" si="43"/>
        <v>3008.81</v>
      </c>
      <c r="AG102" s="569">
        <f t="shared" si="43"/>
        <v>3028.78</v>
      </c>
      <c r="AH102" s="569">
        <f t="shared" si="45"/>
        <v>3048.75</v>
      </c>
      <c r="AI102" s="569">
        <f t="shared" si="45"/>
        <v>3068.72</v>
      </c>
      <c r="AJ102" s="569">
        <f t="shared" si="38"/>
        <v>3088.69</v>
      </c>
      <c r="AK102" s="569">
        <f t="shared" si="39"/>
        <v>3108.66</v>
      </c>
      <c r="AL102" s="649"/>
    </row>
    <row r="103" spans="1:38" s="573" customFormat="1">
      <c r="A103" s="570" t="s">
        <v>161</v>
      </c>
      <c r="B103" s="572"/>
      <c r="C103" s="570" t="s">
        <v>154</v>
      </c>
      <c r="D103" s="570" t="s">
        <v>100</v>
      </c>
      <c r="E103" s="571" t="s">
        <v>25</v>
      </c>
      <c r="F103" s="570" t="s">
        <v>23</v>
      </c>
      <c r="G103" s="570"/>
      <c r="H103" s="681" t="s">
        <v>162</v>
      </c>
      <c r="I103" s="567">
        <v>6.4</v>
      </c>
      <c r="J103" s="573">
        <v>42</v>
      </c>
      <c r="K103" s="569">
        <v>44.539999999999964</v>
      </c>
      <c r="L103" s="569">
        <v>5500.86</v>
      </c>
      <c r="M103" s="569">
        <f t="shared" si="35"/>
        <v>5545.4</v>
      </c>
      <c r="N103" s="569">
        <f t="shared" si="43"/>
        <v>5589.94</v>
      </c>
      <c r="O103" s="569">
        <f t="shared" si="43"/>
        <v>5634.48</v>
      </c>
      <c r="P103" s="569">
        <f t="shared" si="43"/>
        <v>5679.02</v>
      </c>
      <c r="Q103" s="569">
        <f t="shared" si="43"/>
        <v>5723.56</v>
      </c>
      <c r="R103" s="569">
        <f t="shared" si="43"/>
        <v>5768.1</v>
      </c>
      <c r="S103" s="569">
        <f t="shared" si="43"/>
        <v>5812.64</v>
      </c>
      <c r="T103" s="569">
        <f t="shared" si="43"/>
        <v>5857.18</v>
      </c>
      <c r="U103" s="569">
        <f t="shared" si="43"/>
        <v>5901.72</v>
      </c>
      <c r="V103" s="569">
        <f t="shared" si="43"/>
        <v>5946.26</v>
      </c>
      <c r="W103" s="569">
        <f t="shared" si="43"/>
        <v>5990.8</v>
      </c>
      <c r="X103" s="569">
        <f t="shared" si="43"/>
        <v>6035.34</v>
      </c>
      <c r="Y103" s="569">
        <f t="shared" si="43"/>
        <v>6079.88</v>
      </c>
      <c r="Z103" s="569">
        <f t="shared" si="43"/>
        <v>6124.42</v>
      </c>
      <c r="AA103" s="569">
        <f t="shared" si="43"/>
        <v>6168.96</v>
      </c>
      <c r="AB103" s="569">
        <f t="shared" si="43"/>
        <v>6213.5</v>
      </c>
      <c r="AC103" s="569">
        <f t="shared" si="43"/>
        <v>6258.04</v>
      </c>
      <c r="AD103" s="569">
        <f t="shared" si="43"/>
        <v>6302.58</v>
      </c>
      <c r="AE103" s="569">
        <f t="shared" si="43"/>
        <v>6347.12</v>
      </c>
      <c r="AF103" s="569">
        <f t="shared" si="43"/>
        <v>6391.66</v>
      </c>
      <c r="AG103" s="569">
        <f t="shared" si="43"/>
        <v>6436.2</v>
      </c>
      <c r="AH103" s="569">
        <f t="shared" si="45"/>
        <v>6480.74</v>
      </c>
      <c r="AI103" s="569">
        <f t="shared" si="45"/>
        <v>6525.28</v>
      </c>
      <c r="AJ103" s="569">
        <f t="shared" si="38"/>
        <v>6569.82</v>
      </c>
      <c r="AK103" s="569">
        <f t="shared" si="39"/>
        <v>6614.36</v>
      </c>
      <c r="AL103" s="649"/>
    </row>
    <row r="104" spans="1:38" s="573" customFormat="1">
      <c r="A104" s="570" t="s">
        <v>161</v>
      </c>
      <c r="B104" s="572"/>
      <c r="C104" s="570" t="s">
        <v>154</v>
      </c>
      <c r="D104" s="570" t="s">
        <v>100</v>
      </c>
      <c r="E104" s="571" t="s">
        <v>39</v>
      </c>
      <c r="F104" s="570" t="s">
        <v>57</v>
      </c>
      <c r="G104" s="570"/>
      <c r="H104" s="681" t="s">
        <v>163</v>
      </c>
      <c r="I104" s="567">
        <v>6.4</v>
      </c>
      <c r="J104" s="573">
        <v>42</v>
      </c>
      <c r="K104" s="569">
        <v>42.489999999999782</v>
      </c>
      <c r="L104" s="569">
        <v>5074.1099999999997</v>
      </c>
      <c r="M104" s="569">
        <f t="shared" si="35"/>
        <v>5116.6000000000004</v>
      </c>
      <c r="N104" s="569">
        <f t="shared" si="43"/>
        <v>5159.09</v>
      </c>
      <c r="O104" s="569">
        <f t="shared" si="43"/>
        <v>5201.58</v>
      </c>
      <c r="P104" s="569">
        <f t="shared" si="43"/>
        <v>5244.07</v>
      </c>
      <c r="Q104" s="569">
        <f t="shared" si="43"/>
        <v>5286.56</v>
      </c>
      <c r="R104" s="569">
        <f t="shared" si="43"/>
        <v>5329.05</v>
      </c>
      <c r="S104" s="569">
        <f t="shared" si="43"/>
        <v>5371.54</v>
      </c>
      <c r="T104" s="569">
        <f t="shared" si="43"/>
        <v>5414.03</v>
      </c>
      <c r="U104" s="569">
        <f t="shared" si="43"/>
        <v>5456.52</v>
      </c>
      <c r="V104" s="569">
        <f t="shared" si="43"/>
        <v>5499.01</v>
      </c>
      <c r="W104" s="569">
        <f t="shared" si="43"/>
        <v>5541.5</v>
      </c>
      <c r="X104" s="569">
        <f t="shared" si="43"/>
        <v>5583.99</v>
      </c>
      <c r="Y104" s="569">
        <f t="shared" si="43"/>
        <v>5626.48</v>
      </c>
      <c r="Z104" s="569">
        <f t="shared" si="43"/>
        <v>5668.97</v>
      </c>
      <c r="AA104" s="569">
        <f t="shared" si="43"/>
        <v>5711.46</v>
      </c>
      <c r="AB104" s="569">
        <f t="shared" si="43"/>
        <v>5753.95</v>
      </c>
      <c r="AC104" s="569">
        <f t="shared" si="43"/>
        <v>5796.44</v>
      </c>
      <c r="AD104" s="569">
        <f t="shared" si="43"/>
        <v>5838.93</v>
      </c>
      <c r="AE104" s="569">
        <f t="shared" si="43"/>
        <v>5881.42</v>
      </c>
      <c r="AF104" s="569">
        <f t="shared" si="43"/>
        <v>5923.91</v>
      </c>
      <c r="AG104" s="569">
        <f t="shared" si="43"/>
        <v>5966.4</v>
      </c>
      <c r="AH104" s="569">
        <f t="shared" si="45"/>
        <v>6008.89</v>
      </c>
      <c r="AI104" s="569">
        <f t="shared" si="45"/>
        <v>6051.38</v>
      </c>
      <c r="AJ104" s="569">
        <f t="shared" si="38"/>
        <v>6093.87</v>
      </c>
      <c r="AK104" s="569">
        <f t="shared" si="39"/>
        <v>6136.36</v>
      </c>
      <c r="AL104" s="649"/>
    </row>
    <row r="105" spans="1:38" s="573" customFormat="1">
      <c r="A105" s="667" t="s">
        <v>164</v>
      </c>
      <c r="B105" s="668">
        <v>23</v>
      </c>
      <c r="C105" s="574" t="s">
        <v>154</v>
      </c>
      <c r="D105" s="574" t="s">
        <v>100</v>
      </c>
      <c r="E105" s="575" t="s">
        <v>25</v>
      </c>
      <c r="F105" s="574" t="s">
        <v>23</v>
      </c>
      <c r="G105" s="574"/>
      <c r="H105" s="681" t="s">
        <v>165</v>
      </c>
      <c r="I105" s="567">
        <v>6.4</v>
      </c>
      <c r="J105" s="573">
        <v>21</v>
      </c>
      <c r="K105" s="569">
        <v>21.180000000000291</v>
      </c>
      <c r="L105" s="569">
        <v>2598.4</v>
      </c>
      <c r="M105" s="569">
        <f t="shared" si="35"/>
        <v>2619.58</v>
      </c>
      <c r="N105" s="569">
        <f t="shared" si="43"/>
        <v>2640.76</v>
      </c>
      <c r="O105" s="569">
        <f t="shared" si="43"/>
        <v>2661.94</v>
      </c>
      <c r="P105" s="569">
        <f t="shared" si="43"/>
        <v>2683.12</v>
      </c>
      <c r="Q105" s="569">
        <f t="shared" si="43"/>
        <v>2704.3</v>
      </c>
      <c r="R105" s="569">
        <f t="shared" si="43"/>
        <v>2725.48</v>
      </c>
      <c r="S105" s="569">
        <f t="shared" si="43"/>
        <v>2746.66</v>
      </c>
      <c r="T105" s="569">
        <f t="shared" si="43"/>
        <v>2767.84</v>
      </c>
      <c r="U105" s="569">
        <f t="shared" si="43"/>
        <v>2789.02</v>
      </c>
      <c r="V105" s="569">
        <f t="shared" si="43"/>
        <v>2810.2</v>
      </c>
      <c r="W105" s="569">
        <f t="shared" si="43"/>
        <v>2831.38</v>
      </c>
      <c r="X105" s="569">
        <f t="shared" si="43"/>
        <v>2852.56</v>
      </c>
      <c r="Y105" s="569">
        <f t="shared" si="43"/>
        <v>2873.74</v>
      </c>
      <c r="Z105" s="569">
        <f t="shared" si="43"/>
        <v>2894.92</v>
      </c>
      <c r="AA105" s="569">
        <f t="shared" si="43"/>
        <v>2916.1</v>
      </c>
      <c r="AB105" s="569">
        <f t="shared" si="43"/>
        <v>2937.28</v>
      </c>
      <c r="AC105" s="569">
        <f t="shared" si="43"/>
        <v>2958.46</v>
      </c>
      <c r="AD105" s="569">
        <f t="shared" si="43"/>
        <v>2979.64</v>
      </c>
      <c r="AE105" s="569">
        <f t="shared" si="43"/>
        <v>3000.82</v>
      </c>
      <c r="AF105" s="569">
        <f t="shared" si="43"/>
        <v>3022</v>
      </c>
      <c r="AG105" s="569">
        <f t="shared" si="43"/>
        <v>3043.18</v>
      </c>
      <c r="AH105" s="569">
        <f t="shared" si="45"/>
        <v>3064.36</v>
      </c>
      <c r="AI105" s="569">
        <f t="shared" si="45"/>
        <v>3085.54</v>
      </c>
      <c r="AJ105" s="569">
        <f t="shared" si="38"/>
        <v>3106.72</v>
      </c>
      <c r="AK105" s="569">
        <f t="shared" si="39"/>
        <v>3127.9</v>
      </c>
      <c r="AL105" s="649"/>
    </row>
    <row r="106" spans="1:38" s="573" customFormat="1">
      <c r="A106" s="574" t="s">
        <v>164</v>
      </c>
      <c r="B106" s="596">
        <v>23</v>
      </c>
      <c r="C106" s="574" t="s">
        <v>154</v>
      </c>
      <c r="D106" s="574" t="s">
        <v>100</v>
      </c>
      <c r="E106" s="575" t="s">
        <v>22</v>
      </c>
      <c r="F106" s="574" t="s">
        <v>23</v>
      </c>
      <c r="G106" s="574"/>
      <c r="H106" s="681" t="s">
        <v>166</v>
      </c>
      <c r="I106" s="567">
        <v>6.4</v>
      </c>
      <c r="J106" s="573">
        <v>21</v>
      </c>
      <c r="K106" s="569">
        <v>21.569999999999709</v>
      </c>
      <c r="L106" s="569">
        <v>2670.66</v>
      </c>
      <c r="M106" s="569">
        <f t="shared" si="35"/>
        <v>2692.23</v>
      </c>
      <c r="N106" s="569">
        <f t="shared" si="43"/>
        <v>2713.8</v>
      </c>
      <c r="O106" s="569">
        <f t="shared" si="43"/>
        <v>2735.37</v>
      </c>
      <c r="P106" s="569">
        <f t="shared" si="43"/>
        <v>2756.94</v>
      </c>
      <c r="Q106" s="569">
        <f t="shared" si="43"/>
        <v>2778.51</v>
      </c>
      <c r="R106" s="569">
        <f t="shared" si="43"/>
        <v>2800.08</v>
      </c>
      <c r="S106" s="569">
        <f t="shared" si="43"/>
        <v>2821.65</v>
      </c>
      <c r="T106" s="569">
        <f t="shared" si="43"/>
        <v>2843.22</v>
      </c>
      <c r="U106" s="569">
        <f t="shared" si="43"/>
        <v>2864.79</v>
      </c>
      <c r="V106" s="569">
        <f t="shared" si="43"/>
        <v>2886.36</v>
      </c>
      <c r="W106" s="569">
        <f t="shared" si="43"/>
        <v>2907.93</v>
      </c>
      <c r="X106" s="569">
        <f t="shared" si="43"/>
        <v>2929.5</v>
      </c>
      <c r="Y106" s="569">
        <f t="shared" si="43"/>
        <v>2951.07</v>
      </c>
      <c r="Z106" s="569">
        <f t="shared" si="43"/>
        <v>2972.64</v>
      </c>
      <c r="AA106" s="569">
        <f t="shared" si="43"/>
        <v>2994.21</v>
      </c>
      <c r="AB106" s="569">
        <f t="shared" si="43"/>
        <v>3015.78</v>
      </c>
      <c r="AC106" s="569">
        <f t="shared" si="43"/>
        <v>3037.35</v>
      </c>
      <c r="AD106" s="569">
        <f t="shared" si="43"/>
        <v>3058.92</v>
      </c>
      <c r="AE106" s="569">
        <f t="shared" si="43"/>
        <v>3080.49</v>
      </c>
      <c r="AF106" s="569">
        <f t="shared" si="43"/>
        <v>3102.06</v>
      </c>
      <c r="AG106" s="569">
        <f t="shared" si="43"/>
        <v>3123.63</v>
      </c>
      <c r="AH106" s="569">
        <f t="shared" si="45"/>
        <v>3145.2</v>
      </c>
      <c r="AI106" s="569">
        <f t="shared" si="45"/>
        <v>3166.77</v>
      </c>
      <c r="AJ106" s="569">
        <f t="shared" si="38"/>
        <v>3188.34</v>
      </c>
      <c r="AK106" s="569">
        <f t="shared" si="39"/>
        <v>3209.91</v>
      </c>
      <c r="AL106" s="649"/>
    </row>
    <row r="107" spans="1:38" s="573" customFormat="1">
      <c r="A107" s="570" t="s">
        <v>167</v>
      </c>
      <c r="B107" s="572"/>
      <c r="C107" s="570" t="s">
        <v>154</v>
      </c>
      <c r="D107" s="570" t="s">
        <v>100</v>
      </c>
      <c r="E107" s="571" t="s">
        <v>22</v>
      </c>
      <c r="F107" s="570" t="s">
        <v>23</v>
      </c>
      <c r="G107" s="570"/>
      <c r="H107" s="681"/>
      <c r="I107" s="567">
        <v>6.4</v>
      </c>
      <c r="J107" s="573">
        <v>42</v>
      </c>
      <c r="K107" s="569">
        <v>45.889999999999418</v>
      </c>
      <c r="L107" s="569">
        <v>5666.11</v>
      </c>
      <c r="M107" s="569">
        <f t="shared" si="35"/>
        <v>5712</v>
      </c>
      <c r="N107" s="569">
        <f t="shared" si="43"/>
        <v>5757.89</v>
      </c>
      <c r="O107" s="569">
        <f t="shared" si="43"/>
        <v>5803.78</v>
      </c>
      <c r="P107" s="569">
        <f t="shared" si="43"/>
        <v>5849.67</v>
      </c>
      <c r="Q107" s="569">
        <f t="shared" si="43"/>
        <v>5895.56</v>
      </c>
      <c r="R107" s="569">
        <f t="shared" si="43"/>
        <v>5941.45</v>
      </c>
      <c r="S107" s="569">
        <f t="shared" si="43"/>
        <v>5987.34</v>
      </c>
      <c r="T107" s="569">
        <f t="shared" si="43"/>
        <v>6033.23</v>
      </c>
      <c r="U107" s="569">
        <f t="shared" si="43"/>
        <v>6079.12</v>
      </c>
      <c r="V107" s="569">
        <f t="shared" si="43"/>
        <v>6125.01</v>
      </c>
      <c r="W107" s="569">
        <f t="shared" si="43"/>
        <v>6170.9</v>
      </c>
      <c r="X107" s="569">
        <f t="shared" si="43"/>
        <v>6216.79</v>
      </c>
      <c r="Y107" s="569">
        <f t="shared" si="43"/>
        <v>6262.68</v>
      </c>
      <c r="Z107" s="569">
        <f t="shared" si="43"/>
        <v>6308.57</v>
      </c>
      <c r="AA107" s="569">
        <f t="shared" si="43"/>
        <v>6354.46</v>
      </c>
      <c r="AB107" s="569">
        <f t="shared" si="43"/>
        <v>6400.35</v>
      </c>
      <c r="AC107" s="569">
        <f t="shared" si="43"/>
        <v>6446.24</v>
      </c>
      <c r="AD107" s="569">
        <f t="shared" si="43"/>
        <v>6492.13</v>
      </c>
      <c r="AE107" s="569">
        <f t="shared" si="43"/>
        <v>6538.02</v>
      </c>
      <c r="AF107" s="569">
        <f t="shared" si="43"/>
        <v>6583.91</v>
      </c>
      <c r="AG107" s="569">
        <f t="shared" si="43"/>
        <v>6629.8</v>
      </c>
      <c r="AH107" s="569">
        <f t="shared" si="45"/>
        <v>6675.69</v>
      </c>
      <c r="AI107" s="569">
        <f t="shared" si="45"/>
        <v>6721.58</v>
      </c>
      <c r="AJ107" s="569">
        <f t="shared" si="38"/>
        <v>6767.47</v>
      </c>
      <c r="AK107" s="569">
        <f t="shared" si="39"/>
        <v>6813.36</v>
      </c>
      <c r="AL107" s="649"/>
    </row>
    <row r="108" spans="1:38" s="573" customFormat="1">
      <c r="A108" s="570" t="s">
        <v>168</v>
      </c>
      <c r="B108" s="572"/>
      <c r="C108" s="570" t="s">
        <v>154</v>
      </c>
      <c r="D108" s="570" t="s">
        <v>100</v>
      </c>
      <c r="E108" s="571" t="s">
        <v>39</v>
      </c>
      <c r="F108" s="570" t="s">
        <v>57</v>
      </c>
      <c r="G108" s="570"/>
      <c r="H108" s="681" t="s">
        <v>169</v>
      </c>
      <c r="I108" s="567">
        <v>6.4</v>
      </c>
      <c r="J108" s="573">
        <v>21</v>
      </c>
      <c r="K108" s="569">
        <v>20.540000000000418</v>
      </c>
      <c r="L108" s="569">
        <v>2451.2600000000002</v>
      </c>
      <c r="M108" s="569">
        <f t="shared" si="35"/>
        <v>2471.8000000000002</v>
      </c>
      <c r="N108" s="569">
        <f t="shared" si="43"/>
        <v>2492.34</v>
      </c>
      <c r="O108" s="569">
        <f t="shared" si="43"/>
        <v>2512.88</v>
      </c>
      <c r="P108" s="569">
        <f t="shared" si="43"/>
        <v>2533.42</v>
      </c>
      <c r="Q108" s="569">
        <f t="shared" si="43"/>
        <v>2553.96</v>
      </c>
      <c r="R108" s="569">
        <f t="shared" si="43"/>
        <v>2574.5</v>
      </c>
      <c r="S108" s="569">
        <f t="shared" si="43"/>
        <v>2595.04</v>
      </c>
      <c r="T108" s="569">
        <f t="shared" si="43"/>
        <v>2615.58</v>
      </c>
      <c r="U108" s="569">
        <f t="shared" si="43"/>
        <v>2636.12</v>
      </c>
      <c r="V108" s="569">
        <f t="shared" si="43"/>
        <v>2656.66</v>
      </c>
      <c r="W108" s="569">
        <f t="shared" si="43"/>
        <v>2677.2</v>
      </c>
      <c r="X108" s="569">
        <f t="shared" ref="N108:AG121" si="48">ROUND(W108+$K108,2)</f>
        <v>2697.74</v>
      </c>
      <c r="Y108" s="569">
        <f t="shared" si="48"/>
        <v>2718.28</v>
      </c>
      <c r="Z108" s="569">
        <f t="shared" si="48"/>
        <v>2738.82</v>
      </c>
      <c r="AA108" s="569">
        <f t="shared" si="48"/>
        <v>2759.36</v>
      </c>
      <c r="AB108" s="569">
        <f t="shared" si="48"/>
        <v>2779.9</v>
      </c>
      <c r="AC108" s="569">
        <f t="shared" si="48"/>
        <v>2800.44</v>
      </c>
      <c r="AD108" s="569">
        <f t="shared" si="48"/>
        <v>2820.98</v>
      </c>
      <c r="AE108" s="569">
        <f t="shared" si="48"/>
        <v>2841.52</v>
      </c>
      <c r="AF108" s="569">
        <f t="shared" si="48"/>
        <v>2862.06</v>
      </c>
      <c r="AG108" s="569">
        <f t="shared" si="48"/>
        <v>2882.6</v>
      </c>
      <c r="AH108" s="569">
        <f t="shared" si="45"/>
        <v>2903.14</v>
      </c>
      <c r="AI108" s="569">
        <f t="shared" si="45"/>
        <v>2923.68</v>
      </c>
      <c r="AJ108" s="569">
        <f t="shared" si="38"/>
        <v>2944.22</v>
      </c>
      <c r="AK108" s="569">
        <f t="shared" si="39"/>
        <v>2964.76</v>
      </c>
      <c r="AL108" s="649"/>
    </row>
    <row r="109" spans="1:38" s="573" customFormat="1">
      <c r="A109" s="570" t="s">
        <v>170</v>
      </c>
      <c r="B109" s="572"/>
      <c r="C109" s="570" t="s">
        <v>154</v>
      </c>
      <c r="D109" s="570" t="s">
        <v>100</v>
      </c>
      <c r="E109" s="571" t="s">
        <v>22</v>
      </c>
      <c r="F109" s="570" t="s">
        <v>23</v>
      </c>
      <c r="G109" s="570"/>
      <c r="H109" s="681"/>
      <c r="I109" s="567">
        <v>6.4</v>
      </c>
      <c r="J109" s="573">
        <v>23</v>
      </c>
      <c r="K109" s="569">
        <v>22.399999999999636</v>
      </c>
      <c r="L109" s="569">
        <v>2797.95</v>
      </c>
      <c r="M109" s="569">
        <f t="shared" si="35"/>
        <v>2820.35</v>
      </c>
      <c r="N109" s="569">
        <f t="shared" si="48"/>
        <v>2842.75</v>
      </c>
      <c r="O109" s="569">
        <f t="shared" si="48"/>
        <v>2865.15</v>
      </c>
      <c r="P109" s="569">
        <f t="shared" si="48"/>
        <v>2887.55</v>
      </c>
      <c r="Q109" s="569">
        <f t="shared" si="48"/>
        <v>2909.95</v>
      </c>
      <c r="R109" s="569">
        <f t="shared" si="48"/>
        <v>2932.35</v>
      </c>
      <c r="S109" s="569">
        <f t="shared" si="48"/>
        <v>2954.75</v>
      </c>
      <c r="T109" s="569">
        <f t="shared" si="48"/>
        <v>2977.15</v>
      </c>
      <c r="U109" s="569">
        <f t="shared" si="48"/>
        <v>2999.55</v>
      </c>
      <c r="V109" s="569">
        <f t="shared" si="48"/>
        <v>3021.95</v>
      </c>
      <c r="W109" s="569">
        <f t="shared" si="48"/>
        <v>3044.35</v>
      </c>
      <c r="X109" s="569">
        <f t="shared" si="48"/>
        <v>3066.75</v>
      </c>
      <c r="Y109" s="569">
        <f t="shared" si="48"/>
        <v>3089.15</v>
      </c>
      <c r="Z109" s="569">
        <f t="shared" si="48"/>
        <v>3111.55</v>
      </c>
      <c r="AA109" s="569">
        <f t="shared" si="48"/>
        <v>3133.95</v>
      </c>
      <c r="AB109" s="569">
        <f t="shared" si="48"/>
        <v>3156.35</v>
      </c>
      <c r="AC109" s="569">
        <f t="shared" si="48"/>
        <v>3178.75</v>
      </c>
      <c r="AD109" s="569">
        <f t="shared" si="48"/>
        <v>3201.15</v>
      </c>
      <c r="AE109" s="569">
        <f t="shared" si="48"/>
        <v>3223.55</v>
      </c>
      <c r="AF109" s="569">
        <f t="shared" si="48"/>
        <v>3245.95</v>
      </c>
      <c r="AG109" s="569">
        <f t="shared" si="48"/>
        <v>3268.35</v>
      </c>
      <c r="AH109" s="569">
        <f t="shared" si="45"/>
        <v>3290.75</v>
      </c>
      <c r="AI109" s="569">
        <f t="shared" si="45"/>
        <v>3313.15</v>
      </c>
      <c r="AJ109" s="569">
        <f t="shared" si="38"/>
        <v>3335.55</v>
      </c>
      <c r="AK109" s="569">
        <f t="shared" si="39"/>
        <v>3357.95</v>
      </c>
      <c r="AL109" s="649"/>
    </row>
    <row r="110" spans="1:38" s="573" customFormat="1">
      <c r="A110" s="570" t="s">
        <v>170</v>
      </c>
      <c r="B110" s="572"/>
      <c r="C110" s="570" t="s">
        <v>154</v>
      </c>
      <c r="D110" s="570" t="s">
        <v>100</v>
      </c>
      <c r="E110" s="571" t="s">
        <v>39</v>
      </c>
      <c r="F110" s="570" t="s">
        <v>57</v>
      </c>
      <c r="G110" s="570"/>
      <c r="H110" s="681"/>
      <c r="I110" s="567">
        <v>6.4</v>
      </c>
      <c r="J110" s="573">
        <v>23</v>
      </c>
      <c r="K110" s="569">
        <v>22.649999999999636</v>
      </c>
      <c r="L110" s="569">
        <v>2693.18</v>
      </c>
      <c r="M110" s="569">
        <f t="shared" si="35"/>
        <v>2715.83</v>
      </c>
      <c r="N110" s="569">
        <f t="shared" si="48"/>
        <v>2738.48</v>
      </c>
      <c r="O110" s="569">
        <f t="shared" si="48"/>
        <v>2761.13</v>
      </c>
      <c r="P110" s="569">
        <f t="shared" si="48"/>
        <v>2783.78</v>
      </c>
      <c r="Q110" s="569">
        <f t="shared" si="48"/>
        <v>2806.43</v>
      </c>
      <c r="R110" s="569">
        <f t="shared" si="48"/>
        <v>2829.08</v>
      </c>
      <c r="S110" s="569">
        <f t="shared" si="48"/>
        <v>2851.73</v>
      </c>
      <c r="T110" s="569">
        <f t="shared" si="48"/>
        <v>2874.38</v>
      </c>
      <c r="U110" s="569">
        <f t="shared" si="48"/>
        <v>2897.03</v>
      </c>
      <c r="V110" s="569">
        <f t="shared" si="48"/>
        <v>2919.68</v>
      </c>
      <c r="W110" s="569">
        <f t="shared" si="48"/>
        <v>2942.33</v>
      </c>
      <c r="X110" s="569">
        <f t="shared" si="48"/>
        <v>2964.98</v>
      </c>
      <c r="Y110" s="569">
        <f t="shared" si="48"/>
        <v>2987.63</v>
      </c>
      <c r="Z110" s="569">
        <f t="shared" si="48"/>
        <v>3010.28</v>
      </c>
      <c r="AA110" s="569">
        <f t="shared" si="48"/>
        <v>3032.93</v>
      </c>
      <c r="AB110" s="569">
        <f t="shared" si="48"/>
        <v>3055.58</v>
      </c>
      <c r="AC110" s="569">
        <f t="shared" si="48"/>
        <v>3078.23</v>
      </c>
      <c r="AD110" s="569">
        <f t="shared" si="48"/>
        <v>3100.88</v>
      </c>
      <c r="AE110" s="569">
        <f t="shared" si="48"/>
        <v>3123.53</v>
      </c>
      <c r="AF110" s="569">
        <f t="shared" si="48"/>
        <v>3146.18</v>
      </c>
      <c r="AG110" s="569">
        <f t="shared" si="48"/>
        <v>3168.83</v>
      </c>
      <c r="AH110" s="569">
        <f t="shared" si="45"/>
        <v>3191.48</v>
      </c>
      <c r="AI110" s="569">
        <f t="shared" si="45"/>
        <v>3214.13</v>
      </c>
      <c r="AJ110" s="569">
        <f t="shared" si="38"/>
        <v>3236.78</v>
      </c>
      <c r="AK110" s="569">
        <f t="shared" si="39"/>
        <v>3259.43</v>
      </c>
      <c r="AL110" s="649"/>
    </row>
    <row r="111" spans="1:38" s="573" customFormat="1">
      <c r="A111" s="570" t="s">
        <v>171</v>
      </c>
      <c r="B111" s="572"/>
      <c r="C111" s="570" t="s">
        <v>172</v>
      </c>
      <c r="D111" s="570" t="s">
        <v>100</v>
      </c>
      <c r="E111" s="571" t="s">
        <v>39</v>
      </c>
      <c r="F111" s="570" t="s">
        <v>57</v>
      </c>
      <c r="G111" s="570"/>
      <c r="H111" s="681"/>
      <c r="I111" s="567">
        <v>6.4</v>
      </c>
      <c r="J111" s="573">
        <v>23</v>
      </c>
      <c r="K111" s="569">
        <v>22.589999999999691</v>
      </c>
      <c r="L111" s="569">
        <v>2703.1</v>
      </c>
      <c r="M111" s="569">
        <f t="shared" si="35"/>
        <v>2725.69</v>
      </c>
      <c r="N111" s="569">
        <f t="shared" si="48"/>
        <v>2748.28</v>
      </c>
      <c r="O111" s="569">
        <f t="shared" si="48"/>
        <v>2770.87</v>
      </c>
      <c r="P111" s="569">
        <f t="shared" si="48"/>
        <v>2793.46</v>
      </c>
      <c r="Q111" s="569">
        <f t="shared" si="48"/>
        <v>2816.05</v>
      </c>
      <c r="R111" s="569">
        <f t="shared" si="48"/>
        <v>2838.64</v>
      </c>
      <c r="S111" s="569">
        <f t="shared" si="48"/>
        <v>2861.23</v>
      </c>
      <c r="T111" s="569">
        <f t="shared" si="48"/>
        <v>2883.82</v>
      </c>
      <c r="U111" s="569">
        <f t="shared" si="48"/>
        <v>2906.41</v>
      </c>
      <c r="V111" s="569">
        <f t="shared" si="48"/>
        <v>2929</v>
      </c>
      <c r="W111" s="569">
        <f t="shared" si="48"/>
        <v>2951.59</v>
      </c>
      <c r="X111" s="569">
        <f t="shared" si="48"/>
        <v>2974.18</v>
      </c>
      <c r="Y111" s="569">
        <f t="shared" si="48"/>
        <v>2996.77</v>
      </c>
      <c r="Z111" s="569">
        <f t="shared" si="48"/>
        <v>3019.36</v>
      </c>
      <c r="AA111" s="569">
        <f t="shared" si="48"/>
        <v>3041.95</v>
      </c>
      <c r="AB111" s="569">
        <f t="shared" si="48"/>
        <v>3064.54</v>
      </c>
      <c r="AC111" s="569">
        <f t="shared" si="48"/>
        <v>3087.13</v>
      </c>
      <c r="AD111" s="569">
        <f t="shared" si="48"/>
        <v>3109.72</v>
      </c>
      <c r="AE111" s="569">
        <f t="shared" si="48"/>
        <v>3132.31</v>
      </c>
      <c r="AF111" s="569">
        <f t="shared" si="48"/>
        <v>3154.9</v>
      </c>
      <c r="AG111" s="569">
        <f t="shared" si="48"/>
        <v>3177.49</v>
      </c>
      <c r="AH111" s="569">
        <f t="shared" si="45"/>
        <v>3200.08</v>
      </c>
      <c r="AI111" s="569">
        <f t="shared" si="45"/>
        <v>3222.67</v>
      </c>
      <c r="AJ111" s="569">
        <f t="shared" si="38"/>
        <v>3245.26</v>
      </c>
      <c r="AK111" s="569">
        <f t="shared" si="39"/>
        <v>3267.85</v>
      </c>
      <c r="AL111" s="649"/>
    </row>
    <row r="112" spans="1:38" s="573" customFormat="1">
      <c r="A112" s="570" t="s">
        <v>173</v>
      </c>
      <c r="B112" s="572"/>
      <c r="C112" s="570" t="s">
        <v>172</v>
      </c>
      <c r="D112" s="570" t="s">
        <v>100</v>
      </c>
      <c r="E112" s="571" t="s">
        <v>39</v>
      </c>
      <c r="F112" s="570" t="s">
        <v>57</v>
      </c>
      <c r="G112" s="570"/>
      <c r="H112" s="681"/>
      <c r="I112" s="567">
        <v>6.4</v>
      </c>
      <c r="J112" s="573">
        <v>46</v>
      </c>
      <c r="K112" s="569">
        <v>47.430000000000291</v>
      </c>
      <c r="L112" s="569">
        <v>5675.97</v>
      </c>
      <c r="M112" s="569">
        <f t="shared" si="35"/>
        <v>5723.4</v>
      </c>
      <c r="N112" s="569">
        <f t="shared" si="48"/>
        <v>5770.83</v>
      </c>
      <c r="O112" s="569">
        <f t="shared" si="48"/>
        <v>5818.26</v>
      </c>
      <c r="P112" s="569">
        <f t="shared" si="48"/>
        <v>5865.69</v>
      </c>
      <c r="Q112" s="569">
        <f t="shared" si="48"/>
        <v>5913.12</v>
      </c>
      <c r="R112" s="569">
        <f t="shared" si="48"/>
        <v>5960.55</v>
      </c>
      <c r="S112" s="569">
        <f t="shared" si="48"/>
        <v>6007.98</v>
      </c>
      <c r="T112" s="569">
        <f t="shared" si="48"/>
        <v>6055.41</v>
      </c>
      <c r="U112" s="569">
        <f t="shared" si="48"/>
        <v>6102.84</v>
      </c>
      <c r="V112" s="569">
        <f t="shared" si="48"/>
        <v>6150.27</v>
      </c>
      <c r="W112" s="569">
        <f t="shared" si="48"/>
        <v>6197.7</v>
      </c>
      <c r="X112" s="569">
        <f t="shared" si="48"/>
        <v>6245.13</v>
      </c>
      <c r="Y112" s="569">
        <f t="shared" si="48"/>
        <v>6292.56</v>
      </c>
      <c r="Z112" s="569">
        <f t="shared" si="48"/>
        <v>6339.99</v>
      </c>
      <c r="AA112" s="569">
        <f t="shared" si="48"/>
        <v>6387.42</v>
      </c>
      <c r="AB112" s="569">
        <f t="shared" si="48"/>
        <v>6434.85</v>
      </c>
      <c r="AC112" s="569">
        <f t="shared" si="48"/>
        <v>6482.28</v>
      </c>
      <c r="AD112" s="569">
        <f t="shared" si="48"/>
        <v>6529.71</v>
      </c>
      <c r="AE112" s="569">
        <f t="shared" si="48"/>
        <v>6577.14</v>
      </c>
      <c r="AF112" s="569">
        <f t="shared" si="48"/>
        <v>6624.57</v>
      </c>
      <c r="AG112" s="569">
        <f t="shared" si="48"/>
        <v>6672</v>
      </c>
      <c r="AH112" s="569">
        <f t="shared" ref="AH112:AI127" si="49">ROUND(AG112+$K112,2)</f>
        <v>6719.43</v>
      </c>
      <c r="AI112" s="569">
        <f t="shared" si="49"/>
        <v>6766.86</v>
      </c>
      <c r="AJ112" s="569">
        <f t="shared" si="38"/>
        <v>6814.29</v>
      </c>
      <c r="AK112" s="569">
        <f t="shared" si="39"/>
        <v>6861.72</v>
      </c>
      <c r="AL112" s="649"/>
    </row>
    <row r="113" spans="1:38" s="610" customFormat="1">
      <c r="A113" s="607" t="s">
        <v>174</v>
      </c>
      <c r="B113" s="608"/>
      <c r="C113" s="607" t="s">
        <v>29</v>
      </c>
      <c r="D113" s="607" t="s">
        <v>30</v>
      </c>
      <c r="E113" s="609" t="s">
        <v>175</v>
      </c>
      <c r="F113" s="558" t="s">
        <v>57</v>
      </c>
      <c r="G113" s="608" t="s">
        <v>40</v>
      </c>
      <c r="H113" s="690" t="s">
        <v>176</v>
      </c>
      <c r="I113" s="610">
        <v>7.1</v>
      </c>
      <c r="J113" s="610">
        <v>15.12</v>
      </c>
      <c r="K113" s="611">
        <v>14.63</v>
      </c>
      <c r="L113" s="563">
        <v>1422.55</v>
      </c>
      <c r="M113" s="563">
        <f t="shared" si="35"/>
        <v>1437.18</v>
      </c>
      <c r="N113" s="563">
        <f t="shared" si="48"/>
        <v>1451.81</v>
      </c>
      <c r="O113" s="563">
        <f t="shared" si="48"/>
        <v>1466.44</v>
      </c>
      <c r="P113" s="563">
        <f t="shared" si="48"/>
        <v>1481.07</v>
      </c>
      <c r="Q113" s="563">
        <f t="shared" si="48"/>
        <v>1495.7</v>
      </c>
      <c r="R113" s="563">
        <f t="shared" si="48"/>
        <v>1510.33</v>
      </c>
      <c r="S113" s="563">
        <f t="shared" si="48"/>
        <v>1524.96</v>
      </c>
      <c r="T113" s="563">
        <f t="shared" si="48"/>
        <v>1539.59</v>
      </c>
      <c r="U113" s="563">
        <f t="shared" si="48"/>
        <v>1554.22</v>
      </c>
      <c r="V113" s="563">
        <f t="shared" si="48"/>
        <v>1568.85</v>
      </c>
      <c r="W113" s="563">
        <f t="shared" si="48"/>
        <v>1583.48</v>
      </c>
      <c r="X113" s="563">
        <f t="shared" si="48"/>
        <v>1598.11</v>
      </c>
      <c r="Y113" s="563">
        <f t="shared" si="48"/>
        <v>1612.74</v>
      </c>
      <c r="Z113" s="563">
        <f t="shared" si="48"/>
        <v>1627.37</v>
      </c>
      <c r="AA113" s="563">
        <f t="shared" si="48"/>
        <v>1642</v>
      </c>
      <c r="AB113" s="563">
        <f t="shared" si="48"/>
        <v>1656.63</v>
      </c>
      <c r="AC113" s="563">
        <f t="shared" si="48"/>
        <v>1671.26</v>
      </c>
      <c r="AD113" s="563">
        <f t="shared" si="48"/>
        <v>1685.89</v>
      </c>
      <c r="AE113" s="563">
        <f t="shared" si="48"/>
        <v>1700.52</v>
      </c>
      <c r="AF113" s="563">
        <f t="shared" si="48"/>
        <v>1715.15</v>
      </c>
      <c r="AG113" s="563">
        <f t="shared" si="48"/>
        <v>1729.78</v>
      </c>
      <c r="AH113" s="563">
        <f t="shared" si="49"/>
        <v>1744.41</v>
      </c>
      <c r="AI113" s="563">
        <f t="shared" si="49"/>
        <v>1759.04</v>
      </c>
      <c r="AJ113" s="563">
        <f t="shared" si="38"/>
        <v>1773.67</v>
      </c>
      <c r="AK113" s="563">
        <f t="shared" si="39"/>
        <v>1788.3</v>
      </c>
      <c r="AL113" s="669"/>
    </row>
    <row r="114" spans="1:38" s="610" customFormat="1">
      <c r="A114" s="607" t="s">
        <v>177</v>
      </c>
      <c r="B114" s="608"/>
      <c r="C114" s="607" t="s">
        <v>29</v>
      </c>
      <c r="D114" s="607" t="s">
        <v>30</v>
      </c>
      <c r="E114" s="609" t="s">
        <v>31</v>
      </c>
      <c r="F114" s="558" t="s">
        <v>57</v>
      </c>
      <c r="G114" s="607"/>
      <c r="H114" s="690" t="s">
        <v>178</v>
      </c>
      <c r="I114" s="610">
        <v>7.1</v>
      </c>
      <c r="J114" s="610">
        <v>15.12</v>
      </c>
      <c r="K114" s="611">
        <v>14.34</v>
      </c>
      <c r="L114" s="563">
        <v>1394.1</v>
      </c>
      <c r="M114" s="563">
        <f t="shared" si="35"/>
        <v>1408.44</v>
      </c>
      <c r="N114" s="563">
        <f t="shared" si="48"/>
        <v>1422.78</v>
      </c>
      <c r="O114" s="563">
        <f t="shared" si="48"/>
        <v>1437.12</v>
      </c>
      <c r="P114" s="563">
        <f t="shared" si="48"/>
        <v>1451.46</v>
      </c>
      <c r="Q114" s="563">
        <f t="shared" si="48"/>
        <v>1465.8</v>
      </c>
      <c r="R114" s="563">
        <f t="shared" si="48"/>
        <v>1480.14</v>
      </c>
      <c r="S114" s="563">
        <f t="shared" si="48"/>
        <v>1494.48</v>
      </c>
      <c r="T114" s="563">
        <f t="shared" si="48"/>
        <v>1508.82</v>
      </c>
      <c r="U114" s="563">
        <f t="shared" si="48"/>
        <v>1523.16</v>
      </c>
      <c r="V114" s="563">
        <f t="shared" si="48"/>
        <v>1537.5</v>
      </c>
      <c r="W114" s="563">
        <f t="shared" si="48"/>
        <v>1551.84</v>
      </c>
      <c r="X114" s="563">
        <f t="shared" si="48"/>
        <v>1566.18</v>
      </c>
      <c r="Y114" s="563">
        <f t="shared" si="48"/>
        <v>1580.52</v>
      </c>
      <c r="Z114" s="563">
        <f t="shared" si="48"/>
        <v>1594.86</v>
      </c>
      <c r="AA114" s="563">
        <f t="shared" si="48"/>
        <v>1609.2</v>
      </c>
      <c r="AB114" s="563">
        <f t="shared" si="48"/>
        <v>1623.54</v>
      </c>
      <c r="AC114" s="563">
        <f t="shared" si="48"/>
        <v>1637.88</v>
      </c>
      <c r="AD114" s="563">
        <f t="shared" si="48"/>
        <v>1652.22</v>
      </c>
      <c r="AE114" s="563">
        <f t="shared" si="48"/>
        <v>1666.56</v>
      </c>
      <c r="AF114" s="563">
        <f t="shared" si="48"/>
        <v>1680.9</v>
      </c>
      <c r="AG114" s="563">
        <f t="shared" si="48"/>
        <v>1695.24</v>
      </c>
      <c r="AH114" s="563">
        <f t="shared" si="49"/>
        <v>1709.58</v>
      </c>
      <c r="AI114" s="563">
        <f t="shared" si="49"/>
        <v>1723.92</v>
      </c>
      <c r="AJ114" s="563">
        <f t="shared" si="38"/>
        <v>1738.26</v>
      </c>
      <c r="AK114" s="563">
        <f t="shared" si="39"/>
        <v>1752.6</v>
      </c>
      <c r="AL114" s="669"/>
    </row>
    <row r="115" spans="1:38" s="610" customFormat="1">
      <c r="A115" s="607" t="s">
        <v>179</v>
      </c>
      <c r="B115" s="608"/>
      <c r="C115" s="607" t="s">
        <v>29</v>
      </c>
      <c r="D115" s="607" t="s">
        <v>30</v>
      </c>
      <c r="E115" s="609" t="s">
        <v>175</v>
      </c>
      <c r="F115" s="558" t="s">
        <v>57</v>
      </c>
      <c r="G115" s="607"/>
      <c r="H115" s="690"/>
      <c r="I115" s="610">
        <v>7.1</v>
      </c>
      <c r="J115" s="610">
        <v>15.72</v>
      </c>
      <c r="K115" s="611">
        <v>15.190000000000055</v>
      </c>
      <c r="L115" s="563">
        <v>1492.7</v>
      </c>
      <c r="M115" s="563">
        <f t="shared" si="35"/>
        <v>1507.89</v>
      </c>
      <c r="N115" s="563">
        <f t="shared" si="48"/>
        <v>1523.08</v>
      </c>
      <c r="O115" s="563">
        <f t="shared" si="48"/>
        <v>1538.27</v>
      </c>
      <c r="P115" s="563">
        <f t="shared" si="48"/>
        <v>1553.46</v>
      </c>
      <c r="Q115" s="563">
        <f t="shared" si="48"/>
        <v>1568.65</v>
      </c>
      <c r="R115" s="563">
        <f t="shared" si="48"/>
        <v>1583.84</v>
      </c>
      <c r="S115" s="563">
        <f t="shared" si="48"/>
        <v>1599.03</v>
      </c>
      <c r="T115" s="563">
        <f t="shared" si="48"/>
        <v>1614.22</v>
      </c>
      <c r="U115" s="563">
        <f t="shared" si="48"/>
        <v>1629.41</v>
      </c>
      <c r="V115" s="563">
        <f t="shared" si="48"/>
        <v>1644.6</v>
      </c>
      <c r="W115" s="563">
        <f t="shared" si="48"/>
        <v>1659.79</v>
      </c>
      <c r="X115" s="563">
        <f t="shared" si="48"/>
        <v>1674.98</v>
      </c>
      <c r="Y115" s="563">
        <f t="shared" si="48"/>
        <v>1690.17</v>
      </c>
      <c r="Z115" s="563">
        <f t="shared" si="48"/>
        <v>1705.36</v>
      </c>
      <c r="AA115" s="563">
        <f t="shared" si="48"/>
        <v>1720.55</v>
      </c>
      <c r="AB115" s="563">
        <f t="shared" si="48"/>
        <v>1735.74</v>
      </c>
      <c r="AC115" s="563">
        <f t="shared" si="48"/>
        <v>1750.93</v>
      </c>
      <c r="AD115" s="563">
        <f t="shared" si="48"/>
        <v>1766.12</v>
      </c>
      <c r="AE115" s="563">
        <f t="shared" si="48"/>
        <v>1781.31</v>
      </c>
      <c r="AF115" s="563">
        <f t="shared" si="48"/>
        <v>1796.5</v>
      </c>
      <c r="AG115" s="563">
        <f t="shared" si="48"/>
        <v>1811.69</v>
      </c>
      <c r="AH115" s="563">
        <f t="shared" si="49"/>
        <v>1826.88</v>
      </c>
      <c r="AI115" s="563">
        <f t="shared" si="49"/>
        <v>1842.07</v>
      </c>
      <c r="AJ115" s="563">
        <f t="shared" si="38"/>
        <v>1857.26</v>
      </c>
      <c r="AK115" s="563">
        <f t="shared" si="39"/>
        <v>1872.45</v>
      </c>
      <c r="AL115" s="669"/>
    </row>
    <row r="116" spans="1:38" s="573" customFormat="1">
      <c r="A116" s="570" t="s">
        <v>168</v>
      </c>
      <c r="B116" s="572"/>
      <c r="C116" s="570" t="s">
        <v>154</v>
      </c>
      <c r="D116" s="570" t="s">
        <v>100</v>
      </c>
      <c r="E116" s="571" t="s">
        <v>39</v>
      </c>
      <c r="F116" s="570" t="s">
        <v>57</v>
      </c>
      <c r="G116" s="670"/>
      <c r="H116" s="697"/>
      <c r="I116" s="573" t="s">
        <v>180</v>
      </c>
      <c r="J116" s="573">
        <v>19.8</v>
      </c>
      <c r="K116" s="569">
        <v>19.66</v>
      </c>
      <c r="L116" s="569">
        <v>2378.6</v>
      </c>
      <c r="M116" s="569">
        <f t="shared" si="35"/>
        <v>2398.2600000000002</v>
      </c>
      <c r="N116" s="569">
        <f t="shared" si="48"/>
        <v>2417.92</v>
      </c>
      <c r="O116" s="569">
        <f t="shared" si="48"/>
        <v>2437.58</v>
      </c>
      <c r="P116" s="569">
        <f t="shared" si="48"/>
        <v>2457.2399999999998</v>
      </c>
      <c r="Q116" s="569">
        <f t="shared" si="48"/>
        <v>2476.9</v>
      </c>
      <c r="R116" s="569">
        <f t="shared" si="48"/>
        <v>2496.56</v>
      </c>
      <c r="S116" s="569">
        <f t="shared" si="48"/>
        <v>2516.2199999999998</v>
      </c>
      <c r="T116" s="569">
        <f t="shared" si="48"/>
        <v>2535.88</v>
      </c>
      <c r="U116" s="569">
        <f t="shared" si="48"/>
        <v>2555.54</v>
      </c>
      <c r="V116" s="569">
        <f t="shared" si="48"/>
        <v>2575.1999999999998</v>
      </c>
      <c r="W116" s="569">
        <f t="shared" si="48"/>
        <v>2594.86</v>
      </c>
      <c r="X116" s="569">
        <f t="shared" si="48"/>
        <v>2614.52</v>
      </c>
      <c r="Y116" s="569">
        <f t="shared" si="48"/>
        <v>2634.18</v>
      </c>
      <c r="Z116" s="569">
        <f t="shared" si="48"/>
        <v>2653.84</v>
      </c>
      <c r="AA116" s="569">
        <f t="shared" si="48"/>
        <v>2673.5</v>
      </c>
      <c r="AB116" s="569">
        <f t="shared" si="48"/>
        <v>2693.16</v>
      </c>
      <c r="AC116" s="569">
        <f t="shared" si="48"/>
        <v>2712.82</v>
      </c>
      <c r="AD116" s="569">
        <f t="shared" si="48"/>
        <v>2732.48</v>
      </c>
      <c r="AE116" s="569">
        <f t="shared" si="48"/>
        <v>2752.14</v>
      </c>
      <c r="AF116" s="569">
        <f t="shared" si="48"/>
        <v>2771.8</v>
      </c>
      <c r="AG116" s="569">
        <f t="shared" si="48"/>
        <v>2791.46</v>
      </c>
      <c r="AH116" s="569">
        <f t="shared" si="49"/>
        <v>2811.12</v>
      </c>
      <c r="AI116" s="569">
        <f t="shared" si="49"/>
        <v>2830.78</v>
      </c>
      <c r="AJ116" s="569">
        <f t="shared" si="38"/>
        <v>2850.44</v>
      </c>
      <c r="AK116" s="569">
        <f t="shared" si="39"/>
        <v>2870.1</v>
      </c>
      <c r="AL116" s="649"/>
    </row>
    <row r="117" spans="1:38">
      <c r="A117" s="531" t="s">
        <v>168</v>
      </c>
      <c r="C117" s="570" t="s">
        <v>154</v>
      </c>
      <c r="D117" s="570" t="s">
        <v>100</v>
      </c>
      <c r="E117" s="532" t="s">
        <v>25</v>
      </c>
      <c r="F117" s="570" t="s">
        <v>57</v>
      </c>
      <c r="G117" s="671"/>
      <c r="H117" s="697"/>
      <c r="I117" s="533" t="s">
        <v>180</v>
      </c>
      <c r="J117" s="573">
        <v>19.8</v>
      </c>
      <c r="K117" s="569">
        <v>19.66</v>
      </c>
      <c r="L117" s="569">
        <v>2515.6</v>
      </c>
      <c r="M117" s="569">
        <f t="shared" si="35"/>
        <v>2535.2600000000002</v>
      </c>
      <c r="N117" s="569">
        <f t="shared" si="48"/>
        <v>2554.92</v>
      </c>
      <c r="O117" s="569">
        <f t="shared" si="48"/>
        <v>2574.58</v>
      </c>
      <c r="P117" s="569">
        <f t="shared" si="48"/>
        <v>2594.2399999999998</v>
      </c>
      <c r="Q117" s="569">
        <f t="shared" si="48"/>
        <v>2613.9</v>
      </c>
      <c r="R117" s="569">
        <f t="shared" si="48"/>
        <v>2633.56</v>
      </c>
      <c r="S117" s="569">
        <f t="shared" si="48"/>
        <v>2653.22</v>
      </c>
      <c r="T117" s="569">
        <f t="shared" si="48"/>
        <v>2672.88</v>
      </c>
      <c r="U117" s="569">
        <f t="shared" si="48"/>
        <v>2692.54</v>
      </c>
      <c r="V117" s="569">
        <f t="shared" si="48"/>
        <v>2712.2</v>
      </c>
      <c r="W117" s="569">
        <f t="shared" si="48"/>
        <v>2731.86</v>
      </c>
      <c r="X117" s="569">
        <f t="shared" si="48"/>
        <v>2751.52</v>
      </c>
      <c r="Y117" s="569">
        <f t="shared" si="48"/>
        <v>2771.18</v>
      </c>
      <c r="Z117" s="569">
        <f t="shared" si="48"/>
        <v>2790.84</v>
      </c>
      <c r="AA117" s="569">
        <f t="shared" si="48"/>
        <v>2810.5</v>
      </c>
      <c r="AB117" s="569">
        <f t="shared" si="48"/>
        <v>2830.16</v>
      </c>
      <c r="AC117" s="569">
        <f t="shared" si="48"/>
        <v>2849.82</v>
      </c>
      <c r="AD117" s="569">
        <f t="shared" si="48"/>
        <v>2869.48</v>
      </c>
      <c r="AE117" s="569">
        <f t="shared" si="48"/>
        <v>2889.14</v>
      </c>
      <c r="AF117" s="569">
        <f t="shared" si="48"/>
        <v>2908.8</v>
      </c>
      <c r="AG117" s="569">
        <f t="shared" si="48"/>
        <v>2928.46</v>
      </c>
      <c r="AH117" s="569">
        <f t="shared" si="49"/>
        <v>2948.12</v>
      </c>
      <c r="AI117" s="569">
        <f t="shared" si="49"/>
        <v>2967.78</v>
      </c>
      <c r="AJ117" s="569">
        <f t="shared" si="38"/>
        <v>2987.44</v>
      </c>
      <c r="AK117" s="569">
        <f t="shared" si="39"/>
        <v>3007.1</v>
      </c>
      <c r="AL117" s="649"/>
    </row>
    <row r="118" spans="1:38">
      <c r="A118" s="531" t="s">
        <v>168</v>
      </c>
      <c r="C118" s="570" t="s">
        <v>154</v>
      </c>
      <c r="D118" s="570" t="s">
        <v>100</v>
      </c>
      <c r="E118" s="532" t="s">
        <v>181</v>
      </c>
      <c r="F118" s="570" t="s">
        <v>57</v>
      </c>
      <c r="G118" s="671"/>
      <c r="H118" s="697"/>
      <c r="I118" s="533" t="s">
        <v>180</v>
      </c>
      <c r="J118" s="573">
        <v>19.8</v>
      </c>
      <c r="K118" s="569">
        <v>19.66</v>
      </c>
      <c r="L118" s="569">
        <v>2603.65</v>
      </c>
      <c r="M118" s="569">
        <f t="shared" si="35"/>
        <v>2623.31</v>
      </c>
      <c r="N118" s="569">
        <f t="shared" si="48"/>
        <v>2642.97</v>
      </c>
      <c r="O118" s="569">
        <f t="shared" si="48"/>
        <v>2662.63</v>
      </c>
      <c r="P118" s="569">
        <f t="shared" si="48"/>
        <v>2682.29</v>
      </c>
      <c r="Q118" s="569">
        <f t="shared" si="48"/>
        <v>2701.95</v>
      </c>
      <c r="R118" s="569">
        <f t="shared" si="48"/>
        <v>2721.61</v>
      </c>
      <c r="S118" s="569">
        <f t="shared" si="48"/>
        <v>2741.27</v>
      </c>
      <c r="T118" s="569">
        <f t="shared" si="48"/>
        <v>2760.93</v>
      </c>
      <c r="U118" s="569">
        <f t="shared" si="48"/>
        <v>2780.59</v>
      </c>
      <c r="V118" s="569">
        <f t="shared" si="48"/>
        <v>2800.25</v>
      </c>
      <c r="W118" s="569">
        <f t="shared" si="48"/>
        <v>2819.91</v>
      </c>
      <c r="X118" s="569">
        <f t="shared" si="48"/>
        <v>2839.57</v>
      </c>
      <c r="Y118" s="569">
        <f t="shared" si="48"/>
        <v>2859.23</v>
      </c>
      <c r="Z118" s="569">
        <f t="shared" si="48"/>
        <v>2878.89</v>
      </c>
      <c r="AA118" s="569">
        <f t="shared" si="48"/>
        <v>2898.55</v>
      </c>
      <c r="AB118" s="569">
        <f t="shared" si="48"/>
        <v>2918.21</v>
      </c>
      <c r="AC118" s="569">
        <f t="shared" si="48"/>
        <v>2937.87</v>
      </c>
      <c r="AD118" s="569">
        <f t="shared" si="48"/>
        <v>2957.53</v>
      </c>
      <c r="AE118" s="569">
        <f t="shared" si="48"/>
        <v>2977.19</v>
      </c>
      <c r="AF118" s="569">
        <f t="shared" si="48"/>
        <v>2996.85</v>
      </c>
      <c r="AG118" s="569">
        <f t="shared" si="48"/>
        <v>3016.51</v>
      </c>
      <c r="AH118" s="569">
        <f t="shared" si="49"/>
        <v>3036.17</v>
      </c>
      <c r="AI118" s="569">
        <f t="shared" si="49"/>
        <v>3055.83</v>
      </c>
      <c r="AJ118" s="569">
        <f t="shared" si="38"/>
        <v>3075.49</v>
      </c>
      <c r="AK118" s="569">
        <f t="shared" si="39"/>
        <v>3095.15</v>
      </c>
      <c r="AL118" s="649"/>
    </row>
    <row r="119" spans="1:38">
      <c r="A119" s="531" t="s">
        <v>182</v>
      </c>
      <c r="C119" s="570" t="s">
        <v>154</v>
      </c>
      <c r="D119" s="570" t="s">
        <v>100</v>
      </c>
      <c r="E119" s="532" t="s">
        <v>159</v>
      </c>
      <c r="F119" s="570" t="s">
        <v>57</v>
      </c>
      <c r="H119" s="681"/>
      <c r="I119" s="672" t="s">
        <v>183</v>
      </c>
      <c r="J119" s="573">
        <v>23</v>
      </c>
      <c r="K119" s="569">
        <v>30.52</v>
      </c>
      <c r="L119" s="569">
        <v>6273.77</v>
      </c>
      <c r="M119" s="569">
        <f t="shared" si="35"/>
        <v>6304.29</v>
      </c>
      <c r="N119" s="569">
        <f t="shared" si="48"/>
        <v>6334.81</v>
      </c>
      <c r="O119" s="569">
        <f t="shared" si="48"/>
        <v>6365.33</v>
      </c>
      <c r="P119" s="569">
        <f t="shared" si="48"/>
        <v>6395.85</v>
      </c>
      <c r="Q119" s="569">
        <f t="shared" si="48"/>
        <v>6426.37</v>
      </c>
      <c r="R119" s="569">
        <f t="shared" si="48"/>
        <v>6456.89</v>
      </c>
      <c r="S119" s="569">
        <f t="shared" si="48"/>
        <v>6487.41</v>
      </c>
      <c r="T119" s="569">
        <f t="shared" si="48"/>
        <v>6517.93</v>
      </c>
      <c r="U119" s="569">
        <f t="shared" si="48"/>
        <v>6548.45</v>
      </c>
      <c r="V119" s="569">
        <f t="shared" si="48"/>
        <v>6578.97</v>
      </c>
      <c r="W119" s="569">
        <f t="shared" si="48"/>
        <v>6609.49</v>
      </c>
      <c r="X119" s="569">
        <f t="shared" si="48"/>
        <v>6640.01</v>
      </c>
      <c r="Y119" s="569">
        <f t="shared" si="48"/>
        <v>6670.53</v>
      </c>
      <c r="Z119" s="569">
        <f t="shared" si="48"/>
        <v>6701.05</v>
      </c>
      <c r="AA119" s="569">
        <f t="shared" si="48"/>
        <v>6731.57</v>
      </c>
      <c r="AB119" s="569">
        <f t="shared" si="48"/>
        <v>6762.09</v>
      </c>
      <c r="AC119" s="569">
        <f t="shared" si="48"/>
        <v>6792.61</v>
      </c>
      <c r="AD119" s="569">
        <f t="shared" si="48"/>
        <v>6823.13</v>
      </c>
      <c r="AE119" s="569">
        <f t="shared" si="48"/>
        <v>6853.65</v>
      </c>
      <c r="AF119" s="569">
        <f t="shared" si="48"/>
        <v>6884.17</v>
      </c>
      <c r="AG119" s="569">
        <f t="shared" si="48"/>
        <v>6914.69</v>
      </c>
      <c r="AH119" s="569">
        <f t="shared" si="49"/>
        <v>6945.21</v>
      </c>
      <c r="AI119" s="569">
        <f t="shared" si="49"/>
        <v>6975.73</v>
      </c>
      <c r="AJ119" s="569">
        <f t="shared" si="38"/>
        <v>7006.25</v>
      </c>
      <c r="AK119" s="569">
        <f t="shared" si="39"/>
        <v>7036.77</v>
      </c>
      <c r="AL119" s="649"/>
    </row>
    <row r="120" spans="1:38">
      <c r="A120" s="531" t="s">
        <v>184</v>
      </c>
      <c r="C120" s="570" t="s">
        <v>172</v>
      </c>
      <c r="D120" s="570" t="s">
        <v>100</v>
      </c>
      <c r="E120" s="532" t="s">
        <v>25</v>
      </c>
      <c r="F120" s="570" t="s">
        <v>57</v>
      </c>
      <c r="H120" s="681" t="s">
        <v>185</v>
      </c>
      <c r="I120" s="672" t="s">
        <v>186</v>
      </c>
      <c r="J120" s="573">
        <v>26</v>
      </c>
      <c r="K120" s="569">
        <v>29.25</v>
      </c>
      <c r="L120" s="569">
        <v>3374.96</v>
      </c>
      <c r="M120" s="569">
        <f t="shared" si="35"/>
        <v>3404.21</v>
      </c>
      <c r="N120" s="569">
        <f t="shared" si="48"/>
        <v>3433.46</v>
      </c>
      <c r="O120" s="569">
        <f t="shared" si="48"/>
        <v>3462.71</v>
      </c>
      <c r="P120" s="569">
        <f t="shared" si="48"/>
        <v>3491.96</v>
      </c>
      <c r="Q120" s="569">
        <f t="shared" si="48"/>
        <v>3521.21</v>
      </c>
      <c r="R120" s="569">
        <f t="shared" si="48"/>
        <v>3550.46</v>
      </c>
      <c r="S120" s="569">
        <f t="shared" si="48"/>
        <v>3579.71</v>
      </c>
      <c r="T120" s="569">
        <f t="shared" si="48"/>
        <v>3608.96</v>
      </c>
      <c r="U120" s="569">
        <f t="shared" si="48"/>
        <v>3638.21</v>
      </c>
      <c r="V120" s="569">
        <f t="shared" si="48"/>
        <v>3667.46</v>
      </c>
      <c r="W120" s="569">
        <f t="shared" si="48"/>
        <v>3696.71</v>
      </c>
      <c r="X120" s="569">
        <f t="shared" si="48"/>
        <v>3725.96</v>
      </c>
      <c r="Y120" s="569">
        <f t="shared" si="48"/>
        <v>3755.21</v>
      </c>
      <c r="Z120" s="569">
        <f t="shared" si="48"/>
        <v>3784.46</v>
      </c>
      <c r="AA120" s="569">
        <f t="shared" si="48"/>
        <v>3813.71</v>
      </c>
      <c r="AB120" s="569">
        <f t="shared" si="48"/>
        <v>3842.96</v>
      </c>
      <c r="AC120" s="569">
        <f t="shared" si="48"/>
        <v>3872.21</v>
      </c>
      <c r="AD120" s="569">
        <f t="shared" si="48"/>
        <v>3901.46</v>
      </c>
      <c r="AE120" s="569">
        <f t="shared" si="48"/>
        <v>3930.71</v>
      </c>
      <c r="AF120" s="569">
        <f t="shared" si="48"/>
        <v>3959.96</v>
      </c>
      <c r="AG120" s="569">
        <f t="shared" si="48"/>
        <v>3989.21</v>
      </c>
      <c r="AH120" s="569">
        <f t="shared" si="49"/>
        <v>4018.46</v>
      </c>
      <c r="AI120" s="569">
        <f t="shared" si="49"/>
        <v>4047.71</v>
      </c>
      <c r="AJ120" s="569">
        <f t="shared" si="38"/>
        <v>4076.96</v>
      </c>
      <c r="AK120" s="569">
        <f t="shared" si="39"/>
        <v>4106.21</v>
      </c>
      <c r="AL120" s="649"/>
    </row>
    <row r="121" spans="1:38">
      <c r="A121" s="531" t="s">
        <v>187</v>
      </c>
      <c r="C121" s="570" t="s">
        <v>172</v>
      </c>
      <c r="D121" s="570" t="s">
        <v>100</v>
      </c>
      <c r="E121" s="532" t="s">
        <v>25</v>
      </c>
      <c r="F121" s="570" t="s">
        <v>57</v>
      </c>
      <c r="H121" s="681" t="s">
        <v>188</v>
      </c>
      <c r="I121" s="672" t="s">
        <v>186</v>
      </c>
      <c r="J121" s="573">
        <v>27.6</v>
      </c>
      <c r="K121" s="569">
        <v>30.95</v>
      </c>
      <c r="L121" s="569">
        <v>3592.5</v>
      </c>
      <c r="M121" s="569">
        <f t="shared" si="35"/>
        <v>3623.45</v>
      </c>
      <c r="N121" s="569">
        <f t="shared" si="48"/>
        <v>3654.4</v>
      </c>
      <c r="O121" s="569">
        <f t="shared" si="48"/>
        <v>3685.35</v>
      </c>
      <c r="P121" s="569">
        <f t="shared" si="48"/>
        <v>3716.3</v>
      </c>
      <c r="Q121" s="569">
        <f t="shared" si="48"/>
        <v>3747.25</v>
      </c>
      <c r="R121" s="569">
        <f t="shared" si="48"/>
        <v>3778.2</v>
      </c>
      <c r="S121" s="569">
        <f t="shared" ref="N121:AG131" si="50">ROUND(R121+$K121,2)</f>
        <v>3809.15</v>
      </c>
      <c r="T121" s="569">
        <f t="shared" si="50"/>
        <v>3840.1</v>
      </c>
      <c r="U121" s="569">
        <f t="shared" si="50"/>
        <v>3871.05</v>
      </c>
      <c r="V121" s="569">
        <f t="shared" si="50"/>
        <v>3902</v>
      </c>
      <c r="W121" s="569">
        <f t="shared" si="50"/>
        <v>3932.95</v>
      </c>
      <c r="X121" s="569">
        <f t="shared" si="50"/>
        <v>3963.9</v>
      </c>
      <c r="Y121" s="569">
        <f t="shared" si="50"/>
        <v>3994.85</v>
      </c>
      <c r="Z121" s="569">
        <f t="shared" si="50"/>
        <v>4025.8</v>
      </c>
      <c r="AA121" s="569">
        <f t="shared" si="50"/>
        <v>4056.75</v>
      </c>
      <c r="AB121" s="569">
        <f t="shared" si="50"/>
        <v>4087.7</v>
      </c>
      <c r="AC121" s="569">
        <f t="shared" si="50"/>
        <v>4118.6499999999996</v>
      </c>
      <c r="AD121" s="569">
        <f t="shared" si="50"/>
        <v>4149.6000000000004</v>
      </c>
      <c r="AE121" s="569">
        <f t="shared" si="50"/>
        <v>4180.55</v>
      </c>
      <c r="AF121" s="569">
        <f t="shared" si="50"/>
        <v>4211.5</v>
      </c>
      <c r="AG121" s="569">
        <f t="shared" si="50"/>
        <v>4242.45</v>
      </c>
      <c r="AH121" s="569">
        <f t="shared" si="49"/>
        <v>4273.3999999999996</v>
      </c>
      <c r="AI121" s="569">
        <f t="shared" si="49"/>
        <v>4304.3500000000004</v>
      </c>
      <c r="AJ121" s="569">
        <f t="shared" si="38"/>
        <v>4335.3</v>
      </c>
      <c r="AK121" s="569">
        <f t="shared" si="39"/>
        <v>4366.25</v>
      </c>
      <c r="AL121" s="649"/>
    </row>
    <row r="122" spans="1:38" s="610" customFormat="1">
      <c r="A122" s="607" t="s">
        <v>189</v>
      </c>
      <c r="B122" s="608"/>
      <c r="C122" s="607" t="s">
        <v>190</v>
      </c>
      <c r="D122" s="607" t="s">
        <v>191</v>
      </c>
      <c r="E122" s="609" t="s">
        <v>192</v>
      </c>
      <c r="F122" s="558" t="s">
        <v>57</v>
      </c>
      <c r="G122" s="608"/>
      <c r="H122" s="690" t="s">
        <v>193</v>
      </c>
      <c r="I122" s="610" t="s">
        <v>186</v>
      </c>
      <c r="J122" s="610">
        <v>27.6</v>
      </c>
      <c r="K122" s="611">
        <v>30.95</v>
      </c>
      <c r="L122" s="563">
        <v>4265.01</v>
      </c>
      <c r="M122" s="563">
        <f t="shared" si="35"/>
        <v>4295.96</v>
      </c>
      <c r="N122" s="563">
        <f t="shared" si="50"/>
        <v>4326.91</v>
      </c>
      <c r="O122" s="563">
        <f t="shared" si="50"/>
        <v>4357.8599999999997</v>
      </c>
      <c r="P122" s="563">
        <f t="shared" si="50"/>
        <v>4388.8100000000004</v>
      </c>
      <c r="Q122" s="563">
        <f t="shared" si="50"/>
        <v>4419.76</v>
      </c>
      <c r="R122" s="563">
        <f t="shared" si="50"/>
        <v>4450.71</v>
      </c>
      <c r="S122" s="563">
        <f t="shared" si="50"/>
        <v>4481.66</v>
      </c>
      <c r="T122" s="563">
        <f t="shared" si="50"/>
        <v>4512.6099999999997</v>
      </c>
      <c r="U122" s="563">
        <f t="shared" si="50"/>
        <v>4543.5600000000004</v>
      </c>
      <c r="V122" s="563">
        <f t="shared" si="50"/>
        <v>4574.51</v>
      </c>
      <c r="W122" s="563">
        <f t="shared" si="50"/>
        <v>4605.46</v>
      </c>
      <c r="X122" s="563">
        <f t="shared" si="50"/>
        <v>4636.41</v>
      </c>
      <c r="Y122" s="563">
        <f t="shared" si="50"/>
        <v>4667.3599999999997</v>
      </c>
      <c r="Z122" s="563">
        <f t="shared" si="50"/>
        <v>4698.3100000000004</v>
      </c>
      <c r="AA122" s="563">
        <f t="shared" si="50"/>
        <v>4729.26</v>
      </c>
      <c r="AB122" s="563">
        <f t="shared" si="50"/>
        <v>4760.21</v>
      </c>
      <c r="AC122" s="563">
        <f t="shared" si="50"/>
        <v>4791.16</v>
      </c>
      <c r="AD122" s="563">
        <f t="shared" si="50"/>
        <v>4822.1099999999997</v>
      </c>
      <c r="AE122" s="563">
        <f t="shared" si="50"/>
        <v>4853.0600000000004</v>
      </c>
      <c r="AF122" s="563">
        <f t="shared" si="50"/>
        <v>4884.01</v>
      </c>
      <c r="AG122" s="563">
        <f t="shared" si="50"/>
        <v>4914.96</v>
      </c>
      <c r="AH122" s="563">
        <f t="shared" si="49"/>
        <v>4945.91</v>
      </c>
      <c r="AI122" s="563">
        <f t="shared" si="49"/>
        <v>4976.8599999999997</v>
      </c>
      <c r="AJ122" s="563">
        <f t="shared" si="38"/>
        <v>5007.8100000000004</v>
      </c>
      <c r="AK122" s="563">
        <f t="shared" si="39"/>
        <v>5038.76</v>
      </c>
      <c r="AL122" s="669"/>
    </row>
    <row r="123" spans="1:38" s="663" customFormat="1">
      <c r="A123" s="570" t="s">
        <v>184</v>
      </c>
      <c r="B123" s="570"/>
      <c r="C123" s="570" t="s">
        <v>172</v>
      </c>
      <c r="D123" s="570" t="s">
        <v>100</v>
      </c>
      <c r="E123" s="571" t="s">
        <v>25</v>
      </c>
      <c r="F123" s="570" t="s">
        <v>57</v>
      </c>
      <c r="G123" s="670"/>
      <c r="H123" s="698"/>
      <c r="I123" s="680" t="s">
        <v>180</v>
      </c>
      <c r="J123" s="573">
        <v>24.7</v>
      </c>
      <c r="K123" s="673">
        <v>26.98</v>
      </c>
      <c r="L123" s="569">
        <v>3194.78</v>
      </c>
      <c r="M123" s="569">
        <f t="shared" si="35"/>
        <v>3221.76</v>
      </c>
      <c r="N123" s="569">
        <f t="shared" si="50"/>
        <v>3248.74</v>
      </c>
      <c r="O123" s="569">
        <f t="shared" si="50"/>
        <v>3275.72</v>
      </c>
      <c r="P123" s="569">
        <f t="shared" si="50"/>
        <v>3302.7</v>
      </c>
      <c r="Q123" s="569">
        <f t="shared" si="50"/>
        <v>3329.68</v>
      </c>
      <c r="R123" s="569">
        <f t="shared" si="50"/>
        <v>3356.66</v>
      </c>
      <c r="S123" s="569">
        <f t="shared" si="50"/>
        <v>3383.64</v>
      </c>
      <c r="T123" s="569">
        <f t="shared" si="50"/>
        <v>3410.62</v>
      </c>
      <c r="U123" s="569">
        <f t="shared" si="50"/>
        <v>3437.6</v>
      </c>
      <c r="V123" s="569">
        <f t="shared" si="50"/>
        <v>3464.58</v>
      </c>
      <c r="W123" s="569">
        <f t="shared" si="50"/>
        <v>3491.56</v>
      </c>
      <c r="X123" s="569">
        <f t="shared" si="50"/>
        <v>3518.54</v>
      </c>
      <c r="Y123" s="569">
        <f t="shared" si="50"/>
        <v>3545.52</v>
      </c>
      <c r="Z123" s="569">
        <f t="shared" si="50"/>
        <v>3572.5</v>
      </c>
      <c r="AA123" s="569">
        <f t="shared" si="50"/>
        <v>3599.48</v>
      </c>
      <c r="AB123" s="569">
        <f t="shared" si="50"/>
        <v>3626.46</v>
      </c>
      <c r="AC123" s="569">
        <f t="shared" si="50"/>
        <v>3653.44</v>
      </c>
      <c r="AD123" s="569">
        <f t="shared" si="50"/>
        <v>3680.42</v>
      </c>
      <c r="AE123" s="569">
        <f t="shared" si="50"/>
        <v>3707.4</v>
      </c>
      <c r="AF123" s="569">
        <f t="shared" si="50"/>
        <v>3734.38</v>
      </c>
      <c r="AG123" s="569">
        <f t="shared" si="50"/>
        <v>3761.36</v>
      </c>
      <c r="AH123" s="569">
        <f t="shared" si="49"/>
        <v>3788.34</v>
      </c>
      <c r="AI123" s="569">
        <f t="shared" si="49"/>
        <v>3815.32</v>
      </c>
      <c r="AJ123" s="569">
        <f t="shared" si="38"/>
        <v>3842.3</v>
      </c>
      <c r="AK123" s="569">
        <f t="shared" si="39"/>
        <v>3869.28</v>
      </c>
      <c r="AL123" s="674"/>
    </row>
    <row r="124" spans="1:38">
      <c r="A124" s="531" t="s">
        <v>187</v>
      </c>
      <c r="C124" s="570" t="s">
        <v>172</v>
      </c>
      <c r="D124" s="570" t="s">
        <v>100</v>
      </c>
      <c r="E124" s="532" t="s">
        <v>25</v>
      </c>
      <c r="F124" s="570" t="s">
        <v>57</v>
      </c>
      <c r="G124" s="671"/>
      <c r="H124" s="697"/>
      <c r="I124" s="672" t="s">
        <v>180</v>
      </c>
      <c r="J124" s="573">
        <v>26.2</v>
      </c>
      <c r="K124" s="569">
        <v>28.71</v>
      </c>
      <c r="L124" s="569">
        <v>3409.06</v>
      </c>
      <c r="M124" s="569">
        <f t="shared" si="35"/>
        <v>3437.77</v>
      </c>
      <c r="N124" s="569">
        <f t="shared" si="50"/>
        <v>3466.48</v>
      </c>
      <c r="O124" s="569">
        <f t="shared" si="50"/>
        <v>3495.19</v>
      </c>
      <c r="P124" s="569">
        <f t="shared" si="50"/>
        <v>3523.9</v>
      </c>
      <c r="Q124" s="569">
        <f t="shared" si="50"/>
        <v>3552.61</v>
      </c>
      <c r="R124" s="569">
        <f t="shared" si="50"/>
        <v>3581.32</v>
      </c>
      <c r="S124" s="569">
        <f t="shared" si="50"/>
        <v>3610.03</v>
      </c>
      <c r="T124" s="569">
        <f t="shared" si="50"/>
        <v>3638.74</v>
      </c>
      <c r="U124" s="569">
        <f t="shared" si="50"/>
        <v>3667.45</v>
      </c>
      <c r="V124" s="569">
        <f t="shared" si="50"/>
        <v>3696.16</v>
      </c>
      <c r="W124" s="569">
        <f t="shared" si="50"/>
        <v>3724.87</v>
      </c>
      <c r="X124" s="569">
        <f t="shared" si="50"/>
        <v>3753.58</v>
      </c>
      <c r="Y124" s="569">
        <f t="shared" si="50"/>
        <v>3782.29</v>
      </c>
      <c r="Z124" s="569">
        <f t="shared" si="50"/>
        <v>3811</v>
      </c>
      <c r="AA124" s="569">
        <f t="shared" si="50"/>
        <v>3839.71</v>
      </c>
      <c r="AB124" s="569">
        <f t="shared" si="50"/>
        <v>3868.42</v>
      </c>
      <c r="AC124" s="569">
        <f t="shared" si="50"/>
        <v>3897.13</v>
      </c>
      <c r="AD124" s="569">
        <f t="shared" si="50"/>
        <v>3925.84</v>
      </c>
      <c r="AE124" s="569">
        <f t="shared" si="50"/>
        <v>3954.55</v>
      </c>
      <c r="AF124" s="569">
        <f t="shared" si="50"/>
        <v>3983.26</v>
      </c>
      <c r="AG124" s="569">
        <f t="shared" si="50"/>
        <v>4011.97</v>
      </c>
      <c r="AH124" s="569">
        <f t="shared" si="49"/>
        <v>4040.68</v>
      </c>
      <c r="AI124" s="569">
        <f t="shared" si="49"/>
        <v>4069.39</v>
      </c>
      <c r="AJ124" s="569">
        <f t="shared" si="38"/>
        <v>4098.1000000000004</v>
      </c>
      <c r="AK124" s="569">
        <f t="shared" si="39"/>
        <v>4126.8100000000004</v>
      </c>
      <c r="AL124" s="649"/>
    </row>
    <row r="125" spans="1:38">
      <c r="A125" s="531" t="s">
        <v>194</v>
      </c>
      <c r="C125" s="570" t="s">
        <v>195</v>
      </c>
      <c r="D125" s="570" t="s">
        <v>191</v>
      </c>
      <c r="E125" s="532" t="s">
        <v>181</v>
      </c>
      <c r="F125" s="570" t="s">
        <v>32</v>
      </c>
      <c r="H125" s="681"/>
      <c r="I125" s="672" t="s">
        <v>183</v>
      </c>
      <c r="J125" s="567"/>
      <c r="K125" s="569">
        <v>32.4</v>
      </c>
      <c r="L125" s="569">
        <v>3911.74</v>
      </c>
      <c r="M125" s="569">
        <f t="shared" si="35"/>
        <v>3944.14</v>
      </c>
      <c r="N125" s="569">
        <f t="shared" si="50"/>
        <v>3976.54</v>
      </c>
      <c r="O125" s="569">
        <f t="shared" si="50"/>
        <v>4008.94</v>
      </c>
      <c r="P125" s="569">
        <f t="shared" si="50"/>
        <v>4041.34</v>
      </c>
      <c r="Q125" s="569">
        <f t="shared" si="50"/>
        <v>4073.74</v>
      </c>
      <c r="R125" s="569">
        <f t="shared" si="50"/>
        <v>4106.1400000000003</v>
      </c>
      <c r="S125" s="569">
        <f t="shared" si="50"/>
        <v>4138.54</v>
      </c>
      <c r="T125" s="569">
        <f t="shared" si="50"/>
        <v>4170.9399999999996</v>
      </c>
      <c r="U125" s="569">
        <f t="shared" si="50"/>
        <v>4203.34</v>
      </c>
      <c r="V125" s="569">
        <f t="shared" si="50"/>
        <v>4235.74</v>
      </c>
      <c r="W125" s="569">
        <f t="shared" si="50"/>
        <v>4268.1400000000003</v>
      </c>
      <c r="X125" s="569">
        <f t="shared" si="50"/>
        <v>4300.54</v>
      </c>
      <c r="Y125" s="569">
        <f t="shared" si="50"/>
        <v>4332.9399999999996</v>
      </c>
      <c r="Z125" s="569">
        <f t="shared" si="50"/>
        <v>4365.34</v>
      </c>
      <c r="AA125" s="569">
        <f t="shared" si="50"/>
        <v>4397.74</v>
      </c>
      <c r="AB125" s="569">
        <f t="shared" si="50"/>
        <v>4430.1400000000003</v>
      </c>
      <c r="AC125" s="569">
        <f t="shared" si="50"/>
        <v>4462.54</v>
      </c>
      <c r="AD125" s="569">
        <f t="shared" si="50"/>
        <v>4494.9399999999996</v>
      </c>
      <c r="AE125" s="569">
        <f t="shared" si="50"/>
        <v>4527.34</v>
      </c>
      <c r="AF125" s="569">
        <f t="shared" si="50"/>
        <v>4559.74</v>
      </c>
      <c r="AG125" s="569">
        <f t="shared" si="50"/>
        <v>4592.1400000000003</v>
      </c>
      <c r="AH125" s="569">
        <f t="shared" si="49"/>
        <v>4624.54</v>
      </c>
      <c r="AI125" s="569">
        <f t="shared" si="49"/>
        <v>4656.9399999999996</v>
      </c>
      <c r="AJ125" s="569">
        <f t="shared" si="38"/>
        <v>4689.34</v>
      </c>
      <c r="AK125" s="569">
        <f t="shared" si="39"/>
        <v>4721.74</v>
      </c>
      <c r="AL125" s="649"/>
    </row>
    <row r="126" spans="1:38">
      <c r="A126" s="531" t="s">
        <v>194</v>
      </c>
      <c r="C126" s="570" t="s">
        <v>195</v>
      </c>
      <c r="D126" s="570" t="s">
        <v>191</v>
      </c>
      <c r="E126" s="532" t="s">
        <v>56</v>
      </c>
      <c r="F126" s="570" t="s">
        <v>32</v>
      </c>
      <c r="H126" s="681"/>
      <c r="I126" s="672" t="s">
        <v>183</v>
      </c>
      <c r="J126" s="567"/>
      <c r="K126" s="569">
        <v>32.4</v>
      </c>
      <c r="L126" s="569">
        <v>3794.39</v>
      </c>
      <c r="M126" s="569">
        <f t="shared" si="35"/>
        <v>3826.79</v>
      </c>
      <c r="N126" s="569">
        <f t="shared" si="50"/>
        <v>3859.19</v>
      </c>
      <c r="O126" s="569">
        <f t="shared" si="50"/>
        <v>3891.59</v>
      </c>
      <c r="P126" s="569">
        <f t="shared" si="50"/>
        <v>3923.99</v>
      </c>
      <c r="Q126" s="569">
        <f t="shared" si="50"/>
        <v>3956.39</v>
      </c>
      <c r="R126" s="569">
        <f t="shared" si="50"/>
        <v>3988.79</v>
      </c>
      <c r="S126" s="569">
        <f t="shared" si="50"/>
        <v>4021.19</v>
      </c>
      <c r="T126" s="569">
        <f t="shared" si="50"/>
        <v>4053.59</v>
      </c>
      <c r="U126" s="569">
        <f t="shared" si="50"/>
        <v>4085.99</v>
      </c>
      <c r="V126" s="569">
        <f t="shared" si="50"/>
        <v>4118.3900000000003</v>
      </c>
      <c r="W126" s="569">
        <f t="shared" si="50"/>
        <v>4150.79</v>
      </c>
      <c r="X126" s="569">
        <f t="shared" si="50"/>
        <v>4183.1899999999996</v>
      </c>
      <c r="Y126" s="569">
        <f t="shared" si="50"/>
        <v>4215.59</v>
      </c>
      <c r="Z126" s="569">
        <f t="shared" si="50"/>
        <v>4247.99</v>
      </c>
      <c r="AA126" s="569">
        <f t="shared" si="50"/>
        <v>4280.3900000000003</v>
      </c>
      <c r="AB126" s="569">
        <f t="shared" si="50"/>
        <v>4312.79</v>
      </c>
      <c r="AC126" s="569">
        <f t="shared" si="50"/>
        <v>4345.1899999999996</v>
      </c>
      <c r="AD126" s="569">
        <f t="shared" si="50"/>
        <v>4377.59</v>
      </c>
      <c r="AE126" s="569">
        <f t="shared" si="50"/>
        <v>4409.99</v>
      </c>
      <c r="AF126" s="569">
        <f t="shared" si="50"/>
        <v>4442.3900000000003</v>
      </c>
      <c r="AG126" s="569">
        <f t="shared" si="50"/>
        <v>4474.79</v>
      </c>
      <c r="AH126" s="569">
        <f t="shared" si="49"/>
        <v>4507.1899999999996</v>
      </c>
      <c r="AI126" s="569">
        <f t="shared" si="49"/>
        <v>4539.59</v>
      </c>
      <c r="AJ126" s="569">
        <f t="shared" si="38"/>
        <v>4571.99</v>
      </c>
      <c r="AK126" s="569">
        <f t="shared" si="39"/>
        <v>4604.3900000000003</v>
      </c>
      <c r="AL126" s="649"/>
    </row>
    <row r="127" spans="1:38">
      <c r="A127" s="531" t="s">
        <v>194</v>
      </c>
      <c r="C127" s="570" t="s">
        <v>195</v>
      </c>
      <c r="D127" s="570" t="s">
        <v>191</v>
      </c>
      <c r="E127" s="532" t="s">
        <v>175</v>
      </c>
      <c r="F127" s="570" t="s">
        <v>196</v>
      </c>
      <c r="H127" s="681"/>
      <c r="I127" s="672" t="s">
        <v>183</v>
      </c>
      <c r="J127" s="567"/>
      <c r="K127" s="569">
        <v>32.4</v>
      </c>
      <c r="L127" s="569">
        <v>3680.56</v>
      </c>
      <c r="M127" s="569">
        <f t="shared" si="35"/>
        <v>3712.96</v>
      </c>
      <c r="N127" s="569">
        <f t="shared" si="50"/>
        <v>3745.36</v>
      </c>
      <c r="O127" s="569">
        <f t="shared" si="50"/>
        <v>3777.76</v>
      </c>
      <c r="P127" s="569">
        <f t="shared" si="50"/>
        <v>3810.16</v>
      </c>
      <c r="Q127" s="569">
        <f t="shared" si="50"/>
        <v>3842.56</v>
      </c>
      <c r="R127" s="569">
        <f t="shared" si="50"/>
        <v>3874.96</v>
      </c>
      <c r="S127" s="569">
        <f t="shared" si="50"/>
        <v>3907.36</v>
      </c>
      <c r="T127" s="569">
        <f t="shared" si="50"/>
        <v>3939.76</v>
      </c>
      <c r="U127" s="569">
        <f t="shared" si="50"/>
        <v>3972.16</v>
      </c>
      <c r="V127" s="569">
        <f t="shared" si="50"/>
        <v>4004.56</v>
      </c>
      <c r="W127" s="569">
        <f t="shared" si="50"/>
        <v>4036.96</v>
      </c>
      <c r="X127" s="569">
        <f t="shared" si="50"/>
        <v>4069.36</v>
      </c>
      <c r="Y127" s="569">
        <f t="shared" si="50"/>
        <v>4101.76</v>
      </c>
      <c r="Z127" s="569">
        <f t="shared" si="50"/>
        <v>4134.16</v>
      </c>
      <c r="AA127" s="569">
        <f t="shared" si="50"/>
        <v>4166.5600000000004</v>
      </c>
      <c r="AB127" s="569">
        <f t="shared" si="50"/>
        <v>4198.96</v>
      </c>
      <c r="AC127" s="569">
        <f t="shared" si="50"/>
        <v>4231.3599999999997</v>
      </c>
      <c r="AD127" s="569">
        <f t="shared" si="50"/>
        <v>4263.76</v>
      </c>
      <c r="AE127" s="569">
        <f t="shared" si="50"/>
        <v>4296.16</v>
      </c>
      <c r="AF127" s="569">
        <f t="shared" si="50"/>
        <v>4328.5600000000004</v>
      </c>
      <c r="AG127" s="569">
        <f t="shared" si="50"/>
        <v>4360.96</v>
      </c>
      <c r="AH127" s="569">
        <f t="shared" si="49"/>
        <v>4393.3599999999997</v>
      </c>
      <c r="AI127" s="569">
        <f t="shared" si="49"/>
        <v>4425.76</v>
      </c>
      <c r="AJ127" s="569">
        <f t="shared" si="38"/>
        <v>4458.16</v>
      </c>
      <c r="AK127" s="569">
        <f t="shared" si="39"/>
        <v>4490.5600000000004</v>
      </c>
      <c r="AL127" s="649"/>
    </row>
    <row r="128" spans="1:38">
      <c r="A128" s="531" t="s">
        <v>197</v>
      </c>
      <c r="C128" s="570" t="s">
        <v>195</v>
      </c>
      <c r="D128" s="570" t="s">
        <v>191</v>
      </c>
      <c r="E128" s="532" t="s">
        <v>181</v>
      </c>
      <c r="F128" s="570" t="s">
        <v>196</v>
      </c>
      <c r="H128" s="681"/>
      <c r="I128" s="672" t="s">
        <v>183</v>
      </c>
      <c r="J128" s="567"/>
      <c r="K128" s="569">
        <v>31.8</v>
      </c>
      <c r="L128" s="569">
        <v>3795.08</v>
      </c>
      <c r="M128" s="569">
        <f t="shared" si="35"/>
        <v>3826.88</v>
      </c>
      <c r="N128" s="569">
        <f t="shared" si="50"/>
        <v>3858.68</v>
      </c>
      <c r="O128" s="569">
        <f t="shared" si="50"/>
        <v>3890.48</v>
      </c>
      <c r="P128" s="569">
        <f t="shared" si="50"/>
        <v>3922.28</v>
      </c>
      <c r="Q128" s="569">
        <f t="shared" si="50"/>
        <v>3954.08</v>
      </c>
      <c r="R128" s="569">
        <f t="shared" si="50"/>
        <v>3985.88</v>
      </c>
      <c r="S128" s="569">
        <f t="shared" si="50"/>
        <v>4017.68</v>
      </c>
      <c r="T128" s="569">
        <f t="shared" si="50"/>
        <v>4049.48</v>
      </c>
      <c r="U128" s="569">
        <f t="shared" si="50"/>
        <v>4081.28</v>
      </c>
      <c r="V128" s="569">
        <f t="shared" si="50"/>
        <v>4113.08</v>
      </c>
      <c r="W128" s="569">
        <f t="shared" si="50"/>
        <v>4144.88</v>
      </c>
      <c r="X128" s="569">
        <f t="shared" si="50"/>
        <v>4176.68</v>
      </c>
      <c r="Y128" s="569">
        <f t="shared" si="50"/>
        <v>4208.4799999999996</v>
      </c>
      <c r="Z128" s="569">
        <f t="shared" si="50"/>
        <v>4240.28</v>
      </c>
      <c r="AA128" s="569">
        <f t="shared" si="50"/>
        <v>4272.08</v>
      </c>
      <c r="AB128" s="569">
        <f t="shared" si="50"/>
        <v>4303.88</v>
      </c>
      <c r="AC128" s="569">
        <f t="shared" si="50"/>
        <v>4335.68</v>
      </c>
      <c r="AD128" s="569">
        <f t="shared" si="50"/>
        <v>4367.4799999999996</v>
      </c>
      <c r="AE128" s="569">
        <f t="shared" si="50"/>
        <v>4399.28</v>
      </c>
      <c r="AF128" s="569">
        <f t="shared" si="50"/>
        <v>4431.08</v>
      </c>
      <c r="AG128" s="569">
        <f t="shared" si="50"/>
        <v>4462.88</v>
      </c>
      <c r="AH128" s="569">
        <f t="shared" ref="AH128:AH131" si="51">ROUND(AG128+$K128,2)</f>
        <v>4494.68</v>
      </c>
      <c r="AI128" s="569">
        <f t="shared" ref="AI128:AI131" si="52">ROUND(AH128+$K128,2)</f>
        <v>4526.4799999999996</v>
      </c>
      <c r="AJ128" s="569">
        <f t="shared" si="38"/>
        <v>4558.28</v>
      </c>
      <c r="AK128" s="569">
        <f t="shared" si="39"/>
        <v>4590.08</v>
      </c>
      <c r="AL128" s="649"/>
    </row>
    <row r="129" spans="1:16349">
      <c r="A129" s="531" t="s">
        <v>197</v>
      </c>
      <c r="C129" s="570" t="s">
        <v>195</v>
      </c>
      <c r="D129" s="570" t="s">
        <v>191</v>
      </c>
      <c r="E129" s="532" t="s">
        <v>56</v>
      </c>
      <c r="F129" s="570" t="s">
        <v>196</v>
      </c>
      <c r="H129" s="681"/>
      <c r="I129" s="672" t="s">
        <v>183</v>
      </c>
      <c r="J129" s="567"/>
      <c r="K129" s="569">
        <v>31.8</v>
      </c>
      <c r="L129" s="569">
        <v>3681.23</v>
      </c>
      <c r="M129" s="569">
        <f t="shared" si="35"/>
        <v>3713.03</v>
      </c>
      <c r="N129" s="569">
        <f t="shared" si="50"/>
        <v>3744.83</v>
      </c>
      <c r="O129" s="569">
        <f t="shared" si="50"/>
        <v>3776.63</v>
      </c>
      <c r="P129" s="569">
        <f t="shared" si="50"/>
        <v>3808.43</v>
      </c>
      <c r="Q129" s="569">
        <f t="shared" si="50"/>
        <v>3840.23</v>
      </c>
      <c r="R129" s="569">
        <f t="shared" si="50"/>
        <v>3872.03</v>
      </c>
      <c r="S129" s="569">
        <f t="shared" si="50"/>
        <v>3903.83</v>
      </c>
      <c r="T129" s="569">
        <f t="shared" si="50"/>
        <v>3935.63</v>
      </c>
      <c r="U129" s="569">
        <f t="shared" si="50"/>
        <v>3967.43</v>
      </c>
      <c r="V129" s="569">
        <f t="shared" si="50"/>
        <v>3999.23</v>
      </c>
      <c r="W129" s="569">
        <f t="shared" si="50"/>
        <v>4031.03</v>
      </c>
      <c r="X129" s="569">
        <f t="shared" si="50"/>
        <v>4062.83</v>
      </c>
      <c r="Y129" s="569">
        <f t="shared" si="50"/>
        <v>4094.63</v>
      </c>
      <c r="Z129" s="569">
        <f t="shared" si="50"/>
        <v>4126.43</v>
      </c>
      <c r="AA129" s="569">
        <f t="shared" si="50"/>
        <v>4158.2299999999996</v>
      </c>
      <c r="AB129" s="569">
        <f t="shared" si="50"/>
        <v>4190.03</v>
      </c>
      <c r="AC129" s="569">
        <f t="shared" si="50"/>
        <v>4221.83</v>
      </c>
      <c r="AD129" s="569">
        <f t="shared" si="50"/>
        <v>4253.63</v>
      </c>
      <c r="AE129" s="569">
        <f t="shared" si="50"/>
        <v>4285.43</v>
      </c>
      <c r="AF129" s="569">
        <f t="shared" si="50"/>
        <v>4317.2299999999996</v>
      </c>
      <c r="AG129" s="569">
        <f t="shared" si="50"/>
        <v>4349.03</v>
      </c>
      <c r="AH129" s="569">
        <f t="shared" si="51"/>
        <v>4380.83</v>
      </c>
      <c r="AI129" s="569">
        <f t="shared" si="52"/>
        <v>4412.63</v>
      </c>
      <c r="AJ129" s="569">
        <f t="shared" si="38"/>
        <v>4444.43</v>
      </c>
      <c r="AK129" s="569">
        <f t="shared" si="39"/>
        <v>4476.2299999999996</v>
      </c>
      <c r="AL129" s="649"/>
    </row>
    <row r="130" spans="1:16349">
      <c r="A130" s="531" t="s">
        <v>197</v>
      </c>
      <c r="C130" s="570" t="s">
        <v>195</v>
      </c>
      <c r="D130" s="570" t="s">
        <v>191</v>
      </c>
      <c r="E130" s="532" t="s">
        <v>175</v>
      </c>
      <c r="F130" s="570" t="s">
        <v>196</v>
      </c>
      <c r="H130" s="681"/>
      <c r="I130" s="672" t="s">
        <v>183</v>
      </c>
      <c r="J130" s="567"/>
      <c r="K130" s="569">
        <v>31.8</v>
      </c>
      <c r="L130" s="569">
        <v>3570.8</v>
      </c>
      <c r="M130" s="569">
        <f t="shared" si="35"/>
        <v>3602.6</v>
      </c>
      <c r="N130" s="569">
        <f t="shared" si="50"/>
        <v>3634.4</v>
      </c>
      <c r="O130" s="569">
        <f t="shared" si="50"/>
        <v>3666.2</v>
      </c>
      <c r="P130" s="569">
        <f t="shared" si="50"/>
        <v>3698</v>
      </c>
      <c r="Q130" s="569">
        <f t="shared" si="50"/>
        <v>3729.8</v>
      </c>
      <c r="R130" s="569">
        <f t="shared" si="50"/>
        <v>3761.6</v>
      </c>
      <c r="S130" s="569">
        <f t="shared" si="50"/>
        <v>3793.4</v>
      </c>
      <c r="T130" s="569">
        <f t="shared" si="50"/>
        <v>3825.2</v>
      </c>
      <c r="U130" s="569">
        <f t="shared" si="50"/>
        <v>3857</v>
      </c>
      <c r="V130" s="569">
        <f t="shared" si="50"/>
        <v>3888.8</v>
      </c>
      <c r="W130" s="569">
        <f t="shared" si="50"/>
        <v>3920.6</v>
      </c>
      <c r="X130" s="569">
        <f t="shared" si="50"/>
        <v>3952.4</v>
      </c>
      <c r="Y130" s="569">
        <f t="shared" si="50"/>
        <v>3984.2</v>
      </c>
      <c r="Z130" s="569">
        <f t="shared" si="50"/>
        <v>4016</v>
      </c>
      <c r="AA130" s="569">
        <f t="shared" si="50"/>
        <v>4047.8</v>
      </c>
      <c r="AB130" s="569">
        <f t="shared" si="50"/>
        <v>4079.6</v>
      </c>
      <c r="AC130" s="569">
        <f t="shared" si="50"/>
        <v>4111.3999999999996</v>
      </c>
      <c r="AD130" s="569">
        <f t="shared" si="50"/>
        <v>4143.2</v>
      </c>
      <c r="AE130" s="569">
        <f t="shared" si="50"/>
        <v>4175</v>
      </c>
      <c r="AF130" s="569">
        <f t="shared" si="50"/>
        <v>4206.8</v>
      </c>
      <c r="AG130" s="569">
        <f t="shared" si="50"/>
        <v>4238.6000000000004</v>
      </c>
      <c r="AH130" s="569">
        <f t="shared" si="51"/>
        <v>4270.3999999999996</v>
      </c>
      <c r="AI130" s="569">
        <f t="shared" si="52"/>
        <v>4302.2</v>
      </c>
      <c r="AJ130" s="569">
        <f t="shared" si="38"/>
        <v>4334</v>
      </c>
      <c r="AK130" s="569">
        <f t="shared" si="39"/>
        <v>4365.8</v>
      </c>
      <c r="AL130" s="649"/>
    </row>
    <row r="131" spans="1:16349">
      <c r="A131" s="675" t="s">
        <v>621</v>
      </c>
      <c r="B131" s="676"/>
      <c r="C131" s="675" t="s">
        <v>29</v>
      </c>
      <c r="D131" s="675" t="s">
        <v>30</v>
      </c>
      <c r="E131" s="677" t="s">
        <v>199</v>
      </c>
      <c r="F131" s="678" t="s">
        <v>57</v>
      </c>
      <c r="G131" s="657"/>
      <c r="H131" s="699"/>
      <c r="K131" s="569">
        <v>16.420000000000002</v>
      </c>
      <c r="L131" s="569">
        <v>2030.68</v>
      </c>
      <c r="M131" s="569">
        <f t="shared" si="35"/>
        <v>2047.1</v>
      </c>
      <c r="N131" s="569">
        <f t="shared" si="50"/>
        <v>2063.52</v>
      </c>
      <c r="O131" s="569">
        <f t="shared" si="50"/>
        <v>2079.94</v>
      </c>
      <c r="P131" s="569">
        <f t="shared" si="50"/>
        <v>2096.36</v>
      </c>
      <c r="Q131" s="569">
        <f t="shared" si="50"/>
        <v>2112.7800000000002</v>
      </c>
      <c r="R131" s="569">
        <f t="shared" si="50"/>
        <v>2129.1999999999998</v>
      </c>
      <c r="S131" s="569">
        <f t="shared" si="50"/>
        <v>2145.62</v>
      </c>
      <c r="T131" s="569">
        <f t="shared" si="50"/>
        <v>2162.04</v>
      </c>
      <c r="U131" s="569">
        <f t="shared" si="50"/>
        <v>2178.46</v>
      </c>
      <c r="V131" s="569">
        <f t="shared" si="50"/>
        <v>2194.88</v>
      </c>
      <c r="W131" s="569">
        <f t="shared" si="50"/>
        <v>2211.3000000000002</v>
      </c>
      <c r="X131" s="569">
        <f t="shared" si="50"/>
        <v>2227.7199999999998</v>
      </c>
      <c r="Y131" s="569">
        <f t="shared" si="50"/>
        <v>2244.14</v>
      </c>
      <c r="Z131" s="569">
        <f t="shared" si="50"/>
        <v>2260.56</v>
      </c>
      <c r="AA131" s="569">
        <f t="shared" si="50"/>
        <v>2276.98</v>
      </c>
      <c r="AB131" s="569">
        <f t="shared" si="50"/>
        <v>2293.4</v>
      </c>
      <c r="AC131" s="569">
        <f t="shared" si="50"/>
        <v>2309.8200000000002</v>
      </c>
      <c r="AD131" s="569">
        <f t="shared" si="50"/>
        <v>2326.2399999999998</v>
      </c>
      <c r="AE131" s="569">
        <f t="shared" si="50"/>
        <v>2342.66</v>
      </c>
      <c r="AF131" s="569">
        <f t="shared" si="50"/>
        <v>2359.08</v>
      </c>
      <c r="AG131" s="569">
        <f t="shared" si="50"/>
        <v>2375.5</v>
      </c>
      <c r="AH131" s="569">
        <f t="shared" si="51"/>
        <v>2391.92</v>
      </c>
      <c r="AI131" s="569">
        <f t="shared" si="52"/>
        <v>2408.34</v>
      </c>
      <c r="AJ131" s="569">
        <f t="shared" si="38"/>
        <v>2424.7600000000002</v>
      </c>
      <c r="AK131" s="569">
        <f t="shared" si="39"/>
        <v>2441.1799999999998</v>
      </c>
      <c r="AL131" s="649"/>
    </row>
    <row r="132" spans="1:16349">
      <c r="H132" s="694"/>
      <c r="V132" s="656"/>
      <c r="AE132" s="615"/>
    </row>
    <row r="133" spans="1:16349" s="610" customFormat="1">
      <c r="A133" s="558" t="s">
        <v>146</v>
      </c>
      <c r="B133" s="560"/>
      <c r="C133" s="558" t="s">
        <v>103</v>
      </c>
      <c r="D133" s="558" t="s">
        <v>45</v>
      </c>
      <c r="E133" s="558" t="s">
        <v>39</v>
      </c>
      <c r="F133" s="558" t="s">
        <v>57</v>
      </c>
      <c r="G133" s="558"/>
      <c r="H133" s="690" t="s">
        <v>147</v>
      </c>
      <c r="I133" s="561">
        <v>6.4</v>
      </c>
      <c r="J133" s="562">
        <v>17.5</v>
      </c>
      <c r="K133" s="563">
        <v>17.5</v>
      </c>
      <c r="L133" s="563">
        <f>248.58*7.15</f>
        <v>1777.3470000000002</v>
      </c>
      <c r="M133" s="563">
        <f>ROUND(L133+$K133,2)</f>
        <v>1794.85</v>
      </c>
      <c r="N133" s="563">
        <f t="shared" ref="N133:AG135" si="53">ROUND(M133+$K133,2)</f>
        <v>1812.35</v>
      </c>
      <c r="O133" s="563">
        <f t="shared" si="53"/>
        <v>1829.85</v>
      </c>
      <c r="P133" s="563">
        <f t="shared" si="53"/>
        <v>1847.35</v>
      </c>
      <c r="Q133" s="563">
        <f t="shared" si="53"/>
        <v>1864.85</v>
      </c>
      <c r="R133" s="563">
        <f t="shared" si="53"/>
        <v>1882.35</v>
      </c>
      <c r="S133" s="563">
        <f t="shared" si="53"/>
        <v>1899.85</v>
      </c>
      <c r="T133" s="563">
        <f t="shared" si="53"/>
        <v>1917.35</v>
      </c>
      <c r="U133" s="563">
        <f t="shared" si="53"/>
        <v>1934.85</v>
      </c>
      <c r="V133" s="563">
        <f t="shared" si="53"/>
        <v>1952.35</v>
      </c>
      <c r="W133" s="563">
        <f t="shared" si="53"/>
        <v>1969.85</v>
      </c>
      <c r="X133" s="563">
        <f t="shared" si="53"/>
        <v>1987.35</v>
      </c>
      <c r="Y133" s="563">
        <f t="shared" si="53"/>
        <v>2004.85</v>
      </c>
      <c r="Z133" s="563">
        <f t="shared" si="53"/>
        <v>2022.35</v>
      </c>
      <c r="AA133" s="563">
        <f t="shared" si="53"/>
        <v>2039.85</v>
      </c>
      <c r="AB133" s="563">
        <f t="shared" si="53"/>
        <v>2057.35</v>
      </c>
      <c r="AC133" s="563">
        <f t="shared" si="53"/>
        <v>2074.85</v>
      </c>
      <c r="AD133" s="563">
        <f t="shared" si="53"/>
        <v>2092.35</v>
      </c>
      <c r="AE133" s="563">
        <f t="shared" si="53"/>
        <v>2109.85</v>
      </c>
      <c r="AF133" s="563">
        <f t="shared" si="53"/>
        <v>2127.35</v>
      </c>
      <c r="AG133" s="563">
        <f t="shared" si="53"/>
        <v>2144.85</v>
      </c>
      <c r="AH133" s="563">
        <f t="shared" ref="AH133:AH135" si="54">ROUND(AG133+$K133,2)</f>
        <v>2162.35</v>
      </c>
      <c r="AI133" s="563">
        <f t="shared" ref="AI133:AI135" si="55">ROUND(AH133+$K133,2)</f>
        <v>2179.85</v>
      </c>
      <c r="AJ133" s="563">
        <f t="shared" ref="AJ133:AJ135" si="56">ROUND(AI133+$K133,2)</f>
        <v>2197.35</v>
      </c>
      <c r="AK133" s="563">
        <f t="shared" ref="AK133:AK135" si="57">ROUND(AJ133+$K133,2)</f>
        <v>2214.85</v>
      </c>
      <c r="AL133" s="612">
        <f>L133+$J133*($AL$10-$L$10)/1000</f>
        <v>2179.8470000000002</v>
      </c>
      <c r="AM133" s="562"/>
      <c r="AN133" s="562"/>
      <c r="AO133" s="562"/>
      <c r="AP133" s="562"/>
      <c r="AQ133" s="562"/>
      <c r="AR133" s="562"/>
      <c r="AS133" s="562"/>
      <c r="AT133" s="562"/>
      <c r="AU133" s="562"/>
      <c r="AV133" s="562"/>
      <c r="AW133" s="562"/>
      <c r="AX133" s="562"/>
      <c r="AY133" s="562"/>
      <c r="AZ133" s="562"/>
      <c r="BA133" s="562"/>
      <c r="BB133" s="562"/>
      <c r="BC133" s="562"/>
      <c r="BD133" s="562"/>
      <c r="BE133" s="562"/>
      <c r="BF133" s="562"/>
      <c r="BG133" s="562"/>
      <c r="BH133" s="562"/>
      <c r="BI133" s="562"/>
      <c r="BJ133" s="562"/>
      <c r="BK133" s="562"/>
      <c r="BL133" s="562"/>
      <c r="BM133" s="562"/>
      <c r="BN133" s="562"/>
      <c r="BO133" s="562"/>
      <c r="BP133" s="562"/>
      <c r="BQ133" s="562"/>
      <c r="BR133" s="562"/>
      <c r="BS133" s="562"/>
      <c r="BT133" s="562"/>
      <c r="BU133" s="562"/>
      <c r="BV133" s="562"/>
      <c r="BW133" s="562"/>
      <c r="BX133" s="562"/>
      <c r="BY133" s="562"/>
      <c r="BZ133" s="562"/>
      <c r="CA133" s="562"/>
      <c r="CB133" s="562"/>
      <c r="CC133" s="562"/>
      <c r="CD133" s="562"/>
      <c r="CE133" s="562"/>
      <c r="CF133" s="562"/>
      <c r="CG133" s="562"/>
      <c r="CH133" s="562"/>
      <c r="CI133" s="562"/>
      <c r="CJ133" s="562"/>
      <c r="CK133" s="562"/>
      <c r="CL133" s="562"/>
      <c r="CM133" s="562"/>
      <c r="CN133" s="562"/>
      <c r="CO133" s="562"/>
      <c r="CP133" s="562"/>
      <c r="CQ133" s="562"/>
      <c r="CR133" s="562"/>
      <c r="CS133" s="562"/>
      <c r="CT133" s="562"/>
      <c r="CU133" s="562"/>
      <c r="CV133" s="562"/>
      <c r="CW133" s="562"/>
      <c r="CX133" s="562"/>
      <c r="CY133" s="562"/>
      <c r="CZ133" s="562"/>
      <c r="DA133" s="562"/>
      <c r="DB133" s="562"/>
      <c r="DC133" s="562"/>
      <c r="DD133" s="562"/>
      <c r="DE133" s="562"/>
      <c r="DF133" s="562"/>
      <c r="DG133" s="562"/>
      <c r="DH133" s="562"/>
      <c r="DI133" s="562"/>
      <c r="DJ133" s="562"/>
      <c r="DK133" s="562"/>
      <c r="DL133" s="562"/>
      <c r="DM133" s="562"/>
      <c r="DN133" s="562"/>
      <c r="DO133" s="562"/>
      <c r="DP133" s="562"/>
      <c r="DQ133" s="562"/>
      <c r="DR133" s="562"/>
      <c r="DS133" s="562"/>
      <c r="DT133" s="562"/>
      <c r="DU133" s="562"/>
      <c r="DV133" s="562"/>
      <c r="DW133" s="562"/>
      <c r="DX133" s="562"/>
      <c r="DY133" s="562"/>
      <c r="DZ133" s="562"/>
      <c r="EA133" s="562"/>
      <c r="EB133" s="562"/>
      <c r="EC133" s="562"/>
      <c r="ED133" s="562"/>
      <c r="EE133" s="562"/>
      <c r="EF133" s="562"/>
      <c r="EG133" s="562"/>
      <c r="EH133" s="562"/>
      <c r="EI133" s="562"/>
      <c r="EJ133" s="562"/>
      <c r="EK133" s="562"/>
      <c r="EL133" s="562"/>
      <c r="EM133" s="562"/>
      <c r="EN133" s="562"/>
      <c r="EO133" s="562"/>
      <c r="EP133" s="562"/>
      <c r="EQ133" s="562"/>
      <c r="ER133" s="562"/>
      <c r="ES133" s="562"/>
      <c r="ET133" s="562"/>
      <c r="EU133" s="562"/>
      <c r="EV133" s="562"/>
      <c r="EW133" s="562"/>
      <c r="EX133" s="562"/>
      <c r="EY133" s="562"/>
      <c r="EZ133" s="562"/>
      <c r="FA133" s="562"/>
      <c r="FB133" s="562"/>
      <c r="FC133" s="562"/>
      <c r="FD133" s="562"/>
      <c r="FE133" s="562"/>
      <c r="FF133" s="562"/>
      <c r="FG133" s="562"/>
      <c r="FH133" s="562"/>
      <c r="FI133" s="562"/>
      <c r="FJ133" s="562"/>
      <c r="FK133" s="562"/>
      <c r="FL133" s="562"/>
      <c r="FM133" s="562"/>
      <c r="FN133" s="562"/>
      <c r="FO133" s="562"/>
      <c r="FP133" s="562"/>
      <c r="FQ133" s="562"/>
      <c r="FR133" s="562"/>
      <c r="FS133" s="562"/>
      <c r="FT133" s="562"/>
      <c r="FU133" s="562"/>
      <c r="FV133" s="562"/>
      <c r="FW133" s="562"/>
      <c r="FX133" s="562"/>
      <c r="FY133" s="562"/>
      <c r="FZ133" s="562"/>
      <c r="GA133" s="562"/>
      <c r="GB133" s="562"/>
      <c r="GC133" s="562"/>
      <c r="GD133" s="562"/>
      <c r="GE133" s="562"/>
      <c r="GF133" s="562"/>
      <c r="GG133" s="562"/>
      <c r="GH133" s="562"/>
      <c r="GI133" s="562"/>
      <c r="GJ133" s="562"/>
      <c r="GK133" s="562"/>
      <c r="GL133" s="562"/>
      <c r="GM133" s="562"/>
      <c r="GN133" s="562"/>
      <c r="GO133" s="562"/>
      <c r="GP133" s="562"/>
      <c r="GQ133" s="562"/>
      <c r="GR133" s="562"/>
      <c r="GS133" s="562"/>
      <c r="GT133" s="562"/>
      <c r="GU133" s="562"/>
      <c r="GV133" s="562"/>
      <c r="GW133" s="562"/>
      <c r="GX133" s="562"/>
      <c r="GY133" s="562"/>
      <c r="GZ133" s="562"/>
      <c r="HA133" s="562"/>
      <c r="HB133" s="562"/>
      <c r="HC133" s="562"/>
      <c r="HD133" s="562"/>
      <c r="HE133" s="562"/>
      <c r="HF133" s="562"/>
      <c r="HG133" s="562"/>
      <c r="HH133" s="562"/>
      <c r="HI133" s="562"/>
      <c r="HJ133" s="562"/>
      <c r="HK133" s="562"/>
      <c r="HL133" s="562"/>
      <c r="HM133" s="562"/>
      <c r="HN133" s="562"/>
      <c r="HO133" s="562"/>
      <c r="HP133" s="562"/>
      <c r="HQ133" s="562"/>
      <c r="HR133" s="562"/>
      <c r="HS133" s="562"/>
      <c r="HT133" s="562"/>
      <c r="HU133" s="562"/>
      <c r="HV133" s="562"/>
      <c r="HW133" s="562"/>
      <c r="HX133" s="562"/>
      <c r="HY133" s="562"/>
      <c r="HZ133" s="562"/>
      <c r="IA133" s="562"/>
      <c r="IB133" s="562"/>
      <c r="IC133" s="562"/>
      <c r="ID133" s="562"/>
      <c r="IE133" s="562"/>
      <c r="IF133" s="562"/>
      <c r="IG133" s="562"/>
      <c r="IH133" s="562"/>
      <c r="II133" s="562"/>
      <c r="IJ133" s="562"/>
      <c r="IK133" s="562"/>
      <c r="IL133" s="562"/>
      <c r="IM133" s="562"/>
      <c r="IN133" s="562"/>
      <c r="IO133" s="562"/>
      <c r="IP133" s="562"/>
      <c r="IQ133" s="562"/>
      <c r="IR133" s="562"/>
      <c r="IS133" s="562"/>
      <c r="IT133" s="562"/>
      <c r="IU133" s="562"/>
      <c r="IV133" s="562"/>
      <c r="IW133" s="562"/>
      <c r="IX133" s="562"/>
      <c r="IY133" s="562"/>
      <c r="IZ133" s="562"/>
      <c r="JA133" s="562"/>
      <c r="JB133" s="562"/>
      <c r="JC133" s="562"/>
      <c r="JD133" s="562"/>
      <c r="JE133" s="562"/>
      <c r="JF133" s="562"/>
      <c r="JG133" s="562"/>
      <c r="JH133" s="562"/>
      <c r="JI133" s="562"/>
      <c r="JJ133" s="562"/>
      <c r="JK133" s="562"/>
      <c r="JL133" s="562"/>
      <c r="JM133" s="562"/>
      <c r="JN133" s="562"/>
      <c r="JO133" s="562"/>
      <c r="JP133" s="562"/>
      <c r="JQ133" s="562"/>
      <c r="JR133" s="562"/>
      <c r="JS133" s="562"/>
      <c r="JT133" s="562"/>
      <c r="JU133" s="562"/>
      <c r="JV133" s="562"/>
      <c r="JW133" s="562"/>
      <c r="JX133" s="562"/>
      <c r="JY133" s="562"/>
      <c r="JZ133" s="562"/>
      <c r="KA133" s="562"/>
      <c r="KB133" s="562"/>
      <c r="KC133" s="562"/>
      <c r="KD133" s="562"/>
      <c r="KE133" s="562"/>
      <c r="KF133" s="562"/>
      <c r="KG133" s="562"/>
      <c r="KH133" s="562"/>
      <c r="KI133" s="562"/>
      <c r="KJ133" s="562"/>
      <c r="KK133" s="562"/>
      <c r="KL133" s="562"/>
      <c r="KM133" s="562"/>
      <c r="KN133" s="562"/>
      <c r="KO133" s="562"/>
      <c r="KP133" s="562"/>
      <c r="KQ133" s="562"/>
      <c r="KR133" s="562"/>
      <c r="KS133" s="562"/>
      <c r="KT133" s="562"/>
      <c r="KU133" s="562"/>
      <c r="KV133" s="562"/>
      <c r="KW133" s="562"/>
      <c r="KX133" s="562"/>
      <c r="KY133" s="562"/>
      <c r="KZ133" s="562"/>
      <c r="LA133" s="562"/>
      <c r="LB133" s="562"/>
      <c r="LC133" s="562"/>
      <c r="LD133" s="562"/>
      <c r="LE133" s="562"/>
      <c r="LF133" s="562"/>
      <c r="LG133" s="562"/>
      <c r="LH133" s="562"/>
      <c r="LI133" s="562"/>
      <c r="LJ133" s="562"/>
      <c r="LK133" s="562"/>
      <c r="LL133" s="562"/>
      <c r="LM133" s="562"/>
      <c r="LN133" s="562"/>
      <c r="LO133" s="562"/>
      <c r="LP133" s="562"/>
      <c r="LQ133" s="562"/>
      <c r="LR133" s="562"/>
      <c r="LS133" s="562"/>
      <c r="LT133" s="562"/>
      <c r="LU133" s="562"/>
      <c r="LV133" s="562"/>
      <c r="LW133" s="562"/>
      <c r="LX133" s="562"/>
      <c r="LY133" s="562"/>
      <c r="LZ133" s="562"/>
      <c r="MA133" s="562"/>
      <c r="MB133" s="562"/>
      <c r="MC133" s="562"/>
      <c r="MD133" s="562"/>
      <c r="ME133" s="562"/>
      <c r="MF133" s="562"/>
      <c r="MG133" s="562"/>
      <c r="MH133" s="562"/>
      <c r="MI133" s="562"/>
      <c r="MJ133" s="562"/>
      <c r="MK133" s="562"/>
      <c r="ML133" s="562"/>
      <c r="MM133" s="562"/>
      <c r="MN133" s="562"/>
      <c r="MO133" s="562"/>
      <c r="MP133" s="562"/>
      <c r="MQ133" s="562"/>
      <c r="MR133" s="562"/>
      <c r="MS133" s="562"/>
      <c r="MT133" s="562"/>
      <c r="MU133" s="562"/>
      <c r="MV133" s="562"/>
      <c r="MW133" s="562"/>
      <c r="MX133" s="562"/>
      <c r="MY133" s="562"/>
      <c r="MZ133" s="562"/>
      <c r="NA133" s="562"/>
      <c r="NB133" s="562"/>
      <c r="NC133" s="562"/>
      <c r="ND133" s="562"/>
      <c r="NE133" s="562"/>
      <c r="NF133" s="562"/>
      <c r="NG133" s="562"/>
      <c r="NH133" s="562"/>
      <c r="NI133" s="562"/>
      <c r="NJ133" s="562"/>
      <c r="NK133" s="562"/>
      <c r="NL133" s="562"/>
      <c r="NM133" s="562"/>
      <c r="NN133" s="562"/>
      <c r="NO133" s="562"/>
      <c r="NP133" s="562"/>
      <c r="NQ133" s="562"/>
      <c r="NR133" s="562"/>
      <c r="NS133" s="562"/>
      <c r="NT133" s="562"/>
      <c r="NU133" s="562"/>
      <c r="NV133" s="562"/>
      <c r="NW133" s="562"/>
      <c r="NX133" s="562"/>
      <c r="NY133" s="562"/>
      <c r="NZ133" s="562"/>
      <c r="OA133" s="562"/>
      <c r="OB133" s="562"/>
      <c r="OC133" s="562"/>
      <c r="OD133" s="562"/>
      <c r="OE133" s="562"/>
      <c r="OF133" s="562"/>
      <c r="OG133" s="562"/>
      <c r="OH133" s="562"/>
      <c r="OI133" s="562"/>
      <c r="OJ133" s="562"/>
      <c r="OK133" s="562"/>
      <c r="OL133" s="562"/>
      <c r="OM133" s="562"/>
      <c r="ON133" s="562"/>
      <c r="OO133" s="562"/>
      <c r="OP133" s="562"/>
      <c r="OQ133" s="562"/>
      <c r="OR133" s="562"/>
      <c r="OS133" s="562"/>
      <c r="OT133" s="562"/>
      <c r="OU133" s="562"/>
      <c r="OV133" s="562"/>
      <c r="OW133" s="562"/>
      <c r="OX133" s="562"/>
      <c r="OY133" s="562"/>
      <c r="OZ133" s="562"/>
      <c r="PA133" s="562"/>
      <c r="PB133" s="562"/>
      <c r="PC133" s="562"/>
      <c r="PD133" s="562"/>
      <c r="PE133" s="562"/>
      <c r="PF133" s="562"/>
      <c r="PG133" s="562"/>
      <c r="PH133" s="562"/>
      <c r="PI133" s="562"/>
      <c r="PJ133" s="562"/>
      <c r="PK133" s="562"/>
      <c r="PL133" s="562"/>
      <c r="PM133" s="562"/>
      <c r="PN133" s="562"/>
      <c r="PO133" s="562"/>
      <c r="PP133" s="562"/>
      <c r="PQ133" s="562"/>
      <c r="PR133" s="562"/>
      <c r="PS133" s="562"/>
      <c r="PT133" s="562"/>
      <c r="PU133" s="562"/>
      <c r="PV133" s="562"/>
      <c r="PW133" s="562"/>
      <c r="PX133" s="562"/>
      <c r="PY133" s="562"/>
      <c r="PZ133" s="562"/>
      <c r="QA133" s="562"/>
      <c r="QB133" s="562"/>
      <c r="QC133" s="562"/>
      <c r="QD133" s="562"/>
      <c r="QE133" s="562"/>
      <c r="QF133" s="562"/>
      <c r="QG133" s="562"/>
      <c r="QH133" s="562"/>
      <c r="QI133" s="562"/>
      <c r="QJ133" s="562"/>
      <c r="QK133" s="562"/>
      <c r="QL133" s="562"/>
      <c r="QM133" s="562"/>
      <c r="QN133" s="562"/>
      <c r="QO133" s="562"/>
      <c r="QP133" s="562"/>
      <c r="QQ133" s="562"/>
      <c r="QR133" s="562"/>
      <c r="QS133" s="562"/>
      <c r="QT133" s="562"/>
      <c r="QU133" s="562"/>
      <c r="QV133" s="562"/>
      <c r="QW133" s="562"/>
      <c r="QX133" s="562"/>
      <c r="QY133" s="562"/>
      <c r="QZ133" s="562"/>
      <c r="RA133" s="562"/>
      <c r="RB133" s="562"/>
      <c r="RC133" s="562"/>
      <c r="RD133" s="562"/>
      <c r="RE133" s="562"/>
      <c r="RF133" s="562"/>
      <c r="RG133" s="562"/>
      <c r="RH133" s="562"/>
      <c r="RI133" s="562"/>
      <c r="RJ133" s="562"/>
      <c r="RK133" s="562"/>
      <c r="RL133" s="562"/>
      <c r="RM133" s="562"/>
      <c r="RN133" s="562"/>
      <c r="RO133" s="562"/>
      <c r="RP133" s="562"/>
      <c r="RQ133" s="562"/>
      <c r="RR133" s="562"/>
      <c r="RS133" s="562"/>
      <c r="RT133" s="562"/>
      <c r="RU133" s="562"/>
      <c r="RV133" s="562"/>
      <c r="RW133" s="562"/>
      <c r="RX133" s="562"/>
      <c r="RY133" s="562"/>
      <c r="RZ133" s="562"/>
      <c r="SA133" s="562"/>
      <c r="SB133" s="562"/>
      <c r="SC133" s="562"/>
      <c r="SD133" s="562"/>
      <c r="SE133" s="562"/>
      <c r="SF133" s="562"/>
      <c r="SG133" s="562"/>
      <c r="SH133" s="562"/>
      <c r="SI133" s="562"/>
      <c r="SJ133" s="562"/>
      <c r="SK133" s="562"/>
      <c r="SL133" s="562"/>
      <c r="SM133" s="562"/>
      <c r="SN133" s="562"/>
      <c r="SO133" s="562"/>
      <c r="SP133" s="562"/>
      <c r="SQ133" s="562"/>
      <c r="SR133" s="562"/>
      <c r="SS133" s="562"/>
      <c r="ST133" s="562"/>
      <c r="SU133" s="562"/>
      <c r="SV133" s="562"/>
      <c r="SW133" s="562"/>
      <c r="SX133" s="562"/>
      <c r="SY133" s="562"/>
      <c r="SZ133" s="562"/>
      <c r="TA133" s="562"/>
      <c r="TB133" s="562"/>
      <c r="TC133" s="562"/>
      <c r="TD133" s="562"/>
      <c r="TE133" s="562"/>
      <c r="TF133" s="562"/>
      <c r="TG133" s="562"/>
      <c r="TH133" s="562"/>
      <c r="TI133" s="562"/>
      <c r="TJ133" s="562"/>
      <c r="TK133" s="562"/>
      <c r="TL133" s="562"/>
      <c r="TM133" s="562"/>
      <c r="TN133" s="562"/>
      <c r="TO133" s="562"/>
      <c r="TP133" s="562"/>
      <c r="TQ133" s="562"/>
      <c r="TR133" s="562"/>
      <c r="TS133" s="562"/>
      <c r="TT133" s="562"/>
      <c r="TU133" s="562"/>
      <c r="TV133" s="562"/>
      <c r="TW133" s="562"/>
      <c r="TX133" s="562"/>
      <c r="TY133" s="562"/>
      <c r="TZ133" s="562"/>
      <c r="UA133" s="562"/>
      <c r="UB133" s="562"/>
      <c r="UC133" s="562"/>
      <c r="UD133" s="562"/>
      <c r="UE133" s="562"/>
      <c r="UF133" s="562"/>
      <c r="UG133" s="562"/>
      <c r="UH133" s="562"/>
      <c r="UI133" s="562"/>
      <c r="UJ133" s="562"/>
      <c r="UK133" s="562"/>
      <c r="UL133" s="562"/>
      <c r="UM133" s="562"/>
      <c r="UN133" s="562"/>
      <c r="UO133" s="562"/>
      <c r="UP133" s="562"/>
      <c r="UQ133" s="562"/>
      <c r="UR133" s="562"/>
      <c r="US133" s="562"/>
      <c r="UT133" s="562"/>
      <c r="UU133" s="562"/>
      <c r="UV133" s="562"/>
      <c r="UW133" s="562"/>
      <c r="UX133" s="562"/>
      <c r="UY133" s="562"/>
      <c r="UZ133" s="562"/>
      <c r="VA133" s="562"/>
      <c r="VB133" s="562"/>
      <c r="VC133" s="562"/>
      <c r="VD133" s="562"/>
      <c r="VE133" s="562"/>
      <c r="VF133" s="562"/>
      <c r="VG133" s="562"/>
      <c r="VH133" s="562"/>
      <c r="VI133" s="562"/>
      <c r="VJ133" s="562"/>
      <c r="VK133" s="562"/>
      <c r="VL133" s="562"/>
      <c r="VM133" s="562"/>
      <c r="VN133" s="562"/>
      <c r="VO133" s="562"/>
      <c r="VP133" s="562"/>
      <c r="VQ133" s="562"/>
      <c r="VR133" s="562"/>
      <c r="VS133" s="562"/>
      <c r="VT133" s="562"/>
      <c r="VU133" s="562"/>
      <c r="VV133" s="562"/>
      <c r="VW133" s="562"/>
      <c r="VX133" s="562"/>
      <c r="VY133" s="562"/>
      <c r="VZ133" s="562"/>
      <c r="WA133" s="562"/>
      <c r="WB133" s="562"/>
      <c r="WC133" s="562"/>
      <c r="WD133" s="562"/>
      <c r="WE133" s="562"/>
      <c r="WF133" s="562"/>
      <c r="WG133" s="562"/>
      <c r="WH133" s="562"/>
      <c r="WI133" s="562"/>
      <c r="WJ133" s="562"/>
      <c r="WK133" s="562"/>
      <c r="WL133" s="562"/>
      <c r="WM133" s="562"/>
      <c r="WN133" s="562"/>
      <c r="WO133" s="562"/>
      <c r="WP133" s="562"/>
      <c r="WQ133" s="562"/>
      <c r="WR133" s="562"/>
      <c r="WS133" s="562"/>
      <c r="WT133" s="562"/>
      <c r="WU133" s="562"/>
      <c r="WV133" s="562"/>
      <c r="WW133" s="562"/>
      <c r="WX133" s="562"/>
      <c r="WY133" s="562"/>
      <c r="WZ133" s="562"/>
      <c r="XA133" s="562"/>
      <c r="XB133" s="562"/>
      <c r="XC133" s="562"/>
      <c r="XD133" s="562"/>
      <c r="XE133" s="562"/>
      <c r="XF133" s="562"/>
      <c r="XG133" s="562"/>
      <c r="XH133" s="562"/>
      <c r="XI133" s="562"/>
      <c r="XJ133" s="562"/>
      <c r="XK133" s="562"/>
      <c r="XL133" s="562"/>
      <c r="XM133" s="562"/>
      <c r="XN133" s="562"/>
      <c r="XO133" s="562"/>
      <c r="XP133" s="562"/>
      <c r="XQ133" s="562"/>
      <c r="XR133" s="562"/>
      <c r="XS133" s="562"/>
      <c r="XT133" s="562"/>
      <c r="XU133" s="562"/>
      <c r="XV133" s="562"/>
      <c r="XW133" s="562"/>
      <c r="XX133" s="562"/>
      <c r="XY133" s="562"/>
      <c r="XZ133" s="562"/>
      <c r="YA133" s="562"/>
      <c r="YB133" s="562"/>
      <c r="YC133" s="562"/>
      <c r="YD133" s="562"/>
      <c r="YE133" s="562"/>
      <c r="YF133" s="562"/>
      <c r="YG133" s="562"/>
      <c r="YH133" s="562"/>
      <c r="YI133" s="562"/>
      <c r="YJ133" s="562"/>
      <c r="YK133" s="562"/>
      <c r="YL133" s="562"/>
      <c r="YM133" s="562"/>
      <c r="YN133" s="562"/>
      <c r="YO133" s="562"/>
      <c r="YP133" s="562"/>
      <c r="YQ133" s="562"/>
      <c r="YR133" s="562"/>
      <c r="YS133" s="562"/>
      <c r="YT133" s="562"/>
      <c r="YU133" s="562"/>
      <c r="YV133" s="562"/>
      <c r="YW133" s="562"/>
      <c r="YX133" s="562"/>
      <c r="YY133" s="562"/>
      <c r="YZ133" s="562"/>
      <c r="ZA133" s="562"/>
      <c r="ZB133" s="562"/>
      <c r="ZC133" s="562"/>
      <c r="ZD133" s="562"/>
      <c r="ZE133" s="562"/>
      <c r="ZF133" s="562"/>
      <c r="ZG133" s="562"/>
      <c r="ZH133" s="562"/>
      <c r="ZI133" s="562"/>
      <c r="ZJ133" s="562"/>
      <c r="ZK133" s="562"/>
      <c r="ZL133" s="562"/>
      <c r="ZM133" s="562"/>
      <c r="ZN133" s="562"/>
      <c r="ZO133" s="562"/>
      <c r="ZP133" s="562"/>
      <c r="ZQ133" s="562"/>
      <c r="ZR133" s="562"/>
      <c r="ZS133" s="562"/>
      <c r="ZT133" s="562"/>
      <c r="ZU133" s="562"/>
      <c r="ZV133" s="562"/>
      <c r="ZW133" s="562"/>
      <c r="ZX133" s="562"/>
      <c r="ZY133" s="562"/>
      <c r="ZZ133" s="562"/>
      <c r="AAA133" s="562"/>
      <c r="AAB133" s="562"/>
      <c r="AAC133" s="562"/>
      <c r="AAD133" s="562"/>
      <c r="AAE133" s="562"/>
      <c r="AAF133" s="562"/>
      <c r="AAG133" s="562"/>
      <c r="AAH133" s="562"/>
      <c r="AAI133" s="562"/>
      <c r="AAJ133" s="562"/>
      <c r="AAK133" s="562"/>
      <c r="AAL133" s="562"/>
      <c r="AAM133" s="562"/>
      <c r="AAN133" s="562"/>
      <c r="AAO133" s="562"/>
      <c r="AAP133" s="562"/>
      <c r="AAQ133" s="562"/>
      <c r="AAR133" s="562"/>
      <c r="AAS133" s="562"/>
      <c r="AAT133" s="562"/>
      <c r="AAU133" s="562"/>
      <c r="AAV133" s="562"/>
      <c r="AAW133" s="562"/>
      <c r="AAX133" s="562"/>
      <c r="AAY133" s="562"/>
      <c r="AAZ133" s="562"/>
      <c r="ABA133" s="562"/>
      <c r="ABB133" s="562"/>
      <c r="ABC133" s="562"/>
      <c r="ABD133" s="562"/>
      <c r="ABE133" s="562"/>
      <c r="ABF133" s="562"/>
      <c r="ABG133" s="562"/>
      <c r="ABH133" s="562"/>
      <c r="ABI133" s="562"/>
      <c r="ABJ133" s="562"/>
      <c r="ABK133" s="562"/>
      <c r="ABL133" s="562"/>
      <c r="ABM133" s="562"/>
      <c r="ABN133" s="562"/>
      <c r="ABO133" s="562"/>
      <c r="ABP133" s="562"/>
      <c r="ABQ133" s="562"/>
      <c r="ABR133" s="562"/>
      <c r="ABS133" s="562"/>
      <c r="ABT133" s="562"/>
      <c r="ABU133" s="562"/>
      <c r="ABV133" s="562"/>
      <c r="ABW133" s="562"/>
      <c r="ABX133" s="562"/>
      <c r="ABY133" s="562"/>
      <c r="ABZ133" s="562"/>
      <c r="ACA133" s="562"/>
      <c r="ACB133" s="562"/>
      <c r="ACC133" s="562"/>
      <c r="ACD133" s="562"/>
      <c r="ACE133" s="562"/>
      <c r="ACF133" s="562"/>
      <c r="ACG133" s="562"/>
      <c r="ACH133" s="562"/>
      <c r="ACI133" s="562"/>
      <c r="ACJ133" s="562"/>
      <c r="ACK133" s="562"/>
      <c r="ACL133" s="562"/>
      <c r="ACM133" s="562"/>
      <c r="ACN133" s="562"/>
      <c r="ACO133" s="562"/>
      <c r="ACP133" s="562"/>
      <c r="ACQ133" s="562"/>
      <c r="ACR133" s="562"/>
      <c r="ACS133" s="562"/>
      <c r="ACT133" s="562"/>
      <c r="ACU133" s="562"/>
      <c r="ACV133" s="562"/>
      <c r="ACW133" s="562"/>
      <c r="ACX133" s="562"/>
      <c r="ACY133" s="562"/>
      <c r="ACZ133" s="562"/>
      <c r="ADA133" s="562"/>
      <c r="ADB133" s="562"/>
      <c r="ADC133" s="562"/>
      <c r="ADD133" s="562"/>
      <c r="ADE133" s="562"/>
      <c r="ADF133" s="562"/>
      <c r="ADG133" s="562"/>
      <c r="ADH133" s="562"/>
      <c r="ADI133" s="562"/>
      <c r="ADJ133" s="562"/>
      <c r="ADK133" s="562"/>
      <c r="ADL133" s="562"/>
      <c r="ADM133" s="562"/>
      <c r="ADN133" s="562"/>
      <c r="ADO133" s="562"/>
      <c r="ADP133" s="562"/>
      <c r="ADQ133" s="562"/>
      <c r="ADR133" s="562"/>
      <c r="ADS133" s="562"/>
      <c r="ADT133" s="562"/>
      <c r="ADU133" s="562"/>
      <c r="ADV133" s="562"/>
      <c r="ADW133" s="562"/>
      <c r="ADX133" s="562"/>
      <c r="ADY133" s="562"/>
      <c r="ADZ133" s="562"/>
      <c r="AEA133" s="562"/>
      <c r="AEB133" s="562"/>
      <c r="AEC133" s="562"/>
      <c r="AED133" s="562"/>
      <c r="AEE133" s="562"/>
      <c r="AEF133" s="562"/>
      <c r="AEG133" s="562"/>
      <c r="AEH133" s="562"/>
      <c r="AEI133" s="562"/>
      <c r="AEJ133" s="562"/>
      <c r="AEK133" s="562"/>
      <c r="AEL133" s="562"/>
      <c r="AEM133" s="562"/>
      <c r="AEN133" s="562"/>
      <c r="AEO133" s="562"/>
      <c r="AEP133" s="562"/>
      <c r="AEQ133" s="562"/>
      <c r="AER133" s="562"/>
      <c r="AES133" s="562"/>
      <c r="AET133" s="562"/>
      <c r="AEU133" s="562"/>
      <c r="AEV133" s="562"/>
      <c r="AEW133" s="562"/>
      <c r="AEX133" s="562"/>
      <c r="AEY133" s="562"/>
      <c r="AEZ133" s="562"/>
      <c r="AFA133" s="562"/>
      <c r="AFB133" s="562"/>
      <c r="AFC133" s="562"/>
      <c r="AFD133" s="562"/>
      <c r="AFE133" s="562"/>
      <c r="AFF133" s="562"/>
      <c r="AFG133" s="562"/>
      <c r="AFH133" s="562"/>
      <c r="AFI133" s="562"/>
      <c r="AFJ133" s="562"/>
      <c r="AFK133" s="562"/>
      <c r="AFL133" s="562"/>
      <c r="AFM133" s="562"/>
      <c r="AFN133" s="562"/>
      <c r="AFO133" s="562"/>
      <c r="AFP133" s="562"/>
      <c r="AFQ133" s="562"/>
      <c r="AFR133" s="562"/>
      <c r="AFS133" s="562"/>
      <c r="AFT133" s="562"/>
      <c r="AFU133" s="562"/>
      <c r="AFV133" s="562"/>
      <c r="AFW133" s="562"/>
      <c r="AFX133" s="562"/>
      <c r="AFY133" s="562"/>
      <c r="AFZ133" s="562"/>
      <c r="AGA133" s="562"/>
      <c r="AGB133" s="562"/>
      <c r="AGC133" s="562"/>
      <c r="AGD133" s="562"/>
      <c r="AGE133" s="562"/>
      <c r="AGF133" s="562"/>
      <c r="AGG133" s="562"/>
      <c r="AGH133" s="562"/>
      <c r="AGI133" s="562"/>
      <c r="AGJ133" s="562"/>
      <c r="AGK133" s="562"/>
      <c r="AGL133" s="562"/>
      <c r="AGM133" s="562"/>
      <c r="AGN133" s="562"/>
      <c r="AGO133" s="562"/>
      <c r="AGP133" s="562"/>
      <c r="AGQ133" s="562"/>
      <c r="AGR133" s="562"/>
      <c r="AGS133" s="562"/>
      <c r="AGT133" s="562"/>
      <c r="AGU133" s="562"/>
      <c r="AGV133" s="562"/>
      <c r="AGW133" s="562"/>
      <c r="AGX133" s="562"/>
      <c r="AGY133" s="562"/>
      <c r="AGZ133" s="562"/>
      <c r="AHA133" s="562"/>
      <c r="AHB133" s="562"/>
      <c r="AHC133" s="562"/>
      <c r="AHD133" s="562"/>
      <c r="AHE133" s="562"/>
      <c r="AHF133" s="562"/>
      <c r="AHG133" s="562"/>
      <c r="AHH133" s="562"/>
      <c r="AHI133" s="562"/>
      <c r="AHJ133" s="562"/>
      <c r="AHK133" s="562"/>
      <c r="AHL133" s="562"/>
      <c r="AHM133" s="562"/>
      <c r="AHN133" s="562"/>
      <c r="AHO133" s="562"/>
      <c r="AHP133" s="562"/>
      <c r="AHQ133" s="562"/>
      <c r="AHR133" s="562"/>
      <c r="AHS133" s="562"/>
      <c r="AHT133" s="562"/>
      <c r="AHU133" s="562"/>
      <c r="AHV133" s="562"/>
      <c r="AHW133" s="562"/>
      <c r="AHX133" s="562"/>
      <c r="AHY133" s="562"/>
      <c r="AHZ133" s="562"/>
      <c r="AIA133" s="562"/>
      <c r="AIB133" s="562"/>
      <c r="AIC133" s="562"/>
      <c r="AID133" s="562"/>
      <c r="AIE133" s="562"/>
      <c r="AIF133" s="562"/>
      <c r="AIG133" s="562"/>
      <c r="AIH133" s="562"/>
      <c r="AII133" s="562"/>
      <c r="AIJ133" s="562"/>
      <c r="AIK133" s="562"/>
      <c r="AIL133" s="562"/>
      <c r="AIM133" s="562"/>
      <c r="AIN133" s="562"/>
      <c r="AIO133" s="562"/>
      <c r="AIP133" s="562"/>
      <c r="AIQ133" s="562"/>
      <c r="AIR133" s="562"/>
      <c r="AIS133" s="562"/>
      <c r="AIT133" s="562"/>
      <c r="AIU133" s="562"/>
      <c r="AIV133" s="562"/>
      <c r="AIW133" s="562"/>
      <c r="AIX133" s="562"/>
      <c r="AIY133" s="562"/>
      <c r="AIZ133" s="562"/>
      <c r="AJA133" s="562"/>
      <c r="AJB133" s="562"/>
      <c r="AJC133" s="562"/>
      <c r="AJD133" s="562"/>
      <c r="AJE133" s="562"/>
      <c r="AJF133" s="562"/>
      <c r="AJG133" s="562"/>
      <c r="AJH133" s="562"/>
      <c r="AJI133" s="562"/>
      <c r="AJJ133" s="562"/>
      <c r="AJK133" s="562"/>
      <c r="AJL133" s="562"/>
      <c r="AJM133" s="562"/>
      <c r="AJN133" s="562"/>
      <c r="AJO133" s="562"/>
      <c r="AJP133" s="562"/>
      <c r="AJQ133" s="562"/>
      <c r="AJR133" s="562"/>
      <c r="AJS133" s="562"/>
      <c r="AJT133" s="562"/>
      <c r="AJU133" s="562"/>
      <c r="AJV133" s="562"/>
      <c r="AJW133" s="562"/>
      <c r="AJX133" s="562"/>
      <c r="AJY133" s="562"/>
      <c r="AJZ133" s="562"/>
      <c r="AKA133" s="562"/>
      <c r="AKB133" s="562"/>
      <c r="AKC133" s="562"/>
      <c r="AKD133" s="562"/>
      <c r="AKE133" s="562"/>
      <c r="AKF133" s="562"/>
      <c r="AKG133" s="562"/>
      <c r="AKH133" s="562"/>
      <c r="AKI133" s="562"/>
      <c r="AKJ133" s="562"/>
      <c r="AKK133" s="562"/>
      <c r="AKL133" s="562"/>
      <c r="AKM133" s="562"/>
      <c r="AKN133" s="562"/>
      <c r="AKO133" s="562"/>
      <c r="AKP133" s="562"/>
      <c r="AKQ133" s="562"/>
      <c r="AKR133" s="562"/>
      <c r="AKS133" s="562"/>
      <c r="AKT133" s="562"/>
      <c r="AKU133" s="562"/>
      <c r="AKV133" s="562"/>
      <c r="AKW133" s="562"/>
      <c r="AKX133" s="562"/>
      <c r="AKY133" s="562"/>
      <c r="AKZ133" s="562"/>
      <c r="ALA133" s="562"/>
      <c r="ALB133" s="562"/>
      <c r="ALC133" s="562"/>
      <c r="ALD133" s="562"/>
      <c r="ALE133" s="562"/>
      <c r="ALF133" s="562"/>
      <c r="ALG133" s="562"/>
      <c r="ALH133" s="562"/>
      <c r="ALI133" s="562"/>
      <c r="ALJ133" s="562"/>
      <c r="ALK133" s="562"/>
      <c r="ALL133" s="562"/>
      <c r="ALM133" s="562"/>
      <c r="ALN133" s="562"/>
      <c r="ALO133" s="562"/>
      <c r="ALP133" s="562"/>
      <c r="ALQ133" s="562"/>
      <c r="ALR133" s="562"/>
      <c r="ALS133" s="562"/>
      <c r="ALT133" s="562"/>
      <c r="ALU133" s="562"/>
      <c r="ALV133" s="562"/>
      <c r="ALW133" s="562"/>
      <c r="ALX133" s="562"/>
      <c r="ALY133" s="562"/>
      <c r="ALZ133" s="562"/>
      <c r="AMA133" s="562"/>
      <c r="AMB133" s="562"/>
      <c r="AMC133" s="562"/>
      <c r="AMD133" s="562"/>
      <c r="AME133" s="562"/>
      <c r="AMF133" s="562"/>
      <c r="AMG133" s="562"/>
      <c r="AMH133" s="562"/>
      <c r="AMI133" s="562"/>
      <c r="AMJ133" s="562"/>
      <c r="AMK133" s="562"/>
      <c r="AML133" s="562"/>
      <c r="AMM133" s="562"/>
      <c r="AMN133" s="562"/>
      <c r="AMO133" s="562"/>
      <c r="AMP133" s="562"/>
      <c r="AMQ133" s="562"/>
      <c r="AMR133" s="562"/>
      <c r="AMS133" s="562"/>
      <c r="AMT133" s="562"/>
      <c r="AMU133" s="562"/>
      <c r="AMV133" s="562"/>
      <c r="AMW133" s="562"/>
      <c r="AMX133" s="562"/>
      <c r="AMY133" s="562"/>
      <c r="AMZ133" s="562"/>
      <c r="ANA133" s="562"/>
      <c r="ANB133" s="562"/>
      <c r="ANC133" s="562"/>
      <c r="AND133" s="562"/>
      <c r="ANE133" s="562"/>
      <c r="ANF133" s="562"/>
      <c r="ANG133" s="562"/>
      <c r="ANH133" s="562"/>
      <c r="ANI133" s="562"/>
      <c r="ANJ133" s="562"/>
      <c r="ANK133" s="562"/>
      <c r="ANL133" s="562"/>
      <c r="ANM133" s="562"/>
      <c r="ANN133" s="562"/>
      <c r="ANO133" s="562"/>
      <c r="ANP133" s="562"/>
      <c r="ANQ133" s="562"/>
      <c r="ANR133" s="562"/>
      <c r="ANS133" s="562"/>
      <c r="ANT133" s="562"/>
      <c r="ANU133" s="562"/>
      <c r="ANV133" s="562"/>
      <c r="ANW133" s="562"/>
      <c r="ANX133" s="562"/>
      <c r="ANY133" s="562"/>
      <c r="ANZ133" s="562"/>
      <c r="AOA133" s="562"/>
      <c r="AOB133" s="562"/>
      <c r="AOC133" s="562"/>
      <c r="AOD133" s="562"/>
      <c r="AOE133" s="562"/>
      <c r="AOF133" s="562"/>
      <c r="AOG133" s="562"/>
      <c r="AOH133" s="562"/>
      <c r="AOI133" s="562"/>
      <c r="AOJ133" s="562"/>
      <c r="AOK133" s="562"/>
      <c r="AOL133" s="562"/>
      <c r="AOM133" s="562"/>
      <c r="AON133" s="562"/>
      <c r="AOO133" s="562"/>
      <c r="AOP133" s="562"/>
      <c r="AOQ133" s="562"/>
      <c r="AOR133" s="562"/>
      <c r="AOS133" s="562"/>
      <c r="AOT133" s="562"/>
      <c r="AOU133" s="562"/>
      <c r="AOV133" s="562"/>
      <c r="AOW133" s="562"/>
      <c r="AOX133" s="562"/>
      <c r="AOY133" s="562"/>
      <c r="AOZ133" s="562"/>
      <c r="APA133" s="562"/>
      <c r="APB133" s="562"/>
      <c r="APC133" s="562"/>
      <c r="APD133" s="562"/>
      <c r="APE133" s="562"/>
      <c r="APF133" s="562"/>
      <c r="APG133" s="562"/>
      <c r="APH133" s="562"/>
      <c r="API133" s="562"/>
      <c r="APJ133" s="562"/>
      <c r="APK133" s="562"/>
      <c r="APL133" s="562"/>
      <c r="APM133" s="562"/>
      <c r="APN133" s="562"/>
      <c r="APO133" s="562"/>
      <c r="APP133" s="562"/>
      <c r="APQ133" s="562"/>
      <c r="APR133" s="562"/>
      <c r="APS133" s="562"/>
      <c r="APT133" s="562"/>
      <c r="APU133" s="562"/>
      <c r="APV133" s="562"/>
      <c r="APW133" s="562"/>
      <c r="APX133" s="562"/>
      <c r="APY133" s="562"/>
      <c r="APZ133" s="562"/>
      <c r="AQA133" s="562"/>
      <c r="AQB133" s="562"/>
      <c r="AQC133" s="562"/>
      <c r="AQD133" s="562"/>
      <c r="AQE133" s="562"/>
      <c r="AQF133" s="562"/>
      <c r="AQG133" s="562"/>
      <c r="AQH133" s="562"/>
      <c r="AQI133" s="562"/>
      <c r="AQJ133" s="562"/>
      <c r="AQK133" s="562"/>
      <c r="AQL133" s="562"/>
      <c r="AQM133" s="562"/>
      <c r="AQN133" s="562"/>
      <c r="AQO133" s="562"/>
      <c r="AQP133" s="562"/>
      <c r="AQQ133" s="562"/>
      <c r="AQR133" s="562"/>
      <c r="AQS133" s="562"/>
      <c r="AQT133" s="562"/>
      <c r="AQU133" s="562"/>
      <c r="AQV133" s="562"/>
      <c r="AQW133" s="562"/>
      <c r="AQX133" s="562"/>
      <c r="AQY133" s="562"/>
      <c r="AQZ133" s="562"/>
      <c r="ARA133" s="562"/>
      <c r="ARB133" s="562"/>
      <c r="ARC133" s="562"/>
      <c r="ARD133" s="562"/>
      <c r="ARE133" s="562"/>
      <c r="ARF133" s="562"/>
      <c r="ARG133" s="562"/>
      <c r="ARH133" s="562"/>
      <c r="ARI133" s="562"/>
      <c r="ARJ133" s="562"/>
      <c r="ARK133" s="562"/>
      <c r="ARL133" s="562"/>
      <c r="ARM133" s="562"/>
      <c r="ARN133" s="562"/>
      <c r="ARO133" s="562"/>
      <c r="ARP133" s="562"/>
      <c r="ARQ133" s="562"/>
      <c r="ARR133" s="562"/>
      <c r="ARS133" s="562"/>
      <c r="ART133" s="562"/>
      <c r="ARU133" s="562"/>
      <c r="ARV133" s="562"/>
      <c r="ARW133" s="562"/>
      <c r="ARX133" s="562"/>
      <c r="ARY133" s="562"/>
      <c r="ARZ133" s="562"/>
      <c r="ASA133" s="562"/>
      <c r="ASB133" s="562"/>
      <c r="ASC133" s="562"/>
      <c r="ASD133" s="562"/>
      <c r="ASE133" s="562"/>
      <c r="ASF133" s="562"/>
      <c r="ASG133" s="562"/>
      <c r="ASH133" s="562"/>
      <c r="ASI133" s="562"/>
      <c r="ASJ133" s="562"/>
      <c r="ASK133" s="562"/>
      <c r="ASL133" s="562"/>
      <c r="ASM133" s="562"/>
      <c r="ASN133" s="562"/>
      <c r="ASO133" s="562"/>
      <c r="ASP133" s="562"/>
      <c r="ASQ133" s="562"/>
      <c r="ASR133" s="562"/>
      <c r="ASS133" s="562"/>
      <c r="AST133" s="562"/>
      <c r="ASU133" s="562"/>
      <c r="ASV133" s="562"/>
      <c r="ASW133" s="562"/>
      <c r="ASX133" s="562"/>
      <c r="ASY133" s="562"/>
      <c r="ASZ133" s="562"/>
      <c r="ATA133" s="562"/>
      <c r="ATB133" s="562"/>
      <c r="ATC133" s="562"/>
      <c r="ATD133" s="562"/>
      <c r="ATE133" s="562"/>
      <c r="ATF133" s="562"/>
      <c r="ATG133" s="562"/>
      <c r="ATH133" s="562"/>
      <c r="ATI133" s="562"/>
      <c r="ATJ133" s="562"/>
      <c r="ATK133" s="562"/>
      <c r="ATL133" s="562"/>
      <c r="ATM133" s="562"/>
      <c r="ATN133" s="562"/>
      <c r="ATO133" s="562"/>
      <c r="ATP133" s="562"/>
      <c r="ATQ133" s="562"/>
      <c r="ATR133" s="562"/>
      <c r="ATS133" s="562"/>
      <c r="ATT133" s="562"/>
      <c r="ATU133" s="562"/>
      <c r="ATV133" s="562"/>
      <c r="ATW133" s="562"/>
      <c r="ATX133" s="562"/>
      <c r="ATY133" s="562"/>
      <c r="ATZ133" s="562"/>
      <c r="AUA133" s="562"/>
      <c r="AUB133" s="562"/>
      <c r="AUC133" s="562"/>
      <c r="AUD133" s="562"/>
      <c r="AUE133" s="562"/>
      <c r="AUF133" s="562"/>
      <c r="AUG133" s="562"/>
      <c r="AUH133" s="562"/>
      <c r="AUI133" s="562"/>
      <c r="AUJ133" s="562"/>
      <c r="AUK133" s="562"/>
      <c r="AUL133" s="562"/>
      <c r="AUM133" s="562"/>
      <c r="AUN133" s="562"/>
      <c r="AUO133" s="562"/>
      <c r="AUP133" s="562"/>
      <c r="AUQ133" s="562"/>
      <c r="AUR133" s="562"/>
      <c r="AUS133" s="562"/>
      <c r="AUT133" s="562"/>
      <c r="AUU133" s="562"/>
      <c r="AUV133" s="562"/>
      <c r="AUW133" s="562"/>
      <c r="AUX133" s="562"/>
      <c r="AUY133" s="562"/>
      <c r="AUZ133" s="562"/>
      <c r="AVA133" s="562"/>
      <c r="AVB133" s="562"/>
      <c r="AVC133" s="562"/>
      <c r="AVD133" s="562"/>
      <c r="AVE133" s="562"/>
      <c r="AVF133" s="562"/>
      <c r="AVG133" s="562"/>
      <c r="AVH133" s="562"/>
      <c r="AVI133" s="562"/>
      <c r="AVJ133" s="562"/>
      <c r="AVK133" s="562"/>
      <c r="AVL133" s="562"/>
      <c r="AVM133" s="562"/>
      <c r="AVN133" s="562"/>
      <c r="AVO133" s="562"/>
      <c r="AVP133" s="562"/>
      <c r="AVQ133" s="562"/>
      <c r="AVR133" s="562"/>
      <c r="AVS133" s="562"/>
      <c r="AVT133" s="562"/>
      <c r="AVU133" s="562"/>
      <c r="AVV133" s="562"/>
      <c r="AVW133" s="562"/>
      <c r="AVX133" s="562"/>
      <c r="AVY133" s="562"/>
      <c r="AVZ133" s="562"/>
      <c r="AWA133" s="562"/>
      <c r="AWB133" s="562"/>
      <c r="AWC133" s="562"/>
      <c r="AWD133" s="562"/>
      <c r="AWE133" s="562"/>
      <c r="AWF133" s="562"/>
      <c r="AWG133" s="562"/>
      <c r="AWH133" s="562"/>
      <c r="AWI133" s="562"/>
      <c r="AWJ133" s="562"/>
      <c r="AWK133" s="562"/>
      <c r="AWL133" s="562"/>
      <c r="AWM133" s="562"/>
      <c r="AWN133" s="562"/>
      <c r="AWO133" s="562"/>
      <c r="AWP133" s="562"/>
      <c r="AWQ133" s="562"/>
      <c r="AWR133" s="562"/>
      <c r="AWS133" s="562"/>
      <c r="AWT133" s="562"/>
      <c r="AWU133" s="562"/>
      <c r="AWV133" s="562"/>
      <c r="AWW133" s="562"/>
      <c r="AWX133" s="562"/>
      <c r="AWY133" s="562"/>
      <c r="AWZ133" s="562"/>
      <c r="AXA133" s="562"/>
      <c r="AXB133" s="562"/>
      <c r="AXC133" s="562"/>
      <c r="AXD133" s="562"/>
      <c r="AXE133" s="562"/>
      <c r="AXF133" s="562"/>
      <c r="AXG133" s="562"/>
      <c r="AXH133" s="562"/>
      <c r="AXI133" s="562"/>
      <c r="AXJ133" s="562"/>
      <c r="AXK133" s="562"/>
      <c r="AXL133" s="562"/>
      <c r="AXM133" s="562"/>
      <c r="AXN133" s="562"/>
      <c r="AXO133" s="562"/>
      <c r="AXP133" s="562"/>
      <c r="AXQ133" s="562"/>
      <c r="AXR133" s="562"/>
      <c r="AXS133" s="562"/>
      <c r="AXT133" s="562"/>
      <c r="AXU133" s="562"/>
      <c r="AXV133" s="562"/>
      <c r="AXW133" s="562"/>
      <c r="AXX133" s="562"/>
      <c r="AXY133" s="562"/>
      <c r="AXZ133" s="562"/>
      <c r="AYA133" s="562"/>
      <c r="AYB133" s="562"/>
      <c r="AYC133" s="562"/>
      <c r="AYD133" s="562"/>
      <c r="AYE133" s="562"/>
      <c r="AYF133" s="562"/>
      <c r="AYG133" s="562"/>
      <c r="AYH133" s="562"/>
      <c r="AYI133" s="562"/>
      <c r="AYJ133" s="562"/>
      <c r="AYK133" s="562"/>
      <c r="AYL133" s="562"/>
      <c r="AYM133" s="562"/>
      <c r="AYN133" s="562"/>
      <c r="AYO133" s="562"/>
      <c r="AYP133" s="562"/>
      <c r="AYQ133" s="562"/>
      <c r="AYR133" s="562"/>
      <c r="AYS133" s="562"/>
      <c r="AYT133" s="562"/>
      <c r="AYU133" s="562"/>
      <c r="AYV133" s="562"/>
      <c r="AYW133" s="562"/>
      <c r="AYX133" s="562"/>
      <c r="AYY133" s="562"/>
      <c r="AYZ133" s="562"/>
      <c r="AZA133" s="562"/>
      <c r="AZB133" s="562"/>
      <c r="AZC133" s="562"/>
      <c r="AZD133" s="562"/>
      <c r="AZE133" s="562"/>
      <c r="AZF133" s="562"/>
      <c r="AZG133" s="562"/>
      <c r="AZH133" s="562"/>
      <c r="AZI133" s="562"/>
      <c r="AZJ133" s="562"/>
      <c r="AZK133" s="562"/>
      <c r="AZL133" s="562"/>
      <c r="AZM133" s="562"/>
      <c r="AZN133" s="562"/>
      <c r="AZO133" s="562"/>
      <c r="AZP133" s="562"/>
      <c r="AZQ133" s="562"/>
      <c r="AZR133" s="562"/>
      <c r="AZS133" s="562"/>
      <c r="AZT133" s="562"/>
      <c r="AZU133" s="562"/>
      <c r="AZV133" s="562"/>
      <c r="AZW133" s="562"/>
      <c r="AZX133" s="562"/>
      <c r="AZY133" s="562"/>
      <c r="AZZ133" s="562"/>
      <c r="BAA133" s="562"/>
      <c r="BAB133" s="562"/>
      <c r="BAC133" s="562"/>
      <c r="BAD133" s="562"/>
      <c r="BAE133" s="562"/>
      <c r="BAF133" s="562"/>
      <c r="BAG133" s="562"/>
      <c r="BAH133" s="562"/>
      <c r="BAI133" s="562"/>
      <c r="BAJ133" s="562"/>
      <c r="BAK133" s="562"/>
      <c r="BAL133" s="562"/>
      <c r="BAM133" s="562"/>
      <c r="BAN133" s="562"/>
      <c r="BAO133" s="562"/>
      <c r="BAP133" s="562"/>
      <c r="BAQ133" s="562"/>
      <c r="BAR133" s="562"/>
      <c r="BAS133" s="562"/>
      <c r="BAT133" s="562"/>
      <c r="BAU133" s="562"/>
      <c r="BAV133" s="562"/>
      <c r="BAW133" s="562"/>
      <c r="BAX133" s="562"/>
      <c r="BAY133" s="562"/>
      <c r="BAZ133" s="562"/>
      <c r="BBA133" s="562"/>
      <c r="BBB133" s="562"/>
      <c r="BBC133" s="562"/>
      <c r="BBD133" s="562"/>
      <c r="BBE133" s="562"/>
      <c r="BBF133" s="562"/>
      <c r="BBG133" s="562"/>
      <c r="BBH133" s="562"/>
      <c r="BBI133" s="562"/>
      <c r="BBJ133" s="562"/>
      <c r="BBK133" s="562"/>
      <c r="BBL133" s="562"/>
      <c r="BBM133" s="562"/>
      <c r="BBN133" s="562"/>
      <c r="BBO133" s="562"/>
      <c r="BBP133" s="562"/>
      <c r="BBQ133" s="562"/>
      <c r="BBR133" s="562"/>
      <c r="BBS133" s="562"/>
      <c r="BBT133" s="562"/>
      <c r="BBU133" s="562"/>
      <c r="BBV133" s="562"/>
      <c r="BBW133" s="562"/>
      <c r="BBX133" s="562"/>
      <c r="BBY133" s="562"/>
      <c r="BBZ133" s="562"/>
      <c r="BCA133" s="562"/>
      <c r="BCB133" s="562"/>
      <c r="BCC133" s="562"/>
      <c r="BCD133" s="562"/>
      <c r="BCE133" s="562"/>
      <c r="BCF133" s="562"/>
      <c r="BCG133" s="562"/>
      <c r="BCH133" s="562"/>
      <c r="BCI133" s="562"/>
      <c r="BCJ133" s="562"/>
      <c r="BCK133" s="562"/>
      <c r="BCL133" s="562"/>
      <c r="BCM133" s="562"/>
      <c r="BCN133" s="562"/>
      <c r="BCO133" s="562"/>
      <c r="BCP133" s="562"/>
      <c r="BCQ133" s="562"/>
      <c r="BCR133" s="562"/>
      <c r="BCS133" s="562"/>
      <c r="BCT133" s="562"/>
      <c r="BCU133" s="562"/>
      <c r="BCV133" s="562"/>
      <c r="BCW133" s="562"/>
      <c r="BCX133" s="562"/>
      <c r="BCY133" s="562"/>
      <c r="BCZ133" s="562"/>
      <c r="BDA133" s="562"/>
      <c r="BDB133" s="562"/>
      <c r="BDC133" s="562"/>
      <c r="BDD133" s="562"/>
      <c r="BDE133" s="562"/>
      <c r="BDF133" s="562"/>
      <c r="BDG133" s="562"/>
      <c r="BDH133" s="562"/>
      <c r="BDI133" s="562"/>
      <c r="BDJ133" s="562"/>
      <c r="BDK133" s="562"/>
      <c r="BDL133" s="562"/>
      <c r="BDM133" s="562"/>
      <c r="BDN133" s="562"/>
      <c r="BDO133" s="562"/>
      <c r="BDP133" s="562"/>
      <c r="BDQ133" s="562"/>
      <c r="BDR133" s="562"/>
      <c r="BDS133" s="562"/>
      <c r="BDT133" s="562"/>
      <c r="BDU133" s="562"/>
      <c r="BDV133" s="562"/>
      <c r="BDW133" s="562"/>
      <c r="BDX133" s="562"/>
      <c r="BDY133" s="562"/>
      <c r="BDZ133" s="562"/>
      <c r="BEA133" s="562"/>
      <c r="BEB133" s="562"/>
      <c r="BEC133" s="562"/>
      <c r="BED133" s="562"/>
      <c r="BEE133" s="562"/>
      <c r="BEF133" s="562"/>
      <c r="BEG133" s="562"/>
      <c r="BEH133" s="562"/>
      <c r="BEI133" s="562"/>
      <c r="BEJ133" s="562"/>
      <c r="BEK133" s="562"/>
      <c r="BEL133" s="562"/>
      <c r="BEM133" s="562"/>
      <c r="BEN133" s="562"/>
      <c r="BEO133" s="562"/>
      <c r="BEP133" s="562"/>
      <c r="BEQ133" s="562"/>
      <c r="BER133" s="562"/>
      <c r="BES133" s="562"/>
      <c r="BET133" s="562"/>
      <c r="BEU133" s="562"/>
      <c r="BEV133" s="562"/>
      <c r="BEW133" s="562"/>
      <c r="BEX133" s="562"/>
      <c r="BEY133" s="562"/>
      <c r="BEZ133" s="562"/>
      <c r="BFA133" s="562"/>
      <c r="BFB133" s="562"/>
      <c r="BFC133" s="562"/>
      <c r="BFD133" s="562"/>
      <c r="BFE133" s="562"/>
      <c r="BFF133" s="562"/>
      <c r="BFG133" s="562"/>
      <c r="BFH133" s="562"/>
      <c r="BFI133" s="562"/>
      <c r="BFJ133" s="562"/>
      <c r="BFK133" s="562"/>
      <c r="BFL133" s="562"/>
      <c r="BFM133" s="562"/>
      <c r="BFN133" s="562"/>
      <c r="BFO133" s="562"/>
      <c r="BFP133" s="562"/>
      <c r="BFQ133" s="562"/>
      <c r="BFR133" s="562"/>
      <c r="BFS133" s="562"/>
      <c r="BFT133" s="562"/>
      <c r="BFU133" s="562"/>
      <c r="BFV133" s="562"/>
      <c r="BFW133" s="562"/>
      <c r="BFX133" s="562"/>
      <c r="BFY133" s="562"/>
      <c r="BFZ133" s="562"/>
      <c r="BGA133" s="562"/>
      <c r="BGB133" s="562"/>
      <c r="BGC133" s="562"/>
      <c r="BGD133" s="562"/>
      <c r="BGE133" s="562"/>
      <c r="BGF133" s="562"/>
      <c r="BGG133" s="562"/>
      <c r="BGH133" s="562"/>
      <c r="BGI133" s="562"/>
      <c r="BGJ133" s="562"/>
      <c r="BGK133" s="562"/>
      <c r="BGL133" s="562"/>
      <c r="BGM133" s="562"/>
      <c r="BGN133" s="562"/>
      <c r="BGO133" s="562"/>
      <c r="BGP133" s="562"/>
      <c r="BGQ133" s="562"/>
      <c r="BGR133" s="562"/>
      <c r="BGS133" s="562"/>
      <c r="BGT133" s="562"/>
      <c r="BGU133" s="562"/>
      <c r="BGV133" s="562"/>
      <c r="BGW133" s="562"/>
      <c r="BGX133" s="562"/>
      <c r="BGY133" s="562"/>
      <c r="BGZ133" s="562"/>
      <c r="BHA133" s="562"/>
      <c r="BHB133" s="562"/>
      <c r="BHC133" s="562"/>
      <c r="BHD133" s="562"/>
      <c r="BHE133" s="562"/>
      <c r="BHF133" s="562"/>
      <c r="BHG133" s="562"/>
      <c r="BHH133" s="562"/>
      <c r="BHI133" s="562"/>
      <c r="BHJ133" s="562"/>
      <c r="BHK133" s="562"/>
      <c r="BHL133" s="562"/>
      <c r="BHM133" s="562"/>
      <c r="BHN133" s="562"/>
      <c r="BHO133" s="562"/>
      <c r="BHP133" s="562"/>
      <c r="BHQ133" s="562"/>
      <c r="BHR133" s="562"/>
      <c r="BHS133" s="562"/>
      <c r="BHT133" s="562"/>
      <c r="BHU133" s="562"/>
      <c r="BHV133" s="562"/>
      <c r="BHW133" s="562"/>
      <c r="BHX133" s="562"/>
      <c r="BHY133" s="562"/>
      <c r="BHZ133" s="562"/>
      <c r="BIA133" s="562"/>
      <c r="BIB133" s="562"/>
      <c r="BIC133" s="562"/>
      <c r="BID133" s="562"/>
      <c r="BIE133" s="562"/>
      <c r="BIF133" s="562"/>
      <c r="BIG133" s="562"/>
      <c r="BIH133" s="562"/>
      <c r="BII133" s="562"/>
      <c r="BIJ133" s="562"/>
      <c r="BIK133" s="562"/>
      <c r="BIL133" s="562"/>
      <c r="BIM133" s="562"/>
      <c r="BIN133" s="562"/>
      <c r="BIO133" s="562"/>
      <c r="BIP133" s="562"/>
      <c r="BIQ133" s="562"/>
      <c r="BIR133" s="562"/>
      <c r="BIS133" s="562"/>
      <c r="BIT133" s="562"/>
      <c r="BIU133" s="562"/>
      <c r="BIV133" s="562"/>
      <c r="BIW133" s="562"/>
      <c r="BIX133" s="562"/>
      <c r="BIY133" s="562"/>
      <c r="BIZ133" s="562"/>
      <c r="BJA133" s="562"/>
      <c r="BJB133" s="562"/>
      <c r="BJC133" s="562"/>
      <c r="BJD133" s="562"/>
      <c r="BJE133" s="562"/>
      <c r="BJF133" s="562"/>
      <c r="BJG133" s="562"/>
      <c r="BJH133" s="562"/>
      <c r="BJI133" s="562"/>
      <c r="BJJ133" s="562"/>
      <c r="BJK133" s="562"/>
      <c r="BJL133" s="562"/>
      <c r="BJM133" s="562"/>
      <c r="BJN133" s="562"/>
      <c r="BJO133" s="562"/>
      <c r="BJP133" s="562"/>
      <c r="BJQ133" s="562"/>
      <c r="BJR133" s="562"/>
      <c r="BJS133" s="562"/>
      <c r="BJT133" s="562"/>
      <c r="BJU133" s="562"/>
      <c r="BJV133" s="562"/>
      <c r="BJW133" s="562"/>
      <c r="BJX133" s="562"/>
      <c r="BJY133" s="562"/>
      <c r="BJZ133" s="562"/>
      <c r="BKA133" s="562"/>
      <c r="BKB133" s="562"/>
      <c r="BKC133" s="562"/>
      <c r="BKD133" s="562"/>
      <c r="BKE133" s="562"/>
      <c r="BKF133" s="562"/>
      <c r="BKG133" s="562"/>
      <c r="BKH133" s="562"/>
      <c r="BKI133" s="562"/>
      <c r="BKJ133" s="562"/>
      <c r="BKK133" s="562"/>
      <c r="BKL133" s="562"/>
      <c r="BKM133" s="562"/>
      <c r="BKN133" s="562"/>
      <c r="BKO133" s="562"/>
      <c r="BKP133" s="562"/>
      <c r="BKQ133" s="562"/>
      <c r="BKR133" s="562"/>
      <c r="BKS133" s="562"/>
      <c r="BKT133" s="562"/>
      <c r="BKU133" s="562"/>
      <c r="BKV133" s="562"/>
      <c r="BKW133" s="562"/>
      <c r="BKX133" s="562"/>
      <c r="BKY133" s="562"/>
      <c r="BKZ133" s="562"/>
      <c r="BLA133" s="562"/>
      <c r="BLB133" s="562"/>
      <c r="BLC133" s="562"/>
      <c r="BLD133" s="562"/>
      <c r="BLE133" s="562"/>
      <c r="BLF133" s="562"/>
      <c r="BLG133" s="562"/>
      <c r="BLH133" s="562"/>
      <c r="BLI133" s="562"/>
      <c r="BLJ133" s="562"/>
      <c r="BLK133" s="562"/>
      <c r="BLL133" s="562"/>
      <c r="BLM133" s="562"/>
      <c r="BLN133" s="562"/>
      <c r="BLO133" s="562"/>
      <c r="BLP133" s="562"/>
      <c r="BLQ133" s="562"/>
      <c r="BLR133" s="562"/>
      <c r="BLS133" s="562"/>
      <c r="BLT133" s="562"/>
      <c r="BLU133" s="562"/>
      <c r="BLV133" s="562"/>
      <c r="BLW133" s="562"/>
      <c r="BLX133" s="562"/>
      <c r="BLY133" s="562"/>
      <c r="BLZ133" s="562"/>
      <c r="BMA133" s="562"/>
      <c r="BMB133" s="562"/>
      <c r="BMC133" s="562"/>
      <c r="BMD133" s="562"/>
      <c r="BME133" s="562"/>
      <c r="BMF133" s="562"/>
      <c r="BMG133" s="562"/>
      <c r="BMH133" s="562"/>
      <c r="BMI133" s="562"/>
      <c r="BMJ133" s="562"/>
      <c r="BMK133" s="562"/>
      <c r="BML133" s="562"/>
      <c r="BMM133" s="562"/>
      <c r="BMN133" s="562"/>
      <c r="BMO133" s="562"/>
      <c r="BMP133" s="562"/>
      <c r="BMQ133" s="562"/>
      <c r="BMR133" s="562"/>
      <c r="BMS133" s="562"/>
      <c r="BMT133" s="562"/>
      <c r="BMU133" s="562"/>
      <c r="BMV133" s="562"/>
      <c r="BMW133" s="562"/>
      <c r="BMX133" s="562"/>
      <c r="BMY133" s="562"/>
      <c r="BMZ133" s="562"/>
      <c r="BNA133" s="562"/>
      <c r="BNB133" s="562"/>
      <c r="BNC133" s="562"/>
      <c r="BND133" s="562"/>
      <c r="BNE133" s="562"/>
      <c r="BNF133" s="562"/>
      <c r="BNG133" s="562"/>
      <c r="BNH133" s="562"/>
      <c r="BNI133" s="562"/>
      <c r="BNJ133" s="562"/>
      <c r="BNK133" s="562"/>
      <c r="BNL133" s="562"/>
      <c r="BNM133" s="562"/>
      <c r="BNN133" s="562"/>
      <c r="BNO133" s="562"/>
      <c r="BNP133" s="562"/>
      <c r="BNQ133" s="562"/>
      <c r="BNR133" s="562"/>
      <c r="BNS133" s="562"/>
      <c r="BNT133" s="562"/>
      <c r="BNU133" s="562"/>
      <c r="BNV133" s="562"/>
      <c r="BNW133" s="562"/>
      <c r="BNX133" s="562"/>
      <c r="BNY133" s="562"/>
      <c r="BNZ133" s="562"/>
      <c r="BOA133" s="562"/>
      <c r="BOB133" s="562"/>
      <c r="BOC133" s="562"/>
      <c r="BOD133" s="562"/>
      <c r="BOE133" s="562"/>
      <c r="BOF133" s="562"/>
      <c r="BOG133" s="562"/>
      <c r="BOH133" s="562"/>
      <c r="BOI133" s="562"/>
      <c r="BOJ133" s="562"/>
      <c r="BOK133" s="562"/>
      <c r="BOL133" s="562"/>
      <c r="BOM133" s="562"/>
      <c r="BON133" s="562"/>
      <c r="BOO133" s="562"/>
      <c r="BOP133" s="562"/>
      <c r="BOQ133" s="562"/>
      <c r="BOR133" s="562"/>
      <c r="BOS133" s="562"/>
      <c r="BOT133" s="562"/>
      <c r="BOU133" s="562"/>
      <c r="BOV133" s="562"/>
      <c r="BOW133" s="562"/>
      <c r="BOX133" s="562"/>
      <c r="BOY133" s="562"/>
      <c r="BOZ133" s="562"/>
      <c r="BPA133" s="562"/>
      <c r="BPB133" s="562"/>
      <c r="BPC133" s="562"/>
      <c r="BPD133" s="562"/>
      <c r="BPE133" s="562"/>
      <c r="BPF133" s="562"/>
      <c r="BPG133" s="562"/>
      <c r="BPH133" s="562"/>
      <c r="BPI133" s="562"/>
      <c r="BPJ133" s="562"/>
      <c r="BPK133" s="562"/>
      <c r="BPL133" s="562"/>
      <c r="BPM133" s="562"/>
      <c r="BPN133" s="562"/>
      <c r="BPO133" s="562"/>
      <c r="BPP133" s="562"/>
      <c r="BPQ133" s="562"/>
      <c r="BPR133" s="562"/>
      <c r="BPS133" s="562"/>
      <c r="BPT133" s="562"/>
      <c r="BPU133" s="562"/>
      <c r="BPV133" s="562"/>
      <c r="BPW133" s="562"/>
      <c r="BPX133" s="562"/>
      <c r="BPY133" s="562"/>
      <c r="BPZ133" s="562"/>
      <c r="BQA133" s="562"/>
      <c r="BQB133" s="562"/>
      <c r="BQC133" s="562"/>
      <c r="BQD133" s="562"/>
      <c r="BQE133" s="562"/>
      <c r="BQF133" s="562"/>
      <c r="BQG133" s="562"/>
      <c r="BQH133" s="562"/>
      <c r="BQI133" s="562"/>
      <c r="BQJ133" s="562"/>
      <c r="BQK133" s="562"/>
      <c r="BQL133" s="562"/>
      <c r="BQM133" s="562"/>
      <c r="BQN133" s="562"/>
      <c r="BQO133" s="562"/>
      <c r="BQP133" s="562"/>
      <c r="BQQ133" s="562"/>
      <c r="BQR133" s="562"/>
      <c r="BQS133" s="562"/>
      <c r="BQT133" s="562"/>
      <c r="BQU133" s="562"/>
      <c r="BQV133" s="562"/>
      <c r="BQW133" s="562"/>
      <c r="BQX133" s="562"/>
      <c r="BQY133" s="562"/>
      <c r="BQZ133" s="562"/>
      <c r="BRA133" s="562"/>
      <c r="BRB133" s="562"/>
      <c r="BRC133" s="562"/>
      <c r="BRD133" s="562"/>
      <c r="BRE133" s="562"/>
      <c r="BRF133" s="562"/>
      <c r="BRG133" s="562"/>
      <c r="BRH133" s="562"/>
      <c r="BRI133" s="562"/>
      <c r="BRJ133" s="562"/>
      <c r="BRK133" s="562"/>
      <c r="BRL133" s="562"/>
      <c r="BRM133" s="562"/>
      <c r="BRN133" s="562"/>
      <c r="BRO133" s="562"/>
      <c r="BRP133" s="562"/>
      <c r="BRQ133" s="562"/>
      <c r="BRR133" s="562"/>
      <c r="BRS133" s="562"/>
      <c r="BRT133" s="562"/>
      <c r="BRU133" s="562"/>
      <c r="BRV133" s="562"/>
      <c r="BRW133" s="562"/>
      <c r="BRX133" s="562"/>
      <c r="BRY133" s="562"/>
      <c r="BRZ133" s="562"/>
      <c r="BSA133" s="562"/>
      <c r="BSB133" s="562"/>
      <c r="BSC133" s="562"/>
      <c r="BSD133" s="562"/>
      <c r="BSE133" s="562"/>
      <c r="BSF133" s="562"/>
      <c r="BSG133" s="562"/>
      <c r="BSH133" s="562"/>
      <c r="BSI133" s="562"/>
      <c r="BSJ133" s="562"/>
      <c r="BSK133" s="562"/>
      <c r="BSL133" s="562"/>
      <c r="BSM133" s="562"/>
      <c r="BSN133" s="562"/>
      <c r="BSO133" s="562"/>
      <c r="BSP133" s="562"/>
      <c r="BSQ133" s="562"/>
      <c r="BSR133" s="562"/>
      <c r="BSS133" s="562"/>
      <c r="BST133" s="562"/>
      <c r="BSU133" s="562"/>
      <c r="BSV133" s="562"/>
      <c r="BSW133" s="562"/>
      <c r="BSX133" s="562"/>
      <c r="BSY133" s="562"/>
      <c r="BSZ133" s="562"/>
      <c r="BTA133" s="562"/>
      <c r="BTB133" s="562"/>
      <c r="BTC133" s="562"/>
      <c r="BTD133" s="562"/>
      <c r="BTE133" s="562"/>
      <c r="BTF133" s="562"/>
      <c r="BTG133" s="562"/>
      <c r="BTH133" s="562"/>
      <c r="BTI133" s="562"/>
      <c r="BTJ133" s="562"/>
      <c r="BTK133" s="562"/>
      <c r="BTL133" s="562"/>
      <c r="BTM133" s="562"/>
      <c r="BTN133" s="562"/>
      <c r="BTO133" s="562"/>
      <c r="BTP133" s="562"/>
      <c r="BTQ133" s="562"/>
      <c r="BTR133" s="562"/>
      <c r="BTS133" s="562"/>
      <c r="BTT133" s="562"/>
      <c r="BTU133" s="562"/>
      <c r="BTV133" s="562"/>
      <c r="BTW133" s="562"/>
      <c r="BTX133" s="562"/>
      <c r="BTY133" s="562"/>
      <c r="BTZ133" s="562"/>
      <c r="BUA133" s="562"/>
      <c r="BUB133" s="562"/>
      <c r="BUC133" s="562"/>
      <c r="BUD133" s="562"/>
      <c r="BUE133" s="562"/>
      <c r="BUF133" s="562"/>
      <c r="BUG133" s="562"/>
      <c r="BUH133" s="562"/>
      <c r="BUI133" s="562"/>
      <c r="BUJ133" s="562"/>
      <c r="BUK133" s="562"/>
      <c r="BUL133" s="562"/>
      <c r="BUM133" s="562"/>
      <c r="BUN133" s="562"/>
      <c r="BUO133" s="562"/>
      <c r="BUP133" s="562"/>
      <c r="BUQ133" s="562"/>
      <c r="BUR133" s="562"/>
      <c r="BUS133" s="562"/>
      <c r="BUT133" s="562"/>
      <c r="BUU133" s="562"/>
      <c r="BUV133" s="562"/>
      <c r="BUW133" s="562"/>
      <c r="BUX133" s="562"/>
      <c r="BUY133" s="562"/>
      <c r="BUZ133" s="562"/>
      <c r="BVA133" s="562"/>
      <c r="BVB133" s="562"/>
      <c r="BVC133" s="562"/>
      <c r="BVD133" s="562"/>
      <c r="BVE133" s="562"/>
      <c r="BVF133" s="562"/>
      <c r="BVG133" s="562"/>
      <c r="BVH133" s="562"/>
      <c r="BVI133" s="562"/>
      <c r="BVJ133" s="562"/>
      <c r="BVK133" s="562"/>
      <c r="BVL133" s="562"/>
      <c r="BVM133" s="562"/>
      <c r="BVN133" s="562"/>
      <c r="BVO133" s="562"/>
      <c r="BVP133" s="562"/>
      <c r="BVQ133" s="562"/>
      <c r="BVR133" s="562"/>
      <c r="BVS133" s="562"/>
      <c r="BVT133" s="562"/>
      <c r="BVU133" s="562"/>
      <c r="BVV133" s="562"/>
      <c r="BVW133" s="562"/>
      <c r="BVX133" s="562"/>
      <c r="BVY133" s="562"/>
      <c r="BVZ133" s="562"/>
      <c r="BWA133" s="562"/>
      <c r="BWB133" s="562"/>
      <c r="BWC133" s="562"/>
      <c r="BWD133" s="562"/>
      <c r="BWE133" s="562"/>
      <c r="BWF133" s="562"/>
      <c r="BWG133" s="562"/>
      <c r="BWH133" s="562"/>
      <c r="BWI133" s="562"/>
      <c r="BWJ133" s="562"/>
      <c r="BWK133" s="562"/>
      <c r="BWL133" s="562"/>
      <c r="BWM133" s="562"/>
      <c r="BWN133" s="562"/>
      <c r="BWO133" s="562"/>
      <c r="BWP133" s="562"/>
      <c r="BWQ133" s="562"/>
      <c r="BWR133" s="562"/>
      <c r="BWS133" s="562"/>
      <c r="BWT133" s="562"/>
      <c r="BWU133" s="562"/>
      <c r="BWV133" s="562"/>
      <c r="BWW133" s="562"/>
      <c r="BWX133" s="562"/>
      <c r="BWY133" s="562"/>
      <c r="BWZ133" s="562"/>
      <c r="BXA133" s="562"/>
      <c r="BXB133" s="562"/>
      <c r="BXC133" s="562"/>
      <c r="BXD133" s="562"/>
      <c r="BXE133" s="562"/>
      <c r="BXF133" s="562"/>
      <c r="BXG133" s="562"/>
      <c r="BXH133" s="562"/>
      <c r="BXI133" s="562"/>
      <c r="BXJ133" s="562"/>
      <c r="BXK133" s="562"/>
      <c r="BXL133" s="562"/>
      <c r="BXM133" s="562"/>
      <c r="BXN133" s="562"/>
      <c r="BXO133" s="562"/>
      <c r="BXP133" s="562"/>
      <c r="BXQ133" s="562"/>
      <c r="BXR133" s="562"/>
      <c r="BXS133" s="562"/>
      <c r="BXT133" s="562"/>
      <c r="BXU133" s="562"/>
      <c r="BXV133" s="562"/>
      <c r="BXW133" s="562"/>
      <c r="BXX133" s="562"/>
      <c r="BXY133" s="562"/>
      <c r="BXZ133" s="562"/>
      <c r="BYA133" s="562"/>
      <c r="BYB133" s="562"/>
      <c r="BYC133" s="562"/>
      <c r="BYD133" s="562"/>
      <c r="BYE133" s="562"/>
      <c r="BYF133" s="562"/>
      <c r="BYG133" s="562"/>
      <c r="BYH133" s="562"/>
      <c r="BYI133" s="562"/>
      <c r="BYJ133" s="562"/>
      <c r="BYK133" s="562"/>
      <c r="BYL133" s="562"/>
      <c r="BYM133" s="562"/>
      <c r="BYN133" s="562"/>
      <c r="BYO133" s="562"/>
      <c r="BYP133" s="562"/>
      <c r="BYQ133" s="562"/>
      <c r="BYR133" s="562"/>
      <c r="BYS133" s="562"/>
      <c r="BYT133" s="562"/>
      <c r="BYU133" s="562"/>
      <c r="BYV133" s="562"/>
      <c r="BYW133" s="562"/>
      <c r="BYX133" s="562"/>
      <c r="BYY133" s="562"/>
      <c r="BYZ133" s="562"/>
      <c r="BZA133" s="562"/>
      <c r="BZB133" s="562"/>
      <c r="BZC133" s="562"/>
      <c r="BZD133" s="562"/>
      <c r="BZE133" s="562"/>
      <c r="BZF133" s="562"/>
      <c r="BZG133" s="562"/>
      <c r="BZH133" s="562"/>
      <c r="BZI133" s="562"/>
      <c r="BZJ133" s="562"/>
      <c r="BZK133" s="562"/>
      <c r="BZL133" s="562"/>
      <c r="BZM133" s="562"/>
      <c r="BZN133" s="562"/>
      <c r="BZO133" s="562"/>
      <c r="BZP133" s="562"/>
      <c r="BZQ133" s="562"/>
      <c r="BZR133" s="562"/>
      <c r="BZS133" s="562"/>
      <c r="BZT133" s="562"/>
      <c r="BZU133" s="562"/>
      <c r="BZV133" s="562"/>
      <c r="BZW133" s="562"/>
      <c r="BZX133" s="562"/>
      <c r="BZY133" s="562"/>
      <c r="BZZ133" s="562"/>
      <c r="CAA133" s="562"/>
      <c r="CAB133" s="562"/>
      <c r="CAC133" s="562"/>
      <c r="CAD133" s="562"/>
      <c r="CAE133" s="562"/>
      <c r="CAF133" s="562"/>
      <c r="CAG133" s="562"/>
      <c r="CAH133" s="562"/>
      <c r="CAI133" s="562"/>
      <c r="CAJ133" s="562"/>
      <c r="CAK133" s="562"/>
      <c r="CAL133" s="562"/>
      <c r="CAM133" s="562"/>
      <c r="CAN133" s="562"/>
      <c r="CAO133" s="562"/>
      <c r="CAP133" s="562"/>
      <c r="CAQ133" s="562"/>
      <c r="CAR133" s="562"/>
      <c r="CAS133" s="562"/>
      <c r="CAT133" s="562"/>
      <c r="CAU133" s="562"/>
      <c r="CAV133" s="562"/>
      <c r="CAW133" s="562"/>
      <c r="CAX133" s="562"/>
      <c r="CAY133" s="562"/>
      <c r="CAZ133" s="562"/>
      <c r="CBA133" s="562"/>
      <c r="CBB133" s="562"/>
      <c r="CBC133" s="562"/>
      <c r="CBD133" s="562"/>
      <c r="CBE133" s="562"/>
      <c r="CBF133" s="562"/>
      <c r="CBG133" s="562"/>
      <c r="CBH133" s="562"/>
      <c r="CBI133" s="562"/>
      <c r="CBJ133" s="562"/>
      <c r="CBK133" s="562"/>
      <c r="CBL133" s="562"/>
      <c r="CBM133" s="562"/>
      <c r="CBN133" s="562"/>
      <c r="CBO133" s="562"/>
      <c r="CBP133" s="562"/>
      <c r="CBQ133" s="562"/>
      <c r="CBR133" s="562"/>
      <c r="CBS133" s="562"/>
      <c r="CBT133" s="562"/>
      <c r="CBU133" s="562"/>
      <c r="CBV133" s="562"/>
      <c r="CBW133" s="562"/>
      <c r="CBX133" s="562"/>
      <c r="CBY133" s="562"/>
      <c r="CBZ133" s="562"/>
      <c r="CCA133" s="562"/>
      <c r="CCB133" s="562"/>
      <c r="CCC133" s="562"/>
      <c r="CCD133" s="562"/>
      <c r="CCE133" s="562"/>
      <c r="CCF133" s="562"/>
      <c r="CCG133" s="562"/>
      <c r="CCH133" s="562"/>
      <c r="CCI133" s="562"/>
      <c r="CCJ133" s="562"/>
      <c r="CCK133" s="562"/>
      <c r="CCL133" s="562"/>
      <c r="CCM133" s="562"/>
      <c r="CCN133" s="562"/>
      <c r="CCO133" s="562"/>
      <c r="CCP133" s="562"/>
      <c r="CCQ133" s="562"/>
      <c r="CCR133" s="562"/>
      <c r="CCS133" s="562"/>
      <c r="CCT133" s="562"/>
      <c r="CCU133" s="562"/>
      <c r="CCV133" s="562"/>
      <c r="CCW133" s="562"/>
      <c r="CCX133" s="562"/>
      <c r="CCY133" s="562"/>
      <c r="CCZ133" s="562"/>
      <c r="CDA133" s="562"/>
      <c r="CDB133" s="562"/>
      <c r="CDC133" s="562"/>
      <c r="CDD133" s="562"/>
      <c r="CDE133" s="562"/>
      <c r="CDF133" s="562"/>
      <c r="CDG133" s="562"/>
      <c r="CDH133" s="562"/>
      <c r="CDI133" s="562"/>
      <c r="CDJ133" s="562"/>
      <c r="CDK133" s="562"/>
      <c r="CDL133" s="562"/>
      <c r="CDM133" s="562"/>
      <c r="CDN133" s="562"/>
      <c r="CDO133" s="562"/>
      <c r="CDP133" s="562"/>
      <c r="CDQ133" s="562"/>
      <c r="CDR133" s="562"/>
      <c r="CDS133" s="562"/>
      <c r="CDT133" s="562"/>
      <c r="CDU133" s="562"/>
      <c r="CDV133" s="562"/>
      <c r="CDW133" s="562"/>
      <c r="CDX133" s="562"/>
      <c r="CDY133" s="562"/>
      <c r="CDZ133" s="562"/>
      <c r="CEA133" s="562"/>
      <c r="CEB133" s="562"/>
      <c r="CEC133" s="562"/>
      <c r="CED133" s="562"/>
      <c r="CEE133" s="562"/>
      <c r="CEF133" s="562"/>
      <c r="CEG133" s="562"/>
      <c r="CEH133" s="562"/>
      <c r="CEI133" s="562"/>
      <c r="CEJ133" s="562"/>
      <c r="CEK133" s="562"/>
      <c r="CEL133" s="562"/>
      <c r="CEM133" s="562"/>
      <c r="CEN133" s="562"/>
      <c r="CEO133" s="562"/>
      <c r="CEP133" s="562"/>
      <c r="CEQ133" s="562"/>
      <c r="CER133" s="562"/>
      <c r="CES133" s="562"/>
      <c r="CET133" s="562"/>
      <c r="CEU133" s="562"/>
      <c r="CEV133" s="562"/>
      <c r="CEW133" s="562"/>
      <c r="CEX133" s="562"/>
      <c r="CEY133" s="562"/>
      <c r="CEZ133" s="562"/>
      <c r="CFA133" s="562"/>
      <c r="CFB133" s="562"/>
      <c r="CFC133" s="562"/>
      <c r="CFD133" s="562"/>
      <c r="CFE133" s="562"/>
      <c r="CFF133" s="562"/>
      <c r="CFG133" s="562"/>
      <c r="CFH133" s="562"/>
      <c r="CFI133" s="562"/>
      <c r="CFJ133" s="562"/>
      <c r="CFK133" s="562"/>
      <c r="CFL133" s="562"/>
      <c r="CFM133" s="562"/>
      <c r="CFN133" s="562"/>
      <c r="CFO133" s="562"/>
      <c r="CFP133" s="562"/>
      <c r="CFQ133" s="562"/>
      <c r="CFR133" s="562"/>
      <c r="CFS133" s="562"/>
      <c r="CFT133" s="562"/>
      <c r="CFU133" s="562"/>
      <c r="CFV133" s="562"/>
      <c r="CFW133" s="562"/>
      <c r="CFX133" s="562"/>
      <c r="CFY133" s="562"/>
      <c r="CFZ133" s="562"/>
      <c r="CGA133" s="562"/>
      <c r="CGB133" s="562"/>
      <c r="CGC133" s="562"/>
      <c r="CGD133" s="562"/>
      <c r="CGE133" s="562"/>
      <c r="CGF133" s="562"/>
      <c r="CGG133" s="562"/>
      <c r="CGH133" s="562"/>
      <c r="CGI133" s="562"/>
      <c r="CGJ133" s="562"/>
      <c r="CGK133" s="562"/>
      <c r="CGL133" s="562"/>
      <c r="CGM133" s="562"/>
      <c r="CGN133" s="562"/>
      <c r="CGO133" s="562"/>
      <c r="CGP133" s="562"/>
      <c r="CGQ133" s="562"/>
      <c r="CGR133" s="562"/>
      <c r="CGS133" s="562"/>
      <c r="CGT133" s="562"/>
      <c r="CGU133" s="562"/>
      <c r="CGV133" s="562"/>
      <c r="CGW133" s="562"/>
      <c r="CGX133" s="562"/>
      <c r="CGY133" s="562"/>
      <c r="CGZ133" s="562"/>
      <c r="CHA133" s="562"/>
      <c r="CHB133" s="562"/>
      <c r="CHC133" s="562"/>
      <c r="CHD133" s="562"/>
      <c r="CHE133" s="562"/>
      <c r="CHF133" s="562"/>
      <c r="CHG133" s="562"/>
      <c r="CHH133" s="562"/>
      <c r="CHI133" s="562"/>
      <c r="CHJ133" s="562"/>
      <c r="CHK133" s="562"/>
      <c r="CHL133" s="562"/>
      <c r="CHM133" s="562"/>
      <c r="CHN133" s="562"/>
      <c r="CHO133" s="562"/>
      <c r="CHP133" s="562"/>
      <c r="CHQ133" s="562"/>
      <c r="CHR133" s="562"/>
      <c r="CHS133" s="562"/>
      <c r="CHT133" s="562"/>
      <c r="CHU133" s="562"/>
      <c r="CHV133" s="562"/>
      <c r="CHW133" s="562"/>
      <c r="CHX133" s="562"/>
      <c r="CHY133" s="562"/>
      <c r="CHZ133" s="562"/>
      <c r="CIA133" s="562"/>
      <c r="CIB133" s="562"/>
      <c r="CIC133" s="562"/>
      <c r="CID133" s="562"/>
      <c r="CIE133" s="562"/>
      <c r="CIF133" s="562"/>
      <c r="CIG133" s="562"/>
      <c r="CIH133" s="562"/>
      <c r="CII133" s="562"/>
      <c r="CIJ133" s="562"/>
      <c r="CIK133" s="562"/>
      <c r="CIL133" s="562"/>
      <c r="CIM133" s="562"/>
      <c r="CIN133" s="562"/>
      <c r="CIO133" s="562"/>
      <c r="CIP133" s="562"/>
      <c r="CIQ133" s="562"/>
      <c r="CIR133" s="562"/>
      <c r="CIS133" s="562"/>
      <c r="CIT133" s="562"/>
      <c r="CIU133" s="562"/>
      <c r="CIV133" s="562"/>
      <c r="CIW133" s="562"/>
      <c r="CIX133" s="562"/>
      <c r="CIY133" s="562"/>
      <c r="CIZ133" s="562"/>
      <c r="CJA133" s="562"/>
      <c r="CJB133" s="562"/>
      <c r="CJC133" s="562"/>
      <c r="CJD133" s="562"/>
      <c r="CJE133" s="562"/>
      <c r="CJF133" s="562"/>
      <c r="CJG133" s="562"/>
      <c r="CJH133" s="562"/>
      <c r="CJI133" s="562"/>
      <c r="CJJ133" s="562"/>
      <c r="CJK133" s="562"/>
      <c r="CJL133" s="562"/>
      <c r="CJM133" s="562"/>
      <c r="CJN133" s="562"/>
      <c r="CJO133" s="562"/>
      <c r="CJP133" s="562"/>
      <c r="CJQ133" s="562"/>
      <c r="CJR133" s="562"/>
      <c r="CJS133" s="562"/>
      <c r="CJT133" s="562"/>
      <c r="CJU133" s="562"/>
      <c r="CJV133" s="562"/>
      <c r="CJW133" s="562"/>
      <c r="CJX133" s="562"/>
      <c r="CJY133" s="562"/>
      <c r="CJZ133" s="562"/>
      <c r="CKA133" s="562"/>
      <c r="CKB133" s="562"/>
      <c r="CKC133" s="562"/>
      <c r="CKD133" s="562"/>
      <c r="CKE133" s="562"/>
      <c r="CKF133" s="562"/>
      <c r="CKG133" s="562"/>
      <c r="CKH133" s="562"/>
      <c r="CKI133" s="562"/>
      <c r="CKJ133" s="562"/>
      <c r="CKK133" s="562"/>
      <c r="CKL133" s="562"/>
      <c r="CKM133" s="562"/>
      <c r="CKN133" s="562"/>
      <c r="CKO133" s="562"/>
      <c r="CKP133" s="562"/>
      <c r="CKQ133" s="562"/>
      <c r="CKR133" s="562"/>
      <c r="CKS133" s="562"/>
      <c r="CKT133" s="562"/>
      <c r="CKU133" s="562"/>
      <c r="CKV133" s="562"/>
      <c r="CKW133" s="562"/>
      <c r="CKX133" s="562"/>
      <c r="CKY133" s="562"/>
      <c r="CKZ133" s="562"/>
      <c r="CLA133" s="562"/>
      <c r="CLB133" s="562"/>
      <c r="CLC133" s="562"/>
      <c r="CLD133" s="562"/>
      <c r="CLE133" s="562"/>
      <c r="CLF133" s="562"/>
      <c r="CLG133" s="562"/>
      <c r="CLH133" s="562"/>
      <c r="CLI133" s="562"/>
      <c r="CLJ133" s="562"/>
      <c r="CLK133" s="562"/>
      <c r="CLL133" s="562"/>
      <c r="CLM133" s="562"/>
      <c r="CLN133" s="562"/>
      <c r="CLO133" s="562"/>
      <c r="CLP133" s="562"/>
      <c r="CLQ133" s="562"/>
      <c r="CLR133" s="562"/>
      <c r="CLS133" s="562"/>
      <c r="CLT133" s="562"/>
      <c r="CLU133" s="562"/>
      <c r="CLV133" s="562"/>
      <c r="CLW133" s="562"/>
      <c r="CLX133" s="562"/>
      <c r="CLY133" s="562"/>
      <c r="CLZ133" s="562"/>
      <c r="CMA133" s="562"/>
      <c r="CMB133" s="562"/>
      <c r="CMC133" s="562"/>
      <c r="CMD133" s="562"/>
      <c r="CME133" s="562"/>
      <c r="CMF133" s="562"/>
      <c r="CMG133" s="562"/>
      <c r="CMH133" s="562"/>
      <c r="CMI133" s="562"/>
      <c r="CMJ133" s="562"/>
      <c r="CMK133" s="562"/>
      <c r="CML133" s="562"/>
      <c r="CMM133" s="562"/>
      <c r="CMN133" s="562"/>
      <c r="CMO133" s="562"/>
      <c r="CMP133" s="562"/>
      <c r="CMQ133" s="562"/>
      <c r="CMR133" s="562"/>
      <c r="CMS133" s="562"/>
      <c r="CMT133" s="562"/>
      <c r="CMU133" s="562"/>
      <c r="CMV133" s="562"/>
      <c r="CMW133" s="562"/>
      <c r="CMX133" s="562"/>
      <c r="CMY133" s="562"/>
      <c r="CMZ133" s="562"/>
      <c r="CNA133" s="562"/>
      <c r="CNB133" s="562"/>
      <c r="CNC133" s="562"/>
      <c r="CND133" s="562"/>
      <c r="CNE133" s="562"/>
      <c r="CNF133" s="562"/>
      <c r="CNG133" s="562"/>
      <c r="CNH133" s="562"/>
      <c r="CNI133" s="562"/>
      <c r="CNJ133" s="562"/>
      <c r="CNK133" s="562"/>
      <c r="CNL133" s="562"/>
      <c r="CNM133" s="562"/>
      <c r="CNN133" s="562"/>
      <c r="CNO133" s="562"/>
      <c r="CNP133" s="562"/>
      <c r="CNQ133" s="562"/>
      <c r="CNR133" s="562"/>
      <c r="CNS133" s="562"/>
      <c r="CNT133" s="562"/>
      <c r="CNU133" s="562"/>
      <c r="CNV133" s="562"/>
      <c r="CNW133" s="562"/>
      <c r="CNX133" s="562"/>
      <c r="CNY133" s="562"/>
      <c r="CNZ133" s="562"/>
      <c r="COA133" s="562"/>
      <c r="COB133" s="562"/>
      <c r="COC133" s="562"/>
      <c r="COD133" s="562"/>
      <c r="COE133" s="562"/>
      <c r="COF133" s="562"/>
      <c r="COG133" s="562"/>
      <c r="COH133" s="562"/>
      <c r="COI133" s="562"/>
      <c r="COJ133" s="562"/>
      <c r="COK133" s="562"/>
      <c r="COL133" s="562"/>
      <c r="COM133" s="562"/>
      <c r="CON133" s="562"/>
      <c r="COO133" s="562"/>
      <c r="COP133" s="562"/>
      <c r="COQ133" s="562"/>
      <c r="COR133" s="562"/>
      <c r="COS133" s="562"/>
      <c r="COT133" s="562"/>
      <c r="COU133" s="562"/>
      <c r="COV133" s="562"/>
      <c r="COW133" s="562"/>
      <c r="COX133" s="562"/>
      <c r="COY133" s="562"/>
      <c r="COZ133" s="562"/>
      <c r="CPA133" s="562"/>
      <c r="CPB133" s="562"/>
      <c r="CPC133" s="562"/>
      <c r="CPD133" s="562"/>
      <c r="CPE133" s="562"/>
      <c r="CPF133" s="562"/>
      <c r="CPG133" s="562"/>
      <c r="CPH133" s="562"/>
      <c r="CPI133" s="562"/>
      <c r="CPJ133" s="562"/>
      <c r="CPK133" s="562"/>
      <c r="CPL133" s="562"/>
      <c r="CPM133" s="562"/>
      <c r="CPN133" s="562"/>
      <c r="CPO133" s="562"/>
      <c r="CPP133" s="562"/>
      <c r="CPQ133" s="562"/>
      <c r="CPR133" s="562"/>
      <c r="CPS133" s="562"/>
      <c r="CPT133" s="562"/>
      <c r="CPU133" s="562"/>
      <c r="CPV133" s="562"/>
      <c r="CPW133" s="562"/>
      <c r="CPX133" s="562"/>
      <c r="CPY133" s="562"/>
      <c r="CPZ133" s="562"/>
      <c r="CQA133" s="562"/>
      <c r="CQB133" s="562"/>
      <c r="CQC133" s="562"/>
      <c r="CQD133" s="562"/>
      <c r="CQE133" s="562"/>
      <c r="CQF133" s="562"/>
      <c r="CQG133" s="562"/>
      <c r="CQH133" s="562"/>
      <c r="CQI133" s="562"/>
      <c r="CQJ133" s="562"/>
      <c r="CQK133" s="562"/>
      <c r="CQL133" s="562"/>
      <c r="CQM133" s="562"/>
      <c r="CQN133" s="562"/>
      <c r="CQO133" s="562"/>
      <c r="CQP133" s="562"/>
      <c r="CQQ133" s="562"/>
      <c r="CQR133" s="562"/>
      <c r="CQS133" s="562"/>
      <c r="CQT133" s="562"/>
      <c r="CQU133" s="562"/>
      <c r="CQV133" s="562"/>
      <c r="CQW133" s="562"/>
      <c r="CQX133" s="562"/>
      <c r="CQY133" s="562"/>
      <c r="CQZ133" s="562"/>
      <c r="CRA133" s="562"/>
      <c r="CRB133" s="562"/>
      <c r="CRC133" s="562"/>
      <c r="CRD133" s="562"/>
      <c r="CRE133" s="562"/>
      <c r="CRF133" s="562"/>
      <c r="CRG133" s="562"/>
      <c r="CRH133" s="562"/>
      <c r="CRI133" s="562"/>
      <c r="CRJ133" s="562"/>
      <c r="CRK133" s="562"/>
      <c r="CRL133" s="562"/>
      <c r="CRM133" s="562"/>
      <c r="CRN133" s="562"/>
      <c r="CRO133" s="562"/>
      <c r="CRP133" s="562"/>
      <c r="CRQ133" s="562"/>
      <c r="CRR133" s="562"/>
      <c r="CRS133" s="562"/>
      <c r="CRT133" s="562"/>
      <c r="CRU133" s="562"/>
      <c r="CRV133" s="562"/>
      <c r="CRW133" s="562"/>
      <c r="CRX133" s="562"/>
      <c r="CRY133" s="562"/>
      <c r="CRZ133" s="562"/>
      <c r="CSA133" s="562"/>
      <c r="CSB133" s="562"/>
      <c r="CSC133" s="562"/>
      <c r="CSD133" s="562"/>
      <c r="CSE133" s="562"/>
      <c r="CSF133" s="562"/>
      <c r="CSG133" s="562"/>
      <c r="CSH133" s="562"/>
      <c r="CSI133" s="562"/>
      <c r="CSJ133" s="562"/>
      <c r="CSK133" s="562"/>
      <c r="CSL133" s="562"/>
      <c r="CSM133" s="562"/>
      <c r="CSN133" s="562"/>
      <c r="CSO133" s="562"/>
      <c r="CSP133" s="562"/>
      <c r="CSQ133" s="562"/>
      <c r="CSR133" s="562"/>
      <c r="CSS133" s="562"/>
      <c r="CST133" s="562"/>
      <c r="CSU133" s="562"/>
      <c r="CSV133" s="562"/>
      <c r="CSW133" s="562"/>
      <c r="CSX133" s="562"/>
      <c r="CSY133" s="562"/>
      <c r="CSZ133" s="562"/>
      <c r="CTA133" s="562"/>
      <c r="CTB133" s="562"/>
      <c r="CTC133" s="562"/>
      <c r="CTD133" s="562"/>
      <c r="CTE133" s="562"/>
      <c r="CTF133" s="562"/>
      <c r="CTG133" s="562"/>
      <c r="CTH133" s="562"/>
      <c r="CTI133" s="562"/>
      <c r="CTJ133" s="562"/>
      <c r="CTK133" s="562"/>
      <c r="CTL133" s="562"/>
      <c r="CTM133" s="562"/>
      <c r="CTN133" s="562"/>
      <c r="CTO133" s="562"/>
      <c r="CTP133" s="562"/>
      <c r="CTQ133" s="562"/>
      <c r="CTR133" s="562"/>
      <c r="CTS133" s="562"/>
      <c r="CTT133" s="562"/>
      <c r="CTU133" s="562"/>
      <c r="CTV133" s="562"/>
      <c r="CTW133" s="562"/>
      <c r="CTX133" s="562"/>
      <c r="CTY133" s="562"/>
      <c r="CTZ133" s="562"/>
      <c r="CUA133" s="562"/>
      <c r="CUB133" s="562"/>
      <c r="CUC133" s="562"/>
      <c r="CUD133" s="562"/>
      <c r="CUE133" s="562"/>
      <c r="CUF133" s="562"/>
      <c r="CUG133" s="562"/>
      <c r="CUH133" s="562"/>
      <c r="CUI133" s="562"/>
      <c r="CUJ133" s="562"/>
      <c r="CUK133" s="562"/>
      <c r="CUL133" s="562"/>
      <c r="CUM133" s="562"/>
      <c r="CUN133" s="562"/>
      <c r="CUO133" s="562"/>
      <c r="CUP133" s="562"/>
      <c r="CUQ133" s="562"/>
      <c r="CUR133" s="562"/>
      <c r="CUS133" s="562"/>
      <c r="CUT133" s="562"/>
      <c r="CUU133" s="562"/>
      <c r="CUV133" s="562"/>
      <c r="CUW133" s="562"/>
      <c r="CUX133" s="562"/>
      <c r="CUY133" s="562"/>
      <c r="CUZ133" s="562"/>
      <c r="CVA133" s="562"/>
      <c r="CVB133" s="562"/>
      <c r="CVC133" s="562"/>
      <c r="CVD133" s="562"/>
      <c r="CVE133" s="562"/>
      <c r="CVF133" s="562"/>
      <c r="CVG133" s="562"/>
      <c r="CVH133" s="562"/>
      <c r="CVI133" s="562"/>
      <c r="CVJ133" s="562"/>
      <c r="CVK133" s="562"/>
      <c r="CVL133" s="562"/>
      <c r="CVM133" s="562"/>
      <c r="CVN133" s="562"/>
      <c r="CVO133" s="562"/>
      <c r="CVP133" s="562"/>
      <c r="CVQ133" s="562"/>
      <c r="CVR133" s="562"/>
      <c r="CVS133" s="562"/>
      <c r="CVT133" s="562"/>
      <c r="CVU133" s="562"/>
      <c r="CVV133" s="562"/>
      <c r="CVW133" s="562"/>
      <c r="CVX133" s="562"/>
      <c r="CVY133" s="562"/>
      <c r="CVZ133" s="562"/>
      <c r="CWA133" s="562"/>
      <c r="CWB133" s="562"/>
      <c r="CWC133" s="562"/>
      <c r="CWD133" s="562"/>
      <c r="CWE133" s="562"/>
      <c r="CWF133" s="562"/>
      <c r="CWG133" s="562"/>
      <c r="CWH133" s="562"/>
      <c r="CWI133" s="562"/>
      <c r="CWJ133" s="562"/>
      <c r="CWK133" s="562"/>
      <c r="CWL133" s="562"/>
      <c r="CWM133" s="562"/>
      <c r="CWN133" s="562"/>
      <c r="CWO133" s="562"/>
      <c r="CWP133" s="562"/>
      <c r="CWQ133" s="562"/>
      <c r="CWR133" s="562"/>
      <c r="CWS133" s="562"/>
      <c r="CWT133" s="562"/>
      <c r="CWU133" s="562"/>
      <c r="CWV133" s="562"/>
      <c r="CWW133" s="562"/>
      <c r="CWX133" s="562"/>
      <c r="CWY133" s="562"/>
      <c r="CWZ133" s="562"/>
      <c r="CXA133" s="562"/>
      <c r="CXB133" s="562"/>
      <c r="CXC133" s="562"/>
      <c r="CXD133" s="562"/>
      <c r="CXE133" s="562"/>
      <c r="CXF133" s="562"/>
      <c r="CXG133" s="562"/>
      <c r="CXH133" s="562"/>
      <c r="CXI133" s="562"/>
      <c r="CXJ133" s="562"/>
      <c r="CXK133" s="562"/>
      <c r="CXL133" s="562"/>
      <c r="CXM133" s="562"/>
      <c r="CXN133" s="562"/>
      <c r="CXO133" s="562"/>
      <c r="CXP133" s="562"/>
      <c r="CXQ133" s="562"/>
      <c r="CXR133" s="562"/>
      <c r="CXS133" s="562"/>
      <c r="CXT133" s="562"/>
      <c r="CXU133" s="562"/>
      <c r="CXV133" s="562"/>
      <c r="CXW133" s="562"/>
      <c r="CXX133" s="562"/>
      <c r="CXY133" s="562"/>
      <c r="CXZ133" s="562"/>
      <c r="CYA133" s="562"/>
      <c r="CYB133" s="562"/>
      <c r="CYC133" s="562"/>
      <c r="CYD133" s="562"/>
      <c r="CYE133" s="562"/>
      <c r="CYF133" s="562"/>
      <c r="CYG133" s="562"/>
      <c r="CYH133" s="562"/>
      <c r="CYI133" s="562"/>
      <c r="CYJ133" s="562"/>
      <c r="CYK133" s="562"/>
      <c r="CYL133" s="562"/>
      <c r="CYM133" s="562"/>
      <c r="CYN133" s="562"/>
      <c r="CYO133" s="562"/>
      <c r="CYP133" s="562"/>
      <c r="CYQ133" s="562"/>
      <c r="CYR133" s="562"/>
      <c r="CYS133" s="562"/>
      <c r="CYT133" s="562"/>
      <c r="CYU133" s="562"/>
      <c r="CYV133" s="562"/>
      <c r="CYW133" s="562"/>
      <c r="CYX133" s="562"/>
      <c r="CYY133" s="562"/>
      <c r="CYZ133" s="562"/>
      <c r="CZA133" s="562"/>
      <c r="CZB133" s="562"/>
      <c r="CZC133" s="562"/>
      <c r="CZD133" s="562"/>
      <c r="CZE133" s="562"/>
      <c r="CZF133" s="562"/>
      <c r="CZG133" s="562"/>
      <c r="CZH133" s="562"/>
      <c r="CZI133" s="562"/>
      <c r="CZJ133" s="562"/>
      <c r="CZK133" s="562"/>
      <c r="CZL133" s="562"/>
      <c r="CZM133" s="562"/>
      <c r="CZN133" s="562"/>
      <c r="CZO133" s="562"/>
      <c r="CZP133" s="562"/>
      <c r="CZQ133" s="562"/>
      <c r="CZR133" s="562"/>
      <c r="CZS133" s="562"/>
      <c r="CZT133" s="562"/>
      <c r="CZU133" s="562"/>
      <c r="CZV133" s="562"/>
      <c r="CZW133" s="562"/>
      <c r="CZX133" s="562"/>
      <c r="CZY133" s="562"/>
      <c r="CZZ133" s="562"/>
      <c r="DAA133" s="562"/>
      <c r="DAB133" s="562"/>
      <c r="DAC133" s="562"/>
      <c r="DAD133" s="562"/>
      <c r="DAE133" s="562"/>
      <c r="DAF133" s="562"/>
      <c r="DAG133" s="562"/>
      <c r="DAH133" s="562"/>
      <c r="DAI133" s="562"/>
      <c r="DAJ133" s="562"/>
      <c r="DAK133" s="562"/>
      <c r="DAL133" s="562"/>
      <c r="DAM133" s="562"/>
      <c r="DAN133" s="562"/>
      <c r="DAO133" s="562"/>
      <c r="DAP133" s="562"/>
      <c r="DAQ133" s="562"/>
      <c r="DAR133" s="562"/>
      <c r="DAS133" s="562"/>
      <c r="DAT133" s="562"/>
      <c r="DAU133" s="562"/>
      <c r="DAV133" s="562"/>
      <c r="DAW133" s="562"/>
      <c r="DAX133" s="562"/>
      <c r="DAY133" s="562"/>
      <c r="DAZ133" s="562"/>
      <c r="DBA133" s="562"/>
      <c r="DBB133" s="562"/>
      <c r="DBC133" s="562"/>
      <c r="DBD133" s="562"/>
      <c r="DBE133" s="562"/>
      <c r="DBF133" s="562"/>
      <c r="DBG133" s="562"/>
      <c r="DBH133" s="562"/>
      <c r="DBI133" s="562"/>
      <c r="DBJ133" s="562"/>
      <c r="DBK133" s="562"/>
      <c r="DBL133" s="562"/>
      <c r="DBM133" s="562"/>
      <c r="DBN133" s="562"/>
      <c r="DBO133" s="562"/>
      <c r="DBP133" s="562"/>
      <c r="DBQ133" s="562"/>
      <c r="DBR133" s="562"/>
      <c r="DBS133" s="562"/>
      <c r="DBT133" s="562"/>
      <c r="DBU133" s="562"/>
      <c r="DBV133" s="562"/>
      <c r="DBW133" s="562"/>
      <c r="DBX133" s="562"/>
      <c r="DBY133" s="562"/>
      <c r="DBZ133" s="562"/>
      <c r="DCA133" s="562"/>
      <c r="DCB133" s="562"/>
      <c r="DCC133" s="562"/>
      <c r="DCD133" s="562"/>
      <c r="DCE133" s="562"/>
      <c r="DCF133" s="562"/>
      <c r="DCG133" s="562"/>
      <c r="DCH133" s="562"/>
      <c r="DCI133" s="562"/>
      <c r="DCJ133" s="562"/>
      <c r="DCK133" s="562"/>
      <c r="DCL133" s="562"/>
      <c r="DCM133" s="562"/>
      <c r="DCN133" s="562"/>
      <c r="DCO133" s="562"/>
      <c r="DCP133" s="562"/>
      <c r="DCQ133" s="562"/>
      <c r="DCR133" s="562"/>
      <c r="DCS133" s="562"/>
      <c r="DCT133" s="562"/>
      <c r="DCU133" s="562"/>
      <c r="DCV133" s="562"/>
      <c r="DCW133" s="562"/>
      <c r="DCX133" s="562"/>
      <c r="DCY133" s="562"/>
      <c r="DCZ133" s="562"/>
      <c r="DDA133" s="562"/>
      <c r="DDB133" s="562"/>
      <c r="DDC133" s="562"/>
      <c r="DDD133" s="562"/>
      <c r="DDE133" s="562"/>
      <c r="DDF133" s="562"/>
      <c r="DDG133" s="562"/>
      <c r="DDH133" s="562"/>
      <c r="DDI133" s="562"/>
      <c r="DDJ133" s="562"/>
      <c r="DDK133" s="562"/>
      <c r="DDL133" s="562"/>
      <c r="DDM133" s="562"/>
      <c r="DDN133" s="562"/>
      <c r="DDO133" s="562"/>
      <c r="DDP133" s="562"/>
      <c r="DDQ133" s="562"/>
      <c r="DDR133" s="562"/>
      <c r="DDS133" s="562"/>
      <c r="DDT133" s="562"/>
      <c r="DDU133" s="562"/>
      <c r="DDV133" s="562"/>
      <c r="DDW133" s="562"/>
      <c r="DDX133" s="562"/>
      <c r="DDY133" s="562"/>
      <c r="DDZ133" s="562"/>
      <c r="DEA133" s="562"/>
      <c r="DEB133" s="562"/>
      <c r="DEC133" s="562"/>
      <c r="DED133" s="562"/>
      <c r="DEE133" s="562"/>
      <c r="DEF133" s="562"/>
      <c r="DEG133" s="562"/>
      <c r="DEH133" s="562"/>
      <c r="DEI133" s="562"/>
      <c r="DEJ133" s="562"/>
      <c r="DEK133" s="562"/>
      <c r="DEL133" s="562"/>
      <c r="DEM133" s="562"/>
      <c r="DEN133" s="562"/>
      <c r="DEO133" s="562"/>
      <c r="DEP133" s="562"/>
      <c r="DEQ133" s="562"/>
      <c r="DER133" s="562"/>
      <c r="DES133" s="562"/>
      <c r="DET133" s="562"/>
      <c r="DEU133" s="562"/>
      <c r="DEV133" s="562"/>
      <c r="DEW133" s="562"/>
      <c r="DEX133" s="562"/>
      <c r="DEY133" s="562"/>
      <c r="DEZ133" s="562"/>
      <c r="DFA133" s="562"/>
      <c r="DFB133" s="562"/>
      <c r="DFC133" s="562"/>
      <c r="DFD133" s="562"/>
      <c r="DFE133" s="562"/>
      <c r="DFF133" s="562"/>
      <c r="DFG133" s="562"/>
      <c r="DFH133" s="562"/>
      <c r="DFI133" s="562"/>
      <c r="DFJ133" s="562"/>
      <c r="DFK133" s="562"/>
      <c r="DFL133" s="562"/>
      <c r="DFM133" s="562"/>
      <c r="DFN133" s="562"/>
      <c r="DFO133" s="562"/>
      <c r="DFP133" s="562"/>
      <c r="DFQ133" s="562"/>
      <c r="DFR133" s="562"/>
      <c r="DFS133" s="562"/>
      <c r="DFT133" s="562"/>
      <c r="DFU133" s="562"/>
      <c r="DFV133" s="562"/>
      <c r="DFW133" s="562"/>
      <c r="DFX133" s="562"/>
      <c r="DFY133" s="562"/>
      <c r="DFZ133" s="562"/>
      <c r="DGA133" s="562"/>
      <c r="DGB133" s="562"/>
      <c r="DGC133" s="562"/>
      <c r="DGD133" s="562"/>
      <c r="DGE133" s="562"/>
      <c r="DGF133" s="562"/>
      <c r="DGG133" s="562"/>
      <c r="DGH133" s="562"/>
      <c r="DGI133" s="562"/>
      <c r="DGJ133" s="562"/>
      <c r="DGK133" s="562"/>
      <c r="DGL133" s="562"/>
      <c r="DGM133" s="562"/>
      <c r="DGN133" s="562"/>
      <c r="DGO133" s="562"/>
      <c r="DGP133" s="562"/>
      <c r="DGQ133" s="562"/>
      <c r="DGR133" s="562"/>
      <c r="DGS133" s="562"/>
      <c r="DGT133" s="562"/>
      <c r="DGU133" s="562"/>
      <c r="DGV133" s="562"/>
      <c r="DGW133" s="562"/>
      <c r="DGX133" s="562"/>
      <c r="DGY133" s="562"/>
      <c r="DGZ133" s="562"/>
      <c r="DHA133" s="562"/>
      <c r="DHB133" s="562"/>
      <c r="DHC133" s="562"/>
      <c r="DHD133" s="562"/>
      <c r="DHE133" s="562"/>
      <c r="DHF133" s="562"/>
      <c r="DHG133" s="562"/>
      <c r="DHH133" s="562"/>
      <c r="DHI133" s="562"/>
      <c r="DHJ133" s="562"/>
      <c r="DHK133" s="562"/>
      <c r="DHL133" s="562"/>
      <c r="DHM133" s="562"/>
      <c r="DHN133" s="562"/>
      <c r="DHO133" s="562"/>
      <c r="DHP133" s="562"/>
      <c r="DHQ133" s="562"/>
      <c r="DHR133" s="562"/>
      <c r="DHS133" s="562"/>
      <c r="DHT133" s="562"/>
      <c r="DHU133" s="562"/>
      <c r="DHV133" s="562"/>
      <c r="DHW133" s="562"/>
      <c r="DHX133" s="562"/>
      <c r="DHY133" s="562"/>
      <c r="DHZ133" s="562"/>
      <c r="DIA133" s="562"/>
      <c r="DIB133" s="562"/>
      <c r="DIC133" s="562"/>
      <c r="DID133" s="562"/>
      <c r="DIE133" s="562"/>
      <c r="DIF133" s="562"/>
      <c r="DIG133" s="562"/>
      <c r="DIH133" s="562"/>
      <c r="DII133" s="562"/>
      <c r="DIJ133" s="562"/>
      <c r="DIK133" s="562"/>
      <c r="DIL133" s="562"/>
      <c r="DIM133" s="562"/>
      <c r="DIN133" s="562"/>
      <c r="DIO133" s="562"/>
      <c r="DIP133" s="562"/>
      <c r="DIQ133" s="562"/>
      <c r="DIR133" s="562"/>
      <c r="DIS133" s="562"/>
      <c r="DIT133" s="562"/>
      <c r="DIU133" s="562"/>
      <c r="DIV133" s="562"/>
      <c r="DIW133" s="562"/>
      <c r="DIX133" s="562"/>
      <c r="DIY133" s="562"/>
      <c r="DIZ133" s="562"/>
      <c r="DJA133" s="562"/>
      <c r="DJB133" s="562"/>
      <c r="DJC133" s="562"/>
      <c r="DJD133" s="562"/>
      <c r="DJE133" s="562"/>
      <c r="DJF133" s="562"/>
      <c r="DJG133" s="562"/>
      <c r="DJH133" s="562"/>
      <c r="DJI133" s="562"/>
      <c r="DJJ133" s="562"/>
      <c r="DJK133" s="562"/>
      <c r="DJL133" s="562"/>
      <c r="DJM133" s="562"/>
      <c r="DJN133" s="562"/>
      <c r="DJO133" s="562"/>
      <c r="DJP133" s="562"/>
      <c r="DJQ133" s="562"/>
      <c r="DJR133" s="562"/>
      <c r="DJS133" s="562"/>
      <c r="DJT133" s="562"/>
      <c r="DJU133" s="562"/>
      <c r="DJV133" s="562"/>
      <c r="DJW133" s="562"/>
      <c r="DJX133" s="562"/>
      <c r="DJY133" s="562"/>
      <c r="DJZ133" s="562"/>
      <c r="DKA133" s="562"/>
      <c r="DKB133" s="562"/>
      <c r="DKC133" s="562"/>
      <c r="DKD133" s="562"/>
      <c r="DKE133" s="562"/>
      <c r="DKF133" s="562"/>
      <c r="DKG133" s="562"/>
      <c r="DKH133" s="562"/>
      <c r="DKI133" s="562"/>
      <c r="DKJ133" s="562"/>
      <c r="DKK133" s="562"/>
      <c r="DKL133" s="562"/>
      <c r="DKM133" s="562"/>
      <c r="DKN133" s="562"/>
      <c r="DKO133" s="562"/>
      <c r="DKP133" s="562"/>
      <c r="DKQ133" s="562"/>
      <c r="DKR133" s="562"/>
      <c r="DKS133" s="562"/>
      <c r="DKT133" s="562"/>
      <c r="DKU133" s="562"/>
      <c r="DKV133" s="562"/>
      <c r="DKW133" s="562"/>
      <c r="DKX133" s="562"/>
      <c r="DKY133" s="562"/>
      <c r="DKZ133" s="562"/>
      <c r="DLA133" s="562"/>
      <c r="DLB133" s="562"/>
      <c r="DLC133" s="562"/>
      <c r="DLD133" s="562"/>
      <c r="DLE133" s="562"/>
      <c r="DLF133" s="562"/>
      <c r="DLG133" s="562"/>
      <c r="DLH133" s="562"/>
      <c r="DLI133" s="562"/>
      <c r="DLJ133" s="562"/>
      <c r="DLK133" s="562"/>
      <c r="DLL133" s="562"/>
      <c r="DLM133" s="562"/>
      <c r="DLN133" s="562"/>
      <c r="DLO133" s="562"/>
      <c r="DLP133" s="562"/>
      <c r="DLQ133" s="562"/>
      <c r="DLR133" s="562"/>
      <c r="DLS133" s="562"/>
      <c r="DLT133" s="562"/>
      <c r="DLU133" s="562"/>
      <c r="DLV133" s="562"/>
      <c r="DLW133" s="562"/>
      <c r="DLX133" s="562"/>
      <c r="DLY133" s="562"/>
      <c r="DLZ133" s="562"/>
      <c r="DMA133" s="562"/>
      <c r="DMB133" s="562"/>
      <c r="DMC133" s="562"/>
      <c r="DMD133" s="562"/>
      <c r="DME133" s="562"/>
      <c r="DMF133" s="562"/>
      <c r="DMG133" s="562"/>
      <c r="DMH133" s="562"/>
      <c r="DMI133" s="562"/>
      <c r="DMJ133" s="562"/>
      <c r="DMK133" s="562"/>
      <c r="DML133" s="562"/>
      <c r="DMM133" s="562"/>
      <c r="DMN133" s="562"/>
      <c r="DMO133" s="562"/>
      <c r="DMP133" s="562"/>
      <c r="DMQ133" s="562"/>
      <c r="DMR133" s="562"/>
      <c r="DMS133" s="562"/>
      <c r="DMT133" s="562"/>
      <c r="DMU133" s="562"/>
      <c r="DMV133" s="562"/>
      <c r="DMW133" s="562"/>
      <c r="DMX133" s="562"/>
      <c r="DMY133" s="562"/>
      <c r="DMZ133" s="562"/>
      <c r="DNA133" s="562"/>
      <c r="DNB133" s="562"/>
      <c r="DNC133" s="562"/>
      <c r="DND133" s="562"/>
      <c r="DNE133" s="562"/>
      <c r="DNF133" s="562"/>
      <c r="DNG133" s="562"/>
      <c r="DNH133" s="562"/>
      <c r="DNI133" s="562"/>
      <c r="DNJ133" s="562"/>
      <c r="DNK133" s="562"/>
      <c r="DNL133" s="562"/>
      <c r="DNM133" s="562"/>
      <c r="DNN133" s="562"/>
      <c r="DNO133" s="562"/>
      <c r="DNP133" s="562"/>
      <c r="DNQ133" s="562"/>
      <c r="DNR133" s="562"/>
      <c r="DNS133" s="562"/>
      <c r="DNT133" s="562"/>
      <c r="DNU133" s="562"/>
      <c r="DNV133" s="562"/>
      <c r="DNW133" s="562"/>
      <c r="DNX133" s="562"/>
      <c r="DNY133" s="562"/>
      <c r="DNZ133" s="562"/>
      <c r="DOA133" s="562"/>
      <c r="DOB133" s="562"/>
      <c r="DOC133" s="562"/>
      <c r="DOD133" s="562"/>
      <c r="DOE133" s="562"/>
      <c r="DOF133" s="562"/>
      <c r="DOG133" s="562"/>
      <c r="DOH133" s="562"/>
      <c r="DOI133" s="562"/>
      <c r="DOJ133" s="562"/>
      <c r="DOK133" s="562"/>
      <c r="DOL133" s="562"/>
      <c r="DOM133" s="562"/>
      <c r="DON133" s="562"/>
      <c r="DOO133" s="562"/>
      <c r="DOP133" s="562"/>
      <c r="DOQ133" s="562"/>
      <c r="DOR133" s="562"/>
      <c r="DOS133" s="562"/>
      <c r="DOT133" s="562"/>
      <c r="DOU133" s="562"/>
      <c r="DOV133" s="562"/>
      <c r="DOW133" s="562"/>
      <c r="DOX133" s="562"/>
      <c r="DOY133" s="562"/>
      <c r="DOZ133" s="562"/>
      <c r="DPA133" s="562"/>
      <c r="DPB133" s="562"/>
      <c r="DPC133" s="562"/>
      <c r="DPD133" s="562"/>
      <c r="DPE133" s="562"/>
      <c r="DPF133" s="562"/>
      <c r="DPG133" s="562"/>
      <c r="DPH133" s="562"/>
      <c r="DPI133" s="562"/>
      <c r="DPJ133" s="562"/>
      <c r="DPK133" s="562"/>
      <c r="DPL133" s="562"/>
      <c r="DPM133" s="562"/>
      <c r="DPN133" s="562"/>
      <c r="DPO133" s="562"/>
      <c r="DPP133" s="562"/>
      <c r="DPQ133" s="562"/>
      <c r="DPR133" s="562"/>
      <c r="DPS133" s="562"/>
      <c r="DPT133" s="562"/>
      <c r="DPU133" s="562"/>
      <c r="DPV133" s="562"/>
      <c r="DPW133" s="562"/>
      <c r="DPX133" s="562"/>
      <c r="DPY133" s="562"/>
      <c r="DPZ133" s="562"/>
      <c r="DQA133" s="562"/>
      <c r="DQB133" s="562"/>
      <c r="DQC133" s="562"/>
      <c r="DQD133" s="562"/>
      <c r="DQE133" s="562"/>
      <c r="DQF133" s="562"/>
      <c r="DQG133" s="562"/>
      <c r="DQH133" s="562"/>
      <c r="DQI133" s="562"/>
      <c r="DQJ133" s="562"/>
      <c r="DQK133" s="562"/>
      <c r="DQL133" s="562"/>
      <c r="DQM133" s="562"/>
      <c r="DQN133" s="562"/>
      <c r="DQO133" s="562"/>
      <c r="DQP133" s="562"/>
      <c r="DQQ133" s="562"/>
      <c r="DQR133" s="562"/>
      <c r="DQS133" s="562"/>
      <c r="DQT133" s="562"/>
      <c r="DQU133" s="562"/>
      <c r="DQV133" s="562"/>
      <c r="DQW133" s="562"/>
      <c r="DQX133" s="562"/>
      <c r="DQY133" s="562"/>
      <c r="DQZ133" s="562"/>
      <c r="DRA133" s="562"/>
      <c r="DRB133" s="562"/>
      <c r="DRC133" s="562"/>
      <c r="DRD133" s="562"/>
      <c r="DRE133" s="562"/>
      <c r="DRF133" s="562"/>
      <c r="DRG133" s="562"/>
      <c r="DRH133" s="562"/>
      <c r="DRI133" s="562"/>
      <c r="DRJ133" s="562"/>
      <c r="DRK133" s="562"/>
      <c r="DRL133" s="562"/>
      <c r="DRM133" s="562"/>
      <c r="DRN133" s="562"/>
      <c r="DRO133" s="562"/>
      <c r="DRP133" s="562"/>
      <c r="DRQ133" s="562"/>
      <c r="DRR133" s="562"/>
      <c r="DRS133" s="562"/>
      <c r="DRT133" s="562"/>
      <c r="DRU133" s="562"/>
      <c r="DRV133" s="562"/>
      <c r="DRW133" s="562"/>
      <c r="DRX133" s="562"/>
      <c r="DRY133" s="562"/>
      <c r="DRZ133" s="562"/>
      <c r="DSA133" s="562"/>
      <c r="DSB133" s="562"/>
      <c r="DSC133" s="562"/>
      <c r="DSD133" s="562"/>
      <c r="DSE133" s="562"/>
      <c r="DSF133" s="562"/>
      <c r="DSG133" s="562"/>
      <c r="DSH133" s="562"/>
      <c r="DSI133" s="562"/>
      <c r="DSJ133" s="562"/>
      <c r="DSK133" s="562"/>
      <c r="DSL133" s="562"/>
      <c r="DSM133" s="562"/>
      <c r="DSN133" s="562"/>
      <c r="DSO133" s="562"/>
      <c r="DSP133" s="562"/>
      <c r="DSQ133" s="562"/>
      <c r="DSR133" s="562"/>
      <c r="DSS133" s="562"/>
      <c r="DST133" s="562"/>
      <c r="DSU133" s="562"/>
      <c r="DSV133" s="562"/>
      <c r="DSW133" s="562"/>
      <c r="DSX133" s="562"/>
      <c r="DSY133" s="562"/>
      <c r="DSZ133" s="562"/>
      <c r="DTA133" s="562"/>
      <c r="DTB133" s="562"/>
      <c r="DTC133" s="562"/>
      <c r="DTD133" s="562"/>
      <c r="DTE133" s="562"/>
      <c r="DTF133" s="562"/>
      <c r="DTG133" s="562"/>
      <c r="DTH133" s="562"/>
      <c r="DTI133" s="562"/>
      <c r="DTJ133" s="562"/>
      <c r="DTK133" s="562"/>
      <c r="DTL133" s="562"/>
      <c r="DTM133" s="562"/>
      <c r="DTN133" s="562"/>
      <c r="DTO133" s="562"/>
      <c r="DTP133" s="562"/>
      <c r="DTQ133" s="562"/>
      <c r="DTR133" s="562"/>
      <c r="DTS133" s="562"/>
      <c r="DTT133" s="562"/>
      <c r="DTU133" s="562"/>
      <c r="DTV133" s="562"/>
      <c r="DTW133" s="562"/>
      <c r="DTX133" s="562"/>
      <c r="DTY133" s="562"/>
      <c r="DTZ133" s="562"/>
      <c r="DUA133" s="562"/>
      <c r="DUB133" s="562"/>
      <c r="DUC133" s="562"/>
      <c r="DUD133" s="562"/>
      <c r="DUE133" s="562"/>
      <c r="DUF133" s="562"/>
      <c r="DUG133" s="562"/>
      <c r="DUH133" s="562"/>
      <c r="DUI133" s="562"/>
      <c r="DUJ133" s="562"/>
      <c r="DUK133" s="562"/>
      <c r="DUL133" s="562"/>
      <c r="DUM133" s="562"/>
      <c r="DUN133" s="562"/>
      <c r="DUO133" s="562"/>
      <c r="DUP133" s="562"/>
      <c r="DUQ133" s="562"/>
      <c r="DUR133" s="562"/>
      <c r="DUS133" s="562"/>
      <c r="DUT133" s="562"/>
      <c r="DUU133" s="562"/>
      <c r="DUV133" s="562"/>
      <c r="DUW133" s="562"/>
      <c r="DUX133" s="562"/>
      <c r="DUY133" s="562"/>
      <c r="DUZ133" s="562"/>
      <c r="DVA133" s="562"/>
      <c r="DVB133" s="562"/>
      <c r="DVC133" s="562"/>
      <c r="DVD133" s="562"/>
      <c r="DVE133" s="562"/>
      <c r="DVF133" s="562"/>
      <c r="DVG133" s="562"/>
      <c r="DVH133" s="562"/>
      <c r="DVI133" s="562"/>
      <c r="DVJ133" s="562"/>
      <c r="DVK133" s="562"/>
      <c r="DVL133" s="562"/>
      <c r="DVM133" s="562"/>
      <c r="DVN133" s="562"/>
      <c r="DVO133" s="562"/>
      <c r="DVP133" s="562"/>
      <c r="DVQ133" s="562"/>
      <c r="DVR133" s="562"/>
      <c r="DVS133" s="562"/>
      <c r="DVT133" s="562"/>
      <c r="DVU133" s="562"/>
      <c r="DVV133" s="562"/>
      <c r="DVW133" s="562"/>
      <c r="DVX133" s="562"/>
      <c r="DVY133" s="562"/>
      <c r="DVZ133" s="562"/>
      <c r="DWA133" s="562"/>
      <c r="DWB133" s="562"/>
      <c r="DWC133" s="562"/>
      <c r="DWD133" s="562"/>
      <c r="DWE133" s="562"/>
      <c r="DWF133" s="562"/>
      <c r="DWG133" s="562"/>
      <c r="DWH133" s="562"/>
      <c r="DWI133" s="562"/>
      <c r="DWJ133" s="562"/>
      <c r="DWK133" s="562"/>
      <c r="DWL133" s="562"/>
      <c r="DWM133" s="562"/>
      <c r="DWN133" s="562"/>
      <c r="DWO133" s="562"/>
      <c r="DWP133" s="562"/>
      <c r="DWQ133" s="562"/>
      <c r="DWR133" s="562"/>
      <c r="DWS133" s="562"/>
      <c r="DWT133" s="562"/>
      <c r="DWU133" s="562"/>
      <c r="DWV133" s="562"/>
      <c r="DWW133" s="562"/>
      <c r="DWX133" s="562"/>
      <c r="DWY133" s="562"/>
      <c r="DWZ133" s="562"/>
      <c r="DXA133" s="562"/>
      <c r="DXB133" s="562"/>
      <c r="DXC133" s="562"/>
      <c r="DXD133" s="562"/>
      <c r="DXE133" s="562"/>
      <c r="DXF133" s="562"/>
      <c r="DXG133" s="562"/>
      <c r="DXH133" s="562"/>
      <c r="DXI133" s="562"/>
      <c r="DXJ133" s="562"/>
      <c r="DXK133" s="562"/>
      <c r="DXL133" s="562"/>
      <c r="DXM133" s="562"/>
      <c r="DXN133" s="562"/>
      <c r="DXO133" s="562"/>
      <c r="DXP133" s="562"/>
      <c r="DXQ133" s="562"/>
      <c r="DXR133" s="562"/>
      <c r="DXS133" s="562"/>
      <c r="DXT133" s="562"/>
      <c r="DXU133" s="562"/>
      <c r="DXV133" s="562"/>
      <c r="DXW133" s="562"/>
      <c r="DXX133" s="562"/>
      <c r="DXY133" s="562"/>
      <c r="DXZ133" s="562"/>
      <c r="DYA133" s="562"/>
      <c r="DYB133" s="562"/>
      <c r="DYC133" s="562"/>
      <c r="DYD133" s="562"/>
      <c r="DYE133" s="562"/>
      <c r="DYF133" s="562"/>
      <c r="DYG133" s="562"/>
      <c r="DYH133" s="562"/>
      <c r="DYI133" s="562"/>
      <c r="DYJ133" s="562"/>
      <c r="DYK133" s="562"/>
      <c r="DYL133" s="562"/>
      <c r="DYM133" s="562"/>
      <c r="DYN133" s="562"/>
      <c r="DYO133" s="562"/>
      <c r="DYP133" s="562"/>
      <c r="DYQ133" s="562"/>
      <c r="DYR133" s="562"/>
      <c r="DYS133" s="562"/>
      <c r="DYT133" s="562"/>
      <c r="DYU133" s="562"/>
      <c r="DYV133" s="562"/>
      <c r="DYW133" s="562"/>
      <c r="DYX133" s="562"/>
      <c r="DYY133" s="562"/>
      <c r="DYZ133" s="562"/>
      <c r="DZA133" s="562"/>
      <c r="DZB133" s="562"/>
      <c r="DZC133" s="562"/>
      <c r="DZD133" s="562"/>
      <c r="DZE133" s="562"/>
      <c r="DZF133" s="562"/>
      <c r="DZG133" s="562"/>
      <c r="DZH133" s="562"/>
      <c r="DZI133" s="562"/>
      <c r="DZJ133" s="562"/>
      <c r="DZK133" s="562"/>
      <c r="DZL133" s="562"/>
      <c r="DZM133" s="562"/>
      <c r="DZN133" s="562"/>
      <c r="DZO133" s="562"/>
      <c r="DZP133" s="562"/>
      <c r="DZQ133" s="562"/>
      <c r="DZR133" s="562"/>
      <c r="DZS133" s="562"/>
      <c r="DZT133" s="562"/>
      <c r="DZU133" s="562"/>
      <c r="DZV133" s="562"/>
      <c r="DZW133" s="562"/>
      <c r="DZX133" s="562"/>
      <c r="DZY133" s="562"/>
      <c r="DZZ133" s="562"/>
      <c r="EAA133" s="562"/>
      <c r="EAB133" s="562"/>
      <c r="EAC133" s="562"/>
      <c r="EAD133" s="562"/>
      <c r="EAE133" s="562"/>
      <c r="EAF133" s="562"/>
      <c r="EAG133" s="562"/>
      <c r="EAH133" s="562"/>
      <c r="EAI133" s="562"/>
      <c r="EAJ133" s="562"/>
      <c r="EAK133" s="562"/>
      <c r="EAL133" s="562"/>
      <c r="EAM133" s="562"/>
      <c r="EAN133" s="562"/>
      <c r="EAO133" s="562"/>
      <c r="EAP133" s="562"/>
      <c r="EAQ133" s="562"/>
      <c r="EAR133" s="562"/>
      <c r="EAS133" s="562"/>
      <c r="EAT133" s="562"/>
      <c r="EAU133" s="562"/>
      <c r="EAV133" s="562"/>
      <c r="EAW133" s="562"/>
      <c r="EAX133" s="562"/>
      <c r="EAY133" s="562"/>
      <c r="EAZ133" s="562"/>
      <c r="EBA133" s="562"/>
      <c r="EBB133" s="562"/>
      <c r="EBC133" s="562"/>
      <c r="EBD133" s="562"/>
      <c r="EBE133" s="562"/>
      <c r="EBF133" s="562"/>
      <c r="EBG133" s="562"/>
      <c r="EBH133" s="562"/>
      <c r="EBI133" s="562"/>
      <c r="EBJ133" s="562"/>
      <c r="EBK133" s="562"/>
      <c r="EBL133" s="562"/>
      <c r="EBM133" s="562"/>
      <c r="EBN133" s="562"/>
      <c r="EBO133" s="562"/>
      <c r="EBP133" s="562"/>
      <c r="EBQ133" s="562"/>
      <c r="EBR133" s="562"/>
      <c r="EBS133" s="562"/>
      <c r="EBT133" s="562"/>
      <c r="EBU133" s="562"/>
      <c r="EBV133" s="562"/>
      <c r="EBW133" s="562"/>
      <c r="EBX133" s="562"/>
      <c r="EBY133" s="562"/>
      <c r="EBZ133" s="562"/>
      <c r="ECA133" s="562"/>
      <c r="ECB133" s="562"/>
      <c r="ECC133" s="562"/>
      <c r="ECD133" s="562"/>
      <c r="ECE133" s="562"/>
      <c r="ECF133" s="562"/>
      <c r="ECG133" s="562"/>
      <c r="ECH133" s="562"/>
      <c r="ECI133" s="562"/>
      <c r="ECJ133" s="562"/>
      <c r="ECK133" s="562"/>
      <c r="ECL133" s="562"/>
      <c r="ECM133" s="562"/>
      <c r="ECN133" s="562"/>
      <c r="ECO133" s="562"/>
      <c r="ECP133" s="562"/>
      <c r="ECQ133" s="562"/>
      <c r="ECR133" s="562"/>
      <c r="ECS133" s="562"/>
      <c r="ECT133" s="562"/>
      <c r="ECU133" s="562"/>
      <c r="ECV133" s="562"/>
      <c r="ECW133" s="562"/>
      <c r="ECX133" s="562"/>
      <c r="ECY133" s="562"/>
      <c r="ECZ133" s="562"/>
      <c r="EDA133" s="562"/>
      <c r="EDB133" s="562"/>
      <c r="EDC133" s="562"/>
      <c r="EDD133" s="562"/>
      <c r="EDE133" s="562"/>
      <c r="EDF133" s="562"/>
      <c r="EDG133" s="562"/>
      <c r="EDH133" s="562"/>
      <c r="EDI133" s="562"/>
      <c r="EDJ133" s="562"/>
      <c r="EDK133" s="562"/>
      <c r="EDL133" s="562"/>
      <c r="EDM133" s="562"/>
      <c r="EDN133" s="562"/>
      <c r="EDO133" s="562"/>
      <c r="EDP133" s="562"/>
      <c r="EDQ133" s="562"/>
      <c r="EDR133" s="562"/>
      <c r="EDS133" s="562"/>
      <c r="EDT133" s="562"/>
      <c r="EDU133" s="562"/>
      <c r="EDV133" s="562"/>
      <c r="EDW133" s="562"/>
      <c r="EDX133" s="562"/>
      <c r="EDY133" s="562"/>
      <c r="EDZ133" s="562"/>
      <c r="EEA133" s="562"/>
      <c r="EEB133" s="562"/>
      <c r="EEC133" s="562"/>
      <c r="EED133" s="562"/>
      <c r="EEE133" s="562"/>
      <c r="EEF133" s="562"/>
      <c r="EEG133" s="562"/>
      <c r="EEH133" s="562"/>
      <c r="EEI133" s="562"/>
      <c r="EEJ133" s="562"/>
      <c r="EEK133" s="562"/>
      <c r="EEL133" s="562"/>
      <c r="EEM133" s="562"/>
      <c r="EEN133" s="562"/>
      <c r="EEO133" s="562"/>
      <c r="EEP133" s="562"/>
      <c r="EEQ133" s="562"/>
      <c r="EER133" s="562"/>
      <c r="EES133" s="562"/>
      <c r="EET133" s="562"/>
      <c r="EEU133" s="562"/>
      <c r="EEV133" s="562"/>
      <c r="EEW133" s="562"/>
      <c r="EEX133" s="562"/>
      <c r="EEY133" s="562"/>
      <c r="EEZ133" s="562"/>
      <c r="EFA133" s="562"/>
      <c r="EFB133" s="562"/>
      <c r="EFC133" s="562"/>
      <c r="EFD133" s="562"/>
      <c r="EFE133" s="562"/>
      <c r="EFF133" s="562"/>
      <c r="EFG133" s="562"/>
      <c r="EFH133" s="562"/>
      <c r="EFI133" s="562"/>
      <c r="EFJ133" s="562"/>
      <c r="EFK133" s="562"/>
      <c r="EFL133" s="562"/>
      <c r="EFM133" s="562"/>
      <c r="EFN133" s="562"/>
      <c r="EFO133" s="562"/>
      <c r="EFP133" s="562"/>
      <c r="EFQ133" s="562"/>
      <c r="EFR133" s="562"/>
      <c r="EFS133" s="562"/>
      <c r="EFT133" s="562"/>
      <c r="EFU133" s="562"/>
      <c r="EFV133" s="562"/>
      <c r="EFW133" s="562"/>
      <c r="EFX133" s="562"/>
      <c r="EFY133" s="562"/>
      <c r="EFZ133" s="562"/>
      <c r="EGA133" s="562"/>
      <c r="EGB133" s="562"/>
      <c r="EGC133" s="562"/>
      <c r="EGD133" s="562"/>
      <c r="EGE133" s="562"/>
      <c r="EGF133" s="562"/>
      <c r="EGG133" s="562"/>
      <c r="EGH133" s="562"/>
      <c r="EGI133" s="562"/>
      <c r="EGJ133" s="562"/>
      <c r="EGK133" s="562"/>
      <c r="EGL133" s="562"/>
      <c r="EGM133" s="562"/>
      <c r="EGN133" s="562"/>
      <c r="EGO133" s="562"/>
      <c r="EGP133" s="562"/>
      <c r="EGQ133" s="562"/>
      <c r="EGR133" s="562"/>
      <c r="EGS133" s="562"/>
      <c r="EGT133" s="562"/>
      <c r="EGU133" s="562"/>
      <c r="EGV133" s="562"/>
      <c r="EGW133" s="562"/>
      <c r="EGX133" s="562"/>
      <c r="EGY133" s="562"/>
      <c r="EGZ133" s="562"/>
      <c r="EHA133" s="562"/>
      <c r="EHB133" s="562"/>
      <c r="EHC133" s="562"/>
      <c r="EHD133" s="562"/>
      <c r="EHE133" s="562"/>
      <c r="EHF133" s="562"/>
      <c r="EHG133" s="562"/>
      <c r="EHH133" s="562"/>
      <c r="EHI133" s="562"/>
      <c r="EHJ133" s="562"/>
      <c r="EHK133" s="562"/>
      <c r="EHL133" s="562"/>
      <c r="EHM133" s="562"/>
      <c r="EHN133" s="562"/>
      <c r="EHO133" s="562"/>
      <c r="EHP133" s="562"/>
      <c r="EHQ133" s="562"/>
      <c r="EHR133" s="562"/>
      <c r="EHS133" s="562"/>
      <c r="EHT133" s="562"/>
      <c r="EHU133" s="562"/>
      <c r="EHV133" s="562"/>
      <c r="EHW133" s="562"/>
      <c r="EHX133" s="562"/>
      <c r="EHY133" s="562"/>
      <c r="EHZ133" s="562"/>
      <c r="EIA133" s="562"/>
      <c r="EIB133" s="562"/>
      <c r="EIC133" s="562"/>
      <c r="EID133" s="562"/>
      <c r="EIE133" s="562"/>
      <c r="EIF133" s="562"/>
      <c r="EIG133" s="562"/>
      <c r="EIH133" s="562"/>
      <c r="EII133" s="562"/>
      <c r="EIJ133" s="562"/>
      <c r="EIK133" s="562"/>
      <c r="EIL133" s="562"/>
      <c r="EIM133" s="562"/>
      <c r="EIN133" s="562"/>
      <c r="EIO133" s="562"/>
      <c r="EIP133" s="562"/>
      <c r="EIQ133" s="562"/>
      <c r="EIR133" s="562"/>
      <c r="EIS133" s="562"/>
      <c r="EIT133" s="562"/>
      <c r="EIU133" s="562"/>
      <c r="EIV133" s="562"/>
      <c r="EIW133" s="562"/>
      <c r="EIX133" s="562"/>
      <c r="EIY133" s="562"/>
      <c r="EIZ133" s="562"/>
      <c r="EJA133" s="562"/>
      <c r="EJB133" s="562"/>
      <c r="EJC133" s="562"/>
      <c r="EJD133" s="562"/>
      <c r="EJE133" s="562"/>
      <c r="EJF133" s="562"/>
      <c r="EJG133" s="562"/>
      <c r="EJH133" s="562"/>
      <c r="EJI133" s="562"/>
      <c r="EJJ133" s="562"/>
      <c r="EJK133" s="562"/>
      <c r="EJL133" s="562"/>
      <c r="EJM133" s="562"/>
      <c r="EJN133" s="562"/>
      <c r="EJO133" s="562"/>
      <c r="EJP133" s="562"/>
      <c r="EJQ133" s="562"/>
      <c r="EJR133" s="562"/>
      <c r="EJS133" s="562"/>
      <c r="EJT133" s="562"/>
      <c r="EJU133" s="562"/>
      <c r="EJV133" s="562"/>
      <c r="EJW133" s="562"/>
      <c r="EJX133" s="562"/>
      <c r="EJY133" s="562"/>
      <c r="EJZ133" s="562"/>
      <c r="EKA133" s="562"/>
      <c r="EKB133" s="562"/>
      <c r="EKC133" s="562"/>
      <c r="EKD133" s="562"/>
      <c r="EKE133" s="562"/>
      <c r="EKF133" s="562"/>
      <c r="EKG133" s="562"/>
      <c r="EKH133" s="562"/>
      <c r="EKI133" s="562"/>
      <c r="EKJ133" s="562"/>
      <c r="EKK133" s="562"/>
      <c r="EKL133" s="562"/>
      <c r="EKM133" s="562"/>
      <c r="EKN133" s="562"/>
      <c r="EKO133" s="562"/>
      <c r="EKP133" s="562"/>
      <c r="EKQ133" s="562"/>
      <c r="EKR133" s="562"/>
      <c r="EKS133" s="562"/>
      <c r="EKT133" s="562"/>
      <c r="EKU133" s="562"/>
      <c r="EKV133" s="562"/>
      <c r="EKW133" s="562"/>
      <c r="EKX133" s="562"/>
      <c r="EKY133" s="562"/>
      <c r="EKZ133" s="562"/>
      <c r="ELA133" s="562"/>
      <c r="ELB133" s="562"/>
      <c r="ELC133" s="562"/>
      <c r="ELD133" s="562"/>
      <c r="ELE133" s="562"/>
      <c r="ELF133" s="562"/>
      <c r="ELG133" s="562"/>
      <c r="ELH133" s="562"/>
      <c r="ELI133" s="562"/>
      <c r="ELJ133" s="562"/>
      <c r="ELK133" s="562"/>
      <c r="ELL133" s="562"/>
      <c r="ELM133" s="562"/>
      <c r="ELN133" s="562"/>
      <c r="ELO133" s="562"/>
      <c r="ELP133" s="562"/>
      <c r="ELQ133" s="562"/>
      <c r="ELR133" s="562"/>
      <c r="ELS133" s="562"/>
      <c r="ELT133" s="562"/>
      <c r="ELU133" s="562"/>
      <c r="ELV133" s="562"/>
      <c r="ELW133" s="562"/>
      <c r="ELX133" s="562"/>
      <c r="ELY133" s="562"/>
      <c r="ELZ133" s="562"/>
      <c r="EMA133" s="562"/>
      <c r="EMB133" s="562"/>
      <c r="EMC133" s="562"/>
      <c r="EMD133" s="562"/>
      <c r="EME133" s="562"/>
      <c r="EMF133" s="562"/>
      <c r="EMG133" s="562"/>
      <c r="EMH133" s="562"/>
      <c r="EMI133" s="562"/>
      <c r="EMJ133" s="562"/>
      <c r="EMK133" s="562"/>
      <c r="EML133" s="562"/>
      <c r="EMM133" s="562"/>
      <c r="EMN133" s="562"/>
      <c r="EMO133" s="562"/>
      <c r="EMP133" s="562"/>
      <c r="EMQ133" s="562"/>
      <c r="EMR133" s="562"/>
      <c r="EMS133" s="562"/>
      <c r="EMT133" s="562"/>
      <c r="EMU133" s="562"/>
      <c r="EMV133" s="562"/>
      <c r="EMW133" s="562"/>
      <c r="EMX133" s="562"/>
      <c r="EMY133" s="562"/>
      <c r="EMZ133" s="562"/>
      <c r="ENA133" s="562"/>
      <c r="ENB133" s="562"/>
      <c r="ENC133" s="562"/>
      <c r="END133" s="562"/>
      <c r="ENE133" s="562"/>
      <c r="ENF133" s="562"/>
      <c r="ENG133" s="562"/>
      <c r="ENH133" s="562"/>
      <c r="ENI133" s="562"/>
      <c r="ENJ133" s="562"/>
      <c r="ENK133" s="562"/>
      <c r="ENL133" s="562"/>
      <c r="ENM133" s="562"/>
      <c r="ENN133" s="562"/>
      <c r="ENO133" s="562"/>
      <c r="ENP133" s="562"/>
      <c r="ENQ133" s="562"/>
      <c r="ENR133" s="562"/>
      <c r="ENS133" s="562"/>
      <c r="ENT133" s="562"/>
      <c r="ENU133" s="562"/>
      <c r="ENV133" s="562"/>
      <c r="ENW133" s="562"/>
      <c r="ENX133" s="562"/>
      <c r="ENY133" s="562"/>
      <c r="ENZ133" s="562"/>
      <c r="EOA133" s="562"/>
      <c r="EOB133" s="562"/>
      <c r="EOC133" s="562"/>
      <c r="EOD133" s="562"/>
      <c r="EOE133" s="562"/>
      <c r="EOF133" s="562"/>
      <c r="EOG133" s="562"/>
      <c r="EOH133" s="562"/>
      <c r="EOI133" s="562"/>
      <c r="EOJ133" s="562"/>
      <c r="EOK133" s="562"/>
      <c r="EOL133" s="562"/>
      <c r="EOM133" s="562"/>
      <c r="EON133" s="562"/>
      <c r="EOO133" s="562"/>
      <c r="EOP133" s="562"/>
      <c r="EOQ133" s="562"/>
      <c r="EOR133" s="562"/>
      <c r="EOS133" s="562"/>
      <c r="EOT133" s="562"/>
      <c r="EOU133" s="562"/>
      <c r="EOV133" s="562"/>
      <c r="EOW133" s="562"/>
      <c r="EOX133" s="562"/>
      <c r="EOY133" s="562"/>
      <c r="EOZ133" s="562"/>
      <c r="EPA133" s="562"/>
      <c r="EPB133" s="562"/>
      <c r="EPC133" s="562"/>
      <c r="EPD133" s="562"/>
      <c r="EPE133" s="562"/>
      <c r="EPF133" s="562"/>
      <c r="EPG133" s="562"/>
      <c r="EPH133" s="562"/>
      <c r="EPI133" s="562"/>
      <c r="EPJ133" s="562"/>
      <c r="EPK133" s="562"/>
      <c r="EPL133" s="562"/>
      <c r="EPM133" s="562"/>
      <c r="EPN133" s="562"/>
      <c r="EPO133" s="562"/>
      <c r="EPP133" s="562"/>
      <c r="EPQ133" s="562"/>
      <c r="EPR133" s="562"/>
      <c r="EPS133" s="562"/>
      <c r="EPT133" s="562"/>
      <c r="EPU133" s="562"/>
      <c r="EPV133" s="562"/>
      <c r="EPW133" s="562"/>
      <c r="EPX133" s="562"/>
      <c r="EPY133" s="562"/>
      <c r="EPZ133" s="562"/>
      <c r="EQA133" s="562"/>
      <c r="EQB133" s="562"/>
      <c r="EQC133" s="562"/>
      <c r="EQD133" s="562"/>
      <c r="EQE133" s="562"/>
      <c r="EQF133" s="562"/>
      <c r="EQG133" s="562"/>
      <c r="EQH133" s="562"/>
      <c r="EQI133" s="562"/>
      <c r="EQJ133" s="562"/>
      <c r="EQK133" s="562"/>
      <c r="EQL133" s="562"/>
      <c r="EQM133" s="562"/>
      <c r="EQN133" s="562"/>
      <c r="EQO133" s="562"/>
      <c r="EQP133" s="562"/>
      <c r="EQQ133" s="562"/>
      <c r="EQR133" s="562"/>
      <c r="EQS133" s="562"/>
      <c r="EQT133" s="562"/>
      <c r="EQU133" s="562"/>
      <c r="EQV133" s="562"/>
      <c r="EQW133" s="562"/>
      <c r="EQX133" s="562"/>
      <c r="EQY133" s="562"/>
      <c r="EQZ133" s="562"/>
      <c r="ERA133" s="562"/>
      <c r="ERB133" s="562"/>
      <c r="ERC133" s="562"/>
      <c r="ERD133" s="562"/>
      <c r="ERE133" s="562"/>
      <c r="ERF133" s="562"/>
      <c r="ERG133" s="562"/>
      <c r="ERH133" s="562"/>
      <c r="ERI133" s="562"/>
      <c r="ERJ133" s="562"/>
      <c r="ERK133" s="562"/>
      <c r="ERL133" s="562"/>
      <c r="ERM133" s="562"/>
      <c r="ERN133" s="562"/>
      <c r="ERO133" s="562"/>
      <c r="ERP133" s="562"/>
      <c r="ERQ133" s="562"/>
      <c r="ERR133" s="562"/>
      <c r="ERS133" s="562"/>
      <c r="ERT133" s="562"/>
      <c r="ERU133" s="562"/>
      <c r="ERV133" s="562"/>
      <c r="ERW133" s="562"/>
      <c r="ERX133" s="562"/>
      <c r="ERY133" s="562"/>
      <c r="ERZ133" s="562"/>
      <c r="ESA133" s="562"/>
      <c r="ESB133" s="562"/>
      <c r="ESC133" s="562"/>
      <c r="ESD133" s="562"/>
      <c r="ESE133" s="562"/>
      <c r="ESF133" s="562"/>
      <c r="ESG133" s="562"/>
      <c r="ESH133" s="562"/>
      <c r="ESI133" s="562"/>
      <c r="ESJ133" s="562"/>
      <c r="ESK133" s="562"/>
      <c r="ESL133" s="562"/>
      <c r="ESM133" s="562"/>
      <c r="ESN133" s="562"/>
      <c r="ESO133" s="562"/>
      <c r="ESP133" s="562"/>
      <c r="ESQ133" s="562"/>
      <c r="ESR133" s="562"/>
      <c r="ESS133" s="562"/>
      <c r="EST133" s="562"/>
      <c r="ESU133" s="562"/>
      <c r="ESV133" s="562"/>
      <c r="ESW133" s="562"/>
      <c r="ESX133" s="562"/>
      <c r="ESY133" s="562"/>
      <c r="ESZ133" s="562"/>
      <c r="ETA133" s="562"/>
      <c r="ETB133" s="562"/>
      <c r="ETC133" s="562"/>
      <c r="ETD133" s="562"/>
      <c r="ETE133" s="562"/>
      <c r="ETF133" s="562"/>
      <c r="ETG133" s="562"/>
      <c r="ETH133" s="562"/>
      <c r="ETI133" s="562"/>
      <c r="ETJ133" s="562"/>
      <c r="ETK133" s="562"/>
      <c r="ETL133" s="562"/>
      <c r="ETM133" s="562"/>
      <c r="ETN133" s="562"/>
      <c r="ETO133" s="562"/>
      <c r="ETP133" s="562"/>
      <c r="ETQ133" s="562"/>
      <c r="ETR133" s="562"/>
      <c r="ETS133" s="562"/>
      <c r="ETT133" s="562"/>
      <c r="ETU133" s="562"/>
      <c r="ETV133" s="562"/>
      <c r="ETW133" s="562"/>
      <c r="ETX133" s="562"/>
      <c r="ETY133" s="562"/>
      <c r="ETZ133" s="562"/>
      <c r="EUA133" s="562"/>
      <c r="EUB133" s="562"/>
      <c r="EUC133" s="562"/>
      <c r="EUD133" s="562"/>
      <c r="EUE133" s="562"/>
      <c r="EUF133" s="562"/>
      <c r="EUG133" s="562"/>
      <c r="EUH133" s="562"/>
      <c r="EUI133" s="562"/>
      <c r="EUJ133" s="562"/>
      <c r="EUK133" s="562"/>
      <c r="EUL133" s="562"/>
      <c r="EUM133" s="562"/>
      <c r="EUN133" s="562"/>
      <c r="EUO133" s="562"/>
      <c r="EUP133" s="562"/>
      <c r="EUQ133" s="562"/>
      <c r="EUR133" s="562"/>
      <c r="EUS133" s="562"/>
      <c r="EUT133" s="562"/>
      <c r="EUU133" s="562"/>
      <c r="EUV133" s="562"/>
      <c r="EUW133" s="562"/>
      <c r="EUX133" s="562"/>
      <c r="EUY133" s="562"/>
      <c r="EUZ133" s="562"/>
      <c r="EVA133" s="562"/>
      <c r="EVB133" s="562"/>
      <c r="EVC133" s="562"/>
      <c r="EVD133" s="562"/>
      <c r="EVE133" s="562"/>
      <c r="EVF133" s="562"/>
      <c r="EVG133" s="562"/>
      <c r="EVH133" s="562"/>
      <c r="EVI133" s="562"/>
      <c r="EVJ133" s="562"/>
      <c r="EVK133" s="562"/>
      <c r="EVL133" s="562"/>
      <c r="EVM133" s="562"/>
      <c r="EVN133" s="562"/>
      <c r="EVO133" s="562"/>
      <c r="EVP133" s="562"/>
      <c r="EVQ133" s="562"/>
      <c r="EVR133" s="562"/>
      <c r="EVS133" s="562"/>
      <c r="EVT133" s="562"/>
      <c r="EVU133" s="562"/>
      <c r="EVV133" s="562"/>
      <c r="EVW133" s="562"/>
      <c r="EVX133" s="562"/>
      <c r="EVY133" s="562"/>
      <c r="EVZ133" s="562"/>
      <c r="EWA133" s="562"/>
      <c r="EWB133" s="562"/>
      <c r="EWC133" s="562"/>
      <c r="EWD133" s="562"/>
      <c r="EWE133" s="562"/>
      <c r="EWF133" s="562"/>
      <c r="EWG133" s="562"/>
      <c r="EWH133" s="562"/>
      <c r="EWI133" s="562"/>
      <c r="EWJ133" s="562"/>
      <c r="EWK133" s="562"/>
      <c r="EWL133" s="562"/>
      <c r="EWM133" s="562"/>
      <c r="EWN133" s="562"/>
      <c r="EWO133" s="562"/>
      <c r="EWP133" s="562"/>
      <c r="EWQ133" s="562"/>
      <c r="EWR133" s="562"/>
      <c r="EWS133" s="562"/>
      <c r="EWT133" s="562"/>
      <c r="EWU133" s="562"/>
      <c r="EWV133" s="562"/>
      <c r="EWW133" s="562"/>
      <c r="EWX133" s="562"/>
      <c r="EWY133" s="562"/>
      <c r="EWZ133" s="562"/>
      <c r="EXA133" s="562"/>
      <c r="EXB133" s="562"/>
      <c r="EXC133" s="562"/>
      <c r="EXD133" s="562"/>
      <c r="EXE133" s="562"/>
      <c r="EXF133" s="562"/>
      <c r="EXG133" s="562"/>
      <c r="EXH133" s="562"/>
      <c r="EXI133" s="562"/>
      <c r="EXJ133" s="562"/>
      <c r="EXK133" s="562"/>
      <c r="EXL133" s="562"/>
      <c r="EXM133" s="562"/>
      <c r="EXN133" s="562"/>
      <c r="EXO133" s="562"/>
      <c r="EXP133" s="562"/>
      <c r="EXQ133" s="562"/>
      <c r="EXR133" s="562"/>
      <c r="EXS133" s="562"/>
      <c r="EXT133" s="562"/>
      <c r="EXU133" s="562"/>
      <c r="EXV133" s="562"/>
      <c r="EXW133" s="562"/>
      <c r="EXX133" s="562"/>
      <c r="EXY133" s="562"/>
      <c r="EXZ133" s="562"/>
      <c r="EYA133" s="562"/>
      <c r="EYB133" s="562"/>
      <c r="EYC133" s="562"/>
      <c r="EYD133" s="562"/>
      <c r="EYE133" s="562"/>
      <c r="EYF133" s="562"/>
      <c r="EYG133" s="562"/>
      <c r="EYH133" s="562"/>
      <c r="EYI133" s="562"/>
      <c r="EYJ133" s="562"/>
      <c r="EYK133" s="562"/>
      <c r="EYL133" s="562"/>
      <c r="EYM133" s="562"/>
      <c r="EYN133" s="562"/>
      <c r="EYO133" s="562"/>
      <c r="EYP133" s="562"/>
      <c r="EYQ133" s="562"/>
      <c r="EYR133" s="562"/>
      <c r="EYS133" s="562"/>
      <c r="EYT133" s="562"/>
      <c r="EYU133" s="562"/>
      <c r="EYV133" s="562"/>
      <c r="EYW133" s="562"/>
      <c r="EYX133" s="562"/>
      <c r="EYY133" s="562"/>
      <c r="EYZ133" s="562"/>
      <c r="EZA133" s="562"/>
      <c r="EZB133" s="562"/>
      <c r="EZC133" s="562"/>
      <c r="EZD133" s="562"/>
      <c r="EZE133" s="562"/>
      <c r="EZF133" s="562"/>
      <c r="EZG133" s="562"/>
      <c r="EZH133" s="562"/>
      <c r="EZI133" s="562"/>
      <c r="EZJ133" s="562"/>
      <c r="EZK133" s="562"/>
      <c r="EZL133" s="562"/>
      <c r="EZM133" s="562"/>
      <c r="EZN133" s="562"/>
      <c r="EZO133" s="562"/>
      <c r="EZP133" s="562"/>
      <c r="EZQ133" s="562"/>
      <c r="EZR133" s="562"/>
      <c r="EZS133" s="562"/>
      <c r="EZT133" s="562"/>
      <c r="EZU133" s="562"/>
      <c r="EZV133" s="562"/>
      <c r="EZW133" s="562"/>
      <c r="EZX133" s="562"/>
      <c r="EZY133" s="562"/>
      <c r="EZZ133" s="562"/>
      <c r="FAA133" s="562"/>
      <c r="FAB133" s="562"/>
      <c r="FAC133" s="562"/>
      <c r="FAD133" s="562"/>
      <c r="FAE133" s="562"/>
      <c r="FAF133" s="562"/>
      <c r="FAG133" s="562"/>
      <c r="FAH133" s="562"/>
      <c r="FAI133" s="562"/>
      <c r="FAJ133" s="562"/>
      <c r="FAK133" s="562"/>
      <c r="FAL133" s="562"/>
      <c r="FAM133" s="562"/>
      <c r="FAN133" s="562"/>
      <c r="FAO133" s="562"/>
      <c r="FAP133" s="562"/>
      <c r="FAQ133" s="562"/>
      <c r="FAR133" s="562"/>
      <c r="FAS133" s="562"/>
      <c r="FAT133" s="562"/>
      <c r="FAU133" s="562"/>
      <c r="FAV133" s="562"/>
      <c r="FAW133" s="562"/>
      <c r="FAX133" s="562"/>
      <c r="FAY133" s="562"/>
      <c r="FAZ133" s="562"/>
      <c r="FBA133" s="562"/>
      <c r="FBB133" s="562"/>
      <c r="FBC133" s="562"/>
      <c r="FBD133" s="562"/>
      <c r="FBE133" s="562"/>
      <c r="FBF133" s="562"/>
      <c r="FBG133" s="562"/>
      <c r="FBH133" s="562"/>
      <c r="FBI133" s="562"/>
      <c r="FBJ133" s="562"/>
      <c r="FBK133" s="562"/>
      <c r="FBL133" s="562"/>
      <c r="FBM133" s="562"/>
      <c r="FBN133" s="562"/>
      <c r="FBO133" s="562"/>
      <c r="FBP133" s="562"/>
      <c r="FBQ133" s="562"/>
      <c r="FBR133" s="562"/>
      <c r="FBS133" s="562"/>
      <c r="FBT133" s="562"/>
      <c r="FBU133" s="562"/>
      <c r="FBV133" s="562"/>
      <c r="FBW133" s="562"/>
      <c r="FBX133" s="562"/>
      <c r="FBY133" s="562"/>
      <c r="FBZ133" s="562"/>
      <c r="FCA133" s="562"/>
      <c r="FCB133" s="562"/>
      <c r="FCC133" s="562"/>
      <c r="FCD133" s="562"/>
      <c r="FCE133" s="562"/>
      <c r="FCF133" s="562"/>
      <c r="FCG133" s="562"/>
      <c r="FCH133" s="562"/>
      <c r="FCI133" s="562"/>
      <c r="FCJ133" s="562"/>
      <c r="FCK133" s="562"/>
      <c r="FCL133" s="562"/>
      <c r="FCM133" s="562"/>
      <c r="FCN133" s="562"/>
      <c r="FCO133" s="562"/>
      <c r="FCP133" s="562"/>
      <c r="FCQ133" s="562"/>
      <c r="FCR133" s="562"/>
      <c r="FCS133" s="562"/>
      <c r="FCT133" s="562"/>
      <c r="FCU133" s="562"/>
      <c r="FCV133" s="562"/>
      <c r="FCW133" s="562"/>
      <c r="FCX133" s="562"/>
      <c r="FCY133" s="562"/>
      <c r="FCZ133" s="562"/>
      <c r="FDA133" s="562"/>
      <c r="FDB133" s="562"/>
      <c r="FDC133" s="562"/>
      <c r="FDD133" s="562"/>
      <c r="FDE133" s="562"/>
      <c r="FDF133" s="562"/>
      <c r="FDG133" s="562"/>
      <c r="FDH133" s="562"/>
      <c r="FDI133" s="562"/>
      <c r="FDJ133" s="562"/>
      <c r="FDK133" s="562"/>
      <c r="FDL133" s="562"/>
      <c r="FDM133" s="562"/>
      <c r="FDN133" s="562"/>
      <c r="FDO133" s="562"/>
      <c r="FDP133" s="562"/>
      <c r="FDQ133" s="562"/>
      <c r="FDR133" s="562"/>
      <c r="FDS133" s="562"/>
      <c r="FDT133" s="562"/>
      <c r="FDU133" s="562"/>
      <c r="FDV133" s="562"/>
      <c r="FDW133" s="562"/>
      <c r="FDX133" s="562"/>
      <c r="FDY133" s="562"/>
      <c r="FDZ133" s="562"/>
      <c r="FEA133" s="562"/>
      <c r="FEB133" s="562"/>
      <c r="FEC133" s="562"/>
      <c r="FED133" s="562"/>
      <c r="FEE133" s="562"/>
      <c r="FEF133" s="562"/>
      <c r="FEG133" s="562"/>
      <c r="FEH133" s="562"/>
      <c r="FEI133" s="562"/>
      <c r="FEJ133" s="562"/>
      <c r="FEK133" s="562"/>
      <c r="FEL133" s="562"/>
      <c r="FEM133" s="562"/>
      <c r="FEN133" s="562"/>
      <c r="FEO133" s="562"/>
      <c r="FEP133" s="562"/>
      <c r="FEQ133" s="562"/>
      <c r="FER133" s="562"/>
      <c r="FES133" s="562"/>
      <c r="FET133" s="562"/>
      <c r="FEU133" s="562"/>
      <c r="FEV133" s="562"/>
      <c r="FEW133" s="562"/>
      <c r="FEX133" s="562"/>
      <c r="FEY133" s="562"/>
      <c r="FEZ133" s="562"/>
      <c r="FFA133" s="562"/>
      <c r="FFB133" s="562"/>
      <c r="FFC133" s="562"/>
      <c r="FFD133" s="562"/>
      <c r="FFE133" s="562"/>
      <c r="FFF133" s="562"/>
      <c r="FFG133" s="562"/>
      <c r="FFH133" s="562"/>
      <c r="FFI133" s="562"/>
      <c r="FFJ133" s="562"/>
      <c r="FFK133" s="562"/>
      <c r="FFL133" s="562"/>
      <c r="FFM133" s="562"/>
      <c r="FFN133" s="562"/>
      <c r="FFO133" s="562"/>
      <c r="FFP133" s="562"/>
      <c r="FFQ133" s="562"/>
      <c r="FFR133" s="562"/>
      <c r="FFS133" s="562"/>
      <c r="FFT133" s="562"/>
      <c r="FFU133" s="562"/>
      <c r="FFV133" s="562"/>
      <c r="FFW133" s="562"/>
      <c r="FFX133" s="562"/>
      <c r="FFY133" s="562"/>
      <c r="FFZ133" s="562"/>
      <c r="FGA133" s="562"/>
      <c r="FGB133" s="562"/>
      <c r="FGC133" s="562"/>
      <c r="FGD133" s="562"/>
      <c r="FGE133" s="562"/>
      <c r="FGF133" s="562"/>
      <c r="FGG133" s="562"/>
      <c r="FGH133" s="562"/>
      <c r="FGI133" s="562"/>
      <c r="FGJ133" s="562"/>
      <c r="FGK133" s="562"/>
      <c r="FGL133" s="562"/>
      <c r="FGM133" s="562"/>
      <c r="FGN133" s="562"/>
      <c r="FGO133" s="562"/>
      <c r="FGP133" s="562"/>
      <c r="FGQ133" s="562"/>
      <c r="FGR133" s="562"/>
      <c r="FGS133" s="562"/>
      <c r="FGT133" s="562"/>
      <c r="FGU133" s="562"/>
      <c r="FGV133" s="562"/>
      <c r="FGW133" s="562"/>
      <c r="FGX133" s="562"/>
      <c r="FGY133" s="562"/>
      <c r="FGZ133" s="562"/>
      <c r="FHA133" s="562"/>
      <c r="FHB133" s="562"/>
      <c r="FHC133" s="562"/>
      <c r="FHD133" s="562"/>
      <c r="FHE133" s="562"/>
      <c r="FHF133" s="562"/>
      <c r="FHG133" s="562"/>
      <c r="FHH133" s="562"/>
      <c r="FHI133" s="562"/>
      <c r="FHJ133" s="562"/>
      <c r="FHK133" s="562"/>
      <c r="FHL133" s="562"/>
      <c r="FHM133" s="562"/>
      <c r="FHN133" s="562"/>
      <c r="FHO133" s="562"/>
      <c r="FHP133" s="562"/>
      <c r="FHQ133" s="562"/>
      <c r="FHR133" s="562"/>
      <c r="FHS133" s="562"/>
      <c r="FHT133" s="562"/>
      <c r="FHU133" s="562"/>
      <c r="FHV133" s="562"/>
      <c r="FHW133" s="562"/>
      <c r="FHX133" s="562"/>
      <c r="FHY133" s="562"/>
      <c r="FHZ133" s="562"/>
      <c r="FIA133" s="562"/>
      <c r="FIB133" s="562"/>
      <c r="FIC133" s="562"/>
      <c r="FID133" s="562"/>
      <c r="FIE133" s="562"/>
      <c r="FIF133" s="562"/>
      <c r="FIG133" s="562"/>
      <c r="FIH133" s="562"/>
      <c r="FII133" s="562"/>
      <c r="FIJ133" s="562"/>
      <c r="FIK133" s="562"/>
      <c r="FIL133" s="562"/>
      <c r="FIM133" s="562"/>
      <c r="FIN133" s="562"/>
      <c r="FIO133" s="562"/>
      <c r="FIP133" s="562"/>
      <c r="FIQ133" s="562"/>
      <c r="FIR133" s="562"/>
      <c r="FIS133" s="562"/>
      <c r="FIT133" s="562"/>
      <c r="FIU133" s="562"/>
      <c r="FIV133" s="562"/>
      <c r="FIW133" s="562"/>
      <c r="FIX133" s="562"/>
      <c r="FIY133" s="562"/>
      <c r="FIZ133" s="562"/>
      <c r="FJA133" s="562"/>
      <c r="FJB133" s="562"/>
      <c r="FJC133" s="562"/>
      <c r="FJD133" s="562"/>
      <c r="FJE133" s="562"/>
      <c r="FJF133" s="562"/>
      <c r="FJG133" s="562"/>
      <c r="FJH133" s="562"/>
      <c r="FJI133" s="562"/>
      <c r="FJJ133" s="562"/>
      <c r="FJK133" s="562"/>
      <c r="FJL133" s="562"/>
      <c r="FJM133" s="562"/>
      <c r="FJN133" s="562"/>
      <c r="FJO133" s="562"/>
      <c r="FJP133" s="562"/>
      <c r="FJQ133" s="562"/>
      <c r="FJR133" s="562"/>
      <c r="FJS133" s="562"/>
      <c r="FJT133" s="562"/>
      <c r="FJU133" s="562"/>
      <c r="FJV133" s="562"/>
      <c r="FJW133" s="562"/>
      <c r="FJX133" s="562"/>
      <c r="FJY133" s="562"/>
      <c r="FJZ133" s="562"/>
      <c r="FKA133" s="562"/>
      <c r="FKB133" s="562"/>
      <c r="FKC133" s="562"/>
      <c r="FKD133" s="562"/>
      <c r="FKE133" s="562"/>
      <c r="FKF133" s="562"/>
      <c r="FKG133" s="562"/>
      <c r="FKH133" s="562"/>
      <c r="FKI133" s="562"/>
      <c r="FKJ133" s="562"/>
      <c r="FKK133" s="562"/>
      <c r="FKL133" s="562"/>
      <c r="FKM133" s="562"/>
      <c r="FKN133" s="562"/>
      <c r="FKO133" s="562"/>
      <c r="FKP133" s="562"/>
      <c r="FKQ133" s="562"/>
      <c r="FKR133" s="562"/>
      <c r="FKS133" s="562"/>
      <c r="FKT133" s="562"/>
      <c r="FKU133" s="562"/>
      <c r="FKV133" s="562"/>
      <c r="FKW133" s="562"/>
      <c r="FKX133" s="562"/>
      <c r="FKY133" s="562"/>
      <c r="FKZ133" s="562"/>
      <c r="FLA133" s="562"/>
      <c r="FLB133" s="562"/>
      <c r="FLC133" s="562"/>
      <c r="FLD133" s="562"/>
      <c r="FLE133" s="562"/>
      <c r="FLF133" s="562"/>
      <c r="FLG133" s="562"/>
      <c r="FLH133" s="562"/>
      <c r="FLI133" s="562"/>
      <c r="FLJ133" s="562"/>
      <c r="FLK133" s="562"/>
      <c r="FLL133" s="562"/>
      <c r="FLM133" s="562"/>
      <c r="FLN133" s="562"/>
      <c r="FLO133" s="562"/>
      <c r="FLP133" s="562"/>
      <c r="FLQ133" s="562"/>
      <c r="FLR133" s="562"/>
      <c r="FLS133" s="562"/>
      <c r="FLT133" s="562"/>
      <c r="FLU133" s="562"/>
      <c r="FLV133" s="562"/>
      <c r="FLW133" s="562"/>
      <c r="FLX133" s="562"/>
      <c r="FLY133" s="562"/>
      <c r="FLZ133" s="562"/>
      <c r="FMA133" s="562"/>
      <c r="FMB133" s="562"/>
      <c r="FMC133" s="562"/>
      <c r="FMD133" s="562"/>
      <c r="FME133" s="562"/>
      <c r="FMF133" s="562"/>
      <c r="FMG133" s="562"/>
      <c r="FMH133" s="562"/>
      <c r="FMI133" s="562"/>
      <c r="FMJ133" s="562"/>
      <c r="FMK133" s="562"/>
      <c r="FML133" s="562"/>
      <c r="FMM133" s="562"/>
      <c r="FMN133" s="562"/>
      <c r="FMO133" s="562"/>
      <c r="FMP133" s="562"/>
      <c r="FMQ133" s="562"/>
      <c r="FMR133" s="562"/>
      <c r="FMS133" s="562"/>
      <c r="FMT133" s="562"/>
      <c r="FMU133" s="562"/>
      <c r="FMV133" s="562"/>
      <c r="FMW133" s="562"/>
      <c r="FMX133" s="562"/>
      <c r="FMY133" s="562"/>
      <c r="FMZ133" s="562"/>
      <c r="FNA133" s="562"/>
      <c r="FNB133" s="562"/>
      <c r="FNC133" s="562"/>
      <c r="FND133" s="562"/>
      <c r="FNE133" s="562"/>
      <c r="FNF133" s="562"/>
      <c r="FNG133" s="562"/>
      <c r="FNH133" s="562"/>
      <c r="FNI133" s="562"/>
      <c r="FNJ133" s="562"/>
      <c r="FNK133" s="562"/>
      <c r="FNL133" s="562"/>
      <c r="FNM133" s="562"/>
      <c r="FNN133" s="562"/>
      <c r="FNO133" s="562"/>
      <c r="FNP133" s="562"/>
      <c r="FNQ133" s="562"/>
      <c r="FNR133" s="562"/>
      <c r="FNS133" s="562"/>
      <c r="FNT133" s="562"/>
      <c r="FNU133" s="562"/>
      <c r="FNV133" s="562"/>
      <c r="FNW133" s="562"/>
      <c r="FNX133" s="562"/>
      <c r="FNY133" s="562"/>
      <c r="FNZ133" s="562"/>
      <c r="FOA133" s="562"/>
      <c r="FOB133" s="562"/>
      <c r="FOC133" s="562"/>
      <c r="FOD133" s="562"/>
      <c r="FOE133" s="562"/>
      <c r="FOF133" s="562"/>
      <c r="FOG133" s="562"/>
      <c r="FOH133" s="562"/>
      <c r="FOI133" s="562"/>
      <c r="FOJ133" s="562"/>
      <c r="FOK133" s="562"/>
      <c r="FOL133" s="562"/>
      <c r="FOM133" s="562"/>
      <c r="FON133" s="562"/>
      <c r="FOO133" s="562"/>
      <c r="FOP133" s="562"/>
      <c r="FOQ133" s="562"/>
      <c r="FOR133" s="562"/>
      <c r="FOS133" s="562"/>
      <c r="FOT133" s="562"/>
      <c r="FOU133" s="562"/>
      <c r="FOV133" s="562"/>
      <c r="FOW133" s="562"/>
      <c r="FOX133" s="562"/>
      <c r="FOY133" s="562"/>
      <c r="FOZ133" s="562"/>
      <c r="FPA133" s="562"/>
      <c r="FPB133" s="562"/>
      <c r="FPC133" s="562"/>
      <c r="FPD133" s="562"/>
      <c r="FPE133" s="562"/>
      <c r="FPF133" s="562"/>
      <c r="FPG133" s="562"/>
      <c r="FPH133" s="562"/>
      <c r="FPI133" s="562"/>
      <c r="FPJ133" s="562"/>
      <c r="FPK133" s="562"/>
      <c r="FPL133" s="562"/>
      <c r="FPM133" s="562"/>
      <c r="FPN133" s="562"/>
      <c r="FPO133" s="562"/>
      <c r="FPP133" s="562"/>
      <c r="FPQ133" s="562"/>
      <c r="FPR133" s="562"/>
      <c r="FPS133" s="562"/>
      <c r="FPT133" s="562"/>
      <c r="FPU133" s="562"/>
      <c r="FPV133" s="562"/>
      <c r="FPW133" s="562"/>
      <c r="FPX133" s="562"/>
      <c r="FPY133" s="562"/>
      <c r="FPZ133" s="562"/>
      <c r="FQA133" s="562"/>
      <c r="FQB133" s="562"/>
      <c r="FQC133" s="562"/>
      <c r="FQD133" s="562"/>
      <c r="FQE133" s="562"/>
      <c r="FQF133" s="562"/>
      <c r="FQG133" s="562"/>
      <c r="FQH133" s="562"/>
      <c r="FQI133" s="562"/>
      <c r="FQJ133" s="562"/>
      <c r="FQK133" s="562"/>
      <c r="FQL133" s="562"/>
      <c r="FQM133" s="562"/>
      <c r="FQN133" s="562"/>
      <c r="FQO133" s="562"/>
      <c r="FQP133" s="562"/>
      <c r="FQQ133" s="562"/>
      <c r="FQR133" s="562"/>
      <c r="FQS133" s="562"/>
      <c r="FQT133" s="562"/>
      <c r="FQU133" s="562"/>
      <c r="FQV133" s="562"/>
      <c r="FQW133" s="562"/>
      <c r="FQX133" s="562"/>
      <c r="FQY133" s="562"/>
      <c r="FQZ133" s="562"/>
      <c r="FRA133" s="562"/>
      <c r="FRB133" s="562"/>
      <c r="FRC133" s="562"/>
      <c r="FRD133" s="562"/>
      <c r="FRE133" s="562"/>
      <c r="FRF133" s="562"/>
      <c r="FRG133" s="562"/>
      <c r="FRH133" s="562"/>
      <c r="FRI133" s="562"/>
      <c r="FRJ133" s="562"/>
      <c r="FRK133" s="562"/>
      <c r="FRL133" s="562"/>
      <c r="FRM133" s="562"/>
      <c r="FRN133" s="562"/>
      <c r="FRO133" s="562"/>
      <c r="FRP133" s="562"/>
      <c r="FRQ133" s="562"/>
      <c r="FRR133" s="562"/>
      <c r="FRS133" s="562"/>
      <c r="FRT133" s="562"/>
      <c r="FRU133" s="562"/>
      <c r="FRV133" s="562"/>
      <c r="FRW133" s="562"/>
      <c r="FRX133" s="562"/>
      <c r="FRY133" s="562"/>
      <c r="FRZ133" s="562"/>
      <c r="FSA133" s="562"/>
      <c r="FSB133" s="562"/>
      <c r="FSC133" s="562"/>
      <c r="FSD133" s="562"/>
      <c r="FSE133" s="562"/>
      <c r="FSF133" s="562"/>
      <c r="FSG133" s="562"/>
      <c r="FSH133" s="562"/>
      <c r="FSI133" s="562"/>
      <c r="FSJ133" s="562"/>
      <c r="FSK133" s="562"/>
      <c r="FSL133" s="562"/>
      <c r="FSM133" s="562"/>
      <c r="FSN133" s="562"/>
      <c r="FSO133" s="562"/>
      <c r="FSP133" s="562"/>
      <c r="FSQ133" s="562"/>
      <c r="FSR133" s="562"/>
      <c r="FSS133" s="562"/>
      <c r="FST133" s="562"/>
      <c r="FSU133" s="562"/>
      <c r="FSV133" s="562"/>
      <c r="FSW133" s="562"/>
      <c r="FSX133" s="562"/>
      <c r="FSY133" s="562"/>
      <c r="FSZ133" s="562"/>
      <c r="FTA133" s="562"/>
      <c r="FTB133" s="562"/>
      <c r="FTC133" s="562"/>
      <c r="FTD133" s="562"/>
      <c r="FTE133" s="562"/>
      <c r="FTF133" s="562"/>
      <c r="FTG133" s="562"/>
      <c r="FTH133" s="562"/>
      <c r="FTI133" s="562"/>
      <c r="FTJ133" s="562"/>
      <c r="FTK133" s="562"/>
      <c r="FTL133" s="562"/>
      <c r="FTM133" s="562"/>
      <c r="FTN133" s="562"/>
      <c r="FTO133" s="562"/>
      <c r="FTP133" s="562"/>
      <c r="FTQ133" s="562"/>
      <c r="FTR133" s="562"/>
      <c r="FTS133" s="562"/>
      <c r="FTT133" s="562"/>
      <c r="FTU133" s="562"/>
      <c r="FTV133" s="562"/>
      <c r="FTW133" s="562"/>
      <c r="FTX133" s="562"/>
      <c r="FTY133" s="562"/>
      <c r="FTZ133" s="562"/>
      <c r="FUA133" s="562"/>
      <c r="FUB133" s="562"/>
      <c r="FUC133" s="562"/>
      <c r="FUD133" s="562"/>
      <c r="FUE133" s="562"/>
      <c r="FUF133" s="562"/>
      <c r="FUG133" s="562"/>
      <c r="FUH133" s="562"/>
      <c r="FUI133" s="562"/>
      <c r="FUJ133" s="562"/>
      <c r="FUK133" s="562"/>
      <c r="FUL133" s="562"/>
      <c r="FUM133" s="562"/>
      <c r="FUN133" s="562"/>
      <c r="FUO133" s="562"/>
      <c r="FUP133" s="562"/>
      <c r="FUQ133" s="562"/>
      <c r="FUR133" s="562"/>
      <c r="FUS133" s="562"/>
      <c r="FUT133" s="562"/>
      <c r="FUU133" s="562"/>
      <c r="FUV133" s="562"/>
      <c r="FUW133" s="562"/>
      <c r="FUX133" s="562"/>
      <c r="FUY133" s="562"/>
      <c r="FUZ133" s="562"/>
      <c r="FVA133" s="562"/>
      <c r="FVB133" s="562"/>
      <c r="FVC133" s="562"/>
      <c r="FVD133" s="562"/>
      <c r="FVE133" s="562"/>
      <c r="FVF133" s="562"/>
      <c r="FVG133" s="562"/>
      <c r="FVH133" s="562"/>
      <c r="FVI133" s="562"/>
      <c r="FVJ133" s="562"/>
      <c r="FVK133" s="562"/>
      <c r="FVL133" s="562"/>
      <c r="FVM133" s="562"/>
      <c r="FVN133" s="562"/>
      <c r="FVO133" s="562"/>
      <c r="FVP133" s="562"/>
      <c r="FVQ133" s="562"/>
      <c r="FVR133" s="562"/>
      <c r="FVS133" s="562"/>
      <c r="FVT133" s="562"/>
      <c r="FVU133" s="562"/>
      <c r="FVV133" s="562"/>
      <c r="FVW133" s="562"/>
      <c r="FVX133" s="562"/>
      <c r="FVY133" s="562"/>
      <c r="FVZ133" s="562"/>
      <c r="FWA133" s="562"/>
      <c r="FWB133" s="562"/>
      <c r="FWC133" s="562"/>
      <c r="FWD133" s="562"/>
      <c r="FWE133" s="562"/>
      <c r="FWF133" s="562"/>
      <c r="FWG133" s="562"/>
      <c r="FWH133" s="562"/>
      <c r="FWI133" s="562"/>
      <c r="FWJ133" s="562"/>
      <c r="FWK133" s="562"/>
      <c r="FWL133" s="562"/>
      <c r="FWM133" s="562"/>
      <c r="FWN133" s="562"/>
      <c r="FWO133" s="562"/>
      <c r="FWP133" s="562"/>
      <c r="FWQ133" s="562"/>
      <c r="FWR133" s="562"/>
      <c r="FWS133" s="562"/>
      <c r="FWT133" s="562"/>
      <c r="FWU133" s="562"/>
      <c r="FWV133" s="562"/>
      <c r="FWW133" s="562"/>
      <c r="FWX133" s="562"/>
      <c r="FWY133" s="562"/>
      <c r="FWZ133" s="562"/>
      <c r="FXA133" s="562"/>
      <c r="FXB133" s="562"/>
      <c r="FXC133" s="562"/>
      <c r="FXD133" s="562"/>
      <c r="FXE133" s="562"/>
      <c r="FXF133" s="562"/>
      <c r="FXG133" s="562"/>
      <c r="FXH133" s="562"/>
      <c r="FXI133" s="562"/>
      <c r="FXJ133" s="562"/>
      <c r="FXK133" s="562"/>
      <c r="FXL133" s="562"/>
      <c r="FXM133" s="562"/>
      <c r="FXN133" s="562"/>
      <c r="FXO133" s="562"/>
      <c r="FXP133" s="562"/>
      <c r="FXQ133" s="562"/>
      <c r="FXR133" s="562"/>
      <c r="FXS133" s="562"/>
      <c r="FXT133" s="562"/>
      <c r="FXU133" s="562"/>
      <c r="FXV133" s="562"/>
      <c r="FXW133" s="562"/>
      <c r="FXX133" s="562"/>
      <c r="FXY133" s="562"/>
      <c r="FXZ133" s="562"/>
      <c r="FYA133" s="562"/>
      <c r="FYB133" s="562"/>
      <c r="FYC133" s="562"/>
      <c r="FYD133" s="562"/>
      <c r="FYE133" s="562"/>
      <c r="FYF133" s="562"/>
      <c r="FYG133" s="562"/>
      <c r="FYH133" s="562"/>
      <c r="FYI133" s="562"/>
      <c r="FYJ133" s="562"/>
      <c r="FYK133" s="562"/>
      <c r="FYL133" s="562"/>
      <c r="FYM133" s="562"/>
      <c r="FYN133" s="562"/>
      <c r="FYO133" s="562"/>
      <c r="FYP133" s="562"/>
      <c r="FYQ133" s="562"/>
      <c r="FYR133" s="562"/>
      <c r="FYS133" s="562"/>
      <c r="FYT133" s="562"/>
      <c r="FYU133" s="562"/>
      <c r="FYV133" s="562"/>
      <c r="FYW133" s="562"/>
      <c r="FYX133" s="562"/>
      <c r="FYY133" s="562"/>
      <c r="FYZ133" s="562"/>
      <c r="FZA133" s="562"/>
      <c r="FZB133" s="562"/>
      <c r="FZC133" s="562"/>
      <c r="FZD133" s="562"/>
      <c r="FZE133" s="562"/>
      <c r="FZF133" s="562"/>
      <c r="FZG133" s="562"/>
      <c r="FZH133" s="562"/>
      <c r="FZI133" s="562"/>
      <c r="FZJ133" s="562"/>
      <c r="FZK133" s="562"/>
      <c r="FZL133" s="562"/>
      <c r="FZM133" s="562"/>
      <c r="FZN133" s="562"/>
      <c r="FZO133" s="562"/>
      <c r="FZP133" s="562"/>
      <c r="FZQ133" s="562"/>
      <c r="FZR133" s="562"/>
      <c r="FZS133" s="562"/>
      <c r="FZT133" s="562"/>
      <c r="FZU133" s="562"/>
      <c r="FZV133" s="562"/>
      <c r="FZW133" s="562"/>
      <c r="FZX133" s="562"/>
      <c r="FZY133" s="562"/>
      <c r="FZZ133" s="562"/>
      <c r="GAA133" s="562"/>
      <c r="GAB133" s="562"/>
      <c r="GAC133" s="562"/>
      <c r="GAD133" s="562"/>
      <c r="GAE133" s="562"/>
      <c r="GAF133" s="562"/>
      <c r="GAG133" s="562"/>
      <c r="GAH133" s="562"/>
      <c r="GAI133" s="562"/>
      <c r="GAJ133" s="562"/>
      <c r="GAK133" s="562"/>
      <c r="GAL133" s="562"/>
      <c r="GAM133" s="562"/>
      <c r="GAN133" s="562"/>
      <c r="GAO133" s="562"/>
      <c r="GAP133" s="562"/>
      <c r="GAQ133" s="562"/>
      <c r="GAR133" s="562"/>
      <c r="GAS133" s="562"/>
      <c r="GAT133" s="562"/>
      <c r="GAU133" s="562"/>
      <c r="GAV133" s="562"/>
      <c r="GAW133" s="562"/>
      <c r="GAX133" s="562"/>
      <c r="GAY133" s="562"/>
      <c r="GAZ133" s="562"/>
      <c r="GBA133" s="562"/>
      <c r="GBB133" s="562"/>
      <c r="GBC133" s="562"/>
      <c r="GBD133" s="562"/>
      <c r="GBE133" s="562"/>
      <c r="GBF133" s="562"/>
      <c r="GBG133" s="562"/>
      <c r="GBH133" s="562"/>
      <c r="GBI133" s="562"/>
      <c r="GBJ133" s="562"/>
      <c r="GBK133" s="562"/>
      <c r="GBL133" s="562"/>
      <c r="GBM133" s="562"/>
      <c r="GBN133" s="562"/>
      <c r="GBO133" s="562"/>
      <c r="GBP133" s="562"/>
      <c r="GBQ133" s="562"/>
      <c r="GBR133" s="562"/>
      <c r="GBS133" s="562"/>
      <c r="GBT133" s="562"/>
      <c r="GBU133" s="562"/>
      <c r="GBV133" s="562"/>
      <c r="GBW133" s="562"/>
      <c r="GBX133" s="562"/>
      <c r="GBY133" s="562"/>
      <c r="GBZ133" s="562"/>
      <c r="GCA133" s="562"/>
      <c r="GCB133" s="562"/>
      <c r="GCC133" s="562"/>
      <c r="GCD133" s="562"/>
      <c r="GCE133" s="562"/>
      <c r="GCF133" s="562"/>
      <c r="GCG133" s="562"/>
      <c r="GCH133" s="562"/>
      <c r="GCI133" s="562"/>
      <c r="GCJ133" s="562"/>
      <c r="GCK133" s="562"/>
      <c r="GCL133" s="562"/>
      <c r="GCM133" s="562"/>
      <c r="GCN133" s="562"/>
      <c r="GCO133" s="562"/>
      <c r="GCP133" s="562"/>
      <c r="GCQ133" s="562"/>
      <c r="GCR133" s="562"/>
      <c r="GCS133" s="562"/>
      <c r="GCT133" s="562"/>
      <c r="GCU133" s="562"/>
      <c r="GCV133" s="562"/>
      <c r="GCW133" s="562"/>
      <c r="GCX133" s="562"/>
      <c r="GCY133" s="562"/>
      <c r="GCZ133" s="562"/>
      <c r="GDA133" s="562"/>
      <c r="GDB133" s="562"/>
      <c r="GDC133" s="562"/>
      <c r="GDD133" s="562"/>
      <c r="GDE133" s="562"/>
      <c r="GDF133" s="562"/>
      <c r="GDG133" s="562"/>
      <c r="GDH133" s="562"/>
      <c r="GDI133" s="562"/>
      <c r="GDJ133" s="562"/>
      <c r="GDK133" s="562"/>
      <c r="GDL133" s="562"/>
      <c r="GDM133" s="562"/>
      <c r="GDN133" s="562"/>
      <c r="GDO133" s="562"/>
      <c r="GDP133" s="562"/>
      <c r="GDQ133" s="562"/>
      <c r="GDR133" s="562"/>
      <c r="GDS133" s="562"/>
      <c r="GDT133" s="562"/>
      <c r="GDU133" s="562"/>
      <c r="GDV133" s="562"/>
      <c r="GDW133" s="562"/>
      <c r="GDX133" s="562"/>
      <c r="GDY133" s="562"/>
      <c r="GDZ133" s="562"/>
      <c r="GEA133" s="562"/>
      <c r="GEB133" s="562"/>
      <c r="GEC133" s="562"/>
      <c r="GED133" s="562"/>
      <c r="GEE133" s="562"/>
      <c r="GEF133" s="562"/>
      <c r="GEG133" s="562"/>
      <c r="GEH133" s="562"/>
      <c r="GEI133" s="562"/>
      <c r="GEJ133" s="562"/>
      <c r="GEK133" s="562"/>
      <c r="GEL133" s="562"/>
      <c r="GEM133" s="562"/>
      <c r="GEN133" s="562"/>
      <c r="GEO133" s="562"/>
      <c r="GEP133" s="562"/>
      <c r="GEQ133" s="562"/>
      <c r="GER133" s="562"/>
      <c r="GES133" s="562"/>
      <c r="GET133" s="562"/>
      <c r="GEU133" s="562"/>
      <c r="GEV133" s="562"/>
      <c r="GEW133" s="562"/>
      <c r="GEX133" s="562"/>
      <c r="GEY133" s="562"/>
      <c r="GEZ133" s="562"/>
      <c r="GFA133" s="562"/>
      <c r="GFB133" s="562"/>
      <c r="GFC133" s="562"/>
      <c r="GFD133" s="562"/>
      <c r="GFE133" s="562"/>
      <c r="GFF133" s="562"/>
      <c r="GFG133" s="562"/>
      <c r="GFH133" s="562"/>
      <c r="GFI133" s="562"/>
      <c r="GFJ133" s="562"/>
      <c r="GFK133" s="562"/>
      <c r="GFL133" s="562"/>
      <c r="GFM133" s="562"/>
      <c r="GFN133" s="562"/>
      <c r="GFO133" s="562"/>
      <c r="GFP133" s="562"/>
      <c r="GFQ133" s="562"/>
      <c r="GFR133" s="562"/>
      <c r="GFS133" s="562"/>
      <c r="GFT133" s="562"/>
      <c r="GFU133" s="562"/>
      <c r="GFV133" s="562"/>
      <c r="GFW133" s="562"/>
      <c r="GFX133" s="562"/>
      <c r="GFY133" s="562"/>
      <c r="GFZ133" s="562"/>
      <c r="GGA133" s="562"/>
      <c r="GGB133" s="562"/>
      <c r="GGC133" s="562"/>
      <c r="GGD133" s="562"/>
      <c r="GGE133" s="562"/>
      <c r="GGF133" s="562"/>
      <c r="GGG133" s="562"/>
      <c r="GGH133" s="562"/>
      <c r="GGI133" s="562"/>
      <c r="GGJ133" s="562"/>
      <c r="GGK133" s="562"/>
      <c r="GGL133" s="562"/>
      <c r="GGM133" s="562"/>
      <c r="GGN133" s="562"/>
      <c r="GGO133" s="562"/>
      <c r="GGP133" s="562"/>
      <c r="GGQ133" s="562"/>
      <c r="GGR133" s="562"/>
      <c r="GGS133" s="562"/>
      <c r="GGT133" s="562"/>
      <c r="GGU133" s="562"/>
      <c r="GGV133" s="562"/>
      <c r="GGW133" s="562"/>
      <c r="GGX133" s="562"/>
      <c r="GGY133" s="562"/>
      <c r="GGZ133" s="562"/>
      <c r="GHA133" s="562"/>
      <c r="GHB133" s="562"/>
      <c r="GHC133" s="562"/>
      <c r="GHD133" s="562"/>
      <c r="GHE133" s="562"/>
      <c r="GHF133" s="562"/>
      <c r="GHG133" s="562"/>
      <c r="GHH133" s="562"/>
      <c r="GHI133" s="562"/>
      <c r="GHJ133" s="562"/>
      <c r="GHK133" s="562"/>
      <c r="GHL133" s="562"/>
      <c r="GHM133" s="562"/>
      <c r="GHN133" s="562"/>
      <c r="GHO133" s="562"/>
      <c r="GHP133" s="562"/>
      <c r="GHQ133" s="562"/>
      <c r="GHR133" s="562"/>
      <c r="GHS133" s="562"/>
      <c r="GHT133" s="562"/>
      <c r="GHU133" s="562"/>
      <c r="GHV133" s="562"/>
      <c r="GHW133" s="562"/>
      <c r="GHX133" s="562"/>
      <c r="GHY133" s="562"/>
      <c r="GHZ133" s="562"/>
      <c r="GIA133" s="562"/>
      <c r="GIB133" s="562"/>
      <c r="GIC133" s="562"/>
      <c r="GID133" s="562"/>
      <c r="GIE133" s="562"/>
      <c r="GIF133" s="562"/>
      <c r="GIG133" s="562"/>
      <c r="GIH133" s="562"/>
      <c r="GII133" s="562"/>
      <c r="GIJ133" s="562"/>
      <c r="GIK133" s="562"/>
      <c r="GIL133" s="562"/>
      <c r="GIM133" s="562"/>
      <c r="GIN133" s="562"/>
      <c r="GIO133" s="562"/>
      <c r="GIP133" s="562"/>
      <c r="GIQ133" s="562"/>
      <c r="GIR133" s="562"/>
      <c r="GIS133" s="562"/>
      <c r="GIT133" s="562"/>
      <c r="GIU133" s="562"/>
      <c r="GIV133" s="562"/>
      <c r="GIW133" s="562"/>
      <c r="GIX133" s="562"/>
      <c r="GIY133" s="562"/>
      <c r="GIZ133" s="562"/>
      <c r="GJA133" s="562"/>
      <c r="GJB133" s="562"/>
      <c r="GJC133" s="562"/>
      <c r="GJD133" s="562"/>
      <c r="GJE133" s="562"/>
      <c r="GJF133" s="562"/>
      <c r="GJG133" s="562"/>
      <c r="GJH133" s="562"/>
      <c r="GJI133" s="562"/>
      <c r="GJJ133" s="562"/>
      <c r="GJK133" s="562"/>
      <c r="GJL133" s="562"/>
      <c r="GJM133" s="562"/>
      <c r="GJN133" s="562"/>
      <c r="GJO133" s="562"/>
      <c r="GJP133" s="562"/>
      <c r="GJQ133" s="562"/>
      <c r="GJR133" s="562"/>
      <c r="GJS133" s="562"/>
      <c r="GJT133" s="562"/>
      <c r="GJU133" s="562"/>
      <c r="GJV133" s="562"/>
      <c r="GJW133" s="562"/>
      <c r="GJX133" s="562"/>
      <c r="GJY133" s="562"/>
      <c r="GJZ133" s="562"/>
      <c r="GKA133" s="562"/>
      <c r="GKB133" s="562"/>
      <c r="GKC133" s="562"/>
      <c r="GKD133" s="562"/>
      <c r="GKE133" s="562"/>
      <c r="GKF133" s="562"/>
      <c r="GKG133" s="562"/>
      <c r="GKH133" s="562"/>
      <c r="GKI133" s="562"/>
      <c r="GKJ133" s="562"/>
      <c r="GKK133" s="562"/>
      <c r="GKL133" s="562"/>
      <c r="GKM133" s="562"/>
      <c r="GKN133" s="562"/>
      <c r="GKO133" s="562"/>
      <c r="GKP133" s="562"/>
      <c r="GKQ133" s="562"/>
      <c r="GKR133" s="562"/>
      <c r="GKS133" s="562"/>
      <c r="GKT133" s="562"/>
      <c r="GKU133" s="562"/>
      <c r="GKV133" s="562"/>
      <c r="GKW133" s="562"/>
      <c r="GKX133" s="562"/>
      <c r="GKY133" s="562"/>
      <c r="GKZ133" s="562"/>
      <c r="GLA133" s="562"/>
      <c r="GLB133" s="562"/>
      <c r="GLC133" s="562"/>
      <c r="GLD133" s="562"/>
      <c r="GLE133" s="562"/>
      <c r="GLF133" s="562"/>
      <c r="GLG133" s="562"/>
      <c r="GLH133" s="562"/>
      <c r="GLI133" s="562"/>
      <c r="GLJ133" s="562"/>
      <c r="GLK133" s="562"/>
      <c r="GLL133" s="562"/>
      <c r="GLM133" s="562"/>
      <c r="GLN133" s="562"/>
      <c r="GLO133" s="562"/>
      <c r="GLP133" s="562"/>
      <c r="GLQ133" s="562"/>
      <c r="GLR133" s="562"/>
      <c r="GLS133" s="562"/>
      <c r="GLT133" s="562"/>
      <c r="GLU133" s="562"/>
      <c r="GLV133" s="562"/>
      <c r="GLW133" s="562"/>
      <c r="GLX133" s="562"/>
      <c r="GLY133" s="562"/>
      <c r="GLZ133" s="562"/>
      <c r="GMA133" s="562"/>
      <c r="GMB133" s="562"/>
      <c r="GMC133" s="562"/>
      <c r="GMD133" s="562"/>
      <c r="GME133" s="562"/>
      <c r="GMF133" s="562"/>
      <c r="GMG133" s="562"/>
      <c r="GMH133" s="562"/>
      <c r="GMI133" s="562"/>
      <c r="GMJ133" s="562"/>
      <c r="GMK133" s="562"/>
      <c r="GML133" s="562"/>
      <c r="GMM133" s="562"/>
      <c r="GMN133" s="562"/>
      <c r="GMO133" s="562"/>
      <c r="GMP133" s="562"/>
      <c r="GMQ133" s="562"/>
      <c r="GMR133" s="562"/>
      <c r="GMS133" s="562"/>
      <c r="GMT133" s="562"/>
      <c r="GMU133" s="562"/>
      <c r="GMV133" s="562"/>
      <c r="GMW133" s="562"/>
      <c r="GMX133" s="562"/>
      <c r="GMY133" s="562"/>
      <c r="GMZ133" s="562"/>
      <c r="GNA133" s="562"/>
      <c r="GNB133" s="562"/>
      <c r="GNC133" s="562"/>
      <c r="GND133" s="562"/>
      <c r="GNE133" s="562"/>
      <c r="GNF133" s="562"/>
      <c r="GNG133" s="562"/>
      <c r="GNH133" s="562"/>
      <c r="GNI133" s="562"/>
      <c r="GNJ133" s="562"/>
      <c r="GNK133" s="562"/>
      <c r="GNL133" s="562"/>
      <c r="GNM133" s="562"/>
      <c r="GNN133" s="562"/>
      <c r="GNO133" s="562"/>
      <c r="GNP133" s="562"/>
      <c r="GNQ133" s="562"/>
      <c r="GNR133" s="562"/>
      <c r="GNS133" s="562"/>
      <c r="GNT133" s="562"/>
      <c r="GNU133" s="562"/>
      <c r="GNV133" s="562"/>
      <c r="GNW133" s="562"/>
      <c r="GNX133" s="562"/>
      <c r="GNY133" s="562"/>
      <c r="GNZ133" s="562"/>
      <c r="GOA133" s="562"/>
      <c r="GOB133" s="562"/>
      <c r="GOC133" s="562"/>
      <c r="GOD133" s="562"/>
      <c r="GOE133" s="562"/>
      <c r="GOF133" s="562"/>
      <c r="GOG133" s="562"/>
      <c r="GOH133" s="562"/>
      <c r="GOI133" s="562"/>
      <c r="GOJ133" s="562"/>
      <c r="GOK133" s="562"/>
      <c r="GOL133" s="562"/>
      <c r="GOM133" s="562"/>
      <c r="GON133" s="562"/>
      <c r="GOO133" s="562"/>
      <c r="GOP133" s="562"/>
      <c r="GOQ133" s="562"/>
      <c r="GOR133" s="562"/>
      <c r="GOS133" s="562"/>
      <c r="GOT133" s="562"/>
      <c r="GOU133" s="562"/>
      <c r="GOV133" s="562"/>
      <c r="GOW133" s="562"/>
      <c r="GOX133" s="562"/>
      <c r="GOY133" s="562"/>
      <c r="GOZ133" s="562"/>
      <c r="GPA133" s="562"/>
      <c r="GPB133" s="562"/>
      <c r="GPC133" s="562"/>
      <c r="GPD133" s="562"/>
      <c r="GPE133" s="562"/>
      <c r="GPF133" s="562"/>
      <c r="GPG133" s="562"/>
      <c r="GPH133" s="562"/>
      <c r="GPI133" s="562"/>
      <c r="GPJ133" s="562"/>
      <c r="GPK133" s="562"/>
      <c r="GPL133" s="562"/>
      <c r="GPM133" s="562"/>
      <c r="GPN133" s="562"/>
      <c r="GPO133" s="562"/>
      <c r="GPP133" s="562"/>
      <c r="GPQ133" s="562"/>
      <c r="GPR133" s="562"/>
      <c r="GPS133" s="562"/>
      <c r="GPT133" s="562"/>
      <c r="GPU133" s="562"/>
      <c r="GPV133" s="562"/>
      <c r="GPW133" s="562"/>
      <c r="GPX133" s="562"/>
      <c r="GPY133" s="562"/>
      <c r="GPZ133" s="562"/>
      <c r="GQA133" s="562"/>
      <c r="GQB133" s="562"/>
      <c r="GQC133" s="562"/>
      <c r="GQD133" s="562"/>
      <c r="GQE133" s="562"/>
      <c r="GQF133" s="562"/>
      <c r="GQG133" s="562"/>
      <c r="GQH133" s="562"/>
      <c r="GQI133" s="562"/>
      <c r="GQJ133" s="562"/>
      <c r="GQK133" s="562"/>
      <c r="GQL133" s="562"/>
      <c r="GQM133" s="562"/>
      <c r="GQN133" s="562"/>
      <c r="GQO133" s="562"/>
      <c r="GQP133" s="562"/>
      <c r="GQQ133" s="562"/>
      <c r="GQR133" s="562"/>
      <c r="GQS133" s="562"/>
      <c r="GQT133" s="562"/>
      <c r="GQU133" s="562"/>
      <c r="GQV133" s="562"/>
      <c r="GQW133" s="562"/>
      <c r="GQX133" s="562"/>
      <c r="GQY133" s="562"/>
      <c r="GQZ133" s="562"/>
      <c r="GRA133" s="562"/>
      <c r="GRB133" s="562"/>
      <c r="GRC133" s="562"/>
      <c r="GRD133" s="562"/>
      <c r="GRE133" s="562"/>
      <c r="GRF133" s="562"/>
      <c r="GRG133" s="562"/>
      <c r="GRH133" s="562"/>
      <c r="GRI133" s="562"/>
      <c r="GRJ133" s="562"/>
      <c r="GRK133" s="562"/>
      <c r="GRL133" s="562"/>
      <c r="GRM133" s="562"/>
      <c r="GRN133" s="562"/>
      <c r="GRO133" s="562"/>
      <c r="GRP133" s="562"/>
      <c r="GRQ133" s="562"/>
      <c r="GRR133" s="562"/>
      <c r="GRS133" s="562"/>
      <c r="GRT133" s="562"/>
      <c r="GRU133" s="562"/>
      <c r="GRV133" s="562"/>
      <c r="GRW133" s="562"/>
      <c r="GRX133" s="562"/>
      <c r="GRY133" s="562"/>
      <c r="GRZ133" s="562"/>
      <c r="GSA133" s="562"/>
      <c r="GSB133" s="562"/>
      <c r="GSC133" s="562"/>
      <c r="GSD133" s="562"/>
      <c r="GSE133" s="562"/>
      <c r="GSF133" s="562"/>
      <c r="GSG133" s="562"/>
      <c r="GSH133" s="562"/>
      <c r="GSI133" s="562"/>
      <c r="GSJ133" s="562"/>
      <c r="GSK133" s="562"/>
      <c r="GSL133" s="562"/>
      <c r="GSM133" s="562"/>
      <c r="GSN133" s="562"/>
      <c r="GSO133" s="562"/>
      <c r="GSP133" s="562"/>
      <c r="GSQ133" s="562"/>
      <c r="GSR133" s="562"/>
      <c r="GSS133" s="562"/>
      <c r="GST133" s="562"/>
      <c r="GSU133" s="562"/>
      <c r="GSV133" s="562"/>
      <c r="GSW133" s="562"/>
      <c r="GSX133" s="562"/>
      <c r="GSY133" s="562"/>
      <c r="GSZ133" s="562"/>
      <c r="GTA133" s="562"/>
      <c r="GTB133" s="562"/>
      <c r="GTC133" s="562"/>
      <c r="GTD133" s="562"/>
      <c r="GTE133" s="562"/>
      <c r="GTF133" s="562"/>
      <c r="GTG133" s="562"/>
      <c r="GTH133" s="562"/>
      <c r="GTI133" s="562"/>
      <c r="GTJ133" s="562"/>
      <c r="GTK133" s="562"/>
      <c r="GTL133" s="562"/>
      <c r="GTM133" s="562"/>
      <c r="GTN133" s="562"/>
      <c r="GTO133" s="562"/>
      <c r="GTP133" s="562"/>
      <c r="GTQ133" s="562"/>
      <c r="GTR133" s="562"/>
      <c r="GTS133" s="562"/>
      <c r="GTT133" s="562"/>
      <c r="GTU133" s="562"/>
      <c r="GTV133" s="562"/>
      <c r="GTW133" s="562"/>
      <c r="GTX133" s="562"/>
      <c r="GTY133" s="562"/>
      <c r="GTZ133" s="562"/>
      <c r="GUA133" s="562"/>
      <c r="GUB133" s="562"/>
      <c r="GUC133" s="562"/>
      <c r="GUD133" s="562"/>
      <c r="GUE133" s="562"/>
      <c r="GUF133" s="562"/>
      <c r="GUG133" s="562"/>
      <c r="GUH133" s="562"/>
      <c r="GUI133" s="562"/>
      <c r="GUJ133" s="562"/>
      <c r="GUK133" s="562"/>
      <c r="GUL133" s="562"/>
      <c r="GUM133" s="562"/>
      <c r="GUN133" s="562"/>
      <c r="GUO133" s="562"/>
      <c r="GUP133" s="562"/>
      <c r="GUQ133" s="562"/>
      <c r="GUR133" s="562"/>
      <c r="GUS133" s="562"/>
      <c r="GUT133" s="562"/>
      <c r="GUU133" s="562"/>
      <c r="GUV133" s="562"/>
      <c r="GUW133" s="562"/>
      <c r="GUX133" s="562"/>
      <c r="GUY133" s="562"/>
      <c r="GUZ133" s="562"/>
      <c r="GVA133" s="562"/>
      <c r="GVB133" s="562"/>
      <c r="GVC133" s="562"/>
      <c r="GVD133" s="562"/>
      <c r="GVE133" s="562"/>
      <c r="GVF133" s="562"/>
      <c r="GVG133" s="562"/>
      <c r="GVH133" s="562"/>
      <c r="GVI133" s="562"/>
      <c r="GVJ133" s="562"/>
      <c r="GVK133" s="562"/>
      <c r="GVL133" s="562"/>
      <c r="GVM133" s="562"/>
      <c r="GVN133" s="562"/>
      <c r="GVO133" s="562"/>
      <c r="GVP133" s="562"/>
      <c r="GVQ133" s="562"/>
      <c r="GVR133" s="562"/>
      <c r="GVS133" s="562"/>
      <c r="GVT133" s="562"/>
      <c r="GVU133" s="562"/>
      <c r="GVV133" s="562"/>
      <c r="GVW133" s="562"/>
      <c r="GVX133" s="562"/>
      <c r="GVY133" s="562"/>
      <c r="GVZ133" s="562"/>
      <c r="GWA133" s="562"/>
      <c r="GWB133" s="562"/>
      <c r="GWC133" s="562"/>
      <c r="GWD133" s="562"/>
      <c r="GWE133" s="562"/>
      <c r="GWF133" s="562"/>
      <c r="GWG133" s="562"/>
      <c r="GWH133" s="562"/>
      <c r="GWI133" s="562"/>
      <c r="GWJ133" s="562"/>
      <c r="GWK133" s="562"/>
      <c r="GWL133" s="562"/>
      <c r="GWM133" s="562"/>
      <c r="GWN133" s="562"/>
      <c r="GWO133" s="562"/>
      <c r="GWP133" s="562"/>
      <c r="GWQ133" s="562"/>
      <c r="GWR133" s="562"/>
      <c r="GWS133" s="562"/>
      <c r="GWT133" s="562"/>
      <c r="GWU133" s="562"/>
      <c r="GWV133" s="562"/>
      <c r="GWW133" s="562"/>
      <c r="GWX133" s="562"/>
      <c r="GWY133" s="562"/>
      <c r="GWZ133" s="562"/>
      <c r="GXA133" s="562"/>
      <c r="GXB133" s="562"/>
      <c r="GXC133" s="562"/>
      <c r="GXD133" s="562"/>
      <c r="GXE133" s="562"/>
      <c r="GXF133" s="562"/>
      <c r="GXG133" s="562"/>
      <c r="GXH133" s="562"/>
      <c r="GXI133" s="562"/>
      <c r="GXJ133" s="562"/>
      <c r="GXK133" s="562"/>
      <c r="GXL133" s="562"/>
      <c r="GXM133" s="562"/>
      <c r="GXN133" s="562"/>
      <c r="GXO133" s="562"/>
      <c r="GXP133" s="562"/>
      <c r="GXQ133" s="562"/>
      <c r="GXR133" s="562"/>
      <c r="GXS133" s="562"/>
      <c r="GXT133" s="562"/>
      <c r="GXU133" s="562"/>
      <c r="GXV133" s="562"/>
      <c r="GXW133" s="562"/>
      <c r="GXX133" s="562"/>
      <c r="GXY133" s="562"/>
      <c r="GXZ133" s="562"/>
      <c r="GYA133" s="562"/>
      <c r="GYB133" s="562"/>
      <c r="GYC133" s="562"/>
      <c r="GYD133" s="562"/>
      <c r="GYE133" s="562"/>
      <c r="GYF133" s="562"/>
      <c r="GYG133" s="562"/>
      <c r="GYH133" s="562"/>
      <c r="GYI133" s="562"/>
      <c r="GYJ133" s="562"/>
      <c r="GYK133" s="562"/>
      <c r="GYL133" s="562"/>
      <c r="GYM133" s="562"/>
      <c r="GYN133" s="562"/>
      <c r="GYO133" s="562"/>
      <c r="GYP133" s="562"/>
      <c r="GYQ133" s="562"/>
      <c r="GYR133" s="562"/>
      <c r="GYS133" s="562"/>
      <c r="GYT133" s="562"/>
      <c r="GYU133" s="562"/>
      <c r="GYV133" s="562"/>
      <c r="GYW133" s="562"/>
      <c r="GYX133" s="562"/>
      <c r="GYY133" s="562"/>
      <c r="GYZ133" s="562"/>
      <c r="GZA133" s="562"/>
      <c r="GZB133" s="562"/>
      <c r="GZC133" s="562"/>
      <c r="GZD133" s="562"/>
      <c r="GZE133" s="562"/>
      <c r="GZF133" s="562"/>
      <c r="GZG133" s="562"/>
      <c r="GZH133" s="562"/>
      <c r="GZI133" s="562"/>
      <c r="GZJ133" s="562"/>
      <c r="GZK133" s="562"/>
      <c r="GZL133" s="562"/>
      <c r="GZM133" s="562"/>
      <c r="GZN133" s="562"/>
      <c r="GZO133" s="562"/>
      <c r="GZP133" s="562"/>
      <c r="GZQ133" s="562"/>
      <c r="GZR133" s="562"/>
      <c r="GZS133" s="562"/>
      <c r="GZT133" s="562"/>
      <c r="GZU133" s="562"/>
      <c r="GZV133" s="562"/>
      <c r="GZW133" s="562"/>
      <c r="GZX133" s="562"/>
      <c r="GZY133" s="562"/>
      <c r="GZZ133" s="562"/>
      <c r="HAA133" s="562"/>
      <c r="HAB133" s="562"/>
      <c r="HAC133" s="562"/>
      <c r="HAD133" s="562"/>
      <c r="HAE133" s="562"/>
      <c r="HAF133" s="562"/>
      <c r="HAG133" s="562"/>
      <c r="HAH133" s="562"/>
      <c r="HAI133" s="562"/>
      <c r="HAJ133" s="562"/>
      <c r="HAK133" s="562"/>
      <c r="HAL133" s="562"/>
      <c r="HAM133" s="562"/>
      <c r="HAN133" s="562"/>
      <c r="HAO133" s="562"/>
      <c r="HAP133" s="562"/>
      <c r="HAQ133" s="562"/>
      <c r="HAR133" s="562"/>
      <c r="HAS133" s="562"/>
      <c r="HAT133" s="562"/>
      <c r="HAU133" s="562"/>
      <c r="HAV133" s="562"/>
      <c r="HAW133" s="562"/>
      <c r="HAX133" s="562"/>
      <c r="HAY133" s="562"/>
      <c r="HAZ133" s="562"/>
      <c r="HBA133" s="562"/>
      <c r="HBB133" s="562"/>
      <c r="HBC133" s="562"/>
      <c r="HBD133" s="562"/>
      <c r="HBE133" s="562"/>
      <c r="HBF133" s="562"/>
      <c r="HBG133" s="562"/>
      <c r="HBH133" s="562"/>
      <c r="HBI133" s="562"/>
      <c r="HBJ133" s="562"/>
      <c r="HBK133" s="562"/>
      <c r="HBL133" s="562"/>
      <c r="HBM133" s="562"/>
      <c r="HBN133" s="562"/>
      <c r="HBO133" s="562"/>
      <c r="HBP133" s="562"/>
      <c r="HBQ133" s="562"/>
      <c r="HBR133" s="562"/>
      <c r="HBS133" s="562"/>
      <c r="HBT133" s="562"/>
      <c r="HBU133" s="562"/>
      <c r="HBV133" s="562"/>
      <c r="HBW133" s="562"/>
      <c r="HBX133" s="562"/>
      <c r="HBY133" s="562"/>
      <c r="HBZ133" s="562"/>
      <c r="HCA133" s="562"/>
      <c r="HCB133" s="562"/>
      <c r="HCC133" s="562"/>
      <c r="HCD133" s="562"/>
      <c r="HCE133" s="562"/>
      <c r="HCF133" s="562"/>
      <c r="HCG133" s="562"/>
      <c r="HCH133" s="562"/>
      <c r="HCI133" s="562"/>
      <c r="HCJ133" s="562"/>
      <c r="HCK133" s="562"/>
      <c r="HCL133" s="562"/>
      <c r="HCM133" s="562"/>
      <c r="HCN133" s="562"/>
      <c r="HCO133" s="562"/>
      <c r="HCP133" s="562"/>
      <c r="HCQ133" s="562"/>
      <c r="HCR133" s="562"/>
      <c r="HCS133" s="562"/>
      <c r="HCT133" s="562"/>
      <c r="HCU133" s="562"/>
      <c r="HCV133" s="562"/>
      <c r="HCW133" s="562"/>
      <c r="HCX133" s="562"/>
      <c r="HCY133" s="562"/>
      <c r="HCZ133" s="562"/>
      <c r="HDA133" s="562"/>
      <c r="HDB133" s="562"/>
      <c r="HDC133" s="562"/>
      <c r="HDD133" s="562"/>
      <c r="HDE133" s="562"/>
      <c r="HDF133" s="562"/>
      <c r="HDG133" s="562"/>
      <c r="HDH133" s="562"/>
      <c r="HDI133" s="562"/>
      <c r="HDJ133" s="562"/>
      <c r="HDK133" s="562"/>
      <c r="HDL133" s="562"/>
      <c r="HDM133" s="562"/>
      <c r="HDN133" s="562"/>
      <c r="HDO133" s="562"/>
      <c r="HDP133" s="562"/>
      <c r="HDQ133" s="562"/>
      <c r="HDR133" s="562"/>
      <c r="HDS133" s="562"/>
      <c r="HDT133" s="562"/>
      <c r="HDU133" s="562"/>
      <c r="HDV133" s="562"/>
      <c r="HDW133" s="562"/>
      <c r="HDX133" s="562"/>
      <c r="HDY133" s="562"/>
      <c r="HDZ133" s="562"/>
      <c r="HEA133" s="562"/>
      <c r="HEB133" s="562"/>
      <c r="HEC133" s="562"/>
      <c r="HED133" s="562"/>
      <c r="HEE133" s="562"/>
      <c r="HEF133" s="562"/>
      <c r="HEG133" s="562"/>
      <c r="HEH133" s="562"/>
      <c r="HEI133" s="562"/>
      <c r="HEJ133" s="562"/>
      <c r="HEK133" s="562"/>
      <c r="HEL133" s="562"/>
      <c r="HEM133" s="562"/>
      <c r="HEN133" s="562"/>
      <c r="HEO133" s="562"/>
      <c r="HEP133" s="562"/>
      <c r="HEQ133" s="562"/>
      <c r="HER133" s="562"/>
      <c r="HES133" s="562"/>
      <c r="HET133" s="562"/>
      <c r="HEU133" s="562"/>
      <c r="HEV133" s="562"/>
      <c r="HEW133" s="562"/>
      <c r="HEX133" s="562"/>
      <c r="HEY133" s="562"/>
      <c r="HEZ133" s="562"/>
      <c r="HFA133" s="562"/>
      <c r="HFB133" s="562"/>
      <c r="HFC133" s="562"/>
      <c r="HFD133" s="562"/>
      <c r="HFE133" s="562"/>
      <c r="HFF133" s="562"/>
      <c r="HFG133" s="562"/>
      <c r="HFH133" s="562"/>
      <c r="HFI133" s="562"/>
      <c r="HFJ133" s="562"/>
      <c r="HFK133" s="562"/>
      <c r="HFL133" s="562"/>
      <c r="HFM133" s="562"/>
      <c r="HFN133" s="562"/>
      <c r="HFO133" s="562"/>
      <c r="HFP133" s="562"/>
      <c r="HFQ133" s="562"/>
      <c r="HFR133" s="562"/>
      <c r="HFS133" s="562"/>
      <c r="HFT133" s="562"/>
      <c r="HFU133" s="562"/>
      <c r="HFV133" s="562"/>
      <c r="HFW133" s="562"/>
      <c r="HFX133" s="562"/>
      <c r="HFY133" s="562"/>
      <c r="HFZ133" s="562"/>
      <c r="HGA133" s="562"/>
      <c r="HGB133" s="562"/>
      <c r="HGC133" s="562"/>
      <c r="HGD133" s="562"/>
      <c r="HGE133" s="562"/>
      <c r="HGF133" s="562"/>
      <c r="HGG133" s="562"/>
      <c r="HGH133" s="562"/>
      <c r="HGI133" s="562"/>
      <c r="HGJ133" s="562"/>
      <c r="HGK133" s="562"/>
      <c r="HGL133" s="562"/>
      <c r="HGM133" s="562"/>
      <c r="HGN133" s="562"/>
      <c r="HGO133" s="562"/>
      <c r="HGP133" s="562"/>
      <c r="HGQ133" s="562"/>
      <c r="HGR133" s="562"/>
      <c r="HGS133" s="562"/>
      <c r="HGT133" s="562"/>
      <c r="HGU133" s="562"/>
      <c r="HGV133" s="562"/>
      <c r="HGW133" s="562"/>
      <c r="HGX133" s="562"/>
      <c r="HGY133" s="562"/>
      <c r="HGZ133" s="562"/>
      <c r="HHA133" s="562"/>
      <c r="HHB133" s="562"/>
      <c r="HHC133" s="562"/>
      <c r="HHD133" s="562"/>
      <c r="HHE133" s="562"/>
      <c r="HHF133" s="562"/>
      <c r="HHG133" s="562"/>
      <c r="HHH133" s="562"/>
      <c r="HHI133" s="562"/>
      <c r="HHJ133" s="562"/>
      <c r="HHK133" s="562"/>
      <c r="HHL133" s="562"/>
      <c r="HHM133" s="562"/>
      <c r="HHN133" s="562"/>
      <c r="HHO133" s="562"/>
      <c r="HHP133" s="562"/>
      <c r="HHQ133" s="562"/>
      <c r="HHR133" s="562"/>
      <c r="HHS133" s="562"/>
      <c r="HHT133" s="562"/>
      <c r="HHU133" s="562"/>
      <c r="HHV133" s="562"/>
      <c r="HHW133" s="562"/>
      <c r="HHX133" s="562"/>
      <c r="HHY133" s="562"/>
      <c r="HHZ133" s="562"/>
      <c r="HIA133" s="562"/>
      <c r="HIB133" s="562"/>
      <c r="HIC133" s="562"/>
      <c r="HID133" s="562"/>
      <c r="HIE133" s="562"/>
      <c r="HIF133" s="562"/>
      <c r="HIG133" s="562"/>
      <c r="HIH133" s="562"/>
      <c r="HII133" s="562"/>
      <c r="HIJ133" s="562"/>
      <c r="HIK133" s="562"/>
      <c r="HIL133" s="562"/>
      <c r="HIM133" s="562"/>
      <c r="HIN133" s="562"/>
      <c r="HIO133" s="562"/>
      <c r="HIP133" s="562"/>
      <c r="HIQ133" s="562"/>
      <c r="HIR133" s="562"/>
      <c r="HIS133" s="562"/>
      <c r="HIT133" s="562"/>
      <c r="HIU133" s="562"/>
      <c r="HIV133" s="562"/>
      <c r="HIW133" s="562"/>
      <c r="HIX133" s="562"/>
      <c r="HIY133" s="562"/>
      <c r="HIZ133" s="562"/>
      <c r="HJA133" s="562"/>
      <c r="HJB133" s="562"/>
      <c r="HJC133" s="562"/>
      <c r="HJD133" s="562"/>
      <c r="HJE133" s="562"/>
      <c r="HJF133" s="562"/>
      <c r="HJG133" s="562"/>
      <c r="HJH133" s="562"/>
      <c r="HJI133" s="562"/>
      <c r="HJJ133" s="562"/>
      <c r="HJK133" s="562"/>
      <c r="HJL133" s="562"/>
      <c r="HJM133" s="562"/>
      <c r="HJN133" s="562"/>
      <c r="HJO133" s="562"/>
      <c r="HJP133" s="562"/>
      <c r="HJQ133" s="562"/>
      <c r="HJR133" s="562"/>
      <c r="HJS133" s="562"/>
      <c r="HJT133" s="562"/>
      <c r="HJU133" s="562"/>
      <c r="HJV133" s="562"/>
      <c r="HJW133" s="562"/>
      <c r="HJX133" s="562"/>
      <c r="HJY133" s="562"/>
      <c r="HJZ133" s="562"/>
      <c r="HKA133" s="562"/>
      <c r="HKB133" s="562"/>
      <c r="HKC133" s="562"/>
      <c r="HKD133" s="562"/>
      <c r="HKE133" s="562"/>
      <c r="HKF133" s="562"/>
      <c r="HKG133" s="562"/>
      <c r="HKH133" s="562"/>
      <c r="HKI133" s="562"/>
      <c r="HKJ133" s="562"/>
      <c r="HKK133" s="562"/>
      <c r="HKL133" s="562"/>
      <c r="HKM133" s="562"/>
      <c r="HKN133" s="562"/>
      <c r="HKO133" s="562"/>
      <c r="HKP133" s="562"/>
      <c r="HKQ133" s="562"/>
      <c r="HKR133" s="562"/>
      <c r="HKS133" s="562"/>
      <c r="HKT133" s="562"/>
      <c r="HKU133" s="562"/>
      <c r="HKV133" s="562"/>
      <c r="HKW133" s="562"/>
      <c r="HKX133" s="562"/>
      <c r="HKY133" s="562"/>
      <c r="HKZ133" s="562"/>
      <c r="HLA133" s="562"/>
      <c r="HLB133" s="562"/>
      <c r="HLC133" s="562"/>
      <c r="HLD133" s="562"/>
      <c r="HLE133" s="562"/>
      <c r="HLF133" s="562"/>
      <c r="HLG133" s="562"/>
      <c r="HLH133" s="562"/>
      <c r="HLI133" s="562"/>
      <c r="HLJ133" s="562"/>
      <c r="HLK133" s="562"/>
      <c r="HLL133" s="562"/>
      <c r="HLM133" s="562"/>
      <c r="HLN133" s="562"/>
      <c r="HLO133" s="562"/>
      <c r="HLP133" s="562"/>
      <c r="HLQ133" s="562"/>
      <c r="HLR133" s="562"/>
      <c r="HLS133" s="562"/>
      <c r="HLT133" s="562"/>
      <c r="HLU133" s="562"/>
      <c r="HLV133" s="562"/>
      <c r="HLW133" s="562"/>
      <c r="HLX133" s="562"/>
      <c r="HLY133" s="562"/>
      <c r="HLZ133" s="562"/>
      <c r="HMA133" s="562"/>
      <c r="HMB133" s="562"/>
      <c r="HMC133" s="562"/>
      <c r="HMD133" s="562"/>
      <c r="HME133" s="562"/>
      <c r="HMF133" s="562"/>
      <c r="HMG133" s="562"/>
      <c r="HMH133" s="562"/>
      <c r="HMI133" s="562"/>
      <c r="HMJ133" s="562"/>
      <c r="HMK133" s="562"/>
      <c r="HML133" s="562"/>
      <c r="HMM133" s="562"/>
      <c r="HMN133" s="562"/>
      <c r="HMO133" s="562"/>
      <c r="HMP133" s="562"/>
      <c r="HMQ133" s="562"/>
      <c r="HMR133" s="562"/>
      <c r="HMS133" s="562"/>
      <c r="HMT133" s="562"/>
      <c r="HMU133" s="562"/>
      <c r="HMV133" s="562"/>
      <c r="HMW133" s="562"/>
      <c r="HMX133" s="562"/>
      <c r="HMY133" s="562"/>
      <c r="HMZ133" s="562"/>
      <c r="HNA133" s="562"/>
      <c r="HNB133" s="562"/>
      <c r="HNC133" s="562"/>
      <c r="HND133" s="562"/>
      <c r="HNE133" s="562"/>
      <c r="HNF133" s="562"/>
      <c r="HNG133" s="562"/>
      <c r="HNH133" s="562"/>
      <c r="HNI133" s="562"/>
      <c r="HNJ133" s="562"/>
      <c r="HNK133" s="562"/>
      <c r="HNL133" s="562"/>
      <c r="HNM133" s="562"/>
      <c r="HNN133" s="562"/>
      <c r="HNO133" s="562"/>
      <c r="HNP133" s="562"/>
      <c r="HNQ133" s="562"/>
      <c r="HNR133" s="562"/>
      <c r="HNS133" s="562"/>
      <c r="HNT133" s="562"/>
      <c r="HNU133" s="562"/>
      <c r="HNV133" s="562"/>
      <c r="HNW133" s="562"/>
      <c r="HNX133" s="562"/>
      <c r="HNY133" s="562"/>
      <c r="HNZ133" s="562"/>
      <c r="HOA133" s="562"/>
      <c r="HOB133" s="562"/>
      <c r="HOC133" s="562"/>
      <c r="HOD133" s="562"/>
      <c r="HOE133" s="562"/>
      <c r="HOF133" s="562"/>
      <c r="HOG133" s="562"/>
      <c r="HOH133" s="562"/>
      <c r="HOI133" s="562"/>
      <c r="HOJ133" s="562"/>
      <c r="HOK133" s="562"/>
      <c r="HOL133" s="562"/>
      <c r="HOM133" s="562"/>
      <c r="HON133" s="562"/>
      <c r="HOO133" s="562"/>
      <c r="HOP133" s="562"/>
      <c r="HOQ133" s="562"/>
      <c r="HOR133" s="562"/>
      <c r="HOS133" s="562"/>
      <c r="HOT133" s="562"/>
      <c r="HOU133" s="562"/>
      <c r="HOV133" s="562"/>
      <c r="HOW133" s="562"/>
      <c r="HOX133" s="562"/>
      <c r="HOY133" s="562"/>
      <c r="HOZ133" s="562"/>
      <c r="HPA133" s="562"/>
      <c r="HPB133" s="562"/>
      <c r="HPC133" s="562"/>
      <c r="HPD133" s="562"/>
      <c r="HPE133" s="562"/>
      <c r="HPF133" s="562"/>
      <c r="HPG133" s="562"/>
      <c r="HPH133" s="562"/>
      <c r="HPI133" s="562"/>
      <c r="HPJ133" s="562"/>
      <c r="HPK133" s="562"/>
      <c r="HPL133" s="562"/>
      <c r="HPM133" s="562"/>
      <c r="HPN133" s="562"/>
      <c r="HPO133" s="562"/>
      <c r="HPP133" s="562"/>
      <c r="HPQ133" s="562"/>
      <c r="HPR133" s="562"/>
      <c r="HPS133" s="562"/>
      <c r="HPT133" s="562"/>
      <c r="HPU133" s="562"/>
      <c r="HPV133" s="562"/>
      <c r="HPW133" s="562"/>
      <c r="HPX133" s="562"/>
      <c r="HPY133" s="562"/>
      <c r="HPZ133" s="562"/>
      <c r="HQA133" s="562"/>
      <c r="HQB133" s="562"/>
      <c r="HQC133" s="562"/>
      <c r="HQD133" s="562"/>
      <c r="HQE133" s="562"/>
      <c r="HQF133" s="562"/>
      <c r="HQG133" s="562"/>
      <c r="HQH133" s="562"/>
      <c r="HQI133" s="562"/>
      <c r="HQJ133" s="562"/>
      <c r="HQK133" s="562"/>
      <c r="HQL133" s="562"/>
      <c r="HQM133" s="562"/>
      <c r="HQN133" s="562"/>
      <c r="HQO133" s="562"/>
      <c r="HQP133" s="562"/>
      <c r="HQQ133" s="562"/>
      <c r="HQR133" s="562"/>
      <c r="HQS133" s="562"/>
      <c r="HQT133" s="562"/>
      <c r="HQU133" s="562"/>
      <c r="HQV133" s="562"/>
      <c r="HQW133" s="562"/>
      <c r="HQX133" s="562"/>
      <c r="HQY133" s="562"/>
      <c r="HQZ133" s="562"/>
      <c r="HRA133" s="562"/>
      <c r="HRB133" s="562"/>
      <c r="HRC133" s="562"/>
      <c r="HRD133" s="562"/>
      <c r="HRE133" s="562"/>
      <c r="HRF133" s="562"/>
      <c r="HRG133" s="562"/>
      <c r="HRH133" s="562"/>
      <c r="HRI133" s="562"/>
      <c r="HRJ133" s="562"/>
      <c r="HRK133" s="562"/>
      <c r="HRL133" s="562"/>
      <c r="HRM133" s="562"/>
      <c r="HRN133" s="562"/>
      <c r="HRO133" s="562"/>
      <c r="HRP133" s="562"/>
      <c r="HRQ133" s="562"/>
      <c r="HRR133" s="562"/>
      <c r="HRS133" s="562"/>
      <c r="HRT133" s="562"/>
      <c r="HRU133" s="562"/>
      <c r="HRV133" s="562"/>
      <c r="HRW133" s="562"/>
      <c r="HRX133" s="562"/>
      <c r="HRY133" s="562"/>
      <c r="HRZ133" s="562"/>
      <c r="HSA133" s="562"/>
      <c r="HSB133" s="562"/>
      <c r="HSC133" s="562"/>
      <c r="HSD133" s="562"/>
      <c r="HSE133" s="562"/>
      <c r="HSF133" s="562"/>
      <c r="HSG133" s="562"/>
      <c r="HSH133" s="562"/>
      <c r="HSI133" s="562"/>
      <c r="HSJ133" s="562"/>
      <c r="HSK133" s="562"/>
      <c r="HSL133" s="562"/>
      <c r="HSM133" s="562"/>
      <c r="HSN133" s="562"/>
      <c r="HSO133" s="562"/>
      <c r="HSP133" s="562"/>
      <c r="HSQ133" s="562"/>
      <c r="HSR133" s="562"/>
      <c r="HSS133" s="562"/>
      <c r="HST133" s="562"/>
      <c r="HSU133" s="562"/>
      <c r="HSV133" s="562"/>
      <c r="HSW133" s="562"/>
      <c r="HSX133" s="562"/>
      <c r="HSY133" s="562"/>
      <c r="HSZ133" s="562"/>
      <c r="HTA133" s="562"/>
      <c r="HTB133" s="562"/>
      <c r="HTC133" s="562"/>
      <c r="HTD133" s="562"/>
      <c r="HTE133" s="562"/>
      <c r="HTF133" s="562"/>
      <c r="HTG133" s="562"/>
      <c r="HTH133" s="562"/>
      <c r="HTI133" s="562"/>
      <c r="HTJ133" s="562"/>
      <c r="HTK133" s="562"/>
      <c r="HTL133" s="562"/>
      <c r="HTM133" s="562"/>
      <c r="HTN133" s="562"/>
      <c r="HTO133" s="562"/>
      <c r="HTP133" s="562"/>
      <c r="HTQ133" s="562"/>
      <c r="HTR133" s="562"/>
      <c r="HTS133" s="562"/>
      <c r="HTT133" s="562"/>
      <c r="HTU133" s="562"/>
      <c r="HTV133" s="562"/>
      <c r="HTW133" s="562"/>
      <c r="HTX133" s="562"/>
      <c r="HTY133" s="562"/>
      <c r="HTZ133" s="562"/>
      <c r="HUA133" s="562"/>
      <c r="HUB133" s="562"/>
      <c r="HUC133" s="562"/>
      <c r="HUD133" s="562"/>
      <c r="HUE133" s="562"/>
      <c r="HUF133" s="562"/>
      <c r="HUG133" s="562"/>
      <c r="HUH133" s="562"/>
      <c r="HUI133" s="562"/>
      <c r="HUJ133" s="562"/>
      <c r="HUK133" s="562"/>
      <c r="HUL133" s="562"/>
      <c r="HUM133" s="562"/>
      <c r="HUN133" s="562"/>
      <c r="HUO133" s="562"/>
      <c r="HUP133" s="562"/>
      <c r="HUQ133" s="562"/>
      <c r="HUR133" s="562"/>
      <c r="HUS133" s="562"/>
      <c r="HUT133" s="562"/>
      <c r="HUU133" s="562"/>
      <c r="HUV133" s="562"/>
      <c r="HUW133" s="562"/>
      <c r="HUX133" s="562"/>
      <c r="HUY133" s="562"/>
      <c r="HUZ133" s="562"/>
      <c r="HVA133" s="562"/>
      <c r="HVB133" s="562"/>
      <c r="HVC133" s="562"/>
      <c r="HVD133" s="562"/>
      <c r="HVE133" s="562"/>
      <c r="HVF133" s="562"/>
      <c r="HVG133" s="562"/>
      <c r="HVH133" s="562"/>
      <c r="HVI133" s="562"/>
      <c r="HVJ133" s="562"/>
      <c r="HVK133" s="562"/>
      <c r="HVL133" s="562"/>
      <c r="HVM133" s="562"/>
      <c r="HVN133" s="562"/>
      <c r="HVO133" s="562"/>
      <c r="HVP133" s="562"/>
      <c r="HVQ133" s="562"/>
      <c r="HVR133" s="562"/>
      <c r="HVS133" s="562"/>
      <c r="HVT133" s="562"/>
      <c r="HVU133" s="562"/>
      <c r="HVV133" s="562"/>
      <c r="HVW133" s="562"/>
      <c r="HVX133" s="562"/>
      <c r="HVY133" s="562"/>
      <c r="HVZ133" s="562"/>
      <c r="HWA133" s="562"/>
      <c r="HWB133" s="562"/>
      <c r="HWC133" s="562"/>
      <c r="HWD133" s="562"/>
      <c r="HWE133" s="562"/>
      <c r="HWF133" s="562"/>
      <c r="HWG133" s="562"/>
      <c r="HWH133" s="562"/>
      <c r="HWI133" s="562"/>
      <c r="HWJ133" s="562"/>
      <c r="HWK133" s="562"/>
      <c r="HWL133" s="562"/>
      <c r="HWM133" s="562"/>
      <c r="HWN133" s="562"/>
      <c r="HWO133" s="562"/>
      <c r="HWP133" s="562"/>
      <c r="HWQ133" s="562"/>
      <c r="HWR133" s="562"/>
      <c r="HWS133" s="562"/>
      <c r="HWT133" s="562"/>
      <c r="HWU133" s="562"/>
      <c r="HWV133" s="562"/>
      <c r="HWW133" s="562"/>
      <c r="HWX133" s="562"/>
      <c r="HWY133" s="562"/>
      <c r="HWZ133" s="562"/>
      <c r="HXA133" s="562"/>
      <c r="HXB133" s="562"/>
      <c r="HXC133" s="562"/>
      <c r="HXD133" s="562"/>
      <c r="HXE133" s="562"/>
      <c r="HXF133" s="562"/>
      <c r="HXG133" s="562"/>
      <c r="HXH133" s="562"/>
      <c r="HXI133" s="562"/>
      <c r="HXJ133" s="562"/>
      <c r="HXK133" s="562"/>
      <c r="HXL133" s="562"/>
      <c r="HXM133" s="562"/>
      <c r="HXN133" s="562"/>
      <c r="HXO133" s="562"/>
      <c r="HXP133" s="562"/>
      <c r="HXQ133" s="562"/>
      <c r="HXR133" s="562"/>
      <c r="HXS133" s="562"/>
      <c r="HXT133" s="562"/>
      <c r="HXU133" s="562"/>
      <c r="HXV133" s="562"/>
      <c r="HXW133" s="562"/>
      <c r="HXX133" s="562"/>
      <c r="HXY133" s="562"/>
      <c r="HXZ133" s="562"/>
      <c r="HYA133" s="562"/>
      <c r="HYB133" s="562"/>
      <c r="HYC133" s="562"/>
      <c r="HYD133" s="562"/>
      <c r="HYE133" s="562"/>
      <c r="HYF133" s="562"/>
      <c r="HYG133" s="562"/>
      <c r="HYH133" s="562"/>
      <c r="HYI133" s="562"/>
      <c r="HYJ133" s="562"/>
      <c r="HYK133" s="562"/>
      <c r="HYL133" s="562"/>
      <c r="HYM133" s="562"/>
      <c r="HYN133" s="562"/>
      <c r="HYO133" s="562"/>
      <c r="HYP133" s="562"/>
      <c r="HYQ133" s="562"/>
      <c r="HYR133" s="562"/>
      <c r="HYS133" s="562"/>
      <c r="HYT133" s="562"/>
      <c r="HYU133" s="562"/>
      <c r="HYV133" s="562"/>
      <c r="HYW133" s="562"/>
      <c r="HYX133" s="562"/>
      <c r="HYY133" s="562"/>
      <c r="HYZ133" s="562"/>
      <c r="HZA133" s="562"/>
      <c r="HZB133" s="562"/>
      <c r="HZC133" s="562"/>
      <c r="HZD133" s="562"/>
      <c r="HZE133" s="562"/>
      <c r="HZF133" s="562"/>
      <c r="HZG133" s="562"/>
      <c r="HZH133" s="562"/>
      <c r="HZI133" s="562"/>
      <c r="HZJ133" s="562"/>
      <c r="HZK133" s="562"/>
      <c r="HZL133" s="562"/>
      <c r="HZM133" s="562"/>
      <c r="HZN133" s="562"/>
      <c r="HZO133" s="562"/>
      <c r="HZP133" s="562"/>
      <c r="HZQ133" s="562"/>
      <c r="HZR133" s="562"/>
      <c r="HZS133" s="562"/>
      <c r="HZT133" s="562"/>
      <c r="HZU133" s="562"/>
      <c r="HZV133" s="562"/>
      <c r="HZW133" s="562"/>
      <c r="HZX133" s="562"/>
      <c r="HZY133" s="562"/>
      <c r="HZZ133" s="562"/>
      <c r="IAA133" s="562"/>
      <c r="IAB133" s="562"/>
      <c r="IAC133" s="562"/>
      <c r="IAD133" s="562"/>
      <c r="IAE133" s="562"/>
      <c r="IAF133" s="562"/>
      <c r="IAG133" s="562"/>
      <c r="IAH133" s="562"/>
      <c r="IAI133" s="562"/>
      <c r="IAJ133" s="562"/>
      <c r="IAK133" s="562"/>
      <c r="IAL133" s="562"/>
      <c r="IAM133" s="562"/>
      <c r="IAN133" s="562"/>
      <c r="IAO133" s="562"/>
      <c r="IAP133" s="562"/>
      <c r="IAQ133" s="562"/>
      <c r="IAR133" s="562"/>
      <c r="IAS133" s="562"/>
      <c r="IAT133" s="562"/>
      <c r="IAU133" s="562"/>
      <c r="IAV133" s="562"/>
      <c r="IAW133" s="562"/>
      <c r="IAX133" s="562"/>
      <c r="IAY133" s="562"/>
      <c r="IAZ133" s="562"/>
      <c r="IBA133" s="562"/>
      <c r="IBB133" s="562"/>
      <c r="IBC133" s="562"/>
      <c r="IBD133" s="562"/>
      <c r="IBE133" s="562"/>
      <c r="IBF133" s="562"/>
      <c r="IBG133" s="562"/>
      <c r="IBH133" s="562"/>
      <c r="IBI133" s="562"/>
      <c r="IBJ133" s="562"/>
      <c r="IBK133" s="562"/>
      <c r="IBL133" s="562"/>
      <c r="IBM133" s="562"/>
      <c r="IBN133" s="562"/>
      <c r="IBO133" s="562"/>
      <c r="IBP133" s="562"/>
      <c r="IBQ133" s="562"/>
      <c r="IBR133" s="562"/>
      <c r="IBS133" s="562"/>
      <c r="IBT133" s="562"/>
      <c r="IBU133" s="562"/>
      <c r="IBV133" s="562"/>
      <c r="IBW133" s="562"/>
      <c r="IBX133" s="562"/>
      <c r="IBY133" s="562"/>
      <c r="IBZ133" s="562"/>
      <c r="ICA133" s="562"/>
      <c r="ICB133" s="562"/>
      <c r="ICC133" s="562"/>
      <c r="ICD133" s="562"/>
      <c r="ICE133" s="562"/>
      <c r="ICF133" s="562"/>
      <c r="ICG133" s="562"/>
      <c r="ICH133" s="562"/>
      <c r="ICI133" s="562"/>
      <c r="ICJ133" s="562"/>
      <c r="ICK133" s="562"/>
      <c r="ICL133" s="562"/>
      <c r="ICM133" s="562"/>
      <c r="ICN133" s="562"/>
      <c r="ICO133" s="562"/>
      <c r="ICP133" s="562"/>
      <c r="ICQ133" s="562"/>
      <c r="ICR133" s="562"/>
      <c r="ICS133" s="562"/>
      <c r="ICT133" s="562"/>
      <c r="ICU133" s="562"/>
      <c r="ICV133" s="562"/>
      <c r="ICW133" s="562"/>
      <c r="ICX133" s="562"/>
      <c r="ICY133" s="562"/>
      <c r="ICZ133" s="562"/>
      <c r="IDA133" s="562"/>
      <c r="IDB133" s="562"/>
      <c r="IDC133" s="562"/>
      <c r="IDD133" s="562"/>
      <c r="IDE133" s="562"/>
      <c r="IDF133" s="562"/>
      <c r="IDG133" s="562"/>
      <c r="IDH133" s="562"/>
      <c r="IDI133" s="562"/>
      <c r="IDJ133" s="562"/>
      <c r="IDK133" s="562"/>
      <c r="IDL133" s="562"/>
      <c r="IDM133" s="562"/>
      <c r="IDN133" s="562"/>
      <c r="IDO133" s="562"/>
      <c r="IDP133" s="562"/>
      <c r="IDQ133" s="562"/>
      <c r="IDR133" s="562"/>
      <c r="IDS133" s="562"/>
      <c r="IDT133" s="562"/>
      <c r="IDU133" s="562"/>
      <c r="IDV133" s="562"/>
      <c r="IDW133" s="562"/>
      <c r="IDX133" s="562"/>
      <c r="IDY133" s="562"/>
      <c r="IDZ133" s="562"/>
      <c r="IEA133" s="562"/>
      <c r="IEB133" s="562"/>
      <c r="IEC133" s="562"/>
      <c r="IED133" s="562"/>
      <c r="IEE133" s="562"/>
      <c r="IEF133" s="562"/>
      <c r="IEG133" s="562"/>
      <c r="IEH133" s="562"/>
      <c r="IEI133" s="562"/>
      <c r="IEJ133" s="562"/>
      <c r="IEK133" s="562"/>
      <c r="IEL133" s="562"/>
      <c r="IEM133" s="562"/>
      <c r="IEN133" s="562"/>
      <c r="IEO133" s="562"/>
      <c r="IEP133" s="562"/>
      <c r="IEQ133" s="562"/>
      <c r="IER133" s="562"/>
      <c r="IES133" s="562"/>
      <c r="IET133" s="562"/>
      <c r="IEU133" s="562"/>
      <c r="IEV133" s="562"/>
      <c r="IEW133" s="562"/>
      <c r="IEX133" s="562"/>
      <c r="IEY133" s="562"/>
      <c r="IEZ133" s="562"/>
      <c r="IFA133" s="562"/>
      <c r="IFB133" s="562"/>
      <c r="IFC133" s="562"/>
      <c r="IFD133" s="562"/>
      <c r="IFE133" s="562"/>
      <c r="IFF133" s="562"/>
      <c r="IFG133" s="562"/>
      <c r="IFH133" s="562"/>
      <c r="IFI133" s="562"/>
      <c r="IFJ133" s="562"/>
      <c r="IFK133" s="562"/>
      <c r="IFL133" s="562"/>
      <c r="IFM133" s="562"/>
      <c r="IFN133" s="562"/>
      <c r="IFO133" s="562"/>
      <c r="IFP133" s="562"/>
      <c r="IFQ133" s="562"/>
      <c r="IFR133" s="562"/>
      <c r="IFS133" s="562"/>
      <c r="IFT133" s="562"/>
      <c r="IFU133" s="562"/>
      <c r="IFV133" s="562"/>
      <c r="IFW133" s="562"/>
      <c r="IFX133" s="562"/>
      <c r="IFY133" s="562"/>
      <c r="IFZ133" s="562"/>
      <c r="IGA133" s="562"/>
      <c r="IGB133" s="562"/>
      <c r="IGC133" s="562"/>
      <c r="IGD133" s="562"/>
      <c r="IGE133" s="562"/>
      <c r="IGF133" s="562"/>
      <c r="IGG133" s="562"/>
      <c r="IGH133" s="562"/>
      <c r="IGI133" s="562"/>
      <c r="IGJ133" s="562"/>
      <c r="IGK133" s="562"/>
      <c r="IGL133" s="562"/>
      <c r="IGM133" s="562"/>
      <c r="IGN133" s="562"/>
      <c r="IGO133" s="562"/>
      <c r="IGP133" s="562"/>
      <c r="IGQ133" s="562"/>
      <c r="IGR133" s="562"/>
      <c r="IGS133" s="562"/>
      <c r="IGT133" s="562"/>
      <c r="IGU133" s="562"/>
      <c r="IGV133" s="562"/>
      <c r="IGW133" s="562"/>
      <c r="IGX133" s="562"/>
      <c r="IGY133" s="562"/>
      <c r="IGZ133" s="562"/>
      <c r="IHA133" s="562"/>
      <c r="IHB133" s="562"/>
      <c r="IHC133" s="562"/>
      <c r="IHD133" s="562"/>
      <c r="IHE133" s="562"/>
      <c r="IHF133" s="562"/>
      <c r="IHG133" s="562"/>
      <c r="IHH133" s="562"/>
      <c r="IHI133" s="562"/>
      <c r="IHJ133" s="562"/>
      <c r="IHK133" s="562"/>
      <c r="IHL133" s="562"/>
      <c r="IHM133" s="562"/>
      <c r="IHN133" s="562"/>
      <c r="IHO133" s="562"/>
      <c r="IHP133" s="562"/>
      <c r="IHQ133" s="562"/>
      <c r="IHR133" s="562"/>
      <c r="IHS133" s="562"/>
      <c r="IHT133" s="562"/>
      <c r="IHU133" s="562"/>
      <c r="IHV133" s="562"/>
      <c r="IHW133" s="562"/>
      <c r="IHX133" s="562"/>
      <c r="IHY133" s="562"/>
      <c r="IHZ133" s="562"/>
      <c r="IIA133" s="562"/>
      <c r="IIB133" s="562"/>
      <c r="IIC133" s="562"/>
      <c r="IID133" s="562"/>
      <c r="IIE133" s="562"/>
      <c r="IIF133" s="562"/>
      <c r="IIG133" s="562"/>
      <c r="IIH133" s="562"/>
      <c r="III133" s="562"/>
      <c r="IIJ133" s="562"/>
      <c r="IIK133" s="562"/>
      <c r="IIL133" s="562"/>
      <c r="IIM133" s="562"/>
      <c r="IIN133" s="562"/>
      <c r="IIO133" s="562"/>
      <c r="IIP133" s="562"/>
      <c r="IIQ133" s="562"/>
      <c r="IIR133" s="562"/>
      <c r="IIS133" s="562"/>
      <c r="IIT133" s="562"/>
      <c r="IIU133" s="562"/>
      <c r="IIV133" s="562"/>
      <c r="IIW133" s="562"/>
      <c r="IIX133" s="562"/>
      <c r="IIY133" s="562"/>
      <c r="IIZ133" s="562"/>
      <c r="IJA133" s="562"/>
      <c r="IJB133" s="562"/>
      <c r="IJC133" s="562"/>
      <c r="IJD133" s="562"/>
      <c r="IJE133" s="562"/>
      <c r="IJF133" s="562"/>
      <c r="IJG133" s="562"/>
      <c r="IJH133" s="562"/>
      <c r="IJI133" s="562"/>
      <c r="IJJ133" s="562"/>
      <c r="IJK133" s="562"/>
      <c r="IJL133" s="562"/>
      <c r="IJM133" s="562"/>
      <c r="IJN133" s="562"/>
      <c r="IJO133" s="562"/>
      <c r="IJP133" s="562"/>
      <c r="IJQ133" s="562"/>
      <c r="IJR133" s="562"/>
      <c r="IJS133" s="562"/>
      <c r="IJT133" s="562"/>
      <c r="IJU133" s="562"/>
      <c r="IJV133" s="562"/>
      <c r="IJW133" s="562"/>
      <c r="IJX133" s="562"/>
      <c r="IJY133" s="562"/>
      <c r="IJZ133" s="562"/>
      <c r="IKA133" s="562"/>
      <c r="IKB133" s="562"/>
      <c r="IKC133" s="562"/>
      <c r="IKD133" s="562"/>
      <c r="IKE133" s="562"/>
      <c r="IKF133" s="562"/>
      <c r="IKG133" s="562"/>
      <c r="IKH133" s="562"/>
      <c r="IKI133" s="562"/>
      <c r="IKJ133" s="562"/>
      <c r="IKK133" s="562"/>
      <c r="IKL133" s="562"/>
      <c r="IKM133" s="562"/>
      <c r="IKN133" s="562"/>
      <c r="IKO133" s="562"/>
      <c r="IKP133" s="562"/>
      <c r="IKQ133" s="562"/>
      <c r="IKR133" s="562"/>
      <c r="IKS133" s="562"/>
      <c r="IKT133" s="562"/>
      <c r="IKU133" s="562"/>
      <c r="IKV133" s="562"/>
      <c r="IKW133" s="562"/>
      <c r="IKX133" s="562"/>
      <c r="IKY133" s="562"/>
      <c r="IKZ133" s="562"/>
      <c r="ILA133" s="562"/>
      <c r="ILB133" s="562"/>
      <c r="ILC133" s="562"/>
      <c r="ILD133" s="562"/>
      <c r="ILE133" s="562"/>
      <c r="ILF133" s="562"/>
      <c r="ILG133" s="562"/>
      <c r="ILH133" s="562"/>
      <c r="ILI133" s="562"/>
      <c r="ILJ133" s="562"/>
      <c r="ILK133" s="562"/>
      <c r="ILL133" s="562"/>
      <c r="ILM133" s="562"/>
      <c r="ILN133" s="562"/>
      <c r="ILO133" s="562"/>
      <c r="ILP133" s="562"/>
      <c r="ILQ133" s="562"/>
      <c r="ILR133" s="562"/>
      <c r="ILS133" s="562"/>
      <c r="ILT133" s="562"/>
      <c r="ILU133" s="562"/>
      <c r="ILV133" s="562"/>
      <c r="ILW133" s="562"/>
      <c r="ILX133" s="562"/>
      <c r="ILY133" s="562"/>
      <c r="ILZ133" s="562"/>
      <c r="IMA133" s="562"/>
      <c r="IMB133" s="562"/>
      <c r="IMC133" s="562"/>
      <c r="IMD133" s="562"/>
      <c r="IME133" s="562"/>
      <c r="IMF133" s="562"/>
      <c r="IMG133" s="562"/>
      <c r="IMH133" s="562"/>
      <c r="IMI133" s="562"/>
      <c r="IMJ133" s="562"/>
      <c r="IMK133" s="562"/>
      <c r="IML133" s="562"/>
      <c r="IMM133" s="562"/>
      <c r="IMN133" s="562"/>
      <c r="IMO133" s="562"/>
      <c r="IMP133" s="562"/>
      <c r="IMQ133" s="562"/>
      <c r="IMR133" s="562"/>
      <c r="IMS133" s="562"/>
      <c r="IMT133" s="562"/>
      <c r="IMU133" s="562"/>
      <c r="IMV133" s="562"/>
      <c r="IMW133" s="562"/>
      <c r="IMX133" s="562"/>
      <c r="IMY133" s="562"/>
      <c r="IMZ133" s="562"/>
      <c r="INA133" s="562"/>
      <c r="INB133" s="562"/>
      <c r="INC133" s="562"/>
      <c r="IND133" s="562"/>
      <c r="INE133" s="562"/>
      <c r="INF133" s="562"/>
      <c r="ING133" s="562"/>
      <c r="INH133" s="562"/>
      <c r="INI133" s="562"/>
      <c r="INJ133" s="562"/>
      <c r="INK133" s="562"/>
      <c r="INL133" s="562"/>
      <c r="INM133" s="562"/>
      <c r="INN133" s="562"/>
      <c r="INO133" s="562"/>
      <c r="INP133" s="562"/>
      <c r="INQ133" s="562"/>
      <c r="INR133" s="562"/>
      <c r="INS133" s="562"/>
      <c r="INT133" s="562"/>
      <c r="INU133" s="562"/>
      <c r="INV133" s="562"/>
      <c r="INW133" s="562"/>
      <c r="INX133" s="562"/>
      <c r="INY133" s="562"/>
      <c r="INZ133" s="562"/>
      <c r="IOA133" s="562"/>
      <c r="IOB133" s="562"/>
      <c r="IOC133" s="562"/>
      <c r="IOD133" s="562"/>
      <c r="IOE133" s="562"/>
      <c r="IOF133" s="562"/>
      <c r="IOG133" s="562"/>
      <c r="IOH133" s="562"/>
      <c r="IOI133" s="562"/>
      <c r="IOJ133" s="562"/>
      <c r="IOK133" s="562"/>
      <c r="IOL133" s="562"/>
      <c r="IOM133" s="562"/>
      <c r="ION133" s="562"/>
      <c r="IOO133" s="562"/>
      <c r="IOP133" s="562"/>
      <c r="IOQ133" s="562"/>
      <c r="IOR133" s="562"/>
      <c r="IOS133" s="562"/>
      <c r="IOT133" s="562"/>
      <c r="IOU133" s="562"/>
      <c r="IOV133" s="562"/>
      <c r="IOW133" s="562"/>
      <c r="IOX133" s="562"/>
      <c r="IOY133" s="562"/>
      <c r="IOZ133" s="562"/>
      <c r="IPA133" s="562"/>
      <c r="IPB133" s="562"/>
      <c r="IPC133" s="562"/>
      <c r="IPD133" s="562"/>
      <c r="IPE133" s="562"/>
      <c r="IPF133" s="562"/>
      <c r="IPG133" s="562"/>
      <c r="IPH133" s="562"/>
      <c r="IPI133" s="562"/>
      <c r="IPJ133" s="562"/>
      <c r="IPK133" s="562"/>
      <c r="IPL133" s="562"/>
      <c r="IPM133" s="562"/>
      <c r="IPN133" s="562"/>
      <c r="IPO133" s="562"/>
      <c r="IPP133" s="562"/>
      <c r="IPQ133" s="562"/>
      <c r="IPR133" s="562"/>
      <c r="IPS133" s="562"/>
      <c r="IPT133" s="562"/>
      <c r="IPU133" s="562"/>
      <c r="IPV133" s="562"/>
      <c r="IPW133" s="562"/>
      <c r="IPX133" s="562"/>
      <c r="IPY133" s="562"/>
      <c r="IPZ133" s="562"/>
      <c r="IQA133" s="562"/>
      <c r="IQB133" s="562"/>
      <c r="IQC133" s="562"/>
      <c r="IQD133" s="562"/>
      <c r="IQE133" s="562"/>
      <c r="IQF133" s="562"/>
      <c r="IQG133" s="562"/>
      <c r="IQH133" s="562"/>
      <c r="IQI133" s="562"/>
      <c r="IQJ133" s="562"/>
      <c r="IQK133" s="562"/>
      <c r="IQL133" s="562"/>
      <c r="IQM133" s="562"/>
      <c r="IQN133" s="562"/>
      <c r="IQO133" s="562"/>
      <c r="IQP133" s="562"/>
      <c r="IQQ133" s="562"/>
      <c r="IQR133" s="562"/>
      <c r="IQS133" s="562"/>
      <c r="IQT133" s="562"/>
      <c r="IQU133" s="562"/>
      <c r="IQV133" s="562"/>
      <c r="IQW133" s="562"/>
      <c r="IQX133" s="562"/>
      <c r="IQY133" s="562"/>
      <c r="IQZ133" s="562"/>
      <c r="IRA133" s="562"/>
      <c r="IRB133" s="562"/>
      <c r="IRC133" s="562"/>
      <c r="IRD133" s="562"/>
      <c r="IRE133" s="562"/>
      <c r="IRF133" s="562"/>
      <c r="IRG133" s="562"/>
      <c r="IRH133" s="562"/>
      <c r="IRI133" s="562"/>
      <c r="IRJ133" s="562"/>
      <c r="IRK133" s="562"/>
      <c r="IRL133" s="562"/>
      <c r="IRM133" s="562"/>
      <c r="IRN133" s="562"/>
      <c r="IRO133" s="562"/>
      <c r="IRP133" s="562"/>
      <c r="IRQ133" s="562"/>
      <c r="IRR133" s="562"/>
      <c r="IRS133" s="562"/>
      <c r="IRT133" s="562"/>
      <c r="IRU133" s="562"/>
      <c r="IRV133" s="562"/>
      <c r="IRW133" s="562"/>
      <c r="IRX133" s="562"/>
      <c r="IRY133" s="562"/>
      <c r="IRZ133" s="562"/>
      <c r="ISA133" s="562"/>
      <c r="ISB133" s="562"/>
      <c r="ISC133" s="562"/>
      <c r="ISD133" s="562"/>
      <c r="ISE133" s="562"/>
      <c r="ISF133" s="562"/>
      <c r="ISG133" s="562"/>
      <c r="ISH133" s="562"/>
      <c r="ISI133" s="562"/>
      <c r="ISJ133" s="562"/>
      <c r="ISK133" s="562"/>
      <c r="ISL133" s="562"/>
      <c r="ISM133" s="562"/>
      <c r="ISN133" s="562"/>
      <c r="ISO133" s="562"/>
      <c r="ISP133" s="562"/>
      <c r="ISQ133" s="562"/>
      <c r="ISR133" s="562"/>
      <c r="ISS133" s="562"/>
      <c r="IST133" s="562"/>
      <c r="ISU133" s="562"/>
      <c r="ISV133" s="562"/>
      <c r="ISW133" s="562"/>
      <c r="ISX133" s="562"/>
      <c r="ISY133" s="562"/>
      <c r="ISZ133" s="562"/>
      <c r="ITA133" s="562"/>
      <c r="ITB133" s="562"/>
      <c r="ITC133" s="562"/>
      <c r="ITD133" s="562"/>
      <c r="ITE133" s="562"/>
      <c r="ITF133" s="562"/>
      <c r="ITG133" s="562"/>
      <c r="ITH133" s="562"/>
      <c r="ITI133" s="562"/>
      <c r="ITJ133" s="562"/>
      <c r="ITK133" s="562"/>
      <c r="ITL133" s="562"/>
      <c r="ITM133" s="562"/>
      <c r="ITN133" s="562"/>
      <c r="ITO133" s="562"/>
      <c r="ITP133" s="562"/>
      <c r="ITQ133" s="562"/>
      <c r="ITR133" s="562"/>
      <c r="ITS133" s="562"/>
      <c r="ITT133" s="562"/>
      <c r="ITU133" s="562"/>
      <c r="ITV133" s="562"/>
      <c r="ITW133" s="562"/>
      <c r="ITX133" s="562"/>
      <c r="ITY133" s="562"/>
      <c r="ITZ133" s="562"/>
      <c r="IUA133" s="562"/>
      <c r="IUB133" s="562"/>
      <c r="IUC133" s="562"/>
      <c r="IUD133" s="562"/>
      <c r="IUE133" s="562"/>
      <c r="IUF133" s="562"/>
      <c r="IUG133" s="562"/>
      <c r="IUH133" s="562"/>
      <c r="IUI133" s="562"/>
      <c r="IUJ133" s="562"/>
      <c r="IUK133" s="562"/>
      <c r="IUL133" s="562"/>
      <c r="IUM133" s="562"/>
      <c r="IUN133" s="562"/>
      <c r="IUO133" s="562"/>
      <c r="IUP133" s="562"/>
      <c r="IUQ133" s="562"/>
      <c r="IUR133" s="562"/>
      <c r="IUS133" s="562"/>
      <c r="IUT133" s="562"/>
      <c r="IUU133" s="562"/>
      <c r="IUV133" s="562"/>
      <c r="IUW133" s="562"/>
      <c r="IUX133" s="562"/>
      <c r="IUY133" s="562"/>
      <c r="IUZ133" s="562"/>
      <c r="IVA133" s="562"/>
      <c r="IVB133" s="562"/>
      <c r="IVC133" s="562"/>
      <c r="IVD133" s="562"/>
      <c r="IVE133" s="562"/>
      <c r="IVF133" s="562"/>
      <c r="IVG133" s="562"/>
      <c r="IVH133" s="562"/>
      <c r="IVI133" s="562"/>
      <c r="IVJ133" s="562"/>
      <c r="IVK133" s="562"/>
      <c r="IVL133" s="562"/>
      <c r="IVM133" s="562"/>
      <c r="IVN133" s="562"/>
      <c r="IVO133" s="562"/>
      <c r="IVP133" s="562"/>
      <c r="IVQ133" s="562"/>
      <c r="IVR133" s="562"/>
      <c r="IVS133" s="562"/>
      <c r="IVT133" s="562"/>
      <c r="IVU133" s="562"/>
      <c r="IVV133" s="562"/>
      <c r="IVW133" s="562"/>
      <c r="IVX133" s="562"/>
      <c r="IVY133" s="562"/>
      <c r="IVZ133" s="562"/>
      <c r="IWA133" s="562"/>
      <c r="IWB133" s="562"/>
      <c r="IWC133" s="562"/>
      <c r="IWD133" s="562"/>
      <c r="IWE133" s="562"/>
      <c r="IWF133" s="562"/>
      <c r="IWG133" s="562"/>
      <c r="IWH133" s="562"/>
      <c r="IWI133" s="562"/>
      <c r="IWJ133" s="562"/>
      <c r="IWK133" s="562"/>
      <c r="IWL133" s="562"/>
      <c r="IWM133" s="562"/>
      <c r="IWN133" s="562"/>
      <c r="IWO133" s="562"/>
      <c r="IWP133" s="562"/>
      <c r="IWQ133" s="562"/>
      <c r="IWR133" s="562"/>
      <c r="IWS133" s="562"/>
      <c r="IWT133" s="562"/>
      <c r="IWU133" s="562"/>
      <c r="IWV133" s="562"/>
      <c r="IWW133" s="562"/>
      <c r="IWX133" s="562"/>
      <c r="IWY133" s="562"/>
      <c r="IWZ133" s="562"/>
      <c r="IXA133" s="562"/>
      <c r="IXB133" s="562"/>
      <c r="IXC133" s="562"/>
      <c r="IXD133" s="562"/>
      <c r="IXE133" s="562"/>
      <c r="IXF133" s="562"/>
      <c r="IXG133" s="562"/>
      <c r="IXH133" s="562"/>
      <c r="IXI133" s="562"/>
      <c r="IXJ133" s="562"/>
      <c r="IXK133" s="562"/>
      <c r="IXL133" s="562"/>
      <c r="IXM133" s="562"/>
      <c r="IXN133" s="562"/>
      <c r="IXO133" s="562"/>
      <c r="IXP133" s="562"/>
      <c r="IXQ133" s="562"/>
      <c r="IXR133" s="562"/>
      <c r="IXS133" s="562"/>
      <c r="IXT133" s="562"/>
      <c r="IXU133" s="562"/>
      <c r="IXV133" s="562"/>
      <c r="IXW133" s="562"/>
      <c r="IXX133" s="562"/>
      <c r="IXY133" s="562"/>
      <c r="IXZ133" s="562"/>
      <c r="IYA133" s="562"/>
      <c r="IYB133" s="562"/>
      <c r="IYC133" s="562"/>
      <c r="IYD133" s="562"/>
      <c r="IYE133" s="562"/>
      <c r="IYF133" s="562"/>
      <c r="IYG133" s="562"/>
      <c r="IYH133" s="562"/>
      <c r="IYI133" s="562"/>
      <c r="IYJ133" s="562"/>
      <c r="IYK133" s="562"/>
      <c r="IYL133" s="562"/>
      <c r="IYM133" s="562"/>
      <c r="IYN133" s="562"/>
      <c r="IYO133" s="562"/>
      <c r="IYP133" s="562"/>
      <c r="IYQ133" s="562"/>
      <c r="IYR133" s="562"/>
      <c r="IYS133" s="562"/>
      <c r="IYT133" s="562"/>
      <c r="IYU133" s="562"/>
      <c r="IYV133" s="562"/>
      <c r="IYW133" s="562"/>
      <c r="IYX133" s="562"/>
      <c r="IYY133" s="562"/>
      <c r="IYZ133" s="562"/>
      <c r="IZA133" s="562"/>
      <c r="IZB133" s="562"/>
      <c r="IZC133" s="562"/>
      <c r="IZD133" s="562"/>
      <c r="IZE133" s="562"/>
      <c r="IZF133" s="562"/>
      <c r="IZG133" s="562"/>
      <c r="IZH133" s="562"/>
      <c r="IZI133" s="562"/>
      <c r="IZJ133" s="562"/>
      <c r="IZK133" s="562"/>
      <c r="IZL133" s="562"/>
      <c r="IZM133" s="562"/>
      <c r="IZN133" s="562"/>
      <c r="IZO133" s="562"/>
      <c r="IZP133" s="562"/>
      <c r="IZQ133" s="562"/>
      <c r="IZR133" s="562"/>
      <c r="IZS133" s="562"/>
      <c r="IZT133" s="562"/>
      <c r="IZU133" s="562"/>
      <c r="IZV133" s="562"/>
      <c r="IZW133" s="562"/>
      <c r="IZX133" s="562"/>
      <c r="IZY133" s="562"/>
      <c r="IZZ133" s="562"/>
      <c r="JAA133" s="562"/>
      <c r="JAB133" s="562"/>
      <c r="JAC133" s="562"/>
      <c r="JAD133" s="562"/>
      <c r="JAE133" s="562"/>
      <c r="JAF133" s="562"/>
      <c r="JAG133" s="562"/>
      <c r="JAH133" s="562"/>
      <c r="JAI133" s="562"/>
      <c r="JAJ133" s="562"/>
      <c r="JAK133" s="562"/>
      <c r="JAL133" s="562"/>
      <c r="JAM133" s="562"/>
      <c r="JAN133" s="562"/>
      <c r="JAO133" s="562"/>
      <c r="JAP133" s="562"/>
      <c r="JAQ133" s="562"/>
      <c r="JAR133" s="562"/>
      <c r="JAS133" s="562"/>
      <c r="JAT133" s="562"/>
      <c r="JAU133" s="562"/>
      <c r="JAV133" s="562"/>
      <c r="JAW133" s="562"/>
      <c r="JAX133" s="562"/>
      <c r="JAY133" s="562"/>
      <c r="JAZ133" s="562"/>
      <c r="JBA133" s="562"/>
      <c r="JBB133" s="562"/>
      <c r="JBC133" s="562"/>
      <c r="JBD133" s="562"/>
      <c r="JBE133" s="562"/>
      <c r="JBF133" s="562"/>
      <c r="JBG133" s="562"/>
      <c r="JBH133" s="562"/>
      <c r="JBI133" s="562"/>
      <c r="JBJ133" s="562"/>
      <c r="JBK133" s="562"/>
      <c r="JBL133" s="562"/>
      <c r="JBM133" s="562"/>
      <c r="JBN133" s="562"/>
      <c r="JBO133" s="562"/>
      <c r="JBP133" s="562"/>
      <c r="JBQ133" s="562"/>
      <c r="JBR133" s="562"/>
      <c r="JBS133" s="562"/>
      <c r="JBT133" s="562"/>
      <c r="JBU133" s="562"/>
      <c r="JBV133" s="562"/>
      <c r="JBW133" s="562"/>
      <c r="JBX133" s="562"/>
      <c r="JBY133" s="562"/>
      <c r="JBZ133" s="562"/>
      <c r="JCA133" s="562"/>
      <c r="JCB133" s="562"/>
      <c r="JCC133" s="562"/>
      <c r="JCD133" s="562"/>
      <c r="JCE133" s="562"/>
      <c r="JCF133" s="562"/>
      <c r="JCG133" s="562"/>
      <c r="JCH133" s="562"/>
      <c r="JCI133" s="562"/>
      <c r="JCJ133" s="562"/>
      <c r="JCK133" s="562"/>
      <c r="JCL133" s="562"/>
      <c r="JCM133" s="562"/>
      <c r="JCN133" s="562"/>
      <c r="JCO133" s="562"/>
      <c r="JCP133" s="562"/>
      <c r="JCQ133" s="562"/>
      <c r="JCR133" s="562"/>
      <c r="JCS133" s="562"/>
      <c r="JCT133" s="562"/>
      <c r="JCU133" s="562"/>
      <c r="JCV133" s="562"/>
      <c r="JCW133" s="562"/>
      <c r="JCX133" s="562"/>
      <c r="JCY133" s="562"/>
      <c r="JCZ133" s="562"/>
      <c r="JDA133" s="562"/>
      <c r="JDB133" s="562"/>
      <c r="JDC133" s="562"/>
      <c r="JDD133" s="562"/>
      <c r="JDE133" s="562"/>
      <c r="JDF133" s="562"/>
      <c r="JDG133" s="562"/>
      <c r="JDH133" s="562"/>
      <c r="JDI133" s="562"/>
      <c r="JDJ133" s="562"/>
      <c r="JDK133" s="562"/>
      <c r="JDL133" s="562"/>
      <c r="JDM133" s="562"/>
      <c r="JDN133" s="562"/>
      <c r="JDO133" s="562"/>
      <c r="JDP133" s="562"/>
      <c r="JDQ133" s="562"/>
      <c r="JDR133" s="562"/>
      <c r="JDS133" s="562"/>
      <c r="JDT133" s="562"/>
      <c r="JDU133" s="562"/>
      <c r="JDV133" s="562"/>
      <c r="JDW133" s="562"/>
      <c r="JDX133" s="562"/>
      <c r="JDY133" s="562"/>
      <c r="JDZ133" s="562"/>
      <c r="JEA133" s="562"/>
      <c r="JEB133" s="562"/>
      <c r="JEC133" s="562"/>
      <c r="JED133" s="562"/>
      <c r="JEE133" s="562"/>
      <c r="JEF133" s="562"/>
      <c r="JEG133" s="562"/>
      <c r="JEH133" s="562"/>
      <c r="JEI133" s="562"/>
      <c r="JEJ133" s="562"/>
      <c r="JEK133" s="562"/>
      <c r="JEL133" s="562"/>
      <c r="JEM133" s="562"/>
      <c r="JEN133" s="562"/>
      <c r="JEO133" s="562"/>
      <c r="JEP133" s="562"/>
      <c r="JEQ133" s="562"/>
      <c r="JER133" s="562"/>
      <c r="JES133" s="562"/>
      <c r="JET133" s="562"/>
      <c r="JEU133" s="562"/>
      <c r="JEV133" s="562"/>
      <c r="JEW133" s="562"/>
      <c r="JEX133" s="562"/>
      <c r="JEY133" s="562"/>
      <c r="JEZ133" s="562"/>
      <c r="JFA133" s="562"/>
      <c r="JFB133" s="562"/>
      <c r="JFC133" s="562"/>
      <c r="JFD133" s="562"/>
      <c r="JFE133" s="562"/>
      <c r="JFF133" s="562"/>
      <c r="JFG133" s="562"/>
      <c r="JFH133" s="562"/>
      <c r="JFI133" s="562"/>
      <c r="JFJ133" s="562"/>
      <c r="JFK133" s="562"/>
      <c r="JFL133" s="562"/>
      <c r="JFM133" s="562"/>
      <c r="JFN133" s="562"/>
      <c r="JFO133" s="562"/>
      <c r="JFP133" s="562"/>
      <c r="JFQ133" s="562"/>
      <c r="JFR133" s="562"/>
      <c r="JFS133" s="562"/>
      <c r="JFT133" s="562"/>
      <c r="JFU133" s="562"/>
      <c r="JFV133" s="562"/>
      <c r="JFW133" s="562"/>
      <c r="JFX133" s="562"/>
      <c r="JFY133" s="562"/>
      <c r="JFZ133" s="562"/>
      <c r="JGA133" s="562"/>
      <c r="JGB133" s="562"/>
      <c r="JGC133" s="562"/>
      <c r="JGD133" s="562"/>
      <c r="JGE133" s="562"/>
      <c r="JGF133" s="562"/>
      <c r="JGG133" s="562"/>
      <c r="JGH133" s="562"/>
      <c r="JGI133" s="562"/>
      <c r="JGJ133" s="562"/>
      <c r="JGK133" s="562"/>
      <c r="JGL133" s="562"/>
      <c r="JGM133" s="562"/>
      <c r="JGN133" s="562"/>
      <c r="JGO133" s="562"/>
      <c r="JGP133" s="562"/>
      <c r="JGQ133" s="562"/>
      <c r="JGR133" s="562"/>
      <c r="JGS133" s="562"/>
      <c r="JGT133" s="562"/>
      <c r="JGU133" s="562"/>
      <c r="JGV133" s="562"/>
      <c r="JGW133" s="562"/>
      <c r="JGX133" s="562"/>
      <c r="JGY133" s="562"/>
      <c r="JGZ133" s="562"/>
      <c r="JHA133" s="562"/>
      <c r="JHB133" s="562"/>
      <c r="JHC133" s="562"/>
      <c r="JHD133" s="562"/>
      <c r="JHE133" s="562"/>
      <c r="JHF133" s="562"/>
      <c r="JHG133" s="562"/>
      <c r="JHH133" s="562"/>
      <c r="JHI133" s="562"/>
      <c r="JHJ133" s="562"/>
      <c r="JHK133" s="562"/>
      <c r="JHL133" s="562"/>
      <c r="JHM133" s="562"/>
      <c r="JHN133" s="562"/>
      <c r="JHO133" s="562"/>
      <c r="JHP133" s="562"/>
      <c r="JHQ133" s="562"/>
      <c r="JHR133" s="562"/>
      <c r="JHS133" s="562"/>
      <c r="JHT133" s="562"/>
      <c r="JHU133" s="562"/>
      <c r="JHV133" s="562"/>
      <c r="JHW133" s="562"/>
      <c r="JHX133" s="562"/>
      <c r="JHY133" s="562"/>
      <c r="JHZ133" s="562"/>
      <c r="JIA133" s="562"/>
      <c r="JIB133" s="562"/>
      <c r="JIC133" s="562"/>
      <c r="JID133" s="562"/>
      <c r="JIE133" s="562"/>
      <c r="JIF133" s="562"/>
      <c r="JIG133" s="562"/>
      <c r="JIH133" s="562"/>
      <c r="JII133" s="562"/>
      <c r="JIJ133" s="562"/>
      <c r="JIK133" s="562"/>
      <c r="JIL133" s="562"/>
      <c r="JIM133" s="562"/>
      <c r="JIN133" s="562"/>
      <c r="JIO133" s="562"/>
      <c r="JIP133" s="562"/>
      <c r="JIQ133" s="562"/>
      <c r="JIR133" s="562"/>
      <c r="JIS133" s="562"/>
      <c r="JIT133" s="562"/>
      <c r="JIU133" s="562"/>
      <c r="JIV133" s="562"/>
      <c r="JIW133" s="562"/>
      <c r="JIX133" s="562"/>
      <c r="JIY133" s="562"/>
      <c r="JIZ133" s="562"/>
      <c r="JJA133" s="562"/>
      <c r="JJB133" s="562"/>
      <c r="JJC133" s="562"/>
      <c r="JJD133" s="562"/>
      <c r="JJE133" s="562"/>
      <c r="JJF133" s="562"/>
      <c r="JJG133" s="562"/>
      <c r="JJH133" s="562"/>
      <c r="JJI133" s="562"/>
      <c r="JJJ133" s="562"/>
      <c r="JJK133" s="562"/>
      <c r="JJL133" s="562"/>
      <c r="JJM133" s="562"/>
      <c r="JJN133" s="562"/>
      <c r="JJO133" s="562"/>
      <c r="JJP133" s="562"/>
      <c r="JJQ133" s="562"/>
      <c r="JJR133" s="562"/>
      <c r="JJS133" s="562"/>
      <c r="JJT133" s="562"/>
      <c r="JJU133" s="562"/>
      <c r="JJV133" s="562"/>
      <c r="JJW133" s="562"/>
      <c r="JJX133" s="562"/>
      <c r="JJY133" s="562"/>
      <c r="JJZ133" s="562"/>
      <c r="JKA133" s="562"/>
      <c r="JKB133" s="562"/>
      <c r="JKC133" s="562"/>
      <c r="JKD133" s="562"/>
      <c r="JKE133" s="562"/>
      <c r="JKF133" s="562"/>
      <c r="JKG133" s="562"/>
      <c r="JKH133" s="562"/>
      <c r="JKI133" s="562"/>
      <c r="JKJ133" s="562"/>
      <c r="JKK133" s="562"/>
      <c r="JKL133" s="562"/>
      <c r="JKM133" s="562"/>
      <c r="JKN133" s="562"/>
      <c r="JKO133" s="562"/>
      <c r="JKP133" s="562"/>
      <c r="JKQ133" s="562"/>
      <c r="JKR133" s="562"/>
      <c r="JKS133" s="562"/>
      <c r="JKT133" s="562"/>
      <c r="JKU133" s="562"/>
      <c r="JKV133" s="562"/>
      <c r="JKW133" s="562"/>
      <c r="JKX133" s="562"/>
      <c r="JKY133" s="562"/>
      <c r="JKZ133" s="562"/>
      <c r="JLA133" s="562"/>
      <c r="JLB133" s="562"/>
      <c r="JLC133" s="562"/>
      <c r="JLD133" s="562"/>
      <c r="JLE133" s="562"/>
      <c r="JLF133" s="562"/>
      <c r="JLG133" s="562"/>
      <c r="JLH133" s="562"/>
      <c r="JLI133" s="562"/>
      <c r="JLJ133" s="562"/>
      <c r="JLK133" s="562"/>
      <c r="JLL133" s="562"/>
      <c r="JLM133" s="562"/>
      <c r="JLN133" s="562"/>
      <c r="JLO133" s="562"/>
      <c r="JLP133" s="562"/>
      <c r="JLQ133" s="562"/>
      <c r="JLR133" s="562"/>
      <c r="JLS133" s="562"/>
      <c r="JLT133" s="562"/>
      <c r="JLU133" s="562"/>
      <c r="JLV133" s="562"/>
      <c r="JLW133" s="562"/>
      <c r="JLX133" s="562"/>
      <c r="JLY133" s="562"/>
      <c r="JLZ133" s="562"/>
      <c r="JMA133" s="562"/>
      <c r="JMB133" s="562"/>
      <c r="JMC133" s="562"/>
      <c r="JMD133" s="562"/>
      <c r="JME133" s="562"/>
      <c r="JMF133" s="562"/>
      <c r="JMG133" s="562"/>
      <c r="JMH133" s="562"/>
      <c r="JMI133" s="562"/>
      <c r="JMJ133" s="562"/>
      <c r="JMK133" s="562"/>
      <c r="JML133" s="562"/>
      <c r="JMM133" s="562"/>
      <c r="JMN133" s="562"/>
      <c r="JMO133" s="562"/>
      <c r="JMP133" s="562"/>
      <c r="JMQ133" s="562"/>
      <c r="JMR133" s="562"/>
      <c r="JMS133" s="562"/>
      <c r="JMT133" s="562"/>
      <c r="JMU133" s="562"/>
      <c r="JMV133" s="562"/>
      <c r="JMW133" s="562"/>
      <c r="JMX133" s="562"/>
      <c r="JMY133" s="562"/>
      <c r="JMZ133" s="562"/>
      <c r="JNA133" s="562"/>
      <c r="JNB133" s="562"/>
      <c r="JNC133" s="562"/>
      <c r="JND133" s="562"/>
      <c r="JNE133" s="562"/>
      <c r="JNF133" s="562"/>
      <c r="JNG133" s="562"/>
      <c r="JNH133" s="562"/>
      <c r="JNI133" s="562"/>
      <c r="JNJ133" s="562"/>
      <c r="JNK133" s="562"/>
      <c r="JNL133" s="562"/>
      <c r="JNM133" s="562"/>
      <c r="JNN133" s="562"/>
      <c r="JNO133" s="562"/>
      <c r="JNP133" s="562"/>
      <c r="JNQ133" s="562"/>
      <c r="JNR133" s="562"/>
      <c r="JNS133" s="562"/>
      <c r="JNT133" s="562"/>
      <c r="JNU133" s="562"/>
      <c r="JNV133" s="562"/>
      <c r="JNW133" s="562"/>
      <c r="JNX133" s="562"/>
      <c r="JNY133" s="562"/>
      <c r="JNZ133" s="562"/>
      <c r="JOA133" s="562"/>
      <c r="JOB133" s="562"/>
      <c r="JOC133" s="562"/>
      <c r="JOD133" s="562"/>
      <c r="JOE133" s="562"/>
      <c r="JOF133" s="562"/>
      <c r="JOG133" s="562"/>
      <c r="JOH133" s="562"/>
      <c r="JOI133" s="562"/>
      <c r="JOJ133" s="562"/>
      <c r="JOK133" s="562"/>
      <c r="JOL133" s="562"/>
      <c r="JOM133" s="562"/>
      <c r="JON133" s="562"/>
      <c r="JOO133" s="562"/>
      <c r="JOP133" s="562"/>
      <c r="JOQ133" s="562"/>
      <c r="JOR133" s="562"/>
      <c r="JOS133" s="562"/>
      <c r="JOT133" s="562"/>
      <c r="JOU133" s="562"/>
      <c r="JOV133" s="562"/>
      <c r="JOW133" s="562"/>
      <c r="JOX133" s="562"/>
      <c r="JOY133" s="562"/>
      <c r="JOZ133" s="562"/>
      <c r="JPA133" s="562"/>
      <c r="JPB133" s="562"/>
      <c r="JPC133" s="562"/>
      <c r="JPD133" s="562"/>
      <c r="JPE133" s="562"/>
      <c r="JPF133" s="562"/>
      <c r="JPG133" s="562"/>
      <c r="JPH133" s="562"/>
      <c r="JPI133" s="562"/>
      <c r="JPJ133" s="562"/>
      <c r="JPK133" s="562"/>
      <c r="JPL133" s="562"/>
      <c r="JPM133" s="562"/>
      <c r="JPN133" s="562"/>
      <c r="JPO133" s="562"/>
      <c r="JPP133" s="562"/>
      <c r="JPQ133" s="562"/>
      <c r="JPR133" s="562"/>
      <c r="JPS133" s="562"/>
      <c r="JPT133" s="562"/>
      <c r="JPU133" s="562"/>
      <c r="JPV133" s="562"/>
      <c r="JPW133" s="562"/>
      <c r="JPX133" s="562"/>
      <c r="JPY133" s="562"/>
      <c r="JPZ133" s="562"/>
      <c r="JQA133" s="562"/>
      <c r="JQB133" s="562"/>
      <c r="JQC133" s="562"/>
      <c r="JQD133" s="562"/>
      <c r="JQE133" s="562"/>
      <c r="JQF133" s="562"/>
      <c r="JQG133" s="562"/>
      <c r="JQH133" s="562"/>
      <c r="JQI133" s="562"/>
      <c r="JQJ133" s="562"/>
      <c r="JQK133" s="562"/>
      <c r="JQL133" s="562"/>
      <c r="JQM133" s="562"/>
      <c r="JQN133" s="562"/>
      <c r="JQO133" s="562"/>
      <c r="JQP133" s="562"/>
      <c r="JQQ133" s="562"/>
      <c r="JQR133" s="562"/>
      <c r="JQS133" s="562"/>
      <c r="JQT133" s="562"/>
      <c r="JQU133" s="562"/>
      <c r="JQV133" s="562"/>
      <c r="JQW133" s="562"/>
      <c r="JQX133" s="562"/>
      <c r="JQY133" s="562"/>
      <c r="JQZ133" s="562"/>
      <c r="JRA133" s="562"/>
      <c r="JRB133" s="562"/>
      <c r="JRC133" s="562"/>
      <c r="JRD133" s="562"/>
      <c r="JRE133" s="562"/>
      <c r="JRF133" s="562"/>
      <c r="JRG133" s="562"/>
      <c r="JRH133" s="562"/>
      <c r="JRI133" s="562"/>
      <c r="JRJ133" s="562"/>
      <c r="JRK133" s="562"/>
      <c r="JRL133" s="562"/>
      <c r="JRM133" s="562"/>
      <c r="JRN133" s="562"/>
      <c r="JRO133" s="562"/>
      <c r="JRP133" s="562"/>
      <c r="JRQ133" s="562"/>
      <c r="JRR133" s="562"/>
      <c r="JRS133" s="562"/>
      <c r="JRT133" s="562"/>
      <c r="JRU133" s="562"/>
      <c r="JRV133" s="562"/>
      <c r="JRW133" s="562"/>
      <c r="JRX133" s="562"/>
      <c r="JRY133" s="562"/>
      <c r="JRZ133" s="562"/>
      <c r="JSA133" s="562"/>
      <c r="JSB133" s="562"/>
      <c r="JSC133" s="562"/>
      <c r="JSD133" s="562"/>
      <c r="JSE133" s="562"/>
      <c r="JSF133" s="562"/>
      <c r="JSG133" s="562"/>
      <c r="JSH133" s="562"/>
      <c r="JSI133" s="562"/>
      <c r="JSJ133" s="562"/>
      <c r="JSK133" s="562"/>
      <c r="JSL133" s="562"/>
      <c r="JSM133" s="562"/>
      <c r="JSN133" s="562"/>
      <c r="JSO133" s="562"/>
      <c r="JSP133" s="562"/>
      <c r="JSQ133" s="562"/>
      <c r="JSR133" s="562"/>
      <c r="JSS133" s="562"/>
      <c r="JST133" s="562"/>
      <c r="JSU133" s="562"/>
      <c r="JSV133" s="562"/>
      <c r="JSW133" s="562"/>
      <c r="JSX133" s="562"/>
      <c r="JSY133" s="562"/>
      <c r="JSZ133" s="562"/>
      <c r="JTA133" s="562"/>
      <c r="JTB133" s="562"/>
      <c r="JTC133" s="562"/>
      <c r="JTD133" s="562"/>
      <c r="JTE133" s="562"/>
      <c r="JTF133" s="562"/>
      <c r="JTG133" s="562"/>
      <c r="JTH133" s="562"/>
      <c r="JTI133" s="562"/>
      <c r="JTJ133" s="562"/>
      <c r="JTK133" s="562"/>
      <c r="JTL133" s="562"/>
      <c r="JTM133" s="562"/>
      <c r="JTN133" s="562"/>
      <c r="JTO133" s="562"/>
      <c r="JTP133" s="562"/>
      <c r="JTQ133" s="562"/>
      <c r="JTR133" s="562"/>
      <c r="JTS133" s="562"/>
      <c r="JTT133" s="562"/>
      <c r="JTU133" s="562"/>
      <c r="JTV133" s="562"/>
      <c r="JTW133" s="562"/>
      <c r="JTX133" s="562"/>
      <c r="JTY133" s="562"/>
      <c r="JTZ133" s="562"/>
      <c r="JUA133" s="562"/>
      <c r="JUB133" s="562"/>
      <c r="JUC133" s="562"/>
      <c r="JUD133" s="562"/>
      <c r="JUE133" s="562"/>
      <c r="JUF133" s="562"/>
      <c r="JUG133" s="562"/>
      <c r="JUH133" s="562"/>
      <c r="JUI133" s="562"/>
      <c r="JUJ133" s="562"/>
      <c r="JUK133" s="562"/>
      <c r="JUL133" s="562"/>
      <c r="JUM133" s="562"/>
      <c r="JUN133" s="562"/>
      <c r="JUO133" s="562"/>
      <c r="JUP133" s="562"/>
      <c r="JUQ133" s="562"/>
      <c r="JUR133" s="562"/>
      <c r="JUS133" s="562"/>
      <c r="JUT133" s="562"/>
      <c r="JUU133" s="562"/>
      <c r="JUV133" s="562"/>
      <c r="JUW133" s="562"/>
      <c r="JUX133" s="562"/>
      <c r="JUY133" s="562"/>
      <c r="JUZ133" s="562"/>
      <c r="JVA133" s="562"/>
      <c r="JVB133" s="562"/>
      <c r="JVC133" s="562"/>
      <c r="JVD133" s="562"/>
      <c r="JVE133" s="562"/>
      <c r="JVF133" s="562"/>
      <c r="JVG133" s="562"/>
      <c r="JVH133" s="562"/>
      <c r="JVI133" s="562"/>
      <c r="JVJ133" s="562"/>
      <c r="JVK133" s="562"/>
      <c r="JVL133" s="562"/>
      <c r="JVM133" s="562"/>
      <c r="JVN133" s="562"/>
      <c r="JVO133" s="562"/>
      <c r="JVP133" s="562"/>
      <c r="JVQ133" s="562"/>
      <c r="JVR133" s="562"/>
      <c r="JVS133" s="562"/>
      <c r="JVT133" s="562"/>
      <c r="JVU133" s="562"/>
      <c r="JVV133" s="562"/>
      <c r="JVW133" s="562"/>
      <c r="JVX133" s="562"/>
      <c r="JVY133" s="562"/>
      <c r="JVZ133" s="562"/>
      <c r="JWA133" s="562"/>
      <c r="JWB133" s="562"/>
      <c r="JWC133" s="562"/>
      <c r="JWD133" s="562"/>
      <c r="JWE133" s="562"/>
      <c r="JWF133" s="562"/>
      <c r="JWG133" s="562"/>
      <c r="JWH133" s="562"/>
      <c r="JWI133" s="562"/>
      <c r="JWJ133" s="562"/>
      <c r="JWK133" s="562"/>
      <c r="JWL133" s="562"/>
      <c r="JWM133" s="562"/>
      <c r="JWN133" s="562"/>
      <c r="JWO133" s="562"/>
      <c r="JWP133" s="562"/>
      <c r="JWQ133" s="562"/>
      <c r="JWR133" s="562"/>
      <c r="JWS133" s="562"/>
      <c r="JWT133" s="562"/>
      <c r="JWU133" s="562"/>
      <c r="JWV133" s="562"/>
      <c r="JWW133" s="562"/>
      <c r="JWX133" s="562"/>
      <c r="JWY133" s="562"/>
      <c r="JWZ133" s="562"/>
      <c r="JXA133" s="562"/>
      <c r="JXB133" s="562"/>
      <c r="JXC133" s="562"/>
      <c r="JXD133" s="562"/>
      <c r="JXE133" s="562"/>
      <c r="JXF133" s="562"/>
      <c r="JXG133" s="562"/>
      <c r="JXH133" s="562"/>
      <c r="JXI133" s="562"/>
      <c r="JXJ133" s="562"/>
      <c r="JXK133" s="562"/>
      <c r="JXL133" s="562"/>
      <c r="JXM133" s="562"/>
      <c r="JXN133" s="562"/>
      <c r="JXO133" s="562"/>
      <c r="JXP133" s="562"/>
      <c r="JXQ133" s="562"/>
      <c r="JXR133" s="562"/>
      <c r="JXS133" s="562"/>
      <c r="JXT133" s="562"/>
      <c r="JXU133" s="562"/>
      <c r="JXV133" s="562"/>
      <c r="JXW133" s="562"/>
      <c r="JXX133" s="562"/>
      <c r="JXY133" s="562"/>
      <c r="JXZ133" s="562"/>
      <c r="JYA133" s="562"/>
      <c r="JYB133" s="562"/>
      <c r="JYC133" s="562"/>
      <c r="JYD133" s="562"/>
      <c r="JYE133" s="562"/>
      <c r="JYF133" s="562"/>
      <c r="JYG133" s="562"/>
      <c r="JYH133" s="562"/>
      <c r="JYI133" s="562"/>
      <c r="JYJ133" s="562"/>
      <c r="JYK133" s="562"/>
      <c r="JYL133" s="562"/>
      <c r="JYM133" s="562"/>
      <c r="JYN133" s="562"/>
      <c r="JYO133" s="562"/>
      <c r="JYP133" s="562"/>
      <c r="JYQ133" s="562"/>
      <c r="JYR133" s="562"/>
      <c r="JYS133" s="562"/>
      <c r="JYT133" s="562"/>
      <c r="JYU133" s="562"/>
      <c r="JYV133" s="562"/>
      <c r="JYW133" s="562"/>
      <c r="JYX133" s="562"/>
      <c r="JYY133" s="562"/>
      <c r="JYZ133" s="562"/>
      <c r="JZA133" s="562"/>
      <c r="JZB133" s="562"/>
      <c r="JZC133" s="562"/>
      <c r="JZD133" s="562"/>
      <c r="JZE133" s="562"/>
      <c r="JZF133" s="562"/>
      <c r="JZG133" s="562"/>
      <c r="JZH133" s="562"/>
      <c r="JZI133" s="562"/>
      <c r="JZJ133" s="562"/>
      <c r="JZK133" s="562"/>
      <c r="JZL133" s="562"/>
      <c r="JZM133" s="562"/>
      <c r="JZN133" s="562"/>
      <c r="JZO133" s="562"/>
      <c r="JZP133" s="562"/>
      <c r="JZQ133" s="562"/>
      <c r="JZR133" s="562"/>
      <c r="JZS133" s="562"/>
      <c r="JZT133" s="562"/>
      <c r="JZU133" s="562"/>
      <c r="JZV133" s="562"/>
      <c r="JZW133" s="562"/>
      <c r="JZX133" s="562"/>
      <c r="JZY133" s="562"/>
      <c r="JZZ133" s="562"/>
      <c r="KAA133" s="562"/>
      <c r="KAB133" s="562"/>
      <c r="KAC133" s="562"/>
      <c r="KAD133" s="562"/>
      <c r="KAE133" s="562"/>
      <c r="KAF133" s="562"/>
      <c r="KAG133" s="562"/>
      <c r="KAH133" s="562"/>
      <c r="KAI133" s="562"/>
      <c r="KAJ133" s="562"/>
      <c r="KAK133" s="562"/>
      <c r="KAL133" s="562"/>
      <c r="KAM133" s="562"/>
      <c r="KAN133" s="562"/>
      <c r="KAO133" s="562"/>
      <c r="KAP133" s="562"/>
      <c r="KAQ133" s="562"/>
      <c r="KAR133" s="562"/>
      <c r="KAS133" s="562"/>
      <c r="KAT133" s="562"/>
      <c r="KAU133" s="562"/>
      <c r="KAV133" s="562"/>
      <c r="KAW133" s="562"/>
      <c r="KAX133" s="562"/>
      <c r="KAY133" s="562"/>
      <c r="KAZ133" s="562"/>
      <c r="KBA133" s="562"/>
      <c r="KBB133" s="562"/>
      <c r="KBC133" s="562"/>
      <c r="KBD133" s="562"/>
      <c r="KBE133" s="562"/>
      <c r="KBF133" s="562"/>
      <c r="KBG133" s="562"/>
      <c r="KBH133" s="562"/>
      <c r="KBI133" s="562"/>
      <c r="KBJ133" s="562"/>
      <c r="KBK133" s="562"/>
      <c r="KBL133" s="562"/>
      <c r="KBM133" s="562"/>
      <c r="KBN133" s="562"/>
      <c r="KBO133" s="562"/>
      <c r="KBP133" s="562"/>
      <c r="KBQ133" s="562"/>
      <c r="KBR133" s="562"/>
      <c r="KBS133" s="562"/>
      <c r="KBT133" s="562"/>
      <c r="KBU133" s="562"/>
      <c r="KBV133" s="562"/>
      <c r="KBW133" s="562"/>
      <c r="KBX133" s="562"/>
      <c r="KBY133" s="562"/>
      <c r="KBZ133" s="562"/>
      <c r="KCA133" s="562"/>
      <c r="KCB133" s="562"/>
      <c r="KCC133" s="562"/>
      <c r="KCD133" s="562"/>
      <c r="KCE133" s="562"/>
      <c r="KCF133" s="562"/>
      <c r="KCG133" s="562"/>
      <c r="KCH133" s="562"/>
      <c r="KCI133" s="562"/>
      <c r="KCJ133" s="562"/>
      <c r="KCK133" s="562"/>
      <c r="KCL133" s="562"/>
      <c r="KCM133" s="562"/>
      <c r="KCN133" s="562"/>
      <c r="KCO133" s="562"/>
      <c r="KCP133" s="562"/>
      <c r="KCQ133" s="562"/>
      <c r="KCR133" s="562"/>
      <c r="KCS133" s="562"/>
      <c r="KCT133" s="562"/>
      <c r="KCU133" s="562"/>
      <c r="KCV133" s="562"/>
      <c r="KCW133" s="562"/>
      <c r="KCX133" s="562"/>
      <c r="KCY133" s="562"/>
      <c r="KCZ133" s="562"/>
      <c r="KDA133" s="562"/>
      <c r="KDB133" s="562"/>
      <c r="KDC133" s="562"/>
      <c r="KDD133" s="562"/>
      <c r="KDE133" s="562"/>
      <c r="KDF133" s="562"/>
      <c r="KDG133" s="562"/>
      <c r="KDH133" s="562"/>
      <c r="KDI133" s="562"/>
      <c r="KDJ133" s="562"/>
      <c r="KDK133" s="562"/>
      <c r="KDL133" s="562"/>
      <c r="KDM133" s="562"/>
      <c r="KDN133" s="562"/>
      <c r="KDO133" s="562"/>
      <c r="KDP133" s="562"/>
      <c r="KDQ133" s="562"/>
      <c r="KDR133" s="562"/>
      <c r="KDS133" s="562"/>
      <c r="KDT133" s="562"/>
      <c r="KDU133" s="562"/>
      <c r="KDV133" s="562"/>
      <c r="KDW133" s="562"/>
      <c r="KDX133" s="562"/>
      <c r="KDY133" s="562"/>
      <c r="KDZ133" s="562"/>
      <c r="KEA133" s="562"/>
      <c r="KEB133" s="562"/>
      <c r="KEC133" s="562"/>
      <c r="KED133" s="562"/>
      <c r="KEE133" s="562"/>
      <c r="KEF133" s="562"/>
      <c r="KEG133" s="562"/>
      <c r="KEH133" s="562"/>
      <c r="KEI133" s="562"/>
      <c r="KEJ133" s="562"/>
      <c r="KEK133" s="562"/>
      <c r="KEL133" s="562"/>
      <c r="KEM133" s="562"/>
      <c r="KEN133" s="562"/>
      <c r="KEO133" s="562"/>
      <c r="KEP133" s="562"/>
      <c r="KEQ133" s="562"/>
      <c r="KER133" s="562"/>
      <c r="KES133" s="562"/>
      <c r="KET133" s="562"/>
      <c r="KEU133" s="562"/>
      <c r="KEV133" s="562"/>
      <c r="KEW133" s="562"/>
      <c r="KEX133" s="562"/>
      <c r="KEY133" s="562"/>
      <c r="KEZ133" s="562"/>
      <c r="KFA133" s="562"/>
      <c r="KFB133" s="562"/>
      <c r="KFC133" s="562"/>
      <c r="KFD133" s="562"/>
      <c r="KFE133" s="562"/>
      <c r="KFF133" s="562"/>
      <c r="KFG133" s="562"/>
      <c r="KFH133" s="562"/>
      <c r="KFI133" s="562"/>
      <c r="KFJ133" s="562"/>
      <c r="KFK133" s="562"/>
      <c r="KFL133" s="562"/>
      <c r="KFM133" s="562"/>
      <c r="KFN133" s="562"/>
      <c r="KFO133" s="562"/>
      <c r="KFP133" s="562"/>
      <c r="KFQ133" s="562"/>
      <c r="KFR133" s="562"/>
      <c r="KFS133" s="562"/>
      <c r="KFT133" s="562"/>
      <c r="KFU133" s="562"/>
      <c r="KFV133" s="562"/>
      <c r="KFW133" s="562"/>
      <c r="KFX133" s="562"/>
      <c r="KFY133" s="562"/>
      <c r="KFZ133" s="562"/>
      <c r="KGA133" s="562"/>
      <c r="KGB133" s="562"/>
      <c r="KGC133" s="562"/>
      <c r="KGD133" s="562"/>
      <c r="KGE133" s="562"/>
      <c r="KGF133" s="562"/>
      <c r="KGG133" s="562"/>
      <c r="KGH133" s="562"/>
      <c r="KGI133" s="562"/>
      <c r="KGJ133" s="562"/>
      <c r="KGK133" s="562"/>
      <c r="KGL133" s="562"/>
      <c r="KGM133" s="562"/>
      <c r="KGN133" s="562"/>
      <c r="KGO133" s="562"/>
      <c r="KGP133" s="562"/>
      <c r="KGQ133" s="562"/>
      <c r="KGR133" s="562"/>
      <c r="KGS133" s="562"/>
      <c r="KGT133" s="562"/>
      <c r="KGU133" s="562"/>
      <c r="KGV133" s="562"/>
      <c r="KGW133" s="562"/>
      <c r="KGX133" s="562"/>
      <c r="KGY133" s="562"/>
      <c r="KGZ133" s="562"/>
      <c r="KHA133" s="562"/>
      <c r="KHB133" s="562"/>
      <c r="KHC133" s="562"/>
      <c r="KHD133" s="562"/>
      <c r="KHE133" s="562"/>
      <c r="KHF133" s="562"/>
      <c r="KHG133" s="562"/>
      <c r="KHH133" s="562"/>
      <c r="KHI133" s="562"/>
      <c r="KHJ133" s="562"/>
      <c r="KHK133" s="562"/>
      <c r="KHL133" s="562"/>
      <c r="KHM133" s="562"/>
      <c r="KHN133" s="562"/>
      <c r="KHO133" s="562"/>
      <c r="KHP133" s="562"/>
      <c r="KHQ133" s="562"/>
      <c r="KHR133" s="562"/>
      <c r="KHS133" s="562"/>
      <c r="KHT133" s="562"/>
      <c r="KHU133" s="562"/>
      <c r="KHV133" s="562"/>
      <c r="KHW133" s="562"/>
      <c r="KHX133" s="562"/>
      <c r="KHY133" s="562"/>
      <c r="KHZ133" s="562"/>
      <c r="KIA133" s="562"/>
      <c r="KIB133" s="562"/>
      <c r="KIC133" s="562"/>
      <c r="KID133" s="562"/>
      <c r="KIE133" s="562"/>
      <c r="KIF133" s="562"/>
      <c r="KIG133" s="562"/>
      <c r="KIH133" s="562"/>
      <c r="KII133" s="562"/>
      <c r="KIJ133" s="562"/>
      <c r="KIK133" s="562"/>
      <c r="KIL133" s="562"/>
      <c r="KIM133" s="562"/>
      <c r="KIN133" s="562"/>
      <c r="KIO133" s="562"/>
      <c r="KIP133" s="562"/>
      <c r="KIQ133" s="562"/>
      <c r="KIR133" s="562"/>
      <c r="KIS133" s="562"/>
      <c r="KIT133" s="562"/>
      <c r="KIU133" s="562"/>
      <c r="KIV133" s="562"/>
      <c r="KIW133" s="562"/>
      <c r="KIX133" s="562"/>
      <c r="KIY133" s="562"/>
      <c r="KIZ133" s="562"/>
      <c r="KJA133" s="562"/>
      <c r="KJB133" s="562"/>
      <c r="KJC133" s="562"/>
      <c r="KJD133" s="562"/>
      <c r="KJE133" s="562"/>
      <c r="KJF133" s="562"/>
      <c r="KJG133" s="562"/>
      <c r="KJH133" s="562"/>
      <c r="KJI133" s="562"/>
      <c r="KJJ133" s="562"/>
      <c r="KJK133" s="562"/>
      <c r="KJL133" s="562"/>
      <c r="KJM133" s="562"/>
      <c r="KJN133" s="562"/>
      <c r="KJO133" s="562"/>
      <c r="KJP133" s="562"/>
      <c r="KJQ133" s="562"/>
      <c r="KJR133" s="562"/>
      <c r="KJS133" s="562"/>
      <c r="KJT133" s="562"/>
      <c r="KJU133" s="562"/>
      <c r="KJV133" s="562"/>
      <c r="KJW133" s="562"/>
      <c r="KJX133" s="562"/>
      <c r="KJY133" s="562"/>
      <c r="KJZ133" s="562"/>
      <c r="KKA133" s="562"/>
      <c r="KKB133" s="562"/>
      <c r="KKC133" s="562"/>
      <c r="KKD133" s="562"/>
      <c r="KKE133" s="562"/>
      <c r="KKF133" s="562"/>
      <c r="KKG133" s="562"/>
      <c r="KKH133" s="562"/>
      <c r="KKI133" s="562"/>
      <c r="KKJ133" s="562"/>
      <c r="KKK133" s="562"/>
      <c r="KKL133" s="562"/>
      <c r="KKM133" s="562"/>
      <c r="KKN133" s="562"/>
      <c r="KKO133" s="562"/>
      <c r="KKP133" s="562"/>
      <c r="KKQ133" s="562"/>
      <c r="KKR133" s="562"/>
      <c r="KKS133" s="562"/>
      <c r="KKT133" s="562"/>
      <c r="KKU133" s="562"/>
      <c r="KKV133" s="562"/>
      <c r="KKW133" s="562"/>
      <c r="KKX133" s="562"/>
      <c r="KKY133" s="562"/>
      <c r="KKZ133" s="562"/>
      <c r="KLA133" s="562"/>
      <c r="KLB133" s="562"/>
      <c r="KLC133" s="562"/>
      <c r="KLD133" s="562"/>
      <c r="KLE133" s="562"/>
      <c r="KLF133" s="562"/>
      <c r="KLG133" s="562"/>
      <c r="KLH133" s="562"/>
      <c r="KLI133" s="562"/>
      <c r="KLJ133" s="562"/>
      <c r="KLK133" s="562"/>
      <c r="KLL133" s="562"/>
      <c r="KLM133" s="562"/>
      <c r="KLN133" s="562"/>
      <c r="KLO133" s="562"/>
      <c r="KLP133" s="562"/>
      <c r="KLQ133" s="562"/>
      <c r="KLR133" s="562"/>
      <c r="KLS133" s="562"/>
      <c r="KLT133" s="562"/>
      <c r="KLU133" s="562"/>
      <c r="KLV133" s="562"/>
      <c r="KLW133" s="562"/>
      <c r="KLX133" s="562"/>
      <c r="KLY133" s="562"/>
      <c r="KLZ133" s="562"/>
      <c r="KMA133" s="562"/>
      <c r="KMB133" s="562"/>
      <c r="KMC133" s="562"/>
      <c r="KMD133" s="562"/>
      <c r="KME133" s="562"/>
      <c r="KMF133" s="562"/>
      <c r="KMG133" s="562"/>
      <c r="KMH133" s="562"/>
      <c r="KMI133" s="562"/>
      <c r="KMJ133" s="562"/>
      <c r="KMK133" s="562"/>
      <c r="KML133" s="562"/>
      <c r="KMM133" s="562"/>
      <c r="KMN133" s="562"/>
      <c r="KMO133" s="562"/>
      <c r="KMP133" s="562"/>
      <c r="KMQ133" s="562"/>
      <c r="KMR133" s="562"/>
      <c r="KMS133" s="562"/>
      <c r="KMT133" s="562"/>
      <c r="KMU133" s="562"/>
      <c r="KMV133" s="562"/>
      <c r="KMW133" s="562"/>
      <c r="KMX133" s="562"/>
      <c r="KMY133" s="562"/>
      <c r="KMZ133" s="562"/>
      <c r="KNA133" s="562"/>
      <c r="KNB133" s="562"/>
      <c r="KNC133" s="562"/>
      <c r="KND133" s="562"/>
      <c r="KNE133" s="562"/>
      <c r="KNF133" s="562"/>
      <c r="KNG133" s="562"/>
      <c r="KNH133" s="562"/>
      <c r="KNI133" s="562"/>
      <c r="KNJ133" s="562"/>
      <c r="KNK133" s="562"/>
      <c r="KNL133" s="562"/>
      <c r="KNM133" s="562"/>
      <c r="KNN133" s="562"/>
      <c r="KNO133" s="562"/>
      <c r="KNP133" s="562"/>
      <c r="KNQ133" s="562"/>
      <c r="KNR133" s="562"/>
      <c r="KNS133" s="562"/>
      <c r="KNT133" s="562"/>
      <c r="KNU133" s="562"/>
      <c r="KNV133" s="562"/>
      <c r="KNW133" s="562"/>
      <c r="KNX133" s="562"/>
      <c r="KNY133" s="562"/>
      <c r="KNZ133" s="562"/>
      <c r="KOA133" s="562"/>
      <c r="KOB133" s="562"/>
      <c r="KOC133" s="562"/>
      <c r="KOD133" s="562"/>
      <c r="KOE133" s="562"/>
      <c r="KOF133" s="562"/>
      <c r="KOG133" s="562"/>
      <c r="KOH133" s="562"/>
      <c r="KOI133" s="562"/>
      <c r="KOJ133" s="562"/>
      <c r="KOK133" s="562"/>
      <c r="KOL133" s="562"/>
      <c r="KOM133" s="562"/>
      <c r="KON133" s="562"/>
      <c r="KOO133" s="562"/>
      <c r="KOP133" s="562"/>
      <c r="KOQ133" s="562"/>
      <c r="KOR133" s="562"/>
      <c r="KOS133" s="562"/>
      <c r="KOT133" s="562"/>
      <c r="KOU133" s="562"/>
      <c r="KOV133" s="562"/>
      <c r="KOW133" s="562"/>
      <c r="KOX133" s="562"/>
      <c r="KOY133" s="562"/>
      <c r="KOZ133" s="562"/>
      <c r="KPA133" s="562"/>
      <c r="KPB133" s="562"/>
      <c r="KPC133" s="562"/>
      <c r="KPD133" s="562"/>
      <c r="KPE133" s="562"/>
      <c r="KPF133" s="562"/>
      <c r="KPG133" s="562"/>
      <c r="KPH133" s="562"/>
      <c r="KPI133" s="562"/>
      <c r="KPJ133" s="562"/>
      <c r="KPK133" s="562"/>
      <c r="KPL133" s="562"/>
      <c r="KPM133" s="562"/>
      <c r="KPN133" s="562"/>
      <c r="KPO133" s="562"/>
      <c r="KPP133" s="562"/>
      <c r="KPQ133" s="562"/>
      <c r="KPR133" s="562"/>
      <c r="KPS133" s="562"/>
      <c r="KPT133" s="562"/>
      <c r="KPU133" s="562"/>
      <c r="KPV133" s="562"/>
      <c r="KPW133" s="562"/>
      <c r="KPX133" s="562"/>
      <c r="KPY133" s="562"/>
      <c r="KPZ133" s="562"/>
      <c r="KQA133" s="562"/>
      <c r="KQB133" s="562"/>
      <c r="KQC133" s="562"/>
      <c r="KQD133" s="562"/>
      <c r="KQE133" s="562"/>
      <c r="KQF133" s="562"/>
      <c r="KQG133" s="562"/>
      <c r="KQH133" s="562"/>
      <c r="KQI133" s="562"/>
      <c r="KQJ133" s="562"/>
      <c r="KQK133" s="562"/>
      <c r="KQL133" s="562"/>
      <c r="KQM133" s="562"/>
      <c r="KQN133" s="562"/>
      <c r="KQO133" s="562"/>
      <c r="KQP133" s="562"/>
      <c r="KQQ133" s="562"/>
      <c r="KQR133" s="562"/>
      <c r="KQS133" s="562"/>
      <c r="KQT133" s="562"/>
      <c r="KQU133" s="562"/>
      <c r="KQV133" s="562"/>
      <c r="KQW133" s="562"/>
      <c r="KQX133" s="562"/>
      <c r="KQY133" s="562"/>
      <c r="KQZ133" s="562"/>
      <c r="KRA133" s="562"/>
      <c r="KRB133" s="562"/>
      <c r="KRC133" s="562"/>
      <c r="KRD133" s="562"/>
      <c r="KRE133" s="562"/>
      <c r="KRF133" s="562"/>
      <c r="KRG133" s="562"/>
      <c r="KRH133" s="562"/>
      <c r="KRI133" s="562"/>
      <c r="KRJ133" s="562"/>
      <c r="KRK133" s="562"/>
      <c r="KRL133" s="562"/>
      <c r="KRM133" s="562"/>
      <c r="KRN133" s="562"/>
      <c r="KRO133" s="562"/>
      <c r="KRP133" s="562"/>
      <c r="KRQ133" s="562"/>
      <c r="KRR133" s="562"/>
      <c r="KRS133" s="562"/>
      <c r="KRT133" s="562"/>
      <c r="KRU133" s="562"/>
      <c r="KRV133" s="562"/>
      <c r="KRW133" s="562"/>
      <c r="KRX133" s="562"/>
      <c r="KRY133" s="562"/>
      <c r="KRZ133" s="562"/>
      <c r="KSA133" s="562"/>
      <c r="KSB133" s="562"/>
      <c r="KSC133" s="562"/>
      <c r="KSD133" s="562"/>
      <c r="KSE133" s="562"/>
      <c r="KSF133" s="562"/>
      <c r="KSG133" s="562"/>
      <c r="KSH133" s="562"/>
      <c r="KSI133" s="562"/>
      <c r="KSJ133" s="562"/>
      <c r="KSK133" s="562"/>
      <c r="KSL133" s="562"/>
      <c r="KSM133" s="562"/>
      <c r="KSN133" s="562"/>
      <c r="KSO133" s="562"/>
      <c r="KSP133" s="562"/>
      <c r="KSQ133" s="562"/>
      <c r="KSR133" s="562"/>
      <c r="KSS133" s="562"/>
      <c r="KST133" s="562"/>
      <c r="KSU133" s="562"/>
      <c r="KSV133" s="562"/>
      <c r="KSW133" s="562"/>
      <c r="KSX133" s="562"/>
      <c r="KSY133" s="562"/>
      <c r="KSZ133" s="562"/>
      <c r="KTA133" s="562"/>
      <c r="KTB133" s="562"/>
      <c r="KTC133" s="562"/>
      <c r="KTD133" s="562"/>
      <c r="KTE133" s="562"/>
      <c r="KTF133" s="562"/>
      <c r="KTG133" s="562"/>
      <c r="KTH133" s="562"/>
      <c r="KTI133" s="562"/>
      <c r="KTJ133" s="562"/>
      <c r="KTK133" s="562"/>
      <c r="KTL133" s="562"/>
      <c r="KTM133" s="562"/>
      <c r="KTN133" s="562"/>
      <c r="KTO133" s="562"/>
      <c r="KTP133" s="562"/>
      <c r="KTQ133" s="562"/>
      <c r="KTR133" s="562"/>
      <c r="KTS133" s="562"/>
      <c r="KTT133" s="562"/>
      <c r="KTU133" s="562"/>
      <c r="KTV133" s="562"/>
      <c r="KTW133" s="562"/>
      <c r="KTX133" s="562"/>
      <c r="KTY133" s="562"/>
      <c r="KTZ133" s="562"/>
      <c r="KUA133" s="562"/>
      <c r="KUB133" s="562"/>
      <c r="KUC133" s="562"/>
      <c r="KUD133" s="562"/>
      <c r="KUE133" s="562"/>
      <c r="KUF133" s="562"/>
      <c r="KUG133" s="562"/>
      <c r="KUH133" s="562"/>
      <c r="KUI133" s="562"/>
      <c r="KUJ133" s="562"/>
      <c r="KUK133" s="562"/>
      <c r="KUL133" s="562"/>
      <c r="KUM133" s="562"/>
      <c r="KUN133" s="562"/>
      <c r="KUO133" s="562"/>
      <c r="KUP133" s="562"/>
      <c r="KUQ133" s="562"/>
      <c r="KUR133" s="562"/>
      <c r="KUS133" s="562"/>
      <c r="KUT133" s="562"/>
      <c r="KUU133" s="562"/>
      <c r="KUV133" s="562"/>
      <c r="KUW133" s="562"/>
      <c r="KUX133" s="562"/>
      <c r="KUY133" s="562"/>
      <c r="KUZ133" s="562"/>
      <c r="KVA133" s="562"/>
      <c r="KVB133" s="562"/>
      <c r="KVC133" s="562"/>
      <c r="KVD133" s="562"/>
      <c r="KVE133" s="562"/>
      <c r="KVF133" s="562"/>
      <c r="KVG133" s="562"/>
      <c r="KVH133" s="562"/>
      <c r="KVI133" s="562"/>
      <c r="KVJ133" s="562"/>
      <c r="KVK133" s="562"/>
      <c r="KVL133" s="562"/>
      <c r="KVM133" s="562"/>
      <c r="KVN133" s="562"/>
      <c r="KVO133" s="562"/>
      <c r="KVP133" s="562"/>
      <c r="KVQ133" s="562"/>
      <c r="KVR133" s="562"/>
      <c r="KVS133" s="562"/>
      <c r="KVT133" s="562"/>
      <c r="KVU133" s="562"/>
      <c r="KVV133" s="562"/>
      <c r="KVW133" s="562"/>
      <c r="KVX133" s="562"/>
      <c r="KVY133" s="562"/>
      <c r="KVZ133" s="562"/>
      <c r="KWA133" s="562"/>
      <c r="KWB133" s="562"/>
      <c r="KWC133" s="562"/>
      <c r="KWD133" s="562"/>
      <c r="KWE133" s="562"/>
      <c r="KWF133" s="562"/>
      <c r="KWG133" s="562"/>
      <c r="KWH133" s="562"/>
      <c r="KWI133" s="562"/>
      <c r="KWJ133" s="562"/>
      <c r="KWK133" s="562"/>
      <c r="KWL133" s="562"/>
      <c r="KWM133" s="562"/>
      <c r="KWN133" s="562"/>
      <c r="KWO133" s="562"/>
      <c r="KWP133" s="562"/>
      <c r="KWQ133" s="562"/>
      <c r="KWR133" s="562"/>
      <c r="KWS133" s="562"/>
      <c r="KWT133" s="562"/>
      <c r="KWU133" s="562"/>
      <c r="KWV133" s="562"/>
      <c r="KWW133" s="562"/>
      <c r="KWX133" s="562"/>
      <c r="KWY133" s="562"/>
      <c r="KWZ133" s="562"/>
      <c r="KXA133" s="562"/>
      <c r="KXB133" s="562"/>
      <c r="KXC133" s="562"/>
      <c r="KXD133" s="562"/>
      <c r="KXE133" s="562"/>
      <c r="KXF133" s="562"/>
      <c r="KXG133" s="562"/>
      <c r="KXH133" s="562"/>
      <c r="KXI133" s="562"/>
      <c r="KXJ133" s="562"/>
      <c r="KXK133" s="562"/>
      <c r="KXL133" s="562"/>
      <c r="KXM133" s="562"/>
      <c r="KXN133" s="562"/>
      <c r="KXO133" s="562"/>
      <c r="KXP133" s="562"/>
      <c r="KXQ133" s="562"/>
      <c r="KXR133" s="562"/>
      <c r="KXS133" s="562"/>
      <c r="KXT133" s="562"/>
      <c r="KXU133" s="562"/>
      <c r="KXV133" s="562"/>
      <c r="KXW133" s="562"/>
      <c r="KXX133" s="562"/>
      <c r="KXY133" s="562"/>
      <c r="KXZ133" s="562"/>
      <c r="KYA133" s="562"/>
      <c r="KYB133" s="562"/>
      <c r="KYC133" s="562"/>
      <c r="KYD133" s="562"/>
      <c r="KYE133" s="562"/>
      <c r="KYF133" s="562"/>
      <c r="KYG133" s="562"/>
      <c r="KYH133" s="562"/>
      <c r="KYI133" s="562"/>
      <c r="KYJ133" s="562"/>
      <c r="KYK133" s="562"/>
      <c r="KYL133" s="562"/>
      <c r="KYM133" s="562"/>
      <c r="KYN133" s="562"/>
      <c r="KYO133" s="562"/>
      <c r="KYP133" s="562"/>
      <c r="KYQ133" s="562"/>
      <c r="KYR133" s="562"/>
      <c r="KYS133" s="562"/>
      <c r="KYT133" s="562"/>
      <c r="KYU133" s="562"/>
      <c r="KYV133" s="562"/>
      <c r="KYW133" s="562"/>
      <c r="KYX133" s="562"/>
      <c r="KYY133" s="562"/>
      <c r="KYZ133" s="562"/>
      <c r="KZA133" s="562"/>
      <c r="KZB133" s="562"/>
      <c r="KZC133" s="562"/>
      <c r="KZD133" s="562"/>
      <c r="KZE133" s="562"/>
      <c r="KZF133" s="562"/>
      <c r="KZG133" s="562"/>
      <c r="KZH133" s="562"/>
      <c r="KZI133" s="562"/>
      <c r="KZJ133" s="562"/>
      <c r="KZK133" s="562"/>
      <c r="KZL133" s="562"/>
      <c r="KZM133" s="562"/>
      <c r="KZN133" s="562"/>
      <c r="KZO133" s="562"/>
      <c r="KZP133" s="562"/>
      <c r="KZQ133" s="562"/>
      <c r="KZR133" s="562"/>
      <c r="KZS133" s="562"/>
      <c r="KZT133" s="562"/>
      <c r="KZU133" s="562"/>
      <c r="KZV133" s="562"/>
      <c r="KZW133" s="562"/>
      <c r="KZX133" s="562"/>
      <c r="KZY133" s="562"/>
      <c r="KZZ133" s="562"/>
      <c r="LAA133" s="562"/>
      <c r="LAB133" s="562"/>
      <c r="LAC133" s="562"/>
      <c r="LAD133" s="562"/>
      <c r="LAE133" s="562"/>
      <c r="LAF133" s="562"/>
      <c r="LAG133" s="562"/>
      <c r="LAH133" s="562"/>
      <c r="LAI133" s="562"/>
      <c r="LAJ133" s="562"/>
      <c r="LAK133" s="562"/>
      <c r="LAL133" s="562"/>
      <c r="LAM133" s="562"/>
      <c r="LAN133" s="562"/>
      <c r="LAO133" s="562"/>
      <c r="LAP133" s="562"/>
      <c r="LAQ133" s="562"/>
      <c r="LAR133" s="562"/>
      <c r="LAS133" s="562"/>
      <c r="LAT133" s="562"/>
      <c r="LAU133" s="562"/>
      <c r="LAV133" s="562"/>
      <c r="LAW133" s="562"/>
      <c r="LAX133" s="562"/>
      <c r="LAY133" s="562"/>
      <c r="LAZ133" s="562"/>
      <c r="LBA133" s="562"/>
      <c r="LBB133" s="562"/>
      <c r="LBC133" s="562"/>
      <c r="LBD133" s="562"/>
      <c r="LBE133" s="562"/>
      <c r="LBF133" s="562"/>
      <c r="LBG133" s="562"/>
      <c r="LBH133" s="562"/>
      <c r="LBI133" s="562"/>
      <c r="LBJ133" s="562"/>
      <c r="LBK133" s="562"/>
      <c r="LBL133" s="562"/>
      <c r="LBM133" s="562"/>
      <c r="LBN133" s="562"/>
      <c r="LBO133" s="562"/>
      <c r="LBP133" s="562"/>
      <c r="LBQ133" s="562"/>
      <c r="LBR133" s="562"/>
      <c r="LBS133" s="562"/>
      <c r="LBT133" s="562"/>
      <c r="LBU133" s="562"/>
      <c r="LBV133" s="562"/>
      <c r="LBW133" s="562"/>
      <c r="LBX133" s="562"/>
      <c r="LBY133" s="562"/>
      <c r="LBZ133" s="562"/>
      <c r="LCA133" s="562"/>
      <c r="LCB133" s="562"/>
      <c r="LCC133" s="562"/>
      <c r="LCD133" s="562"/>
      <c r="LCE133" s="562"/>
      <c r="LCF133" s="562"/>
      <c r="LCG133" s="562"/>
      <c r="LCH133" s="562"/>
      <c r="LCI133" s="562"/>
      <c r="LCJ133" s="562"/>
      <c r="LCK133" s="562"/>
      <c r="LCL133" s="562"/>
      <c r="LCM133" s="562"/>
      <c r="LCN133" s="562"/>
      <c r="LCO133" s="562"/>
      <c r="LCP133" s="562"/>
      <c r="LCQ133" s="562"/>
      <c r="LCR133" s="562"/>
      <c r="LCS133" s="562"/>
      <c r="LCT133" s="562"/>
      <c r="LCU133" s="562"/>
      <c r="LCV133" s="562"/>
      <c r="LCW133" s="562"/>
      <c r="LCX133" s="562"/>
      <c r="LCY133" s="562"/>
      <c r="LCZ133" s="562"/>
      <c r="LDA133" s="562"/>
      <c r="LDB133" s="562"/>
      <c r="LDC133" s="562"/>
      <c r="LDD133" s="562"/>
      <c r="LDE133" s="562"/>
      <c r="LDF133" s="562"/>
      <c r="LDG133" s="562"/>
      <c r="LDH133" s="562"/>
      <c r="LDI133" s="562"/>
      <c r="LDJ133" s="562"/>
      <c r="LDK133" s="562"/>
      <c r="LDL133" s="562"/>
      <c r="LDM133" s="562"/>
      <c r="LDN133" s="562"/>
      <c r="LDO133" s="562"/>
      <c r="LDP133" s="562"/>
      <c r="LDQ133" s="562"/>
      <c r="LDR133" s="562"/>
      <c r="LDS133" s="562"/>
      <c r="LDT133" s="562"/>
      <c r="LDU133" s="562"/>
      <c r="LDV133" s="562"/>
      <c r="LDW133" s="562"/>
      <c r="LDX133" s="562"/>
      <c r="LDY133" s="562"/>
      <c r="LDZ133" s="562"/>
      <c r="LEA133" s="562"/>
      <c r="LEB133" s="562"/>
      <c r="LEC133" s="562"/>
      <c r="LED133" s="562"/>
      <c r="LEE133" s="562"/>
      <c r="LEF133" s="562"/>
      <c r="LEG133" s="562"/>
      <c r="LEH133" s="562"/>
      <c r="LEI133" s="562"/>
      <c r="LEJ133" s="562"/>
      <c r="LEK133" s="562"/>
      <c r="LEL133" s="562"/>
      <c r="LEM133" s="562"/>
      <c r="LEN133" s="562"/>
      <c r="LEO133" s="562"/>
      <c r="LEP133" s="562"/>
      <c r="LEQ133" s="562"/>
      <c r="LER133" s="562"/>
      <c r="LES133" s="562"/>
      <c r="LET133" s="562"/>
      <c r="LEU133" s="562"/>
      <c r="LEV133" s="562"/>
      <c r="LEW133" s="562"/>
      <c r="LEX133" s="562"/>
      <c r="LEY133" s="562"/>
      <c r="LEZ133" s="562"/>
      <c r="LFA133" s="562"/>
      <c r="LFB133" s="562"/>
      <c r="LFC133" s="562"/>
      <c r="LFD133" s="562"/>
      <c r="LFE133" s="562"/>
      <c r="LFF133" s="562"/>
      <c r="LFG133" s="562"/>
      <c r="LFH133" s="562"/>
      <c r="LFI133" s="562"/>
      <c r="LFJ133" s="562"/>
      <c r="LFK133" s="562"/>
      <c r="LFL133" s="562"/>
      <c r="LFM133" s="562"/>
      <c r="LFN133" s="562"/>
      <c r="LFO133" s="562"/>
      <c r="LFP133" s="562"/>
      <c r="LFQ133" s="562"/>
      <c r="LFR133" s="562"/>
      <c r="LFS133" s="562"/>
      <c r="LFT133" s="562"/>
      <c r="LFU133" s="562"/>
      <c r="LFV133" s="562"/>
      <c r="LFW133" s="562"/>
      <c r="LFX133" s="562"/>
      <c r="LFY133" s="562"/>
      <c r="LFZ133" s="562"/>
      <c r="LGA133" s="562"/>
      <c r="LGB133" s="562"/>
      <c r="LGC133" s="562"/>
      <c r="LGD133" s="562"/>
      <c r="LGE133" s="562"/>
      <c r="LGF133" s="562"/>
      <c r="LGG133" s="562"/>
      <c r="LGH133" s="562"/>
      <c r="LGI133" s="562"/>
      <c r="LGJ133" s="562"/>
      <c r="LGK133" s="562"/>
      <c r="LGL133" s="562"/>
      <c r="LGM133" s="562"/>
      <c r="LGN133" s="562"/>
      <c r="LGO133" s="562"/>
      <c r="LGP133" s="562"/>
      <c r="LGQ133" s="562"/>
      <c r="LGR133" s="562"/>
      <c r="LGS133" s="562"/>
      <c r="LGT133" s="562"/>
      <c r="LGU133" s="562"/>
      <c r="LGV133" s="562"/>
      <c r="LGW133" s="562"/>
      <c r="LGX133" s="562"/>
      <c r="LGY133" s="562"/>
      <c r="LGZ133" s="562"/>
      <c r="LHA133" s="562"/>
      <c r="LHB133" s="562"/>
      <c r="LHC133" s="562"/>
      <c r="LHD133" s="562"/>
      <c r="LHE133" s="562"/>
      <c r="LHF133" s="562"/>
      <c r="LHG133" s="562"/>
      <c r="LHH133" s="562"/>
      <c r="LHI133" s="562"/>
      <c r="LHJ133" s="562"/>
      <c r="LHK133" s="562"/>
      <c r="LHL133" s="562"/>
      <c r="LHM133" s="562"/>
      <c r="LHN133" s="562"/>
      <c r="LHO133" s="562"/>
      <c r="LHP133" s="562"/>
      <c r="LHQ133" s="562"/>
      <c r="LHR133" s="562"/>
      <c r="LHS133" s="562"/>
      <c r="LHT133" s="562"/>
      <c r="LHU133" s="562"/>
      <c r="LHV133" s="562"/>
      <c r="LHW133" s="562"/>
      <c r="LHX133" s="562"/>
      <c r="LHY133" s="562"/>
      <c r="LHZ133" s="562"/>
      <c r="LIA133" s="562"/>
      <c r="LIB133" s="562"/>
      <c r="LIC133" s="562"/>
      <c r="LID133" s="562"/>
      <c r="LIE133" s="562"/>
      <c r="LIF133" s="562"/>
      <c r="LIG133" s="562"/>
      <c r="LIH133" s="562"/>
      <c r="LII133" s="562"/>
      <c r="LIJ133" s="562"/>
      <c r="LIK133" s="562"/>
      <c r="LIL133" s="562"/>
      <c r="LIM133" s="562"/>
      <c r="LIN133" s="562"/>
      <c r="LIO133" s="562"/>
      <c r="LIP133" s="562"/>
      <c r="LIQ133" s="562"/>
      <c r="LIR133" s="562"/>
      <c r="LIS133" s="562"/>
      <c r="LIT133" s="562"/>
      <c r="LIU133" s="562"/>
      <c r="LIV133" s="562"/>
      <c r="LIW133" s="562"/>
      <c r="LIX133" s="562"/>
      <c r="LIY133" s="562"/>
      <c r="LIZ133" s="562"/>
      <c r="LJA133" s="562"/>
      <c r="LJB133" s="562"/>
      <c r="LJC133" s="562"/>
      <c r="LJD133" s="562"/>
      <c r="LJE133" s="562"/>
      <c r="LJF133" s="562"/>
      <c r="LJG133" s="562"/>
      <c r="LJH133" s="562"/>
      <c r="LJI133" s="562"/>
      <c r="LJJ133" s="562"/>
      <c r="LJK133" s="562"/>
      <c r="LJL133" s="562"/>
      <c r="LJM133" s="562"/>
      <c r="LJN133" s="562"/>
      <c r="LJO133" s="562"/>
      <c r="LJP133" s="562"/>
      <c r="LJQ133" s="562"/>
      <c r="LJR133" s="562"/>
      <c r="LJS133" s="562"/>
      <c r="LJT133" s="562"/>
      <c r="LJU133" s="562"/>
      <c r="LJV133" s="562"/>
      <c r="LJW133" s="562"/>
      <c r="LJX133" s="562"/>
      <c r="LJY133" s="562"/>
      <c r="LJZ133" s="562"/>
      <c r="LKA133" s="562"/>
      <c r="LKB133" s="562"/>
      <c r="LKC133" s="562"/>
      <c r="LKD133" s="562"/>
      <c r="LKE133" s="562"/>
      <c r="LKF133" s="562"/>
      <c r="LKG133" s="562"/>
      <c r="LKH133" s="562"/>
      <c r="LKI133" s="562"/>
      <c r="LKJ133" s="562"/>
      <c r="LKK133" s="562"/>
      <c r="LKL133" s="562"/>
      <c r="LKM133" s="562"/>
      <c r="LKN133" s="562"/>
      <c r="LKO133" s="562"/>
      <c r="LKP133" s="562"/>
      <c r="LKQ133" s="562"/>
      <c r="LKR133" s="562"/>
      <c r="LKS133" s="562"/>
      <c r="LKT133" s="562"/>
      <c r="LKU133" s="562"/>
      <c r="LKV133" s="562"/>
      <c r="LKW133" s="562"/>
      <c r="LKX133" s="562"/>
      <c r="LKY133" s="562"/>
      <c r="LKZ133" s="562"/>
      <c r="LLA133" s="562"/>
      <c r="LLB133" s="562"/>
      <c r="LLC133" s="562"/>
      <c r="LLD133" s="562"/>
      <c r="LLE133" s="562"/>
      <c r="LLF133" s="562"/>
      <c r="LLG133" s="562"/>
      <c r="LLH133" s="562"/>
      <c r="LLI133" s="562"/>
      <c r="LLJ133" s="562"/>
      <c r="LLK133" s="562"/>
      <c r="LLL133" s="562"/>
      <c r="LLM133" s="562"/>
      <c r="LLN133" s="562"/>
      <c r="LLO133" s="562"/>
      <c r="LLP133" s="562"/>
      <c r="LLQ133" s="562"/>
      <c r="LLR133" s="562"/>
      <c r="LLS133" s="562"/>
      <c r="LLT133" s="562"/>
      <c r="LLU133" s="562"/>
      <c r="LLV133" s="562"/>
      <c r="LLW133" s="562"/>
      <c r="LLX133" s="562"/>
      <c r="LLY133" s="562"/>
      <c r="LLZ133" s="562"/>
      <c r="LMA133" s="562"/>
      <c r="LMB133" s="562"/>
      <c r="LMC133" s="562"/>
      <c r="LMD133" s="562"/>
      <c r="LME133" s="562"/>
      <c r="LMF133" s="562"/>
      <c r="LMG133" s="562"/>
      <c r="LMH133" s="562"/>
      <c r="LMI133" s="562"/>
      <c r="LMJ133" s="562"/>
      <c r="LMK133" s="562"/>
      <c r="LML133" s="562"/>
      <c r="LMM133" s="562"/>
      <c r="LMN133" s="562"/>
      <c r="LMO133" s="562"/>
      <c r="LMP133" s="562"/>
      <c r="LMQ133" s="562"/>
      <c r="LMR133" s="562"/>
      <c r="LMS133" s="562"/>
      <c r="LMT133" s="562"/>
      <c r="LMU133" s="562"/>
      <c r="LMV133" s="562"/>
      <c r="LMW133" s="562"/>
      <c r="LMX133" s="562"/>
      <c r="LMY133" s="562"/>
      <c r="LMZ133" s="562"/>
      <c r="LNA133" s="562"/>
      <c r="LNB133" s="562"/>
      <c r="LNC133" s="562"/>
      <c r="LND133" s="562"/>
      <c r="LNE133" s="562"/>
      <c r="LNF133" s="562"/>
      <c r="LNG133" s="562"/>
      <c r="LNH133" s="562"/>
      <c r="LNI133" s="562"/>
      <c r="LNJ133" s="562"/>
      <c r="LNK133" s="562"/>
      <c r="LNL133" s="562"/>
      <c r="LNM133" s="562"/>
      <c r="LNN133" s="562"/>
      <c r="LNO133" s="562"/>
      <c r="LNP133" s="562"/>
      <c r="LNQ133" s="562"/>
      <c r="LNR133" s="562"/>
      <c r="LNS133" s="562"/>
      <c r="LNT133" s="562"/>
      <c r="LNU133" s="562"/>
      <c r="LNV133" s="562"/>
      <c r="LNW133" s="562"/>
      <c r="LNX133" s="562"/>
      <c r="LNY133" s="562"/>
      <c r="LNZ133" s="562"/>
      <c r="LOA133" s="562"/>
      <c r="LOB133" s="562"/>
      <c r="LOC133" s="562"/>
      <c r="LOD133" s="562"/>
      <c r="LOE133" s="562"/>
      <c r="LOF133" s="562"/>
      <c r="LOG133" s="562"/>
      <c r="LOH133" s="562"/>
      <c r="LOI133" s="562"/>
      <c r="LOJ133" s="562"/>
      <c r="LOK133" s="562"/>
      <c r="LOL133" s="562"/>
      <c r="LOM133" s="562"/>
      <c r="LON133" s="562"/>
      <c r="LOO133" s="562"/>
      <c r="LOP133" s="562"/>
      <c r="LOQ133" s="562"/>
      <c r="LOR133" s="562"/>
      <c r="LOS133" s="562"/>
      <c r="LOT133" s="562"/>
      <c r="LOU133" s="562"/>
      <c r="LOV133" s="562"/>
      <c r="LOW133" s="562"/>
      <c r="LOX133" s="562"/>
      <c r="LOY133" s="562"/>
      <c r="LOZ133" s="562"/>
      <c r="LPA133" s="562"/>
      <c r="LPB133" s="562"/>
      <c r="LPC133" s="562"/>
      <c r="LPD133" s="562"/>
      <c r="LPE133" s="562"/>
      <c r="LPF133" s="562"/>
      <c r="LPG133" s="562"/>
      <c r="LPH133" s="562"/>
      <c r="LPI133" s="562"/>
      <c r="LPJ133" s="562"/>
      <c r="LPK133" s="562"/>
      <c r="LPL133" s="562"/>
      <c r="LPM133" s="562"/>
      <c r="LPN133" s="562"/>
      <c r="LPO133" s="562"/>
      <c r="LPP133" s="562"/>
      <c r="LPQ133" s="562"/>
      <c r="LPR133" s="562"/>
      <c r="LPS133" s="562"/>
      <c r="LPT133" s="562"/>
      <c r="LPU133" s="562"/>
      <c r="LPV133" s="562"/>
      <c r="LPW133" s="562"/>
      <c r="LPX133" s="562"/>
      <c r="LPY133" s="562"/>
      <c r="LPZ133" s="562"/>
      <c r="LQA133" s="562"/>
      <c r="LQB133" s="562"/>
      <c r="LQC133" s="562"/>
      <c r="LQD133" s="562"/>
      <c r="LQE133" s="562"/>
      <c r="LQF133" s="562"/>
      <c r="LQG133" s="562"/>
      <c r="LQH133" s="562"/>
      <c r="LQI133" s="562"/>
      <c r="LQJ133" s="562"/>
      <c r="LQK133" s="562"/>
      <c r="LQL133" s="562"/>
      <c r="LQM133" s="562"/>
      <c r="LQN133" s="562"/>
      <c r="LQO133" s="562"/>
      <c r="LQP133" s="562"/>
      <c r="LQQ133" s="562"/>
      <c r="LQR133" s="562"/>
      <c r="LQS133" s="562"/>
      <c r="LQT133" s="562"/>
      <c r="LQU133" s="562"/>
      <c r="LQV133" s="562"/>
      <c r="LQW133" s="562"/>
      <c r="LQX133" s="562"/>
      <c r="LQY133" s="562"/>
      <c r="LQZ133" s="562"/>
      <c r="LRA133" s="562"/>
      <c r="LRB133" s="562"/>
      <c r="LRC133" s="562"/>
      <c r="LRD133" s="562"/>
      <c r="LRE133" s="562"/>
      <c r="LRF133" s="562"/>
      <c r="LRG133" s="562"/>
      <c r="LRH133" s="562"/>
      <c r="LRI133" s="562"/>
      <c r="LRJ133" s="562"/>
      <c r="LRK133" s="562"/>
      <c r="LRL133" s="562"/>
      <c r="LRM133" s="562"/>
      <c r="LRN133" s="562"/>
      <c r="LRO133" s="562"/>
      <c r="LRP133" s="562"/>
      <c r="LRQ133" s="562"/>
      <c r="LRR133" s="562"/>
      <c r="LRS133" s="562"/>
      <c r="LRT133" s="562"/>
      <c r="LRU133" s="562"/>
      <c r="LRV133" s="562"/>
      <c r="LRW133" s="562"/>
      <c r="LRX133" s="562"/>
      <c r="LRY133" s="562"/>
      <c r="LRZ133" s="562"/>
      <c r="LSA133" s="562"/>
      <c r="LSB133" s="562"/>
      <c r="LSC133" s="562"/>
      <c r="LSD133" s="562"/>
      <c r="LSE133" s="562"/>
      <c r="LSF133" s="562"/>
      <c r="LSG133" s="562"/>
      <c r="LSH133" s="562"/>
      <c r="LSI133" s="562"/>
      <c r="LSJ133" s="562"/>
      <c r="LSK133" s="562"/>
      <c r="LSL133" s="562"/>
      <c r="LSM133" s="562"/>
      <c r="LSN133" s="562"/>
      <c r="LSO133" s="562"/>
      <c r="LSP133" s="562"/>
      <c r="LSQ133" s="562"/>
      <c r="LSR133" s="562"/>
      <c r="LSS133" s="562"/>
      <c r="LST133" s="562"/>
      <c r="LSU133" s="562"/>
      <c r="LSV133" s="562"/>
      <c r="LSW133" s="562"/>
      <c r="LSX133" s="562"/>
      <c r="LSY133" s="562"/>
      <c r="LSZ133" s="562"/>
      <c r="LTA133" s="562"/>
      <c r="LTB133" s="562"/>
      <c r="LTC133" s="562"/>
      <c r="LTD133" s="562"/>
      <c r="LTE133" s="562"/>
      <c r="LTF133" s="562"/>
      <c r="LTG133" s="562"/>
      <c r="LTH133" s="562"/>
      <c r="LTI133" s="562"/>
      <c r="LTJ133" s="562"/>
      <c r="LTK133" s="562"/>
      <c r="LTL133" s="562"/>
      <c r="LTM133" s="562"/>
      <c r="LTN133" s="562"/>
      <c r="LTO133" s="562"/>
      <c r="LTP133" s="562"/>
      <c r="LTQ133" s="562"/>
      <c r="LTR133" s="562"/>
      <c r="LTS133" s="562"/>
      <c r="LTT133" s="562"/>
      <c r="LTU133" s="562"/>
      <c r="LTV133" s="562"/>
      <c r="LTW133" s="562"/>
      <c r="LTX133" s="562"/>
      <c r="LTY133" s="562"/>
      <c r="LTZ133" s="562"/>
      <c r="LUA133" s="562"/>
      <c r="LUB133" s="562"/>
      <c r="LUC133" s="562"/>
      <c r="LUD133" s="562"/>
      <c r="LUE133" s="562"/>
      <c r="LUF133" s="562"/>
      <c r="LUG133" s="562"/>
      <c r="LUH133" s="562"/>
      <c r="LUI133" s="562"/>
      <c r="LUJ133" s="562"/>
      <c r="LUK133" s="562"/>
      <c r="LUL133" s="562"/>
      <c r="LUM133" s="562"/>
      <c r="LUN133" s="562"/>
      <c r="LUO133" s="562"/>
      <c r="LUP133" s="562"/>
      <c r="LUQ133" s="562"/>
      <c r="LUR133" s="562"/>
      <c r="LUS133" s="562"/>
      <c r="LUT133" s="562"/>
      <c r="LUU133" s="562"/>
      <c r="LUV133" s="562"/>
      <c r="LUW133" s="562"/>
      <c r="LUX133" s="562"/>
      <c r="LUY133" s="562"/>
      <c r="LUZ133" s="562"/>
      <c r="LVA133" s="562"/>
      <c r="LVB133" s="562"/>
      <c r="LVC133" s="562"/>
      <c r="LVD133" s="562"/>
      <c r="LVE133" s="562"/>
      <c r="LVF133" s="562"/>
      <c r="LVG133" s="562"/>
      <c r="LVH133" s="562"/>
      <c r="LVI133" s="562"/>
      <c r="LVJ133" s="562"/>
      <c r="LVK133" s="562"/>
      <c r="LVL133" s="562"/>
      <c r="LVM133" s="562"/>
      <c r="LVN133" s="562"/>
      <c r="LVO133" s="562"/>
      <c r="LVP133" s="562"/>
      <c r="LVQ133" s="562"/>
      <c r="LVR133" s="562"/>
      <c r="LVS133" s="562"/>
      <c r="LVT133" s="562"/>
      <c r="LVU133" s="562"/>
      <c r="LVV133" s="562"/>
      <c r="LVW133" s="562"/>
      <c r="LVX133" s="562"/>
      <c r="LVY133" s="562"/>
      <c r="LVZ133" s="562"/>
      <c r="LWA133" s="562"/>
      <c r="LWB133" s="562"/>
      <c r="LWC133" s="562"/>
      <c r="LWD133" s="562"/>
      <c r="LWE133" s="562"/>
      <c r="LWF133" s="562"/>
      <c r="LWG133" s="562"/>
      <c r="LWH133" s="562"/>
      <c r="LWI133" s="562"/>
      <c r="LWJ133" s="562"/>
      <c r="LWK133" s="562"/>
      <c r="LWL133" s="562"/>
      <c r="LWM133" s="562"/>
      <c r="LWN133" s="562"/>
      <c r="LWO133" s="562"/>
      <c r="LWP133" s="562"/>
      <c r="LWQ133" s="562"/>
      <c r="LWR133" s="562"/>
      <c r="LWS133" s="562"/>
      <c r="LWT133" s="562"/>
      <c r="LWU133" s="562"/>
      <c r="LWV133" s="562"/>
      <c r="LWW133" s="562"/>
      <c r="LWX133" s="562"/>
      <c r="LWY133" s="562"/>
      <c r="LWZ133" s="562"/>
      <c r="LXA133" s="562"/>
      <c r="LXB133" s="562"/>
      <c r="LXC133" s="562"/>
      <c r="LXD133" s="562"/>
      <c r="LXE133" s="562"/>
      <c r="LXF133" s="562"/>
      <c r="LXG133" s="562"/>
      <c r="LXH133" s="562"/>
      <c r="LXI133" s="562"/>
      <c r="LXJ133" s="562"/>
      <c r="LXK133" s="562"/>
      <c r="LXL133" s="562"/>
      <c r="LXM133" s="562"/>
      <c r="LXN133" s="562"/>
      <c r="LXO133" s="562"/>
      <c r="LXP133" s="562"/>
      <c r="LXQ133" s="562"/>
      <c r="LXR133" s="562"/>
      <c r="LXS133" s="562"/>
      <c r="LXT133" s="562"/>
      <c r="LXU133" s="562"/>
      <c r="LXV133" s="562"/>
      <c r="LXW133" s="562"/>
      <c r="LXX133" s="562"/>
      <c r="LXY133" s="562"/>
      <c r="LXZ133" s="562"/>
      <c r="LYA133" s="562"/>
      <c r="LYB133" s="562"/>
      <c r="LYC133" s="562"/>
      <c r="LYD133" s="562"/>
      <c r="LYE133" s="562"/>
      <c r="LYF133" s="562"/>
      <c r="LYG133" s="562"/>
      <c r="LYH133" s="562"/>
      <c r="LYI133" s="562"/>
      <c r="LYJ133" s="562"/>
      <c r="LYK133" s="562"/>
      <c r="LYL133" s="562"/>
      <c r="LYM133" s="562"/>
      <c r="LYN133" s="562"/>
      <c r="LYO133" s="562"/>
      <c r="LYP133" s="562"/>
      <c r="LYQ133" s="562"/>
      <c r="LYR133" s="562"/>
      <c r="LYS133" s="562"/>
      <c r="LYT133" s="562"/>
      <c r="LYU133" s="562"/>
      <c r="LYV133" s="562"/>
      <c r="LYW133" s="562"/>
      <c r="LYX133" s="562"/>
      <c r="LYY133" s="562"/>
      <c r="LYZ133" s="562"/>
      <c r="LZA133" s="562"/>
      <c r="LZB133" s="562"/>
      <c r="LZC133" s="562"/>
      <c r="LZD133" s="562"/>
      <c r="LZE133" s="562"/>
      <c r="LZF133" s="562"/>
      <c r="LZG133" s="562"/>
      <c r="LZH133" s="562"/>
      <c r="LZI133" s="562"/>
      <c r="LZJ133" s="562"/>
      <c r="LZK133" s="562"/>
      <c r="LZL133" s="562"/>
      <c r="LZM133" s="562"/>
      <c r="LZN133" s="562"/>
      <c r="LZO133" s="562"/>
      <c r="LZP133" s="562"/>
      <c r="LZQ133" s="562"/>
      <c r="LZR133" s="562"/>
      <c r="LZS133" s="562"/>
      <c r="LZT133" s="562"/>
      <c r="LZU133" s="562"/>
      <c r="LZV133" s="562"/>
      <c r="LZW133" s="562"/>
      <c r="LZX133" s="562"/>
      <c r="LZY133" s="562"/>
      <c r="LZZ133" s="562"/>
      <c r="MAA133" s="562"/>
      <c r="MAB133" s="562"/>
      <c r="MAC133" s="562"/>
      <c r="MAD133" s="562"/>
      <c r="MAE133" s="562"/>
      <c r="MAF133" s="562"/>
      <c r="MAG133" s="562"/>
      <c r="MAH133" s="562"/>
      <c r="MAI133" s="562"/>
      <c r="MAJ133" s="562"/>
      <c r="MAK133" s="562"/>
      <c r="MAL133" s="562"/>
      <c r="MAM133" s="562"/>
      <c r="MAN133" s="562"/>
      <c r="MAO133" s="562"/>
      <c r="MAP133" s="562"/>
      <c r="MAQ133" s="562"/>
      <c r="MAR133" s="562"/>
      <c r="MAS133" s="562"/>
      <c r="MAT133" s="562"/>
      <c r="MAU133" s="562"/>
      <c r="MAV133" s="562"/>
      <c r="MAW133" s="562"/>
      <c r="MAX133" s="562"/>
      <c r="MAY133" s="562"/>
      <c r="MAZ133" s="562"/>
      <c r="MBA133" s="562"/>
      <c r="MBB133" s="562"/>
      <c r="MBC133" s="562"/>
      <c r="MBD133" s="562"/>
      <c r="MBE133" s="562"/>
      <c r="MBF133" s="562"/>
      <c r="MBG133" s="562"/>
      <c r="MBH133" s="562"/>
      <c r="MBI133" s="562"/>
      <c r="MBJ133" s="562"/>
      <c r="MBK133" s="562"/>
      <c r="MBL133" s="562"/>
      <c r="MBM133" s="562"/>
      <c r="MBN133" s="562"/>
      <c r="MBO133" s="562"/>
      <c r="MBP133" s="562"/>
      <c r="MBQ133" s="562"/>
      <c r="MBR133" s="562"/>
      <c r="MBS133" s="562"/>
      <c r="MBT133" s="562"/>
      <c r="MBU133" s="562"/>
      <c r="MBV133" s="562"/>
      <c r="MBW133" s="562"/>
      <c r="MBX133" s="562"/>
      <c r="MBY133" s="562"/>
      <c r="MBZ133" s="562"/>
      <c r="MCA133" s="562"/>
      <c r="MCB133" s="562"/>
      <c r="MCC133" s="562"/>
      <c r="MCD133" s="562"/>
      <c r="MCE133" s="562"/>
      <c r="MCF133" s="562"/>
      <c r="MCG133" s="562"/>
      <c r="MCH133" s="562"/>
      <c r="MCI133" s="562"/>
      <c r="MCJ133" s="562"/>
      <c r="MCK133" s="562"/>
      <c r="MCL133" s="562"/>
      <c r="MCM133" s="562"/>
      <c r="MCN133" s="562"/>
      <c r="MCO133" s="562"/>
      <c r="MCP133" s="562"/>
      <c r="MCQ133" s="562"/>
      <c r="MCR133" s="562"/>
      <c r="MCS133" s="562"/>
      <c r="MCT133" s="562"/>
      <c r="MCU133" s="562"/>
      <c r="MCV133" s="562"/>
      <c r="MCW133" s="562"/>
      <c r="MCX133" s="562"/>
      <c r="MCY133" s="562"/>
      <c r="MCZ133" s="562"/>
      <c r="MDA133" s="562"/>
      <c r="MDB133" s="562"/>
      <c r="MDC133" s="562"/>
      <c r="MDD133" s="562"/>
      <c r="MDE133" s="562"/>
      <c r="MDF133" s="562"/>
      <c r="MDG133" s="562"/>
      <c r="MDH133" s="562"/>
      <c r="MDI133" s="562"/>
      <c r="MDJ133" s="562"/>
      <c r="MDK133" s="562"/>
      <c r="MDL133" s="562"/>
      <c r="MDM133" s="562"/>
      <c r="MDN133" s="562"/>
      <c r="MDO133" s="562"/>
      <c r="MDP133" s="562"/>
      <c r="MDQ133" s="562"/>
      <c r="MDR133" s="562"/>
      <c r="MDS133" s="562"/>
      <c r="MDT133" s="562"/>
      <c r="MDU133" s="562"/>
      <c r="MDV133" s="562"/>
      <c r="MDW133" s="562"/>
      <c r="MDX133" s="562"/>
      <c r="MDY133" s="562"/>
      <c r="MDZ133" s="562"/>
      <c r="MEA133" s="562"/>
      <c r="MEB133" s="562"/>
      <c r="MEC133" s="562"/>
      <c r="MED133" s="562"/>
      <c r="MEE133" s="562"/>
      <c r="MEF133" s="562"/>
      <c r="MEG133" s="562"/>
      <c r="MEH133" s="562"/>
      <c r="MEI133" s="562"/>
      <c r="MEJ133" s="562"/>
      <c r="MEK133" s="562"/>
      <c r="MEL133" s="562"/>
      <c r="MEM133" s="562"/>
      <c r="MEN133" s="562"/>
      <c r="MEO133" s="562"/>
      <c r="MEP133" s="562"/>
      <c r="MEQ133" s="562"/>
      <c r="MER133" s="562"/>
      <c r="MES133" s="562"/>
      <c r="MET133" s="562"/>
      <c r="MEU133" s="562"/>
      <c r="MEV133" s="562"/>
      <c r="MEW133" s="562"/>
      <c r="MEX133" s="562"/>
      <c r="MEY133" s="562"/>
      <c r="MEZ133" s="562"/>
      <c r="MFA133" s="562"/>
      <c r="MFB133" s="562"/>
      <c r="MFC133" s="562"/>
      <c r="MFD133" s="562"/>
      <c r="MFE133" s="562"/>
      <c r="MFF133" s="562"/>
      <c r="MFG133" s="562"/>
      <c r="MFH133" s="562"/>
      <c r="MFI133" s="562"/>
      <c r="MFJ133" s="562"/>
      <c r="MFK133" s="562"/>
      <c r="MFL133" s="562"/>
      <c r="MFM133" s="562"/>
      <c r="MFN133" s="562"/>
      <c r="MFO133" s="562"/>
      <c r="MFP133" s="562"/>
      <c r="MFQ133" s="562"/>
      <c r="MFR133" s="562"/>
      <c r="MFS133" s="562"/>
      <c r="MFT133" s="562"/>
      <c r="MFU133" s="562"/>
      <c r="MFV133" s="562"/>
      <c r="MFW133" s="562"/>
      <c r="MFX133" s="562"/>
      <c r="MFY133" s="562"/>
      <c r="MFZ133" s="562"/>
      <c r="MGA133" s="562"/>
      <c r="MGB133" s="562"/>
      <c r="MGC133" s="562"/>
      <c r="MGD133" s="562"/>
      <c r="MGE133" s="562"/>
      <c r="MGF133" s="562"/>
      <c r="MGG133" s="562"/>
      <c r="MGH133" s="562"/>
      <c r="MGI133" s="562"/>
      <c r="MGJ133" s="562"/>
      <c r="MGK133" s="562"/>
      <c r="MGL133" s="562"/>
      <c r="MGM133" s="562"/>
      <c r="MGN133" s="562"/>
      <c r="MGO133" s="562"/>
      <c r="MGP133" s="562"/>
      <c r="MGQ133" s="562"/>
      <c r="MGR133" s="562"/>
      <c r="MGS133" s="562"/>
      <c r="MGT133" s="562"/>
      <c r="MGU133" s="562"/>
      <c r="MGV133" s="562"/>
      <c r="MGW133" s="562"/>
      <c r="MGX133" s="562"/>
      <c r="MGY133" s="562"/>
      <c r="MGZ133" s="562"/>
      <c r="MHA133" s="562"/>
      <c r="MHB133" s="562"/>
      <c r="MHC133" s="562"/>
      <c r="MHD133" s="562"/>
      <c r="MHE133" s="562"/>
      <c r="MHF133" s="562"/>
      <c r="MHG133" s="562"/>
      <c r="MHH133" s="562"/>
      <c r="MHI133" s="562"/>
      <c r="MHJ133" s="562"/>
      <c r="MHK133" s="562"/>
      <c r="MHL133" s="562"/>
      <c r="MHM133" s="562"/>
      <c r="MHN133" s="562"/>
      <c r="MHO133" s="562"/>
      <c r="MHP133" s="562"/>
      <c r="MHQ133" s="562"/>
      <c r="MHR133" s="562"/>
      <c r="MHS133" s="562"/>
      <c r="MHT133" s="562"/>
      <c r="MHU133" s="562"/>
      <c r="MHV133" s="562"/>
      <c r="MHW133" s="562"/>
      <c r="MHX133" s="562"/>
      <c r="MHY133" s="562"/>
      <c r="MHZ133" s="562"/>
      <c r="MIA133" s="562"/>
      <c r="MIB133" s="562"/>
      <c r="MIC133" s="562"/>
      <c r="MID133" s="562"/>
      <c r="MIE133" s="562"/>
      <c r="MIF133" s="562"/>
      <c r="MIG133" s="562"/>
      <c r="MIH133" s="562"/>
      <c r="MII133" s="562"/>
      <c r="MIJ133" s="562"/>
      <c r="MIK133" s="562"/>
      <c r="MIL133" s="562"/>
      <c r="MIM133" s="562"/>
      <c r="MIN133" s="562"/>
      <c r="MIO133" s="562"/>
      <c r="MIP133" s="562"/>
      <c r="MIQ133" s="562"/>
      <c r="MIR133" s="562"/>
      <c r="MIS133" s="562"/>
      <c r="MIT133" s="562"/>
      <c r="MIU133" s="562"/>
      <c r="MIV133" s="562"/>
      <c r="MIW133" s="562"/>
      <c r="MIX133" s="562"/>
      <c r="MIY133" s="562"/>
      <c r="MIZ133" s="562"/>
      <c r="MJA133" s="562"/>
      <c r="MJB133" s="562"/>
      <c r="MJC133" s="562"/>
      <c r="MJD133" s="562"/>
      <c r="MJE133" s="562"/>
      <c r="MJF133" s="562"/>
      <c r="MJG133" s="562"/>
      <c r="MJH133" s="562"/>
      <c r="MJI133" s="562"/>
      <c r="MJJ133" s="562"/>
      <c r="MJK133" s="562"/>
      <c r="MJL133" s="562"/>
      <c r="MJM133" s="562"/>
      <c r="MJN133" s="562"/>
      <c r="MJO133" s="562"/>
      <c r="MJP133" s="562"/>
      <c r="MJQ133" s="562"/>
      <c r="MJR133" s="562"/>
      <c r="MJS133" s="562"/>
      <c r="MJT133" s="562"/>
      <c r="MJU133" s="562"/>
      <c r="MJV133" s="562"/>
      <c r="MJW133" s="562"/>
      <c r="MJX133" s="562"/>
      <c r="MJY133" s="562"/>
      <c r="MJZ133" s="562"/>
      <c r="MKA133" s="562"/>
      <c r="MKB133" s="562"/>
      <c r="MKC133" s="562"/>
      <c r="MKD133" s="562"/>
      <c r="MKE133" s="562"/>
      <c r="MKF133" s="562"/>
      <c r="MKG133" s="562"/>
      <c r="MKH133" s="562"/>
      <c r="MKI133" s="562"/>
      <c r="MKJ133" s="562"/>
      <c r="MKK133" s="562"/>
      <c r="MKL133" s="562"/>
      <c r="MKM133" s="562"/>
      <c r="MKN133" s="562"/>
      <c r="MKO133" s="562"/>
      <c r="MKP133" s="562"/>
      <c r="MKQ133" s="562"/>
      <c r="MKR133" s="562"/>
      <c r="MKS133" s="562"/>
      <c r="MKT133" s="562"/>
      <c r="MKU133" s="562"/>
      <c r="MKV133" s="562"/>
      <c r="MKW133" s="562"/>
      <c r="MKX133" s="562"/>
      <c r="MKY133" s="562"/>
      <c r="MKZ133" s="562"/>
      <c r="MLA133" s="562"/>
      <c r="MLB133" s="562"/>
      <c r="MLC133" s="562"/>
      <c r="MLD133" s="562"/>
      <c r="MLE133" s="562"/>
      <c r="MLF133" s="562"/>
      <c r="MLG133" s="562"/>
      <c r="MLH133" s="562"/>
      <c r="MLI133" s="562"/>
      <c r="MLJ133" s="562"/>
      <c r="MLK133" s="562"/>
      <c r="MLL133" s="562"/>
      <c r="MLM133" s="562"/>
      <c r="MLN133" s="562"/>
      <c r="MLO133" s="562"/>
      <c r="MLP133" s="562"/>
      <c r="MLQ133" s="562"/>
      <c r="MLR133" s="562"/>
      <c r="MLS133" s="562"/>
      <c r="MLT133" s="562"/>
      <c r="MLU133" s="562"/>
      <c r="MLV133" s="562"/>
      <c r="MLW133" s="562"/>
      <c r="MLX133" s="562"/>
      <c r="MLY133" s="562"/>
      <c r="MLZ133" s="562"/>
      <c r="MMA133" s="562"/>
      <c r="MMB133" s="562"/>
      <c r="MMC133" s="562"/>
      <c r="MMD133" s="562"/>
      <c r="MME133" s="562"/>
      <c r="MMF133" s="562"/>
      <c r="MMG133" s="562"/>
      <c r="MMH133" s="562"/>
      <c r="MMI133" s="562"/>
      <c r="MMJ133" s="562"/>
      <c r="MMK133" s="562"/>
      <c r="MML133" s="562"/>
      <c r="MMM133" s="562"/>
      <c r="MMN133" s="562"/>
      <c r="MMO133" s="562"/>
      <c r="MMP133" s="562"/>
      <c r="MMQ133" s="562"/>
      <c r="MMR133" s="562"/>
      <c r="MMS133" s="562"/>
      <c r="MMT133" s="562"/>
      <c r="MMU133" s="562"/>
      <c r="MMV133" s="562"/>
      <c r="MMW133" s="562"/>
      <c r="MMX133" s="562"/>
      <c r="MMY133" s="562"/>
      <c r="MMZ133" s="562"/>
      <c r="MNA133" s="562"/>
      <c r="MNB133" s="562"/>
      <c r="MNC133" s="562"/>
      <c r="MND133" s="562"/>
      <c r="MNE133" s="562"/>
      <c r="MNF133" s="562"/>
      <c r="MNG133" s="562"/>
      <c r="MNH133" s="562"/>
      <c r="MNI133" s="562"/>
      <c r="MNJ133" s="562"/>
      <c r="MNK133" s="562"/>
      <c r="MNL133" s="562"/>
      <c r="MNM133" s="562"/>
      <c r="MNN133" s="562"/>
      <c r="MNO133" s="562"/>
      <c r="MNP133" s="562"/>
      <c r="MNQ133" s="562"/>
      <c r="MNR133" s="562"/>
      <c r="MNS133" s="562"/>
      <c r="MNT133" s="562"/>
      <c r="MNU133" s="562"/>
      <c r="MNV133" s="562"/>
      <c r="MNW133" s="562"/>
      <c r="MNX133" s="562"/>
      <c r="MNY133" s="562"/>
      <c r="MNZ133" s="562"/>
      <c r="MOA133" s="562"/>
      <c r="MOB133" s="562"/>
      <c r="MOC133" s="562"/>
      <c r="MOD133" s="562"/>
      <c r="MOE133" s="562"/>
      <c r="MOF133" s="562"/>
      <c r="MOG133" s="562"/>
      <c r="MOH133" s="562"/>
      <c r="MOI133" s="562"/>
      <c r="MOJ133" s="562"/>
      <c r="MOK133" s="562"/>
      <c r="MOL133" s="562"/>
      <c r="MOM133" s="562"/>
      <c r="MON133" s="562"/>
      <c r="MOO133" s="562"/>
      <c r="MOP133" s="562"/>
      <c r="MOQ133" s="562"/>
      <c r="MOR133" s="562"/>
      <c r="MOS133" s="562"/>
      <c r="MOT133" s="562"/>
      <c r="MOU133" s="562"/>
      <c r="MOV133" s="562"/>
      <c r="MOW133" s="562"/>
      <c r="MOX133" s="562"/>
      <c r="MOY133" s="562"/>
      <c r="MOZ133" s="562"/>
      <c r="MPA133" s="562"/>
      <c r="MPB133" s="562"/>
      <c r="MPC133" s="562"/>
      <c r="MPD133" s="562"/>
      <c r="MPE133" s="562"/>
      <c r="MPF133" s="562"/>
      <c r="MPG133" s="562"/>
      <c r="MPH133" s="562"/>
      <c r="MPI133" s="562"/>
      <c r="MPJ133" s="562"/>
      <c r="MPK133" s="562"/>
      <c r="MPL133" s="562"/>
      <c r="MPM133" s="562"/>
      <c r="MPN133" s="562"/>
      <c r="MPO133" s="562"/>
      <c r="MPP133" s="562"/>
      <c r="MPQ133" s="562"/>
      <c r="MPR133" s="562"/>
      <c r="MPS133" s="562"/>
      <c r="MPT133" s="562"/>
      <c r="MPU133" s="562"/>
      <c r="MPV133" s="562"/>
      <c r="MPW133" s="562"/>
      <c r="MPX133" s="562"/>
      <c r="MPY133" s="562"/>
      <c r="MPZ133" s="562"/>
      <c r="MQA133" s="562"/>
      <c r="MQB133" s="562"/>
      <c r="MQC133" s="562"/>
      <c r="MQD133" s="562"/>
      <c r="MQE133" s="562"/>
      <c r="MQF133" s="562"/>
      <c r="MQG133" s="562"/>
      <c r="MQH133" s="562"/>
      <c r="MQI133" s="562"/>
      <c r="MQJ133" s="562"/>
      <c r="MQK133" s="562"/>
      <c r="MQL133" s="562"/>
      <c r="MQM133" s="562"/>
      <c r="MQN133" s="562"/>
      <c r="MQO133" s="562"/>
      <c r="MQP133" s="562"/>
      <c r="MQQ133" s="562"/>
      <c r="MQR133" s="562"/>
      <c r="MQS133" s="562"/>
      <c r="MQT133" s="562"/>
      <c r="MQU133" s="562"/>
      <c r="MQV133" s="562"/>
      <c r="MQW133" s="562"/>
      <c r="MQX133" s="562"/>
      <c r="MQY133" s="562"/>
      <c r="MQZ133" s="562"/>
      <c r="MRA133" s="562"/>
      <c r="MRB133" s="562"/>
      <c r="MRC133" s="562"/>
      <c r="MRD133" s="562"/>
      <c r="MRE133" s="562"/>
      <c r="MRF133" s="562"/>
      <c r="MRG133" s="562"/>
      <c r="MRH133" s="562"/>
      <c r="MRI133" s="562"/>
      <c r="MRJ133" s="562"/>
      <c r="MRK133" s="562"/>
      <c r="MRL133" s="562"/>
      <c r="MRM133" s="562"/>
      <c r="MRN133" s="562"/>
      <c r="MRO133" s="562"/>
      <c r="MRP133" s="562"/>
      <c r="MRQ133" s="562"/>
      <c r="MRR133" s="562"/>
      <c r="MRS133" s="562"/>
      <c r="MRT133" s="562"/>
      <c r="MRU133" s="562"/>
      <c r="MRV133" s="562"/>
      <c r="MRW133" s="562"/>
      <c r="MRX133" s="562"/>
      <c r="MRY133" s="562"/>
      <c r="MRZ133" s="562"/>
      <c r="MSA133" s="562"/>
      <c r="MSB133" s="562"/>
      <c r="MSC133" s="562"/>
      <c r="MSD133" s="562"/>
      <c r="MSE133" s="562"/>
      <c r="MSF133" s="562"/>
      <c r="MSG133" s="562"/>
      <c r="MSH133" s="562"/>
      <c r="MSI133" s="562"/>
      <c r="MSJ133" s="562"/>
      <c r="MSK133" s="562"/>
      <c r="MSL133" s="562"/>
      <c r="MSM133" s="562"/>
      <c r="MSN133" s="562"/>
      <c r="MSO133" s="562"/>
      <c r="MSP133" s="562"/>
      <c r="MSQ133" s="562"/>
      <c r="MSR133" s="562"/>
      <c r="MSS133" s="562"/>
      <c r="MST133" s="562"/>
      <c r="MSU133" s="562"/>
      <c r="MSV133" s="562"/>
      <c r="MSW133" s="562"/>
      <c r="MSX133" s="562"/>
      <c r="MSY133" s="562"/>
      <c r="MSZ133" s="562"/>
      <c r="MTA133" s="562"/>
      <c r="MTB133" s="562"/>
      <c r="MTC133" s="562"/>
      <c r="MTD133" s="562"/>
      <c r="MTE133" s="562"/>
      <c r="MTF133" s="562"/>
      <c r="MTG133" s="562"/>
      <c r="MTH133" s="562"/>
      <c r="MTI133" s="562"/>
      <c r="MTJ133" s="562"/>
      <c r="MTK133" s="562"/>
      <c r="MTL133" s="562"/>
      <c r="MTM133" s="562"/>
      <c r="MTN133" s="562"/>
      <c r="MTO133" s="562"/>
      <c r="MTP133" s="562"/>
      <c r="MTQ133" s="562"/>
      <c r="MTR133" s="562"/>
      <c r="MTS133" s="562"/>
      <c r="MTT133" s="562"/>
      <c r="MTU133" s="562"/>
      <c r="MTV133" s="562"/>
      <c r="MTW133" s="562"/>
      <c r="MTX133" s="562"/>
      <c r="MTY133" s="562"/>
      <c r="MTZ133" s="562"/>
      <c r="MUA133" s="562"/>
      <c r="MUB133" s="562"/>
      <c r="MUC133" s="562"/>
      <c r="MUD133" s="562"/>
      <c r="MUE133" s="562"/>
      <c r="MUF133" s="562"/>
      <c r="MUG133" s="562"/>
      <c r="MUH133" s="562"/>
      <c r="MUI133" s="562"/>
      <c r="MUJ133" s="562"/>
      <c r="MUK133" s="562"/>
      <c r="MUL133" s="562"/>
      <c r="MUM133" s="562"/>
      <c r="MUN133" s="562"/>
      <c r="MUO133" s="562"/>
      <c r="MUP133" s="562"/>
      <c r="MUQ133" s="562"/>
      <c r="MUR133" s="562"/>
      <c r="MUS133" s="562"/>
      <c r="MUT133" s="562"/>
      <c r="MUU133" s="562"/>
      <c r="MUV133" s="562"/>
      <c r="MUW133" s="562"/>
      <c r="MUX133" s="562"/>
      <c r="MUY133" s="562"/>
      <c r="MUZ133" s="562"/>
      <c r="MVA133" s="562"/>
      <c r="MVB133" s="562"/>
      <c r="MVC133" s="562"/>
      <c r="MVD133" s="562"/>
      <c r="MVE133" s="562"/>
      <c r="MVF133" s="562"/>
      <c r="MVG133" s="562"/>
      <c r="MVH133" s="562"/>
      <c r="MVI133" s="562"/>
      <c r="MVJ133" s="562"/>
      <c r="MVK133" s="562"/>
      <c r="MVL133" s="562"/>
      <c r="MVM133" s="562"/>
      <c r="MVN133" s="562"/>
      <c r="MVO133" s="562"/>
      <c r="MVP133" s="562"/>
      <c r="MVQ133" s="562"/>
      <c r="MVR133" s="562"/>
      <c r="MVS133" s="562"/>
      <c r="MVT133" s="562"/>
      <c r="MVU133" s="562"/>
      <c r="MVV133" s="562"/>
      <c r="MVW133" s="562"/>
      <c r="MVX133" s="562"/>
      <c r="MVY133" s="562"/>
      <c r="MVZ133" s="562"/>
      <c r="MWA133" s="562"/>
      <c r="MWB133" s="562"/>
      <c r="MWC133" s="562"/>
      <c r="MWD133" s="562"/>
      <c r="MWE133" s="562"/>
      <c r="MWF133" s="562"/>
      <c r="MWG133" s="562"/>
      <c r="MWH133" s="562"/>
      <c r="MWI133" s="562"/>
      <c r="MWJ133" s="562"/>
      <c r="MWK133" s="562"/>
      <c r="MWL133" s="562"/>
      <c r="MWM133" s="562"/>
      <c r="MWN133" s="562"/>
      <c r="MWO133" s="562"/>
      <c r="MWP133" s="562"/>
      <c r="MWQ133" s="562"/>
      <c r="MWR133" s="562"/>
      <c r="MWS133" s="562"/>
      <c r="MWT133" s="562"/>
      <c r="MWU133" s="562"/>
      <c r="MWV133" s="562"/>
      <c r="MWW133" s="562"/>
      <c r="MWX133" s="562"/>
      <c r="MWY133" s="562"/>
      <c r="MWZ133" s="562"/>
      <c r="MXA133" s="562"/>
      <c r="MXB133" s="562"/>
      <c r="MXC133" s="562"/>
      <c r="MXD133" s="562"/>
      <c r="MXE133" s="562"/>
      <c r="MXF133" s="562"/>
      <c r="MXG133" s="562"/>
      <c r="MXH133" s="562"/>
      <c r="MXI133" s="562"/>
      <c r="MXJ133" s="562"/>
      <c r="MXK133" s="562"/>
      <c r="MXL133" s="562"/>
      <c r="MXM133" s="562"/>
      <c r="MXN133" s="562"/>
      <c r="MXO133" s="562"/>
      <c r="MXP133" s="562"/>
      <c r="MXQ133" s="562"/>
      <c r="MXR133" s="562"/>
      <c r="MXS133" s="562"/>
      <c r="MXT133" s="562"/>
      <c r="MXU133" s="562"/>
      <c r="MXV133" s="562"/>
      <c r="MXW133" s="562"/>
      <c r="MXX133" s="562"/>
      <c r="MXY133" s="562"/>
      <c r="MXZ133" s="562"/>
      <c r="MYA133" s="562"/>
      <c r="MYB133" s="562"/>
      <c r="MYC133" s="562"/>
      <c r="MYD133" s="562"/>
      <c r="MYE133" s="562"/>
      <c r="MYF133" s="562"/>
      <c r="MYG133" s="562"/>
      <c r="MYH133" s="562"/>
      <c r="MYI133" s="562"/>
      <c r="MYJ133" s="562"/>
      <c r="MYK133" s="562"/>
      <c r="MYL133" s="562"/>
      <c r="MYM133" s="562"/>
      <c r="MYN133" s="562"/>
      <c r="MYO133" s="562"/>
      <c r="MYP133" s="562"/>
      <c r="MYQ133" s="562"/>
      <c r="MYR133" s="562"/>
      <c r="MYS133" s="562"/>
      <c r="MYT133" s="562"/>
      <c r="MYU133" s="562"/>
      <c r="MYV133" s="562"/>
      <c r="MYW133" s="562"/>
      <c r="MYX133" s="562"/>
      <c r="MYY133" s="562"/>
      <c r="MYZ133" s="562"/>
      <c r="MZA133" s="562"/>
      <c r="MZB133" s="562"/>
      <c r="MZC133" s="562"/>
      <c r="MZD133" s="562"/>
      <c r="MZE133" s="562"/>
      <c r="MZF133" s="562"/>
      <c r="MZG133" s="562"/>
      <c r="MZH133" s="562"/>
      <c r="MZI133" s="562"/>
      <c r="MZJ133" s="562"/>
      <c r="MZK133" s="562"/>
      <c r="MZL133" s="562"/>
      <c r="MZM133" s="562"/>
      <c r="MZN133" s="562"/>
      <c r="MZO133" s="562"/>
      <c r="MZP133" s="562"/>
      <c r="MZQ133" s="562"/>
      <c r="MZR133" s="562"/>
      <c r="MZS133" s="562"/>
      <c r="MZT133" s="562"/>
      <c r="MZU133" s="562"/>
      <c r="MZV133" s="562"/>
      <c r="MZW133" s="562"/>
      <c r="MZX133" s="562"/>
      <c r="MZY133" s="562"/>
      <c r="MZZ133" s="562"/>
      <c r="NAA133" s="562"/>
      <c r="NAB133" s="562"/>
      <c r="NAC133" s="562"/>
      <c r="NAD133" s="562"/>
      <c r="NAE133" s="562"/>
      <c r="NAF133" s="562"/>
      <c r="NAG133" s="562"/>
      <c r="NAH133" s="562"/>
      <c r="NAI133" s="562"/>
      <c r="NAJ133" s="562"/>
      <c r="NAK133" s="562"/>
      <c r="NAL133" s="562"/>
      <c r="NAM133" s="562"/>
      <c r="NAN133" s="562"/>
      <c r="NAO133" s="562"/>
      <c r="NAP133" s="562"/>
      <c r="NAQ133" s="562"/>
      <c r="NAR133" s="562"/>
      <c r="NAS133" s="562"/>
      <c r="NAT133" s="562"/>
      <c r="NAU133" s="562"/>
      <c r="NAV133" s="562"/>
      <c r="NAW133" s="562"/>
      <c r="NAX133" s="562"/>
      <c r="NAY133" s="562"/>
      <c r="NAZ133" s="562"/>
      <c r="NBA133" s="562"/>
      <c r="NBB133" s="562"/>
      <c r="NBC133" s="562"/>
      <c r="NBD133" s="562"/>
      <c r="NBE133" s="562"/>
      <c r="NBF133" s="562"/>
      <c r="NBG133" s="562"/>
      <c r="NBH133" s="562"/>
      <c r="NBI133" s="562"/>
      <c r="NBJ133" s="562"/>
      <c r="NBK133" s="562"/>
      <c r="NBL133" s="562"/>
      <c r="NBM133" s="562"/>
      <c r="NBN133" s="562"/>
      <c r="NBO133" s="562"/>
      <c r="NBP133" s="562"/>
      <c r="NBQ133" s="562"/>
      <c r="NBR133" s="562"/>
      <c r="NBS133" s="562"/>
      <c r="NBT133" s="562"/>
      <c r="NBU133" s="562"/>
      <c r="NBV133" s="562"/>
      <c r="NBW133" s="562"/>
      <c r="NBX133" s="562"/>
      <c r="NBY133" s="562"/>
      <c r="NBZ133" s="562"/>
      <c r="NCA133" s="562"/>
      <c r="NCB133" s="562"/>
      <c r="NCC133" s="562"/>
      <c r="NCD133" s="562"/>
      <c r="NCE133" s="562"/>
      <c r="NCF133" s="562"/>
      <c r="NCG133" s="562"/>
      <c r="NCH133" s="562"/>
      <c r="NCI133" s="562"/>
      <c r="NCJ133" s="562"/>
      <c r="NCK133" s="562"/>
      <c r="NCL133" s="562"/>
      <c r="NCM133" s="562"/>
      <c r="NCN133" s="562"/>
      <c r="NCO133" s="562"/>
      <c r="NCP133" s="562"/>
      <c r="NCQ133" s="562"/>
      <c r="NCR133" s="562"/>
      <c r="NCS133" s="562"/>
      <c r="NCT133" s="562"/>
      <c r="NCU133" s="562"/>
      <c r="NCV133" s="562"/>
      <c r="NCW133" s="562"/>
      <c r="NCX133" s="562"/>
      <c r="NCY133" s="562"/>
      <c r="NCZ133" s="562"/>
      <c r="NDA133" s="562"/>
      <c r="NDB133" s="562"/>
      <c r="NDC133" s="562"/>
      <c r="NDD133" s="562"/>
      <c r="NDE133" s="562"/>
      <c r="NDF133" s="562"/>
      <c r="NDG133" s="562"/>
      <c r="NDH133" s="562"/>
      <c r="NDI133" s="562"/>
      <c r="NDJ133" s="562"/>
      <c r="NDK133" s="562"/>
      <c r="NDL133" s="562"/>
      <c r="NDM133" s="562"/>
      <c r="NDN133" s="562"/>
      <c r="NDO133" s="562"/>
      <c r="NDP133" s="562"/>
      <c r="NDQ133" s="562"/>
      <c r="NDR133" s="562"/>
      <c r="NDS133" s="562"/>
      <c r="NDT133" s="562"/>
      <c r="NDU133" s="562"/>
      <c r="NDV133" s="562"/>
      <c r="NDW133" s="562"/>
      <c r="NDX133" s="562"/>
      <c r="NDY133" s="562"/>
      <c r="NDZ133" s="562"/>
      <c r="NEA133" s="562"/>
      <c r="NEB133" s="562"/>
      <c r="NEC133" s="562"/>
      <c r="NED133" s="562"/>
      <c r="NEE133" s="562"/>
      <c r="NEF133" s="562"/>
      <c r="NEG133" s="562"/>
      <c r="NEH133" s="562"/>
      <c r="NEI133" s="562"/>
      <c r="NEJ133" s="562"/>
      <c r="NEK133" s="562"/>
      <c r="NEL133" s="562"/>
      <c r="NEM133" s="562"/>
      <c r="NEN133" s="562"/>
      <c r="NEO133" s="562"/>
      <c r="NEP133" s="562"/>
      <c r="NEQ133" s="562"/>
      <c r="NER133" s="562"/>
      <c r="NES133" s="562"/>
      <c r="NET133" s="562"/>
      <c r="NEU133" s="562"/>
      <c r="NEV133" s="562"/>
      <c r="NEW133" s="562"/>
      <c r="NEX133" s="562"/>
      <c r="NEY133" s="562"/>
      <c r="NEZ133" s="562"/>
      <c r="NFA133" s="562"/>
      <c r="NFB133" s="562"/>
      <c r="NFC133" s="562"/>
      <c r="NFD133" s="562"/>
      <c r="NFE133" s="562"/>
      <c r="NFF133" s="562"/>
      <c r="NFG133" s="562"/>
      <c r="NFH133" s="562"/>
      <c r="NFI133" s="562"/>
      <c r="NFJ133" s="562"/>
      <c r="NFK133" s="562"/>
      <c r="NFL133" s="562"/>
      <c r="NFM133" s="562"/>
      <c r="NFN133" s="562"/>
      <c r="NFO133" s="562"/>
      <c r="NFP133" s="562"/>
      <c r="NFQ133" s="562"/>
      <c r="NFR133" s="562"/>
      <c r="NFS133" s="562"/>
      <c r="NFT133" s="562"/>
      <c r="NFU133" s="562"/>
      <c r="NFV133" s="562"/>
      <c r="NFW133" s="562"/>
      <c r="NFX133" s="562"/>
      <c r="NFY133" s="562"/>
      <c r="NFZ133" s="562"/>
      <c r="NGA133" s="562"/>
      <c r="NGB133" s="562"/>
      <c r="NGC133" s="562"/>
      <c r="NGD133" s="562"/>
      <c r="NGE133" s="562"/>
      <c r="NGF133" s="562"/>
      <c r="NGG133" s="562"/>
      <c r="NGH133" s="562"/>
      <c r="NGI133" s="562"/>
      <c r="NGJ133" s="562"/>
      <c r="NGK133" s="562"/>
      <c r="NGL133" s="562"/>
      <c r="NGM133" s="562"/>
      <c r="NGN133" s="562"/>
      <c r="NGO133" s="562"/>
      <c r="NGP133" s="562"/>
      <c r="NGQ133" s="562"/>
      <c r="NGR133" s="562"/>
      <c r="NGS133" s="562"/>
      <c r="NGT133" s="562"/>
      <c r="NGU133" s="562"/>
      <c r="NGV133" s="562"/>
      <c r="NGW133" s="562"/>
      <c r="NGX133" s="562"/>
      <c r="NGY133" s="562"/>
      <c r="NGZ133" s="562"/>
      <c r="NHA133" s="562"/>
      <c r="NHB133" s="562"/>
      <c r="NHC133" s="562"/>
      <c r="NHD133" s="562"/>
      <c r="NHE133" s="562"/>
      <c r="NHF133" s="562"/>
      <c r="NHG133" s="562"/>
      <c r="NHH133" s="562"/>
      <c r="NHI133" s="562"/>
      <c r="NHJ133" s="562"/>
      <c r="NHK133" s="562"/>
      <c r="NHL133" s="562"/>
      <c r="NHM133" s="562"/>
      <c r="NHN133" s="562"/>
      <c r="NHO133" s="562"/>
      <c r="NHP133" s="562"/>
      <c r="NHQ133" s="562"/>
      <c r="NHR133" s="562"/>
      <c r="NHS133" s="562"/>
      <c r="NHT133" s="562"/>
      <c r="NHU133" s="562"/>
      <c r="NHV133" s="562"/>
      <c r="NHW133" s="562"/>
      <c r="NHX133" s="562"/>
      <c r="NHY133" s="562"/>
      <c r="NHZ133" s="562"/>
      <c r="NIA133" s="562"/>
      <c r="NIB133" s="562"/>
      <c r="NIC133" s="562"/>
      <c r="NID133" s="562"/>
      <c r="NIE133" s="562"/>
      <c r="NIF133" s="562"/>
      <c r="NIG133" s="562"/>
      <c r="NIH133" s="562"/>
      <c r="NII133" s="562"/>
      <c r="NIJ133" s="562"/>
      <c r="NIK133" s="562"/>
      <c r="NIL133" s="562"/>
      <c r="NIM133" s="562"/>
      <c r="NIN133" s="562"/>
      <c r="NIO133" s="562"/>
      <c r="NIP133" s="562"/>
      <c r="NIQ133" s="562"/>
      <c r="NIR133" s="562"/>
      <c r="NIS133" s="562"/>
      <c r="NIT133" s="562"/>
      <c r="NIU133" s="562"/>
      <c r="NIV133" s="562"/>
      <c r="NIW133" s="562"/>
      <c r="NIX133" s="562"/>
      <c r="NIY133" s="562"/>
      <c r="NIZ133" s="562"/>
      <c r="NJA133" s="562"/>
      <c r="NJB133" s="562"/>
      <c r="NJC133" s="562"/>
      <c r="NJD133" s="562"/>
      <c r="NJE133" s="562"/>
      <c r="NJF133" s="562"/>
      <c r="NJG133" s="562"/>
      <c r="NJH133" s="562"/>
      <c r="NJI133" s="562"/>
      <c r="NJJ133" s="562"/>
      <c r="NJK133" s="562"/>
      <c r="NJL133" s="562"/>
      <c r="NJM133" s="562"/>
      <c r="NJN133" s="562"/>
      <c r="NJO133" s="562"/>
      <c r="NJP133" s="562"/>
      <c r="NJQ133" s="562"/>
      <c r="NJR133" s="562"/>
      <c r="NJS133" s="562"/>
      <c r="NJT133" s="562"/>
      <c r="NJU133" s="562"/>
      <c r="NJV133" s="562"/>
      <c r="NJW133" s="562"/>
      <c r="NJX133" s="562"/>
      <c r="NJY133" s="562"/>
      <c r="NJZ133" s="562"/>
      <c r="NKA133" s="562"/>
      <c r="NKB133" s="562"/>
      <c r="NKC133" s="562"/>
      <c r="NKD133" s="562"/>
      <c r="NKE133" s="562"/>
      <c r="NKF133" s="562"/>
      <c r="NKG133" s="562"/>
      <c r="NKH133" s="562"/>
      <c r="NKI133" s="562"/>
      <c r="NKJ133" s="562"/>
      <c r="NKK133" s="562"/>
      <c r="NKL133" s="562"/>
      <c r="NKM133" s="562"/>
      <c r="NKN133" s="562"/>
      <c r="NKO133" s="562"/>
      <c r="NKP133" s="562"/>
      <c r="NKQ133" s="562"/>
      <c r="NKR133" s="562"/>
      <c r="NKS133" s="562"/>
      <c r="NKT133" s="562"/>
      <c r="NKU133" s="562"/>
      <c r="NKV133" s="562"/>
      <c r="NKW133" s="562"/>
      <c r="NKX133" s="562"/>
      <c r="NKY133" s="562"/>
      <c r="NKZ133" s="562"/>
      <c r="NLA133" s="562"/>
      <c r="NLB133" s="562"/>
      <c r="NLC133" s="562"/>
      <c r="NLD133" s="562"/>
      <c r="NLE133" s="562"/>
      <c r="NLF133" s="562"/>
      <c r="NLG133" s="562"/>
      <c r="NLH133" s="562"/>
      <c r="NLI133" s="562"/>
      <c r="NLJ133" s="562"/>
      <c r="NLK133" s="562"/>
      <c r="NLL133" s="562"/>
      <c r="NLM133" s="562"/>
      <c r="NLN133" s="562"/>
      <c r="NLO133" s="562"/>
      <c r="NLP133" s="562"/>
      <c r="NLQ133" s="562"/>
      <c r="NLR133" s="562"/>
      <c r="NLS133" s="562"/>
      <c r="NLT133" s="562"/>
      <c r="NLU133" s="562"/>
      <c r="NLV133" s="562"/>
      <c r="NLW133" s="562"/>
      <c r="NLX133" s="562"/>
      <c r="NLY133" s="562"/>
      <c r="NLZ133" s="562"/>
      <c r="NMA133" s="562"/>
      <c r="NMB133" s="562"/>
      <c r="NMC133" s="562"/>
      <c r="NMD133" s="562"/>
      <c r="NME133" s="562"/>
      <c r="NMF133" s="562"/>
      <c r="NMG133" s="562"/>
      <c r="NMH133" s="562"/>
      <c r="NMI133" s="562"/>
      <c r="NMJ133" s="562"/>
      <c r="NMK133" s="562"/>
      <c r="NML133" s="562"/>
      <c r="NMM133" s="562"/>
      <c r="NMN133" s="562"/>
      <c r="NMO133" s="562"/>
      <c r="NMP133" s="562"/>
      <c r="NMQ133" s="562"/>
      <c r="NMR133" s="562"/>
      <c r="NMS133" s="562"/>
      <c r="NMT133" s="562"/>
      <c r="NMU133" s="562"/>
      <c r="NMV133" s="562"/>
      <c r="NMW133" s="562"/>
      <c r="NMX133" s="562"/>
      <c r="NMY133" s="562"/>
      <c r="NMZ133" s="562"/>
      <c r="NNA133" s="562"/>
      <c r="NNB133" s="562"/>
      <c r="NNC133" s="562"/>
      <c r="NND133" s="562"/>
      <c r="NNE133" s="562"/>
      <c r="NNF133" s="562"/>
      <c r="NNG133" s="562"/>
      <c r="NNH133" s="562"/>
      <c r="NNI133" s="562"/>
      <c r="NNJ133" s="562"/>
      <c r="NNK133" s="562"/>
      <c r="NNL133" s="562"/>
      <c r="NNM133" s="562"/>
      <c r="NNN133" s="562"/>
      <c r="NNO133" s="562"/>
      <c r="NNP133" s="562"/>
      <c r="NNQ133" s="562"/>
      <c r="NNR133" s="562"/>
      <c r="NNS133" s="562"/>
      <c r="NNT133" s="562"/>
      <c r="NNU133" s="562"/>
      <c r="NNV133" s="562"/>
      <c r="NNW133" s="562"/>
      <c r="NNX133" s="562"/>
      <c r="NNY133" s="562"/>
      <c r="NNZ133" s="562"/>
      <c r="NOA133" s="562"/>
      <c r="NOB133" s="562"/>
      <c r="NOC133" s="562"/>
      <c r="NOD133" s="562"/>
      <c r="NOE133" s="562"/>
      <c r="NOF133" s="562"/>
      <c r="NOG133" s="562"/>
      <c r="NOH133" s="562"/>
      <c r="NOI133" s="562"/>
      <c r="NOJ133" s="562"/>
      <c r="NOK133" s="562"/>
      <c r="NOL133" s="562"/>
      <c r="NOM133" s="562"/>
      <c r="NON133" s="562"/>
      <c r="NOO133" s="562"/>
      <c r="NOP133" s="562"/>
      <c r="NOQ133" s="562"/>
      <c r="NOR133" s="562"/>
      <c r="NOS133" s="562"/>
      <c r="NOT133" s="562"/>
      <c r="NOU133" s="562"/>
      <c r="NOV133" s="562"/>
      <c r="NOW133" s="562"/>
      <c r="NOX133" s="562"/>
      <c r="NOY133" s="562"/>
      <c r="NOZ133" s="562"/>
      <c r="NPA133" s="562"/>
      <c r="NPB133" s="562"/>
      <c r="NPC133" s="562"/>
      <c r="NPD133" s="562"/>
      <c r="NPE133" s="562"/>
      <c r="NPF133" s="562"/>
      <c r="NPG133" s="562"/>
      <c r="NPH133" s="562"/>
      <c r="NPI133" s="562"/>
      <c r="NPJ133" s="562"/>
      <c r="NPK133" s="562"/>
      <c r="NPL133" s="562"/>
      <c r="NPM133" s="562"/>
      <c r="NPN133" s="562"/>
      <c r="NPO133" s="562"/>
      <c r="NPP133" s="562"/>
      <c r="NPQ133" s="562"/>
      <c r="NPR133" s="562"/>
      <c r="NPS133" s="562"/>
      <c r="NPT133" s="562"/>
      <c r="NPU133" s="562"/>
      <c r="NPV133" s="562"/>
      <c r="NPW133" s="562"/>
      <c r="NPX133" s="562"/>
      <c r="NPY133" s="562"/>
      <c r="NPZ133" s="562"/>
      <c r="NQA133" s="562"/>
      <c r="NQB133" s="562"/>
      <c r="NQC133" s="562"/>
      <c r="NQD133" s="562"/>
      <c r="NQE133" s="562"/>
      <c r="NQF133" s="562"/>
      <c r="NQG133" s="562"/>
      <c r="NQH133" s="562"/>
      <c r="NQI133" s="562"/>
      <c r="NQJ133" s="562"/>
      <c r="NQK133" s="562"/>
      <c r="NQL133" s="562"/>
      <c r="NQM133" s="562"/>
      <c r="NQN133" s="562"/>
      <c r="NQO133" s="562"/>
      <c r="NQP133" s="562"/>
      <c r="NQQ133" s="562"/>
      <c r="NQR133" s="562"/>
      <c r="NQS133" s="562"/>
      <c r="NQT133" s="562"/>
      <c r="NQU133" s="562"/>
      <c r="NQV133" s="562"/>
      <c r="NQW133" s="562"/>
      <c r="NQX133" s="562"/>
      <c r="NQY133" s="562"/>
      <c r="NQZ133" s="562"/>
      <c r="NRA133" s="562"/>
      <c r="NRB133" s="562"/>
      <c r="NRC133" s="562"/>
      <c r="NRD133" s="562"/>
      <c r="NRE133" s="562"/>
      <c r="NRF133" s="562"/>
      <c r="NRG133" s="562"/>
      <c r="NRH133" s="562"/>
      <c r="NRI133" s="562"/>
      <c r="NRJ133" s="562"/>
      <c r="NRK133" s="562"/>
      <c r="NRL133" s="562"/>
      <c r="NRM133" s="562"/>
      <c r="NRN133" s="562"/>
      <c r="NRO133" s="562"/>
      <c r="NRP133" s="562"/>
      <c r="NRQ133" s="562"/>
      <c r="NRR133" s="562"/>
      <c r="NRS133" s="562"/>
      <c r="NRT133" s="562"/>
      <c r="NRU133" s="562"/>
      <c r="NRV133" s="562"/>
      <c r="NRW133" s="562"/>
      <c r="NRX133" s="562"/>
      <c r="NRY133" s="562"/>
      <c r="NRZ133" s="562"/>
      <c r="NSA133" s="562"/>
      <c r="NSB133" s="562"/>
      <c r="NSC133" s="562"/>
      <c r="NSD133" s="562"/>
      <c r="NSE133" s="562"/>
      <c r="NSF133" s="562"/>
      <c r="NSG133" s="562"/>
      <c r="NSH133" s="562"/>
      <c r="NSI133" s="562"/>
      <c r="NSJ133" s="562"/>
      <c r="NSK133" s="562"/>
      <c r="NSL133" s="562"/>
      <c r="NSM133" s="562"/>
      <c r="NSN133" s="562"/>
      <c r="NSO133" s="562"/>
      <c r="NSP133" s="562"/>
      <c r="NSQ133" s="562"/>
      <c r="NSR133" s="562"/>
      <c r="NSS133" s="562"/>
      <c r="NST133" s="562"/>
      <c r="NSU133" s="562"/>
      <c r="NSV133" s="562"/>
      <c r="NSW133" s="562"/>
      <c r="NSX133" s="562"/>
      <c r="NSY133" s="562"/>
      <c r="NSZ133" s="562"/>
      <c r="NTA133" s="562"/>
      <c r="NTB133" s="562"/>
      <c r="NTC133" s="562"/>
      <c r="NTD133" s="562"/>
      <c r="NTE133" s="562"/>
      <c r="NTF133" s="562"/>
      <c r="NTG133" s="562"/>
      <c r="NTH133" s="562"/>
      <c r="NTI133" s="562"/>
      <c r="NTJ133" s="562"/>
      <c r="NTK133" s="562"/>
      <c r="NTL133" s="562"/>
      <c r="NTM133" s="562"/>
      <c r="NTN133" s="562"/>
      <c r="NTO133" s="562"/>
      <c r="NTP133" s="562"/>
      <c r="NTQ133" s="562"/>
      <c r="NTR133" s="562"/>
      <c r="NTS133" s="562"/>
      <c r="NTT133" s="562"/>
      <c r="NTU133" s="562"/>
      <c r="NTV133" s="562"/>
      <c r="NTW133" s="562"/>
      <c r="NTX133" s="562"/>
      <c r="NTY133" s="562"/>
      <c r="NTZ133" s="562"/>
      <c r="NUA133" s="562"/>
      <c r="NUB133" s="562"/>
      <c r="NUC133" s="562"/>
      <c r="NUD133" s="562"/>
      <c r="NUE133" s="562"/>
      <c r="NUF133" s="562"/>
      <c r="NUG133" s="562"/>
      <c r="NUH133" s="562"/>
      <c r="NUI133" s="562"/>
      <c r="NUJ133" s="562"/>
      <c r="NUK133" s="562"/>
      <c r="NUL133" s="562"/>
      <c r="NUM133" s="562"/>
      <c r="NUN133" s="562"/>
      <c r="NUO133" s="562"/>
      <c r="NUP133" s="562"/>
      <c r="NUQ133" s="562"/>
      <c r="NUR133" s="562"/>
      <c r="NUS133" s="562"/>
      <c r="NUT133" s="562"/>
      <c r="NUU133" s="562"/>
      <c r="NUV133" s="562"/>
      <c r="NUW133" s="562"/>
      <c r="NUX133" s="562"/>
      <c r="NUY133" s="562"/>
      <c r="NUZ133" s="562"/>
      <c r="NVA133" s="562"/>
      <c r="NVB133" s="562"/>
      <c r="NVC133" s="562"/>
      <c r="NVD133" s="562"/>
      <c r="NVE133" s="562"/>
      <c r="NVF133" s="562"/>
      <c r="NVG133" s="562"/>
      <c r="NVH133" s="562"/>
      <c r="NVI133" s="562"/>
      <c r="NVJ133" s="562"/>
      <c r="NVK133" s="562"/>
      <c r="NVL133" s="562"/>
      <c r="NVM133" s="562"/>
      <c r="NVN133" s="562"/>
      <c r="NVO133" s="562"/>
      <c r="NVP133" s="562"/>
      <c r="NVQ133" s="562"/>
      <c r="NVR133" s="562"/>
      <c r="NVS133" s="562"/>
      <c r="NVT133" s="562"/>
      <c r="NVU133" s="562"/>
      <c r="NVV133" s="562"/>
      <c r="NVW133" s="562"/>
      <c r="NVX133" s="562"/>
      <c r="NVY133" s="562"/>
      <c r="NVZ133" s="562"/>
      <c r="NWA133" s="562"/>
      <c r="NWB133" s="562"/>
      <c r="NWC133" s="562"/>
      <c r="NWD133" s="562"/>
      <c r="NWE133" s="562"/>
      <c r="NWF133" s="562"/>
      <c r="NWG133" s="562"/>
      <c r="NWH133" s="562"/>
      <c r="NWI133" s="562"/>
      <c r="NWJ133" s="562"/>
      <c r="NWK133" s="562"/>
      <c r="NWL133" s="562"/>
      <c r="NWM133" s="562"/>
      <c r="NWN133" s="562"/>
      <c r="NWO133" s="562"/>
      <c r="NWP133" s="562"/>
      <c r="NWQ133" s="562"/>
      <c r="NWR133" s="562"/>
      <c r="NWS133" s="562"/>
      <c r="NWT133" s="562"/>
      <c r="NWU133" s="562"/>
      <c r="NWV133" s="562"/>
      <c r="NWW133" s="562"/>
      <c r="NWX133" s="562"/>
      <c r="NWY133" s="562"/>
      <c r="NWZ133" s="562"/>
      <c r="NXA133" s="562"/>
      <c r="NXB133" s="562"/>
      <c r="NXC133" s="562"/>
      <c r="NXD133" s="562"/>
      <c r="NXE133" s="562"/>
      <c r="NXF133" s="562"/>
      <c r="NXG133" s="562"/>
      <c r="NXH133" s="562"/>
      <c r="NXI133" s="562"/>
      <c r="NXJ133" s="562"/>
      <c r="NXK133" s="562"/>
      <c r="NXL133" s="562"/>
      <c r="NXM133" s="562"/>
      <c r="NXN133" s="562"/>
      <c r="NXO133" s="562"/>
      <c r="NXP133" s="562"/>
      <c r="NXQ133" s="562"/>
      <c r="NXR133" s="562"/>
      <c r="NXS133" s="562"/>
      <c r="NXT133" s="562"/>
      <c r="NXU133" s="562"/>
      <c r="NXV133" s="562"/>
      <c r="NXW133" s="562"/>
      <c r="NXX133" s="562"/>
      <c r="NXY133" s="562"/>
      <c r="NXZ133" s="562"/>
      <c r="NYA133" s="562"/>
      <c r="NYB133" s="562"/>
      <c r="NYC133" s="562"/>
      <c r="NYD133" s="562"/>
      <c r="NYE133" s="562"/>
      <c r="NYF133" s="562"/>
      <c r="NYG133" s="562"/>
      <c r="NYH133" s="562"/>
      <c r="NYI133" s="562"/>
      <c r="NYJ133" s="562"/>
      <c r="NYK133" s="562"/>
      <c r="NYL133" s="562"/>
      <c r="NYM133" s="562"/>
      <c r="NYN133" s="562"/>
      <c r="NYO133" s="562"/>
      <c r="NYP133" s="562"/>
      <c r="NYQ133" s="562"/>
      <c r="NYR133" s="562"/>
      <c r="NYS133" s="562"/>
      <c r="NYT133" s="562"/>
      <c r="NYU133" s="562"/>
      <c r="NYV133" s="562"/>
      <c r="NYW133" s="562"/>
      <c r="NYX133" s="562"/>
      <c r="NYY133" s="562"/>
      <c r="NYZ133" s="562"/>
      <c r="NZA133" s="562"/>
      <c r="NZB133" s="562"/>
      <c r="NZC133" s="562"/>
      <c r="NZD133" s="562"/>
      <c r="NZE133" s="562"/>
      <c r="NZF133" s="562"/>
      <c r="NZG133" s="562"/>
      <c r="NZH133" s="562"/>
      <c r="NZI133" s="562"/>
      <c r="NZJ133" s="562"/>
      <c r="NZK133" s="562"/>
      <c r="NZL133" s="562"/>
      <c r="NZM133" s="562"/>
      <c r="NZN133" s="562"/>
      <c r="NZO133" s="562"/>
      <c r="NZP133" s="562"/>
      <c r="NZQ133" s="562"/>
      <c r="NZR133" s="562"/>
      <c r="NZS133" s="562"/>
      <c r="NZT133" s="562"/>
      <c r="NZU133" s="562"/>
      <c r="NZV133" s="562"/>
      <c r="NZW133" s="562"/>
      <c r="NZX133" s="562"/>
      <c r="NZY133" s="562"/>
      <c r="NZZ133" s="562"/>
      <c r="OAA133" s="562"/>
      <c r="OAB133" s="562"/>
      <c r="OAC133" s="562"/>
      <c r="OAD133" s="562"/>
      <c r="OAE133" s="562"/>
      <c r="OAF133" s="562"/>
      <c r="OAG133" s="562"/>
      <c r="OAH133" s="562"/>
      <c r="OAI133" s="562"/>
      <c r="OAJ133" s="562"/>
      <c r="OAK133" s="562"/>
      <c r="OAL133" s="562"/>
      <c r="OAM133" s="562"/>
      <c r="OAN133" s="562"/>
      <c r="OAO133" s="562"/>
      <c r="OAP133" s="562"/>
      <c r="OAQ133" s="562"/>
      <c r="OAR133" s="562"/>
      <c r="OAS133" s="562"/>
      <c r="OAT133" s="562"/>
      <c r="OAU133" s="562"/>
      <c r="OAV133" s="562"/>
      <c r="OAW133" s="562"/>
      <c r="OAX133" s="562"/>
      <c r="OAY133" s="562"/>
      <c r="OAZ133" s="562"/>
      <c r="OBA133" s="562"/>
      <c r="OBB133" s="562"/>
      <c r="OBC133" s="562"/>
      <c r="OBD133" s="562"/>
      <c r="OBE133" s="562"/>
      <c r="OBF133" s="562"/>
      <c r="OBG133" s="562"/>
      <c r="OBH133" s="562"/>
      <c r="OBI133" s="562"/>
      <c r="OBJ133" s="562"/>
      <c r="OBK133" s="562"/>
      <c r="OBL133" s="562"/>
      <c r="OBM133" s="562"/>
      <c r="OBN133" s="562"/>
      <c r="OBO133" s="562"/>
      <c r="OBP133" s="562"/>
      <c r="OBQ133" s="562"/>
      <c r="OBR133" s="562"/>
      <c r="OBS133" s="562"/>
      <c r="OBT133" s="562"/>
      <c r="OBU133" s="562"/>
      <c r="OBV133" s="562"/>
      <c r="OBW133" s="562"/>
      <c r="OBX133" s="562"/>
      <c r="OBY133" s="562"/>
      <c r="OBZ133" s="562"/>
      <c r="OCA133" s="562"/>
      <c r="OCB133" s="562"/>
      <c r="OCC133" s="562"/>
      <c r="OCD133" s="562"/>
      <c r="OCE133" s="562"/>
      <c r="OCF133" s="562"/>
      <c r="OCG133" s="562"/>
      <c r="OCH133" s="562"/>
      <c r="OCI133" s="562"/>
      <c r="OCJ133" s="562"/>
      <c r="OCK133" s="562"/>
      <c r="OCL133" s="562"/>
      <c r="OCM133" s="562"/>
      <c r="OCN133" s="562"/>
      <c r="OCO133" s="562"/>
      <c r="OCP133" s="562"/>
      <c r="OCQ133" s="562"/>
      <c r="OCR133" s="562"/>
      <c r="OCS133" s="562"/>
      <c r="OCT133" s="562"/>
      <c r="OCU133" s="562"/>
      <c r="OCV133" s="562"/>
      <c r="OCW133" s="562"/>
      <c r="OCX133" s="562"/>
      <c r="OCY133" s="562"/>
      <c r="OCZ133" s="562"/>
      <c r="ODA133" s="562"/>
      <c r="ODB133" s="562"/>
      <c r="ODC133" s="562"/>
      <c r="ODD133" s="562"/>
      <c r="ODE133" s="562"/>
      <c r="ODF133" s="562"/>
      <c r="ODG133" s="562"/>
      <c r="ODH133" s="562"/>
      <c r="ODI133" s="562"/>
      <c r="ODJ133" s="562"/>
      <c r="ODK133" s="562"/>
      <c r="ODL133" s="562"/>
      <c r="ODM133" s="562"/>
      <c r="ODN133" s="562"/>
      <c r="ODO133" s="562"/>
      <c r="ODP133" s="562"/>
      <c r="ODQ133" s="562"/>
      <c r="ODR133" s="562"/>
      <c r="ODS133" s="562"/>
      <c r="ODT133" s="562"/>
      <c r="ODU133" s="562"/>
      <c r="ODV133" s="562"/>
      <c r="ODW133" s="562"/>
      <c r="ODX133" s="562"/>
      <c r="ODY133" s="562"/>
      <c r="ODZ133" s="562"/>
      <c r="OEA133" s="562"/>
      <c r="OEB133" s="562"/>
      <c r="OEC133" s="562"/>
      <c r="OED133" s="562"/>
      <c r="OEE133" s="562"/>
      <c r="OEF133" s="562"/>
      <c r="OEG133" s="562"/>
      <c r="OEH133" s="562"/>
      <c r="OEI133" s="562"/>
      <c r="OEJ133" s="562"/>
      <c r="OEK133" s="562"/>
      <c r="OEL133" s="562"/>
      <c r="OEM133" s="562"/>
      <c r="OEN133" s="562"/>
      <c r="OEO133" s="562"/>
      <c r="OEP133" s="562"/>
      <c r="OEQ133" s="562"/>
      <c r="OER133" s="562"/>
      <c r="OES133" s="562"/>
      <c r="OET133" s="562"/>
      <c r="OEU133" s="562"/>
      <c r="OEV133" s="562"/>
      <c r="OEW133" s="562"/>
      <c r="OEX133" s="562"/>
      <c r="OEY133" s="562"/>
      <c r="OEZ133" s="562"/>
      <c r="OFA133" s="562"/>
      <c r="OFB133" s="562"/>
      <c r="OFC133" s="562"/>
      <c r="OFD133" s="562"/>
      <c r="OFE133" s="562"/>
      <c r="OFF133" s="562"/>
      <c r="OFG133" s="562"/>
      <c r="OFH133" s="562"/>
      <c r="OFI133" s="562"/>
      <c r="OFJ133" s="562"/>
      <c r="OFK133" s="562"/>
      <c r="OFL133" s="562"/>
      <c r="OFM133" s="562"/>
      <c r="OFN133" s="562"/>
      <c r="OFO133" s="562"/>
      <c r="OFP133" s="562"/>
      <c r="OFQ133" s="562"/>
      <c r="OFR133" s="562"/>
      <c r="OFS133" s="562"/>
      <c r="OFT133" s="562"/>
      <c r="OFU133" s="562"/>
      <c r="OFV133" s="562"/>
      <c r="OFW133" s="562"/>
      <c r="OFX133" s="562"/>
      <c r="OFY133" s="562"/>
      <c r="OFZ133" s="562"/>
      <c r="OGA133" s="562"/>
      <c r="OGB133" s="562"/>
      <c r="OGC133" s="562"/>
      <c r="OGD133" s="562"/>
      <c r="OGE133" s="562"/>
      <c r="OGF133" s="562"/>
      <c r="OGG133" s="562"/>
      <c r="OGH133" s="562"/>
      <c r="OGI133" s="562"/>
      <c r="OGJ133" s="562"/>
      <c r="OGK133" s="562"/>
      <c r="OGL133" s="562"/>
      <c r="OGM133" s="562"/>
      <c r="OGN133" s="562"/>
      <c r="OGO133" s="562"/>
      <c r="OGP133" s="562"/>
      <c r="OGQ133" s="562"/>
      <c r="OGR133" s="562"/>
      <c r="OGS133" s="562"/>
      <c r="OGT133" s="562"/>
      <c r="OGU133" s="562"/>
      <c r="OGV133" s="562"/>
      <c r="OGW133" s="562"/>
      <c r="OGX133" s="562"/>
      <c r="OGY133" s="562"/>
      <c r="OGZ133" s="562"/>
      <c r="OHA133" s="562"/>
      <c r="OHB133" s="562"/>
      <c r="OHC133" s="562"/>
      <c r="OHD133" s="562"/>
      <c r="OHE133" s="562"/>
      <c r="OHF133" s="562"/>
      <c r="OHG133" s="562"/>
      <c r="OHH133" s="562"/>
      <c r="OHI133" s="562"/>
      <c r="OHJ133" s="562"/>
      <c r="OHK133" s="562"/>
      <c r="OHL133" s="562"/>
      <c r="OHM133" s="562"/>
      <c r="OHN133" s="562"/>
      <c r="OHO133" s="562"/>
      <c r="OHP133" s="562"/>
      <c r="OHQ133" s="562"/>
      <c r="OHR133" s="562"/>
      <c r="OHS133" s="562"/>
      <c r="OHT133" s="562"/>
      <c r="OHU133" s="562"/>
      <c r="OHV133" s="562"/>
      <c r="OHW133" s="562"/>
      <c r="OHX133" s="562"/>
      <c r="OHY133" s="562"/>
      <c r="OHZ133" s="562"/>
      <c r="OIA133" s="562"/>
      <c r="OIB133" s="562"/>
      <c r="OIC133" s="562"/>
      <c r="OID133" s="562"/>
      <c r="OIE133" s="562"/>
      <c r="OIF133" s="562"/>
      <c r="OIG133" s="562"/>
      <c r="OIH133" s="562"/>
      <c r="OII133" s="562"/>
      <c r="OIJ133" s="562"/>
      <c r="OIK133" s="562"/>
      <c r="OIL133" s="562"/>
      <c r="OIM133" s="562"/>
      <c r="OIN133" s="562"/>
      <c r="OIO133" s="562"/>
      <c r="OIP133" s="562"/>
      <c r="OIQ133" s="562"/>
      <c r="OIR133" s="562"/>
      <c r="OIS133" s="562"/>
      <c r="OIT133" s="562"/>
      <c r="OIU133" s="562"/>
      <c r="OIV133" s="562"/>
      <c r="OIW133" s="562"/>
      <c r="OIX133" s="562"/>
      <c r="OIY133" s="562"/>
      <c r="OIZ133" s="562"/>
      <c r="OJA133" s="562"/>
      <c r="OJB133" s="562"/>
      <c r="OJC133" s="562"/>
      <c r="OJD133" s="562"/>
      <c r="OJE133" s="562"/>
      <c r="OJF133" s="562"/>
      <c r="OJG133" s="562"/>
      <c r="OJH133" s="562"/>
      <c r="OJI133" s="562"/>
      <c r="OJJ133" s="562"/>
      <c r="OJK133" s="562"/>
      <c r="OJL133" s="562"/>
      <c r="OJM133" s="562"/>
      <c r="OJN133" s="562"/>
      <c r="OJO133" s="562"/>
      <c r="OJP133" s="562"/>
      <c r="OJQ133" s="562"/>
      <c r="OJR133" s="562"/>
      <c r="OJS133" s="562"/>
      <c r="OJT133" s="562"/>
      <c r="OJU133" s="562"/>
      <c r="OJV133" s="562"/>
      <c r="OJW133" s="562"/>
      <c r="OJX133" s="562"/>
      <c r="OJY133" s="562"/>
      <c r="OJZ133" s="562"/>
      <c r="OKA133" s="562"/>
      <c r="OKB133" s="562"/>
      <c r="OKC133" s="562"/>
      <c r="OKD133" s="562"/>
      <c r="OKE133" s="562"/>
      <c r="OKF133" s="562"/>
      <c r="OKG133" s="562"/>
      <c r="OKH133" s="562"/>
      <c r="OKI133" s="562"/>
      <c r="OKJ133" s="562"/>
      <c r="OKK133" s="562"/>
      <c r="OKL133" s="562"/>
      <c r="OKM133" s="562"/>
      <c r="OKN133" s="562"/>
      <c r="OKO133" s="562"/>
      <c r="OKP133" s="562"/>
      <c r="OKQ133" s="562"/>
      <c r="OKR133" s="562"/>
      <c r="OKS133" s="562"/>
      <c r="OKT133" s="562"/>
      <c r="OKU133" s="562"/>
      <c r="OKV133" s="562"/>
      <c r="OKW133" s="562"/>
      <c r="OKX133" s="562"/>
      <c r="OKY133" s="562"/>
      <c r="OKZ133" s="562"/>
      <c r="OLA133" s="562"/>
      <c r="OLB133" s="562"/>
      <c r="OLC133" s="562"/>
      <c r="OLD133" s="562"/>
      <c r="OLE133" s="562"/>
      <c r="OLF133" s="562"/>
      <c r="OLG133" s="562"/>
      <c r="OLH133" s="562"/>
      <c r="OLI133" s="562"/>
      <c r="OLJ133" s="562"/>
      <c r="OLK133" s="562"/>
      <c r="OLL133" s="562"/>
      <c r="OLM133" s="562"/>
      <c r="OLN133" s="562"/>
      <c r="OLO133" s="562"/>
      <c r="OLP133" s="562"/>
      <c r="OLQ133" s="562"/>
      <c r="OLR133" s="562"/>
      <c r="OLS133" s="562"/>
      <c r="OLT133" s="562"/>
      <c r="OLU133" s="562"/>
      <c r="OLV133" s="562"/>
      <c r="OLW133" s="562"/>
      <c r="OLX133" s="562"/>
      <c r="OLY133" s="562"/>
      <c r="OLZ133" s="562"/>
      <c r="OMA133" s="562"/>
      <c r="OMB133" s="562"/>
      <c r="OMC133" s="562"/>
      <c r="OMD133" s="562"/>
      <c r="OME133" s="562"/>
      <c r="OMF133" s="562"/>
      <c r="OMG133" s="562"/>
      <c r="OMH133" s="562"/>
      <c r="OMI133" s="562"/>
      <c r="OMJ133" s="562"/>
      <c r="OMK133" s="562"/>
      <c r="OML133" s="562"/>
      <c r="OMM133" s="562"/>
      <c r="OMN133" s="562"/>
      <c r="OMO133" s="562"/>
      <c r="OMP133" s="562"/>
      <c r="OMQ133" s="562"/>
      <c r="OMR133" s="562"/>
      <c r="OMS133" s="562"/>
      <c r="OMT133" s="562"/>
      <c r="OMU133" s="562"/>
      <c r="OMV133" s="562"/>
      <c r="OMW133" s="562"/>
      <c r="OMX133" s="562"/>
      <c r="OMY133" s="562"/>
      <c r="OMZ133" s="562"/>
      <c r="ONA133" s="562"/>
      <c r="ONB133" s="562"/>
      <c r="ONC133" s="562"/>
      <c r="OND133" s="562"/>
      <c r="ONE133" s="562"/>
      <c r="ONF133" s="562"/>
      <c r="ONG133" s="562"/>
      <c r="ONH133" s="562"/>
      <c r="ONI133" s="562"/>
      <c r="ONJ133" s="562"/>
      <c r="ONK133" s="562"/>
      <c r="ONL133" s="562"/>
      <c r="ONM133" s="562"/>
      <c r="ONN133" s="562"/>
      <c r="ONO133" s="562"/>
      <c r="ONP133" s="562"/>
      <c r="ONQ133" s="562"/>
      <c r="ONR133" s="562"/>
      <c r="ONS133" s="562"/>
      <c r="ONT133" s="562"/>
      <c r="ONU133" s="562"/>
      <c r="ONV133" s="562"/>
      <c r="ONW133" s="562"/>
      <c r="ONX133" s="562"/>
      <c r="ONY133" s="562"/>
      <c r="ONZ133" s="562"/>
      <c r="OOA133" s="562"/>
      <c r="OOB133" s="562"/>
      <c r="OOC133" s="562"/>
      <c r="OOD133" s="562"/>
      <c r="OOE133" s="562"/>
      <c r="OOF133" s="562"/>
      <c r="OOG133" s="562"/>
      <c r="OOH133" s="562"/>
      <c r="OOI133" s="562"/>
      <c r="OOJ133" s="562"/>
      <c r="OOK133" s="562"/>
      <c r="OOL133" s="562"/>
      <c r="OOM133" s="562"/>
      <c r="OON133" s="562"/>
      <c r="OOO133" s="562"/>
      <c r="OOP133" s="562"/>
      <c r="OOQ133" s="562"/>
      <c r="OOR133" s="562"/>
      <c r="OOS133" s="562"/>
      <c r="OOT133" s="562"/>
      <c r="OOU133" s="562"/>
      <c r="OOV133" s="562"/>
      <c r="OOW133" s="562"/>
      <c r="OOX133" s="562"/>
      <c r="OOY133" s="562"/>
      <c r="OOZ133" s="562"/>
      <c r="OPA133" s="562"/>
      <c r="OPB133" s="562"/>
      <c r="OPC133" s="562"/>
      <c r="OPD133" s="562"/>
      <c r="OPE133" s="562"/>
      <c r="OPF133" s="562"/>
      <c r="OPG133" s="562"/>
      <c r="OPH133" s="562"/>
      <c r="OPI133" s="562"/>
      <c r="OPJ133" s="562"/>
      <c r="OPK133" s="562"/>
      <c r="OPL133" s="562"/>
      <c r="OPM133" s="562"/>
      <c r="OPN133" s="562"/>
      <c r="OPO133" s="562"/>
      <c r="OPP133" s="562"/>
      <c r="OPQ133" s="562"/>
      <c r="OPR133" s="562"/>
      <c r="OPS133" s="562"/>
      <c r="OPT133" s="562"/>
      <c r="OPU133" s="562"/>
      <c r="OPV133" s="562"/>
      <c r="OPW133" s="562"/>
      <c r="OPX133" s="562"/>
      <c r="OPY133" s="562"/>
      <c r="OPZ133" s="562"/>
      <c r="OQA133" s="562"/>
      <c r="OQB133" s="562"/>
      <c r="OQC133" s="562"/>
      <c r="OQD133" s="562"/>
      <c r="OQE133" s="562"/>
      <c r="OQF133" s="562"/>
      <c r="OQG133" s="562"/>
      <c r="OQH133" s="562"/>
      <c r="OQI133" s="562"/>
      <c r="OQJ133" s="562"/>
      <c r="OQK133" s="562"/>
      <c r="OQL133" s="562"/>
      <c r="OQM133" s="562"/>
      <c r="OQN133" s="562"/>
      <c r="OQO133" s="562"/>
      <c r="OQP133" s="562"/>
      <c r="OQQ133" s="562"/>
      <c r="OQR133" s="562"/>
      <c r="OQS133" s="562"/>
      <c r="OQT133" s="562"/>
      <c r="OQU133" s="562"/>
      <c r="OQV133" s="562"/>
      <c r="OQW133" s="562"/>
      <c r="OQX133" s="562"/>
      <c r="OQY133" s="562"/>
      <c r="OQZ133" s="562"/>
      <c r="ORA133" s="562"/>
      <c r="ORB133" s="562"/>
      <c r="ORC133" s="562"/>
      <c r="ORD133" s="562"/>
      <c r="ORE133" s="562"/>
      <c r="ORF133" s="562"/>
      <c r="ORG133" s="562"/>
      <c r="ORH133" s="562"/>
      <c r="ORI133" s="562"/>
      <c r="ORJ133" s="562"/>
      <c r="ORK133" s="562"/>
      <c r="ORL133" s="562"/>
      <c r="ORM133" s="562"/>
      <c r="ORN133" s="562"/>
      <c r="ORO133" s="562"/>
      <c r="ORP133" s="562"/>
      <c r="ORQ133" s="562"/>
      <c r="ORR133" s="562"/>
      <c r="ORS133" s="562"/>
      <c r="ORT133" s="562"/>
      <c r="ORU133" s="562"/>
      <c r="ORV133" s="562"/>
      <c r="ORW133" s="562"/>
      <c r="ORX133" s="562"/>
      <c r="ORY133" s="562"/>
      <c r="ORZ133" s="562"/>
      <c r="OSA133" s="562"/>
      <c r="OSB133" s="562"/>
      <c r="OSC133" s="562"/>
      <c r="OSD133" s="562"/>
      <c r="OSE133" s="562"/>
      <c r="OSF133" s="562"/>
      <c r="OSG133" s="562"/>
      <c r="OSH133" s="562"/>
      <c r="OSI133" s="562"/>
      <c r="OSJ133" s="562"/>
      <c r="OSK133" s="562"/>
      <c r="OSL133" s="562"/>
      <c r="OSM133" s="562"/>
      <c r="OSN133" s="562"/>
      <c r="OSO133" s="562"/>
      <c r="OSP133" s="562"/>
      <c r="OSQ133" s="562"/>
      <c r="OSR133" s="562"/>
      <c r="OSS133" s="562"/>
      <c r="OST133" s="562"/>
      <c r="OSU133" s="562"/>
      <c r="OSV133" s="562"/>
      <c r="OSW133" s="562"/>
      <c r="OSX133" s="562"/>
      <c r="OSY133" s="562"/>
      <c r="OSZ133" s="562"/>
      <c r="OTA133" s="562"/>
      <c r="OTB133" s="562"/>
      <c r="OTC133" s="562"/>
      <c r="OTD133" s="562"/>
      <c r="OTE133" s="562"/>
      <c r="OTF133" s="562"/>
      <c r="OTG133" s="562"/>
      <c r="OTH133" s="562"/>
      <c r="OTI133" s="562"/>
      <c r="OTJ133" s="562"/>
      <c r="OTK133" s="562"/>
      <c r="OTL133" s="562"/>
      <c r="OTM133" s="562"/>
      <c r="OTN133" s="562"/>
      <c r="OTO133" s="562"/>
      <c r="OTP133" s="562"/>
      <c r="OTQ133" s="562"/>
      <c r="OTR133" s="562"/>
      <c r="OTS133" s="562"/>
      <c r="OTT133" s="562"/>
      <c r="OTU133" s="562"/>
      <c r="OTV133" s="562"/>
      <c r="OTW133" s="562"/>
      <c r="OTX133" s="562"/>
      <c r="OTY133" s="562"/>
      <c r="OTZ133" s="562"/>
      <c r="OUA133" s="562"/>
      <c r="OUB133" s="562"/>
      <c r="OUC133" s="562"/>
      <c r="OUD133" s="562"/>
      <c r="OUE133" s="562"/>
      <c r="OUF133" s="562"/>
      <c r="OUG133" s="562"/>
      <c r="OUH133" s="562"/>
      <c r="OUI133" s="562"/>
      <c r="OUJ133" s="562"/>
      <c r="OUK133" s="562"/>
      <c r="OUL133" s="562"/>
      <c r="OUM133" s="562"/>
      <c r="OUN133" s="562"/>
      <c r="OUO133" s="562"/>
      <c r="OUP133" s="562"/>
      <c r="OUQ133" s="562"/>
      <c r="OUR133" s="562"/>
      <c r="OUS133" s="562"/>
      <c r="OUT133" s="562"/>
      <c r="OUU133" s="562"/>
      <c r="OUV133" s="562"/>
      <c r="OUW133" s="562"/>
      <c r="OUX133" s="562"/>
      <c r="OUY133" s="562"/>
      <c r="OUZ133" s="562"/>
      <c r="OVA133" s="562"/>
      <c r="OVB133" s="562"/>
      <c r="OVC133" s="562"/>
      <c r="OVD133" s="562"/>
      <c r="OVE133" s="562"/>
      <c r="OVF133" s="562"/>
      <c r="OVG133" s="562"/>
      <c r="OVH133" s="562"/>
      <c r="OVI133" s="562"/>
      <c r="OVJ133" s="562"/>
      <c r="OVK133" s="562"/>
      <c r="OVL133" s="562"/>
      <c r="OVM133" s="562"/>
      <c r="OVN133" s="562"/>
      <c r="OVO133" s="562"/>
      <c r="OVP133" s="562"/>
      <c r="OVQ133" s="562"/>
      <c r="OVR133" s="562"/>
      <c r="OVS133" s="562"/>
      <c r="OVT133" s="562"/>
      <c r="OVU133" s="562"/>
      <c r="OVV133" s="562"/>
      <c r="OVW133" s="562"/>
      <c r="OVX133" s="562"/>
      <c r="OVY133" s="562"/>
      <c r="OVZ133" s="562"/>
      <c r="OWA133" s="562"/>
      <c r="OWB133" s="562"/>
      <c r="OWC133" s="562"/>
      <c r="OWD133" s="562"/>
      <c r="OWE133" s="562"/>
      <c r="OWF133" s="562"/>
      <c r="OWG133" s="562"/>
      <c r="OWH133" s="562"/>
      <c r="OWI133" s="562"/>
      <c r="OWJ133" s="562"/>
      <c r="OWK133" s="562"/>
      <c r="OWL133" s="562"/>
      <c r="OWM133" s="562"/>
      <c r="OWN133" s="562"/>
      <c r="OWO133" s="562"/>
      <c r="OWP133" s="562"/>
      <c r="OWQ133" s="562"/>
      <c r="OWR133" s="562"/>
      <c r="OWS133" s="562"/>
      <c r="OWT133" s="562"/>
      <c r="OWU133" s="562"/>
      <c r="OWV133" s="562"/>
      <c r="OWW133" s="562"/>
      <c r="OWX133" s="562"/>
      <c r="OWY133" s="562"/>
      <c r="OWZ133" s="562"/>
      <c r="OXA133" s="562"/>
      <c r="OXB133" s="562"/>
      <c r="OXC133" s="562"/>
      <c r="OXD133" s="562"/>
      <c r="OXE133" s="562"/>
      <c r="OXF133" s="562"/>
      <c r="OXG133" s="562"/>
      <c r="OXH133" s="562"/>
      <c r="OXI133" s="562"/>
      <c r="OXJ133" s="562"/>
      <c r="OXK133" s="562"/>
      <c r="OXL133" s="562"/>
      <c r="OXM133" s="562"/>
      <c r="OXN133" s="562"/>
      <c r="OXO133" s="562"/>
      <c r="OXP133" s="562"/>
      <c r="OXQ133" s="562"/>
      <c r="OXR133" s="562"/>
      <c r="OXS133" s="562"/>
      <c r="OXT133" s="562"/>
      <c r="OXU133" s="562"/>
      <c r="OXV133" s="562"/>
      <c r="OXW133" s="562"/>
      <c r="OXX133" s="562"/>
      <c r="OXY133" s="562"/>
      <c r="OXZ133" s="562"/>
      <c r="OYA133" s="562"/>
      <c r="OYB133" s="562"/>
      <c r="OYC133" s="562"/>
      <c r="OYD133" s="562"/>
      <c r="OYE133" s="562"/>
      <c r="OYF133" s="562"/>
      <c r="OYG133" s="562"/>
      <c r="OYH133" s="562"/>
      <c r="OYI133" s="562"/>
      <c r="OYJ133" s="562"/>
      <c r="OYK133" s="562"/>
      <c r="OYL133" s="562"/>
      <c r="OYM133" s="562"/>
      <c r="OYN133" s="562"/>
      <c r="OYO133" s="562"/>
      <c r="OYP133" s="562"/>
      <c r="OYQ133" s="562"/>
      <c r="OYR133" s="562"/>
      <c r="OYS133" s="562"/>
      <c r="OYT133" s="562"/>
      <c r="OYU133" s="562"/>
      <c r="OYV133" s="562"/>
      <c r="OYW133" s="562"/>
      <c r="OYX133" s="562"/>
      <c r="OYY133" s="562"/>
      <c r="OYZ133" s="562"/>
      <c r="OZA133" s="562"/>
      <c r="OZB133" s="562"/>
      <c r="OZC133" s="562"/>
      <c r="OZD133" s="562"/>
      <c r="OZE133" s="562"/>
      <c r="OZF133" s="562"/>
      <c r="OZG133" s="562"/>
      <c r="OZH133" s="562"/>
      <c r="OZI133" s="562"/>
      <c r="OZJ133" s="562"/>
      <c r="OZK133" s="562"/>
      <c r="OZL133" s="562"/>
      <c r="OZM133" s="562"/>
      <c r="OZN133" s="562"/>
      <c r="OZO133" s="562"/>
      <c r="OZP133" s="562"/>
      <c r="OZQ133" s="562"/>
      <c r="OZR133" s="562"/>
      <c r="OZS133" s="562"/>
      <c r="OZT133" s="562"/>
      <c r="OZU133" s="562"/>
      <c r="OZV133" s="562"/>
      <c r="OZW133" s="562"/>
      <c r="OZX133" s="562"/>
      <c r="OZY133" s="562"/>
      <c r="OZZ133" s="562"/>
      <c r="PAA133" s="562"/>
      <c r="PAB133" s="562"/>
      <c r="PAC133" s="562"/>
      <c r="PAD133" s="562"/>
      <c r="PAE133" s="562"/>
      <c r="PAF133" s="562"/>
      <c r="PAG133" s="562"/>
      <c r="PAH133" s="562"/>
      <c r="PAI133" s="562"/>
      <c r="PAJ133" s="562"/>
      <c r="PAK133" s="562"/>
      <c r="PAL133" s="562"/>
      <c r="PAM133" s="562"/>
      <c r="PAN133" s="562"/>
      <c r="PAO133" s="562"/>
      <c r="PAP133" s="562"/>
      <c r="PAQ133" s="562"/>
      <c r="PAR133" s="562"/>
      <c r="PAS133" s="562"/>
      <c r="PAT133" s="562"/>
      <c r="PAU133" s="562"/>
      <c r="PAV133" s="562"/>
      <c r="PAW133" s="562"/>
      <c r="PAX133" s="562"/>
      <c r="PAY133" s="562"/>
      <c r="PAZ133" s="562"/>
      <c r="PBA133" s="562"/>
      <c r="PBB133" s="562"/>
      <c r="PBC133" s="562"/>
      <c r="PBD133" s="562"/>
      <c r="PBE133" s="562"/>
      <c r="PBF133" s="562"/>
      <c r="PBG133" s="562"/>
      <c r="PBH133" s="562"/>
      <c r="PBI133" s="562"/>
      <c r="PBJ133" s="562"/>
      <c r="PBK133" s="562"/>
      <c r="PBL133" s="562"/>
      <c r="PBM133" s="562"/>
      <c r="PBN133" s="562"/>
      <c r="PBO133" s="562"/>
      <c r="PBP133" s="562"/>
      <c r="PBQ133" s="562"/>
      <c r="PBR133" s="562"/>
      <c r="PBS133" s="562"/>
      <c r="PBT133" s="562"/>
      <c r="PBU133" s="562"/>
      <c r="PBV133" s="562"/>
      <c r="PBW133" s="562"/>
      <c r="PBX133" s="562"/>
      <c r="PBY133" s="562"/>
      <c r="PBZ133" s="562"/>
      <c r="PCA133" s="562"/>
      <c r="PCB133" s="562"/>
      <c r="PCC133" s="562"/>
      <c r="PCD133" s="562"/>
      <c r="PCE133" s="562"/>
      <c r="PCF133" s="562"/>
      <c r="PCG133" s="562"/>
      <c r="PCH133" s="562"/>
      <c r="PCI133" s="562"/>
      <c r="PCJ133" s="562"/>
      <c r="PCK133" s="562"/>
      <c r="PCL133" s="562"/>
      <c r="PCM133" s="562"/>
      <c r="PCN133" s="562"/>
      <c r="PCO133" s="562"/>
      <c r="PCP133" s="562"/>
      <c r="PCQ133" s="562"/>
      <c r="PCR133" s="562"/>
      <c r="PCS133" s="562"/>
      <c r="PCT133" s="562"/>
      <c r="PCU133" s="562"/>
      <c r="PCV133" s="562"/>
      <c r="PCW133" s="562"/>
      <c r="PCX133" s="562"/>
      <c r="PCY133" s="562"/>
      <c r="PCZ133" s="562"/>
      <c r="PDA133" s="562"/>
      <c r="PDB133" s="562"/>
      <c r="PDC133" s="562"/>
      <c r="PDD133" s="562"/>
      <c r="PDE133" s="562"/>
      <c r="PDF133" s="562"/>
      <c r="PDG133" s="562"/>
      <c r="PDH133" s="562"/>
      <c r="PDI133" s="562"/>
      <c r="PDJ133" s="562"/>
      <c r="PDK133" s="562"/>
      <c r="PDL133" s="562"/>
      <c r="PDM133" s="562"/>
      <c r="PDN133" s="562"/>
      <c r="PDO133" s="562"/>
      <c r="PDP133" s="562"/>
      <c r="PDQ133" s="562"/>
      <c r="PDR133" s="562"/>
      <c r="PDS133" s="562"/>
      <c r="PDT133" s="562"/>
      <c r="PDU133" s="562"/>
      <c r="PDV133" s="562"/>
      <c r="PDW133" s="562"/>
      <c r="PDX133" s="562"/>
      <c r="PDY133" s="562"/>
      <c r="PDZ133" s="562"/>
      <c r="PEA133" s="562"/>
      <c r="PEB133" s="562"/>
      <c r="PEC133" s="562"/>
      <c r="PED133" s="562"/>
      <c r="PEE133" s="562"/>
      <c r="PEF133" s="562"/>
      <c r="PEG133" s="562"/>
      <c r="PEH133" s="562"/>
      <c r="PEI133" s="562"/>
      <c r="PEJ133" s="562"/>
      <c r="PEK133" s="562"/>
      <c r="PEL133" s="562"/>
      <c r="PEM133" s="562"/>
      <c r="PEN133" s="562"/>
      <c r="PEO133" s="562"/>
      <c r="PEP133" s="562"/>
      <c r="PEQ133" s="562"/>
      <c r="PER133" s="562"/>
      <c r="PES133" s="562"/>
      <c r="PET133" s="562"/>
      <c r="PEU133" s="562"/>
      <c r="PEV133" s="562"/>
      <c r="PEW133" s="562"/>
      <c r="PEX133" s="562"/>
      <c r="PEY133" s="562"/>
      <c r="PEZ133" s="562"/>
      <c r="PFA133" s="562"/>
      <c r="PFB133" s="562"/>
      <c r="PFC133" s="562"/>
      <c r="PFD133" s="562"/>
      <c r="PFE133" s="562"/>
      <c r="PFF133" s="562"/>
      <c r="PFG133" s="562"/>
      <c r="PFH133" s="562"/>
      <c r="PFI133" s="562"/>
      <c r="PFJ133" s="562"/>
      <c r="PFK133" s="562"/>
      <c r="PFL133" s="562"/>
      <c r="PFM133" s="562"/>
      <c r="PFN133" s="562"/>
      <c r="PFO133" s="562"/>
      <c r="PFP133" s="562"/>
      <c r="PFQ133" s="562"/>
      <c r="PFR133" s="562"/>
      <c r="PFS133" s="562"/>
      <c r="PFT133" s="562"/>
      <c r="PFU133" s="562"/>
      <c r="PFV133" s="562"/>
      <c r="PFW133" s="562"/>
      <c r="PFX133" s="562"/>
      <c r="PFY133" s="562"/>
      <c r="PFZ133" s="562"/>
      <c r="PGA133" s="562"/>
      <c r="PGB133" s="562"/>
      <c r="PGC133" s="562"/>
      <c r="PGD133" s="562"/>
      <c r="PGE133" s="562"/>
      <c r="PGF133" s="562"/>
      <c r="PGG133" s="562"/>
      <c r="PGH133" s="562"/>
      <c r="PGI133" s="562"/>
      <c r="PGJ133" s="562"/>
      <c r="PGK133" s="562"/>
      <c r="PGL133" s="562"/>
      <c r="PGM133" s="562"/>
      <c r="PGN133" s="562"/>
      <c r="PGO133" s="562"/>
      <c r="PGP133" s="562"/>
      <c r="PGQ133" s="562"/>
      <c r="PGR133" s="562"/>
      <c r="PGS133" s="562"/>
      <c r="PGT133" s="562"/>
      <c r="PGU133" s="562"/>
      <c r="PGV133" s="562"/>
      <c r="PGW133" s="562"/>
      <c r="PGX133" s="562"/>
      <c r="PGY133" s="562"/>
      <c r="PGZ133" s="562"/>
      <c r="PHA133" s="562"/>
      <c r="PHB133" s="562"/>
      <c r="PHC133" s="562"/>
      <c r="PHD133" s="562"/>
      <c r="PHE133" s="562"/>
      <c r="PHF133" s="562"/>
      <c r="PHG133" s="562"/>
      <c r="PHH133" s="562"/>
      <c r="PHI133" s="562"/>
      <c r="PHJ133" s="562"/>
      <c r="PHK133" s="562"/>
      <c r="PHL133" s="562"/>
      <c r="PHM133" s="562"/>
      <c r="PHN133" s="562"/>
      <c r="PHO133" s="562"/>
      <c r="PHP133" s="562"/>
      <c r="PHQ133" s="562"/>
      <c r="PHR133" s="562"/>
      <c r="PHS133" s="562"/>
      <c r="PHT133" s="562"/>
      <c r="PHU133" s="562"/>
      <c r="PHV133" s="562"/>
      <c r="PHW133" s="562"/>
      <c r="PHX133" s="562"/>
      <c r="PHY133" s="562"/>
      <c r="PHZ133" s="562"/>
      <c r="PIA133" s="562"/>
      <c r="PIB133" s="562"/>
      <c r="PIC133" s="562"/>
      <c r="PID133" s="562"/>
      <c r="PIE133" s="562"/>
      <c r="PIF133" s="562"/>
      <c r="PIG133" s="562"/>
      <c r="PIH133" s="562"/>
      <c r="PII133" s="562"/>
      <c r="PIJ133" s="562"/>
      <c r="PIK133" s="562"/>
      <c r="PIL133" s="562"/>
      <c r="PIM133" s="562"/>
      <c r="PIN133" s="562"/>
      <c r="PIO133" s="562"/>
      <c r="PIP133" s="562"/>
      <c r="PIQ133" s="562"/>
      <c r="PIR133" s="562"/>
      <c r="PIS133" s="562"/>
      <c r="PIT133" s="562"/>
      <c r="PIU133" s="562"/>
      <c r="PIV133" s="562"/>
      <c r="PIW133" s="562"/>
      <c r="PIX133" s="562"/>
      <c r="PIY133" s="562"/>
      <c r="PIZ133" s="562"/>
      <c r="PJA133" s="562"/>
      <c r="PJB133" s="562"/>
      <c r="PJC133" s="562"/>
      <c r="PJD133" s="562"/>
      <c r="PJE133" s="562"/>
      <c r="PJF133" s="562"/>
      <c r="PJG133" s="562"/>
      <c r="PJH133" s="562"/>
      <c r="PJI133" s="562"/>
      <c r="PJJ133" s="562"/>
      <c r="PJK133" s="562"/>
      <c r="PJL133" s="562"/>
      <c r="PJM133" s="562"/>
      <c r="PJN133" s="562"/>
      <c r="PJO133" s="562"/>
      <c r="PJP133" s="562"/>
      <c r="PJQ133" s="562"/>
      <c r="PJR133" s="562"/>
      <c r="PJS133" s="562"/>
      <c r="PJT133" s="562"/>
      <c r="PJU133" s="562"/>
      <c r="PJV133" s="562"/>
      <c r="PJW133" s="562"/>
      <c r="PJX133" s="562"/>
      <c r="PJY133" s="562"/>
      <c r="PJZ133" s="562"/>
      <c r="PKA133" s="562"/>
      <c r="PKB133" s="562"/>
      <c r="PKC133" s="562"/>
      <c r="PKD133" s="562"/>
      <c r="PKE133" s="562"/>
      <c r="PKF133" s="562"/>
      <c r="PKG133" s="562"/>
      <c r="PKH133" s="562"/>
      <c r="PKI133" s="562"/>
      <c r="PKJ133" s="562"/>
      <c r="PKK133" s="562"/>
      <c r="PKL133" s="562"/>
      <c r="PKM133" s="562"/>
      <c r="PKN133" s="562"/>
      <c r="PKO133" s="562"/>
      <c r="PKP133" s="562"/>
      <c r="PKQ133" s="562"/>
      <c r="PKR133" s="562"/>
      <c r="PKS133" s="562"/>
      <c r="PKT133" s="562"/>
      <c r="PKU133" s="562"/>
      <c r="PKV133" s="562"/>
      <c r="PKW133" s="562"/>
      <c r="PKX133" s="562"/>
      <c r="PKY133" s="562"/>
      <c r="PKZ133" s="562"/>
      <c r="PLA133" s="562"/>
      <c r="PLB133" s="562"/>
      <c r="PLC133" s="562"/>
      <c r="PLD133" s="562"/>
      <c r="PLE133" s="562"/>
      <c r="PLF133" s="562"/>
      <c r="PLG133" s="562"/>
      <c r="PLH133" s="562"/>
      <c r="PLI133" s="562"/>
      <c r="PLJ133" s="562"/>
      <c r="PLK133" s="562"/>
      <c r="PLL133" s="562"/>
      <c r="PLM133" s="562"/>
      <c r="PLN133" s="562"/>
      <c r="PLO133" s="562"/>
      <c r="PLP133" s="562"/>
      <c r="PLQ133" s="562"/>
      <c r="PLR133" s="562"/>
      <c r="PLS133" s="562"/>
      <c r="PLT133" s="562"/>
      <c r="PLU133" s="562"/>
      <c r="PLV133" s="562"/>
      <c r="PLW133" s="562"/>
      <c r="PLX133" s="562"/>
      <c r="PLY133" s="562"/>
      <c r="PLZ133" s="562"/>
      <c r="PMA133" s="562"/>
      <c r="PMB133" s="562"/>
      <c r="PMC133" s="562"/>
      <c r="PMD133" s="562"/>
      <c r="PME133" s="562"/>
      <c r="PMF133" s="562"/>
      <c r="PMG133" s="562"/>
      <c r="PMH133" s="562"/>
      <c r="PMI133" s="562"/>
      <c r="PMJ133" s="562"/>
      <c r="PMK133" s="562"/>
      <c r="PML133" s="562"/>
      <c r="PMM133" s="562"/>
      <c r="PMN133" s="562"/>
      <c r="PMO133" s="562"/>
      <c r="PMP133" s="562"/>
      <c r="PMQ133" s="562"/>
      <c r="PMR133" s="562"/>
      <c r="PMS133" s="562"/>
      <c r="PMT133" s="562"/>
      <c r="PMU133" s="562"/>
      <c r="PMV133" s="562"/>
      <c r="PMW133" s="562"/>
      <c r="PMX133" s="562"/>
      <c r="PMY133" s="562"/>
      <c r="PMZ133" s="562"/>
      <c r="PNA133" s="562"/>
      <c r="PNB133" s="562"/>
      <c r="PNC133" s="562"/>
      <c r="PND133" s="562"/>
      <c r="PNE133" s="562"/>
      <c r="PNF133" s="562"/>
      <c r="PNG133" s="562"/>
      <c r="PNH133" s="562"/>
      <c r="PNI133" s="562"/>
      <c r="PNJ133" s="562"/>
      <c r="PNK133" s="562"/>
      <c r="PNL133" s="562"/>
      <c r="PNM133" s="562"/>
      <c r="PNN133" s="562"/>
      <c r="PNO133" s="562"/>
      <c r="PNP133" s="562"/>
      <c r="PNQ133" s="562"/>
      <c r="PNR133" s="562"/>
      <c r="PNS133" s="562"/>
      <c r="PNT133" s="562"/>
      <c r="PNU133" s="562"/>
      <c r="PNV133" s="562"/>
      <c r="PNW133" s="562"/>
      <c r="PNX133" s="562"/>
      <c r="PNY133" s="562"/>
      <c r="PNZ133" s="562"/>
      <c r="POA133" s="562"/>
      <c r="POB133" s="562"/>
      <c r="POC133" s="562"/>
      <c r="POD133" s="562"/>
      <c r="POE133" s="562"/>
      <c r="POF133" s="562"/>
      <c r="POG133" s="562"/>
      <c r="POH133" s="562"/>
      <c r="POI133" s="562"/>
      <c r="POJ133" s="562"/>
      <c r="POK133" s="562"/>
      <c r="POL133" s="562"/>
      <c r="POM133" s="562"/>
      <c r="PON133" s="562"/>
      <c r="POO133" s="562"/>
      <c r="POP133" s="562"/>
      <c r="POQ133" s="562"/>
      <c r="POR133" s="562"/>
      <c r="POS133" s="562"/>
      <c r="POT133" s="562"/>
      <c r="POU133" s="562"/>
      <c r="POV133" s="562"/>
      <c r="POW133" s="562"/>
      <c r="POX133" s="562"/>
      <c r="POY133" s="562"/>
      <c r="POZ133" s="562"/>
      <c r="PPA133" s="562"/>
      <c r="PPB133" s="562"/>
      <c r="PPC133" s="562"/>
      <c r="PPD133" s="562"/>
      <c r="PPE133" s="562"/>
      <c r="PPF133" s="562"/>
      <c r="PPG133" s="562"/>
      <c r="PPH133" s="562"/>
      <c r="PPI133" s="562"/>
      <c r="PPJ133" s="562"/>
      <c r="PPK133" s="562"/>
      <c r="PPL133" s="562"/>
      <c r="PPM133" s="562"/>
      <c r="PPN133" s="562"/>
      <c r="PPO133" s="562"/>
      <c r="PPP133" s="562"/>
      <c r="PPQ133" s="562"/>
      <c r="PPR133" s="562"/>
      <c r="PPS133" s="562"/>
      <c r="PPT133" s="562"/>
      <c r="PPU133" s="562"/>
      <c r="PPV133" s="562"/>
      <c r="PPW133" s="562"/>
      <c r="PPX133" s="562"/>
      <c r="PPY133" s="562"/>
      <c r="PPZ133" s="562"/>
      <c r="PQA133" s="562"/>
      <c r="PQB133" s="562"/>
      <c r="PQC133" s="562"/>
      <c r="PQD133" s="562"/>
      <c r="PQE133" s="562"/>
      <c r="PQF133" s="562"/>
      <c r="PQG133" s="562"/>
      <c r="PQH133" s="562"/>
      <c r="PQI133" s="562"/>
      <c r="PQJ133" s="562"/>
      <c r="PQK133" s="562"/>
      <c r="PQL133" s="562"/>
      <c r="PQM133" s="562"/>
      <c r="PQN133" s="562"/>
      <c r="PQO133" s="562"/>
      <c r="PQP133" s="562"/>
      <c r="PQQ133" s="562"/>
      <c r="PQR133" s="562"/>
      <c r="PQS133" s="562"/>
      <c r="PQT133" s="562"/>
      <c r="PQU133" s="562"/>
      <c r="PQV133" s="562"/>
      <c r="PQW133" s="562"/>
      <c r="PQX133" s="562"/>
      <c r="PQY133" s="562"/>
      <c r="PQZ133" s="562"/>
      <c r="PRA133" s="562"/>
      <c r="PRB133" s="562"/>
      <c r="PRC133" s="562"/>
      <c r="PRD133" s="562"/>
      <c r="PRE133" s="562"/>
      <c r="PRF133" s="562"/>
      <c r="PRG133" s="562"/>
      <c r="PRH133" s="562"/>
      <c r="PRI133" s="562"/>
      <c r="PRJ133" s="562"/>
      <c r="PRK133" s="562"/>
      <c r="PRL133" s="562"/>
      <c r="PRM133" s="562"/>
      <c r="PRN133" s="562"/>
      <c r="PRO133" s="562"/>
      <c r="PRP133" s="562"/>
      <c r="PRQ133" s="562"/>
      <c r="PRR133" s="562"/>
      <c r="PRS133" s="562"/>
      <c r="PRT133" s="562"/>
      <c r="PRU133" s="562"/>
      <c r="PRV133" s="562"/>
      <c r="PRW133" s="562"/>
      <c r="PRX133" s="562"/>
      <c r="PRY133" s="562"/>
      <c r="PRZ133" s="562"/>
      <c r="PSA133" s="562"/>
      <c r="PSB133" s="562"/>
      <c r="PSC133" s="562"/>
      <c r="PSD133" s="562"/>
      <c r="PSE133" s="562"/>
      <c r="PSF133" s="562"/>
      <c r="PSG133" s="562"/>
      <c r="PSH133" s="562"/>
      <c r="PSI133" s="562"/>
      <c r="PSJ133" s="562"/>
      <c r="PSK133" s="562"/>
      <c r="PSL133" s="562"/>
      <c r="PSM133" s="562"/>
      <c r="PSN133" s="562"/>
      <c r="PSO133" s="562"/>
      <c r="PSP133" s="562"/>
      <c r="PSQ133" s="562"/>
      <c r="PSR133" s="562"/>
      <c r="PSS133" s="562"/>
      <c r="PST133" s="562"/>
      <c r="PSU133" s="562"/>
      <c r="PSV133" s="562"/>
      <c r="PSW133" s="562"/>
      <c r="PSX133" s="562"/>
      <c r="PSY133" s="562"/>
      <c r="PSZ133" s="562"/>
      <c r="PTA133" s="562"/>
      <c r="PTB133" s="562"/>
      <c r="PTC133" s="562"/>
      <c r="PTD133" s="562"/>
      <c r="PTE133" s="562"/>
      <c r="PTF133" s="562"/>
      <c r="PTG133" s="562"/>
      <c r="PTH133" s="562"/>
      <c r="PTI133" s="562"/>
      <c r="PTJ133" s="562"/>
      <c r="PTK133" s="562"/>
      <c r="PTL133" s="562"/>
      <c r="PTM133" s="562"/>
      <c r="PTN133" s="562"/>
      <c r="PTO133" s="562"/>
      <c r="PTP133" s="562"/>
      <c r="PTQ133" s="562"/>
      <c r="PTR133" s="562"/>
      <c r="PTS133" s="562"/>
      <c r="PTT133" s="562"/>
      <c r="PTU133" s="562"/>
      <c r="PTV133" s="562"/>
      <c r="PTW133" s="562"/>
      <c r="PTX133" s="562"/>
      <c r="PTY133" s="562"/>
      <c r="PTZ133" s="562"/>
      <c r="PUA133" s="562"/>
      <c r="PUB133" s="562"/>
      <c r="PUC133" s="562"/>
      <c r="PUD133" s="562"/>
      <c r="PUE133" s="562"/>
      <c r="PUF133" s="562"/>
      <c r="PUG133" s="562"/>
      <c r="PUH133" s="562"/>
      <c r="PUI133" s="562"/>
      <c r="PUJ133" s="562"/>
      <c r="PUK133" s="562"/>
      <c r="PUL133" s="562"/>
      <c r="PUM133" s="562"/>
      <c r="PUN133" s="562"/>
      <c r="PUO133" s="562"/>
      <c r="PUP133" s="562"/>
      <c r="PUQ133" s="562"/>
      <c r="PUR133" s="562"/>
      <c r="PUS133" s="562"/>
      <c r="PUT133" s="562"/>
      <c r="PUU133" s="562"/>
      <c r="PUV133" s="562"/>
      <c r="PUW133" s="562"/>
      <c r="PUX133" s="562"/>
      <c r="PUY133" s="562"/>
      <c r="PUZ133" s="562"/>
      <c r="PVA133" s="562"/>
      <c r="PVB133" s="562"/>
      <c r="PVC133" s="562"/>
      <c r="PVD133" s="562"/>
      <c r="PVE133" s="562"/>
      <c r="PVF133" s="562"/>
      <c r="PVG133" s="562"/>
      <c r="PVH133" s="562"/>
      <c r="PVI133" s="562"/>
      <c r="PVJ133" s="562"/>
      <c r="PVK133" s="562"/>
      <c r="PVL133" s="562"/>
      <c r="PVM133" s="562"/>
      <c r="PVN133" s="562"/>
      <c r="PVO133" s="562"/>
      <c r="PVP133" s="562"/>
      <c r="PVQ133" s="562"/>
      <c r="PVR133" s="562"/>
      <c r="PVS133" s="562"/>
      <c r="PVT133" s="562"/>
      <c r="PVU133" s="562"/>
      <c r="PVV133" s="562"/>
      <c r="PVW133" s="562"/>
      <c r="PVX133" s="562"/>
      <c r="PVY133" s="562"/>
      <c r="PVZ133" s="562"/>
      <c r="PWA133" s="562"/>
      <c r="PWB133" s="562"/>
      <c r="PWC133" s="562"/>
      <c r="PWD133" s="562"/>
      <c r="PWE133" s="562"/>
      <c r="PWF133" s="562"/>
      <c r="PWG133" s="562"/>
      <c r="PWH133" s="562"/>
      <c r="PWI133" s="562"/>
      <c r="PWJ133" s="562"/>
      <c r="PWK133" s="562"/>
      <c r="PWL133" s="562"/>
      <c r="PWM133" s="562"/>
      <c r="PWN133" s="562"/>
      <c r="PWO133" s="562"/>
      <c r="PWP133" s="562"/>
      <c r="PWQ133" s="562"/>
      <c r="PWR133" s="562"/>
      <c r="PWS133" s="562"/>
      <c r="PWT133" s="562"/>
      <c r="PWU133" s="562"/>
      <c r="PWV133" s="562"/>
      <c r="PWW133" s="562"/>
      <c r="PWX133" s="562"/>
      <c r="PWY133" s="562"/>
      <c r="PWZ133" s="562"/>
      <c r="PXA133" s="562"/>
      <c r="PXB133" s="562"/>
      <c r="PXC133" s="562"/>
      <c r="PXD133" s="562"/>
      <c r="PXE133" s="562"/>
      <c r="PXF133" s="562"/>
      <c r="PXG133" s="562"/>
      <c r="PXH133" s="562"/>
      <c r="PXI133" s="562"/>
      <c r="PXJ133" s="562"/>
      <c r="PXK133" s="562"/>
      <c r="PXL133" s="562"/>
      <c r="PXM133" s="562"/>
      <c r="PXN133" s="562"/>
      <c r="PXO133" s="562"/>
      <c r="PXP133" s="562"/>
      <c r="PXQ133" s="562"/>
      <c r="PXR133" s="562"/>
      <c r="PXS133" s="562"/>
      <c r="PXT133" s="562"/>
      <c r="PXU133" s="562"/>
      <c r="PXV133" s="562"/>
      <c r="PXW133" s="562"/>
      <c r="PXX133" s="562"/>
      <c r="PXY133" s="562"/>
      <c r="PXZ133" s="562"/>
      <c r="PYA133" s="562"/>
      <c r="PYB133" s="562"/>
      <c r="PYC133" s="562"/>
      <c r="PYD133" s="562"/>
      <c r="PYE133" s="562"/>
      <c r="PYF133" s="562"/>
      <c r="PYG133" s="562"/>
      <c r="PYH133" s="562"/>
      <c r="PYI133" s="562"/>
      <c r="PYJ133" s="562"/>
      <c r="PYK133" s="562"/>
      <c r="PYL133" s="562"/>
      <c r="PYM133" s="562"/>
      <c r="PYN133" s="562"/>
      <c r="PYO133" s="562"/>
      <c r="PYP133" s="562"/>
      <c r="PYQ133" s="562"/>
      <c r="PYR133" s="562"/>
      <c r="PYS133" s="562"/>
      <c r="PYT133" s="562"/>
      <c r="PYU133" s="562"/>
      <c r="PYV133" s="562"/>
      <c r="PYW133" s="562"/>
      <c r="PYX133" s="562"/>
      <c r="PYY133" s="562"/>
      <c r="PYZ133" s="562"/>
      <c r="PZA133" s="562"/>
      <c r="PZB133" s="562"/>
      <c r="PZC133" s="562"/>
      <c r="PZD133" s="562"/>
      <c r="PZE133" s="562"/>
      <c r="PZF133" s="562"/>
      <c r="PZG133" s="562"/>
      <c r="PZH133" s="562"/>
      <c r="PZI133" s="562"/>
      <c r="PZJ133" s="562"/>
      <c r="PZK133" s="562"/>
      <c r="PZL133" s="562"/>
      <c r="PZM133" s="562"/>
      <c r="PZN133" s="562"/>
      <c r="PZO133" s="562"/>
      <c r="PZP133" s="562"/>
      <c r="PZQ133" s="562"/>
      <c r="PZR133" s="562"/>
      <c r="PZS133" s="562"/>
      <c r="PZT133" s="562"/>
      <c r="PZU133" s="562"/>
      <c r="PZV133" s="562"/>
      <c r="PZW133" s="562"/>
      <c r="PZX133" s="562"/>
      <c r="PZY133" s="562"/>
      <c r="PZZ133" s="562"/>
      <c r="QAA133" s="562"/>
      <c r="QAB133" s="562"/>
      <c r="QAC133" s="562"/>
      <c r="QAD133" s="562"/>
      <c r="QAE133" s="562"/>
      <c r="QAF133" s="562"/>
      <c r="QAG133" s="562"/>
      <c r="QAH133" s="562"/>
      <c r="QAI133" s="562"/>
      <c r="QAJ133" s="562"/>
      <c r="QAK133" s="562"/>
      <c r="QAL133" s="562"/>
      <c r="QAM133" s="562"/>
      <c r="QAN133" s="562"/>
      <c r="QAO133" s="562"/>
      <c r="QAP133" s="562"/>
      <c r="QAQ133" s="562"/>
      <c r="QAR133" s="562"/>
      <c r="QAS133" s="562"/>
      <c r="QAT133" s="562"/>
      <c r="QAU133" s="562"/>
      <c r="QAV133" s="562"/>
      <c r="QAW133" s="562"/>
      <c r="QAX133" s="562"/>
      <c r="QAY133" s="562"/>
      <c r="QAZ133" s="562"/>
      <c r="QBA133" s="562"/>
      <c r="QBB133" s="562"/>
      <c r="QBC133" s="562"/>
      <c r="QBD133" s="562"/>
      <c r="QBE133" s="562"/>
      <c r="QBF133" s="562"/>
      <c r="QBG133" s="562"/>
      <c r="QBH133" s="562"/>
      <c r="QBI133" s="562"/>
      <c r="QBJ133" s="562"/>
      <c r="QBK133" s="562"/>
      <c r="QBL133" s="562"/>
      <c r="QBM133" s="562"/>
      <c r="QBN133" s="562"/>
      <c r="QBO133" s="562"/>
      <c r="QBP133" s="562"/>
      <c r="QBQ133" s="562"/>
      <c r="QBR133" s="562"/>
      <c r="QBS133" s="562"/>
      <c r="QBT133" s="562"/>
      <c r="QBU133" s="562"/>
      <c r="QBV133" s="562"/>
      <c r="QBW133" s="562"/>
      <c r="QBX133" s="562"/>
      <c r="QBY133" s="562"/>
      <c r="QBZ133" s="562"/>
      <c r="QCA133" s="562"/>
      <c r="QCB133" s="562"/>
      <c r="QCC133" s="562"/>
      <c r="QCD133" s="562"/>
      <c r="QCE133" s="562"/>
      <c r="QCF133" s="562"/>
      <c r="QCG133" s="562"/>
      <c r="QCH133" s="562"/>
      <c r="QCI133" s="562"/>
      <c r="QCJ133" s="562"/>
      <c r="QCK133" s="562"/>
      <c r="QCL133" s="562"/>
      <c r="QCM133" s="562"/>
      <c r="QCN133" s="562"/>
      <c r="QCO133" s="562"/>
      <c r="QCP133" s="562"/>
      <c r="QCQ133" s="562"/>
      <c r="QCR133" s="562"/>
      <c r="QCS133" s="562"/>
      <c r="QCT133" s="562"/>
      <c r="QCU133" s="562"/>
      <c r="QCV133" s="562"/>
      <c r="QCW133" s="562"/>
      <c r="QCX133" s="562"/>
      <c r="QCY133" s="562"/>
      <c r="QCZ133" s="562"/>
      <c r="QDA133" s="562"/>
      <c r="QDB133" s="562"/>
      <c r="QDC133" s="562"/>
      <c r="QDD133" s="562"/>
      <c r="QDE133" s="562"/>
      <c r="QDF133" s="562"/>
      <c r="QDG133" s="562"/>
      <c r="QDH133" s="562"/>
      <c r="QDI133" s="562"/>
      <c r="QDJ133" s="562"/>
      <c r="QDK133" s="562"/>
      <c r="QDL133" s="562"/>
      <c r="QDM133" s="562"/>
      <c r="QDN133" s="562"/>
      <c r="QDO133" s="562"/>
      <c r="QDP133" s="562"/>
      <c r="QDQ133" s="562"/>
      <c r="QDR133" s="562"/>
      <c r="QDS133" s="562"/>
      <c r="QDT133" s="562"/>
      <c r="QDU133" s="562"/>
      <c r="QDV133" s="562"/>
      <c r="QDW133" s="562"/>
      <c r="QDX133" s="562"/>
      <c r="QDY133" s="562"/>
      <c r="QDZ133" s="562"/>
      <c r="QEA133" s="562"/>
      <c r="QEB133" s="562"/>
      <c r="QEC133" s="562"/>
      <c r="QED133" s="562"/>
      <c r="QEE133" s="562"/>
      <c r="QEF133" s="562"/>
      <c r="QEG133" s="562"/>
      <c r="QEH133" s="562"/>
      <c r="QEI133" s="562"/>
      <c r="QEJ133" s="562"/>
      <c r="QEK133" s="562"/>
      <c r="QEL133" s="562"/>
      <c r="QEM133" s="562"/>
      <c r="QEN133" s="562"/>
      <c r="QEO133" s="562"/>
      <c r="QEP133" s="562"/>
      <c r="QEQ133" s="562"/>
      <c r="QER133" s="562"/>
      <c r="QES133" s="562"/>
      <c r="QET133" s="562"/>
      <c r="QEU133" s="562"/>
      <c r="QEV133" s="562"/>
      <c r="QEW133" s="562"/>
      <c r="QEX133" s="562"/>
      <c r="QEY133" s="562"/>
      <c r="QEZ133" s="562"/>
      <c r="QFA133" s="562"/>
      <c r="QFB133" s="562"/>
      <c r="QFC133" s="562"/>
      <c r="QFD133" s="562"/>
      <c r="QFE133" s="562"/>
      <c r="QFF133" s="562"/>
      <c r="QFG133" s="562"/>
      <c r="QFH133" s="562"/>
      <c r="QFI133" s="562"/>
      <c r="QFJ133" s="562"/>
      <c r="QFK133" s="562"/>
      <c r="QFL133" s="562"/>
      <c r="QFM133" s="562"/>
      <c r="QFN133" s="562"/>
      <c r="QFO133" s="562"/>
      <c r="QFP133" s="562"/>
      <c r="QFQ133" s="562"/>
      <c r="QFR133" s="562"/>
      <c r="QFS133" s="562"/>
      <c r="QFT133" s="562"/>
      <c r="QFU133" s="562"/>
      <c r="QFV133" s="562"/>
      <c r="QFW133" s="562"/>
      <c r="QFX133" s="562"/>
      <c r="QFY133" s="562"/>
      <c r="QFZ133" s="562"/>
      <c r="QGA133" s="562"/>
      <c r="QGB133" s="562"/>
      <c r="QGC133" s="562"/>
      <c r="QGD133" s="562"/>
      <c r="QGE133" s="562"/>
      <c r="QGF133" s="562"/>
      <c r="QGG133" s="562"/>
      <c r="QGH133" s="562"/>
      <c r="QGI133" s="562"/>
      <c r="QGJ133" s="562"/>
      <c r="QGK133" s="562"/>
      <c r="QGL133" s="562"/>
      <c r="QGM133" s="562"/>
      <c r="QGN133" s="562"/>
      <c r="QGO133" s="562"/>
      <c r="QGP133" s="562"/>
      <c r="QGQ133" s="562"/>
      <c r="QGR133" s="562"/>
      <c r="QGS133" s="562"/>
      <c r="QGT133" s="562"/>
      <c r="QGU133" s="562"/>
      <c r="QGV133" s="562"/>
      <c r="QGW133" s="562"/>
      <c r="QGX133" s="562"/>
      <c r="QGY133" s="562"/>
      <c r="QGZ133" s="562"/>
      <c r="QHA133" s="562"/>
      <c r="QHB133" s="562"/>
      <c r="QHC133" s="562"/>
      <c r="QHD133" s="562"/>
      <c r="QHE133" s="562"/>
      <c r="QHF133" s="562"/>
      <c r="QHG133" s="562"/>
      <c r="QHH133" s="562"/>
      <c r="QHI133" s="562"/>
      <c r="QHJ133" s="562"/>
      <c r="QHK133" s="562"/>
      <c r="QHL133" s="562"/>
      <c r="QHM133" s="562"/>
      <c r="QHN133" s="562"/>
      <c r="QHO133" s="562"/>
      <c r="QHP133" s="562"/>
      <c r="QHQ133" s="562"/>
      <c r="QHR133" s="562"/>
      <c r="QHS133" s="562"/>
      <c r="QHT133" s="562"/>
      <c r="QHU133" s="562"/>
      <c r="QHV133" s="562"/>
      <c r="QHW133" s="562"/>
      <c r="QHX133" s="562"/>
      <c r="QHY133" s="562"/>
      <c r="QHZ133" s="562"/>
      <c r="QIA133" s="562"/>
      <c r="QIB133" s="562"/>
      <c r="QIC133" s="562"/>
      <c r="QID133" s="562"/>
      <c r="QIE133" s="562"/>
      <c r="QIF133" s="562"/>
      <c r="QIG133" s="562"/>
      <c r="QIH133" s="562"/>
      <c r="QII133" s="562"/>
      <c r="QIJ133" s="562"/>
      <c r="QIK133" s="562"/>
      <c r="QIL133" s="562"/>
      <c r="QIM133" s="562"/>
      <c r="QIN133" s="562"/>
      <c r="QIO133" s="562"/>
      <c r="QIP133" s="562"/>
      <c r="QIQ133" s="562"/>
      <c r="QIR133" s="562"/>
      <c r="QIS133" s="562"/>
      <c r="QIT133" s="562"/>
      <c r="QIU133" s="562"/>
      <c r="QIV133" s="562"/>
      <c r="QIW133" s="562"/>
      <c r="QIX133" s="562"/>
      <c r="QIY133" s="562"/>
      <c r="QIZ133" s="562"/>
      <c r="QJA133" s="562"/>
      <c r="QJB133" s="562"/>
      <c r="QJC133" s="562"/>
      <c r="QJD133" s="562"/>
      <c r="QJE133" s="562"/>
      <c r="QJF133" s="562"/>
      <c r="QJG133" s="562"/>
      <c r="QJH133" s="562"/>
      <c r="QJI133" s="562"/>
      <c r="QJJ133" s="562"/>
      <c r="QJK133" s="562"/>
      <c r="QJL133" s="562"/>
      <c r="QJM133" s="562"/>
      <c r="QJN133" s="562"/>
      <c r="QJO133" s="562"/>
      <c r="QJP133" s="562"/>
      <c r="QJQ133" s="562"/>
      <c r="QJR133" s="562"/>
      <c r="QJS133" s="562"/>
      <c r="QJT133" s="562"/>
      <c r="QJU133" s="562"/>
      <c r="QJV133" s="562"/>
      <c r="QJW133" s="562"/>
      <c r="QJX133" s="562"/>
      <c r="QJY133" s="562"/>
      <c r="QJZ133" s="562"/>
      <c r="QKA133" s="562"/>
      <c r="QKB133" s="562"/>
      <c r="QKC133" s="562"/>
      <c r="QKD133" s="562"/>
      <c r="QKE133" s="562"/>
      <c r="QKF133" s="562"/>
      <c r="QKG133" s="562"/>
      <c r="QKH133" s="562"/>
      <c r="QKI133" s="562"/>
      <c r="QKJ133" s="562"/>
      <c r="QKK133" s="562"/>
      <c r="QKL133" s="562"/>
      <c r="QKM133" s="562"/>
      <c r="QKN133" s="562"/>
      <c r="QKO133" s="562"/>
      <c r="QKP133" s="562"/>
      <c r="QKQ133" s="562"/>
      <c r="QKR133" s="562"/>
      <c r="QKS133" s="562"/>
      <c r="QKT133" s="562"/>
      <c r="QKU133" s="562"/>
      <c r="QKV133" s="562"/>
      <c r="QKW133" s="562"/>
      <c r="QKX133" s="562"/>
      <c r="QKY133" s="562"/>
      <c r="QKZ133" s="562"/>
      <c r="QLA133" s="562"/>
      <c r="QLB133" s="562"/>
      <c r="QLC133" s="562"/>
      <c r="QLD133" s="562"/>
      <c r="QLE133" s="562"/>
      <c r="QLF133" s="562"/>
      <c r="QLG133" s="562"/>
      <c r="QLH133" s="562"/>
      <c r="QLI133" s="562"/>
      <c r="QLJ133" s="562"/>
      <c r="QLK133" s="562"/>
      <c r="QLL133" s="562"/>
      <c r="QLM133" s="562"/>
      <c r="QLN133" s="562"/>
      <c r="QLO133" s="562"/>
      <c r="QLP133" s="562"/>
      <c r="QLQ133" s="562"/>
      <c r="QLR133" s="562"/>
      <c r="QLS133" s="562"/>
      <c r="QLT133" s="562"/>
      <c r="QLU133" s="562"/>
      <c r="QLV133" s="562"/>
      <c r="QLW133" s="562"/>
      <c r="QLX133" s="562"/>
      <c r="QLY133" s="562"/>
      <c r="QLZ133" s="562"/>
      <c r="QMA133" s="562"/>
      <c r="QMB133" s="562"/>
      <c r="QMC133" s="562"/>
      <c r="QMD133" s="562"/>
      <c r="QME133" s="562"/>
      <c r="QMF133" s="562"/>
      <c r="QMG133" s="562"/>
      <c r="QMH133" s="562"/>
      <c r="QMI133" s="562"/>
      <c r="QMJ133" s="562"/>
      <c r="QMK133" s="562"/>
      <c r="QML133" s="562"/>
      <c r="QMM133" s="562"/>
      <c r="QMN133" s="562"/>
      <c r="QMO133" s="562"/>
      <c r="QMP133" s="562"/>
      <c r="QMQ133" s="562"/>
      <c r="QMR133" s="562"/>
      <c r="QMS133" s="562"/>
      <c r="QMT133" s="562"/>
      <c r="QMU133" s="562"/>
      <c r="QMV133" s="562"/>
      <c r="QMW133" s="562"/>
      <c r="QMX133" s="562"/>
      <c r="QMY133" s="562"/>
      <c r="QMZ133" s="562"/>
      <c r="QNA133" s="562"/>
      <c r="QNB133" s="562"/>
      <c r="QNC133" s="562"/>
      <c r="QND133" s="562"/>
      <c r="QNE133" s="562"/>
      <c r="QNF133" s="562"/>
      <c r="QNG133" s="562"/>
      <c r="QNH133" s="562"/>
      <c r="QNI133" s="562"/>
      <c r="QNJ133" s="562"/>
      <c r="QNK133" s="562"/>
      <c r="QNL133" s="562"/>
      <c r="QNM133" s="562"/>
      <c r="QNN133" s="562"/>
      <c r="QNO133" s="562"/>
      <c r="QNP133" s="562"/>
      <c r="QNQ133" s="562"/>
      <c r="QNR133" s="562"/>
      <c r="QNS133" s="562"/>
      <c r="QNT133" s="562"/>
      <c r="QNU133" s="562"/>
      <c r="QNV133" s="562"/>
      <c r="QNW133" s="562"/>
      <c r="QNX133" s="562"/>
      <c r="QNY133" s="562"/>
      <c r="QNZ133" s="562"/>
      <c r="QOA133" s="562"/>
      <c r="QOB133" s="562"/>
      <c r="QOC133" s="562"/>
      <c r="QOD133" s="562"/>
      <c r="QOE133" s="562"/>
      <c r="QOF133" s="562"/>
      <c r="QOG133" s="562"/>
      <c r="QOH133" s="562"/>
      <c r="QOI133" s="562"/>
      <c r="QOJ133" s="562"/>
      <c r="QOK133" s="562"/>
      <c r="QOL133" s="562"/>
      <c r="QOM133" s="562"/>
      <c r="QON133" s="562"/>
      <c r="QOO133" s="562"/>
      <c r="QOP133" s="562"/>
      <c r="QOQ133" s="562"/>
      <c r="QOR133" s="562"/>
      <c r="QOS133" s="562"/>
      <c r="QOT133" s="562"/>
      <c r="QOU133" s="562"/>
      <c r="QOV133" s="562"/>
      <c r="QOW133" s="562"/>
      <c r="QOX133" s="562"/>
      <c r="QOY133" s="562"/>
      <c r="QOZ133" s="562"/>
      <c r="QPA133" s="562"/>
      <c r="QPB133" s="562"/>
      <c r="QPC133" s="562"/>
      <c r="QPD133" s="562"/>
      <c r="QPE133" s="562"/>
      <c r="QPF133" s="562"/>
      <c r="QPG133" s="562"/>
      <c r="QPH133" s="562"/>
      <c r="QPI133" s="562"/>
      <c r="QPJ133" s="562"/>
      <c r="QPK133" s="562"/>
      <c r="QPL133" s="562"/>
      <c r="QPM133" s="562"/>
      <c r="QPN133" s="562"/>
      <c r="QPO133" s="562"/>
      <c r="QPP133" s="562"/>
      <c r="QPQ133" s="562"/>
      <c r="QPR133" s="562"/>
      <c r="QPS133" s="562"/>
      <c r="QPT133" s="562"/>
      <c r="QPU133" s="562"/>
      <c r="QPV133" s="562"/>
      <c r="QPW133" s="562"/>
      <c r="QPX133" s="562"/>
      <c r="QPY133" s="562"/>
      <c r="QPZ133" s="562"/>
      <c r="QQA133" s="562"/>
      <c r="QQB133" s="562"/>
      <c r="QQC133" s="562"/>
      <c r="QQD133" s="562"/>
      <c r="QQE133" s="562"/>
      <c r="QQF133" s="562"/>
      <c r="QQG133" s="562"/>
      <c r="QQH133" s="562"/>
      <c r="QQI133" s="562"/>
      <c r="QQJ133" s="562"/>
      <c r="QQK133" s="562"/>
      <c r="QQL133" s="562"/>
      <c r="QQM133" s="562"/>
      <c r="QQN133" s="562"/>
      <c r="QQO133" s="562"/>
      <c r="QQP133" s="562"/>
      <c r="QQQ133" s="562"/>
      <c r="QQR133" s="562"/>
      <c r="QQS133" s="562"/>
      <c r="QQT133" s="562"/>
      <c r="QQU133" s="562"/>
      <c r="QQV133" s="562"/>
      <c r="QQW133" s="562"/>
      <c r="QQX133" s="562"/>
      <c r="QQY133" s="562"/>
      <c r="QQZ133" s="562"/>
      <c r="QRA133" s="562"/>
      <c r="QRB133" s="562"/>
      <c r="QRC133" s="562"/>
      <c r="QRD133" s="562"/>
      <c r="QRE133" s="562"/>
      <c r="QRF133" s="562"/>
      <c r="QRG133" s="562"/>
      <c r="QRH133" s="562"/>
      <c r="QRI133" s="562"/>
      <c r="QRJ133" s="562"/>
      <c r="QRK133" s="562"/>
      <c r="QRL133" s="562"/>
      <c r="QRM133" s="562"/>
      <c r="QRN133" s="562"/>
      <c r="QRO133" s="562"/>
      <c r="QRP133" s="562"/>
      <c r="QRQ133" s="562"/>
      <c r="QRR133" s="562"/>
      <c r="QRS133" s="562"/>
      <c r="QRT133" s="562"/>
      <c r="QRU133" s="562"/>
      <c r="QRV133" s="562"/>
      <c r="QRW133" s="562"/>
      <c r="QRX133" s="562"/>
      <c r="QRY133" s="562"/>
      <c r="QRZ133" s="562"/>
      <c r="QSA133" s="562"/>
      <c r="QSB133" s="562"/>
      <c r="QSC133" s="562"/>
      <c r="QSD133" s="562"/>
      <c r="QSE133" s="562"/>
      <c r="QSF133" s="562"/>
      <c r="QSG133" s="562"/>
      <c r="QSH133" s="562"/>
      <c r="QSI133" s="562"/>
      <c r="QSJ133" s="562"/>
      <c r="QSK133" s="562"/>
      <c r="QSL133" s="562"/>
      <c r="QSM133" s="562"/>
      <c r="QSN133" s="562"/>
      <c r="QSO133" s="562"/>
      <c r="QSP133" s="562"/>
      <c r="QSQ133" s="562"/>
      <c r="QSR133" s="562"/>
      <c r="QSS133" s="562"/>
      <c r="QST133" s="562"/>
      <c r="QSU133" s="562"/>
      <c r="QSV133" s="562"/>
      <c r="QSW133" s="562"/>
      <c r="QSX133" s="562"/>
      <c r="QSY133" s="562"/>
      <c r="QSZ133" s="562"/>
      <c r="QTA133" s="562"/>
      <c r="QTB133" s="562"/>
      <c r="QTC133" s="562"/>
      <c r="QTD133" s="562"/>
      <c r="QTE133" s="562"/>
      <c r="QTF133" s="562"/>
      <c r="QTG133" s="562"/>
      <c r="QTH133" s="562"/>
      <c r="QTI133" s="562"/>
      <c r="QTJ133" s="562"/>
      <c r="QTK133" s="562"/>
      <c r="QTL133" s="562"/>
      <c r="QTM133" s="562"/>
      <c r="QTN133" s="562"/>
      <c r="QTO133" s="562"/>
      <c r="QTP133" s="562"/>
      <c r="QTQ133" s="562"/>
      <c r="QTR133" s="562"/>
      <c r="QTS133" s="562"/>
      <c r="QTT133" s="562"/>
      <c r="QTU133" s="562"/>
      <c r="QTV133" s="562"/>
      <c r="QTW133" s="562"/>
      <c r="QTX133" s="562"/>
      <c r="QTY133" s="562"/>
      <c r="QTZ133" s="562"/>
      <c r="QUA133" s="562"/>
      <c r="QUB133" s="562"/>
      <c r="QUC133" s="562"/>
      <c r="QUD133" s="562"/>
      <c r="QUE133" s="562"/>
      <c r="QUF133" s="562"/>
      <c r="QUG133" s="562"/>
      <c r="QUH133" s="562"/>
      <c r="QUI133" s="562"/>
      <c r="QUJ133" s="562"/>
      <c r="QUK133" s="562"/>
      <c r="QUL133" s="562"/>
      <c r="QUM133" s="562"/>
      <c r="QUN133" s="562"/>
      <c r="QUO133" s="562"/>
      <c r="QUP133" s="562"/>
      <c r="QUQ133" s="562"/>
      <c r="QUR133" s="562"/>
      <c r="QUS133" s="562"/>
      <c r="QUT133" s="562"/>
      <c r="QUU133" s="562"/>
      <c r="QUV133" s="562"/>
      <c r="QUW133" s="562"/>
      <c r="QUX133" s="562"/>
      <c r="QUY133" s="562"/>
      <c r="QUZ133" s="562"/>
      <c r="QVA133" s="562"/>
      <c r="QVB133" s="562"/>
      <c r="QVC133" s="562"/>
      <c r="QVD133" s="562"/>
      <c r="QVE133" s="562"/>
      <c r="QVF133" s="562"/>
      <c r="QVG133" s="562"/>
      <c r="QVH133" s="562"/>
      <c r="QVI133" s="562"/>
      <c r="QVJ133" s="562"/>
      <c r="QVK133" s="562"/>
      <c r="QVL133" s="562"/>
      <c r="QVM133" s="562"/>
      <c r="QVN133" s="562"/>
      <c r="QVO133" s="562"/>
      <c r="QVP133" s="562"/>
      <c r="QVQ133" s="562"/>
      <c r="QVR133" s="562"/>
      <c r="QVS133" s="562"/>
      <c r="QVT133" s="562"/>
      <c r="QVU133" s="562"/>
      <c r="QVV133" s="562"/>
      <c r="QVW133" s="562"/>
      <c r="QVX133" s="562"/>
      <c r="QVY133" s="562"/>
      <c r="QVZ133" s="562"/>
      <c r="QWA133" s="562"/>
      <c r="QWB133" s="562"/>
      <c r="QWC133" s="562"/>
      <c r="QWD133" s="562"/>
      <c r="QWE133" s="562"/>
      <c r="QWF133" s="562"/>
      <c r="QWG133" s="562"/>
      <c r="QWH133" s="562"/>
      <c r="QWI133" s="562"/>
      <c r="QWJ133" s="562"/>
      <c r="QWK133" s="562"/>
      <c r="QWL133" s="562"/>
      <c r="QWM133" s="562"/>
      <c r="QWN133" s="562"/>
      <c r="QWO133" s="562"/>
      <c r="QWP133" s="562"/>
      <c r="QWQ133" s="562"/>
      <c r="QWR133" s="562"/>
      <c r="QWS133" s="562"/>
      <c r="QWT133" s="562"/>
      <c r="QWU133" s="562"/>
      <c r="QWV133" s="562"/>
      <c r="QWW133" s="562"/>
      <c r="QWX133" s="562"/>
      <c r="QWY133" s="562"/>
      <c r="QWZ133" s="562"/>
      <c r="QXA133" s="562"/>
      <c r="QXB133" s="562"/>
      <c r="QXC133" s="562"/>
      <c r="QXD133" s="562"/>
      <c r="QXE133" s="562"/>
      <c r="QXF133" s="562"/>
      <c r="QXG133" s="562"/>
      <c r="QXH133" s="562"/>
      <c r="QXI133" s="562"/>
      <c r="QXJ133" s="562"/>
      <c r="QXK133" s="562"/>
      <c r="QXL133" s="562"/>
      <c r="QXM133" s="562"/>
      <c r="QXN133" s="562"/>
      <c r="QXO133" s="562"/>
      <c r="QXP133" s="562"/>
      <c r="QXQ133" s="562"/>
      <c r="QXR133" s="562"/>
      <c r="QXS133" s="562"/>
      <c r="QXT133" s="562"/>
      <c r="QXU133" s="562"/>
      <c r="QXV133" s="562"/>
      <c r="QXW133" s="562"/>
      <c r="QXX133" s="562"/>
      <c r="QXY133" s="562"/>
      <c r="QXZ133" s="562"/>
      <c r="QYA133" s="562"/>
      <c r="QYB133" s="562"/>
      <c r="QYC133" s="562"/>
      <c r="QYD133" s="562"/>
      <c r="QYE133" s="562"/>
      <c r="QYF133" s="562"/>
      <c r="QYG133" s="562"/>
      <c r="QYH133" s="562"/>
      <c r="QYI133" s="562"/>
      <c r="QYJ133" s="562"/>
      <c r="QYK133" s="562"/>
      <c r="QYL133" s="562"/>
      <c r="QYM133" s="562"/>
      <c r="QYN133" s="562"/>
      <c r="QYO133" s="562"/>
      <c r="QYP133" s="562"/>
      <c r="QYQ133" s="562"/>
      <c r="QYR133" s="562"/>
      <c r="QYS133" s="562"/>
      <c r="QYT133" s="562"/>
      <c r="QYU133" s="562"/>
      <c r="QYV133" s="562"/>
      <c r="QYW133" s="562"/>
      <c r="QYX133" s="562"/>
      <c r="QYY133" s="562"/>
      <c r="QYZ133" s="562"/>
      <c r="QZA133" s="562"/>
      <c r="QZB133" s="562"/>
      <c r="QZC133" s="562"/>
      <c r="QZD133" s="562"/>
      <c r="QZE133" s="562"/>
      <c r="QZF133" s="562"/>
      <c r="QZG133" s="562"/>
      <c r="QZH133" s="562"/>
      <c r="QZI133" s="562"/>
      <c r="QZJ133" s="562"/>
      <c r="QZK133" s="562"/>
      <c r="QZL133" s="562"/>
      <c r="QZM133" s="562"/>
      <c r="QZN133" s="562"/>
      <c r="QZO133" s="562"/>
      <c r="QZP133" s="562"/>
      <c r="QZQ133" s="562"/>
      <c r="QZR133" s="562"/>
      <c r="QZS133" s="562"/>
      <c r="QZT133" s="562"/>
      <c r="QZU133" s="562"/>
      <c r="QZV133" s="562"/>
      <c r="QZW133" s="562"/>
      <c r="QZX133" s="562"/>
      <c r="QZY133" s="562"/>
      <c r="QZZ133" s="562"/>
      <c r="RAA133" s="562"/>
      <c r="RAB133" s="562"/>
      <c r="RAC133" s="562"/>
      <c r="RAD133" s="562"/>
      <c r="RAE133" s="562"/>
      <c r="RAF133" s="562"/>
      <c r="RAG133" s="562"/>
      <c r="RAH133" s="562"/>
      <c r="RAI133" s="562"/>
      <c r="RAJ133" s="562"/>
      <c r="RAK133" s="562"/>
      <c r="RAL133" s="562"/>
      <c r="RAM133" s="562"/>
      <c r="RAN133" s="562"/>
      <c r="RAO133" s="562"/>
      <c r="RAP133" s="562"/>
      <c r="RAQ133" s="562"/>
      <c r="RAR133" s="562"/>
      <c r="RAS133" s="562"/>
      <c r="RAT133" s="562"/>
      <c r="RAU133" s="562"/>
      <c r="RAV133" s="562"/>
      <c r="RAW133" s="562"/>
      <c r="RAX133" s="562"/>
      <c r="RAY133" s="562"/>
      <c r="RAZ133" s="562"/>
      <c r="RBA133" s="562"/>
      <c r="RBB133" s="562"/>
      <c r="RBC133" s="562"/>
      <c r="RBD133" s="562"/>
      <c r="RBE133" s="562"/>
      <c r="RBF133" s="562"/>
      <c r="RBG133" s="562"/>
      <c r="RBH133" s="562"/>
      <c r="RBI133" s="562"/>
      <c r="RBJ133" s="562"/>
      <c r="RBK133" s="562"/>
      <c r="RBL133" s="562"/>
      <c r="RBM133" s="562"/>
      <c r="RBN133" s="562"/>
      <c r="RBO133" s="562"/>
      <c r="RBP133" s="562"/>
      <c r="RBQ133" s="562"/>
      <c r="RBR133" s="562"/>
      <c r="RBS133" s="562"/>
      <c r="RBT133" s="562"/>
      <c r="RBU133" s="562"/>
      <c r="RBV133" s="562"/>
      <c r="RBW133" s="562"/>
      <c r="RBX133" s="562"/>
      <c r="RBY133" s="562"/>
      <c r="RBZ133" s="562"/>
      <c r="RCA133" s="562"/>
      <c r="RCB133" s="562"/>
      <c r="RCC133" s="562"/>
      <c r="RCD133" s="562"/>
      <c r="RCE133" s="562"/>
      <c r="RCF133" s="562"/>
      <c r="RCG133" s="562"/>
      <c r="RCH133" s="562"/>
      <c r="RCI133" s="562"/>
      <c r="RCJ133" s="562"/>
      <c r="RCK133" s="562"/>
      <c r="RCL133" s="562"/>
      <c r="RCM133" s="562"/>
      <c r="RCN133" s="562"/>
      <c r="RCO133" s="562"/>
      <c r="RCP133" s="562"/>
      <c r="RCQ133" s="562"/>
      <c r="RCR133" s="562"/>
      <c r="RCS133" s="562"/>
      <c r="RCT133" s="562"/>
      <c r="RCU133" s="562"/>
      <c r="RCV133" s="562"/>
      <c r="RCW133" s="562"/>
      <c r="RCX133" s="562"/>
      <c r="RCY133" s="562"/>
      <c r="RCZ133" s="562"/>
      <c r="RDA133" s="562"/>
      <c r="RDB133" s="562"/>
      <c r="RDC133" s="562"/>
      <c r="RDD133" s="562"/>
      <c r="RDE133" s="562"/>
      <c r="RDF133" s="562"/>
      <c r="RDG133" s="562"/>
      <c r="RDH133" s="562"/>
      <c r="RDI133" s="562"/>
      <c r="RDJ133" s="562"/>
      <c r="RDK133" s="562"/>
      <c r="RDL133" s="562"/>
      <c r="RDM133" s="562"/>
      <c r="RDN133" s="562"/>
      <c r="RDO133" s="562"/>
      <c r="RDP133" s="562"/>
      <c r="RDQ133" s="562"/>
      <c r="RDR133" s="562"/>
      <c r="RDS133" s="562"/>
      <c r="RDT133" s="562"/>
      <c r="RDU133" s="562"/>
      <c r="RDV133" s="562"/>
      <c r="RDW133" s="562"/>
      <c r="RDX133" s="562"/>
      <c r="RDY133" s="562"/>
      <c r="RDZ133" s="562"/>
      <c r="REA133" s="562"/>
      <c r="REB133" s="562"/>
      <c r="REC133" s="562"/>
      <c r="RED133" s="562"/>
      <c r="REE133" s="562"/>
      <c r="REF133" s="562"/>
      <c r="REG133" s="562"/>
      <c r="REH133" s="562"/>
      <c r="REI133" s="562"/>
      <c r="REJ133" s="562"/>
      <c r="REK133" s="562"/>
      <c r="REL133" s="562"/>
      <c r="REM133" s="562"/>
      <c r="REN133" s="562"/>
      <c r="REO133" s="562"/>
      <c r="REP133" s="562"/>
      <c r="REQ133" s="562"/>
      <c r="RER133" s="562"/>
      <c r="RES133" s="562"/>
      <c r="RET133" s="562"/>
      <c r="REU133" s="562"/>
      <c r="REV133" s="562"/>
      <c r="REW133" s="562"/>
      <c r="REX133" s="562"/>
      <c r="REY133" s="562"/>
      <c r="REZ133" s="562"/>
      <c r="RFA133" s="562"/>
      <c r="RFB133" s="562"/>
      <c r="RFC133" s="562"/>
      <c r="RFD133" s="562"/>
      <c r="RFE133" s="562"/>
      <c r="RFF133" s="562"/>
      <c r="RFG133" s="562"/>
      <c r="RFH133" s="562"/>
      <c r="RFI133" s="562"/>
      <c r="RFJ133" s="562"/>
      <c r="RFK133" s="562"/>
      <c r="RFL133" s="562"/>
      <c r="RFM133" s="562"/>
      <c r="RFN133" s="562"/>
      <c r="RFO133" s="562"/>
      <c r="RFP133" s="562"/>
      <c r="RFQ133" s="562"/>
      <c r="RFR133" s="562"/>
      <c r="RFS133" s="562"/>
      <c r="RFT133" s="562"/>
      <c r="RFU133" s="562"/>
      <c r="RFV133" s="562"/>
      <c r="RFW133" s="562"/>
      <c r="RFX133" s="562"/>
      <c r="RFY133" s="562"/>
      <c r="RFZ133" s="562"/>
      <c r="RGA133" s="562"/>
      <c r="RGB133" s="562"/>
      <c r="RGC133" s="562"/>
      <c r="RGD133" s="562"/>
      <c r="RGE133" s="562"/>
      <c r="RGF133" s="562"/>
      <c r="RGG133" s="562"/>
      <c r="RGH133" s="562"/>
      <c r="RGI133" s="562"/>
      <c r="RGJ133" s="562"/>
      <c r="RGK133" s="562"/>
      <c r="RGL133" s="562"/>
      <c r="RGM133" s="562"/>
      <c r="RGN133" s="562"/>
      <c r="RGO133" s="562"/>
      <c r="RGP133" s="562"/>
      <c r="RGQ133" s="562"/>
      <c r="RGR133" s="562"/>
      <c r="RGS133" s="562"/>
      <c r="RGT133" s="562"/>
      <c r="RGU133" s="562"/>
      <c r="RGV133" s="562"/>
      <c r="RGW133" s="562"/>
      <c r="RGX133" s="562"/>
      <c r="RGY133" s="562"/>
      <c r="RGZ133" s="562"/>
      <c r="RHA133" s="562"/>
      <c r="RHB133" s="562"/>
      <c r="RHC133" s="562"/>
      <c r="RHD133" s="562"/>
      <c r="RHE133" s="562"/>
      <c r="RHF133" s="562"/>
      <c r="RHG133" s="562"/>
      <c r="RHH133" s="562"/>
      <c r="RHI133" s="562"/>
      <c r="RHJ133" s="562"/>
      <c r="RHK133" s="562"/>
      <c r="RHL133" s="562"/>
      <c r="RHM133" s="562"/>
      <c r="RHN133" s="562"/>
      <c r="RHO133" s="562"/>
      <c r="RHP133" s="562"/>
      <c r="RHQ133" s="562"/>
      <c r="RHR133" s="562"/>
      <c r="RHS133" s="562"/>
      <c r="RHT133" s="562"/>
      <c r="RHU133" s="562"/>
      <c r="RHV133" s="562"/>
      <c r="RHW133" s="562"/>
      <c r="RHX133" s="562"/>
      <c r="RHY133" s="562"/>
      <c r="RHZ133" s="562"/>
      <c r="RIA133" s="562"/>
      <c r="RIB133" s="562"/>
      <c r="RIC133" s="562"/>
      <c r="RID133" s="562"/>
      <c r="RIE133" s="562"/>
      <c r="RIF133" s="562"/>
      <c r="RIG133" s="562"/>
      <c r="RIH133" s="562"/>
      <c r="RII133" s="562"/>
      <c r="RIJ133" s="562"/>
      <c r="RIK133" s="562"/>
      <c r="RIL133" s="562"/>
      <c r="RIM133" s="562"/>
      <c r="RIN133" s="562"/>
      <c r="RIO133" s="562"/>
      <c r="RIP133" s="562"/>
      <c r="RIQ133" s="562"/>
      <c r="RIR133" s="562"/>
      <c r="RIS133" s="562"/>
      <c r="RIT133" s="562"/>
      <c r="RIU133" s="562"/>
      <c r="RIV133" s="562"/>
      <c r="RIW133" s="562"/>
      <c r="RIX133" s="562"/>
      <c r="RIY133" s="562"/>
      <c r="RIZ133" s="562"/>
      <c r="RJA133" s="562"/>
      <c r="RJB133" s="562"/>
      <c r="RJC133" s="562"/>
      <c r="RJD133" s="562"/>
      <c r="RJE133" s="562"/>
      <c r="RJF133" s="562"/>
      <c r="RJG133" s="562"/>
      <c r="RJH133" s="562"/>
      <c r="RJI133" s="562"/>
      <c r="RJJ133" s="562"/>
      <c r="RJK133" s="562"/>
      <c r="RJL133" s="562"/>
      <c r="RJM133" s="562"/>
      <c r="RJN133" s="562"/>
      <c r="RJO133" s="562"/>
      <c r="RJP133" s="562"/>
      <c r="RJQ133" s="562"/>
      <c r="RJR133" s="562"/>
      <c r="RJS133" s="562"/>
      <c r="RJT133" s="562"/>
      <c r="RJU133" s="562"/>
      <c r="RJV133" s="562"/>
      <c r="RJW133" s="562"/>
      <c r="RJX133" s="562"/>
      <c r="RJY133" s="562"/>
      <c r="RJZ133" s="562"/>
      <c r="RKA133" s="562"/>
      <c r="RKB133" s="562"/>
      <c r="RKC133" s="562"/>
      <c r="RKD133" s="562"/>
      <c r="RKE133" s="562"/>
      <c r="RKF133" s="562"/>
      <c r="RKG133" s="562"/>
      <c r="RKH133" s="562"/>
      <c r="RKI133" s="562"/>
      <c r="RKJ133" s="562"/>
      <c r="RKK133" s="562"/>
      <c r="RKL133" s="562"/>
      <c r="RKM133" s="562"/>
      <c r="RKN133" s="562"/>
      <c r="RKO133" s="562"/>
      <c r="RKP133" s="562"/>
      <c r="RKQ133" s="562"/>
      <c r="RKR133" s="562"/>
      <c r="RKS133" s="562"/>
      <c r="RKT133" s="562"/>
      <c r="RKU133" s="562"/>
      <c r="RKV133" s="562"/>
      <c r="RKW133" s="562"/>
      <c r="RKX133" s="562"/>
      <c r="RKY133" s="562"/>
      <c r="RKZ133" s="562"/>
      <c r="RLA133" s="562"/>
      <c r="RLB133" s="562"/>
      <c r="RLC133" s="562"/>
      <c r="RLD133" s="562"/>
      <c r="RLE133" s="562"/>
      <c r="RLF133" s="562"/>
      <c r="RLG133" s="562"/>
      <c r="RLH133" s="562"/>
      <c r="RLI133" s="562"/>
      <c r="RLJ133" s="562"/>
      <c r="RLK133" s="562"/>
      <c r="RLL133" s="562"/>
      <c r="RLM133" s="562"/>
      <c r="RLN133" s="562"/>
      <c r="RLO133" s="562"/>
      <c r="RLP133" s="562"/>
      <c r="RLQ133" s="562"/>
      <c r="RLR133" s="562"/>
      <c r="RLS133" s="562"/>
      <c r="RLT133" s="562"/>
      <c r="RLU133" s="562"/>
      <c r="RLV133" s="562"/>
      <c r="RLW133" s="562"/>
      <c r="RLX133" s="562"/>
      <c r="RLY133" s="562"/>
      <c r="RLZ133" s="562"/>
      <c r="RMA133" s="562"/>
      <c r="RMB133" s="562"/>
      <c r="RMC133" s="562"/>
      <c r="RMD133" s="562"/>
      <c r="RME133" s="562"/>
      <c r="RMF133" s="562"/>
      <c r="RMG133" s="562"/>
      <c r="RMH133" s="562"/>
      <c r="RMI133" s="562"/>
      <c r="RMJ133" s="562"/>
      <c r="RMK133" s="562"/>
      <c r="RML133" s="562"/>
      <c r="RMM133" s="562"/>
      <c r="RMN133" s="562"/>
      <c r="RMO133" s="562"/>
      <c r="RMP133" s="562"/>
      <c r="RMQ133" s="562"/>
      <c r="RMR133" s="562"/>
      <c r="RMS133" s="562"/>
      <c r="RMT133" s="562"/>
      <c r="RMU133" s="562"/>
      <c r="RMV133" s="562"/>
      <c r="RMW133" s="562"/>
      <c r="RMX133" s="562"/>
      <c r="RMY133" s="562"/>
      <c r="RMZ133" s="562"/>
      <c r="RNA133" s="562"/>
      <c r="RNB133" s="562"/>
      <c r="RNC133" s="562"/>
      <c r="RND133" s="562"/>
      <c r="RNE133" s="562"/>
      <c r="RNF133" s="562"/>
      <c r="RNG133" s="562"/>
      <c r="RNH133" s="562"/>
      <c r="RNI133" s="562"/>
      <c r="RNJ133" s="562"/>
      <c r="RNK133" s="562"/>
      <c r="RNL133" s="562"/>
      <c r="RNM133" s="562"/>
      <c r="RNN133" s="562"/>
      <c r="RNO133" s="562"/>
      <c r="RNP133" s="562"/>
      <c r="RNQ133" s="562"/>
      <c r="RNR133" s="562"/>
      <c r="RNS133" s="562"/>
      <c r="RNT133" s="562"/>
      <c r="RNU133" s="562"/>
      <c r="RNV133" s="562"/>
      <c r="RNW133" s="562"/>
      <c r="RNX133" s="562"/>
      <c r="RNY133" s="562"/>
      <c r="RNZ133" s="562"/>
      <c r="ROA133" s="562"/>
      <c r="ROB133" s="562"/>
      <c r="ROC133" s="562"/>
      <c r="ROD133" s="562"/>
      <c r="ROE133" s="562"/>
      <c r="ROF133" s="562"/>
      <c r="ROG133" s="562"/>
      <c r="ROH133" s="562"/>
      <c r="ROI133" s="562"/>
      <c r="ROJ133" s="562"/>
      <c r="ROK133" s="562"/>
      <c r="ROL133" s="562"/>
      <c r="ROM133" s="562"/>
      <c r="RON133" s="562"/>
      <c r="ROO133" s="562"/>
      <c r="ROP133" s="562"/>
      <c r="ROQ133" s="562"/>
      <c r="ROR133" s="562"/>
      <c r="ROS133" s="562"/>
      <c r="ROT133" s="562"/>
      <c r="ROU133" s="562"/>
      <c r="ROV133" s="562"/>
      <c r="ROW133" s="562"/>
      <c r="ROX133" s="562"/>
      <c r="ROY133" s="562"/>
      <c r="ROZ133" s="562"/>
      <c r="RPA133" s="562"/>
      <c r="RPB133" s="562"/>
      <c r="RPC133" s="562"/>
      <c r="RPD133" s="562"/>
      <c r="RPE133" s="562"/>
      <c r="RPF133" s="562"/>
      <c r="RPG133" s="562"/>
      <c r="RPH133" s="562"/>
      <c r="RPI133" s="562"/>
      <c r="RPJ133" s="562"/>
      <c r="RPK133" s="562"/>
      <c r="RPL133" s="562"/>
      <c r="RPM133" s="562"/>
      <c r="RPN133" s="562"/>
      <c r="RPO133" s="562"/>
      <c r="RPP133" s="562"/>
      <c r="RPQ133" s="562"/>
      <c r="RPR133" s="562"/>
      <c r="RPS133" s="562"/>
      <c r="RPT133" s="562"/>
      <c r="RPU133" s="562"/>
      <c r="RPV133" s="562"/>
      <c r="RPW133" s="562"/>
      <c r="RPX133" s="562"/>
      <c r="RPY133" s="562"/>
      <c r="RPZ133" s="562"/>
      <c r="RQA133" s="562"/>
      <c r="RQB133" s="562"/>
      <c r="RQC133" s="562"/>
      <c r="RQD133" s="562"/>
      <c r="RQE133" s="562"/>
      <c r="RQF133" s="562"/>
      <c r="RQG133" s="562"/>
      <c r="RQH133" s="562"/>
      <c r="RQI133" s="562"/>
      <c r="RQJ133" s="562"/>
      <c r="RQK133" s="562"/>
      <c r="RQL133" s="562"/>
      <c r="RQM133" s="562"/>
      <c r="RQN133" s="562"/>
      <c r="RQO133" s="562"/>
      <c r="RQP133" s="562"/>
      <c r="RQQ133" s="562"/>
      <c r="RQR133" s="562"/>
      <c r="RQS133" s="562"/>
      <c r="RQT133" s="562"/>
      <c r="RQU133" s="562"/>
      <c r="RQV133" s="562"/>
      <c r="RQW133" s="562"/>
      <c r="RQX133" s="562"/>
      <c r="RQY133" s="562"/>
      <c r="RQZ133" s="562"/>
      <c r="RRA133" s="562"/>
      <c r="RRB133" s="562"/>
      <c r="RRC133" s="562"/>
      <c r="RRD133" s="562"/>
      <c r="RRE133" s="562"/>
      <c r="RRF133" s="562"/>
      <c r="RRG133" s="562"/>
      <c r="RRH133" s="562"/>
      <c r="RRI133" s="562"/>
      <c r="RRJ133" s="562"/>
      <c r="RRK133" s="562"/>
      <c r="RRL133" s="562"/>
      <c r="RRM133" s="562"/>
      <c r="RRN133" s="562"/>
      <c r="RRO133" s="562"/>
      <c r="RRP133" s="562"/>
      <c r="RRQ133" s="562"/>
      <c r="RRR133" s="562"/>
      <c r="RRS133" s="562"/>
      <c r="RRT133" s="562"/>
      <c r="RRU133" s="562"/>
      <c r="RRV133" s="562"/>
      <c r="RRW133" s="562"/>
      <c r="RRX133" s="562"/>
      <c r="RRY133" s="562"/>
      <c r="RRZ133" s="562"/>
      <c r="RSA133" s="562"/>
      <c r="RSB133" s="562"/>
      <c r="RSC133" s="562"/>
      <c r="RSD133" s="562"/>
      <c r="RSE133" s="562"/>
      <c r="RSF133" s="562"/>
      <c r="RSG133" s="562"/>
      <c r="RSH133" s="562"/>
      <c r="RSI133" s="562"/>
      <c r="RSJ133" s="562"/>
      <c r="RSK133" s="562"/>
      <c r="RSL133" s="562"/>
      <c r="RSM133" s="562"/>
      <c r="RSN133" s="562"/>
      <c r="RSO133" s="562"/>
      <c r="RSP133" s="562"/>
      <c r="RSQ133" s="562"/>
      <c r="RSR133" s="562"/>
      <c r="RSS133" s="562"/>
      <c r="RST133" s="562"/>
      <c r="RSU133" s="562"/>
      <c r="RSV133" s="562"/>
      <c r="RSW133" s="562"/>
      <c r="RSX133" s="562"/>
      <c r="RSY133" s="562"/>
      <c r="RSZ133" s="562"/>
      <c r="RTA133" s="562"/>
      <c r="RTB133" s="562"/>
      <c r="RTC133" s="562"/>
      <c r="RTD133" s="562"/>
      <c r="RTE133" s="562"/>
      <c r="RTF133" s="562"/>
      <c r="RTG133" s="562"/>
      <c r="RTH133" s="562"/>
      <c r="RTI133" s="562"/>
      <c r="RTJ133" s="562"/>
      <c r="RTK133" s="562"/>
      <c r="RTL133" s="562"/>
      <c r="RTM133" s="562"/>
      <c r="RTN133" s="562"/>
      <c r="RTO133" s="562"/>
      <c r="RTP133" s="562"/>
      <c r="RTQ133" s="562"/>
      <c r="RTR133" s="562"/>
      <c r="RTS133" s="562"/>
      <c r="RTT133" s="562"/>
      <c r="RTU133" s="562"/>
      <c r="RTV133" s="562"/>
      <c r="RTW133" s="562"/>
      <c r="RTX133" s="562"/>
      <c r="RTY133" s="562"/>
      <c r="RTZ133" s="562"/>
      <c r="RUA133" s="562"/>
      <c r="RUB133" s="562"/>
      <c r="RUC133" s="562"/>
      <c r="RUD133" s="562"/>
      <c r="RUE133" s="562"/>
      <c r="RUF133" s="562"/>
      <c r="RUG133" s="562"/>
      <c r="RUH133" s="562"/>
      <c r="RUI133" s="562"/>
      <c r="RUJ133" s="562"/>
      <c r="RUK133" s="562"/>
      <c r="RUL133" s="562"/>
      <c r="RUM133" s="562"/>
      <c r="RUN133" s="562"/>
      <c r="RUO133" s="562"/>
      <c r="RUP133" s="562"/>
      <c r="RUQ133" s="562"/>
      <c r="RUR133" s="562"/>
      <c r="RUS133" s="562"/>
      <c r="RUT133" s="562"/>
      <c r="RUU133" s="562"/>
      <c r="RUV133" s="562"/>
      <c r="RUW133" s="562"/>
      <c r="RUX133" s="562"/>
      <c r="RUY133" s="562"/>
      <c r="RUZ133" s="562"/>
      <c r="RVA133" s="562"/>
      <c r="RVB133" s="562"/>
      <c r="RVC133" s="562"/>
      <c r="RVD133" s="562"/>
      <c r="RVE133" s="562"/>
      <c r="RVF133" s="562"/>
      <c r="RVG133" s="562"/>
      <c r="RVH133" s="562"/>
      <c r="RVI133" s="562"/>
      <c r="RVJ133" s="562"/>
      <c r="RVK133" s="562"/>
      <c r="RVL133" s="562"/>
      <c r="RVM133" s="562"/>
      <c r="RVN133" s="562"/>
      <c r="RVO133" s="562"/>
      <c r="RVP133" s="562"/>
      <c r="RVQ133" s="562"/>
      <c r="RVR133" s="562"/>
      <c r="RVS133" s="562"/>
      <c r="RVT133" s="562"/>
      <c r="RVU133" s="562"/>
      <c r="RVV133" s="562"/>
      <c r="RVW133" s="562"/>
      <c r="RVX133" s="562"/>
      <c r="RVY133" s="562"/>
      <c r="RVZ133" s="562"/>
      <c r="RWA133" s="562"/>
      <c r="RWB133" s="562"/>
      <c r="RWC133" s="562"/>
      <c r="RWD133" s="562"/>
      <c r="RWE133" s="562"/>
      <c r="RWF133" s="562"/>
      <c r="RWG133" s="562"/>
      <c r="RWH133" s="562"/>
      <c r="RWI133" s="562"/>
      <c r="RWJ133" s="562"/>
      <c r="RWK133" s="562"/>
      <c r="RWL133" s="562"/>
      <c r="RWM133" s="562"/>
      <c r="RWN133" s="562"/>
      <c r="RWO133" s="562"/>
      <c r="RWP133" s="562"/>
      <c r="RWQ133" s="562"/>
      <c r="RWR133" s="562"/>
      <c r="RWS133" s="562"/>
      <c r="RWT133" s="562"/>
      <c r="RWU133" s="562"/>
      <c r="RWV133" s="562"/>
      <c r="RWW133" s="562"/>
      <c r="RWX133" s="562"/>
      <c r="RWY133" s="562"/>
      <c r="RWZ133" s="562"/>
      <c r="RXA133" s="562"/>
      <c r="RXB133" s="562"/>
      <c r="RXC133" s="562"/>
      <c r="RXD133" s="562"/>
      <c r="RXE133" s="562"/>
      <c r="RXF133" s="562"/>
      <c r="RXG133" s="562"/>
      <c r="RXH133" s="562"/>
      <c r="RXI133" s="562"/>
      <c r="RXJ133" s="562"/>
      <c r="RXK133" s="562"/>
      <c r="RXL133" s="562"/>
      <c r="RXM133" s="562"/>
      <c r="RXN133" s="562"/>
      <c r="RXO133" s="562"/>
      <c r="RXP133" s="562"/>
      <c r="RXQ133" s="562"/>
      <c r="RXR133" s="562"/>
      <c r="RXS133" s="562"/>
      <c r="RXT133" s="562"/>
      <c r="RXU133" s="562"/>
      <c r="RXV133" s="562"/>
      <c r="RXW133" s="562"/>
      <c r="RXX133" s="562"/>
      <c r="RXY133" s="562"/>
      <c r="RXZ133" s="562"/>
      <c r="RYA133" s="562"/>
      <c r="RYB133" s="562"/>
      <c r="RYC133" s="562"/>
      <c r="RYD133" s="562"/>
      <c r="RYE133" s="562"/>
      <c r="RYF133" s="562"/>
      <c r="RYG133" s="562"/>
      <c r="RYH133" s="562"/>
      <c r="RYI133" s="562"/>
      <c r="RYJ133" s="562"/>
      <c r="RYK133" s="562"/>
      <c r="RYL133" s="562"/>
      <c r="RYM133" s="562"/>
      <c r="RYN133" s="562"/>
      <c r="RYO133" s="562"/>
      <c r="RYP133" s="562"/>
      <c r="RYQ133" s="562"/>
      <c r="RYR133" s="562"/>
      <c r="RYS133" s="562"/>
      <c r="RYT133" s="562"/>
      <c r="RYU133" s="562"/>
      <c r="RYV133" s="562"/>
      <c r="RYW133" s="562"/>
      <c r="RYX133" s="562"/>
      <c r="RYY133" s="562"/>
      <c r="RYZ133" s="562"/>
      <c r="RZA133" s="562"/>
      <c r="RZB133" s="562"/>
      <c r="RZC133" s="562"/>
      <c r="RZD133" s="562"/>
      <c r="RZE133" s="562"/>
      <c r="RZF133" s="562"/>
      <c r="RZG133" s="562"/>
      <c r="RZH133" s="562"/>
      <c r="RZI133" s="562"/>
      <c r="RZJ133" s="562"/>
      <c r="RZK133" s="562"/>
      <c r="RZL133" s="562"/>
      <c r="RZM133" s="562"/>
      <c r="RZN133" s="562"/>
      <c r="RZO133" s="562"/>
      <c r="RZP133" s="562"/>
      <c r="RZQ133" s="562"/>
      <c r="RZR133" s="562"/>
      <c r="RZS133" s="562"/>
      <c r="RZT133" s="562"/>
      <c r="RZU133" s="562"/>
      <c r="RZV133" s="562"/>
      <c r="RZW133" s="562"/>
      <c r="RZX133" s="562"/>
      <c r="RZY133" s="562"/>
      <c r="RZZ133" s="562"/>
      <c r="SAA133" s="562"/>
      <c r="SAB133" s="562"/>
      <c r="SAC133" s="562"/>
      <c r="SAD133" s="562"/>
      <c r="SAE133" s="562"/>
      <c r="SAF133" s="562"/>
      <c r="SAG133" s="562"/>
      <c r="SAH133" s="562"/>
      <c r="SAI133" s="562"/>
      <c r="SAJ133" s="562"/>
      <c r="SAK133" s="562"/>
      <c r="SAL133" s="562"/>
      <c r="SAM133" s="562"/>
      <c r="SAN133" s="562"/>
      <c r="SAO133" s="562"/>
      <c r="SAP133" s="562"/>
      <c r="SAQ133" s="562"/>
      <c r="SAR133" s="562"/>
      <c r="SAS133" s="562"/>
      <c r="SAT133" s="562"/>
      <c r="SAU133" s="562"/>
      <c r="SAV133" s="562"/>
      <c r="SAW133" s="562"/>
      <c r="SAX133" s="562"/>
      <c r="SAY133" s="562"/>
      <c r="SAZ133" s="562"/>
      <c r="SBA133" s="562"/>
      <c r="SBB133" s="562"/>
      <c r="SBC133" s="562"/>
      <c r="SBD133" s="562"/>
      <c r="SBE133" s="562"/>
      <c r="SBF133" s="562"/>
      <c r="SBG133" s="562"/>
      <c r="SBH133" s="562"/>
      <c r="SBI133" s="562"/>
      <c r="SBJ133" s="562"/>
      <c r="SBK133" s="562"/>
      <c r="SBL133" s="562"/>
      <c r="SBM133" s="562"/>
      <c r="SBN133" s="562"/>
      <c r="SBO133" s="562"/>
      <c r="SBP133" s="562"/>
      <c r="SBQ133" s="562"/>
      <c r="SBR133" s="562"/>
      <c r="SBS133" s="562"/>
      <c r="SBT133" s="562"/>
      <c r="SBU133" s="562"/>
      <c r="SBV133" s="562"/>
      <c r="SBW133" s="562"/>
      <c r="SBX133" s="562"/>
      <c r="SBY133" s="562"/>
      <c r="SBZ133" s="562"/>
      <c r="SCA133" s="562"/>
      <c r="SCB133" s="562"/>
      <c r="SCC133" s="562"/>
      <c r="SCD133" s="562"/>
      <c r="SCE133" s="562"/>
      <c r="SCF133" s="562"/>
      <c r="SCG133" s="562"/>
      <c r="SCH133" s="562"/>
      <c r="SCI133" s="562"/>
      <c r="SCJ133" s="562"/>
      <c r="SCK133" s="562"/>
      <c r="SCL133" s="562"/>
      <c r="SCM133" s="562"/>
      <c r="SCN133" s="562"/>
      <c r="SCO133" s="562"/>
      <c r="SCP133" s="562"/>
      <c r="SCQ133" s="562"/>
      <c r="SCR133" s="562"/>
      <c r="SCS133" s="562"/>
      <c r="SCT133" s="562"/>
      <c r="SCU133" s="562"/>
      <c r="SCV133" s="562"/>
      <c r="SCW133" s="562"/>
      <c r="SCX133" s="562"/>
      <c r="SCY133" s="562"/>
      <c r="SCZ133" s="562"/>
      <c r="SDA133" s="562"/>
      <c r="SDB133" s="562"/>
      <c r="SDC133" s="562"/>
      <c r="SDD133" s="562"/>
      <c r="SDE133" s="562"/>
      <c r="SDF133" s="562"/>
      <c r="SDG133" s="562"/>
      <c r="SDH133" s="562"/>
      <c r="SDI133" s="562"/>
      <c r="SDJ133" s="562"/>
      <c r="SDK133" s="562"/>
      <c r="SDL133" s="562"/>
      <c r="SDM133" s="562"/>
      <c r="SDN133" s="562"/>
      <c r="SDO133" s="562"/>
      <c r="SDP133" s="562"/>
      <c r="SDQ133" s="562"/>
      <c r="SDR133" s="562"/>
      <c r="SDS133" s="562"/>
      <c r="SDT133" s="562"/>
      <c r="SDU133" s="562"/>
      <c r="SDV133" s="562"/>
      <c r="SDW133" s="562"/>
      <c r="SDX133" s="562"/>
      <c r="SDY133" s="562"/>
      <c r="SDZ133" s="562"/>
      <c r="SEA133" s="562"/>
      <c r="SEB133" s="562"/>
      <c r="SEC133" s="562"/>
      <c r="SED133" s="562"/>
      <c r="SEE133" s="562"/>
      <c r="SEF133" s="562"/>
      <c r="SEG133" s="562"/>
      <c r="SEH133" s="562"/>
      <c r="SEI133" s="562"/>
      <c r="SEJ133" s="562"/>
      <c r="SEK133" s="562"/>
      <c r="SEL133" s="562"/>
      <c r="SEM133" s="562"/>
      <c r="SEN133" s="562"/>
      <c r="SEO133" s="562"/>
      <c r="SEP133" s="562"/>
      <c r="SEQ133" s="562"/>
      <c r="SER133" s="562"/>
      <c r="SES133" s="562"/>
      <c r="SET133" s="562"/>
      <c r="SEU133" s="562"/>
      <c r="SEV133" s="562"/>
      <c r="SEW133" s="562"/>
      <c r="SEX133" s="562"/>
      <c r="SEY133" s="562"/>
      <c r="SEZ133" s="562"/>
      <c r="SFA133" s="562"/>
      <c r="SFB133" s="562"/>
      <c r="SFC133" s="562"/>
      <c r="SFD133" s="562"/>
      <c r="SFE133" s="562"/>
      <c r="SFF133" s="562"/>
      <c r="SFG133" s="562"/>
      <c r="SFH133" s="562"/>
      <c r="SFI133" s="562"/>
      <c r="SFJ133" s="562"/>
      <c r="SFK133" s="562"/>
      <c r="SFL133" s="562"/>
      <c r="SFM133" s="562"/>
      <c r="SFN133" s="562"/>
      <c r="SFO133" s="562"/>
      <c r="SFP133" s="562"/>
      <c r="SFQ133" s="562"/>
      <c r="SFR133" s="562"/>
      <c r="SFS133" s="562"/>
      <c r="SFT133" s="562"/>
      <c r="SFU133" s="562"/>
      <c r="SFV133" s="562"/>
      <c r="SFW133" s="562"/>
      <c r="SFX133" s="562"/>
      <c r="SFY133" s="562"/>
      <c r="SFZ133" s="562"/>
      <c r="SGA133" s="562"/>
      <c r="SGB133" s="562"/>
      <c r="SGC133" s="562"/>
      <c r="SGD133" s="562"/>
      <c r="SGE133" s="562"/>
      <c r="SGF133" s="562"/>
      <c r="SGG133" s="562"/>
      <c r="SGH133" s="562"/>
      <c r="SGI133" s="562"/>
      <c r="SGJ133" s="562"/>
      <c r="SGK133" s="562"/>
      <c r="SGL133" s="562"/>
      <c r="SGM133" s="562"/>
      <c r="SGN133" s="562"/>
      <c r="SGO133" s="562"/>
      <c r="SGP133" s="562"/>
      <c r="SGQ133" s="562"/>
      <c r="SGR133" s="562"/>
      <c r="SGS133" s="562"/>
      <c r="SGT133" s="562"/>
      <c r="SGU133" s="562"/>
      <c r="SGV133" s="562"/>
      <c r="SGW133" s="562"/>
      <c r="SGX133" s="562"/>
      <c r="SGY133" s="562"/>
      <c r="SGZ133" s="562"/>
      <c r="SHA133" s="562"/>
      <c r="SHB133" s="562"/>
      <c r="SHC133" s="562"/>
      <c r="SHD133" s="562"/>
      <c r="SHE133" s="562"/>
      <c r="SHF133" s="562"/>
      <c r="SHG133" s="562"/>
      <c r="SHH133" s="562"/>
      <c r="SHI133" s="562"/>
      <c r="SHJ133" s="562"/>
      <c r="SHK133" s="562"/>
      <c r="SHL133" s="562"/>
      <c r="SHM133" s="562"/>
      <c r="SHN133" s="562"/>
      <c r="SHO133" s="562"/>
      <c r="SHP133" s="562"/>
      <c r="SHQ133" s="562"/>
      <c r="SHR133" s="562"/>
      <c r="SHS133" s="562"/>
      <c r="SHT133" s="562"/>
      <c r="SHU133" s="562"/>
      <c r="SHV133" s="562"/>
      <c r="SHW133" s="562"/>
      <c r="SHX133" s="562"/>
      <c r="SHY133" s="562"/>
      <c r="SHZ133" s="562"/>
      <c r="SIA133" s="562"/>
      <c r="SIB133" s="562"/>
      <c r="SIC133" s="562"/>
      <c r="SID133" s="562"/>
      <c r="SIE133" s="562"/>
      <c r="SIF133" s="562"/>
      <c r="SIG133" s="562"/>
      <c r="SIH133" s="562"/>
      <c r="SII133" s="562"/>
      <c r="SIJ133" s="562"/>
      <c r="SIK133" s="562"/>
      <c r="SIL133" s="562"/>
      <c r="SIM133" s="562"/>
      <c r="SIN133" s="562"/>
      <c r="SIO133" s="562"/>
      <c r="SIP133" s="562"/>
      <c r="SIQ133" s="562"/>
      <c r="SIR133" s="562"/>
      <c r="SIS133" s="562"/>
      <c r="SIT133" s="562"/>
      <c r="SIU133" s="562"/>
      <c r="SIV133" s="562"/>
      <c r="SIW133" s="562"/>
      <c r="SIX133" s="562"/>
      <c r="SIY133" s="562"/>
      <c r="SIZ133" s="562"/>
      <c r="SJA133" s="562"/>
      <c r="SJB133" s="562"/>
      <c r="SJC133" s="562"/>
      <c r="SJD133" s="562"/>
      <c r="SJE133" s="562"/>
      <c r="SJF133" s="562"/>
      <c r="SJG133" s="562"/>
      <c r="SJH133" s="562"/>
      <c r="SJI133" s="562"/>
      <c r="SJJ133" s="562"/>
      <c r="SJK133" s="562"/>
      <c r="SJL133" s="562"/>
      <c r="SJM133" s="562"/>
      <c r="SJN133" s="562"/>
      <c r="SJO133" s="562"/>
      <c r="SJP133" s="562"/>
      <c r="SJQ133" s="562"/>
      <c r="SJR133" s="562"/>
      <c r="SJS133" s="562"/>
      <c r="SJT133" s="562"/>
      <c r="SJU133" s="562"/>
      <c r="SJV133" s="562"/>
      <c r="SJW133" s="562"/>
      <c r="SJX133" s="562"/>
      <c r="SJY133" s="562"/>
      <c r="SJZ133" s="562"/>
      <c r="SKA133" s="562"/>
      <c r="SKB133" s="562"/>
      <c r="SKC133" s="562"/>
      <c r="SKD133" s="562"/>
      <c r="SKE133" s="562"/>
      <c r="SKF133" s="562"/>
      <c r="SKG133" s="562"/>
      <c r="SKH133" s="562"/>
      <c r="SKI133" s="562"/>
      <c r="SKJ133" s="562"/>
      <c r="SKK133" s="562"/>
      <c r="SKL133" s="562"/>
      <c r="SKM133" s="562"/>
      <c r="SKN133" s="562"/>
      <c r="SKO133" s="562"/>
      <c r="SKP133" s="562"/>
      <c r="SKQ133" s="562"/>
      <c r="SKR133" s="562"/>
      <c r="SKS133" s="562"/>
      <c r="SKT133" s="562"/>
      <c r="SKU133" s="562"/>
      <c r="SKV133" s="562"/>
      <c r="SKW133" s="562"/>
      <c r="SKX133" s="562"/>
      <c r="SKY133" s="562"/>
      <c r="SKZ133" s="562"/>
      <c r="SLA133" s="562"/>
      <c r="SLB133" s="562"/>
      <c r="SLC133" s="562"/>
      <c r="SLD133" s="562"/>
      <c r="SLE133" s="562"/>
      <c r="SLF133" s="562"/>
      <c r="SLG133" s="562"/>
      <c r="SLH133" s="562"/>
      <c r="SLI133" s="562"/>
      <c r="SLJ133" s="562"/>
      <c r="SLK133" s="562"/>
      <c r="SLL133" s="562"/>
      <c r="SLM133" s="562"/>
      <c r="SLN133" s="562"/>
      <c r="SLO133" s="562"/>
      <c r="SLP133" s="562"/>
      <c r="SLQ133" s="562"/>
      <c r="SLR133" s="562"/>
      <c r="SLS133" s="562"/>
      <c r="SLT133" s="562"/>
      <c r="SLU133" s="562"/>
      <c r="SLV133" s="562"/>
      <c r="SLW133" s="562"/>
      <c r="SLX133" s="562"/>
      <c r="SLY133" s="562"/>
      <c r="SLZ133" s="562"/>
      <c r="SMA133" s="562"/>
      <c r="SMB133" s="562"/>
      <c r="SMC133" s="562"/>
      <c r="SMD133" s="562"/>
      <c r="SME133" s="562"/>
      <c r="SMF133" s="562"/>
      <c r="SMG133" s="562"/>
      <c r="SMH133" s="562"/>
      <c r="SMI133" s="562"/>
      <c r="SMJ133" s="562"/>
      <c r="SMK133" s="562"/>
      <c r="SML133" s="562"/>
      <c r="SMM133" s="562"/>
      <c r="SMN133" s="562"/>
      <c r="SMO133" s="562"/>
      <c r="SMP133" s="562"/>
      <c r="SMQ133" s="562"/>
      <c r="SMR133" s="562"/>
      <c r="SMS133" s="562"/>
      <c r="SMT133" s="562"/>
      <c r="SMU133" s="562"/>
      <c r="SMV133" s="562"/>
      <c r="SMW133" s="562"/>
      <c r="SMX133" s="562"/>
      <c r="SMY133" s="562"/>
      <c r="SMZ133" s="562"/>
      <c r="SNA133" s="562"/>
      <c r="SNB133" s="562"/>
      <c r="SNC133" s="562"/>
      <c r="SND133" s="562"/>
      <c r="SNE133" s="562"/>
      <c r="SNF133" s="562"/>
      <c r="SNG133" s="562"/>
      <c r="SNH133" s="562"/>
      <c r="SNI133" s="562"/>
      <c r="SNJ133" s="562"/>
      <c r="SNK133" s="562"/>
      <c r="SNL133" s="562"/>
      <c r="SNM133" s="562"/>
      <c r="SNN133" s="562"/>
      <c r="SNO133" s="562"/>
      <c r="SNP133" s="562"/>
      <c r="SNQ133" s="562"/>
      <c r="SNR133" s="562"/>
      <c r="SNS133" s="562"/>
      <c r="SNT133" s="562"/>
      <c r="SNU133" s="562"/>
      <c r="SNV133" s="562"/>
      <c r="SNW133" s="562"/>
      <c r="SNX133" s="562"/>
      <c r="SNY133" s="562"/>
      <c r="SNZ133" s="562"/>
      <c r="SOA133" s="562"/>
      <c r="SOB133" s="562"/>
      <c r="SOC133" s="562"/>
      <c r="SOD133" s="562"/>
      <c r="SOE133" s="562"/>
      <c r="SOF133" s="562"/>
      <c r="SOG133" s="562"/>
      <c r="SOH133" s="562"/>
      <c r="SOI133" s="562"/>
      <c r="SOJ133" s="562"/>
      <c r="SOK133" s="562"/>
      <c r="SOL133" s="562"/>
      <c r="SOM133" s="562"/>
      <c r="SON133" s="562"/>
      <c r="SOO133" s="562"/>
      <c r="SOP133" s="562"/>
      <c r="SOQ133" s="562"/>
      <c r="SOR133" s="562"/>
      <c r="SOS133" s="562"/>
      <c r="SOT133" s="562"/>
      <c r="SOU133" s="562"/>
      <c r="SOV133" s="562"/>
      <c r="SOW133" s="562"/>
      <c r="SOX133" s="562"/>
      <c r="SOY133" s="562"/>
      <c r="SOZ133" s="562"/>
      <c r="SPA133" s="562"/>
      <c r="SPB133" s="562"/>
      <c r="SPC133" s="562"/>
      <c r="SPD133" s="562"/>
      <c r="SPE133" s="562"/>
      <c r="SPF133" s="562"/>
      <c r="SPG133" s="562"/>
      <c r="SPH133" s="562"/>
      <c r="SPI133" s="562"/>
      <c r="SPJ133" s="562"/>
      <c r="SPK133" s="562"/>
      <c r="SPL133" s="562"/>
      <c r="SPM133" s="562"/>
      <c r="SPN133" s="562"/>
      <c r="SPO133" s="562"/>
      <c r="SPP133" s="562"/>
      <c r="SPQ133" s="562"/>
      <c r="SPR133" s="562"/>
      <c r="SPS133" s="562"/>
      <c r="SPT133" s="562"/>
      <c r="SPU133" s="562"/>
      <c r="SPV133" s="562"/>
      <c r="SPW133" s="562"/>
      <c r="SPX133" s="562"/>
      <c r="SPY133" s="562"/>
      <c r="SPZ133" s="562"/>
      <c r="SQA133" s="562"/>
      <c r="SQB133" s="562"/>
      <c r="SQC133" s="562"/>
      <c r="SQD133" s="562"/>
      <c r="SQE133" s="562"/>
      <c r="SQF133" s="562"/>
      <c r="SQG133" s="562"/>
      <c r="SQH133" s="562"/>
      <c r="SQI133" s="562"/>
      <c r="SQJ133" s="562"/>
      <c r="SQK133" s="562"/>
      <c r="SQL133" s="562"/>
      <c r="SQM133" s="562"/>
      <c r="SQN133" s="562"/>
      <c r="SQO133" s="562"/>
      <c r="SQP133" s="562"/>
      <c r="SQQ133" s="562"/>
      <c r="SQR133" s="562"/>
      <c r="SQS133" s="562"/>
      <c r="SQT133" s="562"/>
      <c r="SQU133" s="562"/>
      <c r="SQV133" s="562"/>
      <c r="SQW133" s="562"/>
      <c r="SQX133" s="562"/>
      <c r="SQY133" s="562"/>
      <c r="SQZ133" s="562"/>
      <c r="SRA133" s="562"/>
      <c r="SRB133" s="562"/>
      <c r="SRC133" s="562"/>
      <c r="SRD133" s="562"/>
      <c r="SRE133" s="562"/>
      <c r="SRF133" s="562"/>
      <c r="SRG133" s="562"/>
      <c r="SRH133" s="562"/>
      <c r="SRI133" s="562"/>
      <c r="SRJ133" s="562"/>
      <c r="SRK133" s="562"/>
      <c r="SRL133" s="562"/>
      <c r="SRM133" s="562"/>
      <c r="SRN133" s="562"/>
      <c r="SRO133" s="562"/>
      <c r="SRP133" s="562"/>
      <c r="SRQ133" s="562"/>
      <c r="SRR133" s="562"/>
      <c r="SRS133" s="562"/>
      <c r="SRT133" s="562"/>
      <c r="SRU133" s="562"/>
      <c r="SRV133" s="562"/>
      <c r="SRW133" s="562"/>
      <c r="SRX133" s="562"/>
      <c r="SRY133" s="562"/>
      <c r="SRZ133" s="562"/>
      <c r="SSA133" s="562"/>
      <c r="SSB133" s="562"/>
      <c r="SSC133" s="562"/>
      <c r="SSD133" s="562"/>
      <c r="SSE133" s="562"/>
      <c r="SSF133" s="562"/>
      <c r="SSG133" s="562"/>
      <c r="SSH133" s="562"/>
      <c r="SSI133" s="562"/>
      <c r="SSJ133" s="562"/>
      <c r="SSK133" s="562"/>
      <c r="SSL133" s="562"/>
      <c r="SSM133" s="562"/>
      <c r="SSN133" s="562"/>
      <c r="SSO133" s="562"/>
      <c r="SSP133" s="562"/>
      <c r="SSQ133" s="562"/>
      <c r="SSR133" s="562"/>
      <c r="SSS133" s="562"/>
      <c r="SST133" s="562"/>
      <c r="SSU133" s="562"/>
      <c r="SSV133" s="562"/>
      <c r="SSW133" s="562"/>
      <c r="SSX133" s="562"/>
      <c r="SSY133" s="562"/>
      <c r="SSZ133" s="562"/>
      <c r="STA133" s="562"/>
      <c r="STB133" s="562"/>
      <c r="STC133" s="562"/>
      <c r="STD133" s="562"/>
      <c r="STE133" s="562"/>
      <c r="STF133" s="562"/>
      <c r="STG133" s="562"/>
      <c r="STH133" s="562"/>
      <c r="STI133" s="562"/>
      <c r="STJ133" s="562"/>
      <c r="STK133" s="562"/>
      <c r="STL133" s="562"/>
      <c r="STM133" s="562"/>
      <c r="STN133" s="562"/>
      <c r="STO133" s="562"/>
      <c r="STP133" s="562"/>
      <c r="STQ133" s="562"/>
      <c r="STR133" s="562"/>
      <c r="STS133" s="562"/>
      <c r="STT133" s="562"/>
      <c r="STU133" s="562"/>
      <c r="STV133" s="562"/>
      <c r="STW133" s="562"/>
      <c r="STX133" s="562"/>
      <c r="STY133" s="562"/>
      <c r="STZ133" s="562"/>
      <c r="SUA133" s="562"/>
      <c r="SUB133" s="562"/>
      <c r="SUC133" s="562"/>
      <c r="SUD133" s="562"/>
      <c r="SUE133" s="562"/>
      <c r="SUF133" s="562"/>
      <c r="SUG133" s="562"/>
      <c r="SUH133" s="562"/>
      <c r="SUI133" s="562"/>
      <c r="SUJ133" s="562"/>
      <c r="SUK133" s="562"/>
      <c r="SUL133" s="562"/>
      <c r="SUM133" s="562"/>
      <c r="SUN133" s="562"/>
      <c r="SUO133" s="562"/>
      <c r="SUP133" s="562"/>
      <c r="SUQ133" s="562"/>
      <c r="SUR133" s="562"/>
      <c r="SUS133" s="562"/>
      <c r="SUT133" s="562"/>
      <c r="SUU133" s="562"/>
      <c r="SUV133" s="562"/>
      <c r="SUW133" s="562"/>
      <c r="SUX133" s="562"/>
      <c r="SUY133" s="562"/>
      <c r="SUZ133" s="562"/>
      <c r="SVA133" s="562"/>
      <c r="SVB133" s="562"/>
      <c r="SVC133" s="562"/>
      <c r="SVD133" s="562"/>
      <c r="SVE133" s="562"/>
      <c r="SVF133" s="562"/>
      <c r="SVG133" s="562"/>
      <c r="SVH133" s="562"/>
      <c r="SVI133" s="562"/>
      <c r="SVJ133" s="562"/>
      <c r="SVK133" s="562"/>
      <c r="SVL133" s="562"/>
      <c r="SVM133" s="562"/>
      <c r="SVN133" s="562"/>
      <c r="SVO133" s="562"/>
      <c r="SVP133" s="562"/>
      <c r="SVQ133" s="562"/>
      <c r="SVR133" s="562"/>
      <c r="SVS133" s="562"/>
      <c r="SVT133" s="562"/>
      <c r="SVU133" s="562"/>
      <c r="SVV133" s="562"/>
      <c r="SVW133" s="562"/>
      <c r="SVX133" s="562"/>
      <c r="SVY133" s="562"/>
      <c r="SVZ133" s="562"/>
      <c r="SWA133" s="562"/>
      <c r="SWB133" s="562"/>
      <c r="SWC133" s="562"/>
      <c r="SWD133" s="562"/>
      <c r="SWE133" s="562"/>
      <c r="SWF133" s="562"/>
      <c r="SWG133" s="562"/>
      <c r="SWH133" s="562"/>
      <c r="SWI133" s="562"/>
      <c r="SWJ133" s="562"/>
      <c r="SWK133" s="562"/>
      <c r="SWL133" s="562"/>
      <c r="SWM133" s="562"/>
      <c r="SWN133" s="562"/>
      <c r="SWO133" s="562"/>
      <c r="SWP133" s="562"/>
      <c r="SWQ133" s="562"/>
      <c r="SWR133" s="562"/>
      <c r="SWS133" s="562"/>
      <c r="SWT133" s="562"/>
      <c r="SWU133" s="562"/>
      <c r="SWV133" s="562"/>
      <c r="SWW133" s="562"/>
      <c r="SWX133" s="562"/>
      <c r="SWY133" s="562"/>
      <c r="SWZ133" s="562"/>
      <c r="SXA133" s="562"/>
      <c r="SXB133" s="562"/>
      <c r="SXC133" s="562"/>
      <c r="SXD133" s="562"/>
      <c r="SXE133" s="562"/>
      <c r="SXF133" s="562"/>
      <c r="SXG133" s="562"/>
      <c r="SXH133" s="562"/>
      <c r="SXI133" s="562"/>
      <c r="SXJ133" s="562"/>
      <c r="SXK133" s="562"/>
      <c r="SXL133" s="562"/>
      <c r="SXM133" s="562"/>
      <c r="SXN133" s="562"/>
      <c r="SXO133" s="562"/>
      <c r="SXP133" s="562"/>
      <c r="SXQ133" s="562"/>
      <c r="SXR133" s="562"/>
      <c r="SXS133" s="562"/>
      <c r="SXT133" s="562"/>
      <c r="SXU133" s="562"/>
      <c r="SXV133" s="562"/>
      <c r="SXW133" s="562"/>
      <c r="SXX133" s="562"/>
      <c r="SXY133" s="562"/>
      <c r="SXZ133" s="562"/>
      <c r="SYA133" s="562"/>
      <c r="SYB133" s="562"/>
      <c r="SYC133" s="562"/>
      <c r="SYD133" s="562"/>
      <c r="SYE133" s="562"/>
      <c r="SYF133" s="562"/>
      <c r="SYG133" s="562"/>
      <c r="SYH133" s="562"/>
      <c r="SYI133" s="562"/>
      <c r="SYJ133" s="562"/>
      <c r="SYK133" s="562"/>
      <c r="SYL133" s="562"/>
      <c r="SYM133" s="562"/>
      <c r="SYN133" s="562"/>
      <c r="SYO133" s="562"/>
      <c r="SYP133" s="562"/>
      <c r="SYQ133" s="562"/>
      <c r="SYR133" s="562"/>
      <c r="SYS133" s="562"/>
      <c r="SYT133" s="562"/>
      <c r="SYU133" s="562"/>
      <c r="SYV133" s="562"/>
      <c r="SYW133" s="562"/>
      <c r="SYX133" s="562"/>
      <c r="SYY133" s="562"/>
      <c r="SYZ133" s="562"/>
      <c r="SZA133" s="562"/>
      <c r="SZB133" s="562"/>
      <c r="SZC133" s="562"/>
      <c r="SZD133" s="562"/>
      <c r="SZE133" s="562"/>
      <c r="SZF133" s="562"/>
      <c r="SZG133" s="562"/>
      <c r="SZH133" s="562"/>
      <c r="SZI133" s="562"/>
      <c r="SZJ133" s="562"/>
      <c r="SZK133" s="562"/>
      <c r="SZL133" s="562"/>
      <c r="SZM133" s="562"/>
      <c r="SZN133" s="562"/>
      <c r="SZO133" s="562"/>
      <c r="SZP133" s="562"/>
      <c r="SZQ133" s="562"/>
      <c r="SZR133" s="562"/>
      <c r="SZS133" s="562"/>
      <c r="SZT133" s="562"/>
      <c r="SZU133" s="562"/>
      <c r="SZV133" s="562"/>
      <c r="SZW133" s="562"/>
      <c r="SZX133" s="562"/>
      <c r="SZY133" s="562"/>
      <c r="SZZ133" s="562"/>
      <c r="TAA133" s="562"/>
      <c r="TAB133" s="562"/>
      <c r="TAC133" s="562"/>
      <c r="TAD133" s="562"/>
      <c r="TAE133" s="562"/>
      <c r="TAF133" s="562"/>
      <c r="TAG133" s="562"/>
      <c r="TAH133" s="562"/>
      <c r="TAI133" s="562"/>
      <c r="TAJ133" s="562"/>
      <c r="TAK133" s="562"/>
      <c r="TAL133" s="562"/>
      <c r="TAM133" s="562"/>
      <c r="TAN133" s="562"/>
      <c r="TAO133" s="562"/>
      <c r="TAP133" s="562"/>
      <c r="TAQ133" s="562"/>
      <c r="TAR133" s="562"/>
      <c r="TAS133" s="562"/>
      <c r="TAT133" s="562"/>
      <c r="TAU133" s="562"/>
      <c r="TAV133" s="562"/>
      <c r="TAW133" s="562"/>
      <c r="TAX133" s="562"/>
      <c r="TAY133" s="562"/>
      <c r="TAZ133" s="562"/>
      <c r="TBA133" s="562"/>
      <c r="TBB133" s="562"/>
      <c r="TBC133" s="562"/>
      <c r="TBD133" s="562"/>
      <c r="TBE133" s="562"/>
      <c r="TBF133" s="562"/>
      <c r="TBG133" s="562"/>
      <c r="TBH133" s="562"/>
      <c r="TBI133" s="562"/>
      <c r="TBJ133" s="562"/>
      <c r="TBK133" s="562"/>
      <c r="TBL133" s="562"/>
      <c r="TBM133" s="562"/>
      <c r="TBN133" s="562"/>
      <c r="TBO133" s="562"/>
      <c r="TBP133" s="562"/>
      <c r="TBQ133" s="562"/>
      <c r="TBR133" s="562"/>
      <c r="TBS133" s="562"/>
      <c r="TBT133" s="562"/>
      <c r="TBU133" s="562"/>
      <c r="TBV133" s="562"/>
      <c r="TBW133" s="562"/>
      <c r="TBX133" s="562"/>
      <c r="TBY133" s="562"/>
      <c r="TBZ133" s="562"/>
      <c r="TCA133" s="562"/>
      <c r="TCB133" s="562"/>
      <c r="TCC133" s="562"/>
      <c r="TCD133" s="562"/>
      <c r="TCE133" s="562"/>
      <c r="TCF133" s="562"/>
      <c r="TCG133" s="562"/>
      <c r="TCH133" s="562"/>
      <c r="TCI133" s="562"/>
      <c r="TCJ133" s="562"/>
      <c r="TCK133" s="562"/>
      <c r="TCL133" s="562"/>
      <c r="TCM133" s="562"/>
      <c r="TCN133" s="562"/>
      <c r="TCO133" s="562"/>
      <c r="TCP133" s="562"/>
      <c r="TCQ133" s="562"/>
      <c r="TCR133" s="562"/>
      <c r="TCS133" s="562"/>
      <c r="TCT133" s="562"/>
      <c r="TCU133" s="562"/>
      <c r="TCV133" s="562"/>
      <c r="TCW133" s="562"/>
      <c r="TCX133" s="562"/>
      <c r="TCY133" s="562"/>
      <c r="TCZ133" s="562"/>
      <c r="TDA133" s="562"/>
      <c r="TDB133" s="562"/>
      <c r="TDC133" s="562"/>
      <c r="TDD133" s="562"/>
      <c r="TDE133" s="562"/>
      <c r="TDF133" s="562"/>
      <c r="TDG133" s="562"/>
      <c r="TDH133" s="562"/>
      <c r="TDI133" s="562"/>
      <c r="TDJ133" s="562"/>
      <c r="TDK133" s="562"/>
      <c r="TDL133" s="562"/>
      <c r="TDM133" s="562"/>
      <c r="TDN133" s="562"/>
      <c r="TDO133" s="562"/>
      <c r="TDP133" s="562"/>
      <c r="TDQ133" s="562"/>
      <c r="TDR133" s="562"/>
      <c r="TDS133" s="562"/>
      <c r="TDT133" s="562"/>
      <c r="TDU133" s="562"/>
      <c r="TDV133" s="562"/>
      <c r="TDW133" s="562"/>
      <c r="TDX133" s="562"/>
      <c r="TDY133" s="562"/>
      <c r="TDZ133" s="562"/>
      <c r="TEA133" s="562"/>
      <c r="TEB133" s="562"/>
      <c r="TEC133" s="562"/>
      <c r="TED133" s="562"/>
      <c r="TEE133" s="562"/>
      <c r="TEF133" s="562"/>
      <c r="TEG133" s="562"/>
      <c r="TEH133" s="562"/>
      <c r="TEI133" s="562"/>
      <c r="TEJ133" s="562"/>
      <c r="TEK133" s="562"/>
      <c r="TEL133" s="562"/>
      <c r="TEM133" s="562"/>
      <c r="TEN133" s="562"/>
      <c r="TEO133" s="562"/>
      <c r="TEP133" s="562"/>
      <c r="TEQ133" s="562"/>
      <c r="TER133" s="562"/>
      <c r="TES133" s="562"/>
      <c r="TET133" s="562"/>
      <c r="TEU133" s="562"/>
      <c r="TEV133" s="562"/>
      <c r="TEW133" s="562"/>
      <c r="TEX133" s="562"/>
      <c r="TEY133" s="562"/>
      <c r="TEZ133" s="562"/>
      <c r="TFA133" s="562"/>
      <c r="TFB133" s="562"/>
      <c r="TFC133" s="562"/>
      <c r="TFD133" s="562"/>
      <c r="TFE133" s="562"/>
      <c r="TFF133" s="562"/>
      <c r="TFG133" s="562"/>
      <c r="TFH133" s="562"/>
      <c r="TFI133" s="562"/>
      <c r="TFJ133" s="562"/>
      <c r="TFK133" s="562"/>
      <c r="TFL133" s="562"/>
      <c r="TFM133" s="562"/>
      <c r="TFN133" s="562"/>
      <c r="TFO133" s="562"/>
      <c r="TFP133" s="562"/>
      <c r="TFQ133" s="562"/>
      <c r="TFR133" s="562"/>
      <c r="TFS133" s="562"/>
      <c r="TFT133" s="562"/>
      <c r="TFU133" s="562"/>
      <c r="TFV133" s="562"/>
      <c r="TFW133" s="562"/>
      <c r="TFX133" s="562"/>
      <c r="TFY133" s="562"/>
      <c r="TFZ133" s="562"/>
      <c r="TGA133" s="562"/>
      <c r="TGB133" s="562"/>
      <c r="TGC133" s="562"/>
      <c r="TGD133" s="562"/>
      <c r="TGE133" s="562"/>
      <c r="TGF133" s="562"/>
      <c r="TGG133" s="562"/>
      <c r="TGH133" s="562"/>
      <c r="TGI133" s="562"/>
      <c r="TGJ133" s="562"/>
      <c r="TGK133" s="562"/>
      <c r="TGL133" s="562"/>
      <c r="TGM133" s="562"/>
      <c r="TGN133" s="562"/>
      <c r="TGO133" s="562"/>
      <c r="TGP133" s="562"/>
      <c r="TGQ133" s="562"/>
      <c r="TGR133" s="562"/>
      <c r="TGS133" s="562"/>
      <c r="TGT133" s="562"/>
      <c r="TGU133" s="562"/>
      <c r="TGV133" s="562"/>
      <c r="TGW133" s="562"/>
      <c r="TGX133" s="562"/>
      <c r="TGY133" s="562"/>
      <c r="TGZ133" s="562"/>
      <c r="THA133" s="562"/>
      <c r="THB133" s="562"/>
      <c r="THC133" s="562"/>
      <c r="THD133" s="562"/>
      <c r="THE133" s="562"/>
      <c r="THF133" s="562"/>
      <c r="THG133" s="562"/>
      <c r="THH133" s="562"/>
      <c r="THI133" s="562"/>
      <c r="THJ133" s="562"/>
      <c r="THK133" s="562"/>
      <c r="THL133" s="562"/>
      <c r="THM133" s="562"/>
      <c r="THN133" s="562"/>
      <c r="THO133" s="562"/>
      <c r="THP133" s="562"/>
      <c r="THQ133" s="562"/>
      <c r="THR133" s="562"/>
      <c r="THS133" s="562"/>
      <c r="THT133" s="562"/>
      <c r="THU133" s="562"/>
      <c r="THV133" s="562"/>
      <c r="THW133" s="562"/>
      <c r="THX133" s="562"/>
      <c r="THY133" s="562"/>
      <c r="THZ133" s="562"/>
      <c r="TIA133" s="562"/>
      <c r="TIB133" s="562"/>
      <c r="TIC133" s="562"/>
      <c r="TID133" s="562"/>
      <c r="TIE133" s="562"/>
      <c r="TIF133" s="562"/>
      <c r="TIG133" s="562"/>
      <c r="TIH133" s="562"/>
      <c r="TII133" s="562"/>
      <c r="TIJ133" s="562"/>
      <c r="TIK133" s="562"/>
      <c r="TIL133" s="562"/>
      <c r="TIM133" s="562"/>
      <c r="TIN133" s="562"/>
      <c r="TIO133" s="562"/>
      <c r="TIP133" s="562"/>
      <c r="TIQ133" s="562"/>
      <c r="TIR133" s="562"/>
      <c r="TIS133" s="562"/>
      <c r="TIT133" s="562"/>
      <c r="TIU133" s="562"/>
      <c r="TIV133" s="562"/>
      <c r="TIW133" s="562"/>
      <c r="TIX133" s="562"/>
      <c r="TIY133" s="562"/>
      <c r="TIZ133" s="562"/>
      <c r="TJA133" s="562"/>
      <c r="TJB133" s="562"/>
      <c r="TJC133" s="562"/>
      <c r="TJD133" s="562"/>
      <c r="TJE133" s="562"/>
      <c r="TJF133" s="562"/>
      <c r="TJG133" s="562"/>
      <c r="TJH133" s="562"/>
      <c r="TJI133" s="562"/>
      <c r="TJJ133" s="562"/>
      <c r="TJK133" s="562"/>
      <c r="TJL133" s="562"/>
      <c r="TJM133" s="562"/>
      <c r="TJN133" s="562"/>
      <c r="TJO133" s="562"/>
      <c r="TJP133" s="562"/>
      <c r="TJQ133" s="562"/>
      <c r="TJR133" s="562"/>
      <c r="TJS133" s="562"/>
      <c r="TJT133" s="562"/>
      <c r="TJU133" s="562"/>
      <c r="TJV133" s="562"/>
      <c r="TJW133" s="562"/>
      <c r="TJX133" s="562"/>
      <c r="TJY133" s="562"/>
      <c r="TJZ133" s="562"/>
      <c r="TKA133" s="562"/>
      <c r="TKB133" s="562"/>
      <c r="TKC133" s="562"/>
      <c r="TKD133" s="562"/>
      <c r="TKE133" s="562"/>
      <c r="TKF133" s="562"/>
      <c r="TKG133" s="562"/>
      <c r="TKH133" s="562"/>
      <c r="TKI133" s="562"/>
      <c r="TKJ133" s="562"/>
      <c r="TKK133" s="562"/>
      <c r="TKL133" s="562"/>
      <c r="TKM133" s="562"/>
      <c r="TKN133" s="562"/>
      <c r="TKO133" s="562"/>
      <c r="TKP133" s="562"/>
      <c r="TKQ133" s="562"/>
      <c r="TKR133" s="562"/>
      <c r="TKS133" s="562"/>
      <c r="TKT133" s="562"/>
      <c r="TKU133" s="562"/>
      <c r="TKV133" s="562"/>
      <c r="TKW133" s="562"/>
      <c r="TKX133" s="562"/>
      <c r="TKY133" s="562"/>
      <c r="TKZ133" s="562"/>
      <c r="TLA133" s="562"/>
      <c r="TLB133" s="562"/>
      <c r="TLC133" s="562"/>
      <c r="TLD133" s="562"/>
      <c r="TLE133" s="562"/>
      <c r="TLF133" s="562"/>
      <c r="TLG133" s="562"/>
      <c r="TLH133" s="562"/>
      <c r="TLI133" s="562"/>
      <c r="TLJ133" s="562"/>
      <c r="TLK133" s="562"/>
      <c r="TLL133" s="562"/>
      <c r="TLM133" s="562"/>
      <c r="TLN133" s="562"/>
      <c r="TLO133" s="562"/>
      <c r="TLP133" s="562"/>
      <c r="TLQ133" s="562"/>
      <c r="TLR133" s="562"/>
      <c r="TLS133" s="562"/>
      <c r="TLT133" s="562"/>
      <c r="TLU133" s="562"/>
      <c r="TLV133" s="562"/>
      <c r="TLW133" s="562"/>
      <c r="TLX133" s="562"/>
      <c r="TLY133" s="562"/>
      <c r="TLZ133" s="562"/>
      <c r="TMA133" s="562"/>
      <c r="TMB133" s="562"/>
      <c r="TMC133" s="562"/>
      <c r="TMD133" s="562"/>
      <c r="TME133" s="562"/>
      <c r="TMF133" s="562"/>
      <c r="TMG133" s="562"/>
      <c r="TMH133" s="562"/>
      <c r="TMI133" s="562"/>
      <c r="TMJ133" s="562"/>
      <c r="TMK133" s="562"/>
      <c r="TML133" s="562"/>
      <c r="TMM133" s="562"/>
      <c r="TMN133" s="562"/>
      <c r="TMO133" s="562"/>
      <c r="TMP133" s="562"/>
      <c r="TMQ133" s="562"/>
      <c r="TMR133" s="562"/>
      <c r="TMS133" s="562"/>
      <c r="TMT133" s="562"/>
      <c r="TMU133" s="562"/>
      <c r="TMV133" s="562"/>
      <c r="TMW133" s="562"/>
      <c r="TMX133" s="562"/>
      <c r="TMY133" s="562"/>
      <c r="TMZ133" s="562"/>
      <c r="TNA133" s="562"/>
      <c r="TNB133" s="562"/>
      <c r="TNC133" s="562"/>
      <c r="TND133" s="562"/>
      <c r="TNE133" s="562"/>
      <c r="TNF133" s="562"/>
      <c r="TNG133" s="562"/>
      <c r="TNH133" s="562"/>
      <c r="TNI133" s="562"/>
      <c r="TNJ133" s="562"/>
      <c r="TNK133" s="562"/>
      <c r="TNL133" s="562"/>
      <c r="TNM133" s="562"/>
      <c r="TNN133" s="562"/>
      <c r="TNO133" s="562"/>
      <c r="TNP133" s="562"/>
      <c r="TNQ133" s="562"/>
      <c r="TNR133" s="562"/>
      <c r="TNS133" s="562"/>
      <c r="TNT133" s="562"/>
      <c r="TNU133" s="562"/>
      <c r="TNV133" s="562"/>
      <c r="TNW133" s="562"/>
      <c r="TNX133" s="562"/>
      <c r="TNY133" s="562"/>
      <c r="TNZ133" s="562"/>
      <c r="TOA133" s="562"/>
      <c r="TOB133" s="562"/>
      <c r="TOC133" s="562"/>
      <c r="TOD133" s="562"/>
      <c r="TOE133" s="562"/>
      <c r="TOF133" s="562"/>
      <c r="TOG133" s="562"/>
      <c r="TOH133" s="562"/>
      <c r="TOI133" s="562"/>
      <c r="TOJ133" s="562"/>
      <c r="TOK133" s="562"/>
      <c r="TOL133" s="562"/>
      <c r="TOM133" s="562"/>
      <c r="TON133" s="562"/>
      <c r="TOO133" s="562"/>
      <c r="TOP133" s="562"/>
      <c r="TOQ133" s="562"/>
      <c r="TOR133" s="562"/>
      <c r="TOS133" s="562"/>
      <c r="TOT133" s="562"/>
      <c r="TOU133" s="562"/>
      <c r="TOV133" s="562"/>
      <c r="TOW133" s="562"/>
      <c r="TOX133" s="562"/>
      <c r="TOY133" s="562"/>
      <c r="TOZ133" s="562"/>
      <c r="TPA133" s="562"/>
      <c r="TPB133" s="562"/>
      <c r="TPC133" s="562"/>
      <c r="TPD133" s="562"/>
      <c r="TPE133" s="562"/>
      <c r="TPF133" s="562"/>
      <c r="TPG133" s="562"/>
      <c r="TPH133" s="562"/>
      <c r="TPI133" s="562"/>
      <c r="TPJ133" s="562"/>
      <c r="TPK133" s="562"/>
      <c r="TPL133" s="562"/>
      <c r="TPM133" s="562"/>
      <c r="TPN133" s="562"/>
      <c r="TPO133" s="562"/>
      <c r="TPP133" s="562"/>
      <c r="TPQ133" s="562"/>
      <c r="TPR133" s="562"/>
      <c r="TPS133" s="562"/>
      <c r="TPT133" s="562"/>
      <c r="TPU133" s="562"/>
      <c r="TPV133" s="562"/>
      <c r="TPW133" s="562"/>
      <c r="TPX133" s="562"/>
      <c r="TPY133" s="562"/>
      <c r="TPZ133" s="562"/>
      <c r="TQA133" s="562"/>
      <c r="TQB133" s="562"/>
      <c r="TQC133" s="562"/>
      <c r="TQD133" s="562"/>
      <c r="TQE133" s="562"/>
      <c r="TQF133" s="562"/>
      <c r="TQG133" s="562"/>
      <c r="TQH133" s="562"/>
      <c r="TQI133" s="562"/>
      <c r="TQJ133" s="562"/>
      <c r="TQK133" s="562"/>
      <c r="TQL133" s="562"/>
      <c r="TQM133" s="562"/>
      <c r="TQN133" s="562"/>
      <c r="TQO133" s="562"/>
      <c r="TQP133" s="562"/>
      <c r="TQQ133" s="562"/>
      <c r="TQR133" s="562"/>
      <c r="TQS133" s="562"/>
      <c r="TQT133" s="562"/>
      <c r="TQU133" s="562"/>
      <c r="TQV133" s="562"/>
      <c r="TQW133" s="562"/>
      <c r="TQX133" s="562"/>
      <c r="TQY133" s="562"/>
      <c r="TQZ133" s="562"/>
      <c r="TRA133" s="562"/>
      <c r="TRB133" s="562"/>
      <c r="TRC133" s="562"/>
      <c r="TRD133" s="562"/>
      <c r="TRE133" s="562"/>
      <c r="TRF133" s="562"/>
      <c r="TRG133" s="562"/>
      <c r="TRH133" s="562"/>
      <c r="TRI133" s="562"/>
      <c r="TRJ133" s="562"/>
      <c r="TRK133" s="562"/>
      <c r="TRL133" s="562"/>
      <c r="TRM133" s="562"/>
      <c r="TRN133" s="562"/>
      <c r="TRO133" s="562"/>
      <c r="TRP133" s="562"/>
      <c r="TRQ133" s="562"/>
      <c r="TRR133" s="562"/>
      <c r="TRS133" s="562"/>
      <c r="TRT133" s="562"/>
      <c r="TRU133" s="562"/>
      <c r="TRV133" s="562"/>
      <c r="TRW133" s="562"/>
      <c r="TRX133" s="562"/>
      <c r="TRY133" s="562"/>
      <c r="TRZ133" s="562"/>
      <c r="TSA133" s="562"/>
      <c r="TSB133" s="562"/>
      <c r="TSC133" s="562"/>
      <c r="TSD133" s="562"/>
      <c r="TSE133" s="562"/>
      <c r="TSF133" s="562"/>
      <c r="TSG133" s="562"/>
      <c r="TSH133" s="562"/>
      <c r="TSI133" s="562"/>
      <c r="TSJ133" s="562"/>
      <c r="TSK133" s="562"/>
      <c r="TSL133" s="562"/>
      <c r="TSM133" s="562"/>
      <c r="TSN133" s="562"/>
      <c r="TSO133" s="562"/>
      <c r="TSP133" s="562"/>
      <c r="TSQ133" s="562"/>
      <c r="TSR133" s="562"/>
      <c r="TSS133" s="562"/>
      <c r="TST133" s="562"/>
      <c r="TSU133" s="562"/>
      <c r="TSV133" s="562"/>
      <c r="TSW133" s="562"/>
      <c r="TSX133" s="562"/>
      <c r="TSY133" s="562"/>
      <c r="TSZ133" s="562"/>
      <c r="TTA133" s="562"/>
      <c r="TTB133" s="562"/>
      <c r="TTC133" s="562"/>
      <c r="TTD133" s="562"/>
      <c r="TTE133" s="562"/>
      <c r="TTF133" s="562"/>
      <c r="TTG133" s="562"/>
      <c r="TTH133" s="562"/>
      <c r="TTI133" s="562"/>
      <c r="TTJ133" s="562"/>
      <c r="TTK133" s="562"/>
      <c r="TTL133" s="562"/>
      <c r="TTM133" s="562"/>
      <c r="TTN133" s="562"/>
      <c r="TTO133" s="562"/>
      <c r="TTP133" s="562"/>
      <c r="TTQ133" s="562"/>
      <c r="TTR133" s="562"/>
      <c r="TTS133" s="562"/>
      <c r="TTT133" s="562"/>
      <c r="TTU133" s="562"/>
      <c r="TTV133" s="562"/>
      <c r="TTW133" s="562"/>
      <c r="TTX133" s="562"/>
      <c r="TTY133" s="562"/>
      <c r="TTZ133" s="562"/>
      <c r="TUA133" s="562"/>
      <c r="TUB133" s="562"/>
      <c r="TUC133" s="562"/>
      <c r="TUD133" s="562"/>
      <c r="TUE133" s="562"/>
      <c r="TUF133" s="562"/>
      <c r="TUG133" s="562"/>
      <c r="TUH133" s="562"/>
      <c r="TUI133" s="562"/>
      <c r="TUJ133" s="562"/>
      <c r="TUK133" s="562"/>
      <c r="TUL133" s="562"/>
      <c r="TUM133" s="562"/>
      <c r="TUN133" s="562"/>
      <c r="TUO133" s="562"/>
      <c r="TUP133" s="562"/>
      <c r="TUQ133" s="562"/>
      <c r="TUR133" s="562"/>
      <c r="TUS133" s="562"/>
      <c r="TUT133" s="562"/>
      <c r="TUU133" s="562"/>
      <c r="TUV133" s="562"/>
      <c r="TUW133" s="562"/>
      <c r="TUX133" s="562"/>
      <c r="TUY133" s="562"/>
      <c r="TUZ133" s="562"/>
      <c r="TVA133" s="562"/>
      <c r="TVB133" s="562"/>
      <c r="TVC133" s="562"/>
      <c r="TVD133" s="562"/>
      <c r="TVE133" s="562"/>
      <c r="TVF133" s="562"/>
      <c r="TVG133" s="562"/>
      <c r="TVH133" s="562"/>
      <c r="TVI133" s="562"/>
      <c r="TVJ133" s="562"/>
      <c r="TVK133" s="562"/>
      <c r="TVL133" s="562"/>
      <c r="TVM133" s="562"/>
      <c r="TVN133" s="562"/>
      <c r="TVO133" s="562"/>
      <c r="TVP133" s="562"/>
      <c r="TVQ133" s="562"/>
      <c r="TVR133" s="562"/>
      <c r="TVS133" s="562"/>
      <c r="TVT133" s="562"/>
      <c r="TVU133" s="562"/>
      <c r="TVV133" s="562"/>
      <c r="TVW133" s="562"/>
      <c r="TVX133" s="562"/>
      <c r="TVY133" s="562"/>
      <c r="TVZ133" s="562"/>
      <c r="TWA133" s="562"/>
      <c r="TWB133" s="562"/>
      <c r="TWC133" s="562"/>
      <c r="TWD133" s="562"/>
      <c r="TWE133" s="562"/>
      <c r="TWF133" s="562"/>
      <c r="TWG133" s="562"/>
      <c r="TWH133" s="562"/>
      <c r="TWI133" s="562"/>
      <c r="TWJ133" s="562"/>
      <c r="TWK133" s="562"/>
      <c r="TWL133" s="562"/>
      <c r="TWM133" s="562"/>
      <c r="TWN133" s="562"/>
      <c r="TWO133" s="562"/>
      <c r="TWP133" s="562"/>
      <c r="TWQ133" s="562"/>
      <c r="TWR133" s="562"/>
      <c r="TWS133" s="562"/>
      <c r="TWT133" s="562"/>
      <c r="TWU133" s="562"/>
      <c r="TWV133" s="562"/>
      <c r="TWW133" s="562"/>
      <c r="TWX133" s="562"/>
      <c r="TWY133" s="562"/>
      <c r="TWZ133" s="562"/>
      <c r="TXA133" s="562"/>
      <c r="TXB133" s="562"/>
      <c r="TXC133" s="562"/>
      <c r="TXD133" s="562"/>
      <c r="TXE133" s="562"/>
      <c r="TXF133" s="562"/>
      <c r="TXG133" s="562"/>
      <c r="TXH133" s="562"/>
      <c r="TXI133" s="562"/>
      <c r="TXJ133" s="562"/>
      <c r="TXK133" s="562"/>
      <c r="TXL133" s="562"/>
      <c r="TXM133" s="562"/>
      <c r="TXN133" s="562"/>
      <c r="TXO133" s="562"/>
      <c r="TXP133" s="562"/>
      <c r="TXQ133" s="562"/>
      <c r="TXR133" s="562"/>
      <c r="TXS133" s="562"/>
      <c r="TXT133" s="562"/>
      <c r="TXU133" s="562"/>
      <c r="TXV133" s="562"/>
      <c r="TXW133" s="562"/>
      <c r="TXX133" s="562"/>
      <c r="TXY133" s="562"/>
      <c r="TXZ133" s="562"/>
      <c r="TYA133" s="562"/>
      <c r="TYB133" s="562"/>
      <c r="TYC133" s="562"/>
      <c r="TYD133" s="562"/>
      <c r="TYE133" s="562"/>
      <c r="TYF133" s="562"/>
      <c r="TYG133" s="562"/>
      <c r="TYH133" s="562"/>
      <c r="TYI133" s="562"/>
      <c r="TYJ133" s="562"/>
      <c r="TYK133" s="562"/>
      <c r="TYL133" s="562"/>
      <c r="TYM133" s="562"/>
      <c r="TYN133" s="562"/>
      <c r="TYO133" s="562"/>
      <c r="TYP133" s="562"/>
      <c r="TYQ133" s="562"/>
      <c r="TYR133" s="562"/>
      <c r="TYS133" s="562"/>
      <c r="TYT133" s="562"/>
      <c r="TYU133" s="562"/>
      <c r="TYV133" s="562"/>
      <c r="TYW133" s="562"/>
      <c r="TYX133" s="562"/>
      <c r="TYY133" s="562"/>
      <c r="TYZ133" s="562"/>
      <c r="TZA133" s="562"/>
      <c r="TZB133" s="562"/>
      <c r="TZC133" s="562"/>
      <c r="TZD133" s="562"/>
      <c r="TZE133" s="562"/>
      <c r="TZF133" s="562"/>
      <c r="TZG133" s="562"/>
      <c r="TZH133" s="562"/>
      <c r="TZI133" s="562"/>
      <c r="TZJ133" s="562"/>
      <c r="TZK133" s="562"/>
      <c r="TZL133" s="562"/>
      <c r="TZM133" s="562"/>
      <c r="TZN133" s="562"/>
      <c r="TZO133" s="562"/>
      <c r="TZP133" s="562"/>
      <c r="TZQ133" s="562"/>
      <c r="TZR133" s="562"/>
      <c r="TZS133" s="562"/>
      <c r="TZT133" s="562"/>
      <c r="TZU133" s="562"/>
      <c r="TZV133" s="562"/>
      <c r="TZW133" s="562"/>
      <c r="TZX133" s="562"/>
      <c r="TZY133" s="562"/>
      <c r="TZZ133" s="562"/>
      <c r="UAA133" s="562"/>
      <c r="UAB133" s="562"/>
      <c r="UAC133" s="562"/>
      <c r="UAD133" s="562"/>
      <c r="UAE133" s="562"/>
      <c r="UAF133" s="562"/>
      <c r="UAG133" s="562"/>
      <c r="UAH133" s="562"/>
      <c r="UAI133" s="562"/>
      <c r="UAJ133" s="562"/>
      <c r="UAK133" s="562"/>
      <c r="UAL133" s="562"/>
      <c r="UAM133" s="562"/>
      <c r="UAN133" s="562"/>
      <c r="UAO133" s="562"/>
      <c r="UAP133" s="562"/>
      <c r="UAQ133" s="562"/>
      <c r="UAR133" s="562"/>
      <c r="UAS133" s="562"/>
      <c r="UAT133" s="562"/>
      <c r="UAU133" s="562"/>
      <c r="UAV133" s="562"/>
      <c r="UAW133" s="562"/>
      <c r="UAX133" s="562"/>
      <c r="UAY133" s="562"/>
      <c r="UAZ133" s="562"/>
      <c r="UBA133" s="562"/>
      <c r="UBB133" s="562"/>
      <c r="UBC133" s="562"/>
      <c r="UBD133" s="562"/>
      <c r="UBE133" s="562"/>
      <c r="UBF133" s="562"/>
      <c r="UBG133" s="562"/>
      <c r="UBH133" s="562"/>
      <c r="UBI133" s="562"/>
      <c r="UBJ133" s="562"/>
      <c r="UBK133" s="562"/>
      <c r="UBL133" s="562"/>
      <c r="UBM133" s="562"/>
      <c r="UBN133" s="562"/>
      <c r="UBO133" s="562"/>
      <c r="UBP133" s="562"/>
      <c r="UBQ133" s="562"/>
      <c r="UBR133" s="562"/>
      <c r="UBS133" s="562"/>
      <c r="UBT133" s="562"/>
      <c r="UBU133" s="562"/>
      <c r="UBV133" s="562"/>
      <c r="UBW133" s="562"/>
      <c r="UBX133" s="562"/>
      <c r="UBY133" s="562"/>
      <c r="UBZ133" s="562"/>
      <c r="UCA133" s="562"/>
      <c r="UCB133" s="562"/>
      <c r="UCC133" s="562"/>
      <c r="UCD133" s="562"/>
      <c r="UCE133" s="562"/>
      <c r="UCF133" s="562"/>
      <c r="UCG133" s="562"/>
      <c r="UCH133" s="562"/>
      <c r="UCI133" s="562"/>
      <c r="UCJ133" s="562"/>
      <c r="UCK133" s="562"/>
      <c r="UCL133" s="562"/>
      <c r="UCM133" s="562"/>
      <c r="UCN133" s="562"/>
      <c r="UCO133" s="562"/>
      <c r="UCP133" s="562"/>
      <c r="UCQ133" s="562"/>
      <c r="UCR133" s="562"/>
      <c r="UCS133" s="562"/>
      <c r="UCT133" s="562"/>
      <c r="UCU133" s="562"/>
      <c r="UCV133" s="562"/>
      <c r="UCW133" s="562"/>
      <c r="UCX133" s="562"/>
      <c r="UCY133" s="562"/>
      <c r="UCZ133" s="562"/>
      <c r="UDA133" s="562"/>
      <c r="UDB133" s="562"/>
      <c r="UDC133" s="562"/>
      <c r="UDD133" s="562"/>
      <c r="UDE133" s="562"/>
      <c r="UDF133" s="562"/>
      <c r="UDG133" s="562"/>
      <c r="UDH133" s="562"/>
      <c r="UDI133" s="562"/>
      <c r="UDJ133" s="562"/>
      <c r="UDK133" s="562"/>
      <c r="UDL133" s="562"/>
      <c r="UDM133" s="562"/>
      <c r="UDN133" s="562"/>
      <c r="UDO133" s="562"/>
      <c r="UDP133" s="562"/>
      <c r="UDQ133" s="562"/>
      <c r="UDR133" s="562"/>
      <c r="UDS133" s="562"/>
      <c r="UDT133" s="562"/>
      <c r="UDU133" s="562"/>
      <c r="UDV133" s="562"/>
      <c r="UDW133" s="562"/>
      <c r="UDX133" s="562"/>
      <c r="UDY133" s="562"/>
      <c r="UDZ133" s="562"/>
      <c r="UEA133" s="562"/>
      <c r="UEB133" s="562"/>
      <c r="UEC133" s="562"/>
      <c r="UED133" s="562"/>
      <c r="UEE133" s="562"/>
      <c r="UEF133" s="562"/>
      <c r="UEG133" s="562"/>
      <c r="UEH133" s="562"/>
      <c r="UEI133" s="562"/>
      <c r="UEJ133" s="562"/>
      <c r="UEK133" s="562"/>
      <c r="UEL133" s="562"/>
      <c r="UEM133" s="562"/>
      <c r="UEN133" s="562"/>
      <c r="UEO133" s="562"/>
      <c r="UEP133" s="562"/>
      <c r="UEQ133" s="562"/>
      <c r="UER133" s="562"/>
      <c r="UES133" s="562"/>
      <c r="UET133" s="562"/>
      <c r="UEU133" s="562"/>
      <c r="UEV133" s="562"/>
      <c r="UEW133" s="562"/>
      <c r="UEX133" s="562"/>
      <c r="UEY133" s="562"/>
      <c r="UEZ133" s="562"/>
      <c r="UFA133" s="562"/>
      <c r="UFB133" s="562"/>
      <c r="UFC133" s="562"/>
      <c r="UFD133" s="562"/>
      <c r="UFE133" s="562"/>
      <c r="UFF133" s="562"/>
      <c r="UFG133" s="562"/>
      <c r="UFH133" s="562"/>
      <c r="UFI133" s="562"/>
      <c r="UFJ133" s="562"/>
      <c r="UFK133" s="562"/>
      <c r="UFL133" s="562"/>
      <c r="UFM133" s="562"/>
      <c r="UFN133" s="562"/>
      <c r="UFO133" s="562"/>
      <c r="UFP133" s="562"/>
      <c r="UFQ133" s="562"/>
      <c r="UFR133" s="562"/>
      <c r="UFS133" s="562"/>
      <c r="UFT133" s="562"/>
      <c r="UFU133" s="562"/>
      <c r="UFV133" s="562"/>
      <c r="UFW133" s="562"/>
      <c r="UFX133" s="562"/>
      <c r="UFY133" s="562"/>
      <c r="UFZ133" s="562"/>
      <c r="UGA133" s="562"/>
      <c r="UGB133" s="562"/>
      <c r="UGC133" s="562"/>
      <c r="UGD133" s="562"/>
      <c r="UGE133" s="562"/>
      <c r="UGF133" s="562"/>
      <c r="UGG133" s="562"/>
      <c r="UGH133" s="562"/>
      <c r="UGI133" s="562"/>
      <c r="UGJ133" s="562"/>
      <c r="UGK133" s="562"/>
      <c r="UGL133" s="562"/>
      <c r="UGM133" s="562"/>
      <c r="UGN133" s="562"/>
      <c r="UGO133" s="562"/>
      <c r="UGP133" s="562"/>
      <c r="UGQ133" s="562"/>
      <c r="UGR133" s="562"/>
      <c r="UGS133" s="562"/>
      <c r="UGT133" s="562"/>
      <c r="UGU133" s="562"/>
      <c r="UGV133" s="562"/>
      <c r="UGW133" s="562"/>
      <c r="UGX133" s="562"/>
      <c r="UGY133" s="562"/>
      <c r="UGZ133" s="562"/>
      <c r="UHA133" s="562"/>
      <c r="UHB133" s="562"/>
      <c r="UHC133" s="562"/>
      <c r="UHD133" s="562"/>
      <c r="UHE133" s="562"/>
      <c r="UHF133" s="562"/>
      <c r="UHG133" s="562"/>
      <c r="UHH133" s="562"/>
      <c r="UHI133" s="562"/>
      <c r="UHJ133" s="562"/>
      <c r="UHK133" s="562"/>
      <c r="UHL133" s="562"/>
      <c r="UHM133" s="562"/>
      <c r="UHN133" s="562"/>
      <c r="UHO133" s="562"/>
      <c r="UHP133" s="562"/>
      <c r="UHQ133" s="562"/>
      <c r="UHR133" s="562"/>
      <c r="UHS133" s="562"/>
      <c r="UHT133" s="562"/>
      <c r="UHU133" s="562"/>
      <c r="UHV133" s="562"/>
      <c r="UHW133" s="562"/>
      <c r="UHX133" s="562"/>
      <c r="UHY133" s="562"/>
      <c r="UHZ133" s="562"/>
      <c r="UIA133" s="562"/>
      <c r="UIB133" s="562"/>
      <c r="UIC133" s="562"/>
      <c r="UID133" s="562"/>
      <c r="UIE133" s="562"/>
      <c r="UIF133" s="562"/>
      <c r="UIG133" s="562"/>
      <c r="UIH133" s="562"/>
      <c r="UII133" s="562"/>
      <c r="UIJ133" s="562"/>
      <c r="UIK133" s="562"/>
      <c r="UIL133" s="562"/>
      <c r="UIM133" s="562"/>
      <c r="UIN133" s="562"/>
      <c r="UIO133" s="562"/>
      <c r="UIP133" s="562"/>
      <c r="UIQ133" s="562"/>
      <c r="UIR133" s="562"/>
      <c r="UIS133" s="562"/>
      <c r="UIT133" s="562"/>
      <c r="UIU133" s="562"/>
      <c r="UIV133" s="562"/>
      <c r="UIW133" s="562"/>
      <c r="UIX133" s="562"/>
      <c r="UIY133" s="562"/>
      <c r="UIZ133" s="562"/>
      <c r="UJA133" s="562"/>
      <c r="UJB133" s="562"/>
      <c r="UJC133" s="562"/>
      <c r="UJD133" s="562"/>
      <c r="UJE133" s="562"/>
      <c r="UJF133" s="562"/>
      <c r="UJG133" s="562"/>
      <c r="UJH133" s="562"/>
      <c r="UJI133" s="562"/>
      <c r="UJJ133" s="562"/>
      <c r="UJK133" s="562"/>
      <c r="UJL133" s="562"/>
      <c r="UJM133" s="562"/>
      <c r="UJN133" s="562"/>
      <c r="UJO133" s="562"/>
      <c r="UJP133" s="562"/>
      <c r="UJQ133" s="562"/>
      <c r="UJR133" s="562"/>
      <c r="UJS133" s="562"/>
      <c r="UJT133" s="562"/>
      <c r="UJU133" s="562"/>
      <c r="UJV133" s="562"/>
      <c r="UJW133" s="562"/>
      <c r="UJX133" s="562"/>
      <c r="UJY133" s="562"/>
      <c r="UJZ133" s="562"/>
      <c r="UKA133" s="562"/>
      <c r="UKB133" s="562"/>
      <c r="UKC133" s="562"/>
      <c r="UKD133" s="562"/>
      <c r="UKE133" s="562"/>
      <c r="UKF133" s="562"/>
      <c r="UKG133" s="562"/>
      <c r="UKH133" s="562"/>
      <c r="UKI133" s="562"/>
      <c r="UKJ133" s="562"/>
      <c r="UKK133" s="562"/>
      <c r="UKL133" s="562"/>
      <c r="UKM133" s="562"/>
      <c r="UKN133" s="562"/>
      <c r="UKO133" s="562"/>
      <c r="UKP133" s="562"/>
      <c r="UKQ133" s="562"/>
      <c r="UKR133" s="562"/>
      <c r="UKS133" s="562"/>
      <c r="UKT133" s="562"/>
      <c r="UKU133" s="562"/>
      <c r="UKV133" s="562"/>
      <c r="UKW133" s="562"/>
      <c r="UKX133" s="562"/>
      <c r="UKY133" s="562"/>
      <c r="UKZ133" s="562"/>
      <c r="ULA133" s="562"/>
      <c r="ULB133" s="562"/>
      <c r="ULC133" s="562"/>
      <c r="ULD133" s="562"/>
      <c r="ULE133" s="562"/>
      <c r="ULF133" s="562"/>
      <c r="ULG133" s="562"/>
      <c r="ULH133" s="562"/>
      <c r="ULI133" s="562"/>
      <c r="ULJ133" s="562"/>
      <c r="ULK133" s="562"/>
      <c r="ULL133" s="562"/>
      <c r="ULM133" s="562"/>
      <c r="ULN133" s="562"/>
      <c r="ULO133" s="562"/>
      <c r="ULP133" s="562"/>
      <c r="ULQ133" s="562"/>
      <c r="ULR133" s="562"/>
      <c r="ULS133" s="562"/>
      <c r="ULT133" s="562"/>
      <c r="ULU133" s="562"/>
      <c r="ULV133" s="562"/>
      <c r="ULW133" s="562"/>
      <c r="ULX133" s="562"/>
      <c r="ULY133" s="562"/>
      <c r="ULZ133" s="562"/>
      <c r="UMA133" s="562"/>
      <c r="UMB133" s="562"/>
      <c r="UMC133" s="562"/>
      <c r="UMD133" s="562"/>
      <c r="UME133" s="562"/>
      <c r="UMF133" s="562"/>
      <c r="UMG133" s="562"/>
      <c r="UMH133" s="562"/>
      <c r="UMI133" s="562"/>
      <c r="UMJ133" s="562"/>
      <c r="UMK133" s="562"/>
      <c r="UML133" s="562"/>
      <c r="UMM133" s="562"/>
      <c r="UMN133" s="562"/>
      <c r="UMO133" s="562"/>
      <c r="UMP133" s="562"/>
      <c r="UMQ133" s="562"/>
      <c r="UMR133" s="562"/>
      <c r="UMS133" s="562"/>
      <c r="UMT133" s="562"/>
      <c r="UMU133" s="562"/>
      <c r="UMV133" s="562"/>
      <c r="UMW133" s="562"/>
      <c r="UMX133" s="562"/>
      <c r="UMY133" s="562"/>
      <c r="UMZ133" s="562"/>
      <c r="UNA133" s="562"/>
      <c r="UNB133" s="562"/>
      <c r="UNC133" s="562"/>
      <c r="UND133" s="562"/>
      <c r="UNE133" s="562"/>
      <c r="UNF133" s="562"/>
      <c r="UNG133" s="562"/>
      <c r="UNH133" s="562"/>
      <c r="UNI133" s="562"/>
      <c r="UNJ133" s="562"/>
      <c r="UNK133" s="562"/>
      <c r="UNL133" s="562"/>
      <c r="UNM133" s="562"/>
      <c r="UNN133" s="562"/>
      <c r="UNO133" s="562"/>
      <c r="UNP133" s="562"/>
      <c r="UNQ133" s="562"/>
      <c r="UNR133" s="562"/>
      <c r="UNS133" s="562"/>
      <c r="UNT133" s="562"/>
      <c r="UNU133" s="562"/>
      <c r="UNV133" s="562"/>
      <c r="UNW133" s="562"/>
      <c r="UNX133" s="562"/>
      <c r="UNY133" s="562"/>
      <c r="UNZ133" s="562"/>
      <c r="UOA133" s="562"/>
      <c r="UOB133" s="562"/>
      <c r="UOC133" s="562"/>
      <c r="UOD133" s="562"/>
      <c r="UOE133" s="562"/>
      <c r="UOF133" s="562"/>
      <c r="UOG133" s="562"/>
      <c r="UOH133" s="562"/>
      <c r="UOI133" s="562"/>
      <c r="UOJ133" s="562"/>
      <c r="UOK133" s="562"/>
      <c r="UOL133" s="562"/>
      <c r="UOM133" s="562"/>
      <c r="UON133" s="562"/>
      <c r="UOO133" s="562"/>
      <c r="UOP133" s="562"/>
      <c r="UOQ133" s="562"/>
      <c r="UOR133" s="562"/>
      <c r="UOS133" s="562"/>
      <c r="UOT133" s="562"/>
      <c r="UOU133" s="562"/>
      <c r="UOV133" s="562"/>
      <c r="UOW133" s="562"/>
      <c r="UOX133" s="562"/>
      <c r="UOY133" s="562"/>
      <c r="UOZ133" s="562"/>
      <c r="UPA133" s="562"/>
      <c r="UPB133" s="562"/>
      <c r="UPC133" s="562"/>
      <c r="UPD133" s="562"/>
      <c r="UPE133" s="562"/>
      <c r="UPF133" s="562"/>
      <c r="UPG133" s="562"/>
      <c r="UPH133" s="562"/>
      <c r="UPI133" s="562"/>
      <c r="UPJ133" s="562"/>
      <c r="UPK133" s="562"/>
      <c r="UPL133" s="562"/>
      <c r="UPM133" s="562"/>
      <c r="UPN133" s="562"/>
      <c r="UPO133" s="562"/>
      <c r="UPP133" s="562"/>
      <c r="UPQ133" s="562"/>
      <c r="UPR133" s="562"/>
      <c r="UPS133" s="562"/>
      <c r="UPT133" s="562"/>
      <c r="UPU133" s="562"/>
      <c r="UPV133" s="562"/>
      <c r="UPW133" s="562"/>
      <c r="UPX133" s="562"/>
      <c r="UPY133" s="562"/>
      <c r="UPZ133" s="562"/>
      <c r="UQA133" s="562"/>
      <c r="UQB133" s="562"/>
      <c r="UQC133" s="562"/>
      <c r="UQD133" s="562"/>
      <c r="UQE133" s="562"/>
      <c r="UQF133" s="562"/>
      <c r="UQG133" s="562"/>
      <c r="UQH133" s="562"/>
      <c r="UQI133" s="562"/>
      <c r="UQJ133" s="562"/>
      <c r="UQK133" s="562"/>
      <c r="UQL133" s="562"/>
      <c r="UQM133" s="562"/>
      <c r="UQN133" s="562"/>
      <c r="UQO133" s="562"/>
      <c r="UQP133" s="562"/>
      <c r="UQQ133" s="562"/>
      <c r="UQR133" s="562"/>
      <c r="UQS133" s="562"/>
      <c r="UQT133" s="562"/>
      <c r="UQU133" s="562"/>
      <c r="UQV133" s="562"/>
      <c r="UQW133" s="562"/>
      <c r="UQX133" s="562"/>
      <c r="UQY133" s="562"/>
      <c r="UQZ133" s="562"/>
      <c r="URA133" s="562"/>
      <c r="URB133" s="562"/>
      <c r="URC133" s="562"/>
      <c r="URD133" s="562"/>
      <c r="URE133" s="562"/>
      <c r="URF133" s="562"/>
      <c r="URG133" s="562"/>
      <c r="URH133" s="562"/>
      <c r="URI133" s="562"/>
      <c r="URJ133" s="562"/>
      <c r="URK133" s="562"/>
      <c r="URL133" s="562"/>
      <c r="URM133" s="562"/>
      <c r="URN133" s="562"/>
      <c r="URO133" s="562"/>
      <c r="URP133" s="562"/>
      <c r="URQ133" s="562"/>
      <c r="URR133" s="562"/>
      <c r="URS133" s="562"/>
      <c r="URT133" s="562"/>
      <c r="URU133" s="562"/>
      <c r="URV133" s="562"/>
      <c r="URW133" s="562"/>
      <c r="URX133" s="562"/>
      <c r="URY133" s="562"/>
      <c r="URZ133" s="562"/>
      <c r="USA133" s="562"/>
      <c r="USB133" s="562"/>
      <c r="USC133" s="562"/>
      <c r="USD133" s="562"/>
      <c r="USE133" s="562"/>
      <c r="USF133" s="562"/>
      <c r="USG133" s="562"/>
      <c r="USH133" s="562"/>
      <c r="USI133" s="562"/>
      <c r="USJ133" s="562"/>
      <c r="USK133" s="562"/>
      <c r="USL133" s="562"/>
      <c r="USM133" s="562"/>
      <c r="USN133" s="562"/>
      <c r="USO133" s="562"/>
      <c r="USP133" s="562"/>
      <c r="USQ133" s="562"/>
      <c r="USR133" s="562"/>
      <c r="USS133" s="562"/>
      <c r="UST133" s="562"/>
      <c r="USU133" s="562"/>
      <c r="USV133" s="562"/>
      <c r="USW133" s="562"/>
      <c r="USX133" s="562"/>
      <c r="USY133" s="562"/>
      <c r="USZ133" s="562"/>
      <c r="UTA133" s="562"/>
      <c r="UTB133" s="562"/>
      <c r="UTC133" s="562"/>
      <c r="UTD133" s="562"/>
      <c r="UTE133" s="562"/>
      <c r="UTF133" s="562"/>
      <c r="UTG133" s="562"/>
      <c r="UTH133" s="562"/>
      <c r="UTI133" s="562"/>
      <c r="UTJ133" s="562"/>
      <c r="UTK133" s="562"/>
      <c r="UTL133" s="562"/>
      <c r="UTM133" s="562"/>
      <c r="UTN133" s="562"/>
      <c r="UTO133" s="562"/>
      <c r="UTP133" s="562"/>
      <c r="UTQ133" s="562"/>
      <c r="UTR133" s="562"/>
      <c r="UTS133" s="562"/>
      <c r="UTT133" s="562"/>
      <c r="UTU133" s="562"/>
      <c r="UTV133" s="562"/>
      <c r="UTW133" s="562"/>
      <c r="UTX133" s="562"/>
      <c r="UTY133" s="562"/>
      <c r="UTZ133" s="562"/>
      <c r="UUA133" s="562"/>
      <c r="UUB133" s="562"/>
      <c r="UUC133" s="562"/>
      <c r="UUD133" s="562"/>
      <c r="UUE133" s="562"/>
      <c r="UUF133" s="562"/>
      <c r="UUG133" s="562"/>
      <c r="UUH133" s="562"/>
      <c r="UUI133" s="562"/>
      <c r="UUJ133" s="562"/>
      <c r="UUK133" s="562"/>
      <c r="UUL133" s="562"/>
      <c r="UUM133" s="562"/>
      <c r="UUN133" s="562"/>
      <c r="UUO133" s="562"/>
      <c r="UUP133" s="562"/>
      <c r="UUQ133" s="562"/>
      <c r="UUR133" s="562"/>
      <c r="UUS133" s="562"/>
      <c r="UUT133" s="562"/>
      <c r="UUU133" s="562"/>
      <c r="UUV133" s="562"/>
      <c r="UUW133" s="562"/>
      <c r="UUX133" s="562"/>
      <c r="UUY133" s="562"/>
      <c r="UUZ133" s="562"/>
      <c r="UVA133" s="562"/>
      <c r="UVB133" s="562"/>
      <c r="UVC133" s="562"/>
      <c r="UVD133" s="562"/>
      <c r="UVE133" s="562"/>
      <c r="UVF133" s="562"/>
      <c r="UVG133" s="562"/>
      <c r="UVH133" s="562"/>
      <c r="UVI133" s="562"/>
      <c r="UVJ133" s="562"/>
      <c r="UVK133" s="562"/>
      <c r="UVL133" s="562"/>
      <c r="UVM133" s="562"/>
      <c r="UVN133" s="562"/>
      <c r="UVO133" s="562"/>
      <c r="UVP133" s="562"/>
      <c r="UVQ133" s="562"/>
      <c r="UVR133" s="562"/>
      <c r="UVS133" s="562"/>
      <c r="UVT133" s="562"/>
      <c r="UVU133" s="562"/>
      <c r="UVV133" s="562"/>
      <c r="UVW133" s="562"/>
      <c r="UVX133" s="562"/>
      <c r="UVY133" s="562"/>
      <c r="UVZ133" s="562"/>
      <c r="UWA133" s="562"/>
      <c r="UWB133" s="562"/>
      <c r="UWC133" s="562"/>
      <c r="UWD133" s="562"/>
      <c r="UWE133" s="562"/>
      <c r="UWF133" s="562"/>
      <c r="UWG133" s="562"/>
      <c r="UWH133" s="562"/>
      <c r="UWI133" s="562"/>
      <c r="UWJ133" s="562"/>
      <c r="UWK133" s="562"/>
      <c r="UWL133" s="562"/>
      <c r="UWM133" s="562"/>
      <c r="UWN133" s="562"/>
      <c r="UWO133" s="562"/>
      <c r="UWP133" s="562"/>
      <c r="UWQ133" s="562"/>
      <c r="UWR133" s="562"/>
      <c r="UWS133" s="562"/>
      <c r="UWT133" s="562"/>
      <c r="UWU133" s="562"/>
      <c r="UWV133" s="562"/>
      <c r="UWW133" s="562"/>
      <c r="UWX133" s="562"/>
      <c r="UWY133" s="562"/>
      <c r="UWZ133" s="562"/>
      <c r="UXA133" s="562"/>
      <c r="UXB133" s="562"/>
      <c r="UXC133" s="562"/>
      <c r="UXD133" s="562"/>
      <c r="UXE133" s="562"/>
      <c r="UXF133" s="562"/>
      <c r="UXG133" s="562"/>
      <c r="UXH133" s="562"/>
      <c r="UXI133" s="562"/>
      <c r="UXJ133" s="562"/>
      <c r="UXK133" s="562"/>
      <c r="UXL133" s="562"/>
      <c r="UXM133" s="562"/>
      <c r="UXN133" s="562"/>
      <c r="UXO133" s="562"/>
      <c r="UXP133" s="562"/>
      <c r="UXQ133" s="562"/>
      <c r="UXR133" s="562"/>
      <c r="UXS133" s="562"/>
      <c r="UXT133" s="562"/>
      <c r="UXU133" s="562"/>
      <c r="UXV133" s="562"/>
      <c r="UXW133" s="562"/>
      <c r="UXX133" s="562"/>
      <c r="UXY133" s="562"/>
      <c r="UXZ133" s="562"/>
      <c r="UYA133" s="562"/>
      <c r="UYB133" s="562"/>
      <c r="UYC133" s="562"/>
      <c r="UYD133" s="562"/>
      <c r="UYE133" s="562"/>
      <c r="UYF133" s="562"/>
      <c r="UYG133" s="562"/>
      <c r="UYH133" s="562"/>
      <c r="UYI133" s="562"/>
      <c r="UYJ133" s="562"/>
      <c r="UYK133" s="562"/>
      <c r="UYL133" s="562"/>
      <c r="UYM133" s="562"/>
      <c r="UYN133" s="562"/>
      <c r="UYO133" s="562"/>
      <c r="UYP133" s="562"/>
      <c r="UYQ133" s="562"/>
      <c r="UYR133" s="562"/>
      <c r="UYS133" s="562"/>
      <c r="UYT133" s="562"/>
      <c r="UYU133" s="562"/>
      <c r="UYV133" s="562"/>
      <c r="UYW133" s="562"/>
      <c r="UYX133" s="562"/>
      <c r="UYY133" s="562"/>
      <c r="UYZ133" s="562"/>
      <c r="UZA133" s="562"/>
      <c r="UZB133" s="562"/>
      <c r="UZC133" s="562"/>
      <c r="UZD133" s="562"/>
      <c r="UZE133" s="562"/>
      <c r="UZF133" s="562"/>
      <c r="UZG133" s="562"/>
      <c r="UZH133" s="562"/>
      <c r="UZI133" s="562"/>
      <c r="UZJ133" s="562"/>
      <c r="UZK133" s="562"/>
      <c r="UZL133" s="562"/>
      <c r="UZM133" s="562"/>
      <c r="UZN133" s="562"/>
      <c r="UZO133" s="562"/>
      <c r="UZP133" s="562"/>
      <c r="UZQ133" s="562"/>
      <c r="UZR133" s="562"/>
      <c r="UZS133" s="562"/>
      <c r="UZT133" s="562"/>
      <c r="UZU133" s="562"/>
      <c r="UZV133" s="562"/>
      <c r="UZW133" s="562"/>
      <c r="UZX133" s="562"/>
      <c r="UZY133" s="562"/>
      <c r="UZZ133" s="562"/>
      <c r="VAA133" s="562"/>
      <c r="VAB133" s="562"/>
      <c r="VAC133" s="562"/>
      <c r="VAD133" s="562"/>
      <c r="VAE133" s="562"/>
      <c r="VAF133" s="562"/>
      <c r="VAG133" s="562"/>
      <c r="VAH133" s="562"/>
      <c r="VAI133" s="562"/>
      <c r="VAJ133" s="562"/>
      <c r="VAK133" s="562"/>
      <c r="VAL133" s="562"/>
      <c r="VAM133" s="562"/>
      <c r="VAN133" s="562"/>
      <c r="VAO133" s="562"/>
      <c r="VAP133" s="562"/>
      <c r="VAQ133" s="562"/>
      <c r="VAR133" s="562"/>
      <c r="VAS133" s="562"/>
      <c r="VAT133" s="562"/>
      <c r="VAU133" s="562"/>
      <c r="VAV133" s="562"/>
      <c r="VAW133" s="562"/>
      <c r="VAX133" s="562"/>
      <c r="VAY133" s="562"/>
      <c r="VAZ133" s="562"/>
      <c r="VBA133" s="562"/>
      <c r="VBB133" s="562"/>
      <c r="VBC133" s="562"/>
      <c r="VBD133" s="562"/>
      <c r="VBE133" s="562"/>
      <c r="VBF133" s="562"/>
      <c r="VBG133" s="562"/>
      <c r="VBH133" s="562"/>
      <c r="VBI133" s="562"/>
      <c r="VBJ133" s="562"/>
      <c r="VBK133" s="562"/>
      <c r="VBL133" s="562"/>
      <c r="VBM133" s="562"/>
      <c r="VBN133" s="562"/>
      <c r="VBO133" s="562"/>
      <c r="VBP133" s="562"/>
      <c r="VBQ133" s="562"/>
      <c r="VBR133" s="562"/>
      <c r="VBS133" s="562"/>
      <c r="VBT133" s="562"/>
      <c r="VBU133" s="562"/>
      <c r="VBV133" s="562"/>
      <c r="VBW133" s="562"/>
      <c r="VBX133" s="562"/>
      <c r="VBY133" s="562"/>
      <c r="VBZ133" s="562"/>
      <c r="VCA133" s="562"/>
      <c r="VCB133" s="562"/>
      <c r="VCC133" s="562"/>
      <c r="VCD133" s="562"/>
      <c r="VCE133" s="562"/>
      <c r="VCF133" s="562"/>
      <c r="VCG133" s="562"/>
      <c r="VCH133" s="562"/>
      <c r="VCI133" s="562"/>
      <c r="VCJ133" s="562"/>
      <c r="VCK133" s="562"/>
      <c r="VCL133" s="562"/>
      <c r="VCM133" s="562"/>
      <c r="VCN133" s="562"/>
      <c r="VCO133" s="562"/>
      <c r="VCP133" s="562"/>
      <c r="VCQ133" s="562"/>
      <c r="VCR133" s="562"/>
      <c r="VCS133" s="562"/>
      <c r="VCT133" s="562"/>
      <c r="VCU133" s="562"/>
      <c r="VCV133" s="562"/>
      <c r="VCW133" s="562"/>
      <c r="VCX133" s="562"/>
      <c r="VCY133" s="562"/>
      <c r="VCZ133" s="562"/>
      <c r="VDA133" s="562"/>
      <c r="VDB133" s="562"/>
      <c r="VDC133" s="562"/>
      <c r="VDD133" s="562"/>
      <c r="VDE133" s="562"/>
      <c r="VDF133" s="562"/>
      <c r="VDG133" s="562"/>
      <c r="VDH133" s="562"/>
      <c r="VDI133" s="562"/>
      <c r="VDJ133" s="562"/>
      <c r="VDK133" s="562"/>
      <c r="VDL133" s="562"/>
      <c r="VDM133" s="562"/>
      <c r="VDN133" s="562"/>
      <c r="VDO133" s="562"/>
      <c r="VDP133" s="562"/>
      <c r="VDQ133" s="562"/>
      <c r="VDR133" s="562"/>
      <c r="VDS133" s="562"/>
      <c r="VDT133" s="562"/>
      <c r="VDU133" s="562"/>
      <c r="VDV133" s="562"/>
      <c r="VDW133" s="562"/>
      <c r="VDX133" s="562"/>
      <c r="VDY133" s="562"/>
      <c r="VDZ133" s="562"/>
      <c r="VEA133" s="562"/>
      <c r="VEB133" s="562"/>
      <c r="VEC133" s="562"/>
      <c r="VED133" s="562"/>
      <c r="VEE133" s="562"/>
      <c r="VEF133" s="562"/>
      <c r="VEG133" s="562"/>
      <c r="VEH133" s="562"/>
      <c r="VEI133" s="562"/>
      <c r="VEJ133" s="562"/>
      <c r="VEK133" s="562"/>
      <c r="VEL133" s="562"/>
      <c r="VEM133" s="562"/>
      <c r="VEN133" s="562"/>
      <c r="VEO133" s="562"/>
      <c r="VEP133" s="562"/>
      <c r="VEQ133" s="562"/>
      <c r="VER133" s="562"/>
      <c r="VES133" s="562"/>
      <c r="VET133" s="562"/>
      <c r="VEU133" s="562"/>
      <c r="VEV133" s="562"/>
      <c r="VEW133" s="562"/>
      <c r="VEX133" s="562"/>
      <c r="VEY133" s="562"/>
      <c r="VEZ133" s="562"/>
      <c r="VFA133" s="562"/>
      <c r="VFB133" s="562"/>
      <c r="VFC133" s="562"/>
      <c r="VFD133" s="562"/>
      <c r="VFE133" s="562"/>
      <c r="VFF133" s="562"/>
      <c r="VFG133" s="562"/>
      <c r="VFH133" s="562"/>
      <c r="VFI133" s="562"/>
      <c r="VFJ133" s="562"/>
      <c r="VFK133" s="562"/>
      <c r="VFL133" s="562"/>
      <c r="VFM133" s="562"/>
      <c r="VFN133" s="562"/>
      <c r="VFO133" s="562"/>
      <c r="VFP133" s="562"/>
      <c r="VFQ133" s="562"/>
      <c r="VFR133" s="562"/>
      <c r="VFS133" s="562"/>
      <c r="VFT133" s="562"/>
      <c r="VFU133" s="562"/>
      <c r="VFV133" s="562"/>
      <c r="VFW133" s="562"/>
      <c r="VFX133" s="562"/>
      <c r="VFY133" s="562"/>
      <c r="VFZ133" s="562"/>
      <c r="VGA133" s="562"/>
      <c r="VGB133" s="562"/>
      <c r="VGC133" s="562"/>
      <c r="VGD133" s="562"/>
      <c r="VGE133" s="562"/>
      <c r="VGF133" s="562"/>
      <c r="VGG133" s="562"/>
      <c r="VGH133" s="562"/>
      <c r="VGI133" s="562"/>
      <c r="VGJ133" s="562"/>
      <c r="VGK133" s="562"/>
      <c r="VGL133" s="562"/>
      <c r="VGM133" s="562"/>
      <c r="VGN133" s="562"/>
      <c r="VGO133" s="562"/>
      <c r="VGP133" s="562"/>
      <c r="VGQ133" s="562"/>
      <c r="VGR133" s="562"/>
      <c r="VGS133" s="562"/>
      <c r="VGT133" s="562"/>
      <c r="VGU133" s="562"/>
      <c r="VGV133" s="562"/>
      <c r="VGW133" s="562"/>
      <c r="VGX133" s="562"/>
      <c r="VGY133" s="562"/>
      <c r="VGZ133" s="562"/>
      <c r="VHA133" s="562"/>
      <c r="VHB133" s="562"/>
      <c r="VHC133" s="562"/>
      <c r="VHD133" s="562"/>
      <c r="VHE133" s="562"/>
      <c r="VHF133" s="562"/>
      <c r="VHG133" s="562"/>
      <c r="VHH133" s="562"/>
      <c r="VHI133" s="562"/>
      <c r="VHJ133" s="562"/>
      <c r="VHK133" s="562"/>
      <c r="VHL133" s="562"/>
      <c r="VHM133" s="562"/>
      <c r="VHN133" s="562"/>
      <c r="VHO133" s="562"/>
      <c r="VHP133" s="562"/>
      <c r="VHQ133" s="562"/>
      <c r="VHR133" s="562"/>
      <c r="VHS133" s="562"/>
      <c r="VHT133" s="562"/>
      <c r="VHU133" s="562"/>
      <c r="VHV133" s="562"/>
      <c r="VHW133" s="562"/>
      <c r="VHX133" s="562"/>
      <c r="VHY133" s="562"/>
      <c r="VHZ133" s="562"/>
      <c r="VIA133" s="562"/>
      <c r="VIB133" s="562"/>
      <c r="VIC133" s="562"/>
      <c r="VID133" s="562"/>
      <c r="VIE133" s="562"/>
      <c r="VIF133" s="562"/>
      <c r="VIG133" s="562"/>
      <c r="VIH133" s="562"/>
      <c r="VII133" s="562"/>
      <c r="VIJ133" s="562"/>
      <c r="VIK133" s="562"/>
      <c r="VIL133" s="562"/>
      <c r="VIM133" s="562"/>
      <c r="VIN133" s="562"/>
      <c r="VIO133" s="562"/>
      <c r="VIP133" s="562"/>
      <c r="VIQ133" s="562"/>
      <c r="VIR133" s="562"/>
      <c r="VIS133" s="562"/>
      <c r="VIT133" s="562"/>
      <c r="VIU133" s="562"/>
      <c r="VIV133" s="562"/>
      <c r="VIW133" s="562"/>
      <c r="VIX133" s="562"/>
      <c r="VIY133" s="562"/>
      <c r="VIZ133" s="562"/>
      <c r="VJA133" s="562"/>
      <c r="VJB133" s="562"/>
      <c r="VJC133" s="562"/>
      <c r="VJD133" s="562"/>
      <c r="VJE133" s="562"/>
      <c r="VJF133" s="562"/>
      <c r="VJG133" s="562"/>
      <c r="VJH133" s="562"/>
      <c r="VJI133" s="562"/>
      <c r="VJJ133" s="562"/>
      <c r="VJK133" s="562"/>
      <c r="VJL133" s="562"/>
      <c r="VJM133" s="562"/>
      <c r="VJN133" s="562"/>
      <c r="VJO133" s="562"/>
      <c r="VJP133" s="562"/>
      <c r="VJQ133" s="562"/>
      <c r="VJR133" s="562"/>
      <c r="VJS133" s="562"/>
      <c r="VJT133" s="562"/>
      <c r="VJU133" s="562"/>
      <c r="VJV133" s="562"/>
      <c r="VJW133" s="562"/>
      <c r="VJX133" s="562"/>
      <c r="VJY133" s="562"/>
      <c r="VJZ133" s="562"/>
      <c r="VKA133" s="562"/>
      <c r="VKB133" s="562"/>
      <c r="VKC133" s="562"/>
      <c r="VKD133" s="562"/>
      <c r="VKE133" s="562"/>
      <c r="VKF133" s="562"/>
      <c r="VKG133" s="562"/>
      <c r="VKH133" s="562"/>
      <c r="VKI133" s="562"/>
      <c r="VKJ133" s="562"/>
      <c r="VKK133" s="562"/>
      <c r="VKL133" s="562"/>
      <c r="VKM133" s="562"/>
      <c r="VKN133" s="562"/>
      <c r="VKO133" s="562"/>
      <c r="VKP133" s="562"/>
      <c r="VKQ133" s="562"/>
      <c r="VKR133" s="562"/>
      <c r="VKS133" s="562"/>
      <c r="VKT133" s="562"/>
      <c r="VKU133" s="562"/>
      <c r="VKV133" s="562"/>
      <c r="VKW133" s="562"/>
      <c r="VKX133" s="562"/>
      <c r="VKY133" s="562"/>
      <c r="VKZ133" s="562"/>
      <c r="VLA133" s="562"/>
      <c r="VLB133" s="562"/>
      <c r="VLC133" s="562"/>
      <c r="VLD133" s="562"/>
      <c r="VLE133" s="562"/>
      <c r="VLF133" s="562"/>
      <c r="VLG133" s="562"/>
      <c r="VLH133" s="562"/>
      <c r="VLI133" s="562"/>
      <c r="VLJ133" s="562"/>
      <c r="VLK133" s="562"/>
      <c r="VLL133" s="562"/>
      <c r="VLM133" s="562"/>
      <c r="VLN133" s="562"/>
      <c r="VLO133" s="562"/>
      <c r="VLP133" s="562"/>
      <c r="VLQ133" s="562"/>
      <c r="VLR133" s="562"/>
      <c r="VLS133" s="562"/>
      <c r="VLT133" s="562"/>
      <c r="VLU133" s="562"/>
      <c r="VLV133" s="562"/>
      <c r="VLW133" s="562"/>
      <c r="VLX133" s="562"/>
      <c r="VLY133" s="562"/>
      <c r="VLZ133" s="562"/>
      <c r="VMA133" s="562"/>
      <c r="VMB133" s="562"/>
      <c r="VMC133" s="562"/>
      <c r="VMD133" s="562"/>
      <c r="VME133" s="562"/>
      <c r="VMF133" s="562"/>
      <c r="VMG133" s="562"/>
      <c r="VMH133" s="562"/>
      <c r="VMI133" s="562"/>
      <c r="VMJ133" s="562"/>
      <c r="VMK133" s="562"/>
      <c r="VML133" s="562"/>
      <c r="VMM133" s="562"/>
      <c r="VMN133" s="562"/>
      <c r="VMO133" s="562"/>
      <c r="VMP133" s="562"/>
      <c r="VMQ133" s="562"/>
      <c r="VMR133" s="562"/>
      <c r="VMS133" s="562"/>
      <c r="VMT133" s="562"/>
      <c r="VMU133" s="562"/>
      <c r="VMV133" s="562"/>
      <c r="VMW133" s="562"/>
      <c r="VMX133" s="562"/>
      <c r="VMY133" s="562"/>
      <c r="VMZ133" s="562"/>
      <c r="VNA133" s="562"/>
      <c r="VNB133" s="562"/>
      <c r="VNC133" s="562"/>
      <c r="VND133" s="562"/>
      <c r="VNE133" s="562"/>
      <c r="VNF133" s="562"/>
      <c r="VNG133" s="562"/>
      <c r="VNH133" s="562"/>
      <c r="VNI133" s="562"/>
      <c r="VNJ133" s="562"/>
      <c r="VNK133" s="562"/>
      <c r="VNL133" s="562"/>
      <c r="VNM133" s="562"/>
      <c r="VNN133" s="562"/>
      <c r="VNO133" s="562"/>
      <c r="VNP133" s="562"/>
      <c r="VNQ133" s="562"/>
      <c r="VNR133" s="562"/>
      <c r="VNS133" s="562"/>
      <c r="VNT133" s="562"/>
      <c r="VNU133" s="562"/>
      <c r="VNV133" s="562"/>
      <c r="VNW133" s="562"/>
      <c r="VNX133" s="562"/>
      <c r="VNY133" s="562"/>
      <c r="VNZ133" s="562"/>
      <c r="VOA133" s="562"/>
      <c r="VOB133" s="562"/>
      <c r="VOC133" s="562"/>
      <c r="VOD133" s="562"/>
      <c r="VOE133" s="562"/>
      <c r="VOF133" s="562"/>
      <c r="VOG133" s="562"/>
      <c r="VOH133" s="562"/>
      <c r="VOI133" s="562"/>
      <c r="VOJ133" s="562"/>
      <c r="VOK133" s="562"/>
      <c r="VOL133" s="562"/>
      <c r="VOM133" s="562"/>
      <c r="VON133" s="562"/>
      <c r="VOO133" s="562"/>
      <c r="VOP133" s="562"/>
      <c r="VOQ133" s="562"/>
      <c r="VOR133" s="562"/>
      <c r="VOS133" s="562"/>
      <c r="VOT133" s="562"/>
      <c r="VOU133" s="562"/>
      <c r="VOV133" s="562"/>
      <c r="VOW133" s="562"/>
      <c r="VOX133" s="562"/>
      <c r="VOY133" s="562"/>
      <c r="VOZ133" s="562"/>
      <c r="VPA133" s="562"/>
      <c r="VPB133" s="562"/>
      <c r="VPC133" s="562"/>
      <c r="VPD133" s="562"/>
      <c r="VPE133" s="562"/>
      <c r="VPF133" s="562"/>
      <c r="VPG133" s="562"/>
      <c r="VPH133" s="562"/>
      <c r="VPI133" s="562"/>
      <c r="VPJ133" s="562"/>
      <c r="VPK133" s="562"/>
      <c r="VPL133" s="562"/>
      <c r="VPM133" s="562"/>
      <c r="VPN133" s="562"/>
      <c r="VPO133" s="562"/>
      <c r="VPP133" s="562"/>
      <c r="VPQ133" s="562"/>
      <c r="VPR133" s="562"/>
      <c r="VPS133" s="562"/>
      <c r="VPT133" s="562"/>
      <c r="VPU133" s="562"/>
      <c r="VPV133" s="562"/>
      <c r="VPW133" s="562"/>
      <c r="VPX133" s="562"/>
      <c r="VPY133" s="562"/>
      <c r="VPZ133" s="562"/>
      <c r="VQA133" s="562"/>
      <c r="VQB133" s="562"/>
      <c r="VQC133" s="562"/>
      <c r="VQD133" s="562"/>
      <c r="VQE133" s="562"/>
      <c r="VQF133" s="562"/>
      <c r="VQG133" s="562"/>
      <c r="VQH133" s="562"/>
      <c r="VQI133" s="562"/>
      <c r="VQJ133" s="562"/>
      <c r="VQK133" s="562"/>
      <c r="VQL133" s="562"/>
      <c r="VQM133" s="562"/>
      <c r="VQN133" s="562"/>
      <c r="VQO133" s="562"/>
      <c r="VQP133" s="562"/>
      <c r="VQQ133" s="562"/>
      <c r="VQR133" s="562"/>
      <c r="VQS133" s="562"/>
      <c r="VQT133" s="562"/>
      <c r="VQU133" s="562"/>
      <c r="VQV133" s="562"/>
      <c r="VQW133" s="562"/>
      <c r="VQX133" s="562"/>
      <c r="VQY133" s="562"/>
      <c r="VQZ133" s="562"/>
      <c r="VRA133" s="562"/>
      <c r="VRB133" s="562"/>
      <c r="VRC133" s="562"/>
      <c r="VRD133" s="562"/>
      <c r="VRE133" s="562"/>
      <c r="VRF133" s="562"/>
      <c r="VRG133" s="562"/>
      <c r="VRH133" s="562"/>
      <c r="VRI133" s="562"/>
      <c r="VRJ133" s="562"/>
      <c r="VRK133" s="562"/>
      <c r="VRL133" s="562"/>
      <c r="VRM133" s="562"/>
      <c r="VRN133" s="562"/>
      <c r="VRO133" s="562"/>
      <c r="VRP133" s="562"/>
      <c r="VRQ133" s="562"/>
      <c r="VRR133" s="562"/>
      <c r="VRS133" s="562"/>
      <c r="VRT133" s="562"/>
      <c r="VRU133" s="562"/>
      <c r="VRV133" s="562"/>
      <c r="VRW133" s="562"/>
      <c r="VRX133" s="562"/>
      <c r="VRY133" s="562"/>
      <c r="VRZ133" s="562"/>
      <c r="VSA133" s="562"/>
      <c r="VSB133" s="562"/>
      <c r="VSC133" s="562"/>
      <c r="VSD133" s="562"/>
      <c r="VSE133" s="562"/>
      <c r="VSF133" s="562"/>
      <c r="VSG133" s="562"/>
      <c r="VSH133" s="562"/>
      <c r="VSI133" s="562"/>
      <c r="VSJ133" s="562"/>
      <c r="VSK133" s="562"/>
      <c r="VSL133" s="562"/>
      <c r="VSM133" s="562"/>
      <c r="VSN133" s="562"/>
      <c r="VSO133" s="562"/>
      <c r="VSP133" s="562"/>
      <c r="VSQ133" s="562"/>
      <c r="VSR133" s="562"/>
      <c r="VSS133" s="562"/>
      <c r="VST133" s="562"/>
      <c r="VSU133" s="562"/>
      <c r="VSV133" s="562"/>
      <c r="VSW133" s="562"/>
      <c r="VSX133" s="562"/>
      <c r="VSY133" s="562"/>
      <c r="VSZ133" s="562"/>
      <c r="VTA133" s="562"/>
      <c r="VTB133" s="562"/>
      <c r="VTC133" s="562"/>
      <c r="VTD133" s="562"/>
      <c r="VTE133" s="562"/>
      <c r="VTF133" s="562"/>
      <c r="VTG133" s="562"/>
      <c r="VTH133" s="562"/>
      <c r="VTI133" s="562"/>
      <c r="VTJ133" s="562"/>
      <c r="VTK133" s="562"/>
      <c r="VTL133" s="562"/>
      <c r="VTM133" s="562"/>
      <c r="VTN133" s="562"/>
      <c r="VTO133" s="562"/>
      <c r="VTP133" s="562"/>
      <c r="VTQ133" s="562"/>
      <c r="VTR133" s="562"/>
      <c r="VTS133" s="562"/>
      <c r="VTT133" s="562"/>
      <c r="VTU133" s="562"/>
      <c r="VTV133" s="562"/>
      <c r="VTW133" s="562"/>
      <c r="VTX133" s="562"/>
      <c r="VTY133" s="562"/>
      <c r="VTZ133" s="562"/>
      <c r="VUA133" s="562"/>
      <c r="VUB133" s="562"/>
      <c r="VUC133" s="562"/>
      <c r="VUD133" s="562"/>
      <c r="VUE133" s="562"/>
      <c r="VUF133" s="562"/>
      <c r="VUG133" s="562"/>
      <c r="VUH133" s="562"/>
      <c r="VUI133" s="562"/>
      <c r="VUJ133" s="562"/>
      <c r="VUK133" s="562"/>
      <c r="VUL133" s="562"/>
      <c r="VUM133" s="562"/>
      <c r="VUN133" s="562"/>
      <c r="VUO133" s="562"/>
      <c r="VUP133" s="562"/>
      <c r="VUQ133" s="562"/>
      <c r="VUR133" s="562"/>
      <c r="VUS133" s="562"/>
      <c r="VUT133" s="562"/>
      <c r="VUU133" s="562"/>
      <c r="VUV133" s="562"/>
      <c r="VUW133" s="562"/>
      <c r="VUX133" s="562"/>
      <c r="VUY133" s="562"/>
      <c r="VUZ133" s="562"/>
      <c r="VVA133" s="562"/>
      <c r="VVB133" s="562"/>
      <c r="VVC133" s="562"/>
      <c r="VVD133" s="562"/>
      <c r="VVE133" s="562"/>
      <c r="VVF133" s="562"/>
      <c r="VVG133" s="562"/>
      <c r="VVH133" s="562"/>
      <c r="VVI133" s="562"/>
      <c r="VVJ133" s="562"/>
      <c r="VVK133" s="562"/>
      <c r="VVL133" s="562"/>
      <c r="VVM133" s="562"/>
      <c r="VVN133" s="562"/>
      <c r="VVO133" s="562"/>
      <c r="VVP133" s="562"/>
      <c r="VVQ133" s="562"/>
      <c r="VVR133" s="562"/>
      <c r="VVS133" s="562"/>
      <c r="VVT133" s="562"/>
      <c r="VVU133" s="562"/>
      <c r="VVV133" s="562"/>
      <c r="VVW133" s="562"/>
      <c r="VVX133" s="562"/>
      <c r="VVY133" s="562"/>
      <c r="VVZ133" s="562"/>
      <c r="VWA133" s="562"/>
      <c r="VWB133" s="562"/>
      <c r="VWC133" s="562"/>
      <c r="VWD133" s="562"/>
      <c r="VWE133" s="562"/>
      <c r="VWF133" s="562"/>
      <c r="VWG133" s="562"/>
      <c r="VWH133" s="562"/>
      <c r="VWI133" s="562"/>
      <c r="VWJ133" s="562"/>
      <c r="VWK133" s="562"/>
      <c r="VWL133" s="562"/>
      <c r="VWM133" s="562"/>
      <c r="VWN133" s="562"/>
      <c r="VWO133" s="562"/>
      <c r="VWP133" s="562"/>
      <c r="VWQ133" s="562"/>
      <c r="VWR133" s="562"/>
      <c r="VWS133" s="562"/>
      <c r="VWT133" s="562"/>
      <c r="VWU133" s="562"/>
      <c r="VWV133" s="562"/>
      <c r="VWW133" s="562"/>
      <c r="VWX133" s="562"/>
      <c r="VWY133" s="562"/>
      <c r="VWZ133" s="562"/>
      <c r="VXA133" s="562"/>
      <c r="VXB133" s="562"/>
      <c r="VXC133" s="562"/>
      <c r="VXD133" s="562"/>
      <c r="VXE133" s="562"/>
      <c r="VXF133" s="562"/>
      <c r="VXG133" s="562"/>
      <c r="VXH133" s="562"/>
      <c r="VXI133" s="562"/>
      <c r="VXJ133" s="562"/>
      <c r="VXK133" s="562"/>
      <c r="VXL133" s="562"/>
      <c r="VXM133" s="562"/>
      <c r="VXN133" s="562"/>
      <c r="VXO133" s="562"/>
      <c r="VXP133" s="562"/>
      <c r="VXQ133" s="562"/>
      <c r="VXR133" s="562"/>
      <c r="VXS133" s="562"/>
      <c r="VXT133" s="562"/>
      <c r="VXU133" s="562"/>
      <c r="VXV133" s="562"/>
      <c r="VXW133" s="562"/>
      <c r="VXX133" s="562"/>
      <c r="VXY133" s="562"/>
      <c r="VXZ133" s="562"/>
      <c r="VYA133" s="562"/>
      <c r="VYB133" s="562"/>
      <c r="VYC133" s="562"/>
      <c r="VYD133" s="562"/>
      <c r="VYE133" s="562"/>
      <c r="VYF133" s="562"/>
      <c r="VYG133" s="562"/>
      <c r="VYH133" s="562"/>
      <c r="VYI133" s="562"/>
      <c r="VYJ133" s="562"/>
      <c r="VYK133" s="562"/>
      <c r="VYL133" s="562"/>
      <c r="VYM133" s="562"/>
      <c r="VYN133" s="562"/>
      <c r="VYO133" s="562"/>
      <c r="VYP133" s="562"/>
      <c r="VYQ133" s="562"/>
      <c r="VYR133" s="562"/>
      <c r="VYS133" s="562"/>
      <c r="VYT133" s="562"/>
      <c r="VYU133" s="562"/>
      <c r="VYV133" s="562"/>
      <c r="VYW133" s="562"/>
      <c r="VYX133" s="562"/>
      <c r="VYY133" s="562"/>
      <c r="VYZ133" s="562"/>
      <c r="VZA133" s="562"/>
      <c r="VZB133" s="562"/>
      <c r="VZC133" s="562"/>
      <c r="VZD133" s="562"/>
      <c r="VZE133" s="562"/>
      <c r="VZF133" s="562"/>
      <c r="VZG133" s="562"/>
      <c r="VZH133" s="562"/>
      <c r="VZI133" s="562"/>
      <c r="VZJ133" s="562"/>
      <c r="VZK133" s="562"/>
      <c r="VZL133" s="562"/>
      <c r="VZM133" s="562"/>
      <c r="VZN133" s="562"/>
      <c r="VZO133" s="562"/>
      <c r="VZP133" s="562"/>
      <c r="VZQ133" s="562"/>
      <c r="VZR133" s="562"/>
      <c r="VZS133" s="562"/>
      <c r="VZT133" s="562"/>
      <c r="VZU133" s="562"/>
      <c r="VZV133" s="562"/>
      <c r="VZW133" s="562"/>
      <c r="VZX133" s="562"/>
      <c r="VZY133" s="562"/>
      <c r="VZZ133" s="562"/>
      <c r="WAA133" s="562"/>
      <c r="WAB133" s="562"/>
      <c r="WAC133" s="562"/>
      <c r="WAD133" s="562"/>
      <c r="WAE133" s="562"/>
      <c r="WAF133" s="562"/>
      <c r="WAG133" s="562"/>
      <c r="WAH133" s="562"/>
      <c r="WAI133" s="562"/>
      <c r="WAJ133" s="562"/>
      <c r="WAK133" s="562"/>
      <c r="WAL133" s="562"/>
      <c r="WAM133" s="562"/>
      <c r="WAN133" s="562"/>
      <c r="WAO133" s="562"/>
      <c r="WAP133" s="562"/>
      <c r="WAQ133" s="562"/>
      <c r="WAR133" s="562"/>
      <c r="WAS133" s="562"/>
      <c r="WAT133" s="562"/>
      <c r="WAU133" s="562"/>
      <c r="WAV133" s="562"/>
      <c r="WAW133" s="562"/>
      <c r="WAX133" s="562"/>
      <c r="WAY133" s="562"/>
      <c r="WAZ133" s="562"/>
      <c r="WBA133" s="562"/>
      <c r="WBB133" s="562"/>
      <c r="WBC133" s="562"/>
      <c r="WBD133" s="562"/>
      <c r="WBE133" s="562"/>
      <c r="WBF133" s="562"/>
      <c r="WBG133" s="562"/>
      <c r="WBH133" s="562"/>
      <c r="WBI133" s="562"/>
      <c r="WBJ133" s="562"/>
      <c r="WBK133" s="562"/>
      <c r="WBL133" s="562"/>
      <c r="WBM133" s="562"/>
      <c r="WBN133" s="562"/>
      <c r="WBO133" s="562"/>
      <c r="WBP133" s="562"/>
      <c r="WBQ133" s="562"/>
      <c r="WBR133" s="562"/>
      <c r="WBS133" s="562"/>
      <c r="WBT133" s="562"/>
      <c r="WBU133" s="562"/>
      <c r="WBV133" s="562"/>
      <c r="WBW133" s="562"/>
      <c r="WBX133" s="562"/>
      <c r="WBY133" s="562"/>
      <c r="WBZ133" s="562"/>
      <c r="WCA133" s="562"/>
      <c r="WCB133" s="562"/>
      <c r="WCC133" s="562"/>
      <c r="WCD133" s="562"/>
      <c r="WCE133" s="562"/>
      <c r="WCF133" s="562"/>
      <c r="WCG133" s="562"/>
      <c r="WCH133" s="562"/>
      <c r="WCI133" s="562"/>
      <c r="WCJ133" s="562"/>
      <c r="WCK133" s="562"/>
      <c r="WCL133" s="562"/>
      <c r="WCM133" s="562"/>
      <c r="WCN133" s="562"/>
      <c r="WCO133" s="562"/>
      <c r="WCP133" s="562"/>
      <c r="WCQ133" s="562"/>
      <c r="WCR133" s="562"/>
      <c r="WCS133" s="562"/>
      <c r="WCT133" s="562"/>
      <c r="WCU133" s="562"/>
      <c r="WCV133" s="562"/>
      <c r="WCW133" s="562"/>
      <c r="WCX133" s="562"/>
      <c r="WCY133" s="562"/>
      <c r="WCZ133" s="562"/>
      <c r="WDA133" s="562"/>
      <c r="WDB133" s="562"/>
      <c r="WDC133" s="562"/>
      <c r="WDD133" s="562"/>
      <c r="WDE133" s="562"/>
      <c r="WDF133" s="562"/>
      <c r="WDG133" s="562"/>
      <c r="WDH133" s="562"/>
      <c r="WDI133" s="562"/>
      <c r="WDJ133" s="562"/>
      <c r="WDK133" s="562"/>
      <c r="WDL133" s="562"/>
      <c r="WDM133" s="562"/>
      <c r="WDN133" s="562"/>
      <c r="WDO133" s="562"/>
      <c r="WDP133" s="562"/>
      <c r="WDQ133" s="562"/>
      <c r="WDR133" s="562"/>
      <c r="WDS133" s="562"/>
      <c r="WDT133" s="562"/>
      <c r="WDU133" s="562"/>
      <c r="WDV133" s="562"/>
      <c r="WDW133" s="562"/>
      <c r="WDX133" s="562"/>
      <c r="WDY133" s="562"/>
      <c r="WDZ133" s="562"/>
      <c r="WEA133" s="562"/>
      <c r="WEB133" s="562"/>
      <c r="WEC133" s="562"/>
      <c r="WED133" s="562"/>
      <c r="WEE133" s="562"/>
      <c r="WEF133" s="562"/>
      <c r="WEG133" s="562"/>
      <c r="WEH133" s="562"/>
      <c r="WEI133" s="562"/>
      <c r="WEJ133" s="562"/>
      <c r="WEK133" s="562"/>
      <c r="WEL133" s="562"/>
      <c r="WEM133" s="562"/>
      <c r="WEN133" s="562"/>
      <c r="WEO133" s="562"/>
      <c r="WEP133" s="562"/>
      <c r="WEQ133" s="562"/>
      <c r="WER133" s="562"/>
      <c r="WES133" s="562"/>
      <c r="WET133" s="562"/>
      <c r="WEU133" s="562"/>
      <c r="WEV133" s="562"/>
      <c r="WEW133" s="562"/>
      <c r="WEX133" s="562"/>
      <c r="WEY133" s="562"/>
      <c r="WEZ133" s="562"/>
      <c r="WFA133" s="562"/>
      <c r="WFB133" s="562"/>
      <c r="WFC133" s="562"/>
      <c r="WFD133" s="562"/>
      <c r="WFE133" s="562"/>
      <c r="WFF133" s="562"/>
      <c r="WFG133" s="562"/>
      <c r="WFH133" s="562"/>
      <c r="WFI133" s="562"/>
      <c r="WFJ133" s="562"/>
      <c r="WFK133" s="562"/>
      <c r="WFL133" s="562"/>
      <c r="WFM133" s="562"/>
      <c r="WFN133" s="562"/>
      <c r="WFO133" s="562"/>
      <c r="WFP133" s="562"/>
      <c r="WFQ133" s="562"/>
      <c r="WFR133" s="562"/>
      <c r="WFS133" s="562"/>
      <c r="WFT133" s="562"/>
      <c r="WFU133" s="562"/>
      <c r="WFV133" s="562"/>
      <c r="WFW133" s="562"/>
      <c r="WFX133" s="562"/>
      <c r="WFY133" s="562"/>
      <c r="WFZ133" s="562"/>
      <c r="WGA133" s="562"/>
      <c r="WGB133" s="562"/>
      <c r="WGC133" s="562"/>
      <c r="WGD133" s="562"/>
      <c r="WGE133" s="562"/>
      <c r="WGF133" s="562"/>
      <c r="WGG133" s="562"/>
      <c r="WGH133" s="562"/>
      <c r="WGI133" s="562"/>
      <c r="WGJ133" s="562"/>
      <c r="WGK133" s="562"/>
      <c r="WGL133" s="562"/>
      <c r="WGM133" s="562"/>
      <c r="WGN133" s="562"/>
      <c r="WGO133" s="562"/>
      <c r="WGP133" s="562"/>
      <c r="WGQ133" s="562"/>
      <c r="WGR133" s="562"/>
      <c r="WGS133" s="562"/>
      <c r="WGT133" s="562"/>
      <c r="WGU133" s="562"/>
      <c r="WGV133" s="562"/>
      <c r="WGW133" s="562"/>
      <c r="WGX133" s="562"/>
      <c r="WGY133" s="562"/>
      <c r="WGZ133" s="562"/>
      <c r="WHA133" s="562"/>
      <c r="WHB133" s="562"/>
      <c r="WHC133" s="562"/>
      <c r="WHD133" s="562"/>
      <c r="WHE133" s="562"/>
      <c r="WHF133" s="562"/>
      <c r="WHG133" s="562"/>
      <c r="WHH133" s="562"/>
      <c r="WHI133" s="562"/>
      <c r="WHJ133" s="562"/>
      <c r="WHK133" s="562"/>
      <c r="WHL133" s="562"/>
      <c r="WHM133" s="562"/>
      <c r="WHN133" s="562"/>
      <c r="WHO133" s="562"/>
      <c r="WHP133" s="562"/>
      <c r="WHQ133" s="562"/>
      <c r="WHR133" s="562"/>
      <c r="WHS133" s="562"/>
      <c r="WHT133" s="562"/>
      <c r="WHU133" s="562"/>
      <c r="WHV133" s="562"/>
      <c r="WHW133" s="562"/>
      <c r="WHX133" s="562"/>
      <c r="WHY133" s="562"/>
      <c r="WHZ133" s="562"/>
      <c r="WIA133" s="562"/>
      <c r="WIB133" s="562"/>
      <c r="WIC133" s="562"/>
      <c r="WID133" s="562"/>
      <c r="WIE133" s="562"/>
      <c r="WIF133" s="562"/>
      <c r="WIG133" s="562"/>
      <c r="WIH133" s="562"/>
      <c r="WII133" s="562"/>
      <c r="WIJ133" s="562"/>
      <c r="WIK133" s="562"/>
      <c r="WIL133" s="562"/>
      <c r="WIM133" s="562"/>
      <c r="WIN133" s="562"/>
      <c r="WIO133" s="562"/>
      <c r="WIP133" s="562"/>
      <c r="WIQ133" s="562"/>
      <c r="WIR133" s="562"/>
      <c r="WIS133" s="562"/>
      <c r="WIT133" s="562"/>
      <c r="WIU133" s="562"/>
      <c r="WIV133" s="562"/>
      <c r="WIW133" s="562"/>
      <c r="WIX133" s="562"/>
      <c r="WIY133" s="562"/>
      <c r="WIZ133" s="562"/>
      <c r="WJA133" s="562"/>
      <c r="WJB133" s="562"/>
      <c r="WJC133" s="562"/>
      <c r="WJD133" s="562"/>
      <c r="WJE133" s="562"/>
      <c r="WJF133" s="562"/>
      <c r="WJG133" s="562"/>
      <c r="WJH133" s="562"/>
      <c r="WJI133" s="562"/>
      <c r="WJJ133" s="562"/>
      <c r="WJK133" s="562"/>
      <c r="WJL133" s="562"/>
      <c r="WJM133" s="562"/>
      <c r="WJN133" s="562"/>
      <c r="WJO133" s="562"/>
      <c r="WJP133" s="562"/>
      <c r="WJQ133" s="562"/>
      <c r="WJR133" s="562"/>
      <c r="WJS133" s="562"/>
      <c r="WJT133" s="562"/>
      <c r="WJU133" s="562"/>
      <c r="WJV133" s="562"/>
      <c r="WJW133" s="562"/>
      <c r="WJX133" s="562"/>
      <c r="WJY133" s="562"/>
      <c r="WJZ133" s="562"/>
      <c r="WKA133" s="562"/>
      <c r="WKB133" s="562"/>
      <c r="WKC133" s="562"/>
      <c r="WKD133" s="562"/>
      <c r="WKE133" s="562"/>
      <c r="WKF133" s="562"/>
      <c r="WKG133" s="562"/>
      <c r="WKH133" s="562"/>
      <c r="WKI133" s="562"/>
      <c r="WKJ133" s="562"/>
      <c r="WKK133" s="562"/>
      <c r="WKL133" s="562"/>
      <c r="WKM133" s="562"/>
      <c r="WKN133" s="562"/>
      <c r="WKO133" s="562"/>
      <c r="WKP133" s="562"/>
      <c r="WKQ133" s="562"/>
      <c r="WKR133" s="562"/>
      <c r="WKS133" s="562"/>
      <c r="WKT133" s="562"/>
      <c r="WKU133" s="562"/>
      <c r="WKV133" s="562"/>
      <c r="WKW133" s="562"/>
      <c r="WKX133" s="562"/>
      <c r="WKY133" s="562"/>
      <c r="WKZ133" s="562"/>
      <c r="WLA133" s="562"/>
      <c r="WLB133" s="562"/>
      <c r="WLC133" s="562"/>
      <c r="WLD133" s="562"/>
      <c r="WLE133" s="562"/>
      <c r="WLF133" s="562"/>
      <c r="WLG133" s="562"/>
      <c r="WLH133" s="562"/>
      <c r="WLI133" s="562"/>
      <c r="WLJ133" s="562"/>
      <c r="WLK133" s="562"/>
      <c r="WLL133" s="562"/>
      <c r="WLM133" s="562"/>
      <c r="WLN133" s="562"/>
      <c r="WLO133" s="562"/>
      <c r="WLP133" s="562"/>
      <c r="WLQ133" s="562"/>
      <c r="WLR133" s="562"/>
      <c r="WLS133" s="562"/>
      <c r="WLT133" s="562"/>
      <c r="WLU133" s="562"/>
      <c r="WLV133" s="562"/>
      <c r="WLW133" s="562"/>
      <c r="WLX133" s="562"/>
      <c r="WLY133" s="562"/>
      <c r="WLZ133" s="562"/>
      <c r="WMA133" s="562"/>
      <c r="WMB133" s="562"/>
      <c r="WMC133" s="562"/>
      <c r="WMD133" s="562"/>
      <c r="WME133" s="562"/>
      <c r="WMF133" s="562"/>
      <c r="WMG133" s="562"/>
      <c r="WMH133" s="562"/>
      <c r="WMI133" s="562"/>
      <c r="WMJ133" s="562"/>
      <c r="WMK133" s="562"/>
      <c r="WML133" s="562"/>
      <c r="WMM133" s="562"/>
      <c r="WMN133" s="562"/>
      <c r="WMO133" s="562"/>
      <c r="WMP133" s="562"/>
      <c r="WMQ133" s="562"/>
      <c r="WMR133" s="562"/>
      <c r="WMS133" s="562"/>
      <c r="WMT133" s="562"/>
      <c r="WMU133" s="562"/>
      <c r="WMV133" s="562"/>
      <c r="WMW133" s="562"/>
      <c r="WMX133" s="562"/>
      <c r="WMY133" s="562"/>
      <c r="WMZ133" s="562"/>
      <c r="WNA133" s="562"/>
      <c r="WNB133" s="562"/>
      <c r="WNC133" s="562"/>
      <c r="WND133" s="562"/>
      <c r="WNE133" s="562"/>
      <c r="WNF133" s="562"/>
      <c r="WNG133" s="562"/>
      <c r="WNH133" s="562"/>
      <c r="WNI133" s="562"/>
      <c r="WNJ133" s="562"/>
      <c r="WNK133" s="562"/>
      <c r="WNL133" s="562"/>
      <c r="WNM133" s="562"/>
      <c r="WNN133" s="562"/>
      <c r="WNO133" s="562"/>
      <c r="WNP133" s="562"/>
      <c r="WNQ133" s="562"/>
      <c r="WNR133" s="562"/>
      <c r="WNS133" s="562"/>
      <c r="WNT133" s="562"/>
      <c r="WNU133" s="562"/>
      <c r="WNV133" s="562"/>
      <c r="WNW133" s="562"/>
      <c r="WNX133" s="562"/>
      <c r="WNY133" s="562"/>
      <c r="WNZ133" s="562"/>
      <c r="WOA133" s="562"/>
      <c r="WOB133" s="562"/>
      <c r="WOC133" s="562"/>
      <c r="WOD133" s="562"/>
      <c r="WOE133" s="562"/>
      <c r="WOF133" s="562"/>
      <c r="WOG133" s="562"/>
      <c r="WOH133" s="562"/>
      <c r="WOI133" s="562"/>
      <c r="WOJ133" s="562"/>
      <c r="WOK133" s="562"/>
      <c r="WOL133" s="562"/>
      <c r="WOM133" s="562"/>
      <c r="WON133" s="562"/>
      <c r="WOO133" s="562"/>
      <c r="WOP133" s="562"/>
      <c r="WOQ133" s="562"/>
      <c r="WOR133" s="562"/>
      <c r="WOS133" s="562"/>
      <c r="WOT133" s="562"/>
      <c r="WOU133" s="562"/>
      <c r="WOV133" s="562"/>
      <c r="WOW133" s="562"/>
      <c r="WOX133" s="562"/>
      <c r="WOY133" s="562"/>
      <c r="WOZ133" s="562"/>
      <c r="WPA133" s="562"/>
      <c r="WPB133" s="562"/>
      <c r="WPC133" s="562"/>
      <c r="WPD133" s="562"/>
      <c r="WPE133" s="562"/>
      <c r="WPF133" s="562"/>
      <c r="WPG133" s="562"/>
      <c r="WPH133" s="562"/>
      <c r="WPI133" s="562"/>
      <c r="WPJ133" s="562"/>
      <c r="WPK133" s="562"/>
      <c r="WPL133" s="562"/>
      <c r="WPM133" s="562"/>
      <c r="WPN133" s="562"/>
      <c r="WPO133" s="562"/>
      <c r="WPP133" s="562"/>
      <c r="WPQ133" s="562"/>
      <c r="WPR133" s="562"/>
      <c r="WPS133" s="562"/>
      <c r="WPT133" s="562"/>
      <c r="WPU133" s="562"/>
      <c r="WPV133" s="562"/>
      <c r="WPW133" s="562"/>
      <c r="WPX133" s="562"/>
      <c r="WPY133" s="562"/>
      <c r="WPZ133" s="562"/>
      <c r="WQA133" s="562"/>
      <c r="WQB133" s="562"/>
      <c r="WQC133" s="562"/>
      <c r="WQD133" s="562"/>
      <c r="WQE133" s="562"/>
      <c r="WQF133" s="562"/>
      <c r="WQG133" s="562"/>
      <c r="WQH133" s="562"/>
      <c r="WQI133" s="562"/>
      <c r="WQJ133" s="562"/>
      <c r="WQK133" s="562"/>
      <c r="WQL133" s="562"/>
      <c r="WQM133" s="562"/>
      <c r="WQN133" s="562"/>
      <c r="WQO133" s="562"/>
      <c r="WQP133" s="562"/>
      <c r="WQQ133" s="562"/>
      <c r="WQR133" s="562"/>
      <c r="WQS133" s="562"/>
      <c r="WQT133" s="562"/>
      <c r="WQU133" s="562"/>
      <c r="WQV133" s="562"/>
      <c r="WQW133" s="562"/>
      <c r="WQX133" s="562"/>
      <c r="WQY133" s="562"/>
      <c r="WQZ133" s="562"/>
      <c r="WRA133" s="562"/>
      <c r="WRB133" s="562"/>
      <c r="WRC133" s="562"/>
      <c r="WRD133" s="562"/>
      <c r="WRE133" s="562"/>
      <c r="WRF133" s="562"/>
      <c r="WRG133" s="562"/>
      <c r="WRH133" s="562"/>
      <c r="WRI133" s="562"/>
      <c r="WRJ133" s="562"/>
      <c r="WRK133" s="562"/>
      <c r="WRL133" s="562"/>
      <c r="WRM133" s="562"/>
      <c r="WRN133" s="562"/>
      <c r="WRO133" s="562"/>
      <c r="WRP133" s="562"/>
      <c r="WRQ133" s="562"/>
      <c r="WRR133" s="562"/>
      <c r="WRS133" s="562"/>
      <c r="WRT133" s="562"/>
      <c r="WRU133" s="562"/>
      <c r="WRV133" s="562"/>
      <c r="WRW133" s="562"/>
      <c r="WRX133" s="562"/>
      <c r="WRY133" s="562"/>
      <c r="WRZ133" s="562"/>
      <c r="WSA133" s="562"/>
      <c r="WSB133" s="562"/>
      <c r="WSC133" s="562"/>
      <c r="WSD133" s="562"/>
      <c r="WSE133" s="562"/>
      <c r="WSF133" s="562"/>
      <c r="WSG133" s="562"/>
      <c r="WSH133" s="562"/>
      <c r="WSI133" s="562"/>
      <c r="WSJ133" s="562"/>
      <c r="WSK133" s="562"/>
      <c r="WSL133" s="562"/>
      <c r="WSM133" s="562"/>
      <c r="WSN133" s="562"/>
      <c r="WSO133" s="562"/>
      <c r="WSP133" s="562"/>
      <c r="WSQ133" s="562"/>
      <c r="WSR133" s="562"/>
      <c r="WSS133" s="562"/>
      <c r="WST133" s="562"/>
      <c r="WSU133" s="562"/>
      <c r="WSV133" s="562"/>
      <c r="WSW133" s="562"/>
      <c r="WSX133" s="562"/>
      <c r="WSY133" s="562"/>
      <c r="WSZ133" s="562"/>
      <c r="WTA133" s="562"/>
      <c r="WTB133" s="562"/>
      <c r="WTC133" s="562"/>
      <c r="WTD133" s="562"/>
      <c r="WTE133" s="562"/>
      <c r="WTF133" s="562"/>
      <c r="WTG133" s="562"/>
      <c r="WTH133" s="562"/>
      <c r="WTI133" s="562"/>
      <c r="WTJ133" s="562"/>
      <c r="WTK133" s="562"/>
      <c r="WTL133" s="562"/>
      <c r="WTM133" s="562"/>
      <c r="WTN133" s="562"/>
      <c r="WTO133" s="562"/>
      <c r="WTP133" s="562"/>
      <c r="WTQ133" s="562"/>
      <c r="WTR133" s="562"/>
      <c r="WTS133" s="562"/>
      <c r="WTT133" s="562"/>
      <c r="WTU133" s="562"/>
      <c r="WTV133" s="562"/>
      <c r="WTW133" s="562"/>
      <c r="WTX133" s="562"/>
      <c r="WTY133" s="562"/>
      <c r="WTZ133" s="562"/>
      <c r="WUA133" s="562"/>
      <c r="WUB133" s="562"/>
      <c r="WUC133" s="562"/>
      <c r="WUD133" s="562"/>
      <c r="WUE133" s="562"/>
      <c r="WUF133" s="562"/>
      <c r="WUG133" s="562"/>
      <c r="WUH133" s="562"/>
      <c r="WUI133" s="562"/>
      <c r="WUJ133" s="562"/>
      <c r="WUK133" s="562"/>
      <c r="WUL133" s="562"/>
      <c r="WUM133" s="562"/>
      <c r="WUN133" s="562"/>
      <c r="WUO133" s="562"/>
      <c r="WUP133" s="562"/>
      <c r="WUQ133" s="562"/>
      <c r="WUR133" s="562"/>
      <c r="WUS133" s="562"/>
      <c r="WUT133" s="562"/>
      <c r="WUU133" s="562"/>
      <c r="WUV133" s="562"/>
      <c r="WUW133" s="562"/>
      <c r="WUX133" s="562"/>
      <c r="WUY133" s="562"/>
      <c r="WUZ133" s="562"/>
      <c r="WVA133" s="562"/>
      <c r="WVB133" s="562"/>
      <c r="WVC133" s="562"/>
      <c r="WVD133" s="562"/>
      <c r="WVE133" s="562"/>
      <c r="WVF133" s="562"/>
      <c r="WVG133" s="562"/>
      <c r="WVH133" s="562"/>
      <c r="WVI133" s="562"/>
      <c r="WVJ133" s="562"/>
      <c r="WVK133" s="562"/>
      <c r="WVL133" s="562"/>
      <c r="WVM133" s="562"/>
      <c r="WVN133" s="562"/>
      <c r="WVO133" s="562"/>
      <c r="WVP133" s="562"/>
      <c r="WVQ133" s="562"/>
      <c r="WVR133" s="562"/>
      <c r="WVS133" s="562"/>
      <c r="WVT133" s="562"/>
      <c r="WVU133" s="562"/>
      <c r="WVV133" s="562"/>
      <c r="WVW133" s="562"/>
      <c r="WVX133" s="562"/>
      <c r="WVY133" s="562"/>
      <c r="WVZ133" s="562"/>
      <c r="WWA133" s="562"/>
      <c r="WWB133" s="562"/>
      <c r="WWC133" s="562"/>
      <c r="WWD133" s="562"/>
      <c r="WWE133" s="562"/>
      <c r="WWF133" s="562"/>
      <c r="WWG133" s="562"/>
      <c r="WWH133" s="562"/>
      <c r="WWI133" s="562"/>
      <c r="WWJ133" s="562"/>
      <c r="WWK133" s="562"/>
      <c r="WWL133" s="562"/>
      <c r="WWM133" s="562"/>
      <c r="WWN133" s="562"/>
      <c r="WWO133" s="562"/>
      <c r="WWP133" s="562"/>
      <c r="WWQ133" s="562"/>
      <c r="WWR133" s="562"/>
      <c r="WWS133" s="562"/>
      <c r="WWT133" s="562"/>
      <c r="WWU133" s="562"/>
      <c r="WWV133" s="562"/>
      <c r="WWW133" s="562"/>
      <c r="WWX133" s="562"/>
      <c r="WWY133" s="562"/>
      <c r="WWZ133" s="562"/>
      <c r="WXA133" s="562"/>
      <c r="WXB133" s="562"/>
      <c r="WXC133" s="562"/>
      <c r="WXD133" s="562"/>
      <c r="WXE133" s="562"/>
      <c r="WXF133" s="562"/>
      <c r="WXG133" s="562"/>
      <c r="WXH133" s="562"/>
      <c r="WXI133" s="562"/>
      <c r="WXJ133" s="562"/>
      <c r="WXK133" s="562"/>
      <c r="WXL133" s="562"/>
      <c r="WXM133" s="562"/>
      <c r="WXN133" s="562"/>
      <c r="WXO133" s="562"/>
      <c r="WXP133" s="562"/>
      <c r="WXQ133" s="562"/>
      <c r="WXR133" s="562"/>
      <c r="WXS133" s="562"/>
      <c r="WXT133" s="562"/>
      <c r="WXU133" s="562"/>
      <c r="WXV133" s="562"/>
      <c r="WXW133" s="562"/>
      <c r="WXX133" s="562"/>
      <c r="WXY133" s="562"/>
      <c r="WXZ133" s="562"/>
      <c r="WYA133" s="562"/>
      <c r="WYB133" s="562"/>
      <c r="WYC133" s="562"/>
      <c r="WYD133" s="562"/>
      <c r="WYE133" s="562"/>
      <c r="WYF133" s="562"/>
      <c r="WYG133" s="562"/>
      <c r="WYH133" s="562"/>
      <c r="WYI133" s="562"/>
      <c r="WYJ133" s="562"/>
      <c r="WYK133" s="562"/>
      <c r="WYL133" s="562"/>
      <c r="WYM133" s="562"/>
      <c r="WYN133" s="562"/>
      <c r="WYO133" s="562"/>
      <c r="WYP133" s="562"/>
      <c r="WYQ133" s="562"/>
      <c r="WYR133" s="562"/>
      <c r="WYS133" s="562"/>
      <c r="WYT133" s="562"/>
      <c r="WYU133" s="562"/>
      <c r="WYV133" s="562"/>
      <c r="WYW133" s="562"/>
      <c r="WYX133" s="562"/>
      <c r="WYY133" s="562"/>
      <c r="WYZ133" s="562"/>
      <c r="WZA133" s="562"/>
      <c r="WZB133" s="562"/>
      <c r="WZC133" s="562"/>
      <c r="WZD133" s="562"/>
      <c r="WZE133" s="562"/>
      <c r="WZF133" s="562"/>
      <c r="WZG133" s="562"/>
      <c r="WZH133" s="562"/>
      <c r="WZI133" s="562"/>
      <c r="WZJ133" s="562"/>
      <c r="WZK133" s="562"/>
      <c r="WZL133" s="562"/>
      <c r="WZM133" s="562"/>
      <c r="WZN133" s="562"/>
      <c r="WZO133" s="562"/>
      <c r="WZP133" s="562"/>
      <c r="WZQ133" s="562"/>
      <c r="WZR133" s="562"/>
      <c r="WZS133" s="562"/>
      <c r="WZT133" s="562"/>
      <c r="WZU133" s="562"/>
      <c r="WZV133" s="562"/>
      <c r="WZW133" s="562"/>
      <c r="WZX133" s="562"/>
      <c r="WZY133" s="562"/>
      <c r="WZZ133" s="562"/>
      <c r="XAA133" s="562"/>
      <c r="XAB133" s="562"/>
      <c r="XAC133" s="562"/>
      <c r="XAD133" s="562"/>
      <c r="XAE133" s="562"/>
      <c r="XAF133" s="562"/>
      <c r="XAG133" s="562"/>
      <c r="XAH133" s="562"/>
      <c r="XAI133" s="562"/>
      <c r="XAJ133" s="562"/>
      <c r="XAK133" s="562"/>
      <c r="XAL133" s="562"/>
      <c r="XAM133" s="562"/>
      <c r="XAN133" s="562"/>
      <c r="XAO133" s="562"/>
      <c r="XAP133" s="562"/>
      <c r="XAQ133" s="562"/>
      <c r="XAR133" s="562"/>
      <c r="XAS133" s="562"/>
      <c r="XAT133" s="562"/>
      <c r="XAU133" s="562"/>
      <c r="XAV133" s="562"/>
      <c r="XAW133" s="562"/>
      <c r="XAX133" s="562"/>
      <c r="XAY133" s="562"/>
      <c r="XAZ133" s="562"/>
      <c r="XBA133" s="562"/>
      <c r="XBB133" s="562"/>
      <c r="XBC133" s="562"/>
      <c r="XBD133" s="562"/>
      <c r="XBE133" s="562"/>
      <c r="XBF133" s="562"/>
      <c r="XBG133" s="562"/>
      <c r="XBH133" s="562"/>
      <c r="XBI133" s="562"/>
      <c r="XBJ133" s="562"/>
      <c r="XBK133" s="562"/>
      <c r="XBL133" s="562"/>
      <c r="XBM133" s="562"/>
      <c r="XBN133" s="562"/>
      <c r="XBO133" s="562"/>
      <c r="XBP133" s="562"/>
      <c r="XBQ133" s="562"/>
      <c r="XBR133" s="562"/>
      <c r="XBS133" s="562"/>
      <c r="XBT133" s="562"/>
      <c r="XBU133" s="562"/>
      <c r="XBV133" s="562"/>
      <c r="XBW133" s="562"/>
      <c r="XBX133" s="562"/>
      <c r="XBY133" s="562"/>
      <c r="XBZ133" s="562"/>
      <c r="XCA133" s="562"/>
      <c r="XCB133" s="562"/>
      <c r="XCC133" s="562"/>
      <c r="XCD133" s="562"/>
      <c r="XCE133" s="562"/>
      <c r="XCF133" s="562"/>
      <c r="XCG133" s="562"/>
      <c r="XCH133" s="562"/>
      <c r="XCI133" s="562"/>
      <c r="XCJ133" s="562"/>
      <c r="XCK133" s="562"/>
      <c r="XCL133" s="562"/>
      <c r="XCM133" s="562"/>
      <c r="XCN133" s="562"/>
      <c r="XCO133" s="562"/>
      <c r="XCP133" s="562"/>
      <c r="XCQ133" s="562"/>
      <c r="XCR133" s="562"/>
      <c r="XCS133" s="562"/>
      <c r="XCT133" s="562"/>
      <c r="XCU133" s="562"/>
      <c r="XCV133" s="562"/>
      <c r="XCW133" s="562"/>
      <c r="XCX133" s="562"/>
      <c r="XCY133" s="562"/>
      <c r="XCZ133" s="562"/>
      <c r="XDA133" s="562"/>
      <c r="XDB133" s="562"/>
      <c r="XDC133" s="562"/>
      <c r="XDD133" s="562"/>
      <c r="XDE133" s="562"/>
      <c r="XDF133" s="562"/>
      <c r="XDG133" s="562"/>
      <c r="XDH133" s="562"/>
      <c r="XDI133" s="562"/>
      <c r="XDJ133" s="562"/>
      <c r="XDK133" s="562"/>
      <c r="XDL133" s="562"/>
      <c r="XDM133" s="562"/>
      <c r="XDN133" s="562"/>
      <c r="XDO133" s="562"/>
      <c r="XDP133" s="562"/>
      <c r="XDQ133" s="562"/>
      <c r="XDR133" s="562"/>
      <c r="XDS133" s="562"/>
      <c r="XDT133" s="562"/>
      <c r="XDU133" s="562"/>
    </row>
    <row r="134" spans="1:16349" s="610" customFormat="1">
      <c r="A134" s="558" t="s">
        <v>146</v>
      </c>
      <c r="B134" s="560"/>
      <c r="C134" s="558" t="s">
        <v>103</v>
      </c>
      <c r="D134" s="558" t="s">
        <v>45</v>
      </c>
      <c r="E134" s="558" t="s">
        <v>25</v>
      </c>
      <c r="F134" s="558" t="s">
        <v>57</v>
      </c>
      <c r="G134" s="558"/>
      <c r="H134" s="690" t="s">
        <v>200</v>
      </c>
      <c r="I134" s="561">
        <v>6.4</v>
      </c>
      <c r="J134" s="562">
        <v>17.5</v>
      </c>
      <c r="K134" s="563">
        <v>17.5</v>
      </c>
      <c r="L134" s="563">
        <f>267.94*7.15</f>
        <v>1915.7710000000002</v>
      </c>
      <c r="M134" s="563">
        <f t="shared" ref="M134:AB135" si="58">ROUND(L134+$K134,2)</f>
        <v>1933.27</v>
      </c>
      <c r="N134" s="563">
        <f t="shared" si="58"/>
        <v>1950.77</v>
      </c>
      <c r="O134" s="563">
        <f t="shared" si="58"/>
        <v>1968.27</v>
      </c>
      <c r="P134" s="563">
        <f t="shared" si="58"/>
        <v>1985.77</v>
      </c>
      <c r="Q134" s="563">
        <f t="shared" si="58"/>
        <v>2003.27</v>
      </c>
      <c r="R134" s="563">
        <f t="shared" si="58"/>
        <v>2020.77</v>
      </c>
      <c r="S134" s="563">
        <f t="shared" si="58"/>
        <v>2038.27</v>
      </c>
      <c r="T134" s="563">
        <f t="shared" si="58"/>
        <v>2055.77</v>
      </c>
      <c r="U134" s="563">
        <f t="shared" si="58"/>
        <v>2073.27</v>
      </c>
      <c r="V134" s="563">
        <f t="shared" si="58"/>
        <v>2090.77</v>
      </c>
      <c r="W134" s="563">
        <f t="shared" si="58"/>
        <v>2108.27</v>
      </c>
      <c r="X134" s="563">
        <f t="shared" si="58"/>
        <v>2125.77</v>
      </c>
      <c r="Y134" s="563">
        <f t="shared" si="58"/>
        <v>2143.27</v>
      </c>
      <c r="Z134" s="563">
        <f t="shared" si="58"/>
        <v>2160.77</v>
      </c>
      <c r="AA134" s="563">
        <f t="shared" si="58"/>
        <v>2178.27</v>
      </c>
      <c r="AB134" s="563">
        <f t="shared" si="58"/>
        <v>2195.77</v>
      </c>
      <c r="AC134" s="563">
        <f t="shared" si="53"/>
        <v>2213.27</v>
      </c>
      <c r="AD134" s="563">
        <f t="shared" si="53"/>
        <v>2230.77</v>
      </c>
      <c r="AE134" s="563">
        <f t="shared" si="53"/>
        <v>2248.27</v>
      </c>
      <c r="AF134" s="563">
        <f t="shared" si="53"/>
        <v>2265.77</v>
      </c>
      <c r="AG134" s="563">
        <f t="shared" si="53"/>
        <v>2283.27</v>
      </c>
      <c r="AH134" s="563">
        <f t="shared" si="54"/>
        <v>2300.77</v>
      </c>
      <c r="AI134" s="563">
        <f t="shared" si="55"/>
        <v>2318.27</v>
      </c>
      <c r="AJ134" s="563">
        <f t="shared" si="56"/>
        <v>2335.77</v>
      </c>
      <c r="AK134" s="563">
        <f t="shared" si="57"/>
        <v>2353.27</v>
      </c>
      <c r="AL134" s="612">
        <f>L134+$J134*($AL$10-$L$10)/1000</f>
        <v>2318.2710000000002</v>
      </c>
      <c r="AM134" s="562"/>
      <c r="AN134" s="562"/>
      <c r="AO134" s="562"/>
      <c r="AP134" s="562"/>
      <c r="AQ134" s="562"/>
      <c r="AR134" s="562"/>
      <c r="AS134" s="562"/>
      <c r="AT134" s="562"/>
      <c r="AU134" s="562"/>
      <c r="AV134" s="562"/>
      <c r="AW134" s="562"/>
      <c r="AX134" s="562"/>
      <c r="AY134" s="562"/>
      <c r="AZ134" s="562"/>
      <c r="BA134" s="562"/>
      <c r="BB134" s="562"/>
      <c r="BC134" s="562"/>
      <c r="BD134" s="562"/>
      <c r="BE134" s="562"/>
      <c r="BF134" s="562"/>
      <c r="BG134" s="562"/>
      <c r="BH134" s="562"/>
      <c r="BI134" s="562"/>
      <c r="BJ134" s="562"/>
      <c r="BK134" s="562"/>
      <c r="BL134" s="562"/>
      <c r="BM134" s="562"/>
      <c r="BN134" s="562"/>
      <c r="BO134" s="562"/>
      <c r="BP134" s="562"/>
      <c r="BQ134" s="562"/>
      <c r="BR134" s="562"/>
      <c r="BS134" s="562"/>
      <c r="BT134" s="562"/>
      <c r="BU134" s="562"/>
      <c r="BV134" s="562"/>
      <c r="BW134" s="562"/>
      <c r="BX134" s="562"/>
      <c r="BY134" s="562"/>
      <c r="BZ134" s="562"/>
      <c r="CA134" s="562"/>
      <c r="CB134" s="562"/>
      <c r="CC134" s="562"/>
      <c r="CD134" s="562"/>
      <c r="CE134" s="562"/>
      <c r="CF134" s="562"/>
      <c r="CG134" s="562"/>
      <c r="CH134" s="562"/>
      <c r="CI134" s="562"/>
      <c r="CJ134" s="562"/>
      <c r="CK134" s="562"/>
      <c r="CL134" s="562"/>
      <c r="CM134" s="562"/>
      <c r="CN134" s="562"/>
      <c r="CO134" s="562"/>
      <c r="CP134" s="562"/>
      <c r="CQ134" s="562"/>
      <c r="CR134" s="562"/>
      <c r="CS134" s="562"/>
      <c r="CT134" s="562"/>
      <c r="CU134" s="562"/>
      <c r="CV134" s="562"/>
      <c r="CW134" s="562"/>
      <c r="CX134" s="562"/>
      <c r="CY134" s="562"/>
      <c r="CZ134" s="562"/>
      <c r="DA134" s="562"/>
      <c r="DB134" s="562"/>
      <c r="DC134" s="562"/>
      <c r="DD134" s="562"/>
      <c r="DE134" s="562"/>
      <c r="DF134" s="562"/>
      <c r="DG134" s="562"/>
      <c r="DH134" s="562"/>
      <c r="DI134" s="562"/>
      <c r="DJ134" s="562"/>
      <c r="DK134" s="562"/>
      <c r="DL134" s="562"/>
      <c r="DM134" s="562"/>
      <c r="DN134" s="562"/>
      <c r="DO134" s="562"/>
      <c r="DP134" s="562"/>
      <c r="DQ134" s="562"/>
      <c r="DR134" s="562"/>
      <c r="DS134" s="562"/>
      <c r="DT134" s="562"/>
      <c r="DU134" s="562"/>
      <c r="DV134" s="562"/>
      <c r="DW134" s="562"/>
      <c r="DX134" s="562"/>
      <c r="DY134" s="562"/>
      <c r="DZ134" s="562"/>
      <c r="EA134" s="562"/>
      <c r="EB134" s="562"/>
      <c r="EC134" s="562"/>
      <c r="ED134" s="562"/>
      <c r="EE134" s="562"/>
      <c r="EF134" s="562"/>
      <c r="EG134" s="562"/>
      <c r="EH134" s="562"/>
      <c r="EI134" s="562"/>
      <c r="EJ134" s="562"/>
      <c r="EK134" s="562"/>
      <c r="EL134" s="562"/>
      <c r="EM134" s="562"/>
      <c r="EN134" s="562"/>
      <c r="EO134" s="562"/>
      <c r="EP134" s="562"/>
      <c r="EQ134" s="562"/>
      <c r="ER134" s="562"/>
      <c r="ES134" s="562"/>
      <c r="ET134" s="562"/>
      <c r="EU134" s="562"/>
      <c r="EV134" s="562"/>
      <c r="EW134" s="562"/>
      <c r="EX134" s="562"/>
      <c r="EY134" s="562"/>
      <c r="EZ134" s="562"/>
      <c r="FA134" s="562"/>
      <c r="FB134" s="562"/>
      <c r="FC134" s="562"/>
      <c r="FD134" s="562"/>
      <c r="FE134" s="562"/>
      <c r="FF134" s="562"/>
      <c r="FG134" s="562"/>
      <c r="FH134" s="562"/>
      <c r="FI134" s="562"/>
      <c r="FJ134" s="562"/>
      <c r="FK134" s="562"/>
      <c r="FL134" s="562"/>
      <c r="FM134" s="562"/>
      <c r="FN134" s="562"/>
      <c r="FO134" s="562"/>
      <c r="FP134" s="562"/>
      <c r="FQ134" s="562"/>
      <c r="FR134" s="562"/>
      <c r="FS134" s="562"/>
      <c r="FT134" s="562"/>
      <c r="FU134" s="562"/>
      <c r="FV134" s="562"/>
      <c r="FW134" s="562"/>
      <c r="FX134" s="562"/>
      <c r="FY134" s="562"/>
      <c r="FZ134" s="562"/>
      <c r="GA134" s="562"/>
      <c r="GB134" s="562"/>
      <c r="GC134" s="562"/>
      <c r="GD134" s="562"/>
      <c r="GE134" s="562"/>
      <c r="GF134" s="562"/>
      <c r="GG134" s="562"/>
      <c r="GH134" s="562"/>
      <c r="GI134" s="562"/>
      <c r="GJ134" s="562"/>
      <c r="GK134" s="562"/>
      <c r="GL134" s="562"/>
      <c r="GM134" s="562"/>
      <c r="GN134" s="562"/>
      <c r="GO134" s="562"/>
      <c r="GP134" s="562"/>
      <c r="GQ134" s="562"/>
      <c r="GR134" s="562"/>
      <c r="GS134" s="562"/>
      <c r="GT134" s="562"/>
      <c r="GU134" s="562"/>
      <c r="GV134" s="562"/>
      <c r="GW134" s="562"/>
      <c r="GX134" s="562"/>
      <c r="GY134" s="562"/>
      <c r="GZ134" s="562"/>
      <c r="HA134" s="562"/>
      <c r="HB134" s="562"/>
      <c r="HC134" s="562"/>
      <c r="HD134" s="562"/>
      <c r="HE134" s="562"/>
      <c r="HF134" s="562"/>
      <c r="HG134" s="562"/>
      <c r="HH134" s="562"/>
      <c r="HI134" s="562"/>
      <c r="HJ134" s="562"/>
      <c r="HK134" s="562"/>
      <c r="HL134" s="562"/>
      <c r="HM134" s="562"/>
      <c r="HN134" s="562"/>
      <c r="HO134" s="562"/>
      <c r="HP134" s="562"/>
      <c r="HQ134" s="562"/>
      <c r="HR134" s="562"/>
      <c r="HS134" s="562"/>
      <c r="HT134" s="562"/>
      <c r="HU134" s="562"/>
      <c r="HV134" s="562"/>
      <c r="HW134" s="562"/>
      <c r="HX134" s="562"/>
      <c r="HY134" s="562"/>
      <c r="HZ134" s="562"/>
      <c r="IA134" s="562"/>
      <c r="IB134" s="562"/>
      <c r="IC134" s="562"/>
      <c r="ID134" s="562"/>
      <c r="IE134" s="562"/>
      <c r="IF134" s="562"/>
      <c r="IG134" s="562"/>
      <c r="IH134" s="562"/>
      <c r="II134" s="562"/>
      <c r="IJ134" s="562"/>
      <c r="IK134" s="562"/>
      <c r="IL134" s="562"/>
      <c r="IM134" s="562"/>
      <c r="IN134" s="562"/>
      <c r="IO134" s="562"/>
      <c r="IP134" s="562"/>
      <c r="IQ134" s="562"/>
      <c r="IR134" s="562"/>
      <c r="IS134" s="562"/>
      <c r="IT134" s="562"/>
      <c r="IU134" s="562"/>
      <c r="IV134" s="562"/>
      <c r="IW134" s="562"/>
      <c r="IX134" s="562"/>
      <c r="IY134" s="562"/>
      <c r="IZ134" s="562"/>
      <c r="JA134" s="562"/>
      <c r="JB134" s="562"/>
      <c r="JC134" s="562"/>
      <c r="JD134" s="562"/>
      <c r="JE134" s="562"/>
      <c r="JF134" s="562"/>
      <c r="JG134" s="562"/>
      <c r="JH134" s="562"/>
      <c r="JI134" s="562"/>
      <c r="JJ134" s="562"/>
      <c r="JK134" s="562"/>
      <c r="JL134" s="562"/>
      <c r="JM134" s="562"/>
      <c r="JN134" s="562"/>
      <c r="JO134" s="562"/>
      <c r="JP134" s="562"/>
      <c r="JQ134" s="562"/>
      <c r="JR134" s="562"/>
      <c r="JS134" s="562"/>
      <c r="JT134" s="562"/>
      <c r="JU134" s="562"/>
      <c r="JV134" s="562"/>
      <c r="JW134" s="562"/>
      <c r="JX134" s="562"/>
      <c r="JY134" s="562"/>
      <c r="JZ134" s="562"/>
      <c r="KA134" s="562"/>
      <c r="KB134" s="562"/>
      <c r="KC134" s="562"/>
      <c r="KD134" s="562"/>
      <c r="KE134" s="562"/>
      <c r="KF134" s="562"/>
      <c r="KG134" s="562"/>
      <c r="KH134" s="562"/>
      <c r="KI134" s="562"/>
      <c r="KJ134" s="562"/>
      <c r="KK134" s="562"/>
      <c r="KL134" s="562"/>
      <c r="KM134" s="562"/>
      <c r="KN134" s="562"/>
      <c r="KO134" s="562"/>
      <c r="KP134" s="562"/>
      <c r="KQ134" s="562"/>
      <c r="KR134" s="562"/>
      <c r="KS134" s="562"/>
      <c r="KT134" s="562"/>
      <c r="KU134" s="562"/>
      <c r="KV134" s="562"/>
      <c r="KW134" s="562"/>
      <c r="KX134" s="562"/>
      <c r="KY134" s="562"/>
      <c r="KZ134" s="562"/>
      <c r="LA134" s="562"/>
      <c r="LB134" s="562"/>
      <c r="LC134" s="562"/>
      <c r="LD134" s="562"/>
      <c r="LE134" s="562"/>
      <c r="LF134" s="562"/>
      <c r="LG134" s="562"/>
      <c r="LH134" s="562"/>
      <c r="LI134" s="562"/>
      <c r="LJ134" s="562"/>
      <c r="LK134" s="562"/>
      <c r="LL134" s="562"/>
      <c r="LM134" s="562"/>
      <c r="LN134" s="562"/>
      <c r="LO134" s="562"/>
      <c r="LP134" s="562"/>
      <c r="LQ134" s="562"/>
      <c r="LR134" s="562"/>
      <c r="LS134" s="562"/>
      <c r="LT134" s="562"/>
      <c r="LU134" s="562"/>
      <c r="LV134" s="562"/>
      <c r="LW134" s="562"/>
      <c r="LX134" s="562"/>
      <c r="LY134" s="562"/>
      <c r="LZ134" s="562"/>
      <c r="MA134" s="562"/>
      <c r="MB134" s="562"/>
      <c r="MC134" s="562"/>
      <c r="MD134" s="562"/>
      <c r="ME134" s="562"/>
      <c r="MF134" s="562"/>
      <c r="MG134" s="562"/>
      <c r="MH134" s="562"/>
      <c r="MI134" s="562"/>
      <c r="MJ134" s="562"/>
      <c r="MK134" s="562"/>
      <c r="ML134" s="562"/>
      <c r="MM134" s="562"/>
      <c r="MN134" s="562"/>
      <c r="MO134" s="562"/>
      <c r="MP134" s="562"/>
      <c r="MQ134" s="562"/>
      <c r="MR134" s="562"/>
      <c r="MS134" s="562"/>
      <c r="MT134" s="562"/>
      <c r="MU134" s="562"/>
      <c r="MV134" s="562"/>
      <c r="MW134" s="562"/>
      <c r="MX134" s="562"/>
      <c r="MY134" s="562"/>
      <c r="MZ134" s="562"/>
      <c r="NA134" s="562"/>
      <c r="NB134" s="562"/>
      <c r="NC134" s="562"/>
      <c r="ND134" s="562"/>
      <c r="NE134" s="562"/>
      <c r="NF134" s="562"/>
      <c r="NG134" s="562"/>
      <c r="NH134" s="562"/>
      <c r="NI134" s="562"/>
      <c r="NJ134" s="562"/>
      <c r="NK134" s="562"/>
      <c r="NL134" s="562"/>
      <c r="NM134" s="562"/>
      <c r="NN134" s="562"/>
      <c r="NO134" s="562"/>
      <c r="NP134" s="562"/>
      <c r="NQ134" s="562"/>
      <c r="NR134" s="562"/>
      <c r="NS134" s="562"/>
      <c r="NT134" s="562"/>
      <c r="NU134" s="562"/>
      <c r="NV134" s="562"/>
      <c r="NW134" s="562"/>
      <c r="NX134" s="562"/>
      <c r="NY134" s="562"/>
      <c r="NZ134" s="562"/>
      <c r="OA134" s="562"/>
      <c r="OB134" s="562"/>
      <c r="OC134" s="562"/>
      <c r="OD134" s="562"/>
      <c r="OE134" s="562"/>
      <c r="OF134" s="562"/>
      <c r="OG134" s="562"/>
      <c r="OH134" s="562"/>
      <c r="OI134" s="562"/>
      <c r="OJ134" s="562"/>
      <c r="OK134" s="562"/>
      <c r="OL134" s="562"/>
      <c r="OM134" s="562"/>
      <c r="ON134" s="562"/>
      <c r="OO134" s="562"/>
      <c r="OP134" s="562"/>
      <c r="OQ134" s="562"/>
      <c r="OR134" s="562"/>
      <c r="OS134" s="562"/>
      <c r="OT134" s="562"/>
      <c r="OU134" s="562"/>
      <c r="OV134" s="562"/>
      <c r="OW134" s="562"/>
      <c r="OX134" s="562"/>
      <c r="OY134" s="562"/>
      <c r="OZ134" s="562"/>
      <c r="PA134" s="562"/>
      <c r="PB134" s="562"/>
      <c r="PC134" s="562"/>
      <c r="PD134" s="562"/>
      <c r="PE134" s="562"/>
      <c r="PF134" s="562"/>
      <c r="PG134" s="562"/>
      <c r="PH134" s="562"/>
      <c r="PI134" s="562"/>
      <c r="PJ134" s="562"/>
      <c r="PK134" s="562"/>
      <c r="PL134" s="562"/>
      <c r="PM134" s="562"/>
      <c r="PN134" s="562"/>
      <c r="PO134" s="562"/>
      <c r="PP134" s="562"/>
      <c r="PQ134" s="562"/>
      <c r="PR134" s="562"/>
      <c r="PS134" s="562"/>
      <c r="PT134" s="562"/>
      <c r="PU134" s="562"/>
      <c r="PV134" s="562"/>
      <c r="PW134" s="562"/>
      <c r="PX134" s="562"/>
      <c r="PY134" s="562"/>
      <c r="PZ134" s="562"/>
      <c r="QA134" s="562"/>
      <c r="QB134" s="562"/>
      <c r="QC134" s="562"/>
      <c r="QD134" s="562"/>
      <c r="QE134" s="562"/>
      <c r="QF134" s="562"/>
      <c r="QG134" s="562"/>
      <c r="QH134" s="562"/>
      <c r="QI134" s="562"/>
      <c r="QJ134" s="562"/>
      <c r="QK134" s="562"/>
      <c r="QL134" s="562"/>
      <c r="QM134" s="562"/>
      <c r="QN134" s="562"/>
      <c r="QO134" s="562"/>
      <c r="QP134" s="562"/>
      <c r="QQ134" s="562"/>
      <c r="QR134" s="562"/>
      <c r="QS134" s="562"/>
      <c r="QT134" s="562"/>
      <c r="QU134" s="562"/>
      <c r="QV134" s="562"/>
      <c r="QW134" s="562"/>
      <c r="QX134" s="562"/>
      <c r="QY134" s="562"/>
      <c r="QZ134" s="562"/>
      <c r="RA134" s="562"/>
      <c r="RB134" s="562"/>
      <c r="RC134" s="562"/>
      <c r="RD134" s="562"/>
      <c r="RE134" s="562"/>
      <c r="RF134" s="562"/>
      <c r="RG134" s="562"/>
      <c r="RH134" s="562"/>
      <c r="RI134" s="562"/>
      <c r="RJ134" s="562"/>
      <c r="RK134" s="562"/>
      <c r="RL134" s="562"/>
      <c r="RM134" s="562"/>
      <c r="RN134" s="562"/>
      <c r="RO134" s="562"/>
      <c r="RP134" s="562"/>
      <c r="RQ134" s="562"/>
      <c r="RR134" s="562"/>
      <c r="RS134" s="562"/>
      <c r="RT134" s="562"/>
      <c r="RU134" s="562"/>
      <c r="RV134" s="562"/>
      <c r="RW134" s="562"/>
      <c r="RX134" s="562"/>
      <c r="RY134" s="562"/>
      <c r="RZ134" s="562"/>
      <c r="SA134" s="562"/>
      <c r="SB134" s="562"/>
      <c r="SC134" s="562"/>
      <c r="SD134" s="562"/>
      <c r="SE134" s="562"/>
      <c r="SF134" s="562"/>
      <c r="SG134" s="562"/>
      <c r="SH134" s="562"/>
      <c r="SI134" s="562"/>
      <c r="SJ134" s="562"/>
      <c r="SK134" s="562"/>
      <c r="SL134" s="562"/>
      <c r="SM134" s="562"/>
      <c r="SN134" s="562"/>
      <c r="SO134" s="562"/>
      <c r="SP134" s="562"/>
      <c r="SQ134" s="562"/>
      <c r="SR134" s="562"/>
      <c r="SS134" s="562"/>
      <c r="ST134" s="562"/>
      <c r="SU134" s="562"/>
      <c r="SV134" s="562"/>
      <c r="SW134" s="562"/>
      <c r="SX134" s="562"/>
      <c r="SY134" s="562"/>
      <c r="SZ134" s="562"/>
      <c r="TA134" s="562"/>
      <c r="TB134" s="562"/>
      <c r="TC134" s="562"/>
      <c r="TD134" s="562"/>
      <c r="TE134" s="562"/>
      <c r="TF134" s="562"/>
      <c r="TG134" s="562"/>
      <c r="TH134" s="562"/>
      <c r="TI134" s="562"/>
      <c r="TJ134" s="562"/>
      <c r="TK134" s="562"/>
      <c r="TL134" s="562"/>
      <c r="TM134" s="562"/>
      <c r="TN134" s="562"/>
      <c r="TO134" s="562"/>
      <c r="TP134" s="562"/>
      <c r="TQ134" s="562"/>
      <c r="TR134" s="562"/>
      <c r="TS134" s="562"/>
      <c r="TT134" s="562"/>
      <c r="TU134" s="562"/>
      <c r="TV134" s="562"/>
      <c r="TW134" s="562"/>
      <c r="TX134" s="562"/>
      <c r="TY134" s="562"/>
      <c r="TZ134" s="562"/>
      <c r="UA134" s="562"/>
      <c r="UB134" s="562"/>
      <c r="UC134" s="562"/>
      <c r="UD134" s="562"/>
      <c r="UE134" s="562"/>
      <c r="UF134" s="562"/>
      <c r="UG134" s="562"/>
      <c r="UH134" s="562"/>
      <c r="UI134" s="562"/>
      <c r="UJ134" s="562"/>
      <c r="UK134" s="562"/>
      <c r="UL134" s="562"/>
      <c r="UM134" s="562"/>
      <c r="UN134" s="562"/>
      <c r="UO134" s="562"/>
      <c r="UP134" s="562"/>
      <c r="UQ134" s="562"/>
      <c r="UR134" s="562"/>
      <c r="US134" s="562"/>
      <c r="UT134" s="562"/>
      <c r="UU134" s="562"/>
      <c r="UV134" s="562"/>
      <c r="UW134" s="562"/>
      <c r="UX134" s="562"/>
      <c r="UY134" s="562"/>
      <c r="UZ134" s="562"/>
      <c r="VA134" s="562"/>
      <c r="VB134" s="562"/>
      <c r="VC134" s="562"/>
      <c r="VD134" s="562"/>
      <c r="VE134" s="562"/>
      <c r="VF134" s="562"/>
      <c r="VG134" s="562"/>
      <c r="VH134" s="562"/>
      <c r="VI134" s="562"/>
      <c r="VJ134" s="562"/>
      <c r="VK134" s="562"/>
      <c r="VL134" s="562"/>
      <c r="VM134" s="562"/>
      <c r="VN134" s="562"/>
      <c r="VO134" s="562"/>
      <c r="VP134" s="562"/>
      <c r="VQ134" s="562"/>
      <c r="VR134" s="562"/>
      <c r="VS134" s="562"/>
      <c r="VT134" s="562"/>
      <c r="VU134" s="562"/>
      <c r="VV134" s="562"/>
      <c r="VW134" s="562"/>
      <c r="VX134" s="562"/>
      <c r="VY134" s="562"/>
      <c r="VZ134" s="562"/>
      <c r="WA134" s="562"/>
      <c r="WB134" s="562"/>
      <c r="WC134" s="562"/>
      <c r="WD134" s="562"/>
      <c r="WE134" s="562"/>
      <c r="WF134" s="562"/>
      <c r="WG134" s="562"/>
      <c r="WH134" s="562"/>
      <c r="WI134" s="562"/>
      <c r="WJ134" s="562"/>
      <c r="WK134" s="562"/>
      <c r="WL134" s="562"/>
      <c r="WM134" s="562"/>
      <c r="WN134" s="562"/>
      <c r="WO134" s="562"/>
      <c r="WP134" s="562"/>
      <c r="WQ134" s="562"/>
      <c r="WR134" s="562"/>
      <c r="WS134" s="562"/>
      <c r="WT134" s="562"/>
      <c r="WU134" s="562"/>
      <c r="WV134" s="562"/>
      <c r="WW134" s="562"/>
      <c r="WX134" s="562"/>
      <c r="WY134" s="562"/>
      <c r="WZ134" s="562"/>
      <c r="XA134" s="562"/>
      <c r="XB134" s="562"/>
      <c r="XC134" s="562"/>
      <c r="XD134" s="562"/>
      <c r="XE134" s="562"/>
      <c r="XF134" s="562"/>
      <c r="XG134" s="562"/>
      <c r="XH134" s="562"/>
      <c r="XI134" s="562"/>
      <c r="XJ134" s="562"/>
      <c r="XK134" s="562"/>
      <c r="XL134" s="562"/>
      <c r="XM134" s="562"/>
      <c r="XN134" s="562"/>
      <c r="XO134" s="562"/>
      <c r="XP134" s="562"/>
      <c r="XQ134" s="562"/>
      <c r="XR134" s="562"/>
      <c r="XS134" s="562"/>
      <c r="XT134" s="562"/>
      <c r="XU134" s="562"/>
      <c r="XV134" s="562"/>
      <c r="XW134" s="562"/>
      <c r="XX134" s="562"/>
      <c r="XY134" s="562"/>
      <c r="XZ134" s="562"/>
      <c r="YA134" s="562"/>
      <c r="YB134" s="562"/>
      <c r="YC134" s="562"/>
      <c r="YD134" s="562"/>
      <c r="YE134" s="562"/>
      <c r="YF134" s="562"/>
      <c r="YG134" s="562"/>
      <c r="YH134" s="562"/>
      <c r="YI134" s="562"/>
      <c r="YJ134" s="562"/>
      <c r="YK134" s="562"/>
      <c r="YL134" s="562"/>
      <c r="YM134" s="562"/>
      <c r="YN134" s="562"/>
      <c r="YO134" s="562"/>
      <c r="YP134" s="562"/>
      <c r="YQ134" s="562"/>
      <c r="YR134" s="562"/>
      <c r="YS134" s="562"/>
      <c r="YT134" s="562"/>
      <c r="YU134" s="562"/>
      <c r="YV134" s="562"/>
      <c r="YW134" s="562"/>
      <c r="YX134" s="562"/>
      <c r="YY134" s="562"/>
      <c r="YZ134" s="562"/>
      <c r="ZA134" s="562"/>
      <c r="ZB134" s="562"/>
      <c r="ZC134" s="562"/>
      <c r="ZD134" s="562"/>
      <c r="ZE134" s="562"/>
      <c r="ZF134" s="562"/>
      <c r="ZG134" s="562"/>
      <c r="ZH134" s="562"/>
      <c r="ZI134" s="562"/>
      <c r="ZJ134" s="562"/>
      <c r="ZK134" s="562"/>
      <c r="ZL134" s="562"/>
      <c r="ZM134" s="562"/>
      <c r="ZN134" s="562"/>
      <c r="ZO134" s="562"/>
      <c r="ZP134" s="562"/>
      <c r="ZQ134" s="562"/>
      <c r="ZR134" s="562"/>
      <c r="ZS134" s="562"/>
      <c r="ZT134" s="562"/>
      <c r="ZU134" s="562"/>
      <c r="ZV134" s="562"/>
      <c r="ZW134" s="562"/>
      <c r="ZX134" s="562"/>
      <c r="ZY134" s="562"/>
      <c r="ZZ134" s="562"/>
      <c r="AAA134" s="562"/>
      <c r="AAB134" s="562"/>
      <c r="AAC134" s="562"/>
      <c r="AAD134" s="562"/>
      <c r="AAE134" s="562"/>
      <c r="AAF134" s="562"/>
      <c r="AAG134" s="562"/>
      <c r="AAH134" s="562"/>
      <c r="AAI134" s="562"/>
      <c r="AAJ134" s="562"/>
      <c r="AAK134" s="562"/>
      <c r="AAL134" s="562"/>
      <c r="AAM134" s="562"/>
      <c r="AAN134" s="562"/>
      <c r="AAO134" s="562"/>
      <c r="AAP134" s="562"/>
      <c r="AAQ134" s="562"/>
      <c r="AAR134" s="562"/>
      <c r="AAS134" s="562"/>
      <c r="AAT134" s="562"/>
      <c r="AAU134" s="562"/>
      <c r="AAV134" s="562"/>
      <c r="AAW134" s="562"/>
      <c r="AAX134" s="562"/>
      <c r="AAY134" s="562"/>
      <c r="AAZ134" s="562"/>
      <c r="ABA134" s="562"/>
      <c r="ABB134" s="562"/>
      <c r="ABC134" s="562"/>
      <c r="ABD134" s="562"/>
      <c r="ABE134" s="562"/>
      <c r="ABF134" s="562"/>
      <c r="ABG134" s="562"/>
      <c r="ABH134" s="562"/>
      <c r="ABI134" s="562"/>
      <c r="ABJ134" s="562"/>
      <c r="ABK134" s="562"/>
      <c r="ABL134" s="562"/>
      <c r="ABM134" s="562"/>
      <c r="ABN134" s="562"/>
      <c r="ABO134" s="562"/>
      <c r="ABP134" s="562"/>
      <c r="ABQ134" s="562"/>
      <c r="ABR134" s="562"/>
      <c r="ABS134" s="562"/>
      <c r="ABT134" s="562"/>
      <c r="ABU134" s="562"/>
      <c r="ABV134" s="562"/>
      <c r="ABW134" s="562"/>
      <c r="ABX134" s="562"/>
      <c r="ABY134" s="562"/>
      <c r="ABZ134" s="562"/>
      <c r="ACA134" s="562"/>
      <c r="ACB134" s="562"/>
      <c r="ACC134" s="562"/>
      <c r="ACD134" s="562"/>
      <c r="ACE134" s="562"/>
      <c r="ACF134" s="562"/>
      <c r="ACG134" s="562"/>
      <c r="ACH134" s="562"/>
      <c r="ACI134" s="562"/>
      <c r="ACJ134" s="562"/>
      <c r="ACK134" s="562"/>
      <c r="ACL134" s="562"/>
      <c r="ACM134" s="562"/>
      <c r="ACN134" s="562"/>
      <c r="ACO134" s="562"/>
      <c r="ACP134" s="562"/>
      <c r="ACQ134" s="562"/>
      <c r="ACR134" s="562"/>
      <c r="ACS134" s="562"/>
      <c r="ACT134" s="562"/>
      <c r="ACU134" s="562"/>
      <c r="ACV134" s="562"/>
      <c r="ACW134" s="562"/>
      <c r="ACX134" s="562"/>
      <c r="ACY134" s="562"/>
      <c r="ACZ134" s="562"/>
      <c r="ADA134" s="562"/>
      <c r="ADB134" s="562"/>
      <c r="ADC134" s="562"/>
      <c r="ADD134" s="562"/>
      <c r="ADE134" s="562"/>
      <c r="ADF134" s="562"/>
      <c r="ADG134" s="562"/>
      <c r="ADH134" s="562"/>
      <c r="ADI134" s="562"/>
      <c r="ADJ134" s="562"/>
      <c r="ADK134" s="562"/>
      <c r="ADL134" s="562"/>
      <c r="ADM134" s="562"/>
      <c r="ADN134" s="562"/>
      <c r="ADO134" s="562"/>
      <c r="ADP134" s="562"/>
      <c r="ADQ134" s="562"/>
      <c r="ADR134" s="562"/>
      <c r="ADS134" s="562"/>
      <c r="ADT134" s="562"/>
      <c r="ADU134" s="562"/>
      <c r="ADV134" s="562"/>
      <c r="ADW134" s="562"/>
      <c r="ADX134" s="562"/>
      <c r="ADY134" s="562"/>
      <c r="ADZ134" s="562"/>
      <c r="AEA134" s="562"/>
      <c r="AEB134" s="562"/>
      <c r="AEC134" s="562"/>
      <c r="AED134" s="562"/>
      <c r="AEE134" s="562"/>
      <c r="AEF134" s="562"/>
      <c r="AEG134" s="562"/>
      <c r="AEH134" s="562"/>
      <c r="AEI134" s="562"/>
      <c r="AEJ134" s="562"/>
      <c r="AEK134" s="562"/>
      <c r="AEL134" s="562"/>
      <c r="AEM134" s="562"/>
      <c r="AEN134" s="562"/>
      <c r="AEO134" s="562"/>
      <c r="AEP134" s="562"/>
      <c r="AEQ134" s="562"/>
      <c r="AER134" s="562"/>
      <c r="AES134" s="562"/>
      <c r="AET134" s="562"/>
      <c r="AEU134" s="562"/>
      <c r="AEV134" s="562"/>
      <c r="AEW134" s="562"/>
      <c r="AEX134" s="562"/>
      <c r="AEY134" s="562"/>
      <c r="AEZ134" s="562"/>
      <c r="AFA134" s="562"/>
      <c r="AFB134" s="562"/>
      <c r="AFC134" s="562"/>
      <c r="AFD134" s="562"/>
      <c r="AFE134" s="562"/>
      <c r="AFF134" s="562"/>
      <c r="AFG134" s="562"/>
      <c r="AFH134" s="562"/>
      <c r="AFI134" s="562"/>
      <c r="AFJ134" s="562"/>
      <c r="AFK134" s="562"/>
      <c r="AFL134" s="562"/>
      <c r="AFM134" s="562"/>
      <c r="AFN134" s="562"/>
      <c r="AFO134" s="562"/>
      <c r="AFP134" s="562"/>
      <c r="AFQ134" s="562"/>
      <c r="AFR134" s="562"/>
      <c r="AFS134" s="562"/>
      <c r="AFT134" s="562"/>
      <c r="AFU134" s="562"/>
      <c r="AFV134" s="562"/>
      <c r="AFW134" s="562"/>
      <c r="AFX134" s="562"/>
      <c r="AFY134" s="562"/>
      <c r="AFZ134" s="562"/>
      <c r="AGA134" s="562"/>
      <c r="AGB134" s="562"/>
      <c r="AGC134" s="562"/>
      <c r="AGD134" s="562"/>
      <c r="AGE134" s="562"/>
      <c r="AGF134" s="562"/>
      <c r="AGG134" s="562"/>
      <c r="AGH134" s="562"/>
      <c r="AGI134" s="562"/>
      <c r="AGJ134" s="562"/>
      <c r="AGK134" s="562"/>
      <c r="AGL134" s="562"/>
      <c r="AGM134" s="562"/>
      <c r="AGN134" s="562"/>
      <c r="AGO134" s="562"/>
      <c r="AGP134" s="562"/>
      <c r="AGQ134" s="562"/>
      <c r="AGR134" s="562"/>
      <c r="AGS134" s="562"/>
      <c r="AGT134" s="562"/>
      <c r="AGU134" s="562"/>
      <c r="AGV134" s="562"/>
      <c r="AGW134" s="562"/>
      <c r="AGX134" s="562"/>
      <c r="AGY134" s="562"/>
      <c r="AGZ134" s="562"/>
      <c r="AHA134" s="562"/>
      <c r="AHB134" s="562"/>
      <c r="AHC134" s="562"/>
      <c r="AHD134" s="562"/>
      <c r="AHE134" s="562"/>
      <c r="AHF134" s="562"/>
      <c r="AHG134" s="562"/>
      <c r="AHH134" s="562"/>
      <c r="AHI134" s="562"/>
      <c r="AHJ134" s="562"/>
      <c r="AHK134" s="562"/>
      <c r="AHL134" s="562"/>
      <c r="AHM134" s="562"/>
      <c r="AHN134" s="562"/>
      <c r="AHO134" s="562"/>
      <c r="AHP134" s="562"/>
      <c r="AHQ134" s="562"/>
      <c r="AHR134" s="562"/>
      <c r="AHS134" s="562"/>
      <c r="AHT134" s="562"/>
      <c r="AHU134" s="562"/>
      <c r="AHV134" s="562"/>
      <c r="AHW134" s="562"/>
      <c r="AHX134" s="562"/>
      <c r="AHY134" s="562"/>
      <c r="AHZ134" s="562"/>
      <c r="AIA134" s="562"/>
      <c r="AIB134" s="562"/>
      <c r="AIC134" s="562"/>
      <c r="AID134" s="562"/>
      <c r="AIE134" s="562"/>
      <c r="AIF134" s="562"/>
      <c r="AIG134" s="562"/>
      <c r="AIH134" s="562"/>
      <c r="AII134" s="562"/>
      <c r="AIJ134" s="562"/>
      <c r="AIK134" s="562"/>
      <c r="AIL134" s="562"/>
      <c r="AIM134" s="562"/>
      <c r="AIN134" s="562"/>
      <c r="AIO134" s="562"/>
      <c r="AIP134" s="562"/>
      <c r="AIQ134" s="562"/>
      <c r="AIR134" s="562"/>
      <c r="AIS134" s="562"/>
      <c r="AIT134" s="562"/>
      <c r="AIU134" s="562"/>
      <c r="AIV134" s="562"/>
      <c r="AIW134" s="562"/>
      <c r="AIX134" s="562"/>
      <c r="AIY134" s="562"/>
      <c r="AIZ134" s="562"/>
      <c r="AJA134" s="562"/>
      <c r="AJB134" s="562"/>
      <c r="AJC134" s="562"/>
      <c r="AJD134" s="562"/>
      <c r="AJE134" s="562"/>
      <c r="AJF134" s="562"/>
      <c r="AJG134" s="562"/>
      <c r="AJH134" s="562"/>
      <c r="AJI134" s="562"/>
      <c r="AJJ134" s="562"/>
      <c r="AJK134" s="562"/>
      <c r="AJL134" s="562"/>
      <c r="AJM134" s="562"/>
      <c r="AJN134" s="562"/>
      <c r="AJO134" s="562"/>
      <c r="AJP134" s="562"/>
      <c r="AJQ134" s="562"/>
      <c r="AJR134" s="562"/>
      <c r="AJS134" s="562"/>
      <c r="AJT134" s="562"/>
      <c r="AJU134" s="562"/>
      <c r="AJV134" s="562"/>
      <c r="AJW134" s="562"/>
      <c r="AJX134" s="562"/>
      <c r="AJY134" s="562"/>
      <c r="AJZ134" s="562"/>
      <c r="AKA134" s="562"/>
      <c r="AKB134" s="562"/>
      <c r="AKC134" s="562"/>
      <c r="AKD134" s="562"/>
      <c r="AKE134" s="562"/>
      <c r="AKF134" s="562"/>
      <c r="AKG134" s="562"/>
      <c r="AKH134" s="562"/>
      <c r="AKI134" s="562"/>
      <c r="AKJ134" s="562"/>
      <c r="AKK134" s="562"/>
      <c r="AKL134" s="562"/>
      <c r="AKM134" s="562"/>
      <c r="AKN134" s="562"/>
      <c r="AKO134" s="562"/>
      <c r="AKP134" s="562"/>
      <c r="AKQ134" s="562"/>
      <c r="AKR134" s="562"/>
      <c r="AKS134" s="562"/>
      <c r="AKT134" s="562"/>
      <c r="AKU134" s="562"/>
      <c r="AKV134" s="562"/>
      <c r="AKW134" s="562"/>
      <c r="AKX134" s="562"/>
      <c r="AKY134" s="562"/>
      <c r="AKZ134" s="562"/>
      <c r="ALA134" s="562"/>
      <c r="ALB134" s="562"/>
      <c r="ALC134" s="562"/>
      <c r="ALD134" s="562"/>
      <c r="ALE134" s="562"/>
      <c r="ALF134" s="562"/>
      <c r="ALG134" s="562"/>
      <c r="ALH134" s="562"/>
      <c r="ALI134" s="562"/>
      <c r="ALJ134" s="562"/>
      <c r="ALK134" s="562"/>
      <c r="ALL134" s="562"/>
      <c r="ALM134" s="562"/>
      <c r="ALN134" s="562"/>
      <c r="ALO134" s="562"/>
      <c r="ALP134" s="562"/>
      <c r="ALQ134" s="562"/>
      <c r="ALR134" s="562"/>
      <c r="ALS134" s="562"/>
      <c r="ALT134" s="562"/>
      <c r="ALU134" s="562"/>
      <c r="ALV134" s="562"/>
      <c r="ALW134" s="562"/>
      <c r="ALX134" s="562"/>
      <c r="ALY134" s="562"/>
      <c r="ALZ134" s="562"/>
      <c r="AMA134" s="562"/>
      <c r="AMB134" s="562"/>
      <c r="AMC134" s="562"/>
      <c r="AMD134" s="562"/>
      <c r="AME134" s="562"/>
      <c r="AMF134" s="562"/>
      <c r="AMG134" s="562"/>
      <c r="AMH134" s="562"/>
      <c r="AMI134" s="562"/>
      <c r="AMJ134" s="562"/>
      <c r="AMK134" s="562"/>
      <c r="AML134" s="562"/>
      <c r="AMM134" s="562"/>
      <c r="AMN134" s="562"/>
      <c r="AMO134" s="562"/>
      <c r="AMP134" s="562"/>
      <c r="AMQ134" s="562"/>
      <c r="AMR134" s="562"/>
      <c r="AMS134" s="562"/>
      <c r="AMT134" s="562"/>
      <c r="AMU134" s="562"/>
      <c r="AMV134" s="562"/>
      <c r="AMW134" s="562"/>
      <c r="AMX134" s="562"/>
      <c r="AMY134" s="562"/>
      <c r="AMZ134" s="562"/>
      <c r="ANA134" s="562"/>
      <c r="ANB134" s="562"/>
      <c r="ANC134" s="562"/>
      <c r="AND134" s="562"/>
      <c r="ANE134" s="562"/>
      <c r="ANF134" s="562"/>
      <c r="ANG134" s="562"/>
      <c r="ANH134" s="562"/>
      <c r="ANI134" s="562"/>
      <c r="ANJ134" s="562"/>
      <c r="ANK134" s="562"/>
      <c r="ANL134" s="562"/>
      <c r="ANM134" s="562"/>
      <c r="ANN134" s="562"/>
      <c r="ANO134" s="562"/>
      <c r="ANP134" s="562"/>
      <c r="ANQ134" s="562"/>
      <c r="ANR134" s="562"/>
      <c r="ANS134" s="562"/>
      <c r="ANT134" s="562"/>
      <c r="ANU134" s="562"/>
      <c r="ANV134" s="562"/>
      <c r="ANW134" s="562"/>
      <c r="ANX134" s="562"/>
      <c r="ANY134" s="562"/>
      <c r="ANZ134" s="562"/>
      <c r="AOA134" s="562"/>
      <c r="AOB134" s="562"/>
      <c r="AOC134" s="562"/>
      <c r="AOD134" s="562"/>
      <c r="AOE134" s="562"/>
      <c r="AOF134" s="562"/>
      <c r="AOG134" s="562"/>
      <c r="AOH134" s="562"/>
      <c r="AOI134" s="562"/>
      <c r="AOJ134" s="562"/>
      <c r="AOK134" s="562"/>
      <c r="AOL134" s="562"/>
      <c r="AOM134" s="562"/>
      <c r="AON134" s="562"/>
      <c r="AOO134" s="562"/>
      <c r="AOP134" s="562"/>
      <c r="AOQ134" s="562"/>
      <c r="AOR134" s="562"/>
      <c r="AOS134" s="562"/>
      <c r="AOT134" s="562"/>
      <c r="AOU134" s="562"/>
      <c r="AOV134" s="562"/>
      <c r="AOW134" s="562"/>
      <c r="AOX134" s="562"/>
      <c r="AOY134" s="562"/>
      <c r="AOZ134" s="562"/>
      <c r="APA134" s="562"/>
      <c r="APB134" s="562"/>
      <c r="APC134" s="562"/>
      <c r="APD134" s="562"/>
      <c r="APE134" s="562"/>
      <c r="APF134" s="562"/>
      <c r="APG134" s="562"/>
      <c r="APH134" s="562"/>
      <c r="API134" s="562"/>
      <c r="APJ134" s="562"/>
      <c r="APK134" s="562"/>
      <c r="APL134" s="562"/>
      <c r="APM134" s="562"/>
      <c r="APN134" s="562"/>
      <c r="APO134" s="562"/>
      <c r="APP134" s="562"/>
      <c r="APQ134" s="562"/>
      <c r="APR134" s="562"/>
      <c r="APS134" s="562"/>
      <c r="APT134" s="562"/>
      <c r="APU134" s="562"/>
      <c r="APV134" s="562"/>
      <c r="APW134" s="562"/>
      <c r="APX134" s="562"/>
      <c r="APY134" s="562"/>
      <c r="APZ134" s="562"/>
      <c r="AQA134" s="562"/>
      <c r="AQB134" s="562"/>
      <c r="AQC134" s="562"/>
      <c r="AQD134" s="562"/>
      <c r="AQE134" s="562"/>
      <c r="AQF134" s="562"/>
      <c r="AQG134" s="562"/>
      <c r="AQH134" s="562"/>
      <c r="AQI134" s="562"/>
      <c r="AQJ134" s="562"/>
      <c r="AQK134" s="562"/>
      <c r="AQL134" s="562"/>
      <c r="AQM134" s="562"/>
      <c r="AQN134" s="562"/>
      <c r="AQO134" s="562"/>
      <c r="AQP134" s="562"/>
      <c r="AQQ134" s="562"/>
      <c r="AQR134" s="562"/>
      <c r="AQS134" s="562"/>
      <c r="AQT134" s="562"/>
      <c r="AQU134" s="562"/>
      <c r="AQV134" s="562"/>
      <c r="AQW134" s="562"/>
      <c r="AQX134" s="562"/>
      <c r="AQY134" s="562"/>
      <c r="AQZ134" s="562"/>
      <c r="ARA134" s="562"/>
      <c r="ARB134" s="562"/>
      <c r="ARC134" s="562"/>
      <c r="ARD134" s="562"/>
      <c r="ARE134" s="562"/>
      <c r="ARF134" s="562"/>
      <c r="ARG134" s="562"/>
      <c r="ARH134" s="562"/>
      <c r="ARI134" s="562"/>
      <c r="ARJ134" s="562"/>
      <c r="ARK134" s="562"/>
      <c r="ARL134" s="562"/>
      <c r="ARM134" s="562"/>
      <c r="ARN134" s="562"/>
      <c r="ARO134" s="562"/>
      <c r="ARP134" s="562"/>
      <c r="ARQ134" s="562"/>
      <c r="ARR134" s="562"/>
      <c r="ARS134" s="562"/>
      <c r="ART134" s="562"/>
      <c r="ARU134" s="562"/>
      <c r="ARV134" s="562"/>
      <c r="ARW134" s="562"/>
      <c r="ARX134" s="562"/>
      <c r="ARY134" s="562"/>
      <c r="ARZ134" s="562"/>
      <c r="ASA134" s="562"/>
      <c r="ASB134" s="562"/>
      <c r="ASC134" s="562"/>
      <c r="ASD134" s="562"/>
      <c r="ASE134" s="562"/>
      <c r="ASF134" s="562"/>
      <c r="ASG134" s="562"/>
      <c r="ASH134" s="562"/>
      <c r="ASI134" s="562"/>
      <c r="ASJ134" s="562"/>
      <c r="ASK134" s="562"/>
      <c r="ASL134" s="562"/>
      <c r="ASM134" s="562"/>
      <c r="ASN134" s="562"/>
      <c r="ASO134" s="562"/>
      <c r="ASP134" s="562"/>
      <c r="ASQ134" s="562"/>
      <c r="ASR134" s="562"/>
      <c r="ASS134" s="562"/>
      <c r="AST134" s="562"/>
      <c r="ASU134" s="562"/>
      <c r="ASV134" s="562"/>
      <c r="ASW134" s="562"/>
      <c r="ASX134" s="562"/>
      <c r="ASY134" s="562"/>
      <c r="ASZ134" s="562"/>
      <c r="ATA134" s="562"/>
      <c r="ATB134" s="562"/>
      <c r="ATC134" s="562"/>
      <c r="ATD134" s="562"/>
      <c r="ATE134" s="562"/>
      <c r="ATF134" s="562"/>
      <c r="ATG134" s="562"/>
      <c r="ATH134" s="562"/>
      <c r="ATI134" s="562"/>
      <c r="ATJ134" s="562"/>
      <c r="ATK134" s="562"/>
      <c r="ATL134" s="562"/>
      <c r="ATM134" s="562"/>
      <c r="ATN134" s="562"/>
      <c r="ATO134" s="562"/>
      <c r="ATP134" s="562"/>
      <c r="ATQ134" s="562"/>
      <c r="ATR134" s="562"/>
      <c r="ATS134" s="562"/>
      <c r="ATT134" s="562"/>
      <c r="ATU134" s="562"/>
      <c r="ATV134" s="562"/>
      <c r="ATW134" s="562"/>
      <c r="ATX134" s="562"/>
      <c r="ATY134" s="562"/>
      <c r="ATZ134" s="562"/>
      <c r="AUA134" s="562"/>
      <c r="AUB134" s="562"/>
      <c r="AUC134" s="562"/>
      <c r="AUD134" s="562"/>
      <c r="AUE134" s="562"/>
      <c r="AUF134" s="562"/>
      <c r="AUG134" s="562"/>
      <c r="AUH134" s="562"/>
      <c r="AUI134" s="562"/>
      <c r="AUJ134" s="562"/>
      <c r="AUK134" s="562"/>
      <c r="AUL134" s="562"/>
      <c r="AUM134" s="562"/>
      <c r="AUN134" s="562"/>
      <c r="AUO134" s="562"/>
      <c r="AUP134" s="562"/>
      <c r="AUQ134" s="562"/>
      <c r="AUR134" s="562"/>
      <c r="AUS134" s="562"/>
      <c r="AUT134" s="562"/>
      <c r="AUU134" s="562"/>
      <c r="AUV134" s="562"/>
      <c r="AUW134" s="562"/>
      <c r="AUX134" s="562"/>
      <c r="AUY134" s="562"/>
      <c r="AUZ134" s="562"/>
      <c r="AVA134" s="562"/>
      <c r="AVB134" s="562"/>
      <c r="AVC134" s="562"/>
      <c r="AVD134" s="562"/>
      <c r="AVE134" s="562"/>
      <c r="AVF134" s="562"/>
      <c r="AVG134" s="562"/>
      <c r="AVH134" s="562"/>
      <c r="AVI134" s="562"/>
      <c r="AVJ134" s="562"/>
      <c r="AVK134" s="562"/>
      <c r="AVL134" s="562"/>
      <c r="AVM134" s="562"/>
      <c r="AVN134" s="562"/>
      <c r="AVO134" s="562"/>
      <c r="AVP134" s="562"/>
      <c r="AVQ134" s="562"/>
      <c r="AVR134" s="562"/>
      <c r="AVS134" s="562"/>
      <c r="AVT134" s="562"/>
      <c r="AVU134" s="562"/>
      <c r="AVV134" s="562"/>
      <c r="AVW134" s="562"/>
      <c r="AVX134" s="562"/>
      <c r="AVY134" s="562"/>
      <c r="AVZ134" s="562"/>
      <c r="AWA134" s="562"/>
      <c r="AWB134" s="562"/>
      <c r="AWC134" s="562"/>
      <c r="AWD134" s="562"/>
      <c r="AWE134" s="562"/>
      <c r="AWF134" s="562"/>
      <c r="AWG134" s="562"/>
      <c r="AWH134" s="562"/>
      <c r="AWI134" s="562"/>
      <c r="AWJ134" s="562"/>
      <c r="AWK134" s="562"/>
      <c r="AWL134" s="562"/>
      <c r="AWM134" s="562"/>
      <c r="AWN134" s="562"/>
      <c r="AWO134" s="562"/>
      <c r="AWP134" s="562"/>
      <c r="AWQ134" s="562"/>
      <c r="AWR134" s="562"/>
      <c r="AWS134" s="562"/>
      <c r="AWT134" s="562"/>
      <c r="AWU134" s="562"/>
      <c r="AWV134" s="562"/>
      <c r="AWW134" s="562"/>
      <c r="AWX134" s="562"/>
      <c r="AWY134" s="562"/>
      <c r="AWZ134" s="562"/>
      <c r="AXA134" s="562"/>
      <c r="AXB134" s="562"/>
      <c r="AXC134" s="562"/>
      <c r="AXD134" s="562"/>
      <c r="AXE134" s="562"/>
      <c r="AXF134" s="562"/>
      <c r="AXG134" s="562"/>
      <c r="AXH134" s="562"/>
      <c r="AXI134" s="562"/>
      <c r="AXJ134" s="562"/>
      <c r="AXK134" s="562"/>
      <c r="AXL134" s="562"/>
      <c r="AXM134" s="562"/>
      <c r="AXN134" s="562"/>
      <c r="AXO134" s="562"/>
      <c r="AXP134" s="562"/>
      <c r="AXQ134" s="562"/>
      <c r="AXR134" s="562"/>
      <c r="AXS134" s="562"/>
      <c r="AXT134" s="562"/>
      <c r="AXU134" s="562"/>
      <c r="AXV134" s="562"/>
      <c r="AXW134" s="562"/>
      <c r="AXX134" s="562"/>
      <c r="AXY134" s="562"/>
      <c r="AXZ134" s="562"/>
      <c r="AYA134" s="562"/>
      <c r="AYB134" s="562"/>
      <c r="AYC134" s="562"/>
      <c r="AYD134" s="562"/>
      <c r="AYE134" s="562"/>
      <c r="AYF134" s="562"/>
      <c r="AYG134" s="562"/>
      <c r="AYH134" s="562"/>
      <c r="AYI134" s="562"/>
      <c r="AYJ134" s="562"/>
      <c r="AYK134" s="562"/>
      <c r="AYL134" s="562"/>
      <c r="AYM134" s="562"/>
      <c r="AYN134" s="562"/>
      <c r="AYO134" s="562"/>
      <c r="AYP134" s="562"/>
      <c r="AYQ134" s="562"/>
      <c r="AYR134" s="562"/>
      <c r="AYS134" s="562"/>
      <c r="AYT134" s="562"/>
      <c r="AYU134" s="562"/>
      <c r="AYV134" s="562"/>
      <c r="AYW134" s="562"/>
      <c r="AYX134" s="562"/>
      <c r="AYY134" s="562"/>
      <c r="AYZ134" s="562"/>
      <c r="AZA134" s="562"/>
      <c r="AZB134" s="562"/>
      <c r="AZC134" s="562"/>
      <c r="AZD134" s="562"/>
      <c r="AZE134" s="562"/>
      <c r="AZF134" s="562"/>
      <c r="AZG134" s="562"/>
      <c r="AZH134" s="562"/>
      <c r="AZI134" s="562"/>
      <c r="AZJ134" s="562"/>
      <c r="AZK134" s="562"/>
      <c r="AZL134" s="562"/>
      <c r="AZM134" s="562"/>
      <c r="AZN134" s="562"/>
      <c r="AZO134" s="562"/>
      <c r="AZP134" s="562"/>
      <c r="AZQ134" s="562"/>
      <c r="AZR134" s="562"/>
      <c r="AZS134" s="562"/>
      <c r="AZT134" s="562"/>
      <c r="AZU134" s="562"/>
      <c r="AZV134" s="562"/>
      <c r="AZW134" s="562"/>
      <c r="AZX134" s="562"/>
      <c r="AZY134" s="562"/>
      <c r="AZZ134" s="562"/>
      <c r="BAA134" s="562"/>
      <c r="BAB134" s="562"/>
      <c r="BAC134" s="562"/>
      <c r="BAD134" s="562"/>
      <c r="BAE134" s="562"/>
      <c r="BAF134" s="562"/>
      <c r="BAG134" s="562"/>
      <c r="BAH134" s="562"/>
      <c r="BAI134" s="562"/>
      <c r="BAJ134" s="562"/>
      <c r="BAK134" s="562"/>
      <c r="BAL134" s="562"/>
      <c r="BAM134" s="562"/>
      <c r="BAN134" s="562"/>
      <c r="BAO134" s="562"/>
      <c r="BAP134" s="562"/>
      <c r="BAQ134" s="562"/>
      <c r="BAR134" s="562"/>
      <c r="BAS134" s="562"/>
      <c r="BAT134" s="562"/>
      <c r="BAU134" s="562"/>
      <c r="BAV134" s="562"/>
      <c r="BAW134" s="562"/>
      <c r="BAX134" s="562"/>
      <c r="BAY134" s="562"/>
      <c r="BAZ134" s="562"/>
      <c r="BBA134" s="562"/>
      <c r="BBB134" s="562"/>
      <c r="BBC134" s="562"/>
      <c r="BBD134" s="562"/>
      <c r="BBE134" s="562"/>
      <c r="BBF134" s="562"/>
      <c r="BBG134" s="562"/>
      <c r="BBH134" s="562"/>
      <c r="BBI134" s="562"/>
      <c r="BBJ134" s="562"/>
      <c r="BBK134" s="562"/>
      <c r="BBL134" s="562"/>
      <c r="BBM134" s="562"/>
      <c r="BBN134" s="562"/>
      <c r="BBO134" s="562"/>
      <c r="BBP134" s="562"/>
      <c r="BBQ134" s="562"/>
      <c r="BBR134" s="562"/>
      <c r="BBS134" s="562"/>
      <c r="BBT134" s="562"/>
      <c r="BBU134" s="562"/>
      <c r="BBV134" s="562"/>
      <c r="BBW134" s="562"/>
      <c r="BBX134" s="562"/>
      <c r="BBY134" s="562"/>
      <c r="BBZ134" s="562"/>
      <c r="BCA134" s="562"/>
      <c r="BCB134" s="562"/>
      <c r="BCC134" s="562"/>
      <c r="BCD134" s="562"/>
      <c r="BCE134" s="562"/>
      <c r="BCF134" s="562"/>
      <c r="BCG134" s="562"/>
      <c r="BCH134" s="562"/>
      <c r="BCI134" s="562"/>
      <c r="BCJ134" s="562"/>
      <c r="BCK134" s="562"/>
      <c r="BCL134" s="562"/>
      <c r="BCM134" s="562"/>
      <c r="BCN134" s="562"/>
      <c r="BCO134" s="562"/>
      <c r="BCP134" s="562"/>
      <c r="BCQ134" s="562"/>
      <c r="BCR134" s="562"/>
      <c r="BCS134" s="562"/>
      <c r="BCT134" s="562"/>
      <c r="BCU134" s="562"/>
      <c r="BCV134" s="562"/>
      <c r="BCW134" s="562"/>
      <c r="BCX134" s="562"/>
      <c r="BCY134" s="562"/>
      <c r="BCZ134" s="562"/>
      <c r="BDA134" s="562"/>
      <c r="BDB134" s="562"/>
      <c r="BDC134" s="562"/>
      <c r="BDD134" s="562"/>
      <c r="BDE134" s="562"/>
      <c r="BDF134" s="562"/>
      <c r="BDG134" s="562"/>
      <c r="BDH134" s="562"/>
      <c r="BDI134" s="562"/>
      <c r="BDJ134" s="562"/>
      <c r="BDK134" s="562"/>
      <c r="BDL134" s="562"/>
      <c r="BDM134" s="562"/>
      <c r="BDN134" s="562"/>
      <c r="BDO134" s="562"/>
      <c r="BDP134" s="562"/>
      <c r="BDQ134" s="562"/>
      <c r="BDR134" s="562"/>
      <c r="BDS134" s="562"/>
      <c r="BDT134" s="562"/>
      <c r="BDU134" s="562"/>
      <c r="BDV134" s="562"/>
      <c r="BDW134" s="562"/>
      <c r="BDX134" s="562"/>
      <c r="BDY134" s="562"/>
      <c r="BDZ134" s="562"/>
      <c r="BEA134" s="562"/>
      <c r="BEB134" s="562"/>
      <c r="BEC134" s="562"/>
      <c r="BED134" s="562"/>
      <c r="BEE134" s="562"/>
      <c r="BEF134" s="562"/>
      <c r="BEG134" s="562"/>
      <c r="BEH134" s="562"/>
      <c r="BEI134" s="562"/>
      <c r="BEJ134" s="562"/>
      <c r="BEK134" s="562"/>
      <c r="BEL134" s="562"/>
      <c r="BEM134" s="562"/>
      <c r="BEN134" s="562"/>
      <c r="BEO134" s="562"/>
      <c r="BEP134" s="562"/>
      <c r="BEQ134" s="562"/>
      <c r="BER134" s="562"/>
      <c r="BES134" s="562"/>
      <c r="BET134" s="562"/>
      <c r="BEU134" s="562"/>
      <c r="BEV134" s="562"/>
      <c r="BEW134" s="562"/>
      <c r="BEX134" s="562"/>
      <c r="BEY134" s="562"/>
      <c r="BEZ134" s="562"/>
      <c r="BFA134" s="562"/>
      <c r="BFB134" s="562"/>
      <c r="BFC134" s="562"/>
      <c r="BFD134" s="562"/>
      <c r="BFE134" s="562"/>
      <c r="BFF134" s="562"/>
      <c r="BFG134" s="562"/>
      <c r="BFH134" s="562"/>
      <c r="BFI134" s="562"/>
      <c r="BFJ134" s="562"/>
      <c r="BFK134" s="562"/>
      <c r="BFL134" s="562"/>
      <c r="BFM134" s="562"/>
      <c r="BFN134" s="562"/>
      <c r="BFO134" s="562"/>
      <c r="BFP134" s="562"/>
      <c r="BFQ134" s="562"/>
      <c r="BFR134" s="562"/>
      <c r="BFS134" s="562"/>
      <c r="BFT134" s="562"/>
      <c r="BFU134" s="562"/>
      <c r="BFV134" s="562"/>
      <c r="BFW134" s="562"/>
      <c r="BFX134" s="562"/>
      <c r="BFY134" s="562"/>
      <c r="BFZ134" s="562"/>
      <c r="BGA134" s="562"/>
      <c r="BGB134" s="562"/>
      <c r="BGC134" s="562"/>
      <c r="BGD134" s="562"/>
      <c r="BGE134" s="562"/>
      <c r="BGF134" s="562"/>
      <c r="BGG134" s="562"/>
      <c r="BGH134" s="562"/>
      <c r="BGI134" s="562"/>
      <c r="BGJ134" s="562"/>
      <c r="BGK134" s="562"/>
      <c r="BGL134" s="562"/>
      <c r="BGM134" s="562"/>
      <c r="BGN134" s="562"/>
      <c r="BGO134" s="562"/>
      <c r="BGP134" s="562"/>
      <c r="BGQ134" s="562"/>
      <c r="BGR134" s="562"/>
      <c r="BGS134" s="562"/>
      <c r="BGT134" s="562"/>
      <c r="BGU134" s="562"/>
      <c r="BGV134" s="562"/>
      <c r="BGW134" s="562"/>
      <c r="BGX134" s="562"/>
      <c r="BGY134" s="562"/>
      <c r="BGZ134" s="562"/>
      <c r="BHA134" s="562"/>
      <c r="BHB134" s="562"/>
      <c r="BHC134" s="562"/>
      <c r="BHD134" s="562"/>
      <c r="BHE134" s="562"/>
      <c r="BHF134" s="562"/>
      <c r="BHG134" s="562"/>
      <c r="BHH134" s="562"/>
      <c r="BHI134" s="562"/>
      <c r="BHJ134" s="562"/>
      <c r="BHK134" s="562"/>
      <c r="BHL134" s="562"/>
      <c r="BHM134" s="562"/>
      <c r="BHN134" s="562"/>
      <c r="BHO134" s="562"/>
      <c r="BHP134" s="562"/>
      <c r="BHQ134" s="562"/>
      <c r="BHR134" s="562"/>
      <c r="BHS134" s="562"/>
      <c r="BHT134" s="562"/>
      <c r="BHU134" s="562"/>
      <c r="BHV134" s="562"/>
      <c r="BHW134" s="562"/>
      <c r="BHX134" s="562"/>
      <c r="BHY134" s="562"/>
      <c r="BHZ134" s="562"/>
      <c r="BIA134" s="562"/>
      <c r="BIB134" s="562"/>
      <c r="BIC134" s="562"/>
      <c r="BID134" s="562"/>
      <c r="BIE134" s="562"/>
      <c r="BIF134" s="562"/>
      <c r="BIG134" s="562"/>
      <c r="BIH134" s="562"/>
      <c r="BII134" s="562"/>
      <c r="BIJ134" s="562"/>
      <c r="BIK134" s="562"/>
      <c r="BIL134" s="562"/>
      <c r="BIM134" s="562"/>
      <c r="BIN134" s="562"/>
      <c r="BIO134" s="562"/>
      <c r="BIP134" s="562"/>
      <c r="BIQ134" s="562"/>
      <c r="BIR134" s="562"/>
      <c r="BIS134" s="562"/>
      <c r="BIT134" s="562"/>
      <c r="BIU134" s="562"/>
      <c r="BIV134" s="562"/>
      <c r="BIW134" s="562"/>
      <c r="BIX134" s="562"/>
      <c r="BIY134" s="562"/>
      <c r="BIZ134" s="562"/>
      <c r="BJA134" s="562"/>
      <c r="BJB134" s="562"/>
      <c r="BJC134" s="562"/>
      <c r="BJD134" s="562"/>
      <c r="BJE134" s="562"/>
      <c r="BJF134" s="562"/>
      <c r="BJG134" s="562"/>
      <c r="BJH134" s="562"/>
      <c r="BJI134" s="562"/>
      <c r="BJJ134" s="562"/>
      <c r="BJK134" s="562"/>
      <c r="BJL134" s="562"/>
      <c r="BJM134" s="562"/>
      <c r="BJN134" s="562"/>
      <c r="BJO134" s="562"/>
      <c r="BJP134" s="562"/>
      <c r="BJQ134" s="562"/>
      <c r="BJR134" s="562"/>
      <c r="BJS134" s="562"/>
      <c r="BJT134" s="562"/>
      <c r="BJU134" s="562"/>
      <c r="BJV134" s="562"/>
      <c r="BJW134" s="562"/>
      <c r="BJX134" s="562"/>
      <c r="BJY134" s="562"/>
      <c r="BJZ134" s="562"/>
      <c r="BKA134" s="562"/>
      <c r="BKB134" s="562"/>
      <c r="BKC134" s="562"/>
      <c r="BKD134" s="562"/>
      <c r="BKE134" s="562"/>
      <c r="BKF134" s="562"/>
      <c r="BKG134" s="562"/>
      <c r="BKH134" s="562"/>
      <c r="BKI134" s="562"/>
      <c r="BKJ134" s="562"/>
      <c r="BKK134" s="562"/>
      <c r="BKL134" s="562"/>
      <c r="BKM134" s="562"/>
      <c r="BKN134" s="562"/>
      <c r="BKO134" s="562"/>
      <c r="BKP134" s="562"/>
      <c r="BKQ134" s="562"/>
      <c r="BKR134" s="562"/>
      <c r="BKS134" s="562"/>
      <c r="BKT134" s="562"/>
      <c r="BKU134" s="562"/>
      <c r="BKV134" s="562"/>
      <c r="BKW134" s="562"/>
      <c r="BKX134" s="562"/>
      <c r="BKY134" s="562"/>
      <c r="BKZ134" s="562"/>
      <c r="BLA134" s="562"/>
      <c r="BLB134" s="562"/>
      <c r="BLC134" s="562"/>
      <c r="BLD134" s="562"/>
      <c r="BLE134" s="562"/>
      <c r="BLF134" s="562"/>
      <c r="BLG134" s="562"/>
      <c r="BLH134" s="562"/>
      <c r="BLI134" s="562"/>
      <c r="BLJ134" s="562"/>
      <c r="BLK134" s="562"/>
      <c r="BLL134" s="562"/>
      <c r="BLM134" s="562"/>
      <c r="BLN134" s="562"/>
      <c r="BLO134" s="562"/>
      <c r="BLP134" s="562"/>
      <c r="BLQ134" s="562"/>
      <c r="BLR134" s="562"/>
      <c r="BLS134" s="562"/>
      <c r="BLT134" s="562"/>
      <c r="BLU134" s="562"/>
      <c r="BLV134" s="562"/>
      <c r="BLW134" s="562"/>
      <c r="BLX134" s="562"/>
      <c r="BLY134" s="562"/>
      <c r="BLZ134" s="562"/>
      <c r="BMA134" s="562"/>
      <c r="BMB134" s="562"/>
      <c r="BMC134" s="562"/>
      <c r="BMD134" s="562"/>
      <c r="BME134" s="562"/>
      <c r="BMF134" s="562"/>
      <c r="BMG134" s="562"/>
      <c r="BMH134" s="562"/>
      <c r="BMI134" s="562"/>
      <c r="BMJ134" s="562"/>
      <c r="BMK134" s="562"/>
      <c r="BML134" s="562"/>
      <c r="BMM134" s="562"/>
      <c r="BMN134" s="562"/>
      <c r="BMO134" s="562"/>
      <c r="BMP134" s="562"/>
      <c r="BMQ134" s="562"/>
      <c r="BMR134" s="562"/>
      <c r="BMS134" s="562"/>
      <c r="BMT134" s="562"/>
      <c r="BMU134" s="562"/>
      <c r="BMV134" s="562"/>
      <c r="BMW134" s="562"/>
      <c r="BMX134" s="562"/>
      <c r="BMY134" s="562"/>
      <c r="BMZ134" s="562"/>
      <c r="BNA134" s="562"/>
      <c r="BNB134" s="562"/>
      <c r="BNC134" s="562"/>
      <c r="BND134" s="562"/>
      <c r="BNE134" s="562"/>
      <c r="BNF134" s="562"/>
      <c r="BNG134" s="562"/>
      <c r="BNH134" s="562"/>
      <c r="BNI134" s="562"/>
      <c r="BNJ134" s="562"/>
      <c r="BNK134" s="562"/>
      <c r="BNL134" s="562"/>
      <c r="BNM134" s="562"/>
      <c r="BNN134" s="562"/>
      <c r="BNO134" s="562"/>
      <c r="BNP134" s="562"/>
      <c r="BNQ134" s="562"/>
      <c r="BNR134" s="562"/>
      <c r="BNS134" s="562"/>
      <c r="BNT134" s="562"/>
      <c r="BNU134" s="562"/>
      <c r="BNV134" s="562"/>
      <c r="BNW134" s="562"/>
      <c r="BNX134" s="562"/>
      <c r="BNY134" s="562"/>
      <c r="BNZ134" s="562"/>
      <c r="BOA134" s="562"/>
      <c r="BOB134" s="562"/>
      <c r="BOC134" s="562"/>
      <c r="BOD134" s="562"/>
      <c r="BOE134" s="562"/>
      <c r="BOF134" s="562"/>
      <c r="BOG134" s="562"/>
      <c r="BOH134" s="562"/>
      <c r="BOI134" s="562"/>
      <c r="BOJ134" s="562"/>
      <c r="BOK134" s="562"/>
      <c r="BOL134" s="562"/>
      <c r="BOM134" s="562"/>
      <c r="BON134" s="562"/>
      <c r="BOO134" s="562"/>
      <c r="BOP134" s="562"/>
      <c r="BOQ134" s="562"/>
      <c r="BOR134" s="562"/>
      <c r="BOS134" s="562"/>
      <c r="BOT134" s="562"/>
      <c r="BOU134" s="562"/>
      <c r="BOV134" s="562"/>
      <c r="BOW134" s="562"/>
      <c r="BOX134" s="562"/>
      <c r="BOY134" s="562"/>
      <c r="BOZ134" s="562"/>
      <c r="BPA134" s="562"/>
      <c r="BPB134" s="562"/>
      <c r="BPC134" s="562"/>
      <c r="BPD134" s="562"/>
      <c r="BPE134" s="562"/>
      <c r="BPF134" s="562"/>
      <c r="BPG134" s="562"/>
      <c r="BPH134" s="562"/>
      <c r="BPI134" s="562"/>
      <c r="BPJ134" s="562"/>
      <c r="BPK134" s="562"/>
      <c r="BPL134" s="562"/>
      <c r="BPM134" s="562"/>
      <c r="BPN134" s="562"/>
      <c r="BPO134" s="562"/>
      <c r="BPP134" s="562"/>
      <c r="BPQ134" s="562"/>
      <c r="BPR134" s="562"/>
      <c r="BPS134" s="562"/>
      <c r="BPT134" s="562"/>
      <c r="BPU134" s="562"/>
      <c r="BPV134" s="562"/>
      <c r="BPW134" s="562"/>
      <c r="BPX134" s="562"/>
      <c r="BPY134" s="562"/>
      <c r="BPZ134" s="562"/>
      <c r="BQA134" s="562"/>
      <c r="BQB134" s="562"/>
      <c r="BQC134" s="562"/>
      <c r="BQD134" s="562"/>
      <c r="BQE134" s="562"/>
      <c r="BQF134" s="562"/>
      <c r="BQG134" s="562"/>
      <c r="BQH134" s="562"/>
      <c r="BQI134" s="562"/>
      <c r="BQJ134" s="562"/>
      <c r="BQK134" s="562"/>
      <c r="BQL134" s="562"/>
      <c r="BQM134" s="562"/>
      <c r="BQN134" s="562"/>
      <c r="BQO134" s="562"/>
      <c r="BQP134" s="562"/>
      <c r="BQQ134" s="562"/>
      <c r="BQR134" s="562"/>
      <c r="BQS134" s="562"/>
      <c r="BQT134" s="562"/>
      <c r="BQU134" s="562"/>
      <c r="BQV134" s="562"/>
      <c r="BQW134" s="562"/>
      <c r="BQX134" s="562"/>
      <c r="BQY134" s="562"/>
      <c r="BQZ134" s="562"/>
      <c r="BRA134" s="562"/>
      <c r="BRB134" s="562"/>
      <c r="BRC134" s="562"/>
      <c r="BRD134" s="562"/>
      <c r="BRE134" s="562"/>
      <c r="BRF134" s="562"/>
      <c r="BRG134" s="562"/>
      <c r="BRH134" s="562"/>
      <c r="BRI134" s="562"/>
      <c r="BRJ134" s="562"/>
      <c r="BRK134" s="562"/>
      <c r="BRL134" s="562"/>
      <c r="BRM134" s="562"/>
      <c r="BRN134" s="562"/>
      <c r="BRO134" s="562"/>
      <c r="BRP134" s="562"/>
      <c r="BRQ134" s="562"/>
      <c r="BRR134" s="562"/>
      <c r="BRS134" s="562"/>
      <c r="BRT134" s="562"/>
      <c r="BRU134" s="562"/>
      <c r="BRV134" s="562"/>
      <c r="BRW134" s="562"/>
      <c r="BRX134" s="562"/>
      <c r="BRY134" s="562"/>
      <c r="BRZ134" s="562"/>
      <c r="BSA134" s="562"/>
      <c r="BSB134" s="562"/>
      <c r="BSC134" s="562"/>
      <c r="BSD134" s="562"/>
      <c r="BSE134" s="562"/>
      <c r="BSF134" s="562"/>
      <c r="BSG134" s="562"/>
      <c r="BSH134" s="562"/>
      <c r="BSI134" s="562"/>
      <c r="BSJ134" s="562"/>
      <c r="BSK134" s="562"/>
      <c r="BSL134" s="562"/>
      <c r="BSM134" s="562"/>
      <c r="BSN134" s="562"/>
      <c r="BSO134" s="562"/>
      <c r="BSP134" s="562"/>
      <c r="BSQ134" s="562"/>
      <c r="BSR134" s="562"/>
      <c r="BSS134" s="562"/>
      <c r="BST134" s="562"/>
      <c r="BSU134" s="562"/>
      <c r="BSV134" s="562"/>
      <c r="BSW134" s="562"/>
      <c r="BSX134" s="562"/>
      <c r="BSY134" s="562"/>
      <c r="BSZ134" s="562"/>
      <c r="BTA134" s="562"/>
      <c r="BTB134" s="562"/>
      <c r="BTC134" s="562"/>
      <c r="BTD134" s="562"/>
      <c r="BTE134" s="562"/>
      <c r="BTF134" s="562"/>
      <c r="BTG134" s="562"/>
      <c r="BTH134" s="562"/>
      <c r="BTI134" s="562"/>
      <c r="BTJ134" s="562"/>
      <c r="BTK134" s="562"/>
      <c r="BTL134" s="562"/>
      <c r="BTM134" s="562"/>
      <c r="BTN134" s="562"/>
      <c r="BTO134" s="562"/>
      <c r="BTP134" s="562"/>
      <c r="BTQ134" s="562"/>
      <c r="BTR134" s="562"/>
      <c r="BTS134" s="562"/>
      <c r="BTT134" s="562"/>
      <c r="BTU134" s="562"/>
      <c r="BTV134" s="562"/>
      <c r="BTW134" s="562"/>
      <c r="BTX134" s="562"/>
      <c r="BTY134" s="562"/>
      <c r="BTZ134" s="562"/>
      <c r="BUA134" s="562"/>
      <c r="BUB134" s="562"/>
      <c r="BUC134" s="562"/>
      <c r="BUD134" s="562"/>
      <c r="BUE134" s="562"/>
      <c r="BUF134" s="562"/>
      <c r="BUG134" s="562"/>
      <c r="BUH134" s="562"/>
      <c r="BUI134" s="562"/>
      <c r="BUJ134" s="562"/>
      <c r="BUK134" s="562"/>
      <c r="BUL134" s="562"/>
      <c r="BUM134" s="562"/>
      <c r="BUN134" s="562"/>
      <c r="BUO134" s="562"/>
      <c r="BUP134" s="562"/>
      <c r="BUQ134" s="562"/>
      <c r="BUR134" s="562"/>
      <c r="BUS134" s="562"/>
      <c r="BUT134" s="562"/>
      <c r="BUU134" s="562"/>
      <c r="BUV134" s="562"/>
      <c r="BUW134" s="562"/>
      <c r="BUX134" s="562"/>
      <c r="BUY134" s="562"/>
      <c r="BUZ134" s="562"/>
      <c r="BVA134" s="562"/>
      <c r="BVB134" s="562"/>
      <c r="BVC134" s="562"/>
      <c r="BVD134" s="562"/>
      <c r="BVE134" s="562"/>
      <c r="BVF134" s="562"/>
      <c r="BVG134" s="562"/>
      <c r="BVH134" s="562"/>
      <c r="BVI134" s="562"/>
      <c r="BVJ134" s="562"/>
      <c r="BVK134" s="562"/>
      <c r="BVL134" s="562"/>
      <c r="BVM134" s="562"/>
      <c r="BVN134" s="562"/>
      <c r="BVO134" s="562"/>
      <c r="BVP134" s="562"/>
      <c r="BVQ134" s="562"/>
      <c r="BVR134" s="562"/>
      <c r="BVS134" s="562"/>
      <c r="BVT134" s="562"/>
      <c r="BVU134" s="562"/>
      <c r="BVV134" s="562"/>
      <c r="BVW134" s="562"/>
      <c r="BVX134" s="562"/>
      <c r="BVY134" s="562"/>
      <c r="BVZ134" s="562"/>
      <c r="BWA134" s="562"/>
      <c r="BWB134" s="562"/>
      <c r="BWC134" s="562"/>
      <c r="BWD134" s="562"/>
      <c r="BWE134" s="562"/>
      <c r="BWF134" s="562"/>
      <c r="BWG134" s="562"/>
      <c r="BWH134" s="562"/>
      <c r="BWI134" s="562"/>
      <c r="BWJ134" s="562"/>
      <c r="BWK134" s="562"/>
      <c r="BWL134" s="562"/>
      <c r="BWM134" s="562"/>
      <c r="BWN134" s="562"/>
      <c r="BWO134" s="562"/>
      <c r="BWP134" s="562"/>
      <c r="BWQ134" s="562"/>
      <c r="BWR134" s="562"/>
      <c r="BWS134" s="562"/>
      <c r="BWT134" s="562"/>
      <c r="BWU134" s="562"/>
      <c r="BWV134" s="562"/>
      <c r="BWW134" s="562"/>
      <c r="BWX134" s="562"/>
      <c r="BWY134" s="562"/>
      <c r="BWZ134" s="562"/>
      <c r="BXA134" s="562"/>
      <c r="BXB134" s="562"/>
      <c r="BXC134" s="562"/>
      <c r="BXD134" s="562"/>
      <c r="BXE134" s="562"/>
      <c r="BXF134" s="562"/>
      <c r="BXG134" s="562"/>
      <c r="BXH134" s="562"/>
      <c r="BXI134" s="562"/>
      <c r="BXJ134" s="562"/>
      <c r="BXK134" s="562"/>
      <c r="BXL134" s="562"/>
      <c r="BXM134" s="562"/>
      <c r="BXN134" s="562"/>
      <c r="BXO134" s="562"/>
      <c r="BXP134" s="562"/>
      <c r="BXQ134" s="562"/>
      <c r="BXR134" s="562"/>
      <c r="BXS134" s="562"/>
      <c r="BXT134" s="562"/>
      <c r="BXU134" s="562"/>
      <c r="BXV134" s="562"/>
      <c r="BXW134" s="562"/>
      <c r="BXX134" s="562"/>
      <c r="BXY134" s="562"/>
      <c r="BXZ134" s="562"/>
      <c r="BYA134" s="562"/>
      <c r="BYB134" s="562"/>
      <c r="BYC134" s="562"/>
      <c r="BYD134" s="562"/>
      <c r="BYE134" s="562"/>
      <c r="BYF134" s="562"/>
      <c r="BYG134" s="562"/>
      <c r="BYH134" s="562"/>
      <c r="BYI134" s="562"/>
      <c r="BYJ134" s="562"/>
      <c r="BYK134" s="562"/>
      <c r="BYL134" s="562"/>
      <c r="BYM134" s="562"/>
      <c r="BYN134" s="562"/>
      <c r="BYO134" s="562"/>
      <c r="BYP134" s="562"/>
      <c r="BYQ134" s="562"/>
      <c r="BYR134" s="562"/>
      <c r="BYS134" s="562"/>
      <c r="BYT134" s="562"/>
      <c r="BYU134" s="562"/>
      <c r="BYV134" s="562"/>
      <c r="BYW134" s="562"/>
      <c r="BYX134" s="562"/>
      <c r="BYY134" s="562"/>
      <c r="BYZ134" s="562"/>
      <c r="BZA134" s="562"/>
      <c r="BZB134" s="562"/>
      <c r="BZC134" s="562"/>
      <c r="BZD134" s="562"/>
      <c r="BZE134" s="562"/>
      <c r="BZF134" s="562"/>
      <c r="BZG134" s="562"/>
      <c r="BZH134" s="562"/>
      <c r="BZI134" s="562"/>
      <c r="BZJ134" s="562"/>
      <c r="BZK134" s="562"/>
      <c r="BZL134" s="562"/>
      <c r="BZM134" s="562"/>
      <c r="BZN134" s="562"/>
      <c r="BZO134" s="562"/>
      <c r="BZP134" s="562"/>
      <c r="BZQ134" s="562"/>
      <c r="BZR134" s="562"/>
      <c r="BZS134" s="562"/>
      <c r="BZT134" s="562"/>
      <c r="BZU134" s="562"/>
      <c r="BZV134" s="562"/>
      <c r="BZW134" s="562"/>
      <c r="BZX134" s="562"/>
      <c r="BZY134" s="562"/>
      <c r="BZZ134" s="562"/>
      <c r="CAA134" s="562"/>
      <c r="CAB134" s="562"/>
      <c r="CAC134" s="562"/>
      <c r="CAD134" s="562"/>
      <c r="CAE134" s="562"/>
      <c r="CAF134" s="562"/>
      <c r="CAG134" s="562"/>
      <c r="CAH134" s="562"/>
      <c r="CAI134" s="562"/>
      <c r="CAJ134" s="562"/>
      <c r="CAK134" s="562"/>
      <c r="CAL134" s="562"/>
      <c r="CAM134" s="562"/>
      <c r="CAN134" s="562"/>
      <c r="CAO134" s="562"/>
      <c r="CAP134" s="562"/>
      <c r="CAQ134" s="562"/>
      <c r="CAR134" s="562"/>
      <c r="CAS134" s="562"/>
      <c r="CAT134" s="562"/>
      <c r="CAU134" s="562"/>
      <c r="CAV134" s="562"/>
      <c r="CAW134" s="562"/>
      <c r="CAX134" s="562"/>
      <c r="CAY134" s="562"/>
      <c r="CAZ134" s="562"/>
      <c r="CBA134" s="562"/>
      <c r="CBB134" s="562"/>
      <c r="CBC134" s="562"/>
      <c r="CBD134" s="562"/>
      <c r="CBE134" s="562"/>
      <c r="CBF134" s="562"/>
      <c r="CBG134" s="562"/>
      <c r="CBH134" s="562"/>
      <c r="CBI134" s="562"/>
      <c r="CBJ134" s="562"/>
      <c r="CBK134" s="562"/>
      <c r="CBL134" s="562"/>
      <c r="CBM134" s="562"/>
      <c r="CBN134" s="562"/>
      <c r="CBO134" s="562"/>
      <c r="CBP134" s="562"/>
      <c r="CBQ134" s="562"/>
      <c r="CBR134" s="562"/>
      <c r="CBS134" s="562"/>
      <c r="CBT134" s="562"/>
      <c r="CBU134" s="562"/>
      <c r="CBV134" s="562"/>
      <c r="CBW134" s="562"/>
      <c r="CBX134" s="562"/>
      <c r="CBY134" s="562"/>
      <c r="CBZ134" s="562"/>
      <c r="CCA134" s="562"/>
      <c r="CCB134" s="562"/>
      <c r="CCC134" s="562"/>
      <c r="CCD134" s="562"/>
      <c r="CCE134" s="562"/>
      <c r="CCF134" s="562"/>
      <c r="CCG134" s="562"/>
      <c r="CCH134" s="562"/>
      <c r="CCI134" s="562"/>
      <c r="CCJ134" s="562"/>
      <c r="CCK134" s="562"/>
      <c r="CCL134" s="562"/>
      <c r="CCM134" s="562"/>
      <c r="CCN134" s="562"/>
      <c r="CCO134" s="562"/>
      <c r="CCP134" s="562"/>
      <c r="CCQ134" s="562"/>
      <c r="CCR134" s="562"/>
      <c r="CCS134" s="562"/>
      <c r="CCT134" s="562"/>
      <c r="CCU134" s="562"/>
      <c r="CCV134" s="562"/>
      <c r="CCW134" s="562"/>
      <c r="CCX134" s="562"/>
      <c r="CCY134" s="562"/>
      <c r="CCZ134" s="562"/>
      <c r="CDA134" s="562"/>
      <c r="CDB134" s="562"/>
      <c r="CDC134" s="562"/>
      <c r="CDD134" s="562"/>
      <c r="CDE134" s="562"/>
      <c r="CDF134" s="562"/>
      <c r="CDG134" s="562"/>
      <c r="CDH134" s="562"/>
      <c r="CDI134" s="562"/>
      <c r="CDJ134" s="562"/>
      <c r="CDK134" s="562"/>
      <c r="CDL134" s="562"/>
      <c r="CDM134" s="562"/>
      <c r="CDN134" s="562"/>
      <c r="CDO134" s="562"/>
      <c r="CDP134" s="562"/>
      <c r="CDQ134" s="562"/>
      <c r="CDR134" s="562"/>
      <c r="CDS134" s="562"/>
      <c r="CDT134" s="562"/>
      <c r="CDU134" s="562"/>
      <c r="CDV134" s="562"/>
      <c r="CDW134" s="562"/>
      <c r="CDX134" s="562"/>
      <c r="CDY134" s="562"/>
      <c r="CDZ134" s="562"/>
      <c r="CEA134" s="562"/>
      <c r="CEB134" s="562"/>
      <c r="CEC134" s="562"/>
      <c r="CED134" s="562"/>
      <c r="CEE134" s="562"/>
      <c r="CEF134" s="562"/>
      <c r="CEG134" s="562"/>
      <c r="CEH134" s="562"/>
      <c r="CEI134" s="562"/>
      <c r="CEJ134" s="562"/>
      <c r="CEK134" s="562"/>
      <c r="CEL134" s="562"/>
      <c r="CEM134" s="562"/>
      <c r="CEN134" s="562"/>
      <c r="CEO134" s="562"/>
      <c r="CEP134" s="562"/>
      <c r="CEQ134" s="562"/>
      <c r="CER134" s="562"/>
      <c r="CES134" s="562"/>
      <c r="CET134" s="562"/>
      <c r="CEU134" s="562"/>
      <c r="CEV134" s="562"/>
      <c r="CEW134" s="562"/>
      <c r="CEX134" s="562"/>
      <c r="CEY134" s="562"/>
      <c r="CEZ134" s="562"/>
      <c r="CFA134" s="562"/>
      <c r="CFB134" s="562"/>
      <c r="CFC134" s="562"/>
      <c r="CFD134" s="562"/>
      <c r="CFE134" s="562"/>
      <c r="CFF134" s="562"/>
      <c r="CFG134" s="562"/>
      <c r="CFH134" s="562"/>
      <c r="CFI134" s="562"/>
      <c r="CFJ134" s="562"/>
      <c r="CFK134" s="562"/>
      <c r="CFL134" s="562"/>
      <c r="CFM134" s="562"/>
      <c r="CFN134" s="562"/>
      <c r="CFO134" s="562"/>
      <c r="CFP134" s="562"/>
      <c r="CFQ134" s="562"/>
      <c r="CFR134" s="562"/>
      <c r="CFS134" s="562"/>
      <c r="CFT134" s="562"/>
      <c r="CFU134" s="562"/>
      <c r="CFV134" s="562"/>
      <c r="CFW134" s="562"/>
      <c r="CFX134" s="562"/>
      <c r="CFY134" s="562"/>
      <c r="CFZ134" s="562"/>
      <c r="CGA134" s="562"/>
      <c r="CGB134" s="562"/>
      <c r="CGC134" s="562"/>
      <c r="CGD134" s="562"/>
      <c r="CGE134" s="562"/>
      <c r="CGF134" s="562"/>
      <c r="CGG134" s="562"/>
      <c r="CGH134" s="562"/>
      <c r="CGI134" s="562"/>
      <c r="CGJ134" s="562"/>
      <c r="CGK134" s="562"/>
      <c r="CGL134" s="562"/>
      <c r="CGM134" s="562"/>
      <c r="CGN134" s="562"/>
      <c r="CGO134" s="562"/>
      <c r="CGP134" s="562"/>
      <c r="CGQ134" s="562"/>
      <c r="CGR134" s="562"/>
      <c r="CGS134" s="562"/>
      <c r="CGT134" s="562"/>
      <c r="CGU134" s="562"/>
      <c r="CGV134" s="562"/>
      <c r="CGW134" s="562"/>
      <c r="CGX134" s="562"/>
      <c r="CGY134" s="562"/>
      <c r="CGZ134" s="562"/>
      <c r="CHA134" s="562"/>
      <c r="CHB134" s="562"/>
      <c r="CHC134" s="562"/>
      <c r="CHD134" s="562"/>
      <c r="CHE134" s="562"/>
      <c r="CHF134" s="562"/>
      <c r="CHG134" s="562"/>
      <c r="CHH134" s="562"/>
      <c r="CHI134" s="562"/>
      <c r="CHJ134" s="562"/>
      <c r="CHK134" s="562"/>
      <c r="CHL134" s="562"/>
      <c r="CHM134" s="562"/>
      <c r="CHN134" s="562"/>
      <c r="CHO134" s="562"/>
      <c r="CHP134" s="562"/>
      <c r="CHQ134" s="562"/>
      <c r="CHR134" s="562"/>
      <c r="CHS134" s="562"/>
      <c r="CHT134" s="562"/>
      <c r="CHU134" s="562"/>
      <c r="CHV134" s="562"/>
      <c r="CHW134" s="562"/>
      <c r="CHX134" s="562"/>
      <c r="CHY134" s="562"/>
      <c r="CHZ134" s="562"/>
      <c r="CIA134" s="562"/>
      <c r="CIB134" s="562"/>
      <c r="CIC134" s="562"/>
      <c r="CID134" s="562"/>
      <c r="CIE134" s="562"/>
      <c r="CIF134" s="562"/>
      <c r="CIG134" s="562"/>
      <c r="CIH134" s="562"/>
      <c r="CII134" s="562"/>
      <c r="CIJ134" s="562"/>
      <c r="CIK134" s="562"/>
      <c r="CIL134" s="562"/>
      <c r="CIM134" s="562"/>
      <c r="CIN134" s="562"/>
      <c r="CIO134" s="562"/>
      <c r="CIP134" s="562"/>
      <c r="CIQ134" s="562"/>
      <c r="CIR134" s="562"/>
      <c r="CIS134" s="562"/>
      <c r="CIT134" s="562"/>
      <c r="CIU134" s="562"/>
      <c r="CIV134" s="562"/>
      <c r="CIW134" s="562"/>
      <c r="CIX134" s="562"/>
      <c r="CIY134" s="562"/>
      <c r="CIZ134" s="562"/>
      <c r="CJA134" s="562"/>
      <c r="CJB134" s="562"/>
      <c r="CJC134" s="562"/>
      <c r="CJD134" s="562"/>
      <c r="CJE134" s="562"/>
      <c r="CJF134" s="562"/>
      <c r="CJG134" s="562"/>
      <c r="CJH134" s="562"/>
      <c r="CJI134" s="562"/>
      <c r="CJJ134" s="562"/>
      <c r="CJK134" s="562"/>
      <c r="CJL134" s="562"/>
      <c r="CJM134" s="562"/>
      <c r="CJN134" s="562"/>
      <c r="CJO134" s="562"/>
      <c r="CJP134" s="562"/>
      <c r="CJQ134" s="562"/>
      <c r="CJR134" s="562"/>
      <c r="CJS134" s="562"/>
      <c r="CJT134" s="562"/>
      <c r="CJU134" s="562"/>
      <c r="CJV134" s="562"/>
      <c r="CJW134" s="562"/>
      <c r="CJX134" s="562"/>
      <c r="CJY134" s="562"/>
      <c r="CJZ134" s="562"/>
      <c r="CKA134" s="562"/>
      <c r="CKB134" s="562"/>
      <c r="CKC134" s="562"/>
      <c r="CKD134" s="562"/>
      <c r="CKE134" s="562"/>
      <c r="CKF134" s="562"/>
      <c r="CKG134" s="562"/>
      <c r="CKH134" s="562"/>
      <c r="CKI134" s="562"/>
      <c r="CKJ134" s="562"/>
      <c r="CKK134" s="562"/>
      <c r="CKL134" s="562"/>
      <c r="CKM134" s="562"/>
      <c r="CKN134" s="562"/>
      <c r="CKO134" s="562"/>
      <c r="CKP134" s="562"/>
      <c r="CKQ134" s="562"/>
      <c r="CKR134" s="562"/>
      <c r="CKS134" s="562"/>
      <c r="CKT134" s="562"/>
      <c r="CKU134" s="562"/>
      <c r="CKV134" s="562"/>
      <c r="CKW134" s="562"/>
      <c r="CKX134" s="562"/>
      <c r="CKY134" s="562"/>
      <c r="CKZ134" s="562"/>
      <c r="CLA134" s="562"/>
      <c r="CLB134" s="562"/>
      <c r="CLC134" s="562"/>
      <c r="CLD134" s="562"/>
      <c r="CLE134" s="562"/>
      <c r="CLF134" s="562"/>
      <c r="CLG134" s="562"/>
      <c r="CLH134" s="562"/>
      <c r="CLI134" s="562"/>
      <c r="CLJ134" s="562"/>
      <c r="CLK134" s="562"/>
      <c r="CLL134" s="562"/>
      <c r="CLM134" s="562"/>
      <c r="CLN134" s="562"/>
      <c r="CLO134" s="562"/>
      <c r="CLP134" s="562"/>
      <c r="CLQ134" s="562"/>
      <c r="CLR134" s="562"/>
      <c r="CLS134" s="562"/>
      <c r="CLT134" s="562"/>
      <c r="CLU134" s="562"/>
      <c r="CLV134" s="562"/>
      <c r="CLW134" s="562"/>
      <c r="CLX134" s="562"/>
      <c r="CLY134" s="562"/>
      <c r="CLZ134" s="562"/>
      <c r="CMA134" s="562"/>
      <c r="CMB134" s="562"/>
      <c r="CMC134" s="562"/>
      <c r="CMD134" s="562"/>
      <c r="CME134" s="562"/>
      <c r="CMF134" s="562"/>
      <c r="CMG134" s="562"/>
      <c r="CMH134" s="562"/>
      <c r="CMI134" s="562"/>
      <c r="CMJ134" s="562"/>
      <c r="CMK134" s="562"/>
      <c r="CML134" s="562"/>
      <c r="CMM134" s="562"/>
      <c r="CMN134" s="562"/>
      <c r="CMO134" s="562"/>
      <c r="CMP134" s="562"/>
      <c r="CMQ134" s="562"/>
      <c r="CMR134" s="562"/>
      <c r="CMS134" s="562"/>
      <c r="CMT134" s="562"/>
      <c r="CMU134" s="562"/>
      <c r="CMV134" s="562"/>
      <c r="CMW134" s="562"/>
      <c r="CMX134" s="562"/>
      <c r="CMY134" s="562"/>
      <c r="CMZ134" s="562"/>
      <c r="CNA134" s="562"/>
      <c r="CNB134" s="562"/>
      <c r="CNC134" s="562"/>
      <c r="CND134" s="562"/>
      <c r="CNE134" s="562"/>
      <c r="CNF134" s="562"/>
      <c r="CNG134" s="562"/>
      <c r="CNH134" s="562"/>
      <c r="CNI134" s="562"/>
      <c r="CNJ134" s="562"/>
      <c r="CNK134" s="562"/>
      <c r="CNL134" s="562"/>
      <c r="CNM134" s="562"/>
      <c r="CNN134" s="562"/>
      <c r="CNO134" s="562"/>
      <c r="CNP134" s="562"/>
      <c r="CNQ134" s="562"/>
      <c r="CNR134" s="562"/>
      <c r="CNS134" s="562"/>
      <c r="CNT134" s="562"/>
      <c r="CNU134" s="562"/>
      <c r="CNV134" s="562"/>
      <c r="CNW134" s="562"/>
      <c r="CNX134" s="562"/>
      <c r="CNY134" s="562"/>
      <c r="CNZ134" s="562"/>
      <c r="COA134" s="562"/>
      <c r="COB134" s="562"/>
      <c r="COC134" s="562"/>
      <c r="COD134" s="562"/>
      <c r="COE134" s="562"/>
      <c r="COF134" s="562"/>
      <c r="COG134" s="562"/>
      <c r="COH134" s="562"/>
      <c r="COI134" s="562"/>
      <c r="COJ134" s="562"/>
      <c r="COK134" s="562"/>
      <c r="COL134" s="562"/>
      <c r="COM134" s="562"/>
      <c r="CON134" s="562"/>
      <c r="COO134" s="562"/>
      <c r="COP134" s="562"/>
      <c r="COQ134" s="562"/>
      <c r="COR134" s="562"/>
      <c r="COS134" s="562"/>
      <c r="COT134" s="562"/>
      <c r="COU134" s="562"/>
      <c r="COV134" s="562"/>
      <c r="COW134" s="562"/>
      <c r="COX134" s="562"/>
      <c r="COY134" s="562"/>
      <c r="COZ134" s="562"/>
      <c r="CPA134" s="562"/>
      <c r="CPB134" s="562"/>
      <c r="CPC134" s="562"/>
      <c r="CPD134" s="562"/>
      <c r="CPE134" s="562"/>
      <c r="CPF134" s="562"/>
      <c r="CPG134" s="562"/>
      <c r="CPH134" s="562"/>
      <c r="CPI134" s="562"/>
      <c r="CPJ134" s="562"/>
      <c r="CPK134" s="562"/>
      <c r="CPL134" s="562"/>
      <c r="CPM134" s="562"/>
      <c r="CPN134" s="562"/>
      <c r="CPO134" s="562"/>
      <c r="CPP134" s="562"/>
      <c r="CPQ134" s="562"/>
      <c r="CPR134" s="562"/>
      <c r="CPS134" s="562"/>
      <c r="CPT134" s="562"/>
      <c r="CPU134" s="562"/>
      <c r="CPV134" s="562"/>
      <c r="CPW134" s="562"/>
      <c r="CPX134" s="562"/>
      <c r="CPY134" s="562"/>
      <c r="CPZ134" s="562"/>
      <c r="CQA134" s="562"/>
      <c r="CQB134" s="562"/>
      <c r="CQC134" s="562"/>
      <c r="CQD134" s="562"/>
      <c r="CQE134" s="562"/>
      <c r="CQF134" s="562"/>
      <c r="CQG134" s="562"/>
      <c r="CQH134" s="562"/>
      <c r="CQI134" s="562"/>
      <c r="CQJ134" s="562"/>
      <c r="CQK134" s="562"/>
      <c r="CQL134" s="562"/>
      <c r="CQM134" s="562"/>
      <c r="CQN134" s="562"/>
      <c r="CQO134" s="562"/>
      <c r="CQP134" s="562"/>
      <c r="CQQ134" s="562"/>
      <c r="CQR134" s="562"/>
      <c r="CQS134" s="562"/>
      <c r="CQT134" s="562"/>
      <c r="CQU134" s="562"/>
      <c r="CQV134" s="562"/>
      <c r="CQW134" s="562"/>
      <c r="CQX134" s="562"/>
      <c r="CQY134" s="562"/>
      <c r="CQZ134" s="562"/>
      <c r="CRA134" s="562"/>
      <c r="CRB134" s="562"/>
      <c r="CRC134" s="562"/>
      <c r="CRD134" s="562"/>
      <c r="CRE134" s="562"/>
      <c r="CRF134" s="562"/>
      <c r="CRG134" s="562"/>
      <c r="CRH134" s="562"/>
      <c r="CRI134" s="562"/>
      <c r="CRJ134" s="562"/>
      <c r="CRK134" s="562"/>
      <c r="CRL134" s="562"/>
      <c r="CRM134" s="562"/>
      <c r="CRN134" s="562"/>
      <c r="CRO134" s="562"/>
      <c r="CRP134" s="562"/>
      <c r="CRQ134" s="562"/>
      <c r="CRR134" s="562"/>
      <c r="CRS134" s="562"/>
      <c r="CRT134" s="562"/>
      <c r="CRU134" s="562"/>
      <c r="CRV134" s="562"/>
      <c r="CRW134" s="562"/>
      <c r="CRX134" s="562"/>
      <c r="CRY134" s="562"/>
      <c r="CRZ134" s="562"/>
      <c r="CSA134" s="562"/>
      <c r="CSB134" s="562"/>
      <c r="CSC134" s="562"/>
      <c r="CSD134" s="562"/>
      <c r="CSE134" s="562"/>
      <c r="CSF134" s="562"/>
      <c r="CSG134" s="562"/>
      <c r="CSH134" s="562"/>
      <c r="CSI134" s="562"/>
      <c r="CSJ134" s="562"/>
      <c r="CSK134" s="562"/>
      <c r="CSL134" s="562"/>
      <c r="CSM134" s="562"/>
      <c r="CSN134" s="562"/>
      <c r="CSO134" s="562"/>
      <c r="CSP134" s="562"/>
      <c r="CSQ134" s="562"/>
      <c r="CSR134" s="562"/>
      <c r="CSS134" s="562"/>
      <c r="CST134" s="562"/>
      <c r="CSU134" s="562"/>
      <c r="CSV134" s="562"/>
      <c r="CSW134" s="562"/>
      <c r="CSX134" s="562"/>
      <c r="CSY134" s="562"/>
      <c r="CSZ134" s="562"/>
      <c r="CTA134" s="562"/>
      <c r="CTB134" s="562"/>
      <c r="CTC134" s="562"/>
      <c r="CTD134" s="562"/>
      <c r="CTE134" s="562"/>
      <c r="CTF134" s="562"/>
      <c r="CTG134" s="562"/>
      <c r="CTH134" s="562"/>
      <c r="CTI134" s="562"/>
      <c r="CTJ134" s="562"/>
      <c r="CTK134" s="562"/>
      <c r="CTL134" s="562"/>
      <c r="CTM134" s="562"/>
      <c r="CTN134" s="562"/>
      <c r="CTO134" s="562"/>
      <c r="CTP134" s="562"/>
      <c r="CTQ134" s="562"/>
      <c r="CTR134" s="562"/>
      <c r="CTS134" s="562"/>
      <c r="CTT134" s="562"/>
      <c r="CTU134" s="562"/>
      <c r="CTV134" s="562"/>
      <c r="CTW134" s="562"/>
      <c r="CTX134" s="562"/>
      <c r="CTY134" s="562"/>
      <c r="CTZ134" s="562"/>
      <c r="CUA134" s="562"/>
      <c r="CUB134" s="562"/>
      <c r="CUC134" s="562"/>
      <c r="CUD134" s="562"/>
      <c r="CUE134" s="562"/>
      <c r="CUF134" s="562"/>
      <c r="CUG134" s="562"/>
      <c r="CUH134" s="562"/>
      <c r="CUI134" s="562"/>
      <c r="CUJ134" s="562"/>
      <c r="CUK134" s="562"/>
      <c r="CUL134" s="562"/>
      <c r="CUM134" s="562"/>
      <c r="CUN134" s="562"/>
      <c r="CUO134" s="562"/>
      <c r="CUP134" s="562"/>
      <c r="CUQ134" s="562"/>
      <c r="CUR134" s="562"/>
      <c r="CUS134" s="562"/>
      <c r="CUT134" s="562"/>
      <c r="CUU134" s="562"/>
      <c r="CUV134" s="562"/>
      <c r="CUW134" s="562"/>
      <c r="CUX134" s="562"/>
      <c r="CUY134" s="562"/>
      <c r="CUZ134" s="562"/>
      <c r="CVA134" s="562"/>
      <c r="CVB134" s="562"/>
      <c r="CVC134" s="562"/>
      <c r="CVD134" s="562"/>
      <c r="CVE134" s="562"/>
      <c r="CVF134" s="562"/>
      <c r="CVG134" s="562"/>
      <c r="CVH134" s="562"/>
      <c r="CVI134" s="562"/>
      <c r="CVJ134" s="562"/>
      <c r="CVK134" s="562"/>
      <c r="CVL134" s="562"/>
      <c r="CVM134" s="562"/>
      <c r="CVN134" s="562"/>
      <c r="CVO134" s="562"/>
      <c r="CVP134" s="562"/>
      <c r="CVQ134" s="562"/>
      <c r="CVR134" s="562"/>
      <c r="CVS134" s="562"/>
      <c r="CVT134" s="562"/>
      <c r="CVU134" s="562"/>
      <c r="CVV134" s="562"/>
      <c r="CVW134" s="562"/>
      <c r="CVX134" s="562"/>
      <c r="CVY134" s="562"/>
      <c r="CVZ134" s="562"/>
      <c r="CWA134" s="562"/>
      <c r="CWB134" s="562"/>
      <c r="CWC134" s="562"/>
      <c r="CWD134" s="562"/>
      <c r="CWE134" s="562"/>
      <c r="CWF134" s="562"/>
      <c r="CWG134" s="562"/>
      <c r="CWH134" s="562"/>
      <c r="CWI134" s="562"/>
      <c r="CWJ134" s="562"/>
      <c r="CWK134" s="562"/>
      <c r="CWL134" s="562"/>
      <c r="CWM134" s="562"/>
      <c r="CWN134" s="562"/>
      <c r="CWO134" s="562"/>
      <c r="CWP134" s="562"/>
      <c r="CWQ134" s="562"/>
      <c r="CWR134" s="562"/>
      <c r="CWS134" s="562"/>
      <c r="CWT134" s="562"/>
      <c r="CWU134" s="562"/>
      <c r="CWV134" s="562"/>
      <c r="CWW134" s="562"/>
      <c r="CWX134" s="562"/>
      <c r="CWY134" s="562"/>
      <c r="CWZ134" s="562"/>
      <c r="CXA134" s="562"/>
      <c r="CXB134" s="562"/>
      <c r="CXC134" s="562"/>
      <c r="CXD134" s="562"/>
      <c r="CXE134" s="562"/>
      <c r="CXF134" s="562"/>
      <c r="CXG134" s="562"/>
      <c r="CXH134" s="562"/>
      <c r="CXI134" s="562"/>
      <c r="CXJ134" s="562"/>
      <c r="CXK134" s="562"/>
      <c r="CXL134" s="562"/>
      <c r="CXM134" s="562"/>
      <c r="CXN134" s="562"/>
      <c r="CXO134" s="562"/>
      <c r="CXP134" s="562"/>
      <c r="CXQ134" s="562"/>
      <c r="CXR134" s="562"/>
      <c r="CXS134" s="562"/>
      <c r="CXT134" s="562"/>
      <c r="CXU134" s="562"/>
      <c r="CXV134" s="562"/>
      <c r="CXW134" s="562"/>
      <c r="CXX134" s="562"/>
      <c r="CXY134" s="562"/>
      <c r="CXZ134" s="562"/>
      <c r="CYA134" s="562"/>
      <c r="CYB134" s="562"/>
      <c r="CYC134" s="562"/>
      <c r="CYD134" s="562"/>
      <c r="CYE134" s="562"/>
      <c r="CYF134" s="562"/>
      <c r="CYG134" s="562"/>
      <c r="CYH134" s="562"/>
      <c r="CYI134" s="562"/>
      <c r="CYJ134" s="562"/>
      <c r="CYK134" s="562"/>
      <c r="CYL134" s="562"/>
      <c r="CYM134" s="562"/>
      <c r="CYN134" s="562"/>
      <c r="CYO134" s="562"/>
      <c r="CYP134" s="562"/>
      <c r="CYQ134" s="562"/>
      <c r="CYR134" s="562"/>
      <c r="CYS134" s="562"/>
      <c r="CYT134" s="562"/>
      <c r="CYU134" s="562"/>
      <c r="CYV134" s="562"/>
      <c r="CYW134" s="562"/>
      <c r="CYX134" s="562"/>
      <c r="CYY134" s="562"/>
      <c r="CYZ134" s="562"/>
      <c r="CZA134" s="562"/>
      <c r="CZB134" s="562"/>
      <c r="CZC134" s="562"/>
      <c r="CZD134" s="562"/>
      <c r="CZE134" s="562"/>
      <c r="CZF134" s="562"/>
      <c r="CZG134" s="562"/>
      <c r="CZH134" s="562"/>
      <c r="CZI134" s="562"/>
      <c r="CZJ134" s="562"/>
      <c r="CZK134" s="562"/>
      <c r="CZL134" s="562"/>
      <c r="CZM134" s="562"/>
      <c r="CZN134" s="562"/>
      <c r="CZO134" s="562"/>
      <c r="CZP134" s="562"/>
      <c r="CZQ134" s="562"/>
      <c r="CZR134" s="562"/>
      <c r="CZS134" s="562"/>
      <c r="CZT134" s="562"/>
      <c r="CZU134" s="562"/>
      <c r="CZV134" s="562"/>
      <c r="CZW134" s="562"/>
      <c r="CZX134" s="562"/>
      <c r="CZY134" s="562"/>
      <c r="CZZ134" s="562"/>
      <c r="DAA134" s="562"/>
      <c r="DAB134" s="562"/>
      <c r="DAC134" s="562"/>
      <c r="DAD134" s="562"/>
      <c r="DAE134" s="562"/>
      <c r="DAF134" s="562"/>
      <c r="DAG134" s="562"/>
      <c r="DAH134" s="562"/>
      <c r="DAI134" s="562"/>
      <c r="DAJ134" s="562"/>
      <c r="DAK134" s="562"/>
      <c r="DAL134" s="562"/>
      <c r="DAM134" s="562"/>
      <c r="DAN134" s="562"/>
      <c r="DAO134" s="562"/>
      <c r="DAP134" s="562"/>
      <c r="DAQ134" s="562"/>
      <c r="DAR134" s="562"/>
      <c r="DAS134" s="562"/>
      <c r="DAT134" s="562"/>
      <c r="DAU134" s="562"/>
      <c r="DAV134" s="562"/>
      <c r="DAW134" s="562"/>
      <c r="DAX134" s="562"/>
      <c r="DAY134" s="562"/>
      <c r="DAZ134" s="562"/>
      <c r="DBA134" s="562"/>
      <c r="DBB134" s="562"/>
      <c r="DBC134" s="562"/>
      <c r="DBD134" s="562"/>
      <c r="DBE134" s="562"/>
      <c r="DBF134" s="562"/>
      <c r="DBG134" s="562"/>
      <c r="DBH134" s="562"/>
      <c r="DBI134" s="562"/>
      <c r="DBJ134" s="562"/>
      <c r="DBK134" s="562"/>
      <c r="DBL134" s="562"/>
      <c r="DBM134" s="562"/>
      <c r="DBN134" s="562"/>
      <c r="DBO134" s="562"/>
      <c r="DBP134" s="562"/>
      <c r="DBQ134" s="562"/>
      <c r="DBR134" s="562"/>
      <c r="DBS134" s="562"/>
      <c r="DBT134" s="562"/>
      <c r="DBU134" s="562"/>
      <c r="DBV134" s="562"/>
      <c r="DBW134" s="562"/>
      <c r="DBX134" s="562"/>
      <c r="DBY134" s="562"/>
      <c r="DBZ134" s="562"/>
      <c r="DCA134" s="562"/>
      <c r="DCB134" s="562"/>
      <c r="DCC134" s="562"/>
      <c r="DCD134" s="562"/>
      <c r="DCE134" s="562"/>
      <c r="DCF134" s="562"/>
      <c r="DCG134" s="562"/>
      <c r="DCH134" s="562"/>
      <c r="DCI134" s="562"/>
      <c r="DCJ134" s="562"/>
      <c r="DCK134" s="562"/>
      <c r="DCL134" s="562"/>
      <c r="DCM134" s="562"/>
      <c r="DCN134" s="562"/>
      <c r="DCO134" s="562"/>
      <c r="DCP134" s="562"/>
      <c r="DCQ134" s="562"/>
      <c r="DCR134" s="562"/>
      <c r="DCS134" s="562"/>
      <c r="DCT134" s="562"/>
      <c r="DCU134" s="562"/>
      <c r="DCV134" s="562"/>
      <c r="DCW134" s="562"/>
      <c r="DCX134" s="562"/>
      <c r="DCY134" s="562"/>
      <c r="DCZ134" s="562"/>
      <c r="DDA134" s="562"/>
      <c r="DDB134" s="562"/>
      <c r="DDC134" s="562"/>
      <c r="DDD134" s="562"/>
      <c r="DDE134" s="562"/>
      <c r="DDF134" s="562"/>
      <c r="DDG134" s="562"/>
      <c r="DDH134" s="562"/>
      <c r="DDI134" s="562"/>
      <c r="DDJ134" s="562"/>
      <c r="DDK134" s="562"/>
      <c r="DDL134" s="562"/>
      <c r="DDM134" s="562"/>
      <c r="DDN134" s="562"/>
      <c r="DDO134" s="562"/>
      <c r="DDP134" s="562"/>
      <c r="DDQ134" s="562"/>
      <c r="DDR134" s="562"/>
      <c r="DDS134" s="562"/>
      <c r="DDT134" s="562"/>
      <c r="DDU134" s="562"/>
      <c r="DDV134" s="562"/>
      <c r="DDW134" s="562"/>
      <c r="DDX134" s="562"/>
      <c r="DDY134" s="562"/>
      <c r="DDZ134" s="562"/>
      <c r="DEA134" s="562"/>
      <c r="DEB134" s="562"/>
      <c r="DEC134" s="562"/>
      <c r="DED134" s="562"/>
      <c r="DEE134" s="562"/>
      <c r="DEF134" s="562"/>
      <c r="DEG134" s="562"/>
      <c r="DEH134" s="562"/>
      <c r="DEI134" s="562"/>
      <c r="DEJ134" s="562"/>
      <c r="DEK134" s="562"/>
      <c r="DEL134" s="562"/>
      <c r="DEM134" s="562"/>
      <c r="DEN134" s="562"/>
      <c r="DEO134" s="562"/>
      <c r="DEP134" s="562"/>
      <c r="DEQ134" s="562"/>
      <c r="DER134" s="562"/>
      <c r="DES134" s="562"/>
      <c r="DET134" s="562"/>
      <c r="DEU134" s="562"/>
      <c r="DEV134" s="562"/>
      <c r="DEW134" s="562"/>
      <c r="DEX134" s="562"/>
      <c r="DEY134" s="562"/>
      <c r="DEZ134" s="562"/>
      <c r="DFA134" s="562"/>
      <c r="DFB134" s="562"/>
      <c r="DFC134" s="562"/>
      <c r="DFD134" s="562"/>
      <c r="DFE134" s="562"/>
      <c r="DFF134" s="562"/>
      <c r="DFG134" s="562"/>
      <c r="DFH134" s="562"/>
      <c r="DFI134" s="562"/>
      <c r="DFJ134" s="562"/>
      <c r="DFK134" s="562"/>
      <c r="DFL134" s="562"/>
      <c r="DFM134" s="562"/>
      <c r="DFN134" s="562"/>
      <c r="DFO134" s="562"/>
      <c r="DFP134" s="562"/>
      <c r="DFQ134" s="562"/>
      <c r="DFR134" s="562"/>
      <c r="DFS134" s="562"/>
      <c r="DFT134" s="562"/>
      <c r="DFU134" s="562"/>
      <c r="DFV134" s="562"/>
      <c r="DFW134" s="562"/>
      <c r="DFX134" s="562"/>
      <c r="DFY134" s="562"/>
      <c r="DFZ134" s="562"/>
      <c r="DGA134" s="562"/>
      <c r="DGB134" s="562"/>
      <c r="DGC134" s="562"/>
      <c r="DGD134" s="562"/>
      <c r="DGE134" s="562"/>
      <c r="DGF134" s="562"/>
      <c r="DGG134" s="562"/>
      <c r="DGH134" s="562"/>
      <c r="DGI134" s="562"/>
      <c r="DGJ134" s="562"/>
      <c r="DGK134" s="562"/>
      <c r="DGL134" s="562"/>
      <c r="DGM134" s="562"/>
      <c r="DGN134" s="562"/>
      <c r="DGO134" s="562"/>
      <c r="DGP134" s="562"/>
      <c r="DGQ134" s="562"/>
      <c r="DGR134" s="562"/>
      <c r="DGS134" s="562"/>
      <c r="DGT134" s="562"/>
      <c r="DGU134" s="562"/>
      <c r="DGV134" s="562"/>
      <c r="DGW134" s="562"/>
      <c r="DGX134" s="562"/>
      <c r="DGY134" s="562"/>
      <c r="DGZ134" s="562"/>
      <c r="DHA134" s="562"/>
      <c r="DHB134" s="562"/>
      <c r="DHC134" s="562"/>
      <c r="DHD134" s="562"/>
      <c r="DHE134" s="562"/>
      <c r="DHF134" s="562"/>
      <c r="DHG134" s="562"/>
      <c r="DHH134" s="562"/>
      <c r="DHI134" s="562"/>
      <c r="DHJ134" s="562"/>
      <c r="DHK134" s="562"/>
      <c r="DHL134" s="562"/>
      <c r="DHM134" s="562"/>
      <c r="DHN134" s="562"/>
      <c r="DHO134" s="562"/>
      <c r="DHP134" s="562"/>
      <c r="DHQ134" s="562"/>
      <c r="DHR134" s="562"/>
      <c r="DHS134" s="562"/>
      <c r="DHT134" s="562"/>
      <c r="DHU134" s="562"/>
      <c r="DHV134" s="562"/>
      <c r="DHW134" s="562"/>
      <c r="DHX134" s="562"/>
      <c r="DHY134" s="562"/>
      <c r="DHZ134" s="562"/>
      <c r="DIA134" s="562"/>
      <c r="DIB134" s="562"/>
      <c r="DIC134" s="562"/>
      <c r="DID134" s="562"/>
      <c r="DIE134" s="562"/>
      <c r="DIF134" s="562"/>
      <c r="DIG134" s="562"/>
      <c r="DIH134" s="562"/>
      <c r="DII134" s="562"/>
      <c r="DIJ134" s="562"/>
      <c r="DIK134" s="562"/>
      <c r="DIL134" s="562"/>
      <c r="DIM134" s="562"/>
      <c r="DIN134" s="562"/>
      <c r="DIO134" s="562"/>
      <c r="DIP134" s="562"/>
      <c r="DIQ134" s="562"/>
      <c r="DIR134" s="562"/>
      <c r="DIS134" s="562"/>
      <c r="DIT134" s="562"/>
      <c r="DIU134" s="562"/>
      <c r="DIV134" s="562"/>
      <c r="DIW134" s="562"/>
      <c r="DIX134" s="562"/>
      <c r="DIY134" s="562"/>
      <c r="DIZ134" s="562"/>
      <c r="DJA134" s="562"/>
      <c r="DJB134" s="562"/>
      <c r="DJC134" s="562"/>
      <c r="DJD134" s="562"/>
      <c r="DJE134" s="562"/>
      <c r="DJF134" s="562"/>
      <c r="DJG134" s="562"/>
      <c r="DJH134" s="562"/>
      <c r="DJI134" s="562"/>
      <c r="DJJ134" s="562"/>
      <c r="DJK134" s="562"/>
      <c r="DJL134" s="562"/>
      <c r="DJM134" s="562"/>
      <c r="DJN134" s="562"/>
      <c r="DJO134" s="562"/>
      <c r="DJP134" s="562"/>
      <c r="DJQ134" s="562"/>
      <c r="DJR134" s="562"/>
      <c r="DJS134" s="562"/>
      <c r="DJT134" s="562"/>
      <c r="DJU134" s="562"/>
      <c r="DJV134" s="562"/>
      <c r="DJW134" s="562"/>
      <c r="DJX134" s="562"/>
      <c r="DJY134" s="562"/>
      <c r="DJZ134" s="562"/>
      <c r="DKA134" s="562"/>
      <c r="DKB134" s="562"/>
      <c r="DKC134" s="562"/>
      <c r="DKD134" s="562"/>
      <c r="DKE134" s="562"/>
      <c r="DKF134" s="562"/>
      <c r="DKG134" s="562"/>
      <c r="DKH134" s="562"/>
      <c r="DKI134" s="562"/>
      <c r="DKJ134" s="562"/>
      <c r="DKK134" s="562"/>
      <c r="DKL134" s="562"/>
      <c r="DKM134" s="562"/>
      <c r="DKN134" s="562"/>
      <c r="DKO134" s="562"/>
      <c r="DKP134" s="562"/>
      <c r="DKQ134" s="562"/>
      <c r="DKR134" s="562"/>
      <c r="DKS134" s="562"/>
      <c r="DKT134" s="562"/>
      <c r="DKU134" s="562"/>
      <c r="DKV134" s="562"/>
      <c r="DKW134" s="562"/>
      <c r="DKX134" s="562"/>
      <c r="DKY134" s="562"/>
      <c r="DKZ134" s="562"/>
      <c r="DLA134" s="562"/>
      <c r="DLB134" s="562"/>
      <c r="DLC134" s="562"/>
      <c r="DLD134" s="562"/>
      <c r="DLE134" s="562"/>
      <c r="DLF134" s="562"/>
      <c r="DLG134" s="562"/>
      <c r="DLH134" s="562"/>
      <c r="DLI134" s="562"/>
      <c r="DLJ134" s="562"/>
      <c r="DLK134" s="562"/>
      <c r="DLL134" s="562"/>
      <c r="DLM134" s="562"/>
      <c r="DLN134" s="562"/>
      <c r="DLO134" s="562"/>
      <c r="DLP134" s="562"/>
      <c r="DLQ134" s="562"/>
      <c r="DLR134" s="562"/>
      <c r="DLS134" s="562"/>
      <c r="DLT134" s="562"/>
      <c r="DLU134" s="562"/>
      <c r="DLV134" s="562"/>
      <c r="DLW134" s="562"/>
      <c r="DLX134" s="562"/>
      <c r="DLY134" s="562"/>
      <c r="DLZ134" s="562"/>
      <c r="DMA134" s="562"/>
      <c r="DMB134" s="562"/>
      <c r="DMC134" s="562"/>
      <c r="DMD134" s="562"/>
      <c r="DME134" s="562"/>
      <c r="DMF134" s="562"/>
      <c r="DMG134" s="562"/>
      <c r="DMH134" s="562"/>
      <c r="DMI134" s="562"/>
      <c r="DMJ134" s="562"/>
      <c r="DMK134" s="562"/>
      <c r="DML134" s="562"/>
      <c r="DMM134" s="562"/>
      <c r="DMN134" s="562"/>
      <c r="DMO134" s="562"/>
      <c r="DMP134" s="562"/>
      <c r="DMQ134" s="562"/>
      <c r="DMR134" s="562"/>
      <c r="DMS134" s="562"/>
      <c r="DMT134" s="562"/>
      <c r="DMU134" s="562"/>
      <c r="DMV134" s="562"/>
      <c r="DMW134" s="562"/>
      <c r="DMX134" s="562"/>
      <c r="DMY134" s="562"/>
      <c r="DMZ134" s="562"/>
      <c r="DNA134" s="562"/>
      <c r="DNB134" s="562"/>
      <c r="DNC134" s="562"/>
      <c r="DND134" s="562"/>
      <c r="DNE134" s="562"/>
      <c r="DNF134" s="562"/>
      <c r="DNG134" s="562"/>
      <c r="DNH134" s="562"/>
      <c r="DNI134" s="562"/>
      <c r="DNJ134" s="562"/>
      <c r="DNK134" s="562"/>
      <c r="DNL134" s="562"/>
      <c r="DNM134" s="562"/>
      <c r="DNN134" s="562"/>
      <c r="DNO134" s="562"/>
      <c r="DNP134" s="562"/>
      <c r="DNQ134" s="562"/>
      <c r="DNR134" s="562"/>
      <c r="DNS134" s="562"/>
      <c r="DNT134" s="562"/>
      <c r="DNU134" s="562"/>
      <c r="DNV134" s="562"/>
      <c r="DNW134" s="562"/>
      <c r="DNX134" s="562"/>
      <c r="DNY134" s="562"/>
      <c r="DNZ134" s="562"/>
      <c r="DOA134" s="562"/>
      <c r="DOB134" s="562"/>
      <c r="DOC134" s="562"/>
      <c r="DOD134" s="562"/>
      <c r="DOE134" s="562"/>
      <c r="DOF134" s="562"/>
      <c r="DOG134" s="562"/>
      <c r="DOH134" s="562"/>
      <c r="DOI134" s="562"/>
      <c r="DOJ134" s="562"/>
      <c r="DOK134" s="562"/>
      <c r="DOL134" s="562"/>
      <c r="DOM134" s="562"/>
      <c r="DON134" s="562"/>
      <c r="DOO134" s="562"/>
      <c r="DOP134" s="562"/>
      <c r="DOQ134" s="562"/>
      <c r="DOR134" s="562"/>
      <c r="DOS134" s="562"/>
      <c r="DOT134" s="562"/>
      <c r="DOU134" s="562"/>
      <c r="DOV134" s="562"/>
      <c r="DOW134" s="562"/>
      <c r="DOX134" s="562"/>
      <c r="DOY134" s="562"/>
      <c r="DOZ134" s="562"/>
      <c r="DPA134" s="562"/>
      <c r="DPB134" s="562"/>
      <c r="DPC134" s="562"/>
      <c r="DPD134" s="562"/>
      <c r="DPE134" s="562"/>
      <c r="DPF134" s="562"/>
      <c r="DPG134" s="562"/>
      <c r="DPH134" s="562"/>
      <c r="DPI134" s="562"/>
      <c r="DPJ134" s="562"/>
      <c r="DPK134" s="562"/>
      <c r="DPL134" s="562"/>
      <c r="DPM134" s="562"/>
      <c r="DPN134" s="562"/>
      <c r="DPO134" s="562"/>
      <c r="DPP134" s="562"/>
      <c r="DPQ134" s="562"/>
      <c r="DPR134" s="562"/>
      <c r="DPS134" s="562"/>
      <c r="DPT134" s="562"/>
      <c r="DPU134" s="562"/>
      <c r="DPV134" s="562"/>
      <c r="DPW134" s="562"/>
      <c r="DPX134" s="562"/>
      <c r="DPY134" s="562"/>
      <c r="DPZ134" s="562"/>
      <c r="DQA134" s="562"/>
      <c r="DQB134" s="562"/>
      <c r="DQC134" s="562"/>
      <c r="DQD134" s="562"/>
      <c r="DQE134" s="562"/>
      <c r="DQF134" s="562"/>
      <c r="DQG134" s="562"/>
      <c r="DQH134" s="562"/>
      <c r="DQI134" s="562"/>
      <c r="DQJ134" s="562"/>
      <c r="DQK134" s="562"/>
      <c r="DQL134" s="562"/>
      <c r="DQM134" s="562"/>
      <c r="DQN134" s="562"/>
      <c r="DQO134" s="562"/>
      <c r="DQP134" s="562"/>
      <c r="DQQ134" s="562"/>
      <c r="DQR134" s="562"/>
      <c r="DQS134" s="562"/>
      <c r="DQT134" s="562"/>
      <c r="DQU134" s="562"/>
      <c r="DQV134" s="562"/>
      <c r="DQW134" s="562"/>
      <c r="DQX134" s="562"/>
      <c r="DQY134" s="562"/>
      <c r="DQZ134" s="562"/>
      <c r="DRA134" s="562"/>
      <c r="DRB134" s="562"/>
      <c r="DRC134" s="562"/>
      <c r="DRD134" s="562"/>
      <c r="DRE134" s="562"/>
      <c r="DRF134" s="562"/>
      <c r="DRG134" s="562"/>
      <c r="DRH134" s="562"/>
      <c r="DRI134" s="562"/>
      <c r="DRJ134" s="562"/>
      <c r="DRK134" s="562"/>
      <c r="DRL134" s="562"/>
      <c r="DRM134" s="562"/>
      <c r="DRN134" s="562"/>
      <c r="DRO134" s="562"/>
      <c r="DRP134" s="562"/>
      <c r="DRQ134" s="562"/>
      <c r="DRR134" s="562"/>
      <c r="DRS134" s="562"/>
      <c r="DRT134" s="562"/>
      <c r="DRU134" s="562"/>
      <c r="DRV134" s="562"/>
      <c r="DRW134" s="562"/>
      <c r="DRX134" s="562"/>
      <c r="DRY134" s="562"/>
      <c r="DRZ134" s="562"/>
      <c r="DSA134" s="562"/>
      <c r="DSB134" s="562"/>
      <c r="DSC134" s="562"/>
      <c r="DSD134" s="562"/>
      <c r="DSE134" s="562"/>
      <c r="DSF134" s="562"/>
      <c r="DSG134" s="562"/>
      <c r="DSH134" s="562"/>
      <c r="DSI134" s="562"/>
      <c r="DSJ134" s="562"/>
      <c r="DSK134" s="562"/>
      <c r="DSL134" s="562"/>
      <c r="DSM134" s="562"/>
      <c r="DSN134" s="562"/>
      <c r="DSO134" s="562"/>
      <c r="DSP134" s="562"/>
      <c r="DSQ134" s="562"/>
      <c r="DSR134" s="562"/>
      <c r="DSS134" s="562"/>
      <c r="DST134" s="562"/>
      <c r="DSU134" s="562"/>
      <c r="DSV134" s="562"/>
      <c r="DSW134" s="562"/>
      <c r="DSX134" s="562"/>
      <c r="DSY134" s="562"/>
      <c r="DSZ134" s="562"/>
      <c r="DTA134" s="562"/>
      <c r="DTB134" s="562"/>
      <c r="DTC134" s="562"/>
      <c r="DTD134" s="562"/>
      <c r="DTE134" s="562"/>
      <c r="DTF134" s="562"/>
      <c r="DTG134" s="562"/>
      <c r="DTH134" s="562"/>
      <c r="DTI134" s="562"/>
      <c r="DTJ134" s="562"/>
      <c r="DTK134" s="562"/>
      <c r="DTL134" s="562"/>
      <c r="DTM134" s="562"/>
      <c r="DTN134" s="562"/>
      <c r="DTO134" s="562"/>
      <c r="DTP134" s="562"/>
      <c r="DTQ134" s="562"/>
      <c r="DTR134" s="562"/>
      <c r="DTS134" s="562"/>
      <c r="DTT134" s="562"/>
      <c r="DTU134" s="562"/>
      <c r="DTV134" s="562"/>
      <c r="DTW134" s="562"/>
      <c r="DTX134" s="562"/>
      <c r="DTY134" s="562"/>
      <c r="DTZ134" s="562"/>
      <c r="DUA134" s="562"/>
      <c r="DUB134" s="562"/>
      <c r="DUC134" s="562"/>
      <c r="DUD134" s="562"/>
      <c r="DUE134" s="562"/>
      <c r="DUF134" s="562"/>
      <c r="DUG134" s="562"/>
      <c r="DUH134" s="562"/>
      <c r="DUI134" s="562"/>
      <c r="DUJ134" s="562"/>
      <c r="DUK134" s="562"/>
      <c r="DUL134" s="562"/>
      <c r="DUM134" s="562"/>
      <c r="DUN134" s="562"/>
      <c r="DUO134" s="562"/>
      <c r="DUP134" s="562"/>
      <c r="DUQ134" s="562"/>
      <c r="DUR134" s="562"/>
      <c r="DUS134" s="562"/>
      <c r="DUT134" s="562"/>
      <c r="DUU134" s="562"/>
      <c r="DUV134" s="562"/>
      <c r="DUW134" s="562"/>
      <c r="DUX134" s="562"/>
      <c r="DUY134" s="562"/>
      <c r="DUZ134" s="562"/>
      <c r="DVA134" s="562"/>
      <c r="DVB134" s="562"/>
      <c r="DVC134" s="562"/>
      <c r="DVD134" s="562"/>
      <c r="DVE134" s="562"/>
      <c r="DVF134" s="562"/>
      <c r="DVG134" s="562"/>
      <c r="DVH134" s="562"/>
      <c r="DVI134" s="562"/>
      <c r="DVJ134" s="562"/>
      <c r="DVK134" s="562"/>
      <c r="DVL134" s="562"/>
      <c r="DVM134" s="562"/>
      <c r="DVN134" s="562"/>
      <c r="DVO134" s="562"/>
      <c r="DVP134" s="562"/>
      <c r="DVQ134" s="562"/>
      <c r="DVR134" s="562"/>
      <c r="DVS134" s="562"/>
      <c r="DVT134" s="562"/>
      <c r="DVU134" s="562"/>
      <c r="DVV134" s="562"/>
      <c r="DVW134" s="562"/>
      <c r="DVX134" s="562"/>
      <c r="DVY134" s="562"/>
      <c r="DVZ134" s="562"/>
      <c r="DWA134" s="562"/>
      <c r="DWB134" s="562"/>
      <c r="DWC134" s="562"/>
      <c r="DWD134" s="562"/>
      <c r="DWE134" s="562"/>
      <c r="DWF134" s="562"/>
      <c r="DWG134" s="562"/>
      <c r="DWH134" s="562"/>
      <c r="DWI134" s="562"/>
      <c r="DWJ134" s="562"/>
      <c r="DWK134" s="562"/>
      <c r="DWL134" s="562"/>
      <c r="DWM134" s="562"/>
      <c r="DWN134" s="562"/>
      <c r="DWO134" s="562"/>
      <c r="DWP134" s="562"/>
      <c r="DWQ134" s="562"/>
      <c r="DWR134" s="562"/>
      <c r="DWS134" s="562"/>
      <c r="DWT134" s="562"/>
      <c r="DWU134" s="562"/>
      <c r="DWV134" s="562"/>
      <c r="DWW134" s="562"/>
      <c r="DWX134" s="562"/>
      <c r="DWY134" s="562"/>
      <c r="DWZ134" s="562"/>
      <c r="DXA134" s="562"/>
      <c r="DXB134" s="562"/>
      <c r="DXC134" s="562"/>
      <c r="DXD134" s="562"/>
      <c r="DXE134" s="562"/>
      <c r="DXF134" s="562"/>
      <c r="DXG134" s="562"/>
      <c r="DXH134" s="562"/>
      <c r="DXI134" s="562"/>
      <c r="DXJ134" s="562"/>
      <c r="DXK134" s="562"/>
      <c r="DXL134" s="562"/>
      <c r="DXM134" s="562"/>
      <c r="DXN134" s="562"/>
      <c r="DXO134" s="562"/>
      <c r="DXP134" s="562"/>
      <c r="DXQ134" s="562"/>
      <c r="DXR134" s="562"/>
      <c r="DXS134" s="562"/>
      <c r="DXT134" s="562"/>
      <c r="DXU134" s="562"/>
      <c r="DXV134" s="562"/>
      <c r="DXW134" s="562"/>
      <c r="DXX134" s="562"/>
      <c r="DXY134" s="562"/>
      <c r="DXZ134" s="562"/>
      <c r="DYA134" s="562"/>
      <c r="DYB134" s="562"/>
      <c r="DYC134" s="562"/>
      <c r="DYD134" s="562"/>
      <c r="DYE134" s="562"/>
      <c r="DYF134" s="562"/>
      <c r="DYG134" s="562"/>
      <c r="DYH134" s="562"/>
      <c r="DYI134" s="562"/>
      <c r="DYJ134" s="562"/>
      <c r="DYK134" s="562"/>
      <c r="DYL134" s="562"/>
      <c r="DYM134" s="562"/>
      <c r="DYN134" s="562"/>
      <c r="DYO134" s="562"/>
      <c r="DYP134" s="562"/>
      <c r="DYQ134" s="562"/>
      <c r="DYR134" s="562"/>
      <c r="DYS134" s="562"/>
      <c r="DYT134" s="562"/>
      <c r="DYU134" s="562"/>
      <c r="DYV134" s="562"/>
      <c r="DYW134" s="562"/>
      <c r="DYX134" s="562"/>
      <c r="DYY134" s="562"/>
      <c r="DYZ134" s="562"/>
      <c r="DZA134" s="562"/>
      <c r="DZB134" s="562"/>
      <c r="DZC134" s="562"/>
      <c r="DZD134" s="562"/>
      <c r="DZE134" s="562"/>
      <c r="DZF134" s="562"/>
      <c r="DZG134" s="562"/>
      <c r="DZH134" s="562"/>
      <c r="DZI134" s="562"/>
      <c r="DZJ134" s="562"/>
      <c r="DZK134" s="562"/>
      <c r="DZL134" s="562"/>
      <c r="DZM134" s="562"/>
      <c r="DZN134" s="562"/>
      <c r="DZO134" s="562"/>
      <c r="DZP134" s="562"/>
      <c r="DZQ134" s="562"/>
      <c r="DZR134" s="562"/>
      <c r="DZS134" s="562"/>
      <c r="DZT134" s="562"/>
      <c r="DZU134" s="562"/>
      <c r="DZV134" s="562"/>
      <c r="DZW134" s="562"/>
      <c r="DZX134" s="562"/>
      <c r="DZY134" s="562"/>
      <c r="DZZ134" s="562"/>
      <c r="EAA134" s="562"/>
      <c r="EAB134" s="562"/>
      <c r="EAC134" s="562"/>
      <c r="EAD134" s="562"/>
      <c r="EAE134" s="562"/>
      <c r="EAF134" s="562"/>
      <c r="EAG134" s="562"/>
      <c r="EAH134" s="562"/>
      <c r="EAI134" s="562"/>
      <c r="EAJ134" s="562"/>
      <c r="EAK134" s="562"/>
      <c r="EAL134" s="562"/>
      <c r="EAM134" s="562"/>
      <c r="EAN134" s="562"/>
      <c r="EAO134" s="562"/>
      <c r="EAP134" s="562"/>
      <c r="EAQ134" s="562"/>
      <c r="EAR134" s="562"/>
      <c r="EAS134" s="562"/>
      <c r="EAT134" s="562"/>
      <c r="EAU134" s="562"/>
      <c r="EAV134" s="562"/>
      <c r="EAW134" s="562"/>
      <c r="EAX134" s="562"/>
      <c r="EAY134" s="562"/>
      <c r="EAZ134" s="562"/>
      <c r="EBA134" s="562"/>
      <c r="EBB134" s="562"/>
      <c r="EBC134" s="562"/>
      <c r="EBD134" s="562"/>
      <c r="EBE134" s="562"/>
      <c r="EBF134" s="562"/>
      <c r="EBG134" s="562"/>
      <c r="EBH134" s="562"/>
      <c r="EBI134" s="562"/>
      <c r="EBJ134" s="562"/>
      <c r="EBK134" s="562"/>
      <c r="EBL134" s="562"/>
      <c r="EBM134" s="562"/>
      <c r="EBN134" s="562"/>
      <c r="EBO134" s="562"/>
      <c r="EBP134" s="562"/>
      <c r="EBQ134" s="562"/>
      <c r="EBR134" s="562"/>
      <c r="EBS134" s="562"/>
      <c r="EBT134" s="562"/>
      <c r="EBU134" s="562"/>
      <c r="EBV134" s="562"/>
      <c r="EBW134" s="562"/>
      <c r="EBX134" s="562"/>
      <c r="EBY134" s="562"/>
      <c r="EBZ134" s="562"/>
      <c r="ECA134" s="562"/>
      <c r="ECB134" s="562"/>
      <c r="ECC134" s="562"/>
      <c r="ECD134" s="562"/>
      <c r="ECE134" s="562"/>
      <c r="ECF134" s="562"/>
      <c r="ECG134" s="562"/>
      <c r="ECH134" s="562"/>
      <c r="ECI134" s="562"/>
      <c r="ECJ134" s="562"/>
      <c r="ECK134" s="562"/>
      <c r="ECL134" s="562"/>
      <c r="ECM134" s="562"/>
      <c r="ECN134" s="562"/>
      <c r="ECO134" s="562"/>
      <c r="ECP134" s="562"/>
      <c r="ECQ134" s="562"/>
      <c r="ECR134" s="562"/>
      <c r="ECS134" s="562"/>
      <c r="ECT134" s="562"/>
      <c r="ECU134" s="562"/>
      <c r="ECV134" s="562"/>
      <c r="ECW134" s="562"/>
      <c r="ECX134" s="562"/>
      <c r="ECY134" s="562"/>
      <c r="ECZ134" s="562"/>
      <c r="EDA134" s="562"/>
      <c r="EDB134" s="562"/>
      <c r="EDC134" s="562"/>
      <c r="EDD134" s="562"/>
      <c r="EDE134" s="562"/>
      <c r="EDF134" s="562"/>
      <c r="EDG134" s="562"/>
      <c r="EDH134" s="562"/>
      <c r="EDI134" s="562"/>
      <c r="EDJ134" s="562"/>
      <c r="EDK134" s="562"/>
      <c r="EDL134" s="562"/>
      <c r="EDM134" s="562"/>
      <c r="EDN134" s="562"/>
      <c r="EDO134" s="562"/>
      <c r="EDP134" s="562"/>
      <c r="EDQ134" s="562"/>
      <c r="EDR134" s="562"/>
      <c r="EDS134" s="562"/>
      <c r="EDT134" s="562"/>
      <c r="EDU134" s="562"/>
      <c r="EDV134" s="562"/>
      <c r="EDW134" s="562"/>
      <c r="EDX134" s="562"/>
      <c r="EDY134" s="562"/>
      <c r="EDZ134" s="562"/>
      <c r="EEA134" s="562"/>
      <c r="EEB134" s="562"/>
      <c r="EEC134" s="562"/>
      <c r="EED134" s="562"/>
      <c r="EEE134" s="562"/>
      <c r="EEF134" s="562"/>
      <c r="EEG134" s="562"/>
      <c r="EEH134" s="562"/>
      <c r="EEI134" s="562"/>
      <c r="EEJ134" s="562"/>
      <c r="EEK134" s="562"/>
      <c r="EEL134" s="562"/>
      <c r="EEM134" s="562"/>
      <c r="EEN134" s="562"/>
      <c r="EEO134" s="562"/>
      <c r="EEP134" s="562"/>
      <c r="EEQ134" s="562"/>
      <c r="EER134" s="562"/>
      <c r="EES134" s="562"/>
      <c r="EET134" s="562"/>
      <c r="EEU134" s="562"/>
      <c r="EEV134" s="562"/>
      <c r="EEW134" s="562"/>
      <c r="EEX134" s="562"/>
      <c r="EEY134" s="562"/>
      <c r="EEZ134" s="562"/>
      <c r="EFA134" s="562"/>
      <c r="EFB134" s="562"/>
      <c r="EFC134" s="562"/>
      <c r="EFD134" s="562"/>
      <c r="EFE134" s="562"/>
      <c r="EFF134" s="562"/>
      <c r="EFG134" s="562"/>
      <c r="EFH134" s="562"/>
      <c r="EFI134" s="562"/>
      <c r="EFJ134" s="562"/>
      <c r="EFK134" s="562"/>
      <c r="EFL134" s="562"/>
      <c r="EFM134" s="562"/>
      <c r="EFN134" s="562"/>
      <c r="EFO134" s="562"/>
      <c r="EFP134" s="562"/>
      <c r="EFQ134" s="562"/>
      <c r="EFR134" s="562"/>
      <c r="EFS134" s="562"/>
      <c r="EFT134" s="562"/>
      <c r="EFU134" s="562"/>
      <c r="EFV134" s="562"/>
      <c r="EFW134" s="562"/>
      <c r="EFX134" s="562"/>
      <c r="EFY134" s="562"/>
      <c r="EFZ134" s="562"/>
      <c r="EGA134" s="562"/>
      <c r="EGB134" s="562"/>
      <c r="EGC134" s="562"/>
      <c r="EGD134" s="562"/>
      <c r="EGE134" s="562"/>
      <c r="EGF134" s="562"/>
      <c r="EGG134" s="562"/>
      <c r="EGH134" s="562"/>
      <c r="EGI134" s="562"/>
      <c r="EGJ134" s="562"/>
      <c r="EGK134" s="562"/>
      <c r="EGL134" s="562"/>
      <c r="EGM134" s="562"/>
      <c r="EGN134" s="562"/>
      <c r="EGO134" s="562"/>
      <c r="EGP134" s="562"/>
      <c r="EGQ134" s="562"/>
      <c r="EGR134" s="562"/>
      <c r="EGS134" s="562"/>
      <c r="EGT134" s="562"/>
      <c r="EGU134" s="562"/>
      <c r="EGV134" s="562"/>
      <c r="EGW134" s="562"/>
      <c r="EGX134" s="562"/>
      <c r="EGY134" s="562"/>
      <c r="EGZ134" s="562"/>
      <c r="EHA134" s="562"/>
      <c r="EHB134" s="562"/>
      <c r="EHC134" s="562"/>
      <c r="EHD134" s="562"/>
      <c r="EHE134" s="562"/>
      <c r="EHF134" s="562"/>
      <c r="EHG134" s="562"/>
      <c r="EHH134" s="562"/>
      <c r="EHI134" s="562"/>
      <c r="EHJ134" s="562"/>
      <c r="EHK134" s="562"/>
      <c r="EHL134" s="562"/>
      <c r="EHM134" s="562"/>
      <c r="EHN134" s="562"/>
      <c r="EHO134" s="562"/>
      <c r="EHP134" s="562"/>
      <c r="EHQ134" s="562"/>
      <c r="EHR134" s="562"/>
      <c r="EHS134" s="562"/>
      <c r="EHT134" s="562"/>
      <c r="EHU134" s="562"/>
      <c r="EHV134" s="562"/>
      <c r="EHW134" s="562"/>
      <c r="EHX134" s="562"/>
      <c r="EHY134" s="562"/>
      <c r="EHZ134" s="562"/>
      <c r="EIA134" s="562"/>
      <c r="EIB134" s="562"/>
      <c r="EIC134" s="562"/>
      <c r="EID134" s="562"/>
      <c r="EIE134" s="562"/>
      <c r="EIF134" s="562"/>
      <c r="EIG134" s="562"/>
      <c r="EIH134" s="562"/>
      <c r="EII134" s="562"/>
      <c r="EIJ134" s="562"/>
      <c r="EIK134" s="562"/>
      <c r="EIL134" s="562"/>
      <c r="EIM134" s="562"/>
      <c r="EIN134" s="562"/>
      <c r="EIO134" s="562"/>
      <c r="EIP134" s="562"/>
      <c r="EIQ134" s="562"/>
      <c r="EIR134" s="562"/>
      <c r="EIS134" s="562"/>
      <c r="EIT134" s="562"/>
      <c r="EIU134" s="562"/>
      <c r="EIV134" s="562"/>
      <c r="EIW134" s="562"/>
      <c r="EIX134" s="562"/>
      <c r="EIY134" s="562"/>
      <c r="EIZ134" s="562"/>
      <c r="EJA134" s="562"/>
      <c r="EJB134" s="562"/>
      <c r="EJC134" s="562"/>
      <c r="EJD134" s="562"/>
      <c r="EJE134" s="562"/>
      <c r="EJF134" s="562"/>
      <c r="EJG134" s="562"/>
      <c r="EJH134" s="562"/>
      <c r="EJI134" s="562"/>
      <c r="EJJ134" s="562"/>
      <c r="EJK134" s="562"/>
      <c r="EJL134" s="562"/>
      <c r="EJM134" s="562"/>
      <c r="EJN134" s="562"/>
      <c r="EJO134" s="562"/>
      <c r="EJP134" s="562"/>
      <c r="EJQ134" s="562"/>
      <c r="EJR134" s="562"/>
      <c r="EJS134" s="562"/>
      <c r="EJT134" s="562"/>
      <c r="EJU134" s="562"/>
      <c r="EJV134" s="562"/>
      <c r="EJW134" s="562"/>
      <c r="EJX134" s="562"/>
      <c r="EJY134" s="562"/>
      <c r="EJZ134" s="562"/>
      <c r="EKA134" s="562"/>
      <c r="EKB134" s="562"/>
      <c r="EKC134" s="562"/>
      <c r="EKD134" s="562"/>
      <c r="EKE134" s="562"/>
      <c r="EKF134" s="562"/>
      <c r="EKG134" s="562"/>
      <c r="EKH134" s="562"/>
      <c r="EKI134" s="562"/>
      <c r="EKJ134" s="562"/>
      <c r="EKK134" s="562"/>
      <c r="EKL134" s="562"/>
      <c r="EKM134" s="562"/>
      <c r="EKN134" s="562"/>
      <c r="EKO134" s="562"/>
      <c r="EKP134" s="562"/>
      <c r="EKQ134" s="562"/>
      <c r="EKR134" s="562"/>
      <c r="EKS134" s="562"/>
      <c r="EKT134" s="562"/>
      <c r="EKU134" s="562"/>
      <c r="EKV134" s="562"/>
      <c r="EKW134" s="562"/>
      <c r="EKX134" s="562"/>
      <c r="EKY134" s="562"/>
      <c r="EKZ134" s="562"/>
      <c r="ELA134" s="562"/>
      <c r="ELB134" s="562"/>
      <c r="ELC134" s="562"/>
      <c r="ELD134" s="562"/>
      <c r="ELE134" s="562"/>
      <c r="ELF134" s="562"/>
      <c r="ELG134" s="562"/>
      <c r="ELH134" s="562"/>
      <c r="ELI134" s="562"/>
      <c r="ELJ134" s="562"/>
      <c r="ELK134" s="562"/>
      <c r="ELL134" s="562"/>
      <c r="ELM134" s="562"/>
      <c r="ELN134" s="562"/>
      <c r="ELO134" s="562"/>
      <c r="ELP134" s="562"/>
      <c r="ELQ134" s="562"/>
      <c r="ELR134" s="562"/>
      <c r="ELS134" s="562"/>
      <c r="ELT134" s="562"/>
      <c r="ELU134" s="562"/>
      <c r="ELV134" s="562"/>
      <c r="ELW134" s="562"/>
      <c r="ELX134" s="562"/>
      <c r="ELY134" s="562"/>
      <c r="ELZ134" s="562"/>
      <c r="EMA134" s="562"/>
      <c r="EMB134" s="562"/>
      <c r="EMC134" s="562"/>
      <c r="EMD134" s="562"/>
      <c r="EME134" s="562"/>
      <c r="EMF134" s="562"/>
      <c r="EMG134" s="562"/>
      <c r="EMH134" s="562"/>
      <c r="EMI134" s="562"/>
      <c r="EMJ134" s="562"/>
      <c r="EMK134" s="562"/>
      <c r="EML134" s="562"/>
      <c r="EMM134" s="562"/>
      <c r="EMN134" s="562"/>
      <c r="EMO134" s="562"/>
      <c r="EMP134" s="562"/>
      <c r="EMQ134" s="562"/>
      <c r="EMR134" s="562"/>
      <c r="EMS134" s="562"/>
      <c r="EMT134" s="562"/>
      <c r="EMU134" s="562"/>
      <c r="EMV134" s="562"/>
      <c r="EMW134" s="562"/>
      <c r="EMX134" s="562"/>
      <c r="EMY134" s="562"/>
      <c r="EMZ134" s="562"/>
      <c r="ENA134" s="562"/>
      <c r="ENB134" s="562"/>
      <c r="ENC134" s="562"/>
      <c r="END134" s="562"/>
      <c r="ENE134" s="562"/>
      <c r="ENF134" s="562"/>
      <c r="ENG134" s="562"/>
      <c r="ENH134" s="562"/>
      <c r="ENI134" s="562"/>
      <c r="ENJ134" s="562"/>
      <c r="ENK134" s="562"/>
      <c r="ENL134" s="562"/>
      <c r="ENM134" s="562"/>
      <c r="ENN134" s="562"/>
      <c r="ENO134" s="562"/>
      <c r="ENP134" s="562"/>
      <c r="ENQ134" s="562"/>
      <c r="ENR134" s="562"/>
      <c r="ENS134" s="562"/>
      <c r="ENT134" s="562"/>
      <c r="ENU134" s="562"/>
      <c r="ENV134" s="562"/>
      <c r="ENW134" s="562"/>
      <c r="ENX134" s="562"/>
      <c r="ENY134" s="562"/>
      <c r="ENZ134" s="562"/>
      <c r="EOA134" s="562"/>
      <c r="EOB134" s="562"/>
      <c r="EOC134" s="562"/>
      <c r="EOD134" s="562"/>
      <c r="EOE134" s="562"/>
      <c r="EOF134" s="562"/>
      <c r="EOG134" s="562"/>
      <c r="EOH134" s="562"/>
      <c r="EOI134" s="562"/>
      <c r="EOJ134" s="562"/>
      <c r="EOK134" s="562"/>
      <c r="EOL134" s="562"/>
      <c r="EOM134" s="562"/>
      <c r="EON134" s="562"/>
      <c r="EOO134" s="562"/>
      <c r="EOP134" s="562"/>
      <c r="EOQ134" s="562"/>
      <c r="EOR134" s="562"/>
      <c r="EOS134" s="562"/>
      <c r="EOT134" s="562"/>
      <c r="EOU134" s="562"/>
      <c r="EOV134" s="562"/>
      <c r="EOW134" s="562"/>
      <c r="EOX134" s="562"/>
      <c r="EOY134" s="562"/>
      <c r="EOZ134" s="562"/>
      <c r="EPA134" s="562"/>
      <c r="EPB134" s="562"/>
      <c r="EPC134" s="562"/>
      <c r="EPD134" s="562"/>
      <c r="EPE134" s="562"/>
      <c r="EPF134" s="562"/>
      <c r="EPG134" s="562"/>
      <c r="EPH134" s="562"/>
      <c r="EPI134" s="562"/>
      <c r="EPJ134" s="562"/>
      <c r="EPK134" s="562"/>
      <c r="EPL134" s="562"/>
      <c r="EPM134" s="562"/>
      <c r="EPN134" s="562"/>
      <c r="EPO134" s="562"/>
      <c r="EPP134" s="562"/>
      <c r="EPQ134" s="562"/>
      <c r="EPR134" s="562"/>
      <c r="EPS134" s="562"/>
      <c r="EPT134" s="562"/>
      <c r="EPU134" s="562"/>
      <c r="EPV134" s="562"/>
      <c r="EPW134" s="562"/>
      <c r="EPX134" s="562"/>
      <c r="EPY134" s="562"/>
      <c r="EPZ134" s="562"/>
      <c r="EQA134" s="562"/>
      <c r="EQB134" s="562"/>
      <c r="EQC134" s="562"/>
      <c r="EQD134" s="562"/>
      <c r="EQE134" s="562"/>
      <c r="EQF134" s="562"/>
      <c r="EQG134" s="562"/>
      <c r="EQH134" s="562"/>
      <c r="EQI134" s="562"/>
      <c r="EQJ134" s="562"/>
      <c r="EQK134" s="562"/>
      <c r="EQL134" s="562"/>
      <c r="EQM134" s="562"/>
      <c r="EQN134" s="562"/>
      <c r="EQO134" s="562"/>
      <c r="EQP134" s="562"/>
      <c r="EQQ134" s="562"/>
      <c r="EQR134" s="562"/>
      <c r="EQS134" s="562"/>
      <c r="EQT134" s="562"/>
      <c r="EQU134" s="562"/>
      <c r="EQV134" s="562"/>
      <c r="EQW134" s="562"/>
      <c r="EQX134" s="562"/>
      <c r="EQY134" s="562"/>
      <c r="EQZ134" s="562"/>
      <c r="ERA134" s="562"/>
      <c r="ERB134" s="562"/>
      <c r="ERC134" s="562"/>
      <c r="ERD134" s="562"/>
      <c r="ERE134" s="562"/>
      <c r="ERF134" s="562"/>
      <c r="ERG134" s="562"/>
      <c r="ERH134" s="562"/>
      <c r="ERI134" s="562"/>
      <c r="ERJ134" s="562"/>
      <c r="ERK134" s="562"/>
      <c r="ERL134" s="562"/>
      <c r="ERM134" s="562"/>
      <c r="ERN134" s="562"/>
      <c r="ERO134" s="562"/>
      <c r="ERP134" s="562"/>
      <c r="ERQ134" s="562"/>
      <c r="ERR134" s="562"/>
      <c r="ERS134" s="562"/>
      <c r="ERT134" s="562"/>
      <c r="ERU134" s="562"/>
      <c r="ERV134" s="562"/>
      <c r="ERW134" s="562"/>
      <c r="ERX134" s="562"/>
      <c r="ERY134" s="562"/>
      <c r="ERZ134" s="562"/>
      <c r="ESA134" s="562"/>
      <c r="ESB134" s="562"/>
      <c r="ESC134" s="562"/>
      <c r="ESD134" s="562"/>
      <c r="ESE134" s="562"/>
      <c r="ESF134" s="562"/>
      <c r="ESG134" s="562"/>
      <c r="ESH134" s="562"/>
      <c r="ESI134" s="562"/>
      <c r="ESJ134" s="562"/>
      <c r="ESK134" s="562"/>
      <c r="ESL134" s="562"/>
      <c r="ESM134" s="562"/>
      <c r="ESN134" s="562"/>
      <c r="ESO134" s="562"/>
      <c r="ESP134" s="562"/>
      <c r="ESQ134" s="562"/>
      <c r="ESR134" s="562"/>
      <c r="ESS134" s="562"/>
      <c r="EST134" s="562"/>
      <c r="ESU134" s="562"/>
      <c r="ESV134" s="562"/>
      <c r="ESW134" s="562"/>
      <c r="ESX134" s="562"/>
      <c r="ESY134" s="562"/>
      <c r="ESZ134" s="562"/>
      <c r="ETA134" s="562"/>
      <c r="ETB134" s="562"/>
      <c r="ETC134" s="562"/>
      <c r="ETD134" s="562"/>
      <c r="ETE134" s="562"/>
      <c r="ETF134" s="562"/>
      <c r="ETG134" s="562"/>
      <c r="ETH134" s="562"/>
      <c r="ETI134" s="562"/>
      <c r="ETJ134" s="562"/>
      <c r="ETK134" s="562"/>
      <c r="ETL134" s="562"/>
      <c r="ETM134" s="562"/>
      <c r="ETN134" s="562"/>
      <c r="ETO134" s="562"/>
      <c r="ETP134" s="562"/>
      <c r="ETQ134" s="562"/>
      <c r="ETR134" s="562"/>
      <c r="ETS134" s="562"/>
      <c r="ETT134" s="562"/>
      <c r="ETU134" s="562"/>
      <c r="ETV134" s="562"/>
      <c r="ETW134" s="562"/>
      <c r="ETX134" s="562"/>
      <c r="ETY134" s="562"/>
      <c r="ETZ134" s="562"/>
      <c r="EUA134" s="562"/>
      <c r="EUB134" s="562"/>
      <c r="EUC134" s="562"/>
      <c r="EUD134" s="562"/>
      <c r="EUE134" s="562"/>
      <c r="EUF134" s="562"/>
      <c r="EUG134" s="562"/>
      <c r="EUH134" s="562"/>
      <c r="EUI134" s="562"/>
      <c r="EUJ134" s="562"/>
      <c r="EUK134" s="562"/>
      <c r="EUL134" s="562"/>
      <c r="EUM134" s="562"/>
      <c r="EUN134" s="562"/>
      <c r="EUO134" s="562"/>
      <c r="EUP134" s="562"/>
      <c r="EUQ134" s="562"/>
      <c r="EUR134" s="562"/>
      <c r="EUS134" s="562"/>
      <c r="EUT134" s="562"/>
      <c r="EUU134" s="562"/>
      <c r="EUV134" s="562"/>
      <c r="EUW134" s="562"/>
      <c r="EUX134" s="562"/>
      <c r="EUY134" s="562"/>
      <c r="EUZ134" s="562"/>
      <c r="EVA134" s="562"/>
      <c r="EVB134" s="562"/>
      <c r="EVC134" s="562"/>
      <c r="EVD134" s="562"/>
      <c r="EVE134" s="562"/>
      <c r="EVF134" s="562"/>
      <c r="EVG134" s="562"/>
      <c r="EVH134" s="562"/>
      <c r="EVI134" s="562"/>
      <c r="EVJ134" s="562"/>
      <c r="EVK134" s="562"/>
      <c r="EVL134" s="562"/>
      <c r="EVM134" s="562"/>
      <c r="EVN134" s="562"/>
      <c r="EVO134" s="562"/>
      <c r="EVP134" s="562"/>
      <c r="EVQ134" s="562"/>
      <c r="EVR134" s="562"/>
      <c r="EVS134" s="562"/>
      <c r="EVT134" s="562"/>
      <c r="EVU134" s="562"/>
      <c r="EVV134" s="562"/>
      <c r="EVW134" s="562"/>
      <c r="EVX134" s="562"/>
      <c r="EVY134" s="562"/>
      <c r="EVZ134" s="562"/>
      <c r="EWA134" s="562"/>
      <c r="EWB134" s="562"/>
      <c r="EWC134" s="562"/>
      <c r="EWD134" s="562"/>
      <c r="EWE134" s="562"/>
      <c r="EWF134" s="562"/>
      <c r="EWG134" s="562"/>
      <c r="EWH134" s="562"/>
      <c r="EWI134" s="562"/>
      <c r="EWJ134" s="562"/>
      <c r="EWK134" s="562"/>
      <c r="EWL134" s="562"/>
      <c r="EWM134" s="562"/>
      <c r="EWN134" s="562"/>
      <c r="EWO134" s="562"/>
      <c r="EWP134" s="562"/>
      <c r="EWQ134" s="562"/>
      <c r="EWR134" s="562"/>
      <c r="EWS134" s="562"/>
      <c r="EWT134" s="562"/>
      <c r="EWU134" s="562"/>
      <c r="EWV134" s="562"/>
      <c r="EWW134" s="562"/>
      <c r="EWX134" s="562"/>
      <c r="EWY134" s="562"/>
      <c r="EWZ134" s="562"/>
      <c r="EXA134" s="562"/>
      <c r="EXB134" s="562"/>
      <c r="EXC134" s="562"/>
      <c r="EXD134" s="562"/>
      <c r="EXE134" s="562"/>
      <c r="EXF134" s="562"/>
      <c r="EXG134" s="562"/>
      <c r="EXH134" s="562"/>
      <c r="EXI134" s="562"/>
      <c r="EXJ134" s="562"/>
      <c r="EXK134" s="562"/>
      <c r="EXL134" s="562"/>
      <c r="EXM134" s="562"/>
      <c r="EXN134" s="562"/>
      <c r="EXO134" s="562"/>
      <c r="EXP134" s="562"/>
      <c r="EXQ134" s="562"/>
      <c r="EXR134" s="562"/>
      <c r="EXS134" s="562"/>
      <c r="EXT134" s="562"/>
      <c r="EXU134" s="562"/>
      <c r="EXV134" s="562"/>
      <c r="EXW134" s="562"/>
      <c r="EXX134" s="562"/>
      <c r="EXY134" s="562"/>
      <c r="EXZ134" s="562"/>
      <c r="EYA134" s="562"/>
      <c r="EYB134" s="562"/>
      <c r="EYC134" s="562"/>
      <c r="EYD134" s="562"/>
      <c r="EYE134" s="562"/>
      <c r="EYF134" s="562"/>
      <c r="EYG134" s="562"/>
      <c r="EYH134" s="562"/>
      <c r="EYI134" s="562"/>
      <c r="EYJ134" s="562"/>
      <c r="EYK134" s="562"/>
      <c r="EYL134" s="562"/>
      <c r="EYM134" s="562"/>
      <c r="EYN134" s="562"/>
      <c r="EYO134" s="562"/>
      <c r="EYP134" s="562"/>
      <c r="EYQ134" s="562"/>
      <c r="EYR134" s="562"/>
      <c r="EYS134" s="562"/>
      <c r="EYT134" s="562"/>
      <c r="EYU134" s="562"/>
      <c r="EYV134" s="562"/>
      <c r="EYW134" s="562"/>
      <c r="EYX134" s="562"/>
      <c r="EYY134" s="562"/>
      <c r="EYZ134" s="562"/>
      <c r="EZA134" s="562"/>
      <c r="EZB134" s="562"/>
      <c r="EZC134" s="562"/>
      <c r="EZD134" s="562"/>
      <c r="EZE134" s="562"/>
      <c r="EZF134" s="562"/>
      <c r="EZG134" s="562"/>
      <c r="EZH134" s="562"/>
      <c r="EZI134" s="562"/>
      <c r="EZJ134" s="562"/>
      <c r="EZK134" s="562"/>
      <c r="EZL134" s="562"/>
      <c r="EZM134" s="562"/>
      <c r="EZN134" s="562"/>
      <c r="EZO134" s="562"/>
      <c r="EZP134" s="562"/>
      <c r="EZQ134" s="562"/>
      <c r="EZR134" s="562"/>
      <c r="EZS134" s="562"/>
      <c r="EZT134" s="562"/>
      <c r="EZU134" s="562"/>
      <c r="EZV134" s="562"/>
      <c r="EZW134" s="562"/>
      <c r="EZX134" s="562"/>
      <c r="EZY134" s="562"/>
      <c r="EZZ134" s="562"/>
      <c r="FAA134" s="562"/>
      <c r="FAB134" s="562"/>
      <c r="FAC134" s="562"/>
      <c r="FAD134" s="562"/>
      <c r="FAE134" s="562"/>
      <c r="FAF134" s="562"/>
      <c r="FAG134" s="562"/>
      <c r="FAH134" s="562"/>
      <c r="FAI134" s="562"/>
      <c r="FAJ134" s="562"/>
      <c r="FAK134" s="562"/>
      <c r="FAL134" s="562"/>
      <c r="FAM134" s="562"/>
      <c r="FAN134" s="562"/>
      <c r="FAO134" s="562"/>
      <c r="FAP134" s="562"/>
      <c r="FAQ134" s="562"/>
      <c r="FAR134" s="562"/>
      <c r="FAS134" s="562"/>
      <c r="FAT134" s="562"/>
      <c r="FAU134" s="562"/>
      <c r="FAV134" s="562"/>
      <c r="FAW134" s="562"/>
      <c r="FAX134" s="562"/>
      <c r="FAY134" s="562"/>
      <c r="FAZ134" s="562"/>
      <c r="FBA134" s="562"/>
      <c r="FBB134" s="562"/>
      <c r="FBC134" s="562"/>
      <c r="FBD134" s="562"/>
      <c r="FBE134" s="562"/>
      <c r="FBF134" s="562"/>
      <c r="FBG134" s="562"/>
      <c r="FBH134" s="562"/>
      <c r="FBI134" s="562"/>
      <c r="FBJ134" s="562"/>
      <c r="FBK134" s="562"/>
      <c r="FBL134" s="562"/>
      <c r="FBM134" s="562"/>
      <c r="FBN134" s="562"/>
      <c r="FBO134" s="562"/>
      <c r="FBP134" s="562"/>
      <c r="FBQ134" s="562"/>
      <c r="FBR134" s="562"/>
      <c r="FBS134" s="562"/>
      <c r="FBT134" s="562"/>
      <c r="FBU134" s="562"/>
      <c r="FBV134" s="562"/>
      <c r="FBW134" s="562"/>
      <c r="FBX134" s="562"/>
      <c r="FBY134" s="562"/>
      <c r="FBZ134" s="562"/>
      <c r="FCA134" s="562"/>
      <c r="FCB134" s="562"/>
      <c r="FCC134" s="562"/>
      <c r="FCD134" s="562"/>
      <c r="FCE134" s="562"/>
      <c r="FCF134" s="562"/>
      <c r="FCG134" s="562"/>
      <c r="FCH134" s="562"/>
      <c r="FCI134" s="562"/>
      <c r="FCJ134" s="562"/>
      <c r="FCK134" s="562"/>
      <c r="FCL134" s="562"/>
      <c r="FCM134" s="562"/>
      <c r="FCN134" s="562"/>
      <c r="FCO134" s="562"/>
      <c r="FCP134" s="562"/>
      <c r="FCQ134" s="562"/>
      <c r="FCR134" s="562"/>
      <c r="FCS134" s="562"/>
      <c r="FCT134" s="562"/>
      <c r="FCU134" s="562"/>
      <c r="FCV134" s="562"/>
      <c r="FCW134" s="562"/>
      <c r="FCX134" s="562"/>
      <c r="FCY134" s="562"/>
      <c r="FCZ134" s="562"/>
      <c r="FDA134" s="562"/>
      <c r="FDB134" s="562"/>
      <c r="FDC134" s="562"/>
      <c r="FDD134" s="562"/>
      <c r="FDE134" s="562"/>
      <c r="FDF134" s="562"/>
      <c r="FDG134" s="562"/>
      <c r="FDH134" s="562"/>
      <c r="FDI134" s="562"/>
      <c r="FDJ134" s="562"/>
      <c r="FDK134" s="562"/>
      <c r="FDL134" s="562"/>
      <c r="FDM134" s="562"/>
      <c r="FDN134" s="562"/>
      <c r="FDO134" s="562"/>
      <c r="FDP134" s="562"/>
      <c r="FDQ134" s="562"/>
      <c r="FDR134" s="562"/>
      <c r="FDS134" s="562"/>
      <c r="FDT134" s="562"/>
      <c r="FDU134" s="562"/>
      <c r="FDV134" s="562"/>
      <c r="FDW134" s="562"/>
      <c r="FDX134" s="562"/>
      <c r="FDY134" s="562"/>
      <c r="FDZ134" s="562"/>
      <c r="FEA134" s="562"/>
      <c r="FEB134" s="562"/>
      <c r="FEC134" s="562"/>
      <c r="FED134" s="562"/>
      <c r="FEE134" s="562"/>
      <c r="FEF134" s="562"/>
      <c r="FEG134" s="562"/>
      <c r="FEH134" s="562"/>
      <c r="FEI134" s="562"/>
      <c r="FEJ134" s="562"/>
      <c r="FEK134" s="562"/>
      <c r="FEL134" s="562"/>
      <c r="FEM134" s="562"/>
      <c r="FEN134" s="562"/>
      <c r="FEO134" s="562"/>
      <c r="FEP134" s="562"/>
      <c r="FEQ134" s="562"/>
      <c r="FER134" s="562"/>
      <c r="FES134" s="562"/>
      <c r="FET134" s="562"/>
      <c r="FEU134" s="562"/>
      <c r="FEV134" s="562"/>
      <c r="FEW134" s="562"/>
      <c r="FEX134" s="562"/>
      <c r="FEY134" s="562"/>
      <c r="FEZ134" s="562"/>
      <c r="FFA134" s="562"/>
      <c r="FFB134" s="562"/>
      <c r="FFC134" s="562"/>
      <c r="FFD134" s="562"/>
      <c r="FFE134" s="562"/>
      <c r="FFF134" s="562"/>
      <c r="FFG134" s="562"/>
      <c r="FFH134" s="562"/>
      <c r="FFI134" s="562"/>
      <c r="FFJ134" s="562"/>
      <c r="FFK134" s="562"/>
      <c r="FFL134" s="562"/>
      <c r="FFM134" s="562"/>
      <c r="FFN134" s="562"/>
      <c r="FFO134" s="562"/>
      <c r="FFP134" s="562"/>
      <c r="FFQ134" s="562"/>
      <c r="FFR134" s="562"/>
      <c r="FFS134" s="562"/>
      <c r="FFT134" s="562"/>
      <c r="FFU134" s="562"/>
      <c r="FFV134" s="562"/>
      <c r="FFW134" s="562"/>
      <c r="FFX134" s="562"/>
      <c r="FFY134" s="562"/>
      <c r="FFZ134" s="562"/>
      <c r="FGA134" s="562"/>
      <c r="FGB134" s="562"/>
      <c r="FGC134" s="562"/>
      <c r="FGD134" s="562"/>
      <c r="FGE134" s="562"/>
      <c r="FGF134" s="562"/>
      <c r="FGG134" s="562"/>
      <c r="FGH134" s="562"/>
      <c r="FGI134" s="562"/>
      <c r="FGJ134" s="562"/>
      <c r="FGK134" s="562"/>
      <c r="FGL134" s="562"/>
      <c r="FGM134" s="562"/>
      <c r="FGN134" s="562"/>
      <c r="FGO134" s="562"/>
      <c r="FGP134" s="562"/>
      <c r="FGQ134" s="562"/>
      <c r="FGR134" s="562"/>
      <c r="FGS134" s="562"/>
      <c r="FGT134" s="562"/>
      <c r="FGU134" s="562"/>
      <c r="FGV134" s="562"/>
      <c r="FGW134" s="562"/>
      <c r="FGX134" s="562"/>
      <c r="FGY134" s="562"/>
      <c r="FGZ134" s="562"/>
      <c r="FHA134" s="562"/>
      <c r="FHB134" s="562"/>
      <c r="FHC134" s="562"/>
      <c r="FHD134" s="562"/>
      <c r="FHE134" s="562"/>
      <c r="FHF134" s="562"/>
      <c r="FHG134" s="562"/>
      <c r="FHH134" s="562"/>
      <c r="FHI134" s="562"/>
      <c r="FHJ134" s="562"/>
      <c r="FHK134" s="562"/>
      <c r="FHL134" s="562"/>
      <c r="FHM134" s="562"/>
      <c r="FHN134" s="562"/>
      <c r="FHO134" s="562"/>
      <c r="FHP134" s="562"/>
      <c r="FHQ134" s="562"/>
      <c r="FHR134" s="562"/>
      <c r="FHS134" s="562"/>
      <c r="FHT134" s="562"/>
      <c r="FHU134" s="562"/>
      <c r="FHV134" s="562"/>
      <c r="FHW134" s="562"/>
      <c r="FHX134" s="562"/>
      <c r="FHY134" s="562"/>
      <c r="FHZ134" s="562"/>
      <c r="FIA134" s="562"/>
      <c r="FIB134" s="562"/>
      <c r="FIC134" s="562"/>
      <c r="FID134" s="562"/>
      <c r="FIE134" s="562"/>
      <c r="FIF134" s="562"/>
      <c r="FIG134" s="562"/>
      <c r="FIH134" s="562"/>
      <c r="FII134" s="562"/>
      <c r="FIJ134" s="562"/>
      <c r="FIK134" s="562"/>
      <c r="FIL134" s="562"/>
      <c r="FIM134" s="562"/>
      <c r="FIN134" s="562"/>
      <c r="FIO134" s="562"/>
      <c r="FIP134" s="562"/>
      <c r="FIQ134" s="562"/>
      <c r="FIR134" s="562"/>
      <c r="FIS134" s="562"/>
      <c r="FIT134" s="562"/>
      <c r="FIU134" s="562"/>
      <c r="FIV134" s="562"/>
      <c r="FIW134" s="562"/>
      <c r="FIX134" s="562"/>
      <c r="FIY134" s="562"/>
      <c r="FIZ134" s="562"/>
      <c r="FJA134" s="562"/>
      <c r="FJB134" s="562"/>
      <c r="FJC134" s="562"/>
      <c r="FJD134" s="562"/>
      <c r="FJE134" s="562"/>
      <c r="FJF134" s="562"/>
      <c r="FJG134" s="562"/>
      <c r="FJH134" s="562"/>
      <c r="FJI134" s="562"/>
      <c r="FJJ134" s="562"/>
      <c r="FJK134" s="562"/>
      <c r="FJL134" s="562"/>
      <c r="FJM134" s="562"/>
      <c r="FJN134" s="562"/>
      <c r="FJO134" s="562"/>
      <c r="FJP134" s="562"/>
      <c r="FJQ134" s="562"/>
      <c r="FJR134" s="562"/>
      <c r="FJS134" s="562"/>
      <c r="FJT134" s="562"/>
      <c r="FJU134" s="562"/>
      <c r="FJV134" s="562"/>
      <c r="FJW134" s="562"/>
      <c r="FJX134" s="562"/>
      <c r="FJY134" s="562"/>
      <c r="FJZ134" s="562"/>
      <c r="FKA134" s="562"/>
      <c r="FKB134" s="562"/>
      <c r="FKC134" s="562"/>
      <c r="FKD134" s="562"/>
      <c r="FKE134" s="562"/>
      <c r="FKF134" s="562"/>
      <c r="FKG134" s="562"/>
      <c r="FKH134" s="562"/>
      <c r="FKI134" s="562"/>
      <c r="FKJ134" s="562"/>
      <c r="FKK134" s="562"/>
      <c r="FKL134" s="562"/>
      <c r="FKM134" s="562"/>
      <c r="FKN134" s="562"/>
      <c r="FKO134" s="562"/>
      <c r="FKP134" s="562"/>
      <c r="FKQ134" s="562"/>
      <c r="FKR134" s="562"/>
      <c r="FKS134" s="562"/>
      <c r="FKT134" s="562"/>
      <c r="FKU134" s="562"/>
      <c r="FKV134" s="562"/>
      <c r="FKW134" s="562"/>
      <c r="FKX134" s="562"/>
      <c r="FKY134" s="562"/>
      <c r="FKZ134" s="562"/>
      <c r="FLA134" s="562"/>
      <c r="FLB134" s="562"/>
      <c r="FLC134" s="562"/>
      <c r="FLD134" s="562"/>
      <c r="FLE134" s="562"/>
      <c r="FLF134" s="562"/>
      <c r="FLG134" s="562"/>
      <c r="FLH134" s="562"/>
      <c r="FLI134" s="562"/>
      <c r="FLJ134" s="562"/>
      <c r="FLK134" s="562"/>
      <c r="FLL134" s="562"/>
      <c r="FLM134" s="562"/>
      <c r="FLN134" s="562"/>
      <c r="FLO134" s="562"/>
      <c r="FLP134" s="562"/>
      <c r="FLQ134" s="562"/>
      <c r="FLR134" s="562"/>
      <c r="FLS134" s="562"/>
      <c r="FLT134" s="562"/>
      <c r="FLU134" s="562"/>
      <c r="FLV134" s="562"/>
      <c r="FLW134" s="562"/>
      <c r="FLX134" s="562"/>
      <c r="FLY134" s="562"/>
      <c r="FLZ134" s="562"/>
      <c r="FMA134" s="562"/>
      <c r="FMB134" s="562"/>
      <c r="FMC134" s="562"/>
      <c r="FMD134" s="562"/>
      <c r="FME134" s="562"/>
      <c r="FMF134" s="562"/>
      <c r="FMG134" s="562"/>
      <c r="FMH134" s="562"/>
      <c r="FMI134" s="562"/>
      <c r="FMJ134" s="562"/>
      <c r="FMK134" s="562"/>
      <c r="FML134" s="562"/>
      <c r="FMM134" s="562"/>
      <c r="FMN134" s="562"/>
      <c r="FMO134" s="562"/>
      <c r="FMP134" s="562"/>
      <c r="FMQ134" s="562"/>
      <c r="FMR134" s="562"/>
      <c r="FMS134" s="562"/>
      <c r="FMT134" s="562"/>
      <c r="FMU134" s="562"/>
      <c r="FMV134" s="562"/>
      <c r="FMW134" s="562"/>
      <c r="FMX134" s="562"/>
      <c r="FMY134" s="562"/>
      <c r="FMZ134" s="562"/>
      <c r="FNA134" s="562"/>
      <c r="FNB134" s="562"/>
      <c r="FNC134" s="562"/>
      <c r="FND134" s="562"/>
      <c r="FNE134" s="562"/>
      <c r="FNF134" s="562"/>
      <c r="FNG134" s="562"/>
      <c r="FNH134" s="562"/>
      <c r="FNI134" s="562"/>
      <c r="FNJ134" s="562"/>
      <c r="FNK134" s="562"/>
      <c r="FNL134" s="562"/>
      <c r="FNM134" s="562"/>
      <c r="FNN134" s="562"/>
      <c r="FNO134" s="562"/>
      <c r="FNP134" s="562"/>
      <c r="FNQ134" s="562"/>
      <c r="FNR134" s="562"/>
      <c r="FNS134" s="562"/>
      <c r="FNT134" s="562"/>
      <c r="FNU134" s="562"/>
      <c r="FNV134" s="562"/>
      <c r="FNW134" s="562"/>
      <c r="FNX134" s="562"/>
      <c r="FNY134" s="562"/>
      <c r="FNZ134" s="562"/>
      <c r="FOA134" s="562"/>
      <c r="FOB134" s="562"/>
      <c r="FOC134" s="562"/>
      <c r="FOD134" s="562"/>
      <c r="FOE134" s="562"/>
      <c r="FOF134" s="562"/>
      <c r="FOG134" s="562"/>
      <c r="FOH134" s="562"/>
      <c r="FOI134" s="562"/>
      <c r="FOJ134" s="562"/>
      <c r="FOK134" s="562"/>
      <c r="FOL134" s="562"/>
      <c r="FOM134" s="562"/>
      <c r="FON134" s="562"/>
      <c r="FOO134" s="562"/>
      <c r="FOP134" s="562"/>
      <c r="FOQ134" s="562"/>
      <c r="FOR134" s="562"/>
      <c r="FOS134" s="562"/>
      <c r="FOT134" s="562"/>
      <c r="FOU134" s="562"/>
      <c r="FOV134" s="562"/>
      <c r="FOW134" s="562"/>
      <c r="FOX134" s="562"/>
      <c r="FOY134" s="562"/>
      <c r="FOZ134" s="562"/>
      <c r="FPA134" s="562"/>
      <c r="FPB134" s="562"/>
      <c r="FPC134" s="562"/>
      <c r="FPD134" s="562"/>
      <c r="FPE134" s="562"/>
      <c r="FPF134" s="562"/>
      <c r="FPG134" s="562"/>
      <c r="FPH134" s="562"/>
      <c r="FPI134" s="562"/>
      <c r="FPJ134" s="562"/>
      <c r="FPK134" s="562"/>
      <c r="FPL134" s="562"/>
      <c r="FPM134" s="562"/>
      <c r="FPN134" s="562"/>
      <c r="FPO134" s="562"/>
      <c r="FPP134" s="562"/>
      <c r="FPQ134" s="562"/>
      <c r="FPR134" s="562"/>
      <c r="FPS134" s="562"/>
      <c r="FPT134" s="562"/>
      <c r="FPU134" s="562"/>
      <c r="FPV134" s="562"/>
      <c r="FPW134" s="562"/>
      <c r="FPX134" s="562"/>
      <c r="FPY134" s="562"/>
      <c r="FPZ134" s="562"/>
      <c r="FQA134" s="562"/>
      <c r="FQB134" s="562"/>
      <c r="FQC134" s="562"/>
      <c r="FQD134" s="562"/>
      <c r="FQE134" s="562"/>
      <c r="FQF134" s="562"/>
      <c r="FQG134" s="562"/>
      <c r="FQH134" s="562"/>
      <c r="FQI134" s="562"/>
      <c r="FQJ134" s="562"/>
      <c r="FQK134" s="562"/>
      <c r="FQL134" s="562"/>
      <c r="FQM134" s="562"/>
      <c r="FQN134" s="562"/>
      <c r="FQO134" s="562"/>
      <c r="FQP134" s="562"/>
      <c r="FQQ134" s="562"/>
      <c r="FQR134" s="562"/>
      <c r="FQS134" s="562"/>
      <c r="FQT134" s="562"/>
      <c r="FQU134" s="562"/>
      <c r="FQV134" s="562"/>
      <c r="FQW134" s="562"/>
      <c r="FQX134" s="562"/>
      <c r="FQY134" s="562"/>
      <c r="FQZ134" s="562"/>
      <c r="FRA134" s="562"/>
      <c r="FRB134" s="562"/>
      <c r="FRC134" s="562"/>
      <c r="FRD134" s="562"/>
      <c r="FRE134" s="562"/>
      <c r="FRF134" s="562"/>
      <c r="FRG134" s="562"/>
      <c r="FRH134" s="562"/>
      <c r="FRI134" s="562"/>
      <c r="FRJ134" s="562"/>
      <c r="FRK134" s="562"/>
      <c r="FRL134" s="562"/>
      <c r="FRM134" s="562"/>
      <c r="FRN134" s="562"/>
      <c r="FRO134" s="562"/>
      <c r="FRP134" s="562"/>
      <c r="FRQ134" s="562"/>
      <c r="FRR134" s="562"/>
      <c r="FRS134" s="562"/>
      <c r="FRT134" s="562"/>
      <c r="FRU134" s="562"/>
      <c r="FRV134" s="562"/>
      <c r="FRW134" s="562"/>
      <c r="FRX134" s="562"/>
      <c r="FRY134" s="562"/>
      <c r="FRZ134" s="562"/>
      <c r="FSA134" s="562"/>
      <c r="FSB134" s="562"/>
      <c r="FSC134" s="562"/>
      <c r="FSD134" s="562"/>
      <c r="FSE134" s="562"/>
      <c r="FSF134" s="562"/>
      <c r="FSG134" s="562"/>
      <c r="FSH134" s="562"/>
      <c r="FSI134" s="562"/>
      <c r="FSJ134" s="562"/>
      <c r="FSK134" s="562"/>
      <c r="FSL134" s="562"/>
      <c r="FSM134" s="562"/>
      <c r="FSN134" s="562"/>
      <c r="FSO134" s="562"/>
      <c r="FSP134" s="562"/>
      <c r="FSQ134" s="562"/>
      <c r="FSR134" s="562"/>
      <c r="FSS134" s="562"/>
      <c r="FST134" s="562"/>
      <c r="FSU134" s="562"/>
      <c r="FSV134" s="562"/>
      <c r="FSW134" s="562"/>
      <c r="FSX134" s="562"/>
      <c r="FSY134" s="562"/>
      <c r="FSZ134" s="562"/>
      <c r="FTA134" s="562"/>
      <c r="FTB134" s="562"/>
      <c r="FTC134" s="562"/>
      <c r="FTD134" s="562"/>
      <c r="FTE134" s="562"/>
      <c r="FTF134" s="562"/>
      <c r="FTG134" s="562"/>
      <c r="FTH134" s="562"/>
      <c r="FTI134" s="562"/>
      <c r="FTJ134" s="562"/>
      <c r="FTK134" s="562"/>
      <c r="FTL134" s="562"/>
      <c r="FTM134" s="562"/>
      <c r="FTN134" s="562"/>
      <c r="FTO134" s="562"/>
      <c r="FTP134" s="562"/>
      <c r="FTQ134" s="562"/>
      <c r="FTR134" s="562"/>
      <c r="FTS134" s="562"/>
      <c r="FTT134" s="562"/>
      <c r="FTU134" s="562"/>
      <c r="FTV134" s="562"/>
      <c r="FTW134" s="562"/>
      <c r="FTX134" s="562"/>
      <c r="FTY134" s="562"/>
      <c r="FTZ134" s="562"/>
      <c r="FUA134" s="562"/>
      <c r="FUB134" s="562"/>
      <c r="FUC134" s="562"/>
      <c r="FUD134" s="562"/>
      <c r="FUE134" s="562"/>
      <c r="FUF134" s="562"/>
      <c r="FUG134" s="562"/>
      <c r="FUH134" s="562"/>
      <c r="FUI134" s="562"/>
      <c r="FUJ134" s="562"/>
      <c r="FUK134" s="562"/>
      <c r="FUL134" s="562"/>
      <c r="FUM134" s="562"/>
      <c r="FUN134" s="562"/>
      <c r="FUO134" s="562"/>
      <c r="FUP134" s="562"/>
      <c r="FUQ134" s="562"/>
      <c r="FUR134" s="562"/>
      <c r="FUS134" s="562"/>
      <c r="FUT134" s="562"/>
      <c r="FUU134" s="562"/>
      <c r="FUV134" s="562"/>
      <c r="FUW134" s="562"/>
      <c r="FUX134" s="562"/>
      <c r="FUY134" s="562"/>
      <c r="FUZ134" s="562"/>
      <c r="FVA134" s="562"/>
      <c r="FVB134" s="562"/>
      <c r="FVC134" s="562"/>
      <c r="FVD134" s="562"/>
      <c r="FVE134" s="562"/>
      <c r="FVF134" s="562"/>
      <c r="FVG134" s="562"/>
      <c r="FVH134" s="562"/>
      <c r="FVI134" s="562"/>
      <c r="FVJ134" s="562"/>
      <c r="FVK134" s="562"/>
      <c r="FVL134" s="562"/>
      <c r="FVM134" s="562"/>
      <c r="FVN134" s="562"/>
      <c r="FVO134" s="562"/>
      <c r="FVP134" s="562"/>
      <c r="FVQ134" s="562"/>
      <c r="FVR134" s="562"/>
      <c r="FVS134" s="562"/>
      <c r="FVT134" s="562"/>
      <c r="FVU134" s="562"/>
      <c r="FVV134" s="562"/>
      <c r="FVW134" s="562"/>
      <c r="FVX134" s="562"/>
      <c r="FVY134" s="562"/>
      <c r="FVZ134" s="562"/>
      <c r="FWA134" s="562"/>
      <c r="FWB134" s="562"/>
      <c r="FWC134" s="562"/>
      <c r="FWD134" s="562"/>
      <c r="FWE134" s="562"/>
      <c r="FWF134" s="562"/>
      <c r="FWG134" s="562"/>
      <c r="FWH134" s="562"/>
      <c r="FWI134" s="562"/>
      <c r="FWJ134" s="562"/>
      <c r="FWK134" s="562"/>
      <c r="FWL134" s="562"/>
      <c r="FWM134" s="562"/>
      <c r="FWN134" s="562"/>
      <c r="FWO134" s="562"/>
      <c r="FWP134" s="562"/>
      <c r="FWQ134" s="562"/>
      <c r="FWR134" s="562"/>
      <c r="FWS134" s="562"/>
      <c r="FWT134" s="562"/>
      <c r="FWU134" s="562"/>
      <c r="FWV134" s="562"/>
      <c r="FWW134" s="562"/>
      <c r="FWX134" s="562"/>
      <c r="FWY134" s="562"/>
      <c r="FWZ134" s="562"/>
      <c r="FXA134" s="562"/>
      <c r="FXB134" s="562"/>
      <c r="FXC134" s="562"/>
      <c r="FXD134" s="562"/>
      <c r="FXE134" s="562"/>
      <c r="FXF134" s="562"/>
      <c r="FXG134" s="562"/>
      <c r="FXH134" s="562"/>
      <c r="FXI134" s="562"/>
      <c r="FXJ134" s="562"/>
      <c r="FXK134" s="562"/>
      <c r="FXL134" s="562"/>
      <c r="FXM134" s="562"/>
      <c r="FXN134" s="562"/>
      <c r="FXO134" s="562"/>
      <c r="FXP134" s="562"/>
      <c r="FXQ134" s="562"/>
      <c r="FXR134" s="562"/>
      <c r="FXS134" s="562"/>
      <c r="FXT134" s="562"/>
      <c r="FXU134" s="562"/>
      <c r="FXV134" s="562"/>
      <c r="FXW134" s="562"/>
      <c r="FXX134" s="562"/>
      <c r="FXY134" s="562"/>
      <c r="FXZ134" s="562"/>
      <c r="FYA134" s="562"/>
      <c r="FYB134" s="562"/>
      <c r="FYC134" s="562"/>
      <c r="FYD134" s="562"/>
      <c r="FYE134" s="562"/>
      <c r="FYF134" s="562"/>
      <c r="FYG134" s="562"/>
      <c r="FYH134" s="562"/>
      <c r="FYI134" s="562"/>
      <c r="FYJ134" s="562"/>
      <c r="FYK134" s="562"/>
      <c r="FYL134" s="562"/>
      <c r="FYM134" s="562"/>
      <c r="FYN134" s="562"/>
      <c r="FYO134" s="562"/>
      <c r="FYP134" s="562"/>
      <c r="FYQ134" s="562"/>
      <c r="FYR134" s="562"/>
      <c r="FYS134" s="562"/>
      <c r="FYT134" s="562"/>
      <c r="FYU134" s="562"/>
      <c r="FYV134" s="562"/>
      <c r="FYW134" s="562"/>
      <c r="FYX134" s="562"/>
      <c r="FYY134" s="562"/>
      <c r="FYZ134" s="562"/>
      <c r="FZA134" s="562"/>
      <c r="FZB134" s="562"/>
      <c r="FZC134" s="562"/>
      <c r="FZD134" s="562"/>
      <c r="FZE134" s="562"/>
      <c r="FZF134" s="562"/>
      <c r="FZG134" s="562"/>
      <c r="FZH134" s="562"/>
      <c r="FZI134" s="562"/>
      <c r="FZJ134" s="562"/>
      <c r="FZK134" s="562"/>
      <c r="FZL134" s="562"/>
      <c r="FZM134" s="562"/>
      <c r="FZN134" s="562"/>
      <c r="FZO134" s="562"/>
      <c r="FZP134" s="562"/>
      <c r="FZQ134" s="562"/>
      <c r="FZR134" s="562"/>
      <c r="FZS134" s="562"/>
      <c r="FZT134" s="562"/>
      <c r="FZU134" s="562"/>
      <c r="FZV134" s="562"/>
      <c r="FZW134" s="562"/>
      <c r="FZX134" s="562"/>
      <c r="FZY134" s="562"/>
      <c r="FZZ134" s="562"/>
      <c r="GAA134" s="562"/>
      <c r="GAB134" s="562"/>
      <c r="GAC134" s="562"/>
      <c r="GAD134" s="562"/>
      <c r="GAE134" s="562"/>
      <c r="GAF134" s="562"/>
      <c r="GAG134" s="562"/>
      <c r="GAH134" s="562"/>
      <c r="GAI134" s="562"/>
      <c r="GAJ134" s="562"/>
      <c r="GAK134" s="562"/>
      <c r="GAL134" s="562"/>
      <c r="GAM134" s="562"/>
      <c r="GAN134" s="562"/>
      <c r="GAO134" s="562"/>
      <c r="GAP134" s="562"/>
      <c r="GAQ134" s="562"/>
      <c r="GAR134" s="562"/>
      <c r="GAS134" s="562"/>
      <c r="GAT134" s="562"/>
      <c r="GAU134" s="562"/>
      <c r="GAV134" s="562"/>
      <c r="GAW134" s="562"/>
      <c r="GAX134" s="562"/>
      <c r="GAY134" s="562"/>
      <c r="GAZ134" s="562"/>
      <c r="GBA134" s="562"/>
      <c r="GBB134" s="562"/>
      <c r="GBC134" s="562"/>
      <c r="GBD134" s="562"/>
      <c r="GBE134" s="562"/>
      <c r="GBF134" s="562"/>
      <c r="GBG134" s="562"/>
      <c r="GBH134" s="562"/>
      <c r="GBI134" s="562"/>
      <c r="GBJ134" s="562"/>
      <c r="GBK134" s="562"/>
      <c r="GBL134" s="562"/>
      <c r="GBM134" s="562"/>
      <c r="GBN134" s="562"/>
      <c r="GBO134" s="562"/>
      <c r="GBP134" s="562"/>
      <c r="GBQ134" s="562"/>
      <c r="GBR134" s="562"/>
      <c r="GBS134" s="562"/>
      <c r="GBT134" s="562"/>
      <c r="GBU134" s="562"/>
      <c r="GBV134" s="562"/>
      <c r="GBW134" s="562"/>
      <c r="GBX134" s="562"/>
      <c r="GBY134" s="562"/>
      <c r="GBZ134" s="562"/>
      <c r="GCA134" s="562"/>
      <c r="GCB134" s="562"/>
      <c r="GCC134" s="562"/>
      <c r="GCD134" s="562"/>
      <c r="GCE134" s="562"/>
      <c r="GCF134" s="562"/>
      <c r="GCG134" s="562"/>
      <c r="GCH134" s="562"/>
      <c r="GCI134" s="562"/>
      <c r="GCJ134" s="562"/>
      <c r="GCK134" s="562"/>
      <c r="GCL134" s="562"/>
      <c r="GCM134" s="562"/>
      <c r="GCN134" s="562"/>
      <c r="GCO134" s="562"/>
      <c r="GCP134" s="562"/>
      <c r="GCQ134" s="562"/>
      <c r="GCR134" s="562"/>
      <c r="GCS134" s="562"/>
      <c r="GCT134" s="562"/>
      <c r="GCU134" s="562"/>
      <c r="GCV134" s="562"/>
      <c r="GCW134" s="562"/>
      <c r="GCX134" s="562"/>
      <c r="GCY134" s="562"/>
      <c r="GCZ134" s="562"/>
      <c r="GDA134" s="562"/>
      <c r="GDB134" s="562"/>
      <c r="GDC134" s="562"/>
      <c r="GDD134" s="562"/>
      <c r="GDE134" s="562"/>
      <c r="GDF134" s="562"/>
      <c r="GDG134" s="562"/>
      <c r="GDH134" s="562"/>
      <c r="GDI134" s="562"/>
      <c r="GDJ134" s="562"/>
      <c r="GDK134" s="562"/>
      <c r="GDL134" s="562"/>
      <c r="GDM134" s="562"/>
      <c r="GDN134" s="562"/>
      <c r="GDO134" s="562"/>
      <c r="GDP134" s="562"/>
      <c r="GDQ134" s="562"/>
      <c r="GDR134" s="562"/>
      <c r="GDS134" s="562"/>
      <c r="GDT134" s="562"/>
      <c r="GDU134" s="562"/>
      <c r="GDV134" s="562"/>
      <c r="GDW134" s="562"/>
      <c r="GDX134" s="562"/>
      <c r="GDY134" s="562"/>
      <c r="GDZ134" s="562"/>
      <c r="GEA134" s="562"/>
      <c r="GEB134" s="562"/>
      <c r="GEC134" s="562"/>
      <c r="GED134" s="562"/>
      <c r="GEE134" s="562"/>
      <c r="GEF134" s="562"/>
      <c r="GEG134" s="562"/>
      <c r="GEH134" s="562"/>
      <c r="GEI134" s="562"/>
      <c r="GEJ134" s="562"/>
      <c r="GEK134" s="562"/>
      <c r="GEL134" s="562"/>
      <c r="GEM134" s="562"/>
      <c r="GEN134" s="562"/>
      <c r="GEO134" s="562"/>
      <c r="GEP134" s="562"/>
      <c r="GEQ134" s="562"/>
      <c r="GER134" s="562"/>
      <c r="GES134" s="562"/>
      <c r="GET134" s="562"/>
      <c r="GEU134" s="562"/>
      <c r="GEV134" s="562"/>
      <c r="GEW134" s="562"/>
      <c r="GEX134" s="562"/>
      <c r="GEY134" s="562"/>
      <c r="GEZ134" s="562"/>
      <c r="GFA134" s="562"/>
      <c r="GFB134" s="562"/>
      <c r="GFC134" s="562"/>
      <c r="GFD134" s="562"/>
      <c r="GFE134" s="562"/>
      <c r="GFF134" s="562"/>
      <c r="GFG134" s="562"/>
      <c r="GFH134" s="562"/>
      <c r="GFI134" s="562"/>
      <c r="GFJ134" s="562"/>
      <c r="GFK134" s="562"/>
      <c r="GFL134" s="562"/>
      <c r="GFM134" s="562"/>
      <c r="GFN134" s="562"/>
      <c r="GFO134" s="562"/>
      <c r="GFP134" s="562"/>
      <c r="GFQ134" s="562"/>
      <c r="GFR134" s="562"/>
      <c r="GFS134" s="562"/>
      <c r="GFT134" s="562"/>
      <c r="GFU134" s="562"/>
      <c r="GFV134" s="562"/>
      <c r="GFW134" s="562"/>
      <c r="GFX134" s="562"/>
      <c r="GFY134" s="562"/>
      <c r="GFZ134" s="562"/>
      <c r="GGA134" s="562"/>
      <c r="GGB134" s="562"/>
      <c r="GGC134" s="562"/>
      <c r="GGD134" s="562"/>
      <c r="GGE134" s="562"/>
      <c r="GGF134" s="562"/>
      <c r="GGG134" s="562"/>
      <c r="GGH134" s="562"/>
      <c r="GGI134" s="562"/>
      <c r="GGJ134" s="562"/>
      <c r="GGK134" s="562"/>
      <c r="GGL134" s="562"/>
      <c r="GGM134" s="562"/>
      <c r="GGN134" s="562"/>
      <c r="GGO134" s="562"/>
      <c r="GGP134" s="562"/>
      <c r="GGQ134" s="562"/>
      <c r="GGR134" s="562"/>
      <c r="GGS134" s="562"/>
      <c r="GGT134" s="562"/>
      <c r="GGU134" s="562"/>
      <c r="GGV134" s="562"/>
      <c r="GGW134" s="562"/>
      <c r="GGX134" s="562"/>
      <c r="GGY134" s="562"/>
      <c r="GGZ134" s="562"/>
      <c r="GHA134" s="562"/>
      <c r="GHB134" s="562"/>
      <c r="GHC134" s="562"/>
      <c r="GHD134" s="562"/>
      <c r="GHE134" s="562"/>
      <c r="GHF134" s="562"/>
      <c r="GHG134" s="562"/>
      <c r="GHH134" s="562"/>
      <c r="GHI134" s="562"/>
      <c r="GHJ134" s="562"/>
      <c r="GHK134" s="562"/>
      <c r="GHL134" s="562"/>
      <c r="GHM134" s="562"/>
      <c r="GHN134" s="562"/>
      <c r="GHO134" s="562"/>
      <c r="GHP134" s="562"/>
      <c r="GHQ134" s="562"/>
      <c r="GHR134" s="562"/>
      <c r="GHS134" s="562"/>
      <c r="GHT134" s="562"/>
      <c r="GHU134" s="562"/>
      <c r="GHV134" s="562"/>
      <c r="GHW134" s="562"/>
      <c r="GHX134" s="562"/>
      <c r="GHY134" s="562"/>
      <c r="GHZ134" s="562"/>
      <c r="GIA134" s="562"/>
      <c r="GIB134" s="562"/>
      <c r="GIC134" s="562"/>
      <c r="GID134" s="562"/>
      <c r="GIE134" s="562"/>
      <c r="GIF134" s="562"/>
      <c r="GIG134" s="562"/>
      <c r="GIH134" s="562"/>
      <c r="GII134" s="562"/>
      <c r="GIJ134" s="562"/>
      <c r="GIK134" s="562"/>
      <c r="GIL134" s="562"/>
      <c r="GIM134" s="562"/>
      <c r="GIN134" s="562"/>
      <c r="GIO134" s="562"/>
      <c r="GIP134" s="562"/>
      <c r="GIQ134" s="562"/>
      <c r="GIR134" s="562"/>
      <c r="GIS134" s="562"/>
      <c r="GIT134" s="562"/>
      <c r="GIU134" s="562"/>
      <c r="GIV134" s="562"/>
      <c r="GIW134" s="562"/>
      <c r="GIX134" s="562"/>
      <c r="GIY134" s="562"/>
      <c r="GIZ134" s="562"/>
      <c r="GJA134" s="562"/>
      <c r="GJB134" s="562"/>
      <c r="GJC134" s="562"/>
      <c r="GJD134" s="562"/>
      <c r="GJE134" s="562"/>
      <c r="GJF134" s="562"/>
      <c r="GJG134" s="562"/>
      <c r="GJH134" s="562"/>
      <c r="GJI134" s="562"/>
      <c r="GJJ134" s="562"/>
      <c r="GJK134" s="562"/>
      <c r="GJL134" s="562"/>
      <c r="GJM134" s="562"/>
      <c r="GJN134" s="562"/>
      <c r="GJO134" s="562"/>
      <c r="GJP134" s="562"/>
      <c r="GJQ134" s="562"/>
      <c r="GJR134" s="562"/>
      <c r="GJS134" s="562"/>
      <c r="GJT134" s="562"/>
      <c r="GJU134" s="562"/>
      <c r="GJV134" s="562"/>
      <c r="GJW134" s="562"/>
      <c r="GJX134" s="562"/>
      <c r="GJY134" s="562"/>
      <c r="GJZ134" s="562"/>
      <c r="GKA134" s="562"/>
      <c r="GKB134" s="562"/>
      <c r="GKC134" s="562"/>
      <c r="GKD134" s="562"/>
      <c r="GKE134" s="562"/>
      <c r="GKF134" s="562"/>
      <c r="GKG134" s="562"/>
      <c r="GKH134" s="562"/>
      <c r="GKI134" s="562"/>
      <c r="GKJ134" s="562"/>
      <c r="GKK134" s="562"/>
      <c r="GKL134" s="562"/>
      <c r="GKM134" s="562"/>
      <c r="GKN134" s="562"/>
      <c r="GKO134" s="562"/>
      <c r="GKP134" s="562"/>
      <c r="GKQ134" s="562"/>
      <c r="GKR134" s="562"/>
      <c r="GKS134" s="562"/>
      <c r="GKT134" s="562"/>
      <c r="GKU134" s="562"/>
      <c r="GKV134" s="562"/>
      <c r="GKW134" s="562"/>
      <c r="GKX134" s="562"/>
      <c r="GKY134" s="562"/>
      <c r="GKZ134" s="562"/>
      <c r="GLA134" s="562"/>
      <c r="GLB134" s="562"/>
      <c r="GLC134" s="562"/>
      <c r="GLD134" s="562"/>
      <c r="GLE134" s="562"/>
      <c r="GLF134" s="562"/>
      <c r="GLG134" s="562"/>
      <c r="GLH134" s="562"/>
      <c r="GLI134" s="562"/>
      <c r="GLJ134" s="562"/>
      <c r="GLK134" s="562"/>
      <c r="GLL134" s="562"/>
      <c r="GLM134" s="562"/>
      <c r="GLN134" s="562"/>
      <c r="GLO134" s="562"/>
      <c r="GLP134" s="562"/>
      <c r="GLQ134" s="562"/>
      <c r="GLR134" s="562"/>
      <c r="GLS134" s="562"/>
      <c r="GLT134" s="562"/>
      <c r="GLU134" s="562"/>
      <c r="GLV134" s="562"/>
      <c r="GLW134" s="562"/>
      <c r="GLX134" s="562"/>
      <c r="GLY134" s="562"/>
      <c r="GLZ134" s="562"/>
      <c r="GMA134" s="562"/>
      <c r="GMB134" s="562"/>
      <c r="GMC134" s="562"/>
      <c r="GMD134" s="562"/>
      <c r="GME134" s="562"/>
      <c r="GMF134" s="562"/>
      <c r="GMG134" s="562"/>
      <c r="GMH134" s="562"/>
      <c r="GMI134" s="562"/>
      <c r="GMJ134" s="562"/>
      <c r="GMK134" s="562"/>
      <c r="GML134" s="562"/>
      <c r="GMM134" s="562"/>
      <c r="GMN134" s="562"/>
      <c r="GMO134" s="562"/>
      <c r="GMP134" s="562"/>
      <c r="GMQ134" s="562"/>
      <c r="GMR134" s="562"/>
      <c r="GMS134" s="562"/>
      <c r="GMT134" s="562"/>
      <c r="GMU134" s="562"/>
      <c r="GMV134" s="562"/>
      <c r="GMW134" s="562"/>
      <c r="GMX134" s="562"/>
      <c r="GMY134" s="562"/>
      <c r="GMZ134" s="562"/>
      <c r="GNA134" s="562"/>
      <c r="GNB134" s="562"/>
      <c r="GNC134" s="562"/>
      <c r="GND134" s="562"/>
      <c r="GNE134" s="562"/>
      <c r="GNF134" s="562"/>
      <c r="GNG134" s="562"/>
      <c r="GNH134" s="562"/>
      <c r="GNI134" s="562"/>
      <c r="GNJ134" s="562"/>
      <c r="GNK134" s="562"/>
      <c r="GNL134" s="562"/>
      <c r="GNM134" s="562"/>
      <c r="GNN134" s="562"/>
      <c r="GNO134" s="562"/>
      <c r="GNP134" s="562"/>
      <c r="GNQ134" s="562"/>
      <c r="GNR134" s="562"/>
      <c r="GNS134" s="562"/>
      <c r="GNT134" s="562"/>
      <c r="GNU134" s="562"/>
      <c r="GNV134" s="562"/>
      <c r="GNW134" s="562"/>
      <c r="GNX134" s="562"/>
      <c r="GNY134" s="562"/>
      <c r="GNZ134" s="562"/>
      <c r="GOA134" s="562"/>
      <c r="GOB134" s="562"/>
      <c r="GOC134" s="562"/>
      <c r="GOD134" s="562"/>
      <c r="GOE134" s="562"/>
      <c r="GOF134" s="562"/>
      <c r="GOG134" s="562"/>
      <c r="GOH134" s="562"/>
      <c r="GOI134" s="562"/>
      <c r="GOJ134" s="562"/>
      <c r="GOK134" s="562"/>
      <c r="GOL134" s="562"/>
      <c r="GOM134" s="562"/>
      <c r="GON134" s="562"/>
      <c r="GOO134" s="562"/>
      <c r="GOP134" s="562"/>
      <c r="GOQ134" s="562"/>
      <c r="GOR134" s="562"/>
      <c r="GOS134" s="562"/>
      <c r="GOT134" s="562"/>
      <c r="GOU134" s="562"/>
      <c r="GOV134" s="562"/>
      <c r="GOW134" s="562"/>
      <c r="GOX134" s="562"/>
      <c r="GOY134" s="562"/>
      <c r="GOZ134" s="562"/>
      <c r="GPA134" s="562"/>
      <c r="GPB134" s="562"/>
      <c r="GPC134" s="562"/>
      <c r="GPD134" s="562"/>
      <c r="GPE134" s="562"/>
      <c r="GPF134" s="562"/>
      <c r="GPG134" s="562"/>
      <c r="GPH134" s="562"/>
      <c r="GPI134" s="562"/>
      <c r="GPJ134" s="562"/>
      <c r="GPK134" s="562"/>
      <c r="GPL134" s="562"/>
      <c r="GPM134" s="562"/>
      <c r="GPN134" s="562"/>
      <c r="GPO134" s="562"/>
      <c r="GPP134" s="562"/>
      <c r="GPQ134" s="562"/>
      <c r="GPR134" s="562"/>
      <c r="GPS134" s="562"/>
      <c r="GPT134" s="562"/>
      <c r="GPU134" s="562"/>
      <c r="GPV134" s="562"/>
      <c r="GPW134" s="562"/>
      <c r="GPX134" s="562"/>
      <c r="GPY134" s="562"/>
      <c r="GPZ134" s="562"/>
      <c r="GQA134" s="562"/>
      <c r="GQB134" s="562"/>
      <c r="GQC134" s="562"/>
      <c r="GQD134" s="562"/>
      <c r="GQE134" s="562"/>
      <c r="GQF134" s="562"/>
      <c r="GQG134" s="562"/>
      <c r="GQH134" s="562"/>
      <c r="GQI134" s="562"/>
      <c r="GQJ134" s="562"/>
      <c r="GQK134" s="562"/>
      <c r="GQL134" s="562"/>
      <c r="GQM134" s="562"/>
      <c r="GQN134" s="562"/>
      <c r="GQO134" s="562"/>
      <c r="GQP134" s="562"/>
      <c r="GQQ134" s="562"/>
      <c r="GQR134" s="562"/>
      <c r="GQS134" s="562"/>
      <c r="GQT134" s="562"/>
      <c r="GQU134" s="562"/>
      <c r="GQV134" s="562"/>
      <c r="GQW134" s="562"/>
      <c r="GQX134" s="562"/>
      <c r="GQY134" s="562"/>
      <c r="GQZ134" s="562"/>
      <c r="GRA134" s="562"/>
      <c r="GRB134" s="562"/>
      <c r="GRC134" s="562"/>
      <c r="GRD134" s="562"/>
      <c r="GRE134" s="562"/>
      <c r="GRF134" s="562"/>
      <c r="GRG134" s="562"/>
      <c r="GRH134" s="562"/>
      <c r="GRI134" s="562"/>
      <c r="GRJ134" s="562"/>
      <c r="GRK134" s="562"/>
      <c r="GRL134" s="562"/>
      <c r="GRM134" s="562"/>
      <c r="GRN134" s="562"/>
      <c r="GRO134" s="562"/>
      <c r="GRP134" s="562"/>
      <c r="GRQ134" s="562"/>
      <c r="GRR134" s="562"/>
      <c r="GRS134" s="562"/>
      <c r="GRT134" s="562"/>
      <c r="GRU134" s="562"/>
      <c r="GRV134" s="562"/>
      <c r="GRW134" s="562"/>
      <c r="GRX134" s="562"/>
      <c r="GRY134" s="562"/>
      <c r="GRZ134" s="562"/>
      <c r="GSA134" s="562"/>
      <c r="GSB134" s="562"/>
      <c r="GSC134" s="562"/>
      <c r="GSD134" s="562"/>
      <c r="GSE134" s="562"/>
      <c r="GSF134" s="562"/>
      <c r="GSG134" s="562"/>
      <c r="GSH134" s="562"/>
      <c r="GSI134" s="562"/>
      <c r="GSJ134" s="562"/>
      <c r="GSK134" s="562"/>
      <c r="GSL134" s="562"/>
      <c r="GSM134" s="562"/>
      <c r="GSN134" s="562"/>
      <c r="GSO134" s="562"/>
      <c r="GSP134" s="562"/>
      <c r="GSQ134" s="562"/>
      <c r="GSR134" s="562"/>
      <c r="GSS134" s="562"/>
      <c r="GST134" s="562"/>
      <c r="GSU134" s="562"/>
      <c r="GSV134" s="562"/>
      <c r="GSW134" s="562"/>
      <c r="GSX134" s="562"/>
      <c r="GSY134" s="562"/>
      <c r="GSZ134" s="562"/>
      <c r="GTA134" s="562"/>
      <c r="GTB134" s="562"/>
      <c r="GTC134" s="562"/>
      <c r="GTD134" s="562"/>
      <c r="GTE134" s="562"/>
      <c r="GTF134" s="562"/>
      <c r="GTG134" s="562"/>
      <c r="GTH134" s="562"/>
      <c r="GTI134" s="562"/>
      <c r="GTJ134" s="562"/>
      <c r="GTK134" s="562"/>
      <c r="GTL134" s="562"/>
      <c r="GTM134" s="562"/>
      <c r="GTN134" s="562"/>
      <c r="GTO134" s="562"/>
      <c r="GTP134" s="562"/>
      <c r="GTQ134" s="562"/>
      <c r="GTR134" s="562"/>
      <c r="GTS134" s="562"/>
      <c r="GTT134" s="562"/>
      <c r="GTU134" s="562"/>
      <c r="GTV134" s="562"/>
      <c r="GTW134" s="562"/>
      <c r="GTX134" s="562"/>
      <c r="GTY134" s="562"/>
      <c r="GTZ134" s="562"/>
      <c r="GUA134" s="562"/>
      <c r="GUB134" s="562"/>
      <c r="GUC134" s="562"/>
      <c r="GUD134" s="562"/>
      <c r="GUE134" s="562"/>
      <c r="GUF134" s="562"/>
      <c r="GUG134" s="562"/>
      <c r="GUH134" s="562"/>
      <c r="GUI134" s="562"/>
      <c r="GUJ134" s="562"/>
      <c r="GUK134" s="562"/>
      <c r="GUL134" s="562"/>
      <c r="GUM134" s="562"/>
      <c r="GUN134" s="562"/>
      <c r="GUO134" s="562"/>
      <c r="GUP134" s="562"/>
      <c r="GUQ134" s="562"/>
      <c r="GUR134" s="562"/>
      <c r="GUS134" s="562"/>
      <c r="GUT134" s="562"/>
      <c r="GUU134" s="562"/>
      <c r="GUV134" s="562"/>
      <c r="GUW134" s="562"/>
      <c r="GUX134" s="562"/>
      <c r="GUY134" s="562"/>
      <c r="GUZ134" s="562"/>
      <c r="GVA134" s="562"/>
      <c r="GVB134" s="562"/>
      <c r="GVC134" s="562"/>
      <c r="GVD134" s="562"/>
      <c r="GVE134" s="562"/>
      <c r="GVF134" s="562"/>
      <c r="GVG134" s="562"/>
      <c r="GVH134" s="562"/>
      <c r="GVI134" s="562"/>
      <c r="GVJ134" s="562"/>
      <c r="GVK134" s="562"/>
      <c r="GVL134" s="562"/>
      <c r="GVM134" s="562"/>
      <c r="GVN134" s="562"/>
      <c r="GVO134" s="562"/>
      <c r="GVP134" s="562"/>
      <c r="GVQ134" s="562"/>
      <c r="GVR134" s="562"/>
      <c r="GVS134" s="562"/>
      <c r="GVT134" s="562"/>
      <c r="GVU134" s="562"/>
      <c r="GVV134" s="562"/>
      <c r="GVW134" s="562"/>
      <c r="GVX134" s="562"/>
      <c r="GVY134" s="562"/>
      <c r="GVZ134" s="562"/>
      <c r="GWA134" s="562"/>
      <c r="GWB134" s="562"/>
      <c r="GWC134" s="562"/>
      <c r="GWD134" s="562"/>
      <c r="GWE134" s="562"/>
      <c r="GWF134" s="562"/>
      <c r="GWG134" s="562"/>
      <c r="GWH134" s="562"/>
      <c r="GWI134" s="562"/>
      <c r="GWJ134" s="562"/>
      <c r="GWK134" s="562"/>
      <c r="GWL134" s="562"/>
      <c r="GWM134" s="562"/>
      <c r="GWN134" s="562"/>
      <c r="GWO134" s="562"/>
      <c r="GWP134" s="562"/>
      <c r="GWQ134" s="562"/>
      <c r="GWR134" s="562"/>
      <c r="GWS134" s="562"/>
      <c r="GWT134" s="562"/>
      <c r="GWU134" s="562"/>
      <c r="GWV134" s="562"/>
      <c r="GWW134" s="562"/>
      <c r="GWX134" s="562"/>
      <c r="GWY134" s="562"/>
      <c r="GWZ134" s="562"/>
      <c r="GXA134" s="562"/>
      <c r="GXB134" s="562"/>
      <c r="GXC134" s="562"/>
      <c r="GXD134" s="562"/>
      <c r="GXE134" s="562"/>
      <c r="GXF134" s="562"/>
      <c r="GXG134" s="562"/>
      <c r="GXH134" s="562"/>
      <c r="GXI134" s="562"/>
      <c r="GXJ134" s="562"/>
      <c r="GXK134" s="562"/>
      <c r="GXL134" s="562"/>
      <c r="GXM134" s="562"/>
      <c r="GXN134" s="562"/>
      <c r="GXO134" s="562"/>
      <c r="GXP134" s="562"/>
      <c r="GXQ134" s="562"/>
      <c r="GXR134" s="562"/>
      <c r="GXS134" s="562"/>
      <c r="GXT134" s="562"/>
      <c r="GXU134" s="562"/>
      <c r="GXV134" s="562"/>
      <c r="GXW134" s="562"/>
      <c r="GXX134" s="562"/>
      <c r="GXY134" s="562"/>
      <c r="GXZ134" s="562"/>
      <c r="GYA134" s="562"/>
      <c r="GYB134" s="562"/>
      <c r="GYC134" s="562"/>
      <c r="GYD134" s="562"/>
      <c r="GYE134" s="562"/>
      <c r="GYF134" s="562"/>
      <c r="GYG134" s="562"/>
      <c r="GYH134" s="562"/>
      <c r="GYI134" s="562"/>
      <c r="GYJ134" s="562"/>
      <c r="GYK134" s="562"/>
      <c r="GYL134" s="562"/>
      <c r="GYM134" s="562"/>
      <c r="GYN134" s="562"/>
      <c r="GYO134" s="562"/>
      <c r="GYP134" s="562"/>
      <c r="GYQ134" s="562"/>
      <c r="GYR134" s="562"/>
      <c r="GYS134" s="562"/>
      <c r="GYT134" s="562"/>
      <c r="GYU134" s="562"/>
      <c r="GYV134" s="562"/>
      <c r="GYW134" s="562"/>
      <c r="GYX134" s="562"/>
      <c r="GYY134" s="562"/>
      <c r="GYZ134" s="562"/>
      <c r="GZA134" s="562"/>
      <c r="GZB134" s="562"/>
      <c r="GZC134" s="562"/>
      <c r="GZD134" s="562"/>
      <c r="GZE134" s="562"/>
      <c r="GZF134" s="562"/>
      <c r="GZG134" s="562"/>
      <c r="GZH134" s="562"/>
      <c r="GZI134" s="562"/>
      <c r="GZJ134" s="562"/>
      <c r="GZK134" s="562"/>
      <c r="GZL134" s="562"/>
      <c r="GZM134" s="562"/>
      <c r="GZN134" s="562"/>
      <c r="GZO134" s="562"/>
      <c r="GZP134" s="562"/>
      <c r="GZQ134" s="562"/>
      <c r="GZR134" s="562"/>
      <c r="GZS134" s="562"/>
      <c r="GZT134" s="562"/>
      <c r="GZU134" s="562"/>
      <c r="GZV134" s="562"/>
      <c r="GZW134" s="562"/>
      <c r="GZX134" s="562"/>
      <c r="GZY134" s="562"/>
      <c r="GZZ134" s="562"/>
      <c r="HAA134" s="562"/>
      <c r="HAB134" s="562"/>
      <c r="HAC134" s="562"/>
      <c r="HAD134" s="562"/>
      <c r="HAE134" s="562"/>
      <c r="HAF134" s="562"/>
      <c r="HAG134" s="562"/>
      <c r="HAH134" s="562"/>
      <c r="HAI134" s="562"/>
      <c r="HAJ134" s="562"/>
      <c r="HAK134" s="562"/>
      <c r="HAL134" s="562"/>
      <c r="HAM134" s="562"/>
      <c r="HAN134" s="562"/>
      <c r="HAO134" s="562"/>
      <c r="HAP134" s="562"/>
      <c r="HAQ134" s="562"/>
      <c r="HAR134" s="562"/>
      <c r="HAS134" s="562"/>
      <c r="HAT134" s="562"/>
      <c r="HAU134" s="562"/>
      <c r="HAV134" s="562"/>
      <c r="HAW134" s="562"/>
      <c r="HAX134" s="562"/>
      <c r="HAY134" s="562"/>
      <c r="HAZ134" s="562"/>
      <c r="HBA134" s="562"/>
      <c r="HBB134" s="562"/>
      <c r="HBC134" s="562"/>
      <c r="HBD134" s="562"/>
      <c r="HBE134" s="562"/>
      <c r="HBF134" s="562"/>
      <c r="HBG134" s="562"/>
      <c r="HBH134" s="562"/>
      <c r="HBI134" s="562"/>
      <c r="HBJ134" s="562"/>
      <c r="HBK134" s="562"/>
      <c r="HBL134" s="562"/>
      <c r="HBM134" s="562"/>
      <c r="HBN134" s="562"/>
      <c r="HBO134" s="562"/>
      <c r="HBP134" s="562"/>
      <c r="HBQ134" s="562"/>
      <c r="HBR134" s="562"/>
      <c r="HBS134" s="562"/>
      <c r="HBT134" s="562"/>
      <c r="HBU134" s="562"/>
      <c r="HBV134" s="562"/>
      <c r="HBW134" s="562"/>
      <c r="HBX134" s="562"/>
      <c r="HBY134" s="562"/>
      <c r="HBZ134" s="562"/>
      <c r="HCA134" s="562"/>
      <c r="HCB134" s="562"/>
      <c r="HCC134" s="562"/>
      <c r="HCD134" s="562"/>
      <c r="HCE134" s="562"/>
      <c r="HCF134" s="562"/>
      <c r="HCG134" s="562"/>
      <c r="HCH134" s="562"/>
      <c r="HCI134" s="562"/>
      <c r="HCJ134" s="562"/>
      <c r="HCK134" s="562"/>
      <c r="HCL134" s="562"/>
      <c r="HCM134" s="562"/>
      <c r="HCN134" s="562"/>
      <c r="HCO134" s="562"/>
      <c r="HCP134" s="562"/>
      <c r="HCQ134" s="562"/>
      <c r="HCR134" s="562"/>
      <c r="HCS134" s="562"/>
      <c r="HCT134" s="562"/>
      <c r="HCU134" s="562"/>
      <c r="HCV134" s="562"/>
      <c r="HCW134" s="562"/>
      <c r="HCX134" s="562"/>
      <c r="HCY134" s="562"/>
      <c r="HCZ134" s="562"/>
      <c r="HDA134" s="562"/>
      <c r="HDB134" s="562"/>
      <c r="HDC134" s="562"/>
      <c r="HDD134" s="562"/>
      <c r="HDE134" s="562"/>
      <c r="HDF134" s="562"/>
      <c r="HDG134" s="562"/>
      <c r="HDH134" s="562"/>
      <c r="HDI134" s="562"/>
      <c r="HDJ134" s="562"/>
      <c r="HDK134" s="562"/>
      <c r="HDL134" s="562"/>
      <c r="HDM134" s="562"/>
      <c r="HDN134" s="562"/>
      <c r="HDO134" s="562"/>
      <c r="HDP134" s="562"/>
      <c r="HDQ134" s="562"/>
      <c r="HDR134" s="562"/>
      <c r="HDS134" s="562"/>
      <c r="HDT134" s="562"/>
      <c r="HDU134" s="562"/>
      <c r="HDV134" s="562"/>
      <c r="HDW134" s="562"/>
      <c r="HDX134" s="562"/>
      <c r="HDY134" s="562"/>
      <c r="HDZ134" s="562"/>
      <c r="HEA134" s="562"/>
      <c r="HEB134" s="562"/>
      <c r="HEC134" s="562"/>
      <c r="HED134" s="562"/>
      <c r="HEE134" s="562"/>
      <c r="HEF134" s="562"/>
      <c r="HEG134" s="562"/>
      <c r="HEH134" s="562"/>
      <c r="HEI134" s="562"/>
      <c r="HEJ134" s="562"/>
      <c r="HEK134" s="562"/>
      <c r="HEL134" s="562"/>
      <c r="HEM134" s="562"/>
      <c r="HEN134" s="562"/>
      <c r="HEO134" s="562"/>
      <c r="HEP134" s="562"/>
      <c r="HEQ134" s="562"/>
      <c r="HER134" s="562"/>
      <c r="HES134" s="562"/>
      <c r="HET134" s="562"/>
      <c r="HEU134" s="562"/>
      <c r="HEV134" s="562"/>
      <c r="HEW134" s="562"/>
      <c r="HEX134" s="562"/>
      <c r="HEY134" s="562"/>
      <c r="HEZ134" s="562"/>
      <c r="HFA134" s="562"/>
      <c r="HFB134" s="562"/>
      <c r="HFC134" s="562"/>
      <c r="HFD134" s="562"/>
      <c r="HFE134" s="562"/>
      <c r="HFF134" s="562"/>
      <c r="HFG134" s="562"/>
      <c r="HFH134" s="562"/>
      <c r="HFI134" s="562"/>
      <c r="HFJ134" s="562"/>
      <c r="HFK134" s="562"/>
      <c r="HFL134" s="562"/>
      <c r="HFM134" s="562"/>
      <c r="HFN134" s="562"/>
      <c r="HFO134" s="562"/>
      <c r="HFP134" s="562"/>
      <c r="HFQ134" s="562"/>
      <c r="HFR134" s="562"/>
      <c r="HFS134" s="562"/>
      <c r="HFT134" s="562"/>
      <c r="HFU134" s="562"/>
      <c r="HFV134" s="562"/>
      <c r="HFW134" s="562"/>
      <c r="HFX134" s="562"/>
      <c r="HFY134" s="562"/>
      <c r="HFZ134" s="562"/>
      <c r="HGA134" s="562"/>
      <c r="HGB134" s="562"/>
      <c r="HGC134" s="562"/>
      <c r="HGD134" s="562"/>
      <c r="HGE134" s="562"/>
      <c r="HGF134" s="562"/>
      <c r="HGG134" s="562"/>
      <c r="HGH134" s="562"/>
      <c r="HGI134" s="562"/>
      <c r="HGJ134" s="562"/>
      <c r="HGK134" s="562"/>
      <c r="HGL134" s="562"/>
      <c r="HGM134" s="562"/>
      <c r="HGN134" s="562"/>
      <c r="HGO134" s="562"/>
      <c r="HGP134" s="562"/>
      <c r="HGQ134" s="562"/>
      <c r="HGR134" s="562"/>
      <c r="HGS134" s="562"/>
      <c r="HGT134" s="562"/>
      <c r="HGU134" s="562"/>
      <c r="HGV134" s="562"/>
      <c r="HGW134" s="562"/>
      <c r="HGX134" s="562"/>
      <c r="HGY134" s="562"/>
      <c r="HGZ134" s="562"/>
      <c r="HHA134" s="562"/>
      <c r="HHB134" s="562"/>
      <c r="HHC134" s="562"/>
      <c r="HHD134" s="562"/>
      <c r="HHE134" s="562"/>
      <c r="HHF134" s="562"/>
      <c r="HHG134" s="562"/>
      <c r="HHH134" s="562"/>
      <c r="HHI134" s="562"/>
      <c r="HHJ134" s="562"/>
      <c r="HHK134" s="562"/>
      <c r="HHL134" s="562"/>
      <c r="HHM134" s="562"/>
      <c r="HHN134" s="562"/>
      <c r="HHO134" s="562"/>
      <c r="HHP134" s="562"/>
      <c r="HHQ134" s="562"/>
      <c r="HHR134" s="562"/>
      <c r="HHS134" s="562"/>
      <c r="HHT134" s="562"/>
      <c r="HHU134" s="562"/>
      <c r="HHV134" s="562"/>
      <c r="HHW134" s="562"/>
      <c r="HHX134" s="562"/>
      <c r="HHY134" s="562"/>
      <c r="HHZ134" s="562"/>
      <c r="HIA134" s="562"/>
      <c r="HIB134" s="562"/>
      <c r="HIC134" s="562"/>
      <c r="HID134" s="562"/>
      <c r="HIE134" s="562"/>
      <c r="HIF134" s="562"/>
      <c r="HIG134" s="562"/>
      <c r="HIH134" s="562"/>
      <c r="HII134" s="562"/>
      <c r="HIJ134" s="562"/>
      <c r="HIK134" s="562"/>
      <c r="HIL134" s="562"/>
      <c r="HIM134" s="562"/>
      <c r="HIN134" s="562"/>
      <c r="HIO134" s="562"/>
      <c r="HIP134" s="562"/>
      <c r="HIQ134" s="562"/>
      <c r="HIR134" s="562"/>
      <c r="HIS134" s="562"/>
      <c r="HIT134" s="562"/>
      <c r="HIU134" s="562"/>
      <c r="HIV134" s="562"/>
      <c r="HIW134" s="562"/>
      <c r="HIX134" s="562"/>
      <c r="HIY134" s="562"/>
      <c r="HIZ134" s="562"/>
      <c r="HJA134" s="562"/>
      <c r="HJB134" s="562"/>
      <c r="HJC134" s="562"/>
      <c r="HJD134" s="562"/>
      <c r="HJE134" s="562"/>
      <c r="HJF134" s="562"/>
      <c r="HJG134" s="562"/>
      <c r="HJH134" s="562"/>
      <c r="HJI134" s="562"/>
      <c r="HJJ134" s="562"/>
      <c r="HJK134" s="562"/>
      <c r="HJL134" s="562"/>
      <c r="HJM134" s="562"/>
      <c r="HJN134" s="562"/>
      <c r="HJO134" s="562"/>
      <c r="HJP134" s="562"/>
      <c r="HJQ134" s="562"/>
      <c r="HJR134" s="562"/>
      <c r="HJS134" s="562"/>
      <c r="HJT134" s="562"/>
      <c r="HJU134" s="562"/>
      <c r="HJV134" s="562"/>
      <c r="HJW134" s="562"/>
      <c r="HJX134" s="562"/>
      <c r="HJY134" s="562"/>
      <c r="HJZ134" s="562"/>
      <c r="HKA134" s="562"/>
      <c r="HKB134" s="562"/>
      <c r="HKC134" s="562"/>
      <c r="HKD134" s="562"/>
      <c r="HKE134" s="562"/>
      <c r="HKF134" s="562"/>
      <c r="HKG134" s="562"/>
      <c r="HKH134" s="562"/>
      <c r="HKI134" s="562"/>
      <c r="HKJ134" s="562"/>
      <c r="HKK134" s="562"/>
      <c r="HKL134" s="562"/>
      <c r="HKM134" s="562"/>
      <c r="HKN134" s="562"/>
      <c r="HKO134" s="562"/>
      <c r="HKP134" s="562"/>
      <c r="HKQ134" s="562"/>
      <c r="HKR134" s="562"/>
      <c r="HKS134" s="562"/>
      <c r="HKT134" s="562"/>
      <c r="HKU134" s="562"/>
      <c r="HKV134" s="562"/>
      <c r="HKW134" s="562"/>
      <c r="HKX134" s="562"/>
      <c r="HKY134" s="562"/>
      <c r="HKZ134" s="562"/>
      <c r="HLA134" s="562"/>
      <c r="HLB134" s="562"/>
      <c r="HLC134" s="562"/>
      <c r="HLD134" s="562"/>
      <c r="HLE134" s="562"/>
      <c r="HLF134" s="562"/>
      <c r="HLG134" s="562"/>
      <c r="HLH134" s="562"/>
      <c r="HLI134" s="562"/>
      <c r="HLJ134" s="562"/>
      <c r="HLK134" s="562"/>
      <c r="HLL134" s="562"/>
      <c r="HLM134" s="562"/>
      <c r="HLN134" s="562"/>
      <c r="HLO134" s="562"/>
      <c r="HLP134" s="562"/>
      <c r="HLQ134" s="562"/>
      <c r="HLR134" s="562"/>
      <c r="HLS134" s="562"/>
      <c r="HLT134" s="562"/>
      <c r="HLU134" s="562"/>
      <c r="HLV134" s="562"/>
      <c r="HLW134" s="562"/>
      <c r="HLX134" s="562"/>
      <c r="HLY134" s="562"/>
      <c r="HLZ134" s="562"/>
      <c r="HMA134" s="562"/>
      <c r="HMB134" s="562"/>
      <c r="HMC134" s="562"/>
      <c r="HMD134" s="562"/>
      <c r="HME134" s="562"/>
      <c r="HMF134" s="562"/>
      <c r="HMG134" s="562"/>
      <c r="HMH134" s="562"/>
      <c r="HMI134" s="562"/>
      <c r="HMJ134" s="562"/>
      <c r="HMK134" s="562"/>
      <c r="HML134" s="562"/>
      <c r="HMM134" s="562"/>
      <c r="HMN134" s="562"/>
      <c r="HMO134" s="562"/>
      <c r="HMP134" s="562"/>
      <c r="HMQ134" s="562"/>
      <c r="HMR134" s="562"/>
      <c r="HMS134" s="562"/>
      <c r="HMT134" s="562"/>
      <c r="HMU134" s="562"/>
      <c r="HMV134" s="562"/>
      <c r="HMW134" s="562"/>
      <c r="HMX134" s="562"/>
      <c r="HMY134" s="562"/>
      <c r="HMZ134" s="562"/>
      <c r="HNA134" s="562"/>
      <c r="HNB134" s="562"/>
      <c r="HNC134" s="562"/>
      <c r="HND134" s="562"/>
      <c r="HNE134" s="562"/>
      <c r="HNF134" s="562"/>
      <c r="HNG134" s="562"/>
      <c r="HNH134" s="562"/>
      <c r="HNI134" s="562"/>
      <c r="HNJ134" s="562"/>
      <c r="HNK134" s="562"/>
      <c r="HNL134" s="562"/>
      <c r="HNM134" s="562"/>
      <c r="HNN134" s="562"/>
      <c r="HNO134" s="562"/>
      <c r="HNP134" s="562"/>
      <c r="HNQ134" s="562"/>
      <c r="HNR134" s="562"/>
      <c r="HNS134" s="562"/>
      <c r="HNT134" s="562"/>
      <c r="HNU134" s="562"/>
      <c r="HNV134" s="562"/>
      <c r="HNW134" s="562"/>
      <c r="HNX134" s="562"/>
      <c r="HNY134" s="562"/>
      <c r="HNZ134" s="562"/>
      <c r="HOA134" s="562"/>
      <c r="HOB134" s="562"/>
      <c r="HOC134" s="562"/>
      <c r="HOD134" s="562"/>
      <c r="HOE134" s="562"/>
      <c r="HOF134" s="562"/>
      <c r="HOG134" s="562"/>
      <c r="HOH134" s="562"/>
      <c r="HOI134" s="562"/>
      <c r="HOJ134" s="562"/>
      <c r="HOK134" s="562"/>
      <c r="HOL134" s="562"/>
      <c r="HOM134" s="562"/>
      <c r="HON134" s="562"/>
      <c r="HOO134" s="562"/>
      <c r="HOP134" s="562"/>
      <c r="HOQ134" s="562"/>
      <c r="HOR134" s="562"/>
      <c r="HOS134" s="562"/>
      <c r="HOT134" s="562"/>
      <c r="HOU134" s="562"/>
      <c r="HOV134" s="562"/>
      <c r="HOW134" s="562"/>
      <c r="HOX134" s="562"/>
      <c r="HOY134" s="562"/>
      <c r="HOZ134" s="562"/>
      <c r="HPA134" s="562"/>
      <c r="HPB134" s="562"/>
      <c r="HPC134" s="562"/>
      <c r="HPD134" s="562"/>
      <c r="HPE134" s="562"/>
      <c r="HPF134" s="562"/>
      <c r="HPG134" s="562"/>
      <c r="HPH134" s="562"/>
      <c r="HPI134" s="562"/>
      <c r="HPJ134" s="562"/>
      <c r="HPK134" s="562"/>
      <c r="HPL134" s="562"/>
      <c r="HPM134" s="562"/>
      <c r="HPN134" s="562"/>
      <c r="HPO134" s="562"/>
      <c r="HPP134" s="562"/>
      <c r="HPQ134" s="562"/>
      <c r="HPR134" s="562"/>
      <c r="HPS134" s="562"/>
      <c r="HPT134" s="562"/>
      <c r="HPU134" s="562"/>
      <c r="HPV134" s="562"/>
      <c r="HPW134" s="562"/>
      <c r="HPX134" s="562"/>
      <c r="HPY134" s="562"/>
      <c r="HPZ134" s="562"/>
      <c r="HQA134" s="562"/>
      <c r="HQB134" s="562"/>
      <c r="HQC134" s="562"/>
      <c r="HQD134" s="562"/>
      <c r="HQE134" s="562"/>
      <c r="HQF134" s="562"/>
      <c r="HQG134" s="562"/>
      <c r="HQH134" s="562"/>
      <c r="HQI134" s="562"/>
      <c r="HQJ134" s="562"/>
      <c r="HQK134" s="562"/>
      <c r="HQL134" s="562"/>
      <c r="HQM134" s="562"/>
      <c r="HQN134" s="562"/>
      <c r="HQO134" s="562"/>
      <c r="HQP134" s="562"/>
      <c r="HQQ134" s="562"/>
      <c r="HQR134" s="562"/>
      <c r="HQS134" s="562"/>
      <c r="HQT134" s="562"/>
      <c r="HQU134" s="562"/>
      <c r="HQV134" s="562"/>
      <c r="HQW134" s="562"/>
      <c r="HQX134" s="562"/>
      <c r="HQY134" s="562"/>
      <c r="HQZ134" s="562"/>
      <c r="HRA134" s="562"/>
      <c r="HRB134" s="562"/>
      <c r="HRC134" s="562"/>
      <c r="HRD134" s="562"/>
      <c r="HRE134" s="562"/>
      <c r="HRF134" s="562"/>
      <c r="HRG134" s="562"/>
      <c r="HRH134" s="562"/>
      <c r="HRI134" s="562"/>
      <c r="HRJ134" s="562"/>
      <c r="HRK134" s="562"/>
      <c r="HRL134" s="562"/>
      <c r="HRM134" s="562"/>
      <c r="HRN134" s="562"/>
      <c r="HRO134" s="562"/>
      <c r="HRP134" s="562"/>
      <c r="HRQ134" s="562"/>
      <c r="HRR134" s="562"/>
      <c r="HRS134" s="562"/>
      <c r="HRT134" s="562"/>
      <c r="HRU134" s="562"/>
      <c r="HRV134" s="562"/>
      <c r="HRW134" s="562"/>
      <c r="HRX134" s="562"/>
      <c r="HRY134" s="562"/>
      <c r="HRZ134" s="562"/>
      <c r="HSA134" s="562"/>
      <c r="HSB134" s="562"/>
      <c r="HSC134" s="562"/>
      <c r="HSD134" s="562"/>
      <c r="HSE134" s="562"/>
      <c r="HSF134" s="562"/>
      <c r="HSG134" s="562"/>
      <c r="HSH134" s="562"/>
      <c r="HSI134" s="562"/>
      <c r="HSJ134" s="562"/>
      <c r="HSK134" s="562"/>
      <c r="HSL134" s="562"/>
      <c r="HSM134" s="562"/>
      <c r="HSN134" s="562"/>
      <c r="HSO134" s="562"/>
      <c r="HSP134" s="562"/>
      <c r="HSQ134" s="562"/>
      <c r="HSR134" s="562"/>
      <c r="HSS134" s="562"/>
      <c r="HST134" s="562"/>
      <c r="HSU134" s="562"/>
      <c r="HSV134" s="562"/>
      <c r="HSW134" s="562"/>
      <c r="HSX134" s="562"/>
      <c r="HSY134" s="562"/>
      <c r="HSZ134" s="562"/>
      <c r="HTA134" s="562"/>
      <c r="HTB134" s="562"/>
      <c r="HTC134" s="562"/>
      <c r="HTD134" s="562"/>
      <c r="HTE134" s="562"/>
      <c r="HTF134" s="562"/>
      <c r="HTG134" s="562"/>
      <c r="HTH134" s="562"/>
      <c r="HTI134" s="562"/>
      <c r="HTJ134" s="562"/>
      <c r="HTK134" s="562"/>
      <c r="HTL134" s="562"/>
      <c r="HTM134" s="562"/>
      <c r="HTN134" s="562"/>
      <c r="HTO134" s="562"/>
      <c r="HTP134" s="562"/>
      <c r="HTQ134" s="562"/>
      <c r="HTR134" s="562"/>
      <c r="HTS134" s="562"/>
      <c r="HTT134" s="562"/>
      <c r="HTU134" s="562"/>
      <c r="HTV134" s="562"/>
      <c r="HTW134" s="562"/>
      <c r="HTX134" s="562"/>
      <c r="HTY134" s="562"/>
      <c r="HTZ134" s="562"/>
      <c r="HUA134" s="562"/>
      <c r="HUB134" s="562"/>
      <c r="HUC134" s="562"/>
      <c r="HUD134" s="562"/>
      <c r="HUE134" s="562"/>
      <c r="HUF134" s="562"/>
      <c r="HUG134" s="562"/>
      <c r="HUH134" s="562"/>
      <c r="HUI134" s="562"/>
      <c r="HUJ134" s="562"/>
      <c r="HUK134" s="562"/>
      <c r="HUL134" s="562"/>
      <c r="HUM134" s="562"/>
      <c r="HUN134" s="562"/>
      <c r="HUO134" s="562"/>
      <c r="HUP134" s="562"/>
      <c r="HUQ134" s="562"/>
      <c r="HUR134" s="562"/>
      <c r="HUS134" s="562"/>
      <c r="HUT134" s="562"/>
      <c r="HUU134" s="562"/>
      <c r="HUV134" s="562"/>
      <c r="HUW134" s="562"/>
      <c r="HUX134" s="562"/>
      <c r="HUY134" s="562"/>
      <c r="HUZ134" s="562"/>
      <c r="HVA134" s="562"/>
      <c r="HVB134" s="562"/>
      <c r="HVC134" s="562"/>
      <c r="HVD134" s="562"/>
      <c r="HVE134" s="562"/>
      <c r="HVF134" s="562"/>
      <c r="HVG134" s="562"/>
      <c r="HVH134" s="562"/>
      <c r="HVI134" s="562"/>
      <c r="HVJ134" s="562"/>
      <c r="HVK134" s="562"/>
      <c r="HVL134" s="562"/>
      <c r="HVM134" s="562"/>
      <c r="HVN134" s="562"/>
      <c r="HVO134" s="562"/>
      <c r="HVP134" s="562"/>
      <c r="HVQ134" s="562"/>
      <c r="HVR134" s="562"/>
      <c r="HVS134" s="562"/>
      <c r="HVT134" s="562"/>
      <c r="HVU134" s="562"/>
      <c r="HVV134" s="562"/>
      <c r="HVW134" s="562"/>
      <c r="HVX134" s="562"/>
      <c r="HVY134" s="562"/>
      <c r="HVZ134" s="562"/>
      <c r="HWA134" s="562"/>
      <c r="HWB134" s="562"/>
      <c r="HWC134" s="562"/>
      <c r="HWD134" s="562"/>
      <c r="HWE134" s="562"/>
      <c r="HWF134" s="562"/>
      <c r="HWG134" s="562"/>
      <c r="HWH134" s="562"/>
      <c r="HWI134" s="562"/>
      <c r="HWJ134" s="562"/>
      <c r="HWK134" s="562"/>
      <c r="HWL134" s="562"/>
      <c r="HWM134" s="562"/>
      <c r="HWN134" s="562"/>
      <c r="HWO134" s="562"/>
      <c r="HWP134" s="562"/>
      <c r="HWQ134" s="562"/>
      <c r="HWR134" s="562"/>
      <c r="HWS134" s="562"/>
      <c r="HWT134" s="562"/>
      <c r="HWU134" s="562"/>
      <c r="HWV134" s="562"/>
      <c r="HWW134" s="562"/>
      <c r="HWX134" s="562"/>
      <c r="HWY134" s="562"/>
      <c r="HWZ134" s="562"/>
      <c r="HXA134" s="562"/>
      <c r="HXB134" s="562"/>
      <c r="HXC134" s="562"/>
      <c r="HXD134" s="562"/>
      <c r="HXE134" s="562"/>
      <c r="HXF134" s="562"/>
      <c r="HXG134" s="562"/>
      <c r="HXH134" s="562"/>
      <c r="HXI134" s="562"/>
      <c r="HXJ134" s="562"/>
      <c r="HXK134" s="562"/>
      <c r="HXL134" s="562"/>
      <c r="HXM134" s="562"/>
      <c r="HXN134" s="562"/>
      <c r="HXO134" s="562"/>
      <c r="HXP134" s="562"/>
      <c r="HXQ134" s="562"/>
      <c r="HXR134" s="562"/>
      <c r="HXS134" s="562"/>
      <c r="HXT134" s="562"/>
      <c r="HXU134" s="562"/>
      <c r="HXV134" s="562"/>
      <c r="HXW134" s="562"/>
      <c r="HXX134" s="562"/>
      <c r="HXY134" s="562"/>
      <c r="HXZ134" s="562"/>
      <c r="HYA134" s="562"/>
      <c r="HYB134" s="562"/>
      <c r="HYC134" s="562"/>
      <c r="HYD134" s="562"/>
      <c r="HYE134" s="562"/>
      <c r="HYF134" s="562"/>
      <c r="HYG134" s="562"/>
      <c r="HYH134" s="562"/>
      <c r="HYI134" s="562"/>
      <c r="HYJ134" s="562"/>
      <c r="HYK134" s="562"/>
      <c r="HYL134" s="562"/>
      <c r="HYM134" s="562"/>
      <c r="HYN134" s="562"/>
      <c r="HYO134" s="562"/>
      <c r="HYP134" s="562"/>
      <c r="HYQ134" s="562"/>
      <c r="HYR134" s="562"/>
      <c r="HYS134" s="562"/>
      <c r="HYT134" s="562"/>
      <c r="HYU134" s="562"/>
      <c r="HYV134" s="562"/>
      <c r="HYW134" s="562"/>
      <c r="HYX134" s="562"/>
      <c r="HYY134" s="562"/>
      <c r="HYZ134" s="562"/>
      <c r="HZA134" s="562"/>
      <c r="HZB134" s="562"/>
      <c r="HZC134" s="562"/>
      <c r="HZD134" s="562"/>
      <c r="HZE134" s="562"/>
      <c r="HZF134" s="562"/>
      <c r="HZG134" s="562"/>
      <c r="HZH134" s="562"/>
      <c r="HZI134" s="562"/>
      <c r="HZJ134" s="562"/>
      <c r="HZK134" s="562"/>
      <c r="HZL134" s="562"/>
      <c r="HZM134" s="562"/>
      <c r="HZN134" s="562"/>
      <c r="HZO134" s="562"/>
      <c r="HZP134" s="562"/>
      <c r="HZQ134" s="562"/>
      <c r="HZR134" s="562"/>
      <c r="HZS134" s="562"/>
      <c r="HZT134" s="562"/>
      <c r="HZU134" s="562"/>
      <c r="HZV134" s="562"/>
      <c r="HZW134" s="562"/>
      <c r="HZX134" s="562"/>
      <c r="HZY134" s="562"/>
      <c r="HZZ134" s="562"/>
      <c r="IAA134" s="562"/>
      <c r="IAB134" s="562"/>
      <c r="IAC134" s="562"/>
      <c r="IAD134" s="562"/>
      <c r="IAE134" s="562"/>
      <c r="IAF134" s="562"/>
      <c r="IAG134" s="562"/>
      <c r="IAH134" s="562"/>
      <c r="IAI134" s="562"/>
      <c r="IAJ134" s="562"/>
      <c r="IAK134" s="562"/>
      <c r="IAL134" s="562"/>
      <c r="IAM134" s="562"/>
      <c r="IAN134" s="562"/>
      <c r="IAO134" s="562"/>
      <c r="IAP134" s="562"/>
      <c r="IAQ134" s="562"/>
      <c r="IAR134" s="562"/>
      <c r="IAS134" s="562"/>
      <c r="IAT134" s="562"/>
      <c r="IAU134" s="562"/>
      <c r="IAV134" s="562"/>
      <c r="IAW134" s="562"/>
      <c r="IAX134" s="562"/>
      <c r="IAY134" s="562"/>
      <c r="IAZ134" s="562"/>
      <c r="IBA134" s="562"/>
      <c r="IBB134" s="562"/>
      <c r="IBC134" s="562"/>
      <c r="IBD134" s="562"/>
      <c r="IBE134" s="562"/>
      <c r="IBF134" s="562"/>
      <c r="IBG134" s="562"/>
      <c r="IBH134" s="562"/>
      <c r="IBI134" s="562"/>
      <c r="IBJ134" s="562"/>
      <c r="IBK134" s="562"/>
      <c r="IBL134" s="562"/>
      <c r="IBM134" s="562"/>
      <c r="IBN134" s="562"/>
      <c r="IBO134" s="562"/>
      <c r="IBP134" s="562"/>
      <c r="IBQ134" s="562"/>
      <c r="IBR134" s="562"/>
      <c r="IBS134" s="562"/>
      <c r="IBT134" s="562"/>
      <c r="IBU134" s="562"/>
      <c r="IBV134" s="562"/>
      <c r="IBW134" s="562"/>
      <c r="IBX134" s="562"/>
      <c r="IBY134" s="562"/>
      <c r="IBZ134" s="562"/>
      <c r="ICA134" s="562"/>
      <c r="ICB134" s="562"/>
      <c r="ICC134" s="562"/>
      <c r="ICD134" s="562"/>
      <c r="ICE134" s="562"/>
      <c r="ICF134" s="562"/>
      <c r="ICG134" s="562"/>
      <c r="ICH134" s="562"/>
      <c r="ICI134" s="562"/>
      <c r="ICJ134" s="562"/>
      <c r="ICK134" s="562"/>
      <c r="ICL134" s="562"/>
      <c r="ICM134" s="562"/>
      <c r="ICN134" s="562"/>
      <c r="ICO134" s="562"/>
      <c r="ICP134" s="562"/>
      <c r="ICQ134" s="562"/>
      <c r="ICR134" s="562"/>
      <c r="ICS134" s="562"/>
      <c r="ICT134" s="562"/>
      <c r="ICU134" s="562"/>
      <c r="ICV134" s="562"/>
      <c r="ICW134" s="562"/>
      <c r="ICX134" s="562"/>
      <c r="ICY134" s="562"/>
      <c r="ICZ134" s="562"/>
      <c r="IDA134" s="562"/>
      <c r="IDB134" s="562"/>
      <c r="IDC134" s="562"/>
      <c r="IDD134" s="562"/>
      <c r="IDE134" s="562"/>
      <c r="IDF134" s="562"/>
      <c r="IDG134" s="562"/>
      <c r="IDH134" s="562"/>
      <c r="IDI134" s="562"/>
      <c r="IDJ134" s="562"/>
      <c r="IDK134" s="562"/>
      <c r="IDL134" s="562"/>
      <c r="IDM134" s="562"/>
      <c r="IDN134" s="562"/>
      <c r="IDO134" s="562"/>
      <c r="IDP134" s="562"/>
      <c r="IDQ134" s="562"/>
      <c r="IDR134" s="562"/>
      <c r="IDS134" s="562"/>
      <c r="IDT134" s="562"/>
      <c r="IDU134" s="562"/>
      <c r="IDV134" s="562"/>
      <c r="IDW134" s="562"/>
      <c r="IDX134" s="562"/>
      <c r="IDY134" s="562"/>
      <c r="IDZ134" s="562"/>
      <c r="IEA134" s="562"/>
      <c r="IEB134" s="562"/>
      <c r="IEC134" s="562"/>
      <c r="IED134" s="562"/>
      <c r="IEE134" s="562"/>
      <c r="IEF134" s="562"/>
      <c r="IEG134" s="562"/>
      <c r="IEH134" s="562"/>
      <c r="IEI134" s="562"/>
      <c r="IEJ134" s="562"/>
      <c r="IEK134" s="562"/>
      <c r="IEL134" s="562"/>
      <c r="IEM134" s="562"/>
      <c r="IEN134" s="562"/>
      <c r="IEO134" s="562"/>
      <c r="IEP134" s="562"/>
      <c r="IEQ134" s="562"/>
      <c r="IER134" s="562"/>
      <c r="IES134" s="562"/>
      <c r="IET134" s="562"/>
      <c r="IEU134" s="562"/>
      <c r="IEV134" s="562"/>
      <c r="IEW134" s="562"/>
      <c r="IEX134" s="562"/>
      <c r="IEY134" s="562"/>
      <c r="IEZ134" s="562"/>
      <c r="IFA134" s="562"/>
      <c r="IFB134" s="562"/>
      <c r="IFC134" s="562"/>
      <c r="IFD134" s="562"/>
      <c r="IFE134" s="562"/>
      <c r="IFF134" s="562"/>
      <c r="IFG134" s="562"/>
      <c r="IFH134" s="562"/>
      <c r="IFI134" s="562"/>
      <c r="IFJ134" s="562"/>
      <c r="IFK134" s="562"/>
      <c r="IFL134" s="562"/>
      <c r="IFM134" s="562"/>
      <c r="IFN134" s="562"/>
      <c r="IFO134" s="562"/>
      <c r="IFP134" s="562"/>
      <c r="IFQ134" s="562"/>
      <c r="IFR134" s="562"/>
      <c r="IFS134" s="562"/>
      <c r="IFT134" s="562"/>
      <c r="IFU134" s="562"/>
      <c r="IFV134" s="562"/>
      <c r="IFW134" s="562"/>
      <c r="IFX134" s="562"/>
      <c r="IFY134" s="562"/>
      <c r="IFZ134" s="562"/>
      <c r="IGA134" s="562"/>
      <c r="IGB134" s="562"/>
      <c r="IGC134" s="562"/>
      <c r="IGD134" s="562"/>
      <c r="IGE134" s="562"/>
      <c r="IGF134" s="562"/>
      <c r="IGG134" s="562"/>
      <c r="IGH134" s="562"/>
      <c r="IGI134" s="562"/>
      <c r="IGJ134" s="562"/>
      <c r="IGK134" s="562"/>
      <c r="IGL134" s="562"/>
      <c r="IGM134" s="562"/>
      <c r="IGN134" s="562"/>
      <c r="IGO134" s="562"/>
      <c r="IGP134" s="562"/>
      <c r="IGQ134" s="562"/>
      <c r="IGR134" s="562"/>
      <c r="IGS134" s="562"/>
      <c r="IGT134" s="562"/>
      <c r="IGU134" s="562"/>
      <c r="IGV134" s="562"/>
      <c r="IGW134" s="562"/>
      <c r="IGX134" s="562"/>
      <c r="IGY134" s="562"/>
      <c r="IGZ134" s="562"/>
      <c r="IHA134" s="562"/>
      <c r="IHB134" s="562"/>
      <c r="IHC134" s="562"/>
      <c r="IHD134" s="562"/>
      <c r="IHE134" s="562"/>
      <c r="IHF134" s="562"/>
      <c r="IHG134" s="562"/>
      <c r="IHH134" s="562"/>
      <c r="IHI134" s="562"/>
      <c r="IHJ134" s="562"/>
      <c r="IHK134" s="562"/>
      <c r="IHL134" s="562"/>
      <c r="IHM134" s="562"/>
      <c r="IHN134" s="562"/>
      <c r="IHO134" s="562"/>
      <c r="IHP134" s="562"/>
      <c r="IHQ134" s="562"/>
      <c r="IHR134" s="562"/>
      <c r="IHS134" s="562"/>
      <c r="IHT134" s="562"/>
      <c r="IHU134" s="562"/>
      <c r="IHV134" s="562"/>
      <c r="IHW134" s="562"/>
      <c r="IHX134" s="562"/>
      <c r="IHY134" s="562"/>
      <c r="IHZ134" s="562"/>
      <c r="IIA134" s="562"/>
      <c r="IIB134" s="562"/>
      <c r="IIC134" s="562"/>
      <c r="IID134" s="562"/>
      <c r="IIE134" s="562"/>
      <c r="IIF134" s="562"/>
      <c r="IIG134" s="562"/>
      <c r="IIH134" s="562"/>
      <c r="III134" s="562"/>
      <c r="IIJ134" s="562"/>
      <c r="IIK134" s="562"/>
      <c r="IIL134" s="562"/>
      <c r="IIM134" s="562"/>
      <c r="IIN134" s="562"/>
      <c r="IIO134" s="562"/>
      <c r="IIP134" s="562"/>
      <c r="IIQ134" s="562"/>
      <c r="IIR134" s="562"/>
      <c r="IIS134" s="562"/>
      <c r="IIT134" s="562"/>
      <c r="IIU134" s="562"/>
      <c r="IIV134" s="562"/>
      <c r="IIW134" s="562"/>
      <c r="IIX134" s="562"/>
      <c r="IIY134" s="562"/>
      <c r="IIZ134" s="562"/>
      <c r="IJA134" s="562"/>
      <c r="IJB134" s="562"/>
      <c r="IJC134" s="562"/>
      <c r="IJD134" s="562"/>
      <c r="IJE134" s="562"/>
      <c r="IJF134" s="562"/>
      <c r="IJG134" s="562"/>
      <c r="IJH134" s="562"/>
      <c r="IJI134" s="562"/>
      <c r="IJJ134" s="562"/>
      <c r="IJK134" s="562"/>
      <c r="IJL134" s="562"/>
      <c r="IJM134" s="562"/>
      <c r="IJN134" s="562"/>
      <c r="IJO134" s="562"/>
      <c r="IJP134" s="562"/>
      <c r="IJQ134" s="562"/>
      <c r="IJR134" s="562"/>
      <c r="IJS134" s="562"/>
      <c r="IJT134" s="562"/>
      <c r="IJU134" s="562"/>
      <c r="IJV134" s="562"/>
      <c r="IJW134" s="562"/>
      <c r="IJX134" s="562"/>
      <c r="IJY134" s="562"/>
      <c r="IJZ134" s="562"/>
      <c r="IKA134" s="562"/>
      <c r="IKB134" s="562"/>
      <c r="IKC134" s="562"/>
      <c r="IKD134" s="562"/>
      <c r="IKE134" s="562"/>
      <c r="IKF134" s="562"/>
      <c r="IKG134" s="562"/>
      <c r="IKH134" s="562"/>
      <c r="IKI134" s="562"/>
      <c r="IKJ134" s="562"/>
      <c r="IKK134" s="562"/>
      <c r="IKL134" s="562"/>
      <c r="IKM134" s="562"/>
      <c r="IKN134" s="562"/>
      <c r="IKO134" s="562"/>
      <c r="IKP134" s="562"/>
      <c r="IKQ134" s="562"/>
      <c r="IKR134" s="562"/>
      <c r="IKS134" s="562"/>
      <c r="IKT134" s="562"/>
      <c r="IKU134" s="562"/>
      <c r="IKV134" s="562"/>
      <c r="IKW134" s="562"/>
      <c r="IKX134" s="562"/>
      <c r="IKY134" s="562"/>
      <c r="IKZ134" s="562"/>
      <c r="ILA134" s="562"/>
      <c r="ILB134" s="562"/>
      <c r="ILC134" s="562"/>
      <c r="ILD134" s="562"/>
      <c r="ILE134" s="562"/>
      <c r="ILF134" s="562"/>
      <c r="ILG134" s="562"/>
      <c r="ILH134" s="562"/>
      <c r="ILI134" s="562"/>
      <c r="ILJ134" s="562"/>
      <c r="ILK134" s="562"/>
      <c r="ILL134" s="562"/>
      <c r="ILM134" s="562"/>
      <c r="ILN134" s="562"/>
      <c r="ILO134" s="562"/>
      <c r="ILP134" s="562"/>
      <c r="ILQ134" s="562"/>
      <c r="ILR134" s="562"/>
      <c r="ILS134" s="562"/>
      <c r="ILT134" s="562"/>
      <c r="ILU134" s="562"/>
      <c r="ILV134" s="562"/>
      <c r="ILW134" s="562"/>
      <c r="ILX134" s="562"/>
      <c r="ILY134" s="562"/>
      <c r="ILZ134" s="562"/>
      <c r="IMA134" s="562"/>
      <c r="IMB134" s="562"/>
      <c r="IMC134" s="562"/>
      <c r="IMD134" s="562"/>
      <c r="IME134" s="562"/>
      <c r="IMF134" s="562"/>
      <c r="IMG134" s="562"/>
      <c r="IMH134" s="562"/>
      <c r="IMI134" s="562"/>
      <c r="IMJ134" s="562"/>
      <c r="IMK134" s="562"/>
      <c r="IML134" s="562"/>
      <c r="IMM134" s="562"/>
      <c r="IMN134" s="562"/>
      <c r="IMO134" s="562"/>
      <c r="IMP134" s="562"/>
      <c r="IMQ134" s="562"/>
      <c r="IMR134" s="562"/>
      <c r="IMS134" s="562"/>
      <c r="IMT134" s="562"/>
      <c r="IMU134" s="562"/>
      <c r="IMV134" s="562"/>
      <c r="IMW134" s="562"/>
      <c r="IMX134" s="562"/>
      <c r="IMY134" s="562"/>
      <c r="IMZ134" s="562"/>
      <c r="INA134" s="562"/>
      <c r="INB134" s="562"/>
      <c r="INC134" s="562"/>
      <c r="IND134" s="562"/>
      <c r="INE134" s="562"/>
      <c r="INF134" s="562"/>
      <c r="ING134" s="562"/>
      <c r="INH134" s="562"/>
      <c r="INI134" s="562"/>
      <c r="INJ134" s="562"/>
      <c r="INK134" s="562"/>
      <c r="INL134" s="562"/>
      <c r="INM134" s="562"/>
      <c r="INN134" s="562"/>
      <c r="INO134" s="562"/>
      <c r="INP134" s="562"/>
      <c r="INQ134" s="562"/>
      <c r="INR134" s="562"/>
      <c r="INS134" s="562"/>
      <c r="INT134" s="562"/>
      <c r="INU134" s="562"/>
      <c r="INV134" s="562"/>
      <c r="INW134" s="562"/>
      <c r="INX134" s="562"/>
      <c r="INY134" s="562"/>
      <c r="INZ134" s="562"/>
      <c r="IOA134" s="562"/>
      <c r="IOB134" s="562"/>
      <c r="IOC134" s="562"/>
      <c r="IOD134" s="562"/>
      <c r="IOE134" s="562"/>
      <c r="IOF134" s="562"/>
      <c r="IOG134" s="562"/>
      <c r="IOH134" s="562"/>
      <c r="IOI134" s="562"/>
      <c r="IOJ134" s="562"/>
      <c r="IOK134" s="562"/>
      <c r="IOL134" s="562"/>
      <c r="IOM134" s="562"/>
      <c r="ION134" s="562"/>
      <c r="IOO134" s="562"/>
      <c r="IOP134" s="562"/>
      <c r="IOQ134" s="562"/>
      <c r="IOR134" s="562"/>
      <c r="IOS134" s="562"/>
      <c r="IOT134" s="562"/>
      <c r="IOU134" s="562"/>
      <c r="IOV134" s="562"/>
      <c r="IOW134" s="562"/>
      <c r="IOX134" s="562"/>
      <c r="IOY134" s="562"/>
      <c r="IOZ134" s="562"/>
      <c r="IPA134" s="562"/>
      <c r="IPB134" s="562"/>
      <c r="IPC134" s="562"/>
      <c r="IPD134" s="562"/>
      <c r="IPE134" s="562"/>
      <c r="IPF134" s="562"/>
      <c r="IPG134" s="562"/>
      <c r="IPH134" s="562"/>
      <c r="IPI134" s="562"/>
      <c r="IPJ134" s="562"/>
      <c r="IPK134" s="562"/>
      <c r="IPL134" s="562"/>
      <c r="IPM134" s="562"/>
      <c r="IPN134" s="562"/>
      <c r="IPO134" s="562"/>
      <c r="IPP134" s="562"/>
      <c r="IPQ134" s="562"/>
      <c r="IPR134" s="562"/>
      <c r="IPS134" s="562"/>
      <c r="IPT134" s="562"/>
      <c r="IPU134" s="562"/>
      <c r="IPV134" s="562"/>
      <c r="IPW134" s="562"/>
      <c r="IPX134" s="562"/>
      <c r="IPY134" s="562"/>
      <c r="IPZ134" s="562"/>
      <c r="IQA134" s="562"/>
      <c r="IQB134" s="562"/>
      <c r="IQC134" s="562"/>
      <c r="IQD134" s="562"/>
      <c r="IQE134" s="562"/>
      <c r="IQF134" s="562"/>
      <c r="IQG134" s="562"/>
      <c r="IQH134" s="562"/>
      <c r="IQI134" s="562"/>
      <c r="IQJ134" s="562"/>
      <c r="IQK134" s="562"/>
      <c r="IQL134" s="562"/>
      <c r="IQM134" s="562"/>
      <c r="IQN134" s="562"/>
      <c r="IQO134" s="562"/>
      <c r="IQP134" s="562"/>
      <c r="IQQ134" s="562"/>
      <c r="IQR134" s="562"/>
      <c r="IQS134" s="562"/>
      <c r="IQT134" s="562"/>
      <c r="IQU134" s="562"/>
      <c r="IQV134" s="562"/>
      <c r="IQW134" s="562"/>
      <c r="IQX134" s="562"/>
      <c r="IQY134" s="562"/>
      <c r="IQZ134" s="562"/>
      <c r="IRA134" s="562"/>
      <c r="IRB134" s="562"/>
      <c r="IRC134" s="562"/>
      <c r="IRD134" s="562"/>
      <c r="IRE134" s="562"/>
      <c r="IRF134" s="562"/>
      <c r="IRG134" s="562"/>
      <c r="IRH134" s="562"/>
      <c r="IRI134" s="562"/>
      <c r="IRJ134" s="562"/>
      <c r="IRK134" s="562"/>
      <c r="IRL134" s="562"/>
      <c r="IRM134" s="562"/>
      <c r="IRN134" s="562"/>
      <c r="IRO134" s="562"/>
      <c r="IRP134" s="562"/>
      <c r="IRQ134" s="562"/>
      <c r="IRR134" s="562"/>
      <c r="IRS134" s="562"/>
      <c r="IRT134" s="562"/>
      <c r="IRU134" s="562"/>
      <c r="IRV134" s="562"/>
      <c r="IRW134" s="562"/>
      <c r="IRX134" s="562"/>
      <c r="IRY134" s="562"/>
      <c r="IRZ134" s="562"/>
      <c r="ISA134" s="562"/>
      <c r="ISB134" s="562"/>
      <c r="ISC134" s="562"/>
      <c r="ISD134" s="562"/>
      <c r="ISE134" s="562"/>
      <c r="ISF134" s="562"/>
      <c r="ISG134" s="562"/>
      <c r="ISH134" s="562"/>
      <c r="ISI134" s="562"/>
      <c r="ISJ134" s="562"/>
      <c r="ISK134" s="562"/>
      <c r="ISL134" s="562"/>
      <c r="ISM134" s="562"/>
      <c r="ISN134" s="562"/>
      <c r="ISO134" s="562"/>
      <c r="ISP134" s="562"/>
      <c r="ISQ134" s="562"/>
      <c r="ISR134" s="562"/>
      <c r="ISS134" s="562"/>
      <c r="IST134" s="562"/>
      <c r="ISU134" s="562"/>
      <c r="ISV134" s="562"/>
      <c r="ISW134" s="562"/>
      <c r="ISX134" s="562"/>
      <c r="ISY134" s="562"/>
      <c r="ISZ134" s="562"/>
      <c r="ITA134" s="562"/>
      <c r="ITB134" s="562"/>
      <c r="ITC134" s="562"/>
      <c r="ITD134" s="562"/>
      <c r="ITE134" s="562"/>
      <c r="ITF134" s="562"/>
      <c r="ITG134" s="562"/>
      <c r="ITH134" s="562"/>
      <c r="ITI134" s="562"/>
      <c r="ITJ134" s="562"/>
      <c r="ITK134" s="562"/>
      <c r="ITL134" s="562"/>
      <c r="ITM134" s="562"/>
      <c r="ITN134" s="562"/>
      <c r="ITO134" s="562"/>
      <c r="ITP134" s="562"/>
      <c r="ITQ134" s="562"/>
      <c r="ITR134" s="562"/>
      <c r="ITS134" s="562"/>
      <c r="ITT134" s="562"/>
      <c r="ITU134" s="562"/>
      <c r="ITV134" s="562"/>
      <c r="ITW134" s="562"/>
      <c r="ITX134" s="562"/>
      <c r="ITY134" s="562"/>
      <c r="ITZ134" s="562"/>
      <c r="IUA134" s="562"/>
      <c r="IUB134" s="562"/>
      <c r="IUC134" s="562"/>
      <c r="IUD134" s="562"/>
      <c r="IUE134" s="562"/>
      <c r="IUF134" s="562"/>
      <c r="IUG134" s="562"/>
      <c r="IUH134" s="562"/>
      <c r="IUI134" s="562"/>
      <c r="IUJ134" s="562"/>
      <c r="IUK134" s="562"/>
      <c r="IUL134" s="562"/>
      <c r="IUM134" s="562"/>
      <c r="IUN134" s="562"/>
      <c r="IUO134" s="562"/>
      <c r="IUP134" s="562"/>
      <c r="IUQ134" s="562"/>
      <c r="IUR134" s="562"/>
      <c r="IUS134" s="562"/>
      <c r="IUT134" s="562"/>
      <c r="IUU134" s="562"/>
      <c r="IUV134" s="562"/>
      <c r="IUW134" s="562"/>
      <c r="IUX134" s="562"/>
      <c r="IUY134" s="562"/>
      <c r="IUZ134" s="562"/>
      <c r="IVA134" s="562"/>
      <c r="IVB134" s="562"/>
      <c r="IVC134" s="562"/>
      <c r="IVD134" s="562"/>
      <c r="IVE134" s="562"/>
      <c r="IVF134" s="562"/>
      <c r="IVG134" s="562"/>
      <c r="IVH134" s="562"/>
      <c r="IVI134" s="562"/>
      <c r="IVJ134" s="562"/>
      <c r="IVK134" s="562"/>
      <c r="IVL134" s="562"/>
      <c r="IVM134" s="562"/>
      <c r="IVN134" s="562"/>
      <c r="IVO134" s="562"/>
      <c r="IVP134" s="562"/>
      <c r="IVQ134" s="562"/>
      <c r="IVR134" s="562"/>
      <c r="IVS134" s="562"/>
      <c r="IVT134" s="562"/>
      <c r="IVU134" s="562"/>
      <c r="IVV134" s="562"/>
      <c r="IVW134" s="562"/>
      <c r="IVX134" s="562"/>
      <c r="IVY134" s="562"/>
      <c r="IVZ134" s="562"/>
      <c r="IWA134" s="562"/>
      <c r="IWB134" s="562"/>
      <c r="IWC134" s="562"/>
      <c r="IWD134" s="562"/>
      <c r="IWE134" s="562"/>
      <c r="IWF134" s="562"/>
      <c r="IWG134" s="562"/>
      <c r="IWH134" s="562"/>
      <c r="IWI134" s="562"/>
      <c r="IWJ134" s="562"/>
      <c r="IWK134" s="562"/>
      <c r="IWL134" s="562"/>
      <c r="IWM134" s="562"/>
      <c r="IWN134" s="562"/>
      <c r="IWO134" s="562"/>
      <c r="IWP134" s="562"/>
      <c r="IWQ134" s="562"/>
      <c r="IWR134" s="562"/>
      <c r="IWS134" s="562"/>
      <c r="IWT134" s="562"/>
      <c r="IWU134" s="562"/>
      <c r="IWV134" s="562"/>
      <c r="IWW134" s="562"/>
      <c r="IWX134" s="562"/>
      <c r="IWY134" s="562"/>
      <c r="IWZ134" s="562"/>
      <c r="IXA134" s="562"/>
      <c r="IXB134" s="562"/>
      <c r="IXC134" s="562"/>
      <c r="IXD134" s="562"/>
      <c r="IXE134" s="562"/>
      <c r="IXF134" s="562"/>
      <c r="IXG134" s="562"/>
      <c r="IXH134" s="562"/>
      <c r="IXI134" s="562"/>
      <c r="IXJ134" s="562"/>
      <c r="IXK134" s="562"/>
      <c r="IXL134" s="562"/>
      <c r="IXM134" s="562"/>
      <c r="IXN134" s="562"/>
      <c r="IXO134" s="562"/>
      <c r="IXP134" s="562"/>
      <c r="IXQ134" s="562"/>
      <c r="IXR134" s="562"/>
      <c r="IXS134" s="562"/>
      <c r="IXT134" s="562"/>
      <c r="IXU134" s="562"/>
      <c r="IXV134" s="562"/>
      <c r="IXW134" s="562"/>
      <c r="IXX134" s="562"/>
      <c r="IXY134" s="562"/>
      <c r="IXZ134" s="562"/>
      <c r="IYA134" s="562"/>
      <c r="IYB134" s="562"/>
      <c r="IYC134" s="562"/>
      <c r="IYD134" s="562"/>
      <c r="IYE134" s="562"/>
      <c r="IYF134" s="562"/>
      <c r="IYG134" s="562"/>
      <c r="IYH134" s="562"/>
      <c r="IYI134" s="562"/>
      <c r="IYJ134" s="562"/>
      <c r="IYK134" s="562"/>
      <c r="IYL134" s="562"/>
      <c r="IYM134" s="562"/>
      <c r="IYN134" s="562"/>
      <c r="IYO134" s="562"/>
      <c r="IYP134" s="562"/>
      <c r="IYQ134" s="562"/>
      <c r="IYR134" s="562"/>
      <c r="IYS134" s="562"/>
      <c r="IYT134" s="562"/>
      <c r="IYU134" s="562"/>
      <c r="IYV134" s="562"/>
      <c r="IYW134" s="562"/>
      <c r="IYX134" s="562"/>
      <c r="IYY134" s="562"/>
      <c r="IYZ134" s="562"/>
      <c r="IZA134" s="562"/>
      <c r="IZB134" s="562"/>
      <c r="IZC134" s="562"/>
      <c r="IZD134" s="562"/>
      <c r="IZE134" s="562"/>
      <c r="IZF134" s="562"/>
      <c r="IZG134" s="562"/>
      <c r="IZH134" s="562"/>
      <c r="IZI134" s="562"/>
      <c r="IZJ134" s="562"/>
      <c r="IZK134" s="562"/>
      <c r="IZL134" s="562"/>
      <c r="IZM134" s="562"/>
      <c r="IZN134" s="562"/>
      <c r="IZO134" s="562"/>
      <c r="IZP134" s="562"/>
      <c r="IZQ134" s="562"/>
      <c r="IZR134" s="562"/>
      <c r="IZS134" s="562"/>
      <c r="IZT134" s="562"/>
      <c r="IZU134" s="562"/>
      <c r="IZV134" s="562"/>
      <c r="IZW134" s="562"/>
      <c r="IZX134" s="562"/>
      <c r="IZY134" s="562"/>
      <c r="IZZ134" s="562"/>
      <c r="JAA134" s="562"/>
      <c r="JAB134" s="562"/>
      <c r="JAC134" s="562"/>
      <c r="JAD134" s="562"/>
      <c r="JAE134" s="562"/>
      <c r="JAF134" s="562"/>
      <c r="JAG134" s="562"/>
      <c r="JAH134" s="562"/>
      <c r="JAI134" s="562"/>
      <c r="JAJ134" s="562"/>
      <c r="JAK134" s="562"/>
      <c r="JAL134" s="562"/>
      <c r="JAM134" s="562"/>
      <c r="JAN134" s="562"/>
      <c r="JAO134" s="562"/>
      <c r="JAP134" s="562"/>
      <c r="JAQ134" s="562"/>
      <c r="JAR134" s="562"/>
      <c r="JAS134" s="562"/>
      <c r="JAT134" s="562"/>
      <c r="JAU134" s="562"/>
      <c r="JAV134" s="562"/>
      <c r="JAW134" s="562"/>
      <c r="JAX134" s="562"/>
      <c r="JAY134" s="562"/>
      <c r="JAZ134" s="562"/>
      <c r="JBA134" s="562"/>
      <c r="JBB134" s="562"/>
      <c r="JBC134" s="562"/>
      <c r="JBD134" s="562"/>
      <c r="JBE134" s="562"/>
      <c r="JBF134" s="562"/>
      <c r="JBG134" s="562"/>
      <c r="JBH134" s="562"/>
      <c r="JBI134" s="562"/>
      <c r="JBJ134" s="562"/>
      <c r="JBK134" s="562"/>
      <c r="JBL134" s="562"/>
      <c r="JBM134" s="562"/>
      <c r="JBN134" s="562"/>
      <c r="JBO134" s="562"/>
      <c r="JBP134" s="562"/>
      <c r="JBQ134" s="562"/>
      <c r="JBR134" s="562"/>
      <c r="JBS134" s="562"/>
      <c r="JBT134" s="562"/>
      <c r="JBU134" s="562"/>
      <c r="JBV134" s="562"/>
      <c r="JBW134" s="562"/>
      <c r="JBX134" s="562"/>
      <c r="JBY134" s="562"/>
      <c r="JBZ134" s="562"/>
      <c r="JCA134" s="562"/>
      <c r="JCB134" s="562"/>
      <c r="JCC134" s="562"/>
      <c r="JCD134" s="562"/>
      <c r="JCE134" s="562"/>
      <c r="JCF134" s="562"/>
      <c r="JCG134" s="562"/>
      <c r="JCH134" s="562"/>
      <c r="JCI134" s="562"/>
      <c r="JCJ134" s="562"/>
      <c r="JCK134" s="562"/>
      <c r="JCL134" s="562"/>
      <c r="JCM134" s="562"/>
      <c r="JCN134" s="562"/>
      <c r="JCO134" s="562"/>
      <c r="JCP134" s="562"/>
      <c r="JCQ134" s="562"/>
      <c r="JCR134" s="562"/>
      <c r="JCS134" s="562"/>
      <c r="JCT134" s="562"/>
      <c r="JCU134" s="562"/>
      <c r="JCV134" s="562"/>
      <c r="JCW134" s="562"/>
      <c r="JCX134" s="562"/>
      <c r="JCY134" s="562"/>
      <c r="JCZ134" s="562"/>
      <c r="JDA134" s="562"/>
      <c r="JDB134" s="562"/>
      <c r="JDC134" s="562"/>
      <c r="JDD134" s="562"/>
      <c r="JDE134" s="562"/>
      <c r="JDF134" s="562"/>
      <c r="JDG134" s="562"/>
      <c r="JDH134" s="562"/>
      <c r="JDI134" s="562"/>
      <c r="JDJ134" s="562"/>
      <c r="JDK134" s="562"/>
      <c r="JDL134" s="562"/>
      <c r="JDM134" s="562"/>
      <c r="JDN134" s="562"/>
      <c r="JDO134" s="562"/>
      <c r="JDP134" s="562"/>
      <c r="JDQ134" s="562"/>
      <c r="JDR134" s="562"/>
      <c r="JDS134" s="562"/>
      <c r="JDT134" s="562"/>
      <c r="JDU134" s="562"/>
      <c r="JDV134" s="562"/>
      <c r="JDW134" s="562"/>
      <c r="JDX134" s="562"/>
      <c r="JDY134" s="562"/>
      <c r="JDZ134" s="562"/>
      <c r="JEA134" s="562"/>
      <c r="JEB134" s="562"/>
      <c r="JEC134" s="562"/>
      <c r="JED134" s="562"/>
      <c r="JEE134" s="562"/>
      <c r="JEF134" s="562"/>
      <c r="JEG134" s="562"/>
      <c r="JEH134" s="562"/>
      <c r="JEI134" s="562"/>
      <c r="JEJ134" s="562"/>
      <c r="JEK134" s="562"/>
      <c r="JEL134" s="562"/>
      <c r="JEM134" s="562"/>
      <c r="JEN134" s="562"/>
      <c r="JEO134" s="562"/>
      <c r="JEP134" s="562"/>
      <c r="JEQ134" s="562"/>
      <c r="JER134" s="562"/>
      <c r="JES134" s="562"/>
      <c r="JET134" s="562"/>
      <c r="JEU134" s="562"/>
      <c r="JEV134" s="562"/>
      <c r="JEW134" s="562"/>
      <c r="JEX134" s="562"/>
      <c r="JEY134" s="562"/>
      <c r="JEZ134" s="562"/>
      <c r="JFA134" s="562"/>
      <c r="JFB134" s="562"/>
      <c r="JFC134" s="562"/>
      <c r="JFD134" s="562"/>
      <c r="JFE134" s="562"/>
      <c r="JFF134" s="562"/>
      <c r="JFG134" s="562"/>
      <c r="JFH134" s="562"/>
      <c r="JFI134" s="562"/>
      <c r="JFJ134" s="562"/>
      <c r="JFK134" s="562"/>
      <c r="JFL134" s="562"/>
      <c r="JFM134" s="562"/>
      <c r="JFN134" s="562"/>
      <c r="JFO134" s="562"/>
      <c r="JFP134" s="562"/>
      <c r="JFQ134" s="562"/>
      <c r="JFR134" s="562"/>
      <c r="JFS134" s="562"/>
      <c r="JFT134" s="562"/>
      <c r="JFU134" s="562"/>
      <c r="JFV134" s="562"/>
      <c r="JFW134" s="562"/>
      <c r="JFX134" s="562"/>
      <c r="JFY134" s="562"/>
      <c r="JFZ134" s="562"/>
      <c r="JGA134" s="562"/>
      <c r="JGB134" s="562"/>
      <c r="JGC134" s="562"/>
      <c r="JGD134" s="562"/>
      <c r="JGE134" s="562"/>
      <c r="JGF134" s="562"/>
      <c r="JGG134" s="562"/>
      <c r="JGH134" s="562"/>
      <c r="JGI134" s="562"/>
      <c r="JGJ134" s="562"/>
      <c r="JGK134" s="562"/>
      <c r="JGL134" s="562"/>
      <c r="JGM134" s="562"/>
      <c r="JGN134" s="562"/>
      <c r="JGO134" s="562"/>
      <c r="JGP134" s="562"/>
      <c r="JGQ134" s="562"/>
      <c r="JGR134" s="562"/>
      <c r="JGS134" s="562"/>
      <c r="JGT134" s="562"/>
      <c r="JGU134" s="562"/>
      <c r="JGV134" s="562"/>
      <c r="JGW134" s="562"/>
      <c r="JGX134" s="562"/>
      <c r="JGY134" s="562"/>
      <c r="JGZ134" s="562"/>
      <c r="JHA134" s="562"/>
      <c r="JHB134" s="562"/>
      <c r="JHC134" s="562"/>
      <c r="JHD134" s="562"/>
      <c r="JHE134" s="562"/>
      <c r="JHF134" s="562"/>
      <c r="JHG134" s="562"/>
      <c r="JHH134" s="562"/>
      <c r="JHI134" s="562"/>
      <c r="JHJ134" s="562"/>
      <c r="JHK134" s="562"/>
      <c r="JHL134" s="562"/>
      <c r="JHM134" s="562"/>
      <c r="JHN134" s="562"/>
      <c r="JHO134" s="562"/>
      <c r="JHP134" s="562"/>
      <c r="JHQ134" s="562"/>
      <c r="JHR134" s="562"/>
      <c r="JHS134" s="562"/>
      <c r="JHT134" s="562"/>
      <c r="JHU134" s="562"/>
      <c r="JHV134" s="562"/>
      <c r="JHW134" s="562"/>
      <c r="JHX134" s="562"/>
      <c r="JHY134" s="562"/>
      <c r="JHZ134" s="562"/>
      <c r="JIA134" s="562"/>
      <c r="JIB134" s="562"/>
      <c r="JIC134" s="562"/>
      <c r="JID134" s="562"/>
      <c r="JIE134" s="562"/>
      <c r="JIF134" s="562"/>
      <c r="JIG134" s="562"/>
      <c r="JIH134" s="562"/>
      <c r="JII134" s="562"/>
      <c r="JIJ134" s="562"/>
      <c r="JIK134" s="562"/>
      <c r="JIL134" s="562"/>
      <c r="JIM134" s="562"/>
      <c r="JIN134" s="562"/>
      <c r="JIO134" s="562"/>
      <c r="JIP134" s="562"/>
      <c r="JIQ134" s="562"/>
      <c r="JIR134" s="562"/>
      <c r="JIS134" s="562"/>
      <c r="JIT134" s="562"/>
      <c r="JIU134" s="562"/>
      <c r="JIV134" s="562"/>
      <c r="JIW134" s="562"/>
      <c r="JIX134" s="562"/>
      <c r="JIY134" s="562"/>
      <c r="JIZ134" s="562"/>
      <c r="JJA134" s="562"/>
      <c r="JJB134" s="562"/>
      <c r="JJC134" s="562"/>
      <c r="JJD134" s="562"/>
      <c r="JJE134" s="562"/>
      <c r="JJF134" s="562"/>
      <c r="JJG134" s="562"/>
      <c r="JJH134" s="562"/>
      <c r="JJI134" s="562"/>
      <c r="JJJ134" s="562"/>
      <c r="JJK134" s="562"/>
      <c r="JJL134" s="562"/>
      <c r="JJM134" s="562"/>
      <c r="JJN134" s="562"/>
      <c r="JJO134" s="562"/>
      <c r="JJP134" s="562"/>
      <c r="JJQ134" s="562"/>
      <c r="JJR134" s="562"/>
      <c r="JJS134" s="562"/>
      <c r="JJT134" s="562"/>
      <c r="JJU134" s="562"/>
      <c r="JJV134" s="562"/>
      <c r="JJW134" s="562"/>
      <c r="JJX134" s="562"/>
      <c r="JJY134" s="562"/>
      <c r="JJZ134" s="562"/>
      <c r="JKA134" s="562"/>
      <c r="JKB134" s="562"/>
      <c r="JKC134" s="562"/>
      <c r="JKD134" s="562"/>
      <c r="JKE134" s="562"/>
      <c r="JKF134" s="562"/>
      <c r="JKG134" s="562"/>
      <c r="JKH134" s="562"/>
      <c r="JKI134" s="562"/>
      <c r="JKJ134" s="562"/>
      <c r="JKK134" s="562"/>
      <c r="JKL134" s="562"/>
      <c r="JKM134" s="562"/>
      <c r="JKN134" s="562"/>
      <c r="JKO134" s="562"/>
      <c r="JKP134" s="562"/>
      <c r="JKQ134" s="562"/>
      <c r="JKR134" s="562"/>
      <c r="JKS134" s="562"/>
      <c r="JKT134" s="562"/>
      <c r="JKU134" s="562"/>
      <c r="JKV134" s="562"/>
      <c r="JKW134" s="562"/>
      <c r="JKX134" s="562"/>
      <c r="JKY134" s="562"/>
      <c r="JKZ134" s="562"/>
      <c r="JLA134" s="562"/>
      <c r="JLB134" s="562"/>
      <c r="JLC134" s="562"/>
      <c r="JLD134" s="562"/>
      <c r="JLE134" s="562"/>
      <c r="JLF134" s="562"/>
      <c r="JLG134" s="562"/>
      <c r="JLH134" s="562"/>
      <c r="JLI134" s="562"/>
      <c r="JLJ134" s="562"/>
      <c r="JLK134" s="562"/>
      <c r="JLL134" s="562"/>
      <c r="JLM134" s="562"/>
      <c r="JLN134" s="562"/>
      <c r="JLO134" s="562"/>
      <c r="JLP134" s="562"/>
      <c r="JLQ134" s="562"/>
      <c r="JLR134" s="562"/>
      <c r="JLS134" s="562"/>
      <c r="JLT134" s="562"/>
      <c r="JLU134" s="562"/>
      <c r="JLV134" s="562"/>
      <c r="JLW134" s="562"/>
      <c r="JLX134" s="562"/>
      <c r="JLY134" s="562"/>
      <c r="JLZ134" s="562"/>
      <c r="JMA134" s="562"/>
      <c r="JMB134" s="562"/>
      <c r="JMC134" s="562"/>
      <c r="JMD134" s="562"/>
      <c r="JME134" s="562"/>
      <c r="JMF134" s="562"/>
      <c r="JMG134" s="562"/>
      <c r="JMH134" s="562"/>
      <c r="JMI134" s="562"/>
      <c r="JMJ134" s="562"/>
      <c r="JMK134" s="562"/>
      <c r="JML134" s="562"/>
      <c r="JMM134" s="562"/>
      <c r="JMN134" s="562"/>
      <c r="JMO134" s="562"/>
      <c r="JMP134" s="562"/>
      <c r="JMQ134" s="562"/>
      <c r="JMR134" s="562"/>
      <c r="JMS134" s="562"/>
      <c r="JMT134" s="562"/>
      <c r="JMU134" s="562"/>
      <c r="JMV134" s="562"/>
      <c r="JMW134" s="562"/>
      <c r="JMX134" s="562"/>
      <c r="JMY134" s="562"/>
      <c r="JMZ134" s="562"/>
      <c r="JNA134" s="562"/>
      <c r="JNB134" s="562"/>
      <c r="JNC134" s="562"/>
      <c r="JND134" s="562"/>
      <c r="JNE134" s="562"/>
      <c r="JNF134" s="562"/>
      <c r="JNG134" s="562"/>
      <c r="JNH134" s="562"/>
      <c r="JNI134" s="562"/>
      <c r="JNJ134" s="562"/>
      <c r="JNK134" s="562"/>
      <c r="JNL134" s="562"/>
      <c r="JNM134" s="562"/>
      <c r="JNN134" s="562"/>
      <c r="JNO134" s="562"/>
      <c r="JNP134" s="562"/>
      <c r="JNQ134" s="562"/>
      <c r="JNR134" s="562"/>
      <c r="JNS134" s="562"/>
      <c r="JNT134" s="562"/>
      <c r="JNU134" s="562"/>
      <c r="JNV134" s="562"/>
      <c r="JNW134" s="562"/>
      <c r="JNX134" s="562"/>
      <c r="JNY134" s="562"/>
      <c r="JNZ134" s="562"/>
      <c r="JOA134" s="562"/>
      <c r="JOB134" s="562"/>
      <c r="JOC134" s="562"/>
      <c r="JOD134" s="562"/>
      <c r="JOE134" s="562"/>
      <c r="JOF134" s="562"/>
      <c r="JOG134" s="562"/>
      <c r="JOH134" s="562"/>
      <c r="JOI134" s="562"/>
      <c r="JOJ134" s="562"/>
      <c r="JOK134" s="562"/>
      <c r="JOL134" s="562"/>
      <c r="JOM134" s="562"/>
      <c r="JON134" s="562"/>
      <c r="JOO134" s="562"/>
      <c r="JOP134" s="562"/>
      <c r="JOQ134" s="562"/>
      <c r="JOR134" s="562"/>
      <c r="JOS134" s="562"/>
      <c r="JOT134" s="562"/>
      <c r="JOU134" s="562"/>
      <c r="JOV134" s="562"/>
      <c r="JOW134" s="562"/>
      <c r="JOX134" s="562"/>
      <c r="JOY134" s="562"/>
      <c r="JOZ134" s="562"/>
      <c r="JPA134" s="562"/>
      <c r="JPB134" s="562"/>
      <c r="JPC134" s="562"/>
      <c r="JPD134" s="562"/>
      <c r="JPE134" s="562"/>
      <c r="JPF134" s="562"/>
      <c r="JPG134" s="562"/>
      <c r="JPH134" s="562"/>
      <c r="JPI134" s="562"/>
      <c r="JPJ134" s="562"/>
      <c r="JPK134" s="562"/>
      <c r="JPL134" s="562"/>
      <c r="JPM134" s="562"/>
      <c r="JPN134" s="562"/>
      <c r="JPO134" s="562"/>
      <c r="JPP134" s="562"/>
      <c r="JPQ134" s="562"/>
      <c r="JPR134" s="562"/>
      <c r="JPS134" s="562"/>
      <c r="JPT134" s="562"/>
      <c r="JPU134" s="562"/>
      <c r="JPV134" s="562"/>
      <c r="JPW134" s="562"/>
      <c r="JPX134" s="562"/>
      <c r="JPY134" s="562"/>
      <c r="JPZ134" s="562"/>
      <c r="JQA134" s="562"/>
      <c r="JQB134" s="562"/>
      <c r="JQC134" s="562"/>
      <c r="JQD134" s="562"/>
      <c r="JQE134" s="562"/>
      <c r="JQF134" s="562"/>
      <c r="JQG134" s="562"/>
      <c r="JQH134" s="562"/>
      <c r="JQI134" s="562"/>
      <c r="JQJ134" s="562"/>
      <c r="JQK134" s="562"/>
      <c r="JQL134" s="562"/>
      <c r="JQM134" s="562"/>
      <c r="JQN134" s="562"/>
      <c r="JQO134" s="562"/>
      <c r="JQP134" s="562"/>
      <c r="JQQ134" s="562"/>
      <c r="JQR134" s="562"/>
      <c r="JQS134" s="562"/>
      <c r="JQT134" s="562"/>
      <c r="JQU134" s="562"/>
      <c r="JQV134" s="562"/>
      <c r="JQW134" s="562"/>
      <c r="JQX134" s="562"/>
      <c r="JQY134" s="562"/>
      <c r="JQZ134" s="562"/>
      <c r="JRA134" s="562"/>
      <c r="JRB134" s="562"/>
      <c r="JRC134" s="562"/>
      <c r="JRD134" s="562"/>
      <c r="JRE134" s="562"/>
      <c r="JRF134" s="562"/>
      <c r="JRG134" s="562"/>
      <c r="JRH134" s="562"/>
      <c r="JRI134" s="562"/>
      <c r="JRJ134" s="562"/>
      <c r="JRK134" s="562"/>
      <c r="JRL134" s="562"/>
      <c r="JRM134" s="562"/>
      <c r="JRN134" s="562"/>
      <c r="JRO134" s="562"/>
      <c r="JRP134" s="562"/>
      <c r="JRQ134" s="562"/>
      <c r="JRR134" s="562"/>
      <c r="JRS134" s="562"/>
      <c r="JRT134" s="562"/>
      <c r="JRU134" s="562"/>
      <c r="JRV134" s="562"/>
      <c r="JRW134" s="562"/>
      <c r="JRX134" s="562"/>
      <c r="JRY134" s="562"/>
      <c r="JRZ134" s="562"/>
      <c r="JSA134" s="562"/>
      <c r="JSB134" s="562"/>
      <c r="JSC134" s="562"/>
      <c r="JSD134" s="562"/>
      <c r="JSE134" s="562"/>
      <c r="JSF134" s="562"/>
      <c r="JSG134" s="562"/>
      <c r="JSH134" s="562"/>
      <c r="JSI134" s="562"/>
      <c r="JSJ134" s="562"/>
      <c r="JSK134" s="562"/>
      <c r="JSL134" s="562"/>
      <c r="JSM134" s="562"/>
      <c r="JSN134" s="562"/>
      <c r="JSO134" s="562"/>
      <c r="JSP134" s="562"/>
      <c r="JSQ134" s="562"/>
      <c r="JSR134" s="562"/>
      <c r="JSS134" s="562"/>
      <c r="JST134" s="562"/>
      <c r="JSU134" s="562"/>
      <c r="JSV134" s="562"/>
      <c r="JSW134" s="562"/>
      <c r="JSX134" s="562"/>
      <c r="JSY134" s="562"/>
      <c r="JSZ134" s="562"/>
      <c r="JTA134" s="562"/>
      <c r="JTB134" s="562"/>
      <c r="JTC134" s="562"/>
      <c r="JTD134" s="562"/>
      <c r="JTE134" s="562"/>
      <c r="JTF134" s="562"/>
      <c r="JTG134" s="562"/>
      <c r="JTH134" s="562"/>
      <c r="JTI134" s="562"/>
      <c r="JTJ134" s="562"/>
      <c r="JTK134" s="562"/>
      <c r="JTL134" s="562"/>
      <c r="JTM134" s="562"/>
      <c r="JTN134" s="562"/>
      <c r="JTO134" s="562"/>
      <c r="JTP134" s="562"/>
      <c r="JTQ134" s="562"/>
      <c r="JTR134" s="562"/>
      <c r="JTS134" s="562"/>
      <c r="JTT134" s="562"/>
      <c r="JTU134" s="562"/>
      <c r="JTV134" s="562"/>
      <c r="JTW134" s="562"/>
      <c r="JTX134" s="562"/>
      <c r="JTY134" s="562"/>
      <c r="JTZ134" s="562"/>
      <c r="JUA134" s="562"/>
      <c r="JUB134" s="562"/>
      <c r="JUC134" s="562"/>
      <c r="JUD134" s="562"/>
      <c r="JUE134" s="562"/>
      <c r="JUF134" s="562"/>
      <c r="JUG134" s="562"/>
      <c r="JUH134" s="562"/>
      <c r="JUI134" s="562"/>
      <c r="JUJ134" s="562"/>
      <c r="JUK134" s="562"/>
      <c r="JUL134" s="562"/>
      <c r="JUM134" s="562"/>
      <c r="JUN134" s="562"/>
      <c r="JUO134" s="562"/>
      <c r="JUP134" s="562"/>
      <c r="JUQ134" s="562"/>
      <c r="JUR134" s="562"/>
      <c r="JUS134" s="562"/>
      <c r="JUT134" s="562"/>
      <c r="JUU134" s="562"/>
      <c r="JUV134" s="562"/>
      <c r="JUW134" s="562"/>
      <c r="JUX134" s="562"/>
      <c r="JUY134" s="562"/>
      <c r="JUZ134" s="562"/>
      <c r="JVA134" s="562"/>
      <c r="JVB134" s="562"/>
      <c r="JVC134" s="562"/>
      <c r="JVD134" s="562"/>
      <c r="JVE134" s="562"/>
      <c r="JVF134" s="562"/>
      <c r="JVG134" s="562"/>
      <c r="JVH134" s="562"/>
      <c r="JVI134" s="562"/>
      <c r="JVJ134" s="562"/>
      <c r="JVK134" s="562"/>
      <c r="JVL134" s="562"/>
      <c r="JVM134" s="562"/>
      <c r="JVN134" s="562"/>
      <c r="JVO134" s="562"/>
      <c r="JVP134" s="562"/>
      <c r="JVQ134" s="562"/>
      <c r="JVR134" s="562"/>
      <c r="JVS134" s="562"/>
      <c r="JVT134" s="562"/>
      <c r="JVU134" s="562"/>
      <c r="JVV134" s="562"/>
      <c r="JVW134" s="562"/>
      <c r="JVX134" s="562"/>
      <c r="JVY134" s="562"/>
      <c r="JVZ134" s="562"/>
      <c r="JWA134" s="562"/>
      <c r="JWB134" s="562"/>
      <c r="JWC134" s="562"/>
      <c r="JWD134" s="562"/>
      <c r="JWE134" s="562"/>
      <c r="JWF134" s="562"/>
      <c r="JWG134" s="562"/>
      <c r="JWH134" s="562"/>
      <c r="JWI134" s="562"/>
      <c r="JWJ134" s="562"/>
      <c r="JWK134" s="562"/>
      <c r="JWL134" s="562"/>
      <c r="JWM134" s="562"/>
      <c r="JWN134" s="562"/>
      <c r="JWO134" s="562"/>
      <c r="JWP134" s="562"/>
      <c r="JWQ134" s="562"/>
      <c r="JWR134" s="562"/>
      <c r="JWS134" s="562"/>
      <c r="JWT134" s="562"/>
      <c r="JWU134" s="562"/>
      <c r="JWV134" s="562"/>
      <c r="JWW134" s="562"/>
      <c r="JWX134" s="562"/>
      <c r="JWY134" s="562"/>
      <c r="JWZ134" s="562"/>
      <c r="JXA134" s="562"/>
      <c r="JXB134" s="562"/>
      <c r="JXC134" s="562"/>
      <c r="JXD134" s="562"/>
      <c r="JXE134" s="562"/>
      <c r="JXF134" s="562"/>
      <c r="JXG134" s="562"/>
      <c r="JXH134" s="562"/>
      <c r="JXI134" s="562"/>
      <c r="JXJ134" s="562"/>
      <c r="JXK134" s="562"/>
      <c r="JXL134" s="562"/>
      <c r="JXM134" s="562"/>
      <c r="JXN134" s="562"/>
      <c r="JXO134" s="562"/>
      <c r="JXP134" s="562"/>
      <c r="JXQ134" s="562"/>
      <c r="JXR134" s="562"/>
      <c r="JXS134" s="562"/>
      <c r="JXT134" s="562"/>
      <c r="JXU134" s="562"/>
      <c r="JXV134" s="562"/>
      <c r="JXW134" s="562"/>
      <c r="JXX134" s="562"/>
      <c r="JXY134" s="562"/>
      <c r="JXZ134" s="562"/>
      <c r="JYA134" s="562"/>
      <c r="JYB134" s="562"/>
      <c r="JYC134" s="562"/>
      <c r="JYD134" s="562"/>
      <c r="JYE134" s="562"/>
      <c r="JYF134" s="562"/>
      <c r="JYG134" s="562"/>
      <c r="JYH134" s="562"/>
      <c r="JYI134" s="562"/>
      <c r="JYJ134" s="562"/>
      <c r="JYK134" s="562"/>
      <c r="JYL134" s="562"/>
      <c r="JYM134" s="562"/>
      <c r="JYN134" s="562"/>
      <c r="JYO134" s="562"/>
      <c r="JYP134" s="562"/>
      <c r="JYQ134" s="562"/>
      <c r="JYR134" s="562"/>
      <c r="JYS134" s="562"/>
      <c r="JYT134" s="562"/>
      <c r="JYU134" s="562"/>
      <c r="JYV134" s="562"/>
      <c r="JYW134" s="562"/>
      <c r="JYX134" s="562"/>
      <c r="JYY134" s="562"/>
      <c r="JYZ134" s="562"/>
      <c r="JZA134" s="562"/>
      <c r="JZB134" s="562"/>
      <c r="JZC134" s="562"/>
      <c r="JZD134" s="562"/>
      <c r="JZE134" s="562"/>
      <c r="JZF134" s="562"/>
      <c r="JZG134" s="562"/>
      <c r="JZH134" s="562"/>
      <c r="JZI134" s="562"/>
      <c r="JZJ134" s="562"/>
      <c r="JZK134" s="562"/>
      <c r="JZL134" s="562"/>
      <c r="JZM134" s="562"/>
      <c r="JZN134" s="562"/>
      <c r="JZO134" s="562"/>
      <c r="JZP134" s="562"/>
      <c r="JZQ134" s="562"/>
      <c r="JZR134" s="562"/>
      <c r="JZS134" s="562"/>
      <c r="JZT134" s="562"/>
      <c r="JZU134" s="562"/>
      <c r="JZV134" s="562"/>
      <c r="JZW134" s="562"/>
      <c r="JZX134" s="562"/>
      <c r="JZY134" s="562"/>
      <c r="JZZ134" s="562"/>
      <c r="KAA134" s="562"/>
      <c r="KAB134" s="562"/>
      <c r="KAC134" s="562"/>
      <c r="KAD134" s="562"/>
      <c r="KAE134" s="562"/>
      <c r="KAF134" s="562"/>
      <c r="KAG134" s="562"/>
      <c r="KAH134" s="562"/>
      <c r="KAI134" s="562"/>
      <c r="KAJ134" s="562"/>
      <c r="KAK134" s="562"/>
      <c r="KAL134" s="562"/>
      <c r="KAM134" s="562"/>
      <c r="KAN134" s="562"/>
      <c r="KAO134" s="562"/>
      <c r="KAP134" s="562"/>
      <c r="KAQ134" s="562"/>
      <c r="KAR134" s="562"/>
      <c r="KAS134" s="562"/>
      <c r="KAT134" s="562"/>
      <c r="KAU134" s="562"/>
      <c r="KAV134" s="562"/>
      <c r="KAW134" s="562"/>
      <c r="KAX134" s="562"/>
      <c r="KAY134" s="562"/>
      <c r="KAZ134" s="562"/>
      <c r="KBA134" s="562"/>
      <c r="KBB134" s="562"/>
      <c r="KBC134" s="562"/>
      <c r="KBD134" s="562"/>
      <c r="KBE134" s="562"/>
      <c r="KBF134" s="562"/>
      <c r="KBG134" s="562"/>
      <c r="KBH134" s="562"/>
      <c r="KBI134" s="562"/>
      <c r="KBJ134" s="562"/>
      <c r="KBK134" s="562"/>
      <c r="KBL134" s="562"/>
      <c r="KBM134" s="562"/>
      <c r="KBN134" s="562"/>
      <c r="KBO134" s="562"/>
      <c r="KBP134" s="562"/>
      <c r="KBQ134" s="562"/>
      <c r="KBR134" s="562"/>
      <c r="KBS134" s="562"/>
      <c r="KBT134" s="562"/>
      <c r="KBU134" s="562"/>
      <c r="KBV134" s="562"/>
      <c r="KBW134" s="562"/>
      <c r="KBX134" s="562"/>
      <c r="KBY134" s="562"/>
      <c r="KBZ134" s="562"/>
      <c r="KCA134" s="562"/>
      <c r="KCB134" s="562"/>
      <c r="KCC134" s="562"/>
      <c r="KCD134" s="562"/>
      <c r="KCE134" s="562"/>
      <c r="KCF134" s="562"/>
      <c r="KCG134" s="562"/>
      <c r="KCH134" s="562"/>
      <c r="KCI134" s="562"/>
      <c r="KCJ134" s="562"/>
      <c r="KCK134" s="562"/>
      <c r="KCL134" s="562"/>
      <c r="KCM134" s="562"/>
      <c r="KCN134" s="562"/>
      <c r="KCO134" s="562"/>
      <c r="KCP134" s="562"/>
      <c r="KCQ134" s="562"/>
      <c r="KCR134" s="562"/>
      <c r="KCS134" s="562"/>
      <c r="KCT134" s="562"/>
      <c r="KCU134" s="562"/>
      <c r="KCV134" s="562"/>
      <c r="KCW134" s="562"/>
      <c r="KCX134" s="562"/>
      <c r="KCY134" s="562"/>
      <c r="KCZ134" s="562"/>
      <c r="KDA134" s="562"/>
      <c r="KDB134" s="562"/>
      <c r="KDC134" s="562"/>
      <c r="KDD134" s="562"/>
      <c r="KDE134" s="562"/>
      <c r="KDF134" s="562"/>
      <c r="KDG134" s="562"/>
      <c r="KDH134" s="562"/>
      <c r="KDI134" s="562"/>
      <c r="KDJ134" s="562"/>
      <c r="KDK134" s="562"/>
      <c r="KDL134" s="562"/>
      <c r="KDM134" s="562"/>
      <c r="KDN134" s="562"/>
      <c r="KDO134" s="562"/>
      <c r="KDP134" s="562"/>
      <c r="KDQ134" s="562"/>
      <c r="KDR134" s="562"/>
      <c r="KDS134" s="562"/>
      <c r="KDT134" s="562"/>
      <c r="KDU134" s="562"/>
      <c r="KDV134" s="562"/>
      <c r="KDW134" s="562"/>
      <c r="KDX134" s="562"/>
      <c r="KDY134" s="562"/>
      <c r="KDZ134" s="562"/>
      <c r="KEA134" s="562"/>
      <c r="KEB134" s="562"/>
      <c r="KEC134" s="562"/>
      <c r="KED134" s="562"/>
      <c r="KEE134" s="562"/>
      <c r="KEF134" s="562"/>
      <c r="KEG134" s="562"/>
      <c r="KEH134" s="562"/>
      <c r="KEI134" s="562"/>
      <c r="KEJ134" s="562"/>
      <c r="KEK134" s="562"/>
      <c r="KEL134" s="562"/>
      <c r="KEM134" s="562"/>
      <c r="KEN134" s="562"/>
      <c r="KEO134" s="562"/>
      <c r="KEP134" s="562"/>
      <c r="KEQ134" s="562"/>
      <c r="KER134" s="562"/>
      <c r="KES134" s="562"/>
      <c r="KET134" s="562"/>
      <c r="KEU134" s="562"/>
      <c r="KEV134" s="562"/>
      <c r="KEW134" s="562"/>
      <c r="KEX134" s="562"/>
      <c r="KEY134" s="562"/>
      <c r="KEZ134" s="562"/>
      <c r="KFA134" s="562"/>
      <c r="KFB134" s="562"/>
      <c r="KFC134" s="562"/>
      <c r="KFD134" s="562"/>
      <c r="KFE134" s="562"/>
      <c r="KFF134" s="562"/>
      <c r="KFG134" s="562"/>
      <c r="KFH134" s="562"/>
      <c r="KFI134" s="562"/>
      <c r="KFJ134" s="562"/>
      <c r="KFK134" s="562"/>
      <c r="KFL134" s="562"/>
      <c r="KFM134" s="562"/>
      <c r="KFN134" s="562"/>
      <c r="KFO134" s="562"/>
      <c r="KFP134" s="562"/>
      <c r="KFQ134" s="562"/>
      <c r="KFR134" s="562"/>
      <c r="KFS134" s="562"/>
      <c r="KFT134" s="562"/>
      <c r="KFU134" s="562"/>
      <c r="KFV134" s="562"/>
      <c r="KFW134" s="562"/>
      <c r="KFX134" s="562"/>
      <c r="KFY134" s="562"/>
      <c r="KFZ134" s="562"/>
      <c r="KGA134" s="562"/>
      <c r="KGB134" s="562"/>
      <c r="KGC134" s="562"/>
      <c r="KGD134" s="562"/>
      <c r="KGE134" s="562"/>
      <c r="KGF134" s="562"/>
      <c r="KGG134" s="562"/>
      <c r="KGH134" s="562"/>
      <c r="KGI134" s="562"/>
      <c r="KGJ134" s="562"/>
      <c r="KGK134" s="562"/>
      <c r="KGL134" s="562"/>
      <c r="KGM134" s="562"/>
      <c r="KGN134" s="562"/>
      <c r="KGO134" s="562"/>
      <c r="KGP134" s="562"/>
      <c r="KGQ134" s="562"/>
      <c r="KGR134" s="562"/>
      <c r="KGS134" s="562"/>
      <c r="KGT134" s="562"/>
      <c r="KGU134" s="562"/>
      <c r="KGV134" s="562"/>
      <c r="KGW134" s="562"/>
      <c r="KGX134" s="562"/>
      <c r="KGY134" s="562"/>
      <c r="KGZ134" s="562"/>
      <c r="KHA134" s="562"/>
      <c r="KHB134" s="562"/>
      <c r="KHC134" s="562"/>
      <c r="KHD134" s="562"/>
      <c r="KHE134" s="562"/>
      <c r="KHF134" s="562"/>
      <c r="KHG134" s="562"/>
      <c r="KHH134" s="562"/>
      <c r="KHI134" s="562"/>
      <c r="KHJ134" s="562"/>
      <c r="KHK134" s="562"/>
      <c r="KHL134" s="562"/>
      <c r="KHM134" s="562"/>
      <c r="KHN134" s="562"/>
      <c r="KHO134" s="562"/>
      <c r="KHP134" s="562"/>
      <c r="KHQ134" s="562"/>
      <c r="KHR134" s="562"/>
      <c r="KHS134" s="562"/>
      <c r="KHT134" s="562"/>
      <c r="KHU134" s="562"/>
      <c r="KHV134" s="562"/>
      <c r="KHW134" s="562"/>
      <c r="KHX134" s="562"/>
      <c r="KHY134" s="562"/>
      <c r="KHZ134" s="562"/>
      <c r="KIA134" s="562"/>
      <c r="KIB134" s="562"/>
      <c r="KIC134" s="562"/>
      <c r="KID134" s="562"/>
      <c r="KIE134" s="562"/>
      <c r="KIF134" s="562"/>
      <c r="KIG134" s="562"/>
      <c r="KIH134" s="562"/>
      <c r="KII134" s="562"/>
      <c r="KIJ134" s="562"/>
      <c r="KIK134" s="562"/>
      <c r="KIL134" s="562"/>
      <c r="KIM134" s="562"/>
      <c r="KIN134" s="562"/>
      <c r="KIO134" s="562"/>
      <c r="KIP134" s="562"/>
      <c r="KIQ134" s="562"/>
      <c r="KIR134" s="562"/>
      <c r="KIS134" s="562"/>
      <c r="KIT134" s="562"/>
      <c r="KIU134" s="562"/>
      <c r="KIV134" s="562"/>
      <c r="KIW134" s="562"/>
      <c r="KIX134" s="562"/>
      <c r="KIY134" s="562"/>
      <c r="KIZ134" s="562"/>
      <c r="KJA134" s="562"/>
      <c r="KJB134" s="562"/>
      <c r="KJC134" s="562"/>
      <c r="KJD134" s="562"/>
      <c r="KJE134" s="562"/>
      <c r="KJF134" s="562"/>
      <c r="KJG134" s="562"/>
      <c r="KJH134" s="562"/>
      <c r="KJI134" s="562"/>
      <c r="KJJ134" s="562"/>
      <c r="KJK134" s="562"/>
      <c r="KJL134" s="562"/>
      <c r="KJM134" s="562"/>
      <c r="KJN134" s="562"/>
      <c r="KJO134" s="562"/>
      <c r="KJP134" s="562"/>
      <c r="KJQ134" s="562"/>
      <c r="KJR134" s="562"/>
      <c r="KJS134" s="562"/>
      <c r="KJT134" s="562"/>
      <c r="KJU134" s="562"/>
      <c r="KJV134" s="562"/>
      <c r="KJW134" s="562"/>
      <c r="KJX134" s="562"/>
      <c r="KJY134" s="562"/>
      <c r="KJZ134" s="562"/>
      <c r="KKA134" s="562"/>
      <c r="KKB134" s="562"/>
      <c r="KKC134" s="562"/>
      <c r="KKD134" s="562"/>
      <c r="KKE134" s="562"/>
      <c r="KKF134" s="562"/>
      <c r="KKG134" s="562"/>
      <c r="KKH134" s="562"/>
      <c r="KKI134" s="562"/>
      <c r="KKJ134" s="562"/>
      <c r="KKK134" s="562"/>
      <c r="KKL134" s="562"/>
      <c r="KKM134" s="562"/>
      <c r="KKN134" s="562"/>
      <c r="KKO134" s="562"/>
      <c r="KKP134" s="562"/>
      <c r="KKQ134" s="562"/>
      <c r="KKR134" s="562"/>
      <c r="KKS134" s="562"/>
      <c r="KKT134" s="562"/>
      <c r="KKU134" s="562"/>
      <c r="KKV134" s="562"/>
      <c r="KKW134" s="562"/>
      <c r="KKX134" s="562"/>
      <c r="KKY134" s="562"/>
      <c r="KKZ134" s="562"/>
      <c r="KLA134" s="562"/>
      <c r="KLB134" s="562"/>
      <c r="KLC134" s="562"/>
      <c r="KLD134" s="562"/>
      <c r="KLE134" s="562"/>
      <c r="KLF134" s="562"/>
      <c r="KLG134" s="562"/>
      <c r="KLH134" s="562"/>
      <c r="KLI134" s="562"/>
      <c r="KLJ134" s="562"/>
      <c r="KLK134" s="562"/>
      <c r="KLL134" s="562"/>
      <c r="KLM134" s="562"/>
      <c r="KLN134" s="562"/>
      <c r="KLO134" s="562"/>
      <c r="KLP134" s="562"/>
      <c r="KLQ134" s="562"/>
      <c r="KLR134" s="562"/>
      <c r="KLS134" s="562"/>
      <c r="KLT134" s="562"/>
      <c r="KLU134" s="562"/>
      <c r="KLV134" s="562"/>
      <c r="KLW134" s="562"/>
      <c r="KLX134" s="562"/>
      <c r="KLY134" s="562"/>
      <c r="KLZ134" s="562"/>
      <c r="KMA134" s="562"/>
      <c r="KMB134" s="562"/>
      <c r="KMC134" s="562"/>
      <c r="KMD134" s="562"/>
      <c r="KME134" s="562"/>
      <c r="KMF134" s="562"/>
      <c r="KMG134" s="562"/>
      <c r="KMH134" s="562"/>
      <c r="KMI134" s="562"/>
      <c r="KMJ134" s="562"/>
      <c r="KMK134" s="562"/>
      <c r="KML134" s="562"/>
      <c r="KMM134" s="562"/>
      <c r="KMN134" s="562"/>
      <c r="KMO134" s="562"/>
      <c r="KMP134" s="562"/>
      <c r="KMQ134" s="562"/>
      <c r="KMR134" s="562"/>
      <c r="KMS134" s="562"/>
      <c r="KMT134" s="562"/>
      <c r="KMU134" s="562"/>
      <c r="KMV134" s="562"/>
      <c r="KMW134" s="562"/>
      <c r="KMX134" s="562"/>
      <c r="KMY134" s="562"/>
      <c r="KMZ134" s="562"/>
      <c r="KNA134" s="562"/>
      <c r="KNB134" s="562"/>
      <c r="KNC134" s="562"/>
      <c r="KND134" s="562"/>
      <c r="KNE134" s="562"/>
      <c r="KNF134" s="562"/>
      <c r="KNG134" s="562"/>
      <c r="KNH134" s="562"/>
      <c r="KNI134" s="562"/>
      <c r="KNJ134" s="562"/>
      <c r="KNK134" s="562"/>
      <c r="KNL134" s="562"/>
      <c r="KNM134" s="562"/>
      <c r="KNN134" s="562"/>
      <c r="KNO134" s="562"/>
      <c r="KNP134" s="562"/>
      <c r="KNQ134" s="562"/>
      <c r="KNR134" s="562"/>
      <c r="KNS134" s="562"/>
      <c r="KNT134" s="562"/>
      <c r="KNU134" s="562"/>
      <c r="KNV134" s="562"/>
      <c r="KNW134" s="562"/>
      <c r="KNX134" s="562"/>
      <c r="KNY134" s="562"/>
      <c r="KNZ134" s="562"/>
      <c r="KOA134" s="562"/>
      <c r="KOB134" s="562"/>
      <c r="KOC134" s="562"/>
      <c r="KOD134" s="562"/>
      <c r="KOE134" s="562"/>
      <c r="KOF134" s="562"/>
      <c r="KOG134" s="562"/>
      <c r="KOH134" s="562"/>
      <c r="KOI134" s="562"/>
      <c r="KOJ134" s="562"/>
      <c r="KOK134" s="562"/>
      <c r="KOL134" s="562"/>
      <c r="KOM134" s="562"/>
      <c r="KON134" s="562"/>
      <c r="KOO134" s="562"/>
      <c r="KOP134" s="562"/>
      <c r="KOQ134" s="562"/>
      <c r="KOR134" s="562"/>
      <c r="KOS134" s="562"/>
      <c r="KOT134" s="562"/>
      <c r="KOU134" s="562"/>
      <c r="KOV134" s="562"/>
      <c r="KOW134" s="562"/>
      <c r="KOX134" s="562"/>
      <c r="KOY134" s="562"/>
      <c r="KOZ134" s="562"/>
      <c r="KPA134" s="562"/>
      <c r="KPB134" s="562"/>
      <c r="KPC134" s="562"/>
      <c r="KPD134" s="562"/>
      <c r="KPE134" s="562"/>
      <c r="KPF134" s="562"/>
      <c r="KPG134" s="562"/>
      <c r="KPH134" s="562"/>
      <c r="KPI134" s="562"/>
      <c r="KPJ134" s="562"/>
      <c r="KPK134" s="562"/>
      <c r="KPL134" s="562"/>
      <c r="KPM134" s="562"/>
      <c r="KPN134" s="562"/>
      <c r="KPO134" s="562"/>
      <c r="KPP134" s="562"/>
      <c r="KPQ134" s="562"/>
      <c r="KPR134" s="562"/>
      <c r="KPS134" s="562"/>
      <c r="KPT134" s="562"/>
      <c r="KPU134" s="562"/>
      <c r="KPV134" s="562"/>
      <c r="KPW134" s="562"/>
      <c r="KPX134" s="562"/>
      <c r="KPY134" s="562"/>
      <c r="KPZ134" s="562"/>
      <c r="KQA134" s="562"/>
      <c r="KQB134" s="562"/>
      <c r="KQC134" s="562"/>
      <c r="KQD134" s="562"/>
      <c r="KQE134" s="562"/>
      <c r="KQF134" s="562"/>
      <c r="KQG134" s="562"/>
      <c r="KQH134" s="562"/>
      <c r="KQI134" s="562"/>
      <c r="KQJ134" s="562"/>
      <c r="KQK134" s="562"/>
      <c r="KQL134" s="562"/>
      <c r="KQM134" s="562"/>
      <c r="KQN134" s="562"/>
      <c r="KQO134" s="562"/>
      <c r="KQP134" s="562"/>
      <c r="KQQ134" s="562"/>
      <c r="KQR134" s="562"/>
      <c r="KQS134" s="562"/>
      <c r="KQT134" s="562"/>
      <c r="KQU134" s="562"/>
      <c r="KQV134" s="562"/>
      <c r="KQW134" s="562"/>
      <c r="KQX134" s="562"/>
      <c r="KQY134" s="562"/>
      <c r="KQZ134" s="562"/>
      <c r="KRA134" s="562"/>
      <c r="KRB134" s="562"/>
      <c r="KRC134" s="562"/>
      <c r="KRD134" s="562"/>
      <c r="KRE134" s="562"/>
      <c r="KRF134" s="562"/>
      <c r="KRG134" s="562"/>
      <c r="KRH134" s="562"/>
      <c r="KRI134" s="562"/>
      <c r="KRJ134" s="562"/>
      <c r="KRK134" s="562"/>
      <c r="KRL134" s="562"/>
      <c r="KRM134" s="562"/>
      <c r="KRN134" s="562"/>
      <c r="KRO134" s="562"/>
      <c r="KRP134" s="562"/>
      <c r="KRQ134" s="562"/>
      <c r="KRR134" s="562"/>
      <c r="KRS134" s="562"/>
      <c r="KRT134" s="562"/>
      <c r="KRU134" s="562"/>
      <c r="KRV134" s="562"/>
      <c r="KRW134" s="562"/>
      <c r="KRX134" s="562"/>
      <c r="KRY134" s="562"/>
      <c r="KRZ134" s="562"/>
      <c r="KSA134" s="562"/>
      <c r="KSB134" s="562"/>
      <c r="KSC134" s="562"/>
      <c r="KSD134" s="562"/>
      <c r="KSE134" s="562"/>
      <c r="KSF134" s="562"/>
      <c r="KSG134" s="562"/>
      <c r="KSH134" s="562"/>
      <c r="KSI134" s="562"/>
      <c r="KSJ134" s="562"/>
      <c r="KSK134" s="562"/>
      <c r="KSL134" s="562"/>
      <c r="KSM134" s="562"/>
      <c r="KSN134" s="562"/>
      <c r="KSO134" s="562"/>
      <c r="KSP134" s="562"/>
      <c r="KSQ134" s="562"/>
      <c r="KSR134" s="562"/>
      <c r="KSS134" s="562"/>
      <c r="KST134" s="562"/>
      <c r="KSU134" s="562"/>
      <c r="KSV134" s="562"/>
      <c r="KSW134" s="562"/>
      <c r="KSX134" s="562"/>
      <c r="KSY134" s="562"/>
      <c r="KSZ134" s="562"/>
      <c r="KTA134" s="562"/>
      <c r="KTB134" s="562"/>
      <c r="KTC134" s="562"/>
      <c r="KTD134" s="562"/>
      <c r="KTE134" s="562"/>
      <c r="KTF134" s="562"/>
      <c r="KTG134" s="562"/>
      <c r="KTH134" s="562"/>
      <c r="KTI134" s="562"/>
      <c r="KTJ134" s="562"/>
      <c r="KTK134" s="562"/>
      <c r="KTL134" s="562"/>
      <c r="KTM134" s="562"/>
      <c r="KTN134" s="562"/>
      <c r="KTO134" s="562"/>
      <c r="KTP134" s="562"/>
      <c r="KTQ134" s="562"/>
      <c r="KTR134" s="562"/>
      <c r="KTS134" s="562"/>
      <c r="KTT134" s="562"/>
      <c r="KTU134" s="562"/>
      <c r="KTV134" s="562"/>
      <c r="KTW134" s="562"/>
      <c r="KTX134" s="562"/>
      <c r="KTY134" s="562"/>
      <c r="KTZ134" s="562"/>
      <c r="KUA134" s="562"/>
      <c r="KUB134" s="562"/>
      <c r="KUC134" s="562"/>
      <c r="KUD134" s="562"/>
      <c r="KUE134" s="562"/>
      <c r="KUF134" s="562"/>
      <c r="KUG134" s="562"/>
      <c r="KUH134" s="562"/>
      <c r="KUI134" s="562"/>
      <c r="KUJ134" s="562"/>
      <c r="KUK134" s="562"/>
      <c r="KUL134" s="562"/>
      <c r="KUM134" s="562"/>
      <c r="KUN134" s="562"/>
      <c r="KUO134" s="562"/>
      <c r="KUP134" s="562"/>
      <c r="KUQ134" s="562"/>
      <c r="KUR134" s="562"/>
      <c r="KUS134" s="562"/>
      <c r="KUT134" s="562"/>
      <c r="KUU134" s="562"/>
      <c r="KUV134" s="562"/>
      <c r="KUW134" s="562"/>
      <c r="KUX134" s="562"/>
      <c r="KUY134" s="562"/>
      <c r="KUZ134" s="562"/>
      <c r="KVA134" s="562"/>
      <c r="KVB134" s="562"/>
      <c r="KVC134" s="562"/>
      <c r="KVD134" s="562"/>
      <c r="KVE134" s="562"/>
      <c r="KVF134" s="562"/>
      <c r="KVG134" s="562"/>
      <c r="KVH134" s="562"/>
      <c r="KVI134" s="562"/>
      <c r="KVJ134" s="562"/>
      <c r="KVK134" s="562"/>
      <c r="KVL134" s="562"/>
      <c r="KVM134" s="562"/>
      <c r="KVN134" s="562"/>
      <c r="KVO134" s="562"/>
      <c r="KVP134" s="562"/>
      <c r="KVQ134" s="562"/>
      <c r="KVR134" s="562"/>
      <c r="KVS134" s="562"/>
      <c r="KVT134" s="562"/>
      <c r="KVU134" s="562"/>
      <c r="KVV134" s="562"/>
      <c r="KVW134" s="562"/>
      <c r="KVX134" s="562"/>
      <c r="KVY134" s="562"/>
      <c r="KVZ134" s="562"/>
      <c r="KWA134" s="562"/>
      <c r="KWB134" s="562"/>
      <c r="KWC134" s="562"/>
      <c r="KWD134" s="562"/>
      <c r="KWE134" s="562"/>
      <c r="KWF134" s="562"/>
      <c r="KWG134" s="562"/>
      <c r="KWH134" s="562"/>
      <c r="KWI134" s="562"/>
      <c r="KWJ134" s="562"/>
      <c r="KWK134" s="562"/>
      <c r="KWL134" s="562"/>
      <c r="KWM134" s="562"/>
      <c r="KWN134" s="562"/>
      <c r="KWO134" s="562"/>
      <c r="KWP134" s="562"/>
      <c r="KWQ134" s="562"/>
      <c r="KWR134" s="562"/>
      <c r="KWS134" s="562"/>
      <c r="KWT134" s="562"/>
      <c r="KWU134" s="562"/>
      <c r="KWV134" s="562"/>
      <c r="KWW134" s="562"/>
      <c r="KWX134" s="562"/>
      <c r="KWY134" s="562"/>
      <c r="KWZ134" s="562"/>
      <c r="KXA134" s="562"/>
      <c r="KXB134" s="562"/>
      <c r="KXC134" s="562"/>
      <c r="KXD134" s="562"/>
      <c r="KXE134" s="562"/>
      <c r="KXF134" s="562"/>
      <c r="KXG134" s="562"/>
      <c r="KXH134" s="562"/>
      <c r="KXI134" s="562"/>
      <c r="KXJ134" s="562"/>
      <c r="KXK134" s="562"/>
      <c r="KXL134" s="562"/>
      <c r="KXM134" s="562"/>
      <c r="KXN134" s="562"/>
      <c r="KXO134" s="562"/>
      <c r="KXP134" s="562"/>
      <c r="KXQ134" s="562"/>
      <c r="KXR134" s="562"/>
      <c r="KXS134" s="562"/>
      <c r="KXT134" s="562"/>
      <c r="KXU134" s="562"/>
      <c r="KXV134" s="562"/>
      <c r="KXW134" s="562"/>
      <c r="KXX134" s="562"/>
      <c r="KXY134" s="562"/>
      <c r="KXZ134" s="562"/>
      <c r="KYA134" s="562"/>
      <c r="KYB134" s="562"/>
      <c r="KYC134" s="562"/>
      <c r="KYD134" s="562"/>
      <c r="KYE134" s="562"/>
      <c r="KYF134" s="562"/>
      <c r="KYG134" s="562"/>
      <c r="KYH134" s="562"/>
      <c r="KYI134" s="562"/>
      <c r="KYJ134" s="562"/>
      <c r="KYK134" s="562"/>
      <c r="KYL134" s="562"/>
      <c r="KYM134" s="562"/>
      <c r="KYN134" s="562"/>
      <c r="KYO134" s="562"/>
      <c r="KYP134" s="562"/>
      <c r="KYQ134" s="562"/>
      <c r="KYR134" s="562"/>
      <c r="KYS134" s="562"/>
      <c r="KYT134" s="562"/>
      <c r="KYU134" s="562"/>
      <c r="KYV134" s="562"/>
      <c r="KYW134" s="562"/>
      <c r="KYX134" s="562"/>
      <c r="KYY134" s="562"/>
      <c r="KYZ134" s="562"/>
      <c r="KZA134" s="562"/>
      <c r="KZB134" s="562"/>
      <c r="KZC134" s="562"/>
      <c r="KZD134" s="562"/>
      <c r="KZE134" s="562"/>
      <c r="KZF134" s="562"/>
      <c r="KZG134" s="562"/>
      <c r="KZH134" s="562"/>
      <c r="KZI134" s="562"/>
      <c r="KZJ134" s="562"/>
      <c r="KZK134" s="562"/>
      <c r="KZL134" s="562"/>
      <c r="KZM134" s="562"/>
      <c r="KZN134" s="562"/>
      <c r="KZO134" s="562"/>
      <c r="KZP134" s="562"/>
      <c r="KZQ134" s="562"/>
      <c r="KZR134" s="562"/>
      <c r="KZS134" s="562"/>
      <c r="KZT134" s="562"/>
      <c r="KZU134" s="562"/>
      <c r="KZV134" s="562"/>
      <c r="KZW134" s="562"/>
      <c r="KZX134" s="562"/>
      <c r="KZY134" s="562"/>
      <c r="KZZ134" s="562"/>
      <c r="LAA134" s="562"/>
      <c r="LAB134" s="562"/>
      <c r="LAC134" s="562"/>
      <c r="LAD134" s="562"/>
      <c r="LAE134" s="562"/>
      <c r="LAF134" s="562"/>
      <c r="LAG134" s="562"/>
      <c r="LAH134" s="562"/>
      <c r="LAI134" s="562"/>
      <c r="LAJ134" s="562"/>
      <c r="LAK134" s="562"/>
      <c r="LAL134" s="562"/>
      <c r="LAM134" s="562"/>
      <c r="LAN134" s="562"/>
      <c r="LAO134" s="562"/>
      <c r="LAP134" s="562"/>
      <c r="LAQ134" s="562"/>
      <c r="LAR134" s="562"/>
      <c r="LAS134" s="562"/>
      <c r="LAT134" s="562"/>
      <c r="LAU134" s="562"/>
      <c r="LAV134" s="562"/>
      <c r="LAW134" s="562"/>
      <c r="LAX134" s="562"/>
      <c r="LAY134" s="562"/>
      <c r="LAZ134" s="562"/>
      <c r="LBA134" s="562"/>
      <c r="LBB134" s="562"/>
      <c r="LBC134" s="562"/>
      <c r="LBD134" s="562"/>
      <c r="LBE134" s="562"/>
      <c r="LBF134" s="562"/>
      <c r="LBG134" s="562"/>
      <c r="LBH134" s="562"/>
      <c r="LBI134" s="562"/>
      <c r="LBJ134" s="562"/>
      <c r="LBK134" s="562"/>
      <c r="LBL134" s="562"/>
      <c r="LBM134" s="562"/>
      <c r="LBN134" s="562"/>
      <c r="LBO134" s="562"/>
      <c r="LBP134" s="562"/>
      <c r="LBQ134" s="562"/>
      <c r="LBR134" s="562"/>
      <c r="LBS134" s="562"/>
      <c r="LBT134" s="562"/>
      <c r="LBU134" s="562"/>
      <c r="LBV134" s="562"/>
      <c r="LBW134" s="562"/>
      <c r="LBX134" s="562"/>
      <c r="LBY134" s="562"/>
      <c r="LBZ134" s="562"/>
      <c r="LCA134" s="562"/>
      <c r="LCB134" s="562"/>
      <c r="LCC134" s="562"/>
      <c r="LCD134" s="562"/>
      <c r="LCE134" s="562"/>
      <c r="LCF134" s="562"/>
      <c r="LCG134" s="562"/>
      <c r="LCH134" s="562"/>
      <c r="LCI134" s="562"/>
      <c r="LCJ134" s="562"/>
      <c r="LCK134" s="562"/>
      <c r="LCL134" s="562"/>
      <c r="LCM134" s="562"/>
      <c r="LCN134" s="562"/>
      <c r="LCO134" s="562"/>
      <c r="LCP134" s="562"/>
      <c r="LCQ134" s="562"/>
      <c r="LCR134" s="562"/>
      <c r="LCS134" s="562"/>
      <c r="LCT134" s="562"/>
      <c r="LCU134" s="562"/>
      <c r="LCV134" s="562"/>
      <c r="LCW134" s="562"/>
      <c r="LCX134" s="562"/>
      <c r="LCY134" s="562"/>
      <c r="LCZ134" s="562"/>
      <c r="LDA134" s="562"/>
      <c r="LDB134" s="562"/>
      <c r="LDC134" s="562"/>
      <c r="LDD134" s="562"/>
      <c r="LDE134" s="562"/>
      <c r="LDF134" s="562"/>
      <c r="LDG134" s="562"/>
      <c r="LDH134" s="562"/>
      <c r="LDI134" s="562"/>
      <c r="LDJ134" s="562"/>
      <c r="LDK134" s="562"/>
      <c r="LDL134" s="562"/>
      <c r="LDM134" s="562"/>
      <c r="LDN134" s="562"/>
      <c r="LDO134" s="562"/>
      <c r="LDP134" s="562"/>
      <c r="LDQ134" s="562"/>
      <c r="LDR134" s="562"/>
      <c r="LDS134" s="562"/>
      <c r="LDT134" s="562"/>
      <c r="LDU134" s="562"/>
      <c r="LDV134" s="562"/>
      <c r="LDW134" s="562"/>
      <c r="LDX134" s="562"/>
      <c r="LDY134" s="562"/>
      <c r="LDZ134" s="562"/>
      <c r="LEA134" s="562"/>
      <c r="LEB134" s="562"/>
      <c r="LEC134" s="562"/>
      <c r="LED134" s="562"/>
      <c r="LEE134" s="562"/>
      <c r="LEF134" s="562"/>
      <c r="LEG134" s="562"/>
      <c r="LEH134" s="562"/>
      <c r="LEI134" s="562"/>
      <c r="LEJ134" s="562"/>
      <c r="LEK134" s="562"/>
      <c r="LEL134" s="562"/>
      <c r="LEM134" s="562"/>
      <c r="LEN134" s="562"/>
      <c r="LEO134" s="562"/>
      <c r="LEP134" s="562"/>
      <c r="LEQ134" s="562"/>
      <c r="LER134" s="562"/>
      <c r="LES134" s="562"/>
      <c r="LET134" s="562"/>
      <c r="LEU134" s="562"/>
      <c r="LEV134" s="562"/>
      <c r="LEW134" s="562"/>
      <c r="LEX134" s="562"/>
      <c r="LEY134" s="562"/>
      <c r="LEZ134" s="562"/>
      <c r="LFA134" s="562"/>
      <c r="LFB134" s="562"/>
      <c r="LFC134" s="562"/>
      <c r="LFD134" s="562"/>
      <c r="LFE134" s="562"/>
      <c r="LFF134" s="562"/>
      <c r="LFG134" s="562"/>
      <c r="LFH134" s="562"/>
      <c r="LFI134" s="562"/>
      <c r="LFJ134" s="562"/>
      <c r="LFK134" s="562"/>
      <c r="LFL134" s="562"/>
      <c r="LFM134" s="562"/>
      <c r="LFN134" s="562"/>
      <c r="LFO134" s="562"/>
      <c r="LFP134" s="562"/>
      <c r="LFQ134" s="562"/>
      <c r="LFR134" s="562"/>
      <c r="LFS134" s="562"/>
      <c r="LFT134" s="562"/>
      <c r="LFU134" s="562"/>
      <c r="LFV134" s="562"/>
      <c r="LFW134" s="562"/>
      <c r="LFX134" s="562"/>
      <c r="LFY134" s="562"/>
      <c r="LFZ134" s="562"/>
      <c r="LGA134" s="562"/>
      <c r="LGB134" s="562"/>
      <c r="LGC134" s="562"/>
      <c r="LGD134" s="562"/>
      <c r="LGE134" s="562"/>
      <c r="LGF134" s="562"/>
      <c r="LGG134" s="562"/>
      <c r="LGH134" s="562"/>
      <c r="LGI134" s="562"/>
      <c r="LGJ134" s="562"/>
      <c r="LGK134" s="562"/>
      <c r="LGL134" s="562"/>
      <c r="LGM134" s="562"/>
      <c r="LGN134" s="562"/>
      <c r="LGO134" s="562"/>
      <c r="LGP134" s="562"/>
      <c r="LGQ134" s="562"/>
      <c r="LGR134" s="562"/>
      <c r="LGS134" s="562"/>
      <c r="LGT134" s="562"/>
      <c r="LGU134" s="562"/>
      <c r="LGV134" s="562"/>
      <c r="LGW134" s="562"/>
      <c r="LGX134" s="562"/>
      <c r="LGY134" s="562"/>
      <c r="LGZ134" s="562"/>
      <c r="LHA134" s="562"/>
      <c r="LHB134" s="562"/>
      <c r="LHC134" s="562"/>
      <c r="LHD134" s="562"/>
      <c r="LHE134" s="562"/>
      <c r="LHF134" s="562"/>
      <c r="LHG134" s="562"/>
      <c r="LHH134" s="562"/>
      <c r="LHI134" s="562"/>
      <c r="LHJ134" s="562"/>
      <c r="LHK134" s="562"/>
      <c r="LHL134" s="562"/>
      <c r="LHM134" s="562"/>
      <c r="LHN134" s="562"/>
      <c r="LHO134" s="562"/>
      <c r="LHP134" s="562"/>
      <c r="LHQ134" s="562"/>
      <c r="LHR134" s="562"/>
      <c r="LHS134" s="562"/>
      <c r="LHT134" s="562"/>
      <c r="LHU134" s="562"/>
      <c r="LHV134" s="562"/>
      <c r="LHW134" s="562"/>
      <c r="LHX134" s="562"/>
      <c r="LHY134" s="562"/>
      <c r="LHZ134" s="562"/>
      <c r="LIA134" s="562"/>
      <c r="LIB134" s="562"/>
      <c r="LIC134" s="562"/>
      <c r="LID134" s="562"/>
      <c r="LIE134" s="562"/>
      <c r="LIF134" s="562"/>
      <c r="LIG134" s="562"/>
      <c r="LIH134" s="562"/>
      <c r="LII134" s="562"/>
      <c r="LIJ134" s="562"/>
      <c r="LIK134" s="562"/>
      <c r="LIL134" s="562"/>
      <c r="LIM134" s="562"/>
      <c r="LIN134" s="562"/>
      <c r="LIO134" s="562"/>
      <c r="LIP134" s="562"/>
      <c r="LIQ134" s="562"/>
      <c r="LIR134" s="562"/>
      <c r="LIS134" s="562"/>
      <c r="LIT134" s="562"/>
      <c r="LIU134" s="562"/>
      <c r="LIV134" s="562"/>
      <c r="LIW134" s="562"/>
      <c r="LIX134" s="562"/>
      <c r="LIY134" s="562"/>
      <c r="LIZ134" s="562"/>
      <c r="LJA134" s="562"/>
      <c r="LJB134" s="562"/>
      <c r="LJC134" s="562"/>
      <c r="LJD134" s="562"/>
      <c r="LJE134" s="562"/>
      <c r="LJF134" s="562"/>
      <c r="LJG134" s="562"/>
      <c r="LJH134" s="562"/>
      <c r="LJI134" s="562"/>
      <c r="LJJ134" s="562"/>
      <c r="LJK134" s="562"/>
      <c r="LJL134" s="562"/>
      <c r="LJM134" s="562"/>
      <c r="LJN134" s="562"/>
      <c r="LJO134" s="562"/>
      <c r="LJP134" s="562"/>
      <c r="LJQ134" s="562"/>
      <c r="LJR134" s="562"/>
      <c r="LJS134" s="562"/>
      <c r="LJT134" s="562"/>
      <c r="LJU134" s="562"/>
      <c r="LJV134" s="562"/>
      <c r="LJW134" s="562"/>
      <c r="LJX134" s="562"/>
      <c r="LJY134" s="562"/>
      <c r="LJZ134" s="562"/>
      <c r="LKA134" s="562"/>
      <c r="LKB134" s="562"/>
      <c r="LKC134" s="562"/>
      <c r="LKD134" s="562"/>
      <c r="LKE134" s="562"/>
      <c r="LKF134" s="562"/>
      <c r="LKG134" s="562"/>
      <c r="LKH134" s="562"/>
      <c r="LKI134" s="562"/>
      <c r="LKJ134" s="562"/>
      <c r="LKK134" s="562"/>
      <c r="LKL134" s="562"/>
      <c r="LKM134" s="562"/>
      <c r="LKN134" s="562"/>
      <c r="LKO134" s="562"/>
      <c r="LKP134" s="562"/>
      <c r="LKQ134" s="562"/>
      <c r="LKR134" s="562"/>
      <c r="LKS134" s="562"/>
      <c r="LKT134" s="562"/>
      <c r="LKU134" s="562"/>
      <c r="LKV134" s="562"/>
      <c r="LKW134" s="562"/>
      <c r="LKX134" s="562"/>
      <c r="LKY134" s="562"/>
      <c r="LKZ134" s="562"/>
      <c r="LLA134" s="562"/>
      <c r="LLB134" s="562"/>
      <c r="LLC134" s="562"/>
      <c r="LLD134" s="562"/>
      <c r="LLE134" s="562"/>
      <c r="LLF134" s="562"/>
      <c r="LLG134" s="562"/>
      <c r="LLH134" s="562"/>
      <c r="LLI134" s="562"/>
      <c r="LLJ134" s="562"/>
      <c r="LLK134" s="562"/>
      <c r="LLL134" s="562"/>
      <c r="LLM134" s="562"/>
      <c r="LLN134" s="562"/>
      <c r="LLO134" s="562"/>
      <c r="LLP134" s="562"/>
      <c r="LLQ134" s="562"/>
      <c r="LLR134" s="562"/>
      <c r="LLS134" s="562"/>
      <c r="LLT134" s="562"/>
      <c r="LLU134" s="562"/>
      <c r="LLV134" s="562"/>
      <c r="LLW134" s="562"/>
      <c r="LLX134" s="562"/>
      <c r="LLY134" s="562"/>
      <c r="LLZ134" s="562"/>
      <c r="LMA134" s="562"/>
      <c r="LMB134" s="562"/>
      <c r="LMC134" s="562"/>
      <c r="LMD134" s="562"/>
      <c r="LME134" s="562"/>
      <c r="LMF134" s="562"/>
      <c r="LMG134" s="562"/>
      <c r="LMH134" s="562"/>
      <c r="LMI134" s="562"/>
      <c r="LMJ134" s="562"/>
      <c r="LMK134" s="562"/>
      <c r="LML134" s="562"/>
      <c r="LMM134" s="562"/>
      <c r="LMN134" s="562"/>
      <c r="LMO134" s="562"/>
      <c r="LMP134" s="562"/>
      <c r="LMQ134" s="562"/>
      <c r="LMR134" s="562"/>
      <c r="LMS134" s="562"/>
      <c r="LMT134" s="562"/>
      <c r="LMU134" s="562"/>
      <c r="LMV134" s="562"/>
      <c r="LMW134" s="562"/>
      <c r="LMX134" s="562"/>
      <c r="LMY134" s="562"/>
      <c r="LMZ134" s="562"/>
      <c r="LNA134" s="562"/>
      <c r="LNB134" s="562"/>
      <c r="LNC134" s="562"/>
      <c r="LND134" s="562"/>
      <c r="LNE134" s="562"/>
      <c r="LNF134" s="562"/>
      <c r="LNG134" s="562"/>
      <c r="LNH134" s="562"/>
      <c r="LNI134" s="562"/>
      <c r="LNJ134" s="562"/>
      <c r="LNK134" s="562"/>
      <c r="LNL134" s="562"/>
      <c r="LNM134" s="562"/>
      <c r="LNN134" s="562"/>
      <c r="LNO134" s="562"/>
      <c r="LNP134" s="562"/>
      <c r="LNQ134" s="562"/>
      <c r="LNR134" s="562"/>
      <c r="LNS134" s="562"/>
      <c r="LNT134" s="562"/>
      <c r="LNU134" s="562"/>
      <c r="LNV134" s="562"/>
      <c r="LNW134" s="562"/>
      <c r="LNX134" s="562"/>
      <c r="LNY134" s="562"/>
      <c r="LNZ134" s="562"/>
      <c r="LOA134" s="562"/>
      <c r="LOB134" s="562"/>
      <c r="LOC134" s="562"/>
      <c r="LOD134" s="562"/>
      <c r="LOE134" s="562"/>
      <c r="LOF134" s="562"/>
      <c r="LOG134" s="562"/>
      <c r="LOH134" s="562"/>
      <c r="LOI134" s="562"/>
      <c r="LOJ134" s="562"/>
      <c r="LOK134" s="562"/>
      <c r="LOL134" s="562"/>
      <c r="LOM134" s="562"/>
      <c r="LON134" s="562"/>
      <c r="LOO134" s="562"/>
      <c r="LOP134" s="562"/>
      <c r="LOQ134" s="562"/>
      <c r="LOR134" s="562"/>
      <c r="LOS134" s="562"/>
      <c r="LOT134" s="562"/>
      <c r="LOU134" s="562"/>
      <c r="LOV134" s="562"/>
      <c r="LOW134" s="562"/>
      <c r="LOX134" s="562"/>
      <c r="LOY134" s="562"/>
      <c r="LOZ134" s="562"/>
      <c r="LPA134" s="562"/>
      <c r="LPB134" s="562"/>
      <c r="LPC134" s="562"/>
      <c r="LPD134" s="562"/>
      <c r="LPE134" s="562"/>
      <c r="LPF134" s="562"/>
      <c r="LPG134" s="562"/>
      <c r="LPH134" s="562"/>
      <c r="LPI134" s="562"/>
      <c r="LPJ134" s="562"/>
      <c r="LPK134" s="562"/>
      <c r="LPL134" s="562"/>
      <c r="LPM134" s="562"/>
      <c r="LPN134" s="562"/>
      <c r="LPO134" s="562"/>
      <c r="LPP134" s="562"/>
      <c r="LPQ134" s="562"/>
      <c r="LPR134" s="562"/>
      <c r="LPS134" s="562"/>
      <c r="LPT134" s="562"/>
      <c r="LPU134" s="562"/>
      <c r="LPV134" s="562"/>
      <c r="LPW134" s="562"/>
      <c r="LPX134" s="562"/>
      <c r="LPY134" s="562"/>
      <c r="LPZ134" s="562"/>
      <c r="LQA134" s="562"/>
      <c r="LQB134" s="562"/>
      <c r="LQC134" s="562"/>
      <c r="LQD134" s="562"/>
      <c r="LQE134" s="562"/>
      <c r="LQF134" s="562"/>
      <c r="LQG134" s="562"/>
      <c r="LQH134" s="562"/>
      <c r="LQI134" s="562"/>
      <c r="LQJ134" s="562"/>
      <c r="LQK134" s="562"/>
      <c r="LQL134" s="562"/>
      <c r="LQM134" s="562"/>
      <c r="LQN134" s="562"/>
      <c r="LQO134" s="562"/>
      <c r="LQP134" s="562"/>
      <c r="LQQ134" s="562"/>
      <c r="LQR134" s="562"/>
      <c r="LQS134" s="562"/>
      <c r="LQT134" s="562"/>
      <c r="LQU134" s="562"/>
      <c r="LQV134" s="562"/>
      <c r="LQW134" s="562"/>
      <c r="LQX134" s="562"/>
      <c r="LQY134" s="562"/>
      <c r="LQZ134" s="562"/>
      <c r="LRA134" s="562"/>
      <c r="LRB134" s="562"/>
      <c r="LRC134" s="562"/>
      <c r="LRD134" s="562"/>
      <c r="LRE134" s="562"/>
      <c r="LRF134" s="562"/>
      <c r="LRG134" s="562"/>
      <c r="LRH134" s="562"/>
      <c r="LRI134" s="562"/>
      <c r="LRJ134" s="562"/>
      <c r="LRK134" s="562"/>
      <c r="LRL134" s="562"/>
      <c r="LRM134" s="562"/>
      <c r="LRN134" s="562"/>
      <c r="LRO134" s="562"/>
      <c r="LRP134" s="562"/>
      <c r="LRQ134" s="562"/>
      <c r="LRR134" s="562"/>
      <c r="LRS134" s="562"/>
      <c r="LRT134" s="562"/>
      <c r="LRU134" s="562"/>
      <c r="LRV134" s="562"/>
      <c r="LRW134" s="562"/>
      <c r="LRX134" s="562"/>
      <c r="LRY134" s="562"/>
      <c r="LRZ134" s="562"/>
      <c r="LSA134" s="562"/>
      <c r="LSB134" s="562"/>
      <c r="LSC134" s="562"/>
      <c r="LSD134" s="562"/>
      <c r="LSE134" s="562"/>
      <c r="LSF134" s="562"/>
      <c r="LSG134" s="562"/>
      <c r="LSH134" s="562"/>
      <c r="LSI134" s="562"/>
      <c r="LSJ134" s="562"/>
      <c r="LSK134" s="562"/>
      <c r="LSL134" s="562"/>
      <c r="LSM134" s="562"/>
      <c r="LSN134" s="562"/>
      <c r="LSO134" s="562"/>
      <c r="LSP134" s="562"/>
      <c r="LSQ134" s="562"/>
      <c r="LSR134" s="562"/>
      <c r="LSS134" s="562"/>
      <c r="LST134" s="562"/>
      <c r="LSU134" s="562"/>
      <c r="LSV134" s="562"/>
      <c r="LSW134" s="562"/>
      <c r="LSX134" s="562"/>
      <c r="LSY134" s="562"/>
      <c r="LSZ134" s="562"/>
      <c r="LTA134" s="562"/>
      <c r="LTB134" s="562"/>
      <c r="LTC134" s="562"/>
      <c r="LTD134" s="562"/>
      <c r="LTE134" s="562"/>
      <c r="LTF134" s="562"/>
      <c r="LTG134" s="562"/>
      <c r="LTH134" s="562"/>
      <c r="LTI134" s="562"/>
      <c r="LTJ134" s="562"/>
      <c r="LTK134" s="562"/>
      <c r="LTL134" s="562"/>
      <c r="LTM134" s="562"/>
      <c r="LTN134" s="562"/>
      <c r="LTO134" s="562"/>
      <c r="LTP134" s="562"/>
      <c r="LTQ134" s="562"/>
      <c r="LTR134" s="562"/>
      <c r="LTS134" s="562"/>
      <c r="LTT134" s="562"/>
      <c r="LTU134" s="562"/>
      <c r="LTV134" s="562"/>
      <c r="LTW134" s="562"/>
      <c r="LTX134" s="562"/>
      <c r="LTY134" s="562"/>
      <c r="LTZ134" s="562"/>
      <c r="LUA134" s="562"/>
      <c r="LUB134" s="562"/>
      <c r="LUC134" s="562"/>
      <c r="LUD134" s="562"/>
      <c r="LUE134" s="562"/>
      <c r="LUF134" s="562"/>
      <c r="LUG134" s="562"/>
      <c r="LUH134" s="562"/>
      <c r="LUI134" s="562"/>
      <c r="LUJ134" s="562"/>
      <c r="LUK134" s="562"/>
      <c r="LUL134" s="562"/>
      <c r="LUM134" s="562"/>
      <c r="LUN134" s="562"/>
      <c r="LUO134" s="562"/>
      <c r="LUP134" s="562"/>
      <c r="LUQ134" s="562"/>
      <c r="LUR134" s="562"/>
      <c r="LUS134" s="562"/>
      <c r="LUT134" s="562"/>
      <c r="LUU134" s="562"/>
      <c r="LUV134" s="562"/>
      <c r="LUW134" s="562"/>
      <c r="LUX134" s="562"/>
      <c r="LUY134" s="562"/>
      <c r="LUZ134" s="562"/>
      <c r="LVA134" s="562"/>
      <c r="LVB134" s="562"/>
      <c r="LVC134" s="562"/>
      <c r="LVD134" s="562"/>
      <c r="LVE134" s="562"/>
      <c r="LVF134" s="562"/>
      <c r="LVG134" s="562"/>
      <c r="LVH134" s="562"/>
      <c r="LVI134" s="562"/>
      <c r="LVJ134" s="562"/>
      <c r="LVK134" s="562"/>
      <c r="LVL134" s="562"/>
      <c r="LVM134" s="562"/>
      <c r="LVN134" s="562"/>
      <c r="LVO134" s="562"/>
      <c r="LVP134" s="562"/>
      <c r="LVQ134" s="562"/>
      <c r="LVR134" s="562"/>
      <c r="LVS134" s="562"/>
      <c r="LVT134" s="562"/>
      <c r="LVU134" s="562"/>
      <c r="LVV134" s="562"/>
      <c r="LVW134" s="562"/>
      <c r="LVX134" s="562"/>
      <c r="LVY134" s="562"/>
      <c r="LVZ134" s="562"/>
      <c r="LWA134" s="562"/>
      <c r="LWB134" s="562"/>
      <c r="LWC134" s="562"/>
      <c r="LWD134" s="562"/>
      <c r="LWE134" s="562"/>
      <c r="LWF134" s="562"/>
      <c r="LWG134" s="562"/>
      <c r="LWH134" s="562"/>
      <c r="LWI134" s="562"/>
      <c r="LWJ134" s="562"/>
      <c r="LWK134" s="562"/>
      <c r="LWL134" s="562"/>
      <c r="LWM134" s="562"/>
      <c r="LWN134" s="562"/>
      <c r="LWO134" s="562"/>
      <c r="LWP134" s="562"/>
      <c r="LWQ134" s="562"/>
      <c r="LWR134" s="562"/>
      <c r="LWS134" s="562"/>
      <c r="LWT134" s="562"/>
      <c r="LWU134" s="562"/>
      <c r="LWV134" s="562"/>
      <c r="LWW134" s="562"/>
      <c r="LWX134" s="562"/>
      <c r="LWY134" s="562"/>
      <c r="LWZ134" s="562"/>
      <c r="LXA134" s="562"/>
      <c r="LXB134" s="562"/>
      <c r="LXC134" s="562"/>
      <c r="LXD134" s="562"/>
      <c r="LXE134" s="562"/>
      <c r="LXF134" s="562"/>
      <c r="LXG134" s="562"/>
      <c r="LXH134" s="562"/>
      <c r="LXI134" s="562"/>
      <c r="LXJ134" s="562"/>
      <c r="LXK134" s="562"/>
      <c r="LXL134" s="562"/>
      <c r="LXM134" s="562"/>
      <c r="LXN134" s="562"/>
      <c r="LXO134" s="562"/>
      <c r="LXP134" s="562"/>
      <c r="LXQ134" s="562"/>
      <c r="LXR134" s="562"/>
      <c r="LXS134" s="562"/>
      <c r="LXT134" s="562"/>
      <c r="LXU134" s="562"/>
      <c r="LXV134" s="562"/>
      <c r="LXW134" s="562"/>
      <c r="LXX134" s="562"/>
      <c r="LXY134" s="562"/>
      <c r="LXZ134" s="562"/>
      <c r="LYA134" s="562"/>
      <c r="LYB134" s="562"/>
      <c r="LYC134" s="562"/>
      <c r="LYD134" s="562"/>
      <c r="LYE134" s="562"/>
      <c r="LYF134" s="562"/>
      <c r="LYG134" s="562"/>
      <c r="LYH134" s="562"/>
      <c r="LYI134" s="562"/>
      <c r="LYJ134" s="562"/>
      <c r="LYK134" s="562"/>
      <c r="LYL134" s="562"/>
      <c r="LYM134" s="562"/>
      <c r="LYN134" s="562"/>
      <c r="LYO134" s="562"/>
      <c r="LYP134" s="562"/>
      <c r="LYQ134" s="562"/>
      <c r="LYR134" s="562"/>
      <c r="LYS134" s="562"/>
      <c r="LYT134" s="562"/>
      <c r="LYU134" s="562"/>
      <c r="LYV134" s="562"/>
      <c r="LYW134" s="562"/>
      <c r="LYX134" s="562"/>
      <c r="LYY134" s="562"/>
      <c r="LYZ134" s="562"/>
      <c r="LZA134" s="562"/>
      <c r="LZB134" s="562"/>
      <c r="LZC134" s="562"/>
      <c r="LZD134" s="562"/>
      <c r="LZE134" s="562"/>
      <c r="LZF134" s="562"/>
      <c r="LZG134" s="562"/>
      <c r="LZH134" s="562"/>
      <c r="LZI134" s="562"/>
      <c r="LZJ134" s="562"/>
      <c r="LZK134" s="562"/>
      <c r="LZL134" s="562"/>
      <c r="LZM134" s="562"/>
      <c r="LZN134" s="562"/>
      <c r="LZO134" s="562"/>
      <c r="LZP134" s="562"/>
      <c r="LZQ134" s="562"/>
      <c r="LZR134" s="562"/>
      <c r="LZS134" s="562"/>
      <c r="LZT134" s="562"/>
      <c r="LZU134" s="562"/>
      <c r="LZV134" s="562"/>
      <c r="LZW134" s="562"/>
      <c r="LZX134" s="562"/>
      <c r="LZY134" s="562"/>
      <c r="LZZ134" s="562"/>
      <c r="MAA134" s="562"/>
      <c r="MAB134" s="562"/>
      <c r="MAC134" s="562"/>
      <c r="MAD134" s="562"/>
      <c r="MAE134" s="562"/>
      <c r="MAF134" s="562"/>
      <c r="MAG134" s="562"/>
      <c r="MAH134" s="562"/>
      <c r="MAI134" s="562"/>
      <c r="MAJ134" s="562"/>
      <c r="MAK134" s="562"/>
      <c r="MAL134" s="562"/>
      <c r="MAM134" s="562"/>
      <c r="MAN134" s="562"/>
      <c r="MAO134" s="562"/>
      <c r="MAP134" s="562"/>
      <c r="MAQ134" s="562"/>
      <c r="MAR134" s="562"/>
      <c r="MAS134" s="562"/>
      <c r="MAT134" s="562"/>
      <c r="MAU134" s="562"/>
      <c r="MAV134" s="562"/>
      <c r="MAW134" s="562"/>
      <c r="MAX134" s="562"/>
      <c r="MAY134" s="562"/>
      <c r="MAZ134" s="562"/>
      <c r="MBA134" s="562"/>
      <c r="MBB134" s="562"/>
      <c r="MBC134" s="562"/>
      <c r="MBD134" s="562"/>
      <c r="MBE134" s="562"/>
      <c r="MBF134" s="562"/>
      <c r="MBG134" s="562"/>
      <c r="MBH134" s="562"/>
      <c r="MBI134" s="562"/>
      <c r="MBJ134" s="562"/>
      <c r="MBK134" s="562"/>
      <c r="MBL134" s="562"/>
      <c r="MBM134" s="562"/>
      <c r="MBN134" s="562"/>
      <c r="MBO134" s="562"/>
      <c r="MBP134" s="562"/>
      <c r="MBQ134" s="562"/>
      <c r="MBR134" s="562"/>
      <c r="MBS134" s="562"/>
      <c r="MBT134" s="562"/>
      <c r="MBU134" s="562"/>
      <c r="MBV134" s="562"/>
      <c r="MBW134" s="562"/>
      <c r="MBX134" s="562"/>
      <c r="MBY134" s="562"/>
      <c r="MBZ134" s="562"/>
      <c r="MCA134" s="562"/>
      <c r="MCB134" s="562"/>
      <c r="MCC134" s="562"/>
      <c r="MCD134" s="562"/>
      <c r="MCE134" s="562"/>
      <c r="MCF134" s="562"/>
      <c r="MCG134" s="562"/>
      <c r="MCH134" s="562"/>
      <c r="MCI134" s="562"/>
      <c r="MCJ134" s="562"/>
      <c r="MCK134" s="562"/>
      <c r="MCL134" s="562"/>
      <c r="MCM134" s="562"/>
      <c r="MCN134" s="562"/>
      <c r="MCO134" s="562"/>
      <c r="MCP134" s="562"/>
      <c r="MCQ134" s="562"/>
      <c r="MCR134" s="562"/>
      <c r="MCS134" s="562"/>
      <c r="MCT134" s="562"/>
      <c r="MCU134" s="562"/>
      <c r="MCV134" s="562"/>
      <c r="MCW134" s="562"/>
      <c r="MCX134" s="562"/>
      <c r="MCY134" s="562"/>
      <c r="MCZ134" s="562"/>
      <c r="MDA134" s="562"/>
      <c r="MDB134" s="562"/>
      <c r="MDC134" s="562"/>
      <c r="MDD134" s="562"/>
      <c r="MDE134" s="562"/>
      <c r="MDF134" s="562"/>
      <c r="MDG134" s="562"/>
      <c r="MDH134" s="562"/>
      <c r="MDI134" s="562"/>
      <c r="MDJ134" s="562"/>
      <c r="MDK134" s="562"/>
      <c r="MDL134" s="562"/>
      <c r="MDM134" s="562"/>
      <c r="MDN134" s="562"/>
      <c r="MDO134" s="562"/>
      <c r="MDP134" s="562"/>
      <c r="MDQ134" s="562"/>
      <c r="MDR134" s="562"/>
      <c r="MDS134" s="562"/>
      <c r="MDT134" s="562"/>
      <c r="MDU134" s="562"/>
      <c r="MDV134" s="562"/>
      <c r="MDW134" s="562"/>
      <c r="MDX134" s="562"/>
      <c r="MDY134" s="562"/>
      <c r="MDZ134" s="562"/>
      <c r="MEA134" s="562"/>
      <c r="MEB134" s="562"/>
      <c r="MEC134" s="562"/>
      <c r="MED134" s="562"/>
      <c r="MEE134" s="562"/>
      <c r="MEF134" s="562"/>
      <c r="MEG134" s="562"/>
      <c r="MEH134" s="562"/>
      <c r="MEI134" s="562"/>
      <c r="MEJ134" s="562"/>
      <c r="MEK134" s="562"/>
      <c r="MEL134" s="562"/>
      <c r="MEM134" s="562"/>
      <c r="MEN134" s="562"/>
      <c r="MEO134" s="562"/>
      <c r="MEP134" s="562"/>
      <c r="MEQ134" s="562"/>
      <c r="MER134" s="562"/>
      <c r="MES134" s="562"/>
      <c r="MET134" s="562"/>
      <c r="MEU134" s="562"/>
      <c r="MEV134" s="562"/>
      <c r="MEW134" s="562"/>
      <c r="MEX134" s="562"/>
      <c r="MEY134" s="562"/>
      <c r="MEZ134" s="562"/>
      <c r="MFA134" s="562"/>
      <c r="MFB134" s="562"/>
      <c r="MFC134" s="562"/>
      <c r="MFD134" s="562"/>
      <c r="MFE134" s="562"/>
      <c r="MFF134" s="562"/>
      <c r="MFG134" s="562"/>
      <c r="MFH134" s="562"/>
      <c r="MFI134" s="562"/>
      <c r="MFJ134" s="562"/>
      <c r="MFK134" s="562"/>
      <c r="MFL134" s="562"/>
      <c r="MFM134" s="562"/>
      <c r="MFN134" s="562"/>
      <c r="MFO134" s="562"/>
      <c r="MFP134" s="562"/>
      <c r="MFQ134" s="562"/>
      <c r="MFR134" s="562"/>
      <c r="MFS134" s="562"/>
      <c r="MFT134" s="562"/>
      <c r="MFU134" s="562"/>
      <c r="MFV134" s="562"/>
      <c r="MFW134" s="562"/>
      <c r="MFX134" s="562"/>
      <c r="MFY134" s="562"/>
      <c r="MFZ134" s="562"/>
      <c r="MGA134" s="562"/>
      <c r="MGB134" s="562"/>
      <c r="MGC134" s="562"/>
      <c r="MGD134" s="562"/>
      <c r="MGE134" s="562"/>
      <c r="MGF134" s="562"/>
      <c r="MGG134" s="562"/>
      <c r="MGH134" s="562"/>
      <c r="MGI134" s="562"/>
      <c r="MGJ134" s="562"/>
      <c r="MGK134" s="562"/>
      <c r="MGL134" s="562"/>
      <c r="MGM134" s="562"/>
      <c r="MGN134" s="562"/>
      <c r="MGO134" s="562"/>
      <c r="MGP134" s="562"/>
      <c r="MGQ134" s="562"/>
      <c r="MGR134" s="562"/>
      <c r="MGS134" s="562"/>
      <c r="MGT134" s="562"/>
      <c r="MGU134" s="562"/>
      <c r="MGV134" s="562"/>
      <c r="MGW134" s="562"/>
      <c r="MGX134" s="562"/>
      <c r="MGY134" s="562"/>
      <c r="MGZ134" s="562"/>
      <c r="MHA134" s="562"/>
      <c r="MHB134" s="562"/>
      <c r="MHC134" s="562"/>
      <c r="MHD134" s="562"/>
      <c r="MHE134" s="562"/>
      <c r="MHF134" s="562"/>
      <c r="MHG134" s="562"/>
      <c r="MHH134" s="562"/>
      <c r="MHI134" s="562"/>
      <c r="MHJ134" s="562"/>
      <c r="MHK134" s="562"/>
      <c r="MHL134" s="562"/>
      <c r="MHM134" s="562"/>
      <c r="MHN134" s="562"/>
      <c r="MHO134" s="562"/>
      <c r="MHP134" s="562"/>
      <c r="MHQ134" s="562"/>
      <c r="MHR134" s="562"/>
      <c r="MHS134" s="562"/>
      <c r="MHT134" s="562"/>
      <c r="MHU134" s="562"/>
      <c r="MHV134" s="562"/>
      <c r="MHW134" s="562"/>
      <c r="MHX134" s="562"/>
      <c r="MHY134" s="562"/>
      <c r="MHZ134" s="562"/>
      <c r="MIA134" s="562"/>
      <c r="MIB134" s="562"/>
      <c r="MIC134" s="562"/>
      <c r="MID134" s="562"/>
      <c r="MIE134" s="562"/>
      <c r="MIF134" s="562"/>
      <c r="MIG134" s="562"/>
      <c r="MIH134" s="562"/>
      <c r="MII134" s="562"/>
      <c r="MIJ134" s="562"/>
      <c r="MIK134" s="562"/>
      <c r="MIL134" s="562"/>
      <c r="MIM134" s="562"/>
      <c r="MIN134" s="562"/>
      <c r="MIO134" s="562"/>
      <c r="MIP134" s="562"/>
      <c r="MIQ134" s="562"/>
      <c r="MIR134" s="562"/>
      <c r="MIS134" s="562"/>
      <c r="MIT134" s="562"/>
      <c r="MIU134" s="562"/>
      <c r="MIV134" s="562"/>
      <c r="MIW134" s="562"/>
      <c r="MIX134" s="562"/>
      <c r="MIY134" s="562"/>
      <c r="MIZ134" s="562"/>
      <c r="MJA134" s="562"/>
      <c r="MJB134" s="562"/>
      <c r="MJC134" s="562"/>
      <c r="MJD134" s="562"/>
      <c r="MJE134" s="562"/>
      <c r="MJF134" s="562"/>
      <c r="MJG134" s="562"/>
      <c r="MJH134" s="562"/>
      <c r="MJI134" s="562"/>
      <c r="MJJ134" s="562"/>
      <c r="MJK134" s="562"/>
      <c r="MJL134" s="562"/>
      <c r="MJM134" s="562"/>
      <c r="MJN134" s="562"/>
      <c r="MJO134" s="562"/>
      <c r="MJP134" s="562"/>
      <c r="MJQ134" s="562"/>
      <c r="MJR134" s="562"/>
      <c r="MJS134" s="562"/>
      <c r="MJT134" s="562"/>
      <c r="MJU134" s="562"/>
      <c r="MJV134" s="562"/>
      <c r="MJW134" s="562"/>
      <c r="MJX134" s="562"/>
      <c r="MJY134" s="562"/>
      <c r="MJZ134" s="562"/>
      <c r="MKA134" s="562"/>
      <c r="MKB134" s="562"/>
      <c r="MKC134" s="562"/>
      <c r="MKD134" s="562"/>
      <c r="MKE134" s="562"/>
      <c r="MKF134" s="562"/>
      <c r="MKG134" s="562"/>
      <c r="MKH134" s="562"/>
      <c r="MKI134" s="562"/>
      <c r="MKJ134" s="562"/>
      <c r="MKK134" s="562"/>
      <c r="MKL134" s="562"/>
      <c r="MKM134" s="562"/>
      <c r="MKN134" s="562"/>
      <c r="MKO134" s="562"/>
      <c r="MKP134" s="562"/>
      <c r="MKQ134" s="562"/>
      <c r="MKR134" s="562"/>
      <c r="MKS134" s="562"/>
      <c r="MKT134" s="562"/>
      <c r="MKU134" s="562"/>
      <c r="MKV134" s="562"/>
      <c r="MKW134" s="562"/>
      <c r="MKX134" s="562"/>
      <c r="MKY134" s="562"/>
      <c r="MKZ134" s="562"/>
      <c r="MLA134" s="562"/>
      <c r="MLB134" s="562"/>
      <c r="MLC134" s="562"/>
      <c r="MLD134" s="562"/>
      <c r="MLE134" s="562"/>
      <c r="MLF134" s="562"/>
      <c r="MLG134" s="562"/>
      <c r="MLH134" s="562"/>
      <c r="MLI134" s="562"/>
      <c r="MLJ134" s="562"/>
      <c r="MLK134" s="562"/>
      <c r="MLL134" s="562"/>
      <c r="MLM134" s="562"/>
      <c r="MLN134" s="562"/>
      <c r="MLO134" s="562"/>
      <c r="MLP134" s="562"/>
      <c r="MLQ134" s="562"/>
      <c r="MLR134" s="562"/>
      <c r="MLS134" s="562"/>
      <c r="MLT134" s="562"/>
      <c r="MLU134" s="562"/>
      <c r="MLV134" s="562"/>
      <c r="MLW134" s="562"/>
      <c r="MLX134" s="562"/>
      <c r="MLY134" s="562"/>
      <c r="MLZ134" s="562"/>
      <c r="MMA134" s="562"/>
      <c r="MMB134" s="562"/>
      <c r="MMC134" s="562"/>
      <c r="MMD134" s="562"/>
      <c r="MME134" s="562"/>
      <c r="MMF134" s="562"/>
      <c r="MMG134" s="562"/>
      <c r="MMH134" s="562"/>
      <c r="MMI134" s="562"/>
      <c r="MMJ134" s="562"/>
      <c r="MMK134" s="562"/>
      <c r="MML134" s="562"/>
      <c r="MMM134" s="562"/>
      <c r="MMN134" s="562"/>
      <c r="MMO134" s="562"/>
      <c r="MMP134" s="562"/>
      <c r="MMQ134" s="562"/>
      <c r="MMR134" s="562"/>
      <c r="MMS134" s="562"/>
      <c r="MMT134" s="562"/>
      <c r="MMU134" s="562"/>
      <c r="MMV134" s="562"/>
      <c r="MMW134" s="562"/>
      <c r="MMX134" s="562"/>
      <c r="MMY134" s="562"/>
      <c r="MMZ134" s="562"/>
      <c r="MNA134" s="562"/>
      <c r="MNB134" s="562"/>
      <c r="MNC134" s="562"/>
      <c r="MND134" s="562"/>
      <c r="MNE134" s="562"/>
      <c r="MNF134" s="562"/>
      <c r="MNG134" s="562"/>
      <c r="MNH134" s="562"/>
      <c r="MNI134" s="562"/>
      <c r="MNJ134" s="562"/>
      <c r="MNK134" s="562"/>
      <c r="MNL134" s="562"/>
      <c r="MNM134" s="562"/>
      <c r="MNN134" s="562"/>
      <c r="MNO134" s="562"/>
      <c r="MNP134" s="562"/>
      <c r="MNQ134" s="562"/>
      <c r="MNR134" s="562"/>
      <c r="MNS134" s="562"/>
      <c r="MNT134" s="562"/>
      <c r="MNU134" s="562"/>
      <c r="MNV134" s="562"/>
      <c r="MNW134" s="562"/>
      <c r="MNX134" s="562"/>
      <c r="MNY134" s="562"/>
      <c r="MNZ134" s="562"/>
      <c r="MOA134" s="562"/>
      <c r="MOB134" s="562"/>
      <c r="MOC134" s="562"/>
      <c r="MOD134" s="562"/>
      <c r="MOE134" s="562"/>
      <c r="MOF134" s="562"/>
      <c r="MOG134" s="562"/>
      <c r="MOH134" s="562"/>
      <c r="MOI134" s="562"/>
      <c r="MOJ134" s="562"/>
      <c r="MOK134" s="562"/>
      <c r="MOL134" s="562"/>
      <c r="MOM134" s="562"/>
      <c r="MON134" s="562"/>
      <c r="MOO134" s="562"/>
      <c r="MOP134" s="562"/>
      <c r="MOQ134" s="562"/>
      <c r="MOR134" s="562"/>
      <c r="MOS134" s="562"/>
      <c r="MOT134" s="562"/>
      <c r="MOU134" s="562"/>
      <c r="MOV134" s="562"/>
      <c r="MOW134" s="562"/>
      <c r="MOX134" s="562"/>
      <c r="MOY134" s="562"/>
      <c r="MOZ134" s="562"/>
      <c r="MPA134" s="562"/>
      <c r="MPB134" s="562"/>
      <c r="MPC134" s="562"/>
      <c r="MPD134" s="562"/>
      <c r="MPE134" s="562"/>
      <c r="MPF134" s="562"/>
      <c r="MPG134" s="562"/>
      <c r="MPH134" s="562"/>
      <c r="MPI134" s="562"/>
      <c r="MPJ134" s="562"/>
      <c r="MPK134" s="562"/>
      <c r="MPL134" s="562"/>
      <c r="MPM134" s="562"/>
      <c r="MPN134" s="562"/>
      <c r="MPO134" s="562"/>
      <c r="MPP134" s="562"/>
      <c r="MPQ134" s="562"/>
      <c r="MPR134" s="562"/>
      <c r="MPS134" s="562"/>
      <c r="MPT134" s="562"/>
      <c r="MPU134" s="562"/>
      <c r="MPV134" s="562"/>
      <c r="MPW134" s="562"/>
      <c r="MPX134" s="562"/>
      <c r="MPY134" s="562"/>
      <c r="MPZ134" s="562"/>
      <c r="MQA134" s="562"/>
      <c r="MQB134" s="562"/>
      <c r="MQC134" s="562"/>
      <c r="MQD134" s="562"/>
      <c r="MQE134" s="562"/>
      <c r="MQF134" s="562"/>
      <c r="MQG134" s="562"/>
      <c r="MQH134" s="562"/>
      <c r="MQI134" s="562"/>
      <c r="MQJ134" s="562"/>
      <c r="MQK134" s="562"/>
      <c r="MQL134" s="562"/>
      <c r="MQM134" s="562"/>
      <c r="MQN134" s="562"/>
      <c r="MQO134" s="562"/>
      <c r="MQP134" s="562"/>
      <c r="MQQ134" s="562"/>
      <c r="MQR134" s="562"/>
      <c r="MQS134" s="562"/>
      <c r="MQT134" s="562"/>
      <c r="MQU134" s="562"/>
      <c r="MQV134" s="562"/>
      <c r="MQW134" s="562"/>
      <c r="MQX134" s="562"/>
      <c r="MQY134" s="562"/>
      <c r="MQZ134" s="562"/>
      <c r="MRA134" s="562"/>
      <c r="MRB134" s="562"/>
      <c r="MRC134" s="562"/>
      <c r="MRD134" s="562"/>
      <c r="MRE134" s="562"/>
      <c r="MRF134" s="562"/>
      <c r="MRG134" s="562"/>
      <c r="MRH134" s="562"/>
      <c r="MRI134" s="562"/>
      <c r="MRJ134" s="562"/>
      <c r="MRK134" s="562"/>
      <c r="MRL134" s="562"/>
      <c r="MRM134" s="562"/>
      <c r="MRN134" s="562"/>
      <c r="MRO134" s="562"/>
      <c r="MRP134" s="562"/>
      <c r="MRQ134" s="562"/>
      <c r="MRR134" s="562"/>
      <c r="MRS134" s="562"/>
      <c r="MRT134" s="562"/>
      <c r="MRU134" s="562"/>
      <c r="MRV134" s="562"/>
      <c r="MRW134" s="562"/>
      <c r="MRX134" s="562"/>
      <c r="MRY134" s="562"/>
      <c r="MRZ134" s="562"/>
      <c r="MSA134" s="562"/>
      <c r="MSB134" s="562"/>
      <c r="MSC134" s="562"/>
      <c r="MSD134" s="562"/>
      <c r="MSE134" s="562"/>
      <c r="MSF134" s="562"/>
      <c r="MSG134" s="562"/>
      <c r="MSH134" s="562"/>
      <c r="MSI134" s="562"/>
      <c r="MSJ134" s="562"/>
      <c r="MSK134" s="562"/>
      <c r="MSL134" s="562"/>
      <c r="MSM134" s="562"/>
      <c r="MSN134" s="562"/>
      <c r="MSO134" s="562"/>
      <c r="MSP134" s="562"/>
      <c r="MSQ134" s="562"/>
      <c r="MSR134" s="562"/>
      <c r="MSS134" s="562"/>
      <c r="MST134" s="562"/>
      <c r="MSU134" s="562"/>
      <c r="MSV134" s="562"/>
      <c r="MSW134" s="562"/>
      <c r="MSX134" s="562"/>
      <c r="MSY134" s="562"/>
      <c r="MSZ134" s="562"/>
      <c r="MTA134" s="562"/>
      <c r="MTB134" s="562"/>
      <c r="MTC134" s="562"/>
      <c r="MTD134" s="562"/>
      <c r="MTE134" s="562"/>
      <c r="MTF134" s="562"/>
      <c r="MTG134" s="562"/>
      <c r="MTH134" s="562"/>
      <c r="MTI134" s="562"/>
      <c r="MTJ134" s="562"/>
      <c r="MTK134" s="562"/>
      <c r="MTL134" s="562"/>
      <c r="MTM134" s="562"/>
      <c r="MTN134" s="562"/>
      <c r="MTO134" s="562"/>
      <c r="MTP134" s="562"/>
      <c r="MTQ134" s="562"/>
      <c r="MTR134" s="562"/>
      <c r="MTS134" s="562"/>
      <c r="MTT134" s="562"/>
      <c r="MTU134" s="562"/>
      <c r="MTV134" s="562"/>
      <c r="MTW134" s="562"/>
      <c r="MTX134" s="562"/>
      <c r="MTY134" s="562"/>
      <c r="MTZ134" s="562"/>
      <c r="MUA134" s="562"/>
      <c r="MUB134" s="562"/>
      <c r="MUC134" s="562"/>
      <c r="MUD134" s="562"/>
      <c r="MUE134" s="562"/>
      <c r="MUF134" s="562"/>
      <c r="MUG134" s="562"/>
      <c r="MUH134" s="562"/>
      <c r="MUI134" s="562"/>
      <c r="MUJ134" s="562"/>
      <c r="MUK134" s="562"/>
      <c r="MUL134" s="562"/>
      <c r="MUM134" s="562"/>
      <c r="MUN134" s="562"/>
      <c r="MUO134" s="562"/>
      <c r="MUP134" s="562"/>
      <c r="MUQ134" s="562"/>
      <c r="MUR134" s="562"/>
      <c r="MUS134" s="562"/>
      <c r="MUT134" s="562"/>
      <c r="MUU134" s="562"/>
      <c r="MUV134" s="562"/>
      <c r="MUW134" s="562"/>
      <c r="MUX134" s="562"/>
      <c r="MUY134" s="562"/>
      <c r="MUZ134" s="562"/>
      <c r="MVA134" s="562"/>
      <c r="MVB134" s="562"/>
      <c r="MVC134" s="562"/>
      <c r="MVD134" s="562"/>
      <c r="MVE134" s="562"/>
      <c r="MVF134" s="562"/>
      <c r="MVG134" s="562"/>
      <c r="MVH134" s="562"/>
      <c r="MVI134" s="562"/>
      <c r="MVJ134" s="562"/>
      <c r="MVK134" s="562"/>
      <c r="MVL134" s="562"/>
      <c r="MVM134" s="562"/>
      <c r="MVN134" s="562"/>
      <c r="MVO134" s="562"/>
      <c r="MVP134" s="562"/>
      <c r="MVQ134" s="562"/>
      <c r="MVR134" s="562"/>
      <c r="MVS134" s="562"/>
      <c r="MVT134" s="562"/>
      <c r="MVU134" s="562"/>
      <c r="MVV134" s="562"/>
      <c r="MVW134" s="562"/>
      <c r="MVX134" s="562"/>
      <c r="MVY134" s="562"/>
      <c r="MVZ134" s="562"/>
      <c r="MWA134" s="562"/>
      <c r="MWB134" s="562"/>
      <c r="MWC134" s="562"/>
      <c r="MWD134" s="562"/>
      <c r="MWE134" s="562"/>
      <c r="MWF134" s="562"/>
      <c r="MWG134" s="562"/>
      <c r="MWH134" s="562"/>
      <c r="MWI134" s="562"/>
      <c r="MWJ134" s="562"/>
      <c r="MWK134" s="562"/>
      <c r="MWL134" s="562"/>
      <c r="MWM134" s="562"/>
      <c r="MWN134" s="562"/>
      <c r="MWO134" s="562"/>
      <c r="MWP134" s="562"/>
      <c r="MWQ134" s="562"/>
      <c r="MWR134" s="562"/>
      <c r="MWS134" s="562"/>
      <c r="MWT134" s="562"/>
      <c r="MWU134" s="562"/>
      <c r="MWV134" s="562"/>
      <c r="MWW134" s="562"/>
      <c r="MWX134" s="562"/>
      <c r="MWY134" s="562"/>
      <c r="MWZ134" s="562"/>
      <c r="MXA134" s="562"/>
      <c r="MXB134" s="562"/>
      <c r="MXC134" s="562"/>
      <c r="MXD134" s="562"/>
      <c r="MXE134" s="562"/>
      <c r="MXF134" s="562"/>
      <c r="MXG134" s="562"/>
      <c r="MXH134" s="562"/>
      <c r="MXI134" s="562"/>
      <c r="MXJ134" s="562"/>
      <c r="MXK134" s="562"/>
      <c r="MXL134" s="562"/>
      <c r="MXM134" s="562"/>
      <c r="MXN134" s="562"/>
      <c r="MXO134" s="562"/>
      <c r="MXP134" s="562"/>
      <c r="MXQ134" s="562"/>
      <c r="MXR134" s="562"/>
      <c r="MXS134" s="562"/>
      <c r="MXT134" s="562"/>
      <c r="MXU134" s="562"/>
      <c r="MXV134" s="562"/>
      <c r="MXW134" s="562"/>
      <c r="MXX134" s="562"/>
      <c r="MXY134" s="562"/>
      <c r="MXZ134" s="562"/>
      <c r="MYA134" s="562"/>
      <c r="MYB134" s="562"/>
      <c r="MYC134" s="562"/>
      <c r="MYD134" s="562"/>
      <c r="MYE134" s="562"/>
      <c r="MYF134" s="562"/>
      <c r="MYG134" s="562"/>
      <c r="MYH134" s="562"/>
      <c r="MYI134" s="562"/>
      <c r="MYJ134" s="562"/>
      <c r="MYK134" s="562"/>
      <c r="MYL134" s="562"/>
      <c r="MYM134" s="562"/>
      <c r="MYN134" s="562"/>
      <c r="MYO134" s="562"/>
      <c r="MYP134" s="562"/>
      <c r="MYQ134" s="562"/>
      <c r="MYR134" s="562"/>
      <c r="MYS134" s="562"/>
      <c r="MYT134" s="562"/>
      <c r="MYU134" s="562"/>
      <c r="MYV134" s="562"/>
      <c r="MYW134" s="562"/>
      <c r="MYX134" s="562"/>
      <c r="MYY134" s="562"/>
      <c r="MYZ134" s="562"/>
      <c r="MZA134" s="562"/>
      <c r="MZB134" s="562"/>
      <c r="MZC134" s="562"/>
      <c r="MZD134" s="562"/>
      <c r="MZE134" s="562"/>
      <c r="MZF134" s="562"/>
      <c r="MZG134" s="562"/>
      <c r="MZH134" s="562"/>
      <c r="MZI134" s="562"/>
      <c r="MZJ134" s="562"/>
      <c r="MZK134" s="562"/>
      <c r="MZL134" s="562"/>
      <c r="MZM134" s="562"/>
      <c r="MZN134" s="562"/>
      <c r="MZO134" s="562"/>
      <c r="MZP134" s="562"/>
      <c r="MZQ134" s="562"/>
      <c r="MZR134" s="562"/>
      <c r="MZS134" s="562"/>
      <c r="MZT134" s="562"/>
      <c r="MZU134" s="562"/>
      <c r="MZV134" s="562"/>
      <c r="MZW134" s="562"/>
      <c r="MZX134" s="562"/>
      <c r="MZY134" s="562"/>
      <c r="MZZ134" s="562"/>
      <c r="NAA134" s="562"/>
      <c r="NAB134" s="562"/>
      <c r="NAC134" s="562"/>
      <c r="NAD134" s="562"/>
      <c r="NAE134" s="562"/>
      <c r="NAF134" s="562"/>
      <c r="NAG134" s="562"/>
      <c r="NAH134" s="562"/>
      <c r="NAI134" s="562"/>
      <c r="NAJ134" s="562"/>
      <c r="NAK134" s="562"/>
      <c r="NAL134" s="562"/>
      <c r="NAM134" s="562"/>
      <c r="NAN134" s="562"/>
      <c r="NAO134" s="562"/>
      <c r="NAP134" s="562"/>
      <c r="NAQ134" s="562"/>
      <c r="NAR134" s="562"/>
      <c r="NAS134" s="562"/>
      <c r="NAT134" s="562"/>
      <c r="NAU134" s="562"/>
      <c r="NAV134" s="562"/>
      <c r="NAW134" s="562"/>
      <c r="NAX134" s="562"/>
      <c r="NAY134" s="562"/>
      <c r="NAZ134" s="562"/>
      <c r="NBA134" s="562"/>
      <c r="NBB134" s="562"/>
      <c r="NBC134" s="562"/>
      <c r="NBD134" s="562"/>
      <c r="NBE134" s="562"/>
      <c r="NBF134" s="562"/>
      <c r="NBG134" s="562"/>
      <c r="NBH134" s="562"/>
      <c r="NBI134" s="562"/>
      <c r="NBJ134" s="562"/>
      <c r="NBK134" s="562"/>
      <c r="NBL134" s="562"/>
      <c r="NBM134" s="562"/>
      <c r="NBN134" s="562"/>
      <c r="NBO134" s="562"/>
      <c r="NBP134" s="562"/>
      <c r="NBQ134" s="562"/>
      <c r="NBR134" s="562"/>
      <c r="NBS134" s="562"/>
      <c r="NBT134" s="562"/>
      <c r="NBU134" s="562"/>
      <c r="NBV134" s="562"/>
      <c r="NBW134" s="562"/>
      <c r="NBX134" s="562"/>
      <c r="NBY134" s="562"/>
      <c r="NBZ134" s="562"/>
      <c r="NCA134" s="562"/>
      <c r="NCB134" s="562"/>
      <c r="NCC134" s="562"/>
      <c r="NCD134" s="562"/>
      <c r="NCE134" s="562"/>
      <c r="NCF134" s="562"/>
      <c r="NCG134" s="562"/>
      <c r="NCH134" s="562"/>
      <c r="NCI134" s="562"/>
      <c r="NCJ134" s="562"/>
      <c r="NCK134" s="562"/>
      <c r="NCL134" s="562"/>
      <c r="NCM134" s="562"/>
      <c r="NCN134" s="562"/>
      <c r="NCO134" s="562"/>
      <c r="NCP134" s="562"/>
      <c r="NCQ134" s="562"/>
      <c r="NCR134" s="562"/>
      <c r="NCS134" s="562"/>
      <c r="NCT134" s="562"/>
      <c r="NCU134" s="562"/>
      <c r="NCV134" s="562"/>
      <c r="NCW134" s="562"/>
      <c r="NCX134" s="562"/>
      <c r="NCY134" s="562"/>
      <c r="NCZ134" s="562"/>
      <c r="NDA134" s="562"/>
      <c r="NDB134" s="562"/>
      <c r="NDC134" s="562"/>
      <c r="NDD134" s="562"/>
      <c r="NDE134" s="562"/>
      <c r="NDF134" s="562"/>
      <c r="NDG134" s="562"/>
      <c r="NDH134" s="562"/>
      <c r="NDI134" s="562"/>
      <c r="NDJ134" s="562"/>
      <c r="NDK134" s="562"/>
      <c r="NDL134" s="562"/>
      <c r="NDM134" s="562"/>
      <c r="NDN134" s="562"/>
      <c r="NDO134" s="562"/>
      <c r="NDP134" s="562"/>
      <c r="NDQ134" s="562"/>
      <c r="NDR134" s="562"/>
      <c r="NDS134" s="562"/>
      <c r="NDT134" s="562"/>
      <c r="NDU134" s="562"/>
      <c r="NDV134" s="562"/>
      <c r="NDW134" s="562"/>
      <c r="NDX134" s="562"/>
      <c r="NDY134" s="562"/>
      <c r="NDZ134" s="562"/>
      <c r="NEA134" s="562"/>
      <c r="NEB134" s="562"/>
      <c r="NEC134" s="562"/>
      <c r="NED134" s="562"/>
      <c r="NEE134" s="562"/>
      <c r="NEF134" s="562"/>
      <c r="NEG134" s="562"/>
      <c r="NEH134" s="562"/>
      <c r="NEI134" s="562"/>
      <c r="NEJ134" s="562"/>
      <c r="NEK134" s="562"/>
      <c r="NEL134" s="562"/>
      <c r="NEM134" s="562"/>
      <c r="NEN134" s="562"/>
      <c r="NEO134" s="562"/>
      <c r="NEP134" s="562"/>
      <c r="NEQ134" s="562"/>
      <c r="NER134" s="562"/>
      <c r="NES134" s="562"/>
      <c r="NET134" s="562"/>
      <c r="NEU134" s="562"/>
      <c r="NEV134" s="562"/>
      <c r="NEW134" s="562"/>
      <c r="NEX134" s="562"/>
      <c r="NEY134" s="562"/>
      <c r="NEZ134" s="562"/>
      <c r="NFA134" s="562"/>
      <c r="NFB134" s="562"/>
      <c r="NFC134" s="562"/>
      <c r="NFD134" s="562"/>
      <c r="NFE134" s="562"/>
      <c r="NFF134" s="562"/>
      <c r="NFG134" s="562"/>
      <c r="NFH134" s="562"/>
      <c r="NFI134" s="562"/>
      <c r="NFJ134" s="562"/>
      <c r="NFK134" s="562"/>
      <c r="NFL134" s="562"/>
      <c r="NFM134" s="562"/>
      <c r="NFN134" s="562"/>
      <c r="NFO134" s="562"/>
      <c r="NFP134" s="562"/>
      <c r="NFQ134" s="562"/>
      <c r="NFR134" s="562"/>
      <c r="NFS134" s="562"/>
      <c r="NFT134" s="562"/>
      <c r="NFU134" s="562"/>
      <c r="NFV134" s="562"/>
      <c r="NFW134" s="562"/>
      <c r="NFX134" s="562"/>
      <c r="NFY134" s="562"/>
      <c r="NFZ134" s="562"/>
      <c r="NGA134" s="562"/>
      <c r="NGB134" s="562"/>
      <c r="NGC134" s="562"/>
      <c r="NGD134" s="562"/>
      <c r="NGE134" s="562"/>
      <c r="NGF134" s="562"/>
      <c r="NGG134" s="562"/>
      <c r="NGH134" s="562"/>
      <c r="NGI134" s="562"/>
      <c r="NGJ134" s="562"/>
      <c r="NGK134" s="562"/>
      <c r="NGL134" s="562"/>
      <c r="NGM134" s="562"/>
      <c r="NGN134" s="562"/>
      <c r="NGO134" s="562"/>
      <c r="NGP134" s="562"/>
      <c r="NGQ134" s="562"/>
      <c r="NGR134" s="562"/>
      <c r="NGS134" s="562"/>
      <c r="NGT134" s="562"/>
      <c r="NGU134" s="562"/>
      <c r="NGV134" s="562"/>
      <c r="NGW134" s="562"/>
      <c r="NGX134" s="562"/>
      <c r="NGY134" s="562"/>
      <c r="NGZ134" s="562"/>
      <c r="NHA134" s="562"/>
      <c r="NHB134" s="562"/>
      <c r="NHC134" s="562"/>
      <c r="NHD134" s="562"/>
      <c r="NHE134" s="562"/>
      <c r="NHF134" s="562"/>
      <c r="NHG134" s="562"/>
      <c r="NHH134" s="562"/>
      <c r="NHI134" s="562"/>
      <c r="NHJ134" s="562"/>
      <c r="NHK134" s="562"/>
      <c r="NHL134" s="562"/>
      <c r="NHM134" s="562"/>
      <c r="NHN134" s="562"/>
      <c r="NHO134" s="562"/>
      <c r="NHP134" s="562"/>
      <c r="NHQ134" s="562"/>
      <c r="NHR134" s="562"/>
      <c r="NHS134" s="562"/>
      <c r="NHT134" s="562"/>
      <c r="NHU134" s="562"/>
      <c r="NHV134" s="562"/>
      <c r="NHW134" s="562"/>
      <c r="NHX134" s="562"/>
      <c r="NHY134" s="562"/>
      <c r="NHZ134" s="562"/>
      <c r="NIA134" s="562"/>
      <c r="NIB134" s="562"/>
      <c r="NIC134" s="562"/>
      <c r="NID134" s="562"/>
      <c r="NIE134" s="562"/>
      <c r="NIF134" s="562"/>
      <c r="NIG134" s="562"/>
      <c r="NIH134" s="562"/>
      <c r="NII134" s="562"/>
      <c r="NIJ134" s="562"/>
      <c r="NIK134" s="562"/>
      <c r="NIL134" s="562"/>
      <c r="NIM134" s="562"/>
      <c r="NIN134" s="562"/>
      <c r="NIO134" s="562"/>
      <c r="NIP134" s="562"/>
      <c r="NIQ134" s="562"/>
      <c r="NIR134" s="562"/>
      <c r="NIS134" s="562"/>
      <c r="NIT134" s="562"/>
      <c r="NIU134" s="562"/>
      <c r="NIV134" s="562"/>
      <c r="NIW134" s="562"/>
      <c r="NIX134" s="562"/>
      <c r="NIY134" s="562"/>
      <c r="NIZ134" s="562"/>
      <c r="NJA134" s="562"/>
      <c r="NJB134" s="562"/>
      <c r="NJC134" s="562"/>
      <c r="NJD134" s="562"/>
      <c r="NJE134" s="562"/>
      <c r="NJF134" s="562"/>
      <c r="NJG134" s="562"/>
      <c r="NJH134" s="562"/>
      <c r="NJI134" s="562"/>
      <c r="NJJ134" s="562"/>
      <c r="NJK134" s="562"/>
      <c r="NJL134" s="562"/>
      <c r="NJM134" s="562"/>
      <c r="NJN134" s="562"/>
      <c r="NJO134" s="562"/>
      <c r="NJP134" s="562"/>
      <c r="NJQ134" s="562"/>
      <c r="NJR134" s="562"/>
      <c r="NJS134" s="562"/>
      <c r="NJT134" s="562"/>
      <c r="NJU134" s="562"/>
      <c r="NJV134" s="562"/>
      <c r="NJW134" s="562"/>
      <c r="NJX134" s="562"/>
      <c r="NJY134" s="562"/>
      <c r="NJZ134" s="562"/>
      <c r="NKA134" s="562"/>
      <c r="NKB134" s="562"/>
      <c r="NKC134" s="562"/>
      <c r="NKD134" s="562"/>
      <c r="NKE134" s="562"/>
      <c r="NKF134" s="562"/>
      <c r="NKG134" s="562"/>
      <c r="NKH134" s="562"/>
      <c r="NKI134" s="562"/>
      <c r="NKJ134" s="562"/>
      <c r="NKK134" s="562"/>
      <c r="NKL134" s="562"/>
      <c r="NKM134" s="562"/>
      <c r="NKN134" s="562"/>
      <c r="NKO134" s="562"/>
      <c r="NKP134" s="562"/>
      <c r="NKQ134" s="562"/>
      <c r="NKR134" s="562"/>
      <c r="NKS134" s="562"/>
      <c r="NKT134" s="562"/>
      <c r="NKU134" s="562"/>
      <c r="NKV134" s="562"/>
      <c r="NKW134" s="562"/>
      <c r="NKX134" s="562"/>
      <c r="NKY134" s="562"/>
      <c r="NKZ134" s="562"/>
      <c r="NLA134" s="562"/>
      <c r="NLB134" s="562"/>
      <c r="NLC134" s="562"/>
      <c r="NLD134" s="562"/>
      <c r="NLE134" s="562"/>
      <c r="NLF134" s="562"/>
      <c r="NLG134" s="562"/>
      <c r="NLH134" s="562"/>
      <c r="NLI134" s="562"/>
      <c r="NLJ134" s="562"/>
      <c r="NLK134" s="562"/>
      <c r="NLL134" s="562"/>
      <c r="NLM134" s="562"/>
      <c r="NLN134" s="562"/>
      <c r="NLO134" s="562"/>
      <c r="NLP134" s="562"/>
      <c r="NLQ134" s="562"/>
      <c r="NLR134" s="562"/>
      <c r="NLS134" s="562"/>
      <c r="NLT134" s="562"/>
      <c r="NLU134" s="562"/>
      <c r="NLV134" s="562"/>
      <c r="NLW134" s="562"/>
      <c r="NLX134" s="562"/>
      <c r="NLY134" s="562"/>
      <c r="NLZ134" s="562"/>
      <c r="NMA134" s="562"/>
      <c r="NMB134" s="562"/>
      <c r="NMC134" s="562"/>
      <c r="NMD134" s="562"/>
      <c r="NME134" s="562"/>
      <c r="NMF134" s="562"/>
      <c r="NMG134" s="562"/>
      <c r="NMH134" s="562"/>
      <c r="NMI134" s="562"/>
      <c r="NMJ134" s="562"/>
      <c r="NMK134" s="562"/>
      <c r="NML134" s="562"/>
      <c r="NMM134" s="562"/>
      <c r="NMN134" s="562"/>
      <c r="NMO134" s="562"/>
      <c r="NMP134" s="562"/>
      <c r="NMQ134" s="562"/>
      <c r="NMR134" s="562"/>
      <c r="NMS134" s="562"/>
      <c r="NMT134" s="562"/>
      <c r="NMU134" s="562"/>
      <c r="NMV134" s="562"/>
      <c r="NMW134" s="562"/>
      <c r="NMX134" s="562"/>
      <c r="NMY134" s="562"/>
      <c r="NMZ134" s="562"/>
      <c r="NNA134" s="562"/>
      <c r="NNB134" s="562"/>
      <c r="NNC134" s="562"/>
      <c r="NND134" s="562"/>
      <c r="NNE134" s="562"/>
      <c r="NNF134" s="562"/>
      <c r="NNG134" s="562"/>
      <c r="NNH134" s="562"/>
      <c r="NNI134" s="562"/>
      <c r="NNJ134" s="562"/>
      <c r="NNK134" s="562"/>
      <c r="NNL134" s="562"/>
      <c r="NNM134" s="562"/>
      <c r="NNN134" s="562"/>
      <c r="NNO134" s="562"/>
      <c r="NNP134" s="562"/>
      <c r="NNQ134" s="562"/>
      <c r="NNR134" s="562"/>
      <c r="NNS134" s="562"/>
      <c r="NNT134" s="562"/>
      <c r="NNU134" s="562"/>
      <c r="NNV134" s="562"/>
      <c r="NNW134" s="562"/>
      <c r="NNX134" s="562"/>
      <c r="NNY134" s="562"/>
      <c r="NNZ134" s="562"/>
      <c r="NOA134" s="562"/>
      <c r="NOB134" s="562"/>
      <c r="NOC134" s="562"/>
      <c r="NOD134" s="562"/>
      <c r="NOE134" s="562"/>
      <c r="NOF134" s="562"/>
      <c r="NOG134" s="562"/>
      <c r="NOH134" s="562"/>
      <c r="NOI134" s="562"/>
      <c r="NOJ134" s="562"/>
      <c r="NOK134" s="562"/>
      <c r="NOL134" s="562"/>
      <c r="NOM134" s="562"/>
      <c r="NON134" s="562"/>
      <c r="NOO134" s="562"/>
      <c r="NOP134" s="562"/>
      <c r="NOQ134" s="562"/>
      <c r="NOR134" s="562"/>
      <c r="NOS134" s="562"/>
      <c r="NOT134" s="562"/>
      <c r="NOU134" s="562"/>
      <c r="NOV134" s="562"/>
      <c r="NOW134" s="562"/>
      <c r="NOX134" s="562"/>
      <c r="NOY134" s="562"/>
      <c r="NOZ134" s="562"/>
      <c r="NPA134" s="562"/>
      <c r="NPB134" s="562"/>
      <c r="NPC134" s="562"/>
      <c r="NPD134" s="562"/>
      <c r="NPE134" s="562"/>
      <c r="NPF134" s="562"/>
      <c r="NPG134" s="562"/>
      <c r="NPH134" s="562"/>
      <c r="NPI134" s="562"/>
      <c r="NPJ134" s="562"/>
      <c r="NPK134" s="562"/>
      <c r="NPL134" s="562"/>
      <c r="NPM134" s="562"/>
      <c r="NPN134" s="562"/>
      <c r="NPO134" s="562"/>
      <c r="NPP134" s="562"/>
      <c r="NPQ134" s="562"/>
      <c r="NPR134" s="562"/>
      <c r="NPS134" s="562"/>
      <c r="NPT134" s="562"/>
      <c r="NPU134" s="562"/>
      <c r="NPV134" s="562"/>
      <c r="NPW134" s="562"/>
      <c r="NPX134" s="562"/>
      <c r="NPY134" s="562"/>
      <c r="NPZ134" s="562"/>
      <c r="NQA134" s="562"/>
      <c r="NQB134" s="562"/>
      <c r="NQC134" s="562"/>
      <c r="NQD134" s="562"/>
      <c r="NQE134" s="562"/>
      <c r="NQF134" s="562"/>
      <c r="NQG134" s="562"/>
      <c r="NQH134" s="562"/>
      <c r="NQI134" s="562"/>
      <c r="NQJ134" s="562"/>
      <c r="NQK134" s="562"/>
      <c r="NQL134" s="562"/>
      <c r="NQM134" s="562"/>
      <c r="NQN134" s="562"/>
      <c r="NQO134" s="562"/>
      <c r="NQP134" s="562"/>
      <c r="NQQ134" s="562"/>
      <c r="NQR134" s="562"/>
      <c r="NQS134" s="562"/>
      <c r="NQT134" s="562"/>
      <c r="NQU134" s="562"/>
      <c r="NQV134" s="562"/>
      <c r="NQW134" s="562"/>
      <c r="NQX134" s="562"/>
      <c r="NQY134" s="562"/>
      <c r="NQZ134" s="562"/>
      <c r="NRA134" s="562"/>
      <c r="NRB134" s="562"/>
      <c r="NRC134" s="562"/>
      <c r="NRD134" s="562"/>
      <c r="NRE134" s="562"/>
      <c r="NRF134" s="562"/>
      <c r="NRG134" s="562"/>
      <c r="NRH134" s="562"/>
      <c r="NRI134" s="562"/>
      <c r="NRJ134" s="562"/>
      <c r="NRK134" s="562"/>
      <c r="NRL134" s="562"/>
      <c r="NRM134" s="562"/>
      <c r="NRN134" s="562"/>
      <c r="NRO134" s="562"/>
      <c r="NRP134" s="562"/>
      <c r="NRQ134" s="562"/>
      <c r="NRR134" s="562"/>
      <c r="NRS134" s="562"/>
      <c r="NRT134" s="562"/>
      <c r="NRU134" s="562"/>
      <c r="NRV134" s="562"/>
      <c r="NRW134" s="562"/>
      <c r="NRX134" s="562"/>
      <c r="NRY134" s="562"/>
      <c r="NRZ134" s="562"/>
      <c r="NSA134" s="562"/>
      <c r="NSB134" s="562"/>
      <c r="NSC134" s="562"/>
      <c r="NSD134" s="562"/>
      <c r="NSE134" s="562"/>
      <c r="NSF134" s="562"/>
      <c r="NSG134" s="562"/>
      <c r="NSH134" s="562"/>
      <c r="NSI134" s="562"/>
      <c r="NSJ134" s="562"/>
      <c r="NSK134" s="562"/>
      <c r="NSL134" s="562"/>
      <c r="NSM134" s="562"/>
      <c r="NSN134" s="562"/>
      <c r="NSO134" s="562"/>
      <c r="NSP134" s="562"/>
      <c r="NSQ134" s="562"/>
      <c r="NSR134" s="562"/>
      <c r="NSS134" s="562"/>
      <c r="NST134" s="562"/>
      <c r="NSU134" s="562"/>
      <c r="NSV134" s="562"/>
      <c r="NSW134" s="562"/>
      <c r="NSX134" s="562"/>
      <c r="NSY134" s="562"/>
      <c r="NSZ134" s="562"/>
      <c r="NTA134" s="562"/>
      <c r="NTB134" s="562"/>
      <c r="NTC134" s="562"/>
      <c r="NTD134" s="562"/>
      <c r="NTE134" s="562"/>
      <c r="NTF134" s="562"/>
      <c r="NTG134" s="562"/>
      <c r="NTH134" s="562"/>
      <c r="NTI134" s="562"/>
      <c r="NTJ134" s="562"/>
      <c r="NTK134" s="562"/>
      <c r="NTL134" s="562"/>
      <c r="NTM134" s="562"/>
      <c r="NTN134" s="562"/>
      <c r="NTO134" s="562"/>
      <c r="NTP134" s="562"/>
      <c r="NTQ134" s="562"/>
      <c r="NTR134" s="562"/>
      <c r="NTS134" s="562"/>
      <c r="NTT134" s="562"/>
      <c r="NTU134" s="562"/>
      <c r="NTV134" s="562"/>
      <c r="NTW134" s="562"/>
      <c r="NTX134" s="562"/>
      <c r="NTY134" s="562"/>
      <c r="NTZ134" s="562"/>
      <c r="NUA134" s="562"/>
      <c r="NUB134" s="562"/>
      <c r="NUC134" s="562"/>
      <c r="NUD134" s="562"/>
      <c r="NUE134" s="562"/>
      <c r="NUF134" s="562"/>
      <c r="NUG134" s="562"/>
      <c r="NUH134" s="562"/>
      <c r="NUI134" s="562"/>
      <c r="NUJ134" s="562"/>
      <c r="NUK134" s="562"/>
      <c r="NUL134" s="562"/>
      <c r="NUM134" s="562"/>
      <c r="NUN134" s="562"/>
      <c r="NUO134" s="562"/>
      <c r="NUP134" s="562"/>
      <c r="NUQ134" s="562"/>
      <c r="NUR134" s="562"/>
      <c r="NUS134" s="562"/>
      <c r="NUT134" s="562"/>
      <c r="NUU134" s="562"/>
      <c r="NUV134" s="562"/>
      <c r="NUW134" s="562"/>
      <c r="NUX134" s="562"/>
      <c r="NUY134" s="562"/>
      <c r="NUZ134" s="562"/>
      <c r="NVA134" s="562"/>
      <c r="NVB134" s="562"/>
      <c r="NVC134" s="562"/>
      <c r="NVD134" s="562"/>
      <c r="NVE134" s="562"/>
      <c r="NVF134" s="562"/>
      <c r="NVG134" s="562"/>
      <c r="NVH134" s="562"/>
      <c r="NVI134" s="562"/>
      <c r="NVJ134" s="562"/>
      <c r="NVK134" s="562"/>
      <c r="NVL134" s="562"/>
      <c r="NVM134" s="562"/>
      <c r="NVN134" s="562"/>
      <c r="NVO134" s="562"/>
      <c r="NVP134" s="562"/>
      <c r="NVQ134" s="562"/>
      <c r="NVR134" s="562"/>
      <c r="NVS134" s="562"/>
      <c r="NVT134" s="562"/>
      <c r="NVU134" s="562"/>
      <c r="NVV134" s="562"/>
      <c r="NVW134" s="562"/>
      <c r="NVX134" s="562"/>
      <c r="NVY134" s="562"/>
      <c r="NVZ134" s="562"/>
      <c r="NWA134" s="562"/>
      <c r="NWB134" s="562"/>
      <c r="NWC134" s="562"/>
      <c r="NWD134" s="562"/>
      <c r="NWE134" s="562"/>
      <c r="NWF134" s="562"/>
      <c r="NWG134" s="562"/>
      <c r="NWH134" s="562"/>
      <c r="NWI134" s="562"/>
      <c r="NWJ134" s="562"/>
      <c r="NWK134" s="562"/>
      <c r="NWL134" s="562"/>
      <c r="NWM134" s="562"/>
      <c r="NWN134" s="562"/>
      <c r="NWO134" s="562"/>
      <c r="NWP134" s="562"/>
      <c r="NWQ134" s="562"/>
      <c r="NWR134" s="562"/>
      <c r="NWS134" s="562"/>
      <c r="NWT134" s="562"/>
      <c r="NWU134" s="562"/>
      <c r="NWV134" s="562"/>
      <c r="NWW134" s="562"/>
      <c r="NWX134" s="562"/>
      <c r="NWY134" s="562"/>
      <c r="NWZ134" s="562"/>
      <c r="NXA134" s="562"/>
      <c r="NXB134" s="562"/>
      <c r="NXC134" s="562"/>
      <c r="NXD134" s="562"/>
      <c r="NXE134" s="562"/>
      <c r="NXF134" s="562"/>
      <c r="NXG134" s="562"/>
      <c r="NXH134" s="562"/>
      <c r="NXI134" s="562"/>
      <c r="NXJ134" s="562"/>
      <c r="NXK134" s="562"/>
      <c r="NXL134" s="562"/>
      <c r="NXM134" s="562"/>
      <c r="NXN134" s="562"/>
      <c r="NXO134" s="562"/>
      <c r="NXP134" s="562"/>
      <c r="NXQ134" s="562"/>
      <c r="NXR134" s="562"/>
      <c r="NXS134" s="562"/>
      <c r="NXT134" s="562"/>
      <c r="NXU134" s="562"/>
      <c r="NXV134" s="562"/>
      <c r="NXW134" s="562"/>
      <c r="NXX134" s="562"/>
      <c r="NXY134" s="562"/>
      <c r="NXZ134" s="562"/>
      <c r="NYA134" s="562"/>
      <c r="NYB134" s="562"/>
      <c r="NYC134" s="562"/>
      <c r="NYD134" s="562"/>
      <c r="NYE134" s="562"/>
      <c r="NYF134" s="562"/>
      <c r="NYG134" s="562"/>
      <c r="NYH134" s="562"/>
      <c r="NYI134" s="562"/>
      <c r="NYJ134" s="562"/>
      <c r="NYK134" s="562"/>
      <c r="NYL134" s="562"/>
      <c r="NYM134" s="562"/>
      <c r="NYN134" s="562"/>
      <c r="NYO134" s="562"/>
      <c r="NYP134" s="562"/>
      <c r="NYQ134" s="562"/>
      <c r="NYR134" s="562"/>
      <c r="NYS134" s="562"/>
      <c r="NYT134" s="562"/>
      <c r="NYU134" s="562"/>
      <c r="NYV134" s="562"/>
      <c r="NYW134" s="562"/>
      <c r="NYX134" s="562"/>
      <c r="NYY134" s="562"/>
      <c r="NYZ134" s="562"/>
      <c r="NZA134" s="562"/>
      <c r="NZB134" s="562"/>
      <c r="NZC134" s="562"/>
      <c r="NZD134" s="562"/>
      <c r="NZE134" s="562"/>
      <c r="NZF134" s="562"/>
      <c r="NZG134" s="562"/>
      <c r="NZH134" s="562"/>
      <c r="NZI134" s="562"/>
      <c r="NZJ134" s="562"/>
      <c r="NZK134" s="562"/>
      <c r="NZL134" s="562"/>
      <c r="NZM134" s="562"/>
      <c r="NZN134" s="562"/>
      <c r="NZO134" s="562"/>
      <c r="NZP134" s="562"/>
      <c r="NZQ134" s="562"/>
      <c r="NZR134" s="562"/>
      <c r="NZS134" s="562"/>
      <c r="NZT134" s="562"/>
      <c r="NZU134" s="562"/>
      <c r="NZV134" s="562"/>
      <c r="NZW134" s="562"/>
      <c r="NZX134" s="562"/>
      <c r="NZY134" s="562"/>
      <c r="NZZ134" s="562"/>
      <c r="OAA134" s="562"/>
      <c r="OAB134" s="562"/>
      <c r="OAC134" s="562"/>
      <c r="OAD134" s="562"/>
      <c r="OAE134" s="562"/>
      <c r="OAF134" s="562"/>
      <c r="OAG134" s="562"/>
      <c r="OAH134" s="562"/>
      <c r="OAI134" s="562"/>
      <c r="OAJ134" s="562"/>
      <c r="OAK134" s="562"/>
      <c r="OAL134" s="562"/>
      <c r="OAM134" s="562"/>
      <c r="OAN134" s="562"/>
      <c r="OAO134" s="562"/>
      <c r="OAP134" s="562"/>
      <c r="OAQ134" s="562"/>
      <c r="OAR134" s="562"/>
      <c r="OAS134" s="562"/>
      <c r="OAT134" s="562"/>
      <c r="OAU134" s="562"/>
      <c r="OAV134" s="562"/>
      <c r="OAW134" s="562"/>
      <c r="OAX134" s="562"/>
      <c r="OAY134" s="562"/>
      <c r="OAZ134" s="562"/>
      <c r="OBA134" s="562"/>
      <c r="OBB134" s="562"/>
      <c r="OBC134" s="562"/>
      <c r="OBD134" s="562"/>
      <c r="OBE134" s="562"/>
      <c r="OBF134" s="562"/>
      <c r="OBG134" s="562"/>
      <c r="OBH134" s="562"/>
      <c r="OBI134" s="562"/>
      <c r="OBJ134" s="562"/>
      <c r="OBK134" s="562"/>
      <c r="OBL134" s="562"/>
      <c r="OBM134" s="562"/>
      <c r="OBN134" s="562"/>
      <c r="OBO134" s="562"/>
      <c r="OBP134" s="562"/>
      <c r="OBQ134" s="562"/>
      <c r="OBR134" s="562"/>
      <c r="OBS134" s="562"/>
      <c r="OBT134" s="562"/>
      <c r="OBU134" s="562"/>
      <c r="OBV134" s="562"/>
      <c r="OBW134" s="562"/>
      <c r="OBX134" s="562"/>
      <c r="OBY134" s="562"/>
      <c r="OBZ134" s="562"/>
      <c r="OCA134" s="562"/>
      <c r="OCB134" s="562"/>
      <c r="OCC134" s="562"/>
      <c r="OCD134" s="562"/>
      <c r="OCE134" s="562"/>
      <c r="OCF134" s="562"/>
      <c r="OCG134" s="562"/>
      <c r="OCH134" s="562"/>
      <c r="OCI134" s="562"/>
      <c r="OCJ134" s="562"/>
      <c r="OCK134" s="562"/>
      <c r="OCL134" s="562"/>
      <c r="OCM134" s="562"/>
      <c r="OCN134" s="562"/>
      <c r="OCO134" s="562"/>
      <c r="OCP134" s="562"/>
      <c r="OCQ134" s="562"/>
      <c r="OCR134" s="562"/>
      <c r="OCS134" s="562"/>
      <c r="OCT134" s="562"/>
      <c r="OCU134" s="562"/>
      <c r="OCV134" s="562"/>
      <c r="OCW134" s="562"/>
      <c r="OCX134" s="562"/>
      <c r="OCY134" s="562"/>
      <c r="OCZ134" s="562"/>
      <c r="ODA134" s="562"/>
      <c r="ODB134" s="562"/>
      <c r="ODC134" s="562"/>
      <c r="ODD134" s="562"/>
      <c r="ODE134" s="562"/>
      <c r="ODF134" s="562"/>
      <c r="ODG134" s="562"/>
      <c r="ODH134" s="562"/>
      <c r="ODI134" s="562"/>
      <c r="ODJ134" s="562"/>
      <c r="ODK134" s="562"/>
      <c r="ODL134" s="562"/>
      <c r="ODM134" s="562"/>
      <c r="ODN134" s="562"/>
      <c r="ODO134" s="562"/>
      <c r="ODP134" s="562"/>
      <c r="ODQ134" s="562"/>
      <c r="ODR134" s="562"/>
      <c r="ODS134" s="562"/>
      <c r="ODT134" s="562"/>
      <c r="ODU134" s="562"/>
      <c r="ODV134" s="562"/>
      <c r="ODW134" s="562"/>
      <c r="ODX134" s="562"/>
      <c r="ODY134" s="562"/>
      <c r="ODZ134" s="562"/>
      <c r="OEA134" s="562"/>
      <c r="OEB134" s="562"/>
      <c r="OEC134" s="562"/>
      <c r="OED134" s="562"/>
      <c r="OEE134" s="562"/>
      <c r="OEF134" s="562"/>
      <c r="OEG134" s="562"/>
      <c r="OEH134" s="562"/>
      <c r="OEI134" s="562"/>
      <c r="OEJ134" s="562"/>
      <c r="OEK134" s="562"/>
      <c r="OEL134" s="562"/>
      <c r="OEM134" s="562"/>
      <c r="OEN134" s="562"/>
      <c r="OEO134" s="562"/>
      <c r="OEP134" s="562"/>
      <c r="OEQ134" s="562"/>
      <c r="OER134" s="562"/>
      <c r="OES134" s="562"/>
      <c r="OET134" s="562"/>
      <c r="OEU134" s="562"/>
      <c r="OEV134" s="562"/>
      <c r="OEW134" s="562"/>
      <c r="OEX134" s="562"/>
      <c r="OEY134" s="562"/>
      <c r="OEZ134" s="562"/>
      <c r="OFA134" s="562"/>
      <c r="OFB134" s="562"/>
      <c r="OFC134" s="562"/>
      <c r="OFD134" s="562"/>
      <c r="OFE134" s="562"/>
      <c r="OFF134" s="562"/>
      <c r="OFG134" s="562"/>
      <c r="OFH134" s="562"/>
      <c r="OFI134" s="562"/>
      <c r="OFJ134" s="562"/>
      <c r="OFK134" s="562"/>
      <c r="OFL134" s="562"/>
      <c r="OFM134" s="562"/>
      <c r="OFN134" s="562"/>
      <c r="OFO134" s="562"/>
      <c r="OFP134" s="562"/>
      <c r="OFQ134" s="562"/>
      <c r="OFR134" s="562"/>
      <c r="OFS134" s="562"/>
      <c r="OFT134" s="562"/>
      <c r="OFU134" s="562"/>
      <c r="OFV134" s="562"/>
      <c r="OFW134" s="562"/>
      <c r="OFX134" s="562"/>
      <c r="OFY134" s="562"/>
      <c r="OFZ134" s="562"/>
      <c r="OGA134" s="562"/>
      <c r="OGB134" s="562"/>
      <c r="OGC134" s="562"/>
      <c r="OGD134" s="562"/>
      <c r="OGE134" s="562"/>
      <c r="OGF134" s="562"/>
      <c r="OGG134" s="562"/>
      <c r="OGH134" s="562"/>
      <c r="OGI134" s="562"/>
      <c r="OGJ134" s="562"/>
      <c r="OGK134" s="562"/>
      <c r="OGL134" s="562"/>
      <c r="OGM134" s="562"/>
      <c r="OGN134" s="562"/>
      <c r="OGO134" s="562"/>
      <c r="OGP134" s="562"/>
      <c r="OGQ134" s="562"/>
      <c r="OGR134" s="562"/>
      <c r="OGS134" s="562"/>
      <c r="OGT134" s="562"/>
      <c r="OGU134" s="562"/>
      <c r="OGV134" s="562"/>
      <c r="OGW134" s="562"/>
      <c r="OGX134" s="562"/>
      <c r="OGY134" s="562"/>
      <c r="OGZ134" s="562"/>
      <c r="OHA134" s="562"/>
      <c r="OHB134" s="562"/>
      <c r="OHC134" s="562"/>
      <c r="OHD134" s="562"/>
      <c r="OHE134" s="562"/>
      <c r="OHF134" s="562"/>
      <c r="OHG134" s="562"/>
      <c r="OHH134" s="562"/>
      <c r="OHI134" s="562"/>
      <c r="OHJ134" s="562"/>
      <c r="OHK134" s="562"/>
      <c r="OHL134" s="562"/>
      <c r="OHM134" s="562"/>
      <c r="OHN134" s="562"/>
      <c r="OHO134" s="562"/>
      <c r="OHP134" s="562"/>
      <c r="OHQ134" s="562"/>
      <c r="OHR134" s="562"/>
      <c r="OHS134" s="562"/>
      <c r="OHT134" s="562"/>
      <c r="OHU134" s="562"/>
      <c r="OHV134" s="562"/>
      <c r="OHW134" s="562"/>
      <c r="OHX134" s="562"/>
      <c r="OHY134" s="562"/>
      <c r="OHZ134" s="562"/>
      <c r="OIA134" s="562"/>
      <c r="OIB134" s="562"/>
      <c r="OIC134" s="562"/>
      <c r="OID134" s="562"/>
      <c r="OIE134" s="562"/>
      <c r="OIF134" s="562"/>
      <c r="OIG134" s="562"/>
      <c r="OIH134" s="562"/>
      <c r="OII134" s="562"/>
      <c r="OIJ134" s="562"/>
      <c r="OIK134" s="562"/>
      <c r="OIL134" s="562"/>
      <c r="OIM134" s="562"/>
      <c r="OIN134" s="562"/>
      <c r="OIO134" s="562"/>
      <c r="OIP134" s="562"/>
      <c r="OIQ134" s="562"/>
      <c r="OIR134" s="562"/>
      <c r="OIS134" s="562"/>
      <c r="OIT134" s="562"/>
      <c r="OIU134" s="562"/>
      <c r="OIV134" s="562"/>
      <c r="OIW134" s="562"/>
      <c r="OIX134" s="562"/>
      <c r="OIY134" s="562"/>
      <c r="OIZ134" s="562"/>
      <c r="OJA134" s="562"/>
      <c r="OJB134" s="562"/>
      <c r="OJC134" s="562"/>
      <c r="OJD134" s="562"/>
      <c r="OJE134" s="562"/>
      <c r="OJF134" s="562"/>
      <c r="OJG134" s="562"/>
      <c r="OJH134" s="562"/>
      <c r="OJI134" s="562"/>
      <c r="OJJ134" s="562"/>
      <c r="OJK134" s="562"/>
      <c r="OJL134" s="562"/>
      <c r="OJM134" s="562"/>
      <c r="OJN134" s="562"/>
      <c r="OJO134" s="562"/>
      <c r="OJP134" s="562"/>
      <c r="OJQ134" s="562"/>
      <c r="OJR134" s="562"/>
      <c r="OJS134" s="562"/>
      <c r="OJT134" s="562"/>
      <c r="OJU134" s="562"/>
      <c r="OJV134" s="562"/>
      <c r="OJW134" s="562"/>
      <c r="OJX134" s="562"/>
      <c r="OJY134" s="562"/>
      <c r="OJZ134" s="562"/>
      <c r="OKA134" s="562"/>
      <c r="OKB134" s="562"/>
      <c r="OKC134" s="562"/>
      <c r="OKD134" s="562"/>
      <c r="OKE134" s="562"/>
      <c r="OKF134" s="562"/>
      <c r="OKG134" s="562"/>
      <c r="OKH134" s="562"/>
      <c r="OKI134" s="562"/>
      <c r="OKJ134" s="562"/>
      <c r="OKK134" s="562"/>
      <c r="OKL134" s="562"/>
      <c r="OKM134" s="562"/>
      <c r="OKN134" s="562"/>
      <c r="OKO134" s="562"/>
      <c r="OKP134" s="562"/>
      <c r="OKQ134" s="562"/>
      <c r="OKR134" s="562"/>
      <c r="OKS134" s="562"/>
      <c r="OKT134" s="562"/>
      <c r="OKU134" s="562"/>
      <c r="OKV134" s="562"/>
      <c r="OKW134" s="562"/>
      <c r="OKX134" s="562"/>
      <c r="OKY134" s="562"/>
      <c r="OKZ134" s="562"/>
      <c r="OLA134" s="562"/>
      <c r="OLB134" s="562"/>
      <c r="OLC134" s="562"/>
      <c r="OLD134" s="562"/>
      <c r="OLE134" s="562"/>
      <c r="OLF134" s="562"/>
      <c r="OLG134" s="562"/>
      <c r="OLH134" s="562"/>
      <c r="OLI134" s="562"/>
      <c r="OLJ134" s="562"/>
      <c r="OLK134" s="562"/>
      <c r="OLL134" s="562"/>
      <c r="OLM134" s="562"/>
      <c r="OLN134" s="562"/>
      <c r="OLO134" s="562"/>
      <c r="OLP134" s="562"/>
      <c r="OLQ134" s="562"/>
      <c r="OLR134" s="562"/>
      <c r="OLS134" s="562"/>
      <c r="OLT134" s="562"/>
      <c r="OLU134" s="562"/>
      <c r="OLV134" s="562"/>
      <c r="OLW134" s="562"/>
      <c r="OLX134" s="562"/>
      <c r="OLY134" s="562"/>
      <c r="OLZ134" s="562"/>
      <c r="OMA134" s="562"/>
      <c r="OMB134" s="562"/>
      <c r="OMC134" s="562"/>
      <c r="OMD134" s="562"/>
      <c r="OME134" s="562"/>
      <c r="OMF134" s="562"/>
      <c r="OMG134" s="562"/>
      <c r="OMH134" s="562"/>
      <c r="OMI134" s="562"/>
      <c r="OMJ134" s="562"/>
      <c r="OMK134" s="562"/>
      <c r="OML134" s="562"/>
      <c r="OMM134" s="562"/>
      <c r="OMN134" s="562"/>
      <c r="OMO134" s="562"/>
      <c r="OMP134" s="562"/>
      <c r="OMQ134" s="562"/>
      <c r="OMR134" s="562"/>
      <c r="OMS134" s="562"/>
      <c r="OMT134" s="562"/>
      <c r="OMU134" s="562"/>
      <c r="OMV134" s="562"/>
      <c r="OMW134" s="562"/>
      <c r="OMX134" s="562"/>
      <c r="OMY134" s="562"/>
      <c r="OMZ134" s="562"/>
      <c r="ONA134" s="562"/>
      <c r="ONB134" s="562"/>
      <c r="ONC134" s="562"/>
      <c r="OND134" s="562"/>
      <c r="ONE134" s="562"/>
      <c r="ONF134" s="562"/>
      <c r="ONG134" s="562"/>
      <c r="ONH134" s="562"/>
      <c r="ONI134" s="562"/>
      <c r="ONJ134" s="562"/>
      <c r="ONK134" s="562"/>
      <c r="ONL134" s="562"/>
      <c r="ONM134" s="562"/>
      <c r="ONN134" s="562"/>
      <c r="ONO134" s="562"/>
      <c r="ONP134" s="562"/>
      <c r="ONQ134" s="562"/>
      <c r="ONR134" s="562"/>
      <c r="ONS134" s="562"/>
      <c r="ONT134" s="562"/>
      <c r="ONU134" s="562"/>
      <c r="ONV134" s="562"/>
      <c r="ONW134" s="562"/>
      <c r="ONX134" s="562"/>
      <c r="ONY134" s="562"/>
      <c r="ONZ134" s="562"/>
      <c r="OOA134" s="562"/>
      <c r="OOB134" s="562"/>
      <c r="OOC134" s="562"/>
      <c r="OOD134" s="562"/>
      <c r="OOE134" s="562"/>
      <c r="OOF134" s="562"/>
      <c r="OOG134" s="562"/>
      <c r="OOH134" s="562"/>
      <c r="OOI134" s="562"/>
      <c r="OOJ134" s="562"/>
      <c r="OOK134" s="562"/>
      <c r="OOL134" s="562"/>
      <c r="OOM134" s="562"/>
      <c r="OON134" s="562"/>
      <c r="OOO134" s="562"/>
      <c r="OOP134" s="562"/>
      <c r="OOQ134" s="562"/>
      <c r="OOR134" s="562"/>
      <c r="OOS134" s="562"/>
      <c r="OOT134" s="562"/>
      <c r="OOU134" s="562"/>
      <c r="OOV134" s="562"/>
      <c r="OOW134" s="562"/>
      <c r="OOX134" s="562"/>
      <c r="OOY134" s="562"/>
      <c r="OOZ134" s="562"/>
      <c r="OPA134" s="562"/>
      <c r="OPB134" s="562"/>
      <c r="OPC134" s="562"/>
      <c r="OPD134" s="562"/>
      <c r="OPE134" s="562"/>
      <c r="OPF134" s="562"/>
      <c r="OPG134" s="562"/>
      <c r="OPH134" s="562"/>
      <c r="OPI134" s="562"/>
      <c r="OPJ134" s="562"/>
      <c r="OPK134" s="562"/>
      <c r="OPL134" s="562"/>
      <c r="OPM134" s="562"/>
      <c r="OPN134" s="562"/>
      <c r="OPO134" s="562"/>
      <c r="OPP134" s="562"/>
      <c r="OPQ134" s="562"/>
      <c r="OPR134" s="562"/>
      <c r="OPS134" s="562"/>
      <c r="OPT134" s="562"/>
      <c r="OPU134" s="562"/>
      <c r="OPV134" s="562"/>
      <c r="OPW134" s="562"/>
      <c r="OPX134" s="562"/>
      <c r="OPY134" s="562"/>
      <c r="OPZ134" s="562"/>
      <c r="OQA134" s="562"/>
      <c r="OQB134" s="562"/>
      <c r="OQC134" s="562"/>
      <c r="OQD134" s="562"/>
      <c r="OQE134" s="562"/>
      <c r="OQF134" s="562"/>
      <c r="OQG134" s="562"/>
      <c r="OQH134" s="562"/>
      <c r="OQI134" s="562"/>
      <c r="OQJ134" s="562"/>
      <c r="OQK134" s="562"/>
      <c r="OQL134" s="562"/>
      <c r="OQM134" s="562"/>
      <c r="OQN134" s="562"/>
      <c r="OQO134" s="562"/>
      <c r="OQP134" s="562"/>
      <c r="OQQ134" s="562"/>
      <c r="OQR134" s="562"/>
      <c r="OQS134" s="562"/>
      <c r="OQT134" s="562"/>
      <c r="OQU134" s="562"/>
      <c r="OQV134" s="562"/>
      <c r="OQW134" s="562"/>
      <c r="OQX134" s="562"/>
      <c r="OQY134" s="562"/>
      <c r="OQZ134" s="562"/>
      <c r="ORA134" s="562"/>
      <c r="ORB134" s="562"/>
      <c r="ORC134" s="562"/>
      <c r="ORD134" s="562"/>
      <c r="ORE134" s="562"/>
      <c r="ORF134" s="562"/>
      <c r="ORG134" s="562"/>
      <c r="ORH134" s="562"/>
      <c r="ORI134" s="562"/>
      <c r="ORJ134" s="562"/>
      <c r="ORK134" s="562"/>
      <c r="ORL134" s="562"/>
      <c r="ORM134" s="562"/>
      <c r="ORN134" s="562"/>
      <c r="ORO134" s="562"/>
      <c r="ORP134" s="562"/>
      <c r="ORQ134" s="562"/>
      <c r="ORR134" s="562"/>
      <c r="ORS134" s="562"/>
      <c r="ORT134" s="562"/>
      <c r="ORU134" s="562"/>
      <c r="ORV134" s="562"/>
      <c r="ORW134" s="562"/>
      <c r="ORX134" s="562"/>
      <c r="ORY134" s="562"/>
      <c r="ORZ134" s="562"/>
      <c r="OSA134" s="562"/>
      <c r="OSB134" s="562"/>
      <c r="OSC134" s="562"/>
      <c r="OSD134" s="562"/>
      <c r="OSE134" s="562"/>
      <c r="OSF134" s="562"/>
      <c r="OSG134" s="562"/>
      <c r="OSH134" s="562"/>
      <c r="OSI134" s="562"/>
      <c r="OSJ134" s="562"/>
      <c r="OSK134" s="562"/>
      <c r="OSL134" s="562"/>
      <c r="OSM134" s="562"/>
      <c r="OSN134" s="562"/>
      <c r="OSO134" s="562"/>
      <c r="OSP134" s="562"/>
      <c r="OSQ134" s="562"/>
      <c r="OSR134" s="562"/>
      <c r="OSS134" s="562"/>
      <c r="OST134" s="562"/>
      <c r="OSU134" s="562"/>
      <c r="OSV134" s="562"/>
      <c r="OSW134" s="562"/>
      <c r="OSX134" s="562"/>
      <c r="OSY134" s="562"/>
      <c r="OSZ134" s="562"/>
      <c r="OTA134" s="562"/>
      <c r="OTB134" s="562"/>
      <c r="OTC134" s="562"/>
      <c r="OTD134" s="562"/>
      <c r="OTE134" s="562"/>
      <c r="OTF134" s="562"/>
      <c r="OTG134" s="562"/>
      <c r="OTH134" s="562"/>
      <c r="OTI134" s="562"/>
      <c r="OTJ134" s="562"/>
      <c r="OTK134" s="562"/>
      <c r="OTL134" s="562"/>
      <c r="OTM134" s="562"/>
      <c r="OTN134" s="562"/>
      <c r="OTO134" s="562"/>
      <c r="OTP134" s="562"/>
      <c r="OTQ134" s="562"/>
      <c r="OTR134" s="562"/>
      <c r="OTS134" s="562"/>
      <c r="OTT134" s="562"/>
      <c r="OTU134" s="562"/>
      <c r="OTV134" s="562"/>
      <c r="OTW134" s="562"/>
      <c r="OTX134" s="562"/>
      <c r="OTY134" s="562"/>
      <c r="OTZ134" s="562"/>
      <c r="OUA134" s="562"/>
      <c r="OUB134" s="562"/>
      <c r="OUC134" s="562"/>
      <c r="OUD134" s="562"/>
      <c r="OUE134" s="562"/>
      <c r="OUF134" s="562"/>
      <c r="OUG134" s="562"/>
      <c r="OUH134" s="562"/>
      <c r="OUI134" s="562"/>
      <c r="OUJ134" s="562"/>
      <c r="OUK134" s="562"/>
      <c r="OUL134" s="562"/>
      <c r="OUM134" s="562"/>
      <c r="OUN134" s="562"/>
      <c r="OUO134" s="562"/>
      <c r="OUP134" s="562"/>
      <c r="OUQ134" s="562"/>
      <c r="OUR134" s="562"/>
      <c r="OUS134" s="562"/>
      <c r="OUT134" s="562"/>
      <c r="OUU134" s="562"/>
      <c r="OUV134" s="562"/>
      <c r="OUW134" s="562"/>
      <c r="OUX134" s="562"/>
      <c r="OUY134" s="562"/>
      <c r="OUZ134" s="562"/>
      <c r="OVA134" s="562"/>
      <c r="OVB134" s="562"/>
      <c r="OVC134" s="562"/>
      <c r="OVD134" s="562"/>
      <c r="OVE134" s="562"/>
      <c r="OVF134" s="562"/>
      <c r="OVG134" s="562"/>
      <c r="OVH134" s="562"/>
      <c r="OVI134" s="562"/>
      <c r="OVJ134" s="562"/>
      <c r="OVK134" s="562"/>
      <c r="OVL134" s="562"/>
      <c r="OVM134" s="562"/>
      <c r="OVN134" s="562"/>
      <c r="OVO134" s="562"/>
      <c r="OVP134" s="562"/>
      <c r="OVQ134" s="562"/>
      <c r="OVR134" s="562"/>
      <c r="OVS134" s="562"/>
      <c r="OVT134" s="562"/>
      <c r="OVU134" s="562"/>
      <c r="OVV134" s="562"/>
      <c r="OVW134" s="562"/>
      <c r="OVX134" s="562"/>
      <c r="OVY134" s="562"/>
      <c r="OVZ134" s="562"/>
      <c r="OWA134" s="562"/>
      <c r="OWB134" s="562"/>
      <c r="OWC134" s="562"/>
      <c r="OWD134" s="562"/>
      <c r="OWE134" s="562"/>
      <c r="OWF134" s="562"/>
      <c r="OWG134" s="562"/>
      <c r="OWH134" s="562"/>
      <c r="OWI134" s="562"/>
      <c r="OWJ134" s="562"/>
      <c r="OWK134" s="562"/>
      <c r="OWL134" s="562"/>
      <c r="OWM134" s="562"/>
      <c r="OWN134" s="562"/>
      <c r="OWO134" s="562"/>
      <c r="OWP134" s="562"/>
      <c r="OWQ134" s="562"/>
      <c r="OWR134" s="562"/>
      <c r="OWS134" s="562"/>
      <c r="OWT134" s="562"/>
      <c r="OWU134" s="562"/>
      <c r="OWV134" s="562"/>
      <c r="OWW134" s="562"/>
      <c r="OWX134" s="562"/>
      <c r="OWY134" s="562"/>
      <c r="OWZ134" s="562"/>
      <c r="OXA134" s="562"/>
      <c r="OXB134" s="562"/>
      <c r="OXC134" s="562"/>
      <c r="OXD134" s="562"/>
      <c r="OXE134" s="562"/>
      <c r="OXF134" s="562"/>
      <c r="OXG134" s="562"/>
      <c r="OXH134" s="562"/>
      <c r="OXI134" s="562"/>
      <c r="OXJ134" s="562"/>
      <c r="OXK134" s="562"/>
      <c r="OXL134" s="562"/>
      <c r="OXM134" s="562"/>
      <c r="OXN134" s="562"/>
      <c r="OXO134" s="562"/>
      <c r="OXP134" s="562"/>
      <c r="OXQ134" s="562"/>
      <c r="OXR134" s="562"/>
      <c r="OXS134" s="562"/>
      <c r="OXT134" s="562"/>
      <c r="OXU134" s="562"/>
      <c r="OXV134" s="562"/>
      <c r="OXW134" s="562"/>
      <c r="OXX134" s="562"/>
      <c r="OXY134" s="562"/>
      <c r="OXZ134" s="562"/>
      <c r="OYA134" s="562"/>
      <c r="OYB134" s="562"/>
      <c r="OYC134" s="562"/>
      <c r="OYD134" s="562"/>
      <c r="OYE134" s="562"/>
      <c r="OYF134" s="562"/>
      <c r="OYG134" s="562"/>
      <c r="OYH134" s="562"/>
      <c r="OYI134" s="562"/>
      <c r="OYJ134" s="562"/>
      <c r="OYK134" s="562"/>
      <c r="OYL134" s="562"/>
      <c r="OYM134" s="562"/>
      <c r="OYN134" s="562"/>
      <c r="OYO134" s="562"/>
      <c r="OYP134" s="562"/>
      <c r="OYQ134" s="562"/>
      <c r="OYR134" s="562"/>
      <c r="OYS134" s="562"/>
      <c r="OYT134" s="562"/>
      <c r="OYU134" s="562"/>
      <c r="OYV134" s="562"/>
      <c r="OYW134" s="562"/>
      <c r="OYX134" s="562"/>
      <c r="OYY134" s="562"/>
      <c r="OYZ134" s="562"/>
      <c r="OZA134" s="562"/>
      <c r="OZB134" s="562"/>
      <c r="OZC134" s="562"/>
      <c r="OZD134" s="562"/>
      <c r="OZE134" s="562"/>
      <c r="OZF134" s="562"/>
      <c r="OZG134" s="562"/>
      <c r="OZH134" s="562"/>
      <c r="OZI134" s="562"/>
      <c r="OZJ134" s="562"/>
      <c r="OZK134" s="562"/>
      <c r="OZL134" s="562"/>
      <c r="OZM134" s="562"/>
      <c r="OZN134" s="562"/>
      <c r="OZO134" s="562"/>
      <c r="OZP134" s="562"/>
      <c r="OZQ134" s="562"/>
      <c r="OZR134" s="562"/>
      <c r="OZS134" s="562"/>
      <c r="OZT134" s="562"/>
      <c r="OZU134" s="562"/>
      <c r="OZV134" s="562"/>
      <c r="OZW134" s="562"/>
      <c r="OZX134" s="562"/>
      <c r="OZY134" s="562"/>
      <c r="OZZ134" s="562"/>
      <c r="PAA134" s="562"/>
      <c r="PAB134" s="562"/>
      <c r="PAC134" s="562"/>
      <c r="PAD134" s="562"/>
      <c r="PAE134" s="562"/>
      <c r="PAF134" s="562"/>
      <c r="PAG134" s="562"/>
      <c r="PAH134" s="562"/>
      <c r="PAI134" s="562"/>
      <c r="PAJ134" s="562"/>
      <c r="PAK134" s="562"/>
      <c r="PAL134" s="562"/>
      <c r="PAM134" s="562"/>
      <c r="PAN134" s="562"/>
      <c r="PAO134" s="562"/>
      <c r="PAP134" s="562"/>
      <c r="PAQ134" s="562"/>
      <c r="PAR134" s="562"/>
      <c r="PAS134" s="562"/>
      <c r="PAT134" s="562"/>
      <c r="PAU134" s="562"/>
      <c r="PAV134" s="562"/>
      <c r="PAW134" s="562"/>
      <c r="PAX134" s="562"/>
      <c r="PAY134" s="562"/>
      <c r="PAZ134" s="562"/>
      <c r="PBA134" s="562"/>
      <c r="PBB134" s="562"/>
      <c r="PBC134" s="562"/>
      <c r="PBD134" s="562"/>
      <c r="PBE134" s="562"/>
      <c r="PBF134" s="562"/>
      <c r="PBG134" s="562"/>
      <c r="PBH134" s="562"/>
      <c r="PBI134" s="562"/>
      <c r="PBJ134" s="562"/>
      <c r="PBK134" s="562"/>
      <c r="PBL134" s="562"/>
      <c r="PBM134" s="562"/>
      <c r="PBN134" s="562"/>
      <c r="PBO134" s="562"/>
      <c r="PBP134" s="562"/>
      <c r="PBQ134" s="562"/>
      <c r="PBR134" s="562"/>
      <c r="PBS134" s="562"/>
      <c r="PBT134" s="562"/>
      <c r="PBU134" s="562"/>
      <c r="PBV134" s="562"/>
      <c r="PBW134" s="562"/>
      <c r="PBX134" s="562"/>
      <c r="PBY134" s="562"/>
      <c r="PBZ134" s="562"/>
      <c r="PCA134" s="562"/>
      <c r="PCB134" s="562"/>
      <c r="PCC134" s="562"/>
      <c r="PCD134" s="562"/>
      <c r="PCE134" s="562"/>
      <c r="PCF134" s="562"/>
      <c r="PCG134" s="562"/>
      <c r="PCH134" s="562"/>
      <c r="PCI134" s="562"/>
      <c r="PCJ134" s="562"/>
      <c r="PCK134" s="562"/>
      <c r="PCL134" s="562"/>
      <c r="PCM134" s="562"/>
      <c r="PCN134" s="562"/>
      <c r="PCO134" s="562"/>
      <c r="PCP134" s="562"/>
      <c r="PCQ134" s="562"/>
      <c r="PCR134" s="562"/>
      <c r="PCS134" s="562"/>
      <c r="PCT134" s="562"/>
      <c r="PCU134" s="562"/>
      <c r="PCV134" s="562"/>
      <c r="PCW134" s="562"/>
      <c r="PCX134" s="562"/>
      <c r="PCY134" s="562"/>
      <c r="PCZ134" s="562"/>
      <c r="PDA134" s="562"/>
      <c r="PDB134" s="562"/>
      <c r="PDC134" s="562"/>
      <c r="PDD134" s="562"/>
      <c r="PDE134" s="562"/>
      <c r="PDF134" s="562"/>
      <c r="PDG134" s="562"/>
      <c r="PDH134" s="562"/>
      <c r="PDI134" s="562"/>
      <c r="PDJ134" s="562"/>
      <c r="PDK134" s="562"/>
      <c r="PDL134" s="562"/>
      <c r="PDM134" s="562"/>
      <c r="PDN134" s="562"/>
      <c r="PDO134" s="562"/>
      <c r="PDP134" s="562"/>
      <c r="PDQ134" s="562"/>
      <c r="PDR134" s="562"/>
      <c r="PDS134" s="562"/>
      <c r="PDT134" s="562"/>
      <c r="PDU134" s="562"/>
      <c r="PDV134" s="562"/>
      <c r="PDW134" s="562"/>
      <c r="PDX134" s="562"/>
      <c r="PDY134" s="562"/>
      <c r="PDZ134" s="562"/>
      <c r="PEA134" s="562"/>
      <c r="PEB134" s="562"/>
      <c r="PEC134" s="562"/>
      <c r="PED134" s="562"/>
      <c r="PEE134" s="562"/>
      <c r="PEF134" s="562"/>
      <c r="PEG134" s="562"/>
      <c r="PEH134" s="562"/>
      <c r="PEI134" s="562"/>
      <c r="PEJ134" s="562"/>
      <c r="PEK134" s="562"/>
      <c r="PEL134" s="562"/>
      <c r="PEM134" s="562"/>
      <c r="PEN134" s="562"/>
      <c r="PEO134" s="562"/>
      <c r="PEP134" s="562"/>
      <c r="PEQ134" s="562"/>
      <c r="PER134" s="562"/>
      <c r="PES134" s="562"/>
      <c r="PET134" s="562"/>
      <c r="PEU134" s="562"/>
      <c r="PEV134" s="562"/>
      <c r="PEW134" s="562"/>
      <c r="PEX134" s="562"/>
      <c r="PEY134" s="562"/>
      <c r="PEZ134" s="562"/>
      <c r="PFA134" s="562"/>
      <c r="PFB134" s="562"/>
      <c r="PFC134" s="562"/>
      <c r="PFD134" s="562"/>
      <c r="PFE134" s="562"/>
      <c r="PFF134" s="562"/>
      <c r="PFG134" s="562"/>
      <c r="PFH134" s="562"/>
      <c r="PFI134" s="562"/>
      <c r="PFJ134" s="562"/>
      <c r="PFK134" s="562"/>
      <c r="PFL134" s="562"/>
      <c r="PFM134" s="562"/>
      <c r="PFN134" s="562"/>
      <c r="PFO134" s="562"/>
      <c r="PFP134" s="562"/>
      <c r="PFQ134" s="562"/>
      <c r="PFR134" s="562"/>
      <c r="PFS134" s="562"/>
      <c r="PFT134" s="562"/>
      <c r="PFU134" s="562"/>
      <c r="PFV134" s="562"/>
      <c r="PFW134" s="562"/>
      <c r="PFX134" s="562"/>
      <c r="PFY134" s="562"/>
      <c r="PFZ134" s="562"/>
      <c r="PGA134" s="562"/>
      <c r="PGB134" s="562"/>
      <c r="PGC134" s="562"/>
      <c r="PGD134" s="562"/>
      <c r="PGE134" s="562"/>
      <c r="PGF134" s="562"/>
      <c r="PGG134" s="562"/>
      <c r="PGH134" s="562"/>
      <c r="PGI134" s="562"/>
      <c r="PGJ134" s="562"/>
      <c r="PGK134" s="562"/>
      <c r="PGL134" s="562"/>
      <c r="PGM134" s="562"/>
      <c r="PGN134" s="562"/>
      <c r="PGO134" s="562"/>
      <c r="PGP134" s="562"/>
      <c r="PGQ134" s="562"/>
      <c r="PGR134" s="562"/>
      <c r="PGS134" s="562"/>
      <c r="PGT134" s="562"/>
      <c r="PGU134" s="562"/>
      <c r="PGV134" s="562"/>
      <c r="PGW134" s="562"/>
      <c r="PGX134" s="562"/>
      <c r="PGY134" s="562"/>
      <c r="PGZ134" s="562"/>
      <c r="PHA134" s="562"/>
      <c r="PHB134" s="562"/>
      <c r="PHC134" s="562"/>
      <c r="PHD134" s="562"/>
      <c r="PHE134" s="562"/>
      <c r="PHF134" s="562"/>
      <c r="PHG134" s="562"/>
      <c r="PHH134" s="562"/>
      <c r="PHI134" s="562"/>
      <c r="PHJ134" s="562"/>
      <c r="PHK134" s="562"/>
      <c r="PHL134" s="562"/>
      <c r="PHM134" s="562"/>
      <c r="PHN134" s="562"/>
      <c r="PHO134" s="562"/>
      <c r="PHP134" s="562"/>
      <c r="PHQ134" s="562"/>
      <c r="PHR134" s="562"/>
      <c r="PHS134" s="562"/>
      <c r="PHT134" s="562"/>
      <c r="PHU134" s="562"/>
      <c r="PHV134" s="562"/>
      <c r="PHW134" s="562"/>
      <c r="PHX134" s="562"/>
      <c r="PHY134" s="562"/>
      <c r="PHZ134" s="562"/>
      <c r="PIA134" s="562"/>
      <c r="PIB134" s="562"/>
      <c r="PIC134" s="562"/>
      <c r="PID134" s="562"/>
      <c r="PIE134" s="562"/>
      <c r="PIF134" s="562"/>
      <c r="PIG134" s="562"/>
      <c r="PIH134" s="562"/>
      <c r="PII134" s="562"/>
      <c r="PIJ134" s="562"/>
      <c r="PIK134" s="562"/>
      <c r="PIL134" s="562"/>
      <c r="PIM134" s="562"/>
      <c r="PIN134" s="562"/>
      <c r="PIO134" s="562"/>
      <c r="PIP134" s="562"/>
      <c r="PIQ134" s="562"/>
      <c r="PIR134" s="562"/>
      <c r="PIS134" s="562"/>
      <c r="PIT134" s="562"/>
      <c r="PIU134" s="562"/>
      <c r="PIV134" s="562"/>
      <c r="PIW134" s="562"/>
      <c r="PIX134" s="562"/>
      <c r="PIY134" s="562"/>
      <c r="PIZ134" s="562"/>
      <c r="PJA134" s="562"/>
      <c r="PJB134" s="562"/>
      <c r="PJC134" s="562"/>
      <c r="PJD134" s="562"/>
      <c r="PJE134" s="562"/>
      <c r="PJF134" s="562"/>
      <c r="PJG134" s="562"/>
      <c r="PJH134" s="562"/>
      <c r="PJI134" s="562"/>
      <c r="PJJ134" s="562"/>
      <c r="PJK134" s="562"/>
      <c r="PJL134" s="562"/>
      <c r="PJM134" s="562"/>
      <c r="PJN134" s="562"/>
      <c r="PJO134" s="562"/>
      <c r="PJP134" s="562"/>
      <c r="PJQ134" s="562"/>
      <c r="PJR134" s="562"/>
      <c r="PJS134" s="562"/>
      <c r="PJT134" s="562"/>
      <c r="PJU134" s="562"/>
      <c r="PJV134" s="562"/>
      <c r="PJW134" s="562"/>
      <c r="PJX134" s="562"/>
      <c r="PJY134" s="562"/>
      <c r="PJZ134" s="562"/>
      <c r="PKA134" s="562"/>
      <c r="PKB134" s="562"/>
      <c r="PKC134" s="562"/>
      <c r="PKD134" s="562"/>
      <c r="PKE134" s="562"/>
      <c r="PKF134" s="562"/>
      <c r="PKG134" s="562"/>
      <c r="PKH134" s="562"/>
      <c r="PKI134" s="562"/>
      <c r="PKJ134" s="562"/>
      <c r="PKK134" s="562"/>
      <c r="PKL134" s="562"/>
      <c r="PKM134" s="562"/>
      <c r="PKN134" s="562"/>
      <c r="PKO134" s="562"/>
      <c r="PKP134" s="562"/>
      <c r="PKQ134" s="562"/>
      <c r="PKR134" s="562"/>
      <c r="PKS134" s="562"/>
      <c r="PKT134" s="562"/>
      <c r="PKU134" s="562"/>
      <c r="PKV134" s="562"/>
      <c r="PKW134" s="562"/>
      <c r="PKX134" s="562"/>
      <c r="PKY134" s="562"/>
      <c r="PKZ134" s="562"/>
      <c r="PLA134" s="562"/>
      <c r="PLB134" s="562"/>
      <c r="PLC134" s="562"/>
      <c r="PLD134" s="562"/>
      <c r="PLE134" s="562"/>
      <c r="PLF134" s="562"/>
      <c r="PLG134" s="562"/>
      <c r="PLH134" s="562"/>
      <c r="PLI134" s="562"/>
      <c r="PLJ134" s="562"/>
      <c r="PLK134" s="562"/>
      <c r="PLL134" s="562"/>
      <c r="PLM134" s="562"/>
      <c r="PLN134" s="562"/>
      <c r="PLO134" s="562"/>
      <c r="PLP134" s="562"/>
      <c r="PLQ134" s="562"/>
      <c r="PLR134" s="562"/>
      <c r="PLS134" s="562"/>
      <c r="PLT134" s="562"/>
      <c r="PLU134" s="562"/>
      <c r="PLV134" s="562"/>
      <c r="PLW134" s="562"/>
      <c r="PLX134" s="562"/>
      <c r="PLY134" s="562"/>
      <c r="PLZ134" s="562"/>
      <c r="PMA134" s="562"/>
      <c r="PMB134" s="562"/>
      <c r="PMC134" s="562"/>
      <c r="PMD134" s="562"/>
      <c r="PME134" s="562"/>
      <c r="PMF134" s="562"/>
      <c r="PMG134" s="562"/>
      <c r="PMH134" s="562"/>
      <c r="PMI134" s="562"/>
      <c r="PMJ134" s="562"/>
      <c r="PMK134" s="562"/>
      <c r="PML134" s="562"/>
      <c r="PMM134" s="562"/>
      <c r="PMN134" s="562"/>
      <c r="PMO134" s="562"/>
      <c r="PMP134" s="562"/>
      <c r="PMQ134" s="562"/>
      <c r="PMR134" s="562"/>
      <c r="PMS134" s="562"/>
      <c r="PMT134" s="562"/>
      <c r="PMU134" s="562"/>
      <c r="PMV134" s="562"/>
      <c r="PMW134" s="562"/>
      <c r="PMX134" s="562"/>
      <c r="PMY134" s="562"/>
      <c r="PMZ134" s="562"/>
      <c r="PNA134" s="562"/>
      <c r="PNB134" s="562"/>
      <c r="PNC134" s="562"/>
      <c r="PND134" s="562"/>
      <c r="PNE134" s="562"/>
      <c r="PNF134" s="562"/>
      <c r="PNG134" s="562"/>
      <c r="PNH134" s="562"/>
      <c r="PNI134" s="562"/>
      <c r="PNJ134" s="562"/>
      <c r="PNK134" s="562"/>
      <c r="PNL134" s="562"/>
      <c r="PNM134" s="562"/>
      <c r="PNN134" s="562"/>
      <c r="PNO134" s="562"/>
      <c r="PNP134" s="562"/>
      <c r="PNQ134" s="562"/>
      <c r="PNR134" s="562"/>
      <c r="PNS134" s="562"/>
      <c r="PNT134" s="562"/>
      <c r="PNU134" s="562"/>
      <c r="PNV134" s="562"/>
      <c r="PNW134" s="562"/>
      <c r="PNX134" s="562"/>
      <c r="PNY134" s="562"/>
      <c r="PNZ134" s="562"/>
      <c r="POA134" s="562"/>
      <c r="POB134" s="562"/>
      <c r="POC134" s="562"/>
      <c r="POD134" s="562"/>
      <c r="POE134" s="562"/>
      <c r="POF134" s="562"/>
      <c r="POG134" s="562"/>
      <c r="POH134" s="562"/>
      <c r="POI134" s="562"/>
      <c r="POJ134" s="562"/>
      <c r="POK134" s="562"/>
      <c r="POL134" s="562"/>
      <c r="POM134" s="562"/>
      <c r="PON134" s="562"/>
      <c r="POO134" s="562"/>
      <c r="POP134" s="562"/>
      <c r="POQ134" s="562"/>
      <c r="POR134" s="562"/>
      <c r="POS134" s="562"/>
      <c r="POT134" s="562"/>
      <c r="POU134" s="562"/>
      <c r="POV134" s="562"/>
      <c r="POW134" s="562"/>
      <c r="POX134" s="562"/>
      <c r="POY134" s="562"/>
      <c r="POZ134" s="562"/>
      <c r="PPA134" s="562"/>
      <c r="PPB134" s="562"/>
      <c r="PPC134" s="562"/>
      <c r="PPD134" s="562"/>
      <c r="PPE134" s="562"/>
      <c r="PPF134" s="562"/>
      <c r="PPG134" s="562"/>
      <c r="PPH134" s="562"/>
      <c r="PPI134" s="562"/>
      <c r="PPJ134" s="562"/>
      <c r="PPK134" s="562"/>
      <c r="PPL134" s="562"/>
      <c r="PPM134" s="562"/>
      <c r="PPN134" s="562"/>
      <c r="PPO134" s="562"/>
      <c r="PPP134" s="562"/>
      <c r="PPQ134" s="562"/>
      <c r="PPR134" s="562"/>
      <c r="PPS134" s="562"/>
      <c r="PPT134" s="562"/>
      <c r="PPU134" s="562"/>
      <c r="PPV134" s="562"/>
      <c r="PPW134" s="562"/>
      <c r="PPX134" s="562"/>
      <c r="PPY134" s="562"/>
      <c r="PPZ134" s="562"/>
      <c r="PQA134" s="562"/>
      <c r="PQB134" s="562"/>
      <c r="PQC134" s="562"/>
      <c r="PQD134" s="562"/>
      <c r="PQE134" s="562"/>
      <c r="PQF134" s="562"/>
      <c r="PQG134" s="562"/>
      <c r="PQH134" s="562"/>
      <c r="PQI134" s="562"/>
      <c r="PQJ134" s="562"/>
      <c r="PQK134" s="562"/>
      <c r="PQL134" s="562"/>
      <c r="PQM134" s="562"/>
      <c r="PQN134" s="562"/>
      <c r="PQO134" s="562"/>
      <c r="PQP134" s="562"/>
      <c r="PQQ134" s="562"/>
      <c r="PQR134" s="562"/>
      <c r="PQS134" s="562"/>
      <c r="PQT134" s="562"/>
      <c r="PQU134" s="562"/>
      <c r="PQV134" s="562"/>
      <c r="PQW134" s="562"/>
      <c r="PQX134" s="562"/>
      <c r="PQY134" s="562"/>
      <c r="PQZ134" s="562"/>
      <c r="PRA134" s="562"/>
      <c r="PRB134" s="562"/>
      <c r="PRC134" s="562"/>
      <c r="PRD134" s="562"/>
      <c r="PRE134" s="562"/>
      <c r="PRF134" s="562"/>
      <c r="PRG134" s="562"/>
      <c r="PRH134" s="562"/>
      <c r="PRI134" s="562"/>
      <c r="PRJ134" s="562"/>
      <c r="PRK134" s="562"/>
      <c r="PRL134" s="562"/>
      <c r="PRM134" s="562"/>
      <c r="PRN134" s="562"/>
      <c r="PRO134" s="562"/>
      <c r="PRP134" s="562"/>
      <c r="PRQ134" s="562"/>
      <c r="PRR134" s="562"/>
      <c r="PRS134" s="562"/>
      <c r="PRT134" s="562"/>
      <c r="PRU134" s="562"/>
      <c r="PRV134" s="562"/>
      <c r="PRW134" s="562"/>
      <c r="PRX134" s="562"/>
      <c r="PRY134" s="562"/>
      <c r="PRZ134" s="562"/>
      <c r="PSA134" s="562"/>
      <c r="PSB134" s="562"/>
      <c r="PSC134" s="562"/>
      <c r="PSD134" s="562"/>
      <c r="PSE134" s="562"/>
      <c r="PSF134" s="562"/>
      <c r="PSG134" s="562"/>
      <c r="PSH134" s="562"/>
      <c r="PSI134" s="562"/>
      <c r="PSJ134" s="562"/>
      <c r="PSK134" s="562"/>
      <c r="PSL134" s="562"/>
      <c r="PSM134" s="562"/>
      <c r="PSN134" s="562"/>
      <c r="PSO134" s="562"/>
      <c r="PSP134" s="562"/>
      <c r="PSQ134" s="562"/>
      <c r="PSR134" s="562"/>
      <c r="PSS134" s="562"/>
      <c r="PST134" s="562"/>
      <c r="PSU134" s="562"/>
      <c r="PSV134" s="562"/>
      <c r="PSW134" s="562"/>
      <c r="PSX134" s="562"/>
      <c r="PSY134" s="562"/>
      <c r="PSZ134" s="562"/>
      <c r="PTA134" s="562"/>
      <c r="PTB134" s="562"/>
      <c r="PTC134" s="562"/>
      <c r="PTD134" s="562"/>
      <c r="PTE134" s="562"/>
      <c r="PTF134" s="562"/>
      <c r="PTG134" s="562"/>
      <c r="PTH134" s="562"/>
      <c r="PTI134" s="562"/>
      <c r="PTJ134" s="562"/>
      <c r="PTK134" s="562"/>
      <c r="PTL134" s="562"/>
      <c r="PTM134" s="562"/>
      <c r="PTN134" s="562"/>
      <c r="PTO134" s="562"/>
      <c r="PTP134" s="562"/>
      <c r="PTQ134" s="562"/>
      <c r="PTR134" s="562"/>
      <c r="PTS134" s="562"/>
      <c r="PTT134" s="562"/>
      <c r="PTU134" s="562"/>
      <c r="PTV134" s="562"/>
      <c r="PTW134" s="562"/>
      <c r="PTX134" s="562"/>
      <c r="PTY134" s="562"/>
      <c r="PTZ134" s="562"/>
      <c r="PUA134" s="562"/>
      <c r="PUB134" s="562"/>
      <c r="PUC134" s="562"/>
      <c r="PUD134" s="562"/>
      <c r="PUE134" s="562"/>
      <c r="PUF134" s="562"/>
      <c r="PUG134" s="562"/>
      <c r="PUH134" s="562"/>
      <c r="PUI134" s="562"/>
      <c r="PUJ134" s="562"/>
      <c r="PUK134" s="562"/>
      <c r="PUL134" s="562"/>
      <c r="PUM134" s="562"/>
      <c r="PUN134" s="562"/>
      <c r="PUO134" s="562"/>
      <c r="PUP134" s="562"/>
      <c r="PUQ134" s="562"/>
      <c r="PUR134" s="562"/>
      <c r="PUS134" s="562"/>
      <c r="PUT134" s="562"/>
      <c r="PUU134" s="562"/>
      <c r="PUV134" s="562"/>
      <c r="PUW134" s="562"/>
      <c r="PUX134" s="562"/>
      <c r="PUY134" s="562"/>
      <c r="PUZ134" s="562"/>
      <c r="PVA134" s="562"/>
      <c r="PVB134" s="562"/>
      <c r="PVC134" s="562"/>
      <c r="PVD134" s="562"/>
      <c r="PVE134" s="562"/>
      <c r="PVF134" s="562"/>
      <c r="PVG134" s="562"/>
      <c r="PVH134" s="562"/>
      <c r="PVI134" s="562"/>
      <c r="PVJ134" s="562"/>
      <c r="PVK134" s="562"/>
      <c r="PVL134" s="562"/>
      <c r="PVM134" s="562"/>
      <c r="PVN134" s="562"/>
      <c r="PVO134" s="562"/>
      <c r="PVP134" s="562"/>
      <c r="PVQ134" s="562"/>
      <c r="PVR134" s="562"/>
      <c r="PVS134" s="562"/>
      <c r="PVT134" s="562"/>
      <c r="PVU134" s="562"/>
      <c r="PVV134" s="562"/>
      <c r="PVW134" s="562"/>
      <c r="PVX134" s="562"/>
      <c r="PVY134" s="562"/>
      <c r="PVZ134" s="562"/>
      <c r="PWA134" s="562"/>
      <c r="PWB134" s="562"/>
      <c r="PWC134" s="562"/>
      <c r="PWD134" s="562"/>
      <c r="PWE134" s="562"/>
      <c r="PWF134" s="562"/>
      <c r="PWG134" s="562"/>
      <c r="PWH134" s="562"/>
      <c r="PWI134" s="562"/>
      <c r="PWJ134" s="562"/>
      <c r="PWK134" s="562"/>
      <c r="PWL134" s="562"/>
      <c r="PWM134" s="562"/>
      <c r="PWN134" s="562"/>
      <c r="PWO134" s="562"/>
      <c r="PWP134" s="562"/>
      <c r="PWQ134" s="562"/>
      <c r="PWR134" s="562"/>
      <c r="PWS134" s="562"/>
      <c r="PWT134" s="562"/>
      <c r="PWU134" s="562"/>
      <c r="PWV134" s="562"/>
      <c r="PWW134" s="562"/>
      <c r="PWX134" s="562"/>
      <c r="PWY134" s="562"/>
      <c r="PWZ134" s="562"/>
      <c r="PXA134" s="562"/>
      <c r="PXB134" s="562"/>
      <c r="PXC134" s="562"/>
      <c r="PXD134" s="562"/>
      <c r="PXE134" s="562"/>
      <c r="PXF134" s="562"/>
      <c r="PXG134" s="562"/>
      <c r="PXH134" s="562"/>
      <c r="PXI134" s="562"/>
      <c r="PXJ134" s="562"/>
      <c r="PXK134" s="562"/>
      <c r="PXL134" s="562"/>
      <c r="PXM134" s="562"/>
      <c r="PXN134" s="562"/>
      <c r="PXO134" s="562"/>
      <c r="PXP134" s="562"/>
      <c r="PXQ134" s="562"/>
      <c r="PXR134" s="562"/>
      <c r="PXS134" s="562"/>
      <c r="PXT134" s="562"/>
      <c r="PXU134" s="562"/>
      <c r="PXV134" s="562"/>
      <c r="PXW134" s="562"/>
      <c r="PXX134" s="562"/>
      <c r="PXY134" s="562"/>
      <c r="PXZ134" s="562"/>
      <c r="PYA134" s="562"/>
      <c r="PYB134" s="562"/>
      <c r="PYC134" s="562"/>
      <c r="PYD134" s="562"/>
      <c r="PYE134" s="562"/>
      <c r="PYF134" s="562"/>
      <c r="PYG134" s="562"/>
      <c r="PYH134" s="562"/>
      <c r="PYI134" s="562"/>
      <c r="PYJ134" s="562"/>
      <c r="PYK134" s="562"/>
      <c r="PYL134" s="562"/>
      <c r="PYM134" s="562"/>
      <c r="PYN134" s="562"/>
      <c r="PYO134" s="562"/>
      <c r="PYP134" s="562"/>
      <c r="PYQ134" s="562"/>
      <c r="PYR134" s="562"/>
      <c r="PYS134" s="562"/>
      <c r="PYT134" s="562"/>
      <c r="PYU134" s="562"/>
      <c r="PYV134" s="562"/>
      <c r="PYW134" s="562"/>
      <c r="PYX134" s="562"/>
      <c r="PYY134" s="562"/>
      <c r="PYZ134" s="562"/>
      <c r="PZA134" s="562"/>
      <c r="PZB134" s="562"/>
      <c r="PZC134" s="562"/>
      <c r="PZD134" s="562"/>
      <c r="PZE134" s="562"/>
      <c r="PZF134" s="562"/>
      <c r="PZG134" s="562"/>
      <c r="PZH134" s="562"/>
      <c r="PZI134" s="562"/>
      <c r="PZJ134" s="562"/>
      <c r="PZK134" s="562"/>
      <c r="PZL134" s="562"/>
      <c r="PZM134" s="562"/>
      <c r="PZN134" s="562"/>
      <c r="PZO134" s="562"/>
      <c r="PZP134" s="562"/>
      <c r="PZQ134" s="562"/>
      <c r="PZR134" s="562"/>
      <c r="PZS134" s="562"/>
      <c r="PZT134" s="562"/>
      <c r="PZU134" s="562"/>
      <c r="PZV134" s="562"/>
      <c r="PZW134" s="562"/>
      <c r="PZX134" s="562"/>
      <c r="PZY134" s="562"/>
      <c r="PZZ134" s="562"/>
      <c r="QAA134" s="562"/>
      <c r="QAB134" s="562"/>
      <c r="QAC134" s="562"/>
      <c r="QAD134" s="562"/>
      <c r="QAE134" s="562"/>
      <c r="QAF134" s="562"/>
      <c r="QAG134" s="562"/>
      <c r="QAH134" s="562"/>
      <c r="QAI134" s="562"/>
      <c r="QAJ134" s="562"/>
      <c r="QAK134" s="562"/>
      <c r="QAL134" s="562"/>
      <c r="QAM134" s="562"/>
      <c r="QAN134" s="562"/>
      <c r="QAO134" s="562"/>
      <c r="QAP134" s="562"/>
      <c r="QAQ134" s="562"/>
      <c r="QAR134" s="562"/>
      <c r="QAS134" s="562"/>
      <c r="QAT134" s="562"/>
      <c r="QAU134" s="562"/>
      <c r="QAV134" s="562"/>
      <c r="QAW134" s="562"/>
      <c r="QAX134" s="562"/>
      <c r="QAY134" s="562"/>
      <c r="QAZ134" s="562"/>
      <c r="QBA134" s="562"/>
      <c r="QBB134" s="562"/>
      <c r="QBC134" s="562"/>
      <c r="QBD134" s="562"/>
      <c r="QBE134" s="562"/>
      <c r="QBF134" s="562"/>
      <c r="QBG134" s="562"/>
      <c r="QBH134" s="562"/>
      <c r="QBI134" s="562"/>
      <c r="QBJ134" s="562"/>
      <c r="QBK134" s="562"/>
      <c r="QBL134" s="562"/>
      <c r="QBM134" s="562"/>
      <c r="QBN134" s="562"/>
      <c r="QBO134" s="562"/>
      <c r="QBP134" s="562"/>
      <c r="QBQ134" s="562"/>
      <c r="QBR134" s="562"/>
      <c r="QBS134" s="562"/>
      <c r="QBT134" s="562"/>
      <c r="QBU134" s="562"/>
      <c r="QBV134" s="562"/>
      <c r="QBW134" s="562"/>
      <c r="QBX134" s="562"/>
      <c r="QBY134" s="562"/>
      <c r="QBZ134" s="562"/>
      <c r="QCA134" s="562"/>
      <c r="QCB134" s="562"/>
      <c r="QCC134" s="562"/>
      <c r="QCD134" s="562"/>
      <c r="QCE134" s="562"/>
      <c r="QCF134" s="562"/>
      <c r="QCG134" s="562"/>
      <c r="QCH134" s="562"/>
      <c r="QCI134" s="562"/>
      <c r="QCJ134" s="562"/>
      <c r="QCK134" s="562"/>
      <c r="QCL134" s="562"/>
      <c r="QCM134" s="562"/>
      <c r="QCN134" s="562"/>
      <c r="QCO134" s="562"/>
      <c r="QCP134" s="562"/>
      <c r="QCQ134" s="562"/>
      <c r="QCR134" s="562"/>
      <c r="QCS134" s="562"/>
      <c r="QCT134" s="562"/>
      <c r="QCU134" s="562"/>
      <c r="QCV134" s="562"/>
      <c r="QCW134" s="562"/>
      <c r="QCX134" s="562"/>
      <c r="QCY134" s="562"/>
      <c r="QCZ134" s="562"/>
      <c r="QDA134" s="562"/>
      <c r="QDB134" s="562"/>
      <c r="QDC134" s="562"/>
      <c r="QDD134" s="562"/>
      <c r="QDE134" s="562"/>
      <c r="QDF134" s="562"/>
      <c r="QDG134" s="562"/>
      <c r="QDH134" s="562"/>
      <c r="QDI134" s="562"/>
      <c r="QDJ134" s="562"/>
      <c r="QDK134" s="562"/>
      <c r="QDL134" s="562"/>
      <c r="QDM134" s="562"/>
      <c r="QDN134" s="562"/>
      <c r="QDO134" s="562"/>
      <c r="QDP134" s="562"/>
      <c r="QDQ134" s="562"/>
      <c r="QDR134" s="562"/>
      <c r="QDS134" s="562"/>
      <c r="QDT134" s="562"/>
      <c r="QDU134" s="562"/>
      <c r="QDV134" s="562"/>
      <c r="QDW134" s="562"/>
      <c r="QDX134" s="562"/>
      <c r="QDY134" s="562"/>
      <c r="QDZ134" s="562"/>
      <c r="QEA134" s="562"/>
      <c r="QEB134" s="562"/>
      <c r="QEC134" s="562"/>
      <c r="QED134" s="562"/>
      <c r="QEE134" s="562"/>
      <c r="QEF134" s="562"/>
      <c r="QEG134" s="562"/>
      <c r="QEH134" s="562"/>
      <c r="QEI134" s="562"/>
      <c r="QEJ134" s="562"/>
      <c r="QEK134" s="562"/>
      <c r="QEL134" s="562"/>
      <c r="QEM134" s="562"/>
      <c r="QEN134" s="562"/>
      <c r="QEO134" s="562"/>
      <c r="QEP134" s="562"/>
      <c r="QEQ134" s="562"/>
      <c r="QER134" s="562"/>
      <c r="QES134" s="562"/>
      <c r="QET134" s="562"/>
      <c r="QEU134" s="562"/>
      <c r="QEV134" s="562"/>
      <c r="QEW134" s="562"/>
      <c r="QEX134" s="562"/>
      <c r="QEY134" s="562"/>
      <c r="QEZ134" s="562"/>
      <c r="QFA134" s="562"/>
      <c r="QFB134" s="562"/>
      <c r="QFC134" s="562"/>
      <c r="QFD134" s="562"/>
      <c r="QFE134" s="562"/>
      <c r="QFF134" s="562"/>
      <c r="QFG134" s="562"/>
      <c r="QFH134" s="562"/>
      <c r="QFI134" s="562"/>
      <c r="QFJ134" s="562"/>
      <c r="QFK134" s="562"/>
      <c r="QFL134" s="562"/>
      <c r="QFM134" s="562"/>
      <c r="QFN134" s="562"/>
      <c r="QFO134" s="562"/>
      <c r="QFP134" s="562"/>
      <c r="QFQ134" s="562"/>
      <c r="QFR134" s="562"/>
      <c r="QFS134" s="562"/>
      <c r="QFT134" s="562"/>
      <c r="QFU134" s="562"/>
      <c r="QFV134" s="562"/>
      <c r="QFW134" s="562"/>
      <c r="QFX134" s="562"/>
      <c r="QFY134" s="562"/>
      <c r="QFZ134" s="562"/>
      <c r="QGA134" s="562"/>
      <c r="QGB134" s="562"/>
      <c r="QGC134" s="562"/>
      <c r="QGD134" s="562"/>
      <c r="QGE134" s="562"/>
      <c r="QGF134" s="562"/>
      <c r="QGG134" s="562"/>
      <c r="QGH134" s="562"/>
      <c r="QGI134" s="562"/>
      <c r="QGJ134" s="562"/>
      <c r="QGK134" s="562"/>
      <c r="QGL134" s="562"/>
      <c r="QGM134" s="562"/>
      <c r="QGN134" s="562"/>
      <c r="QGO134" s="562"/>
      <c r="QGP134" s="562"/>
      <c r="QGQ134" s="562"/>
      <c r="QGR134" s="562"/>
      <c r="QGS134" s="562"/>
      <c r="QGT134" s="562"/>
      <c r="QGU134" s="562"/>
      <c r="QGV134" s="562"/>
      <c r="QGW134" s="562"/>
      <c r="QGX134" s="562"/>
      <c r="QGY134" s="562"/>
      <c r="QGZ134" s="562"/>
      <c r="QHA134" s="562"/>
      <c r="QHB134" s="562"/>
      <c r="QHC134" s="562"/>
      <c r="QHD134" s="562"/>
      <c r="QHE134" s="562"/>
      <c r="QHF134" s="562"/>
      <c r="QHG134" s="562"/>
      <c r="QHH134" s="562"/>
      <c r="QHI134" s="562"/>
      <c r="QHJ134" s="562"/>
      <c r="QHK134" s="562"/>
      <c r="QHL134" s="562"/>
      <c r="QHM134" s="562"/>
      <c r="QHN134" s="562"/>
      <c r="QHO134" s="562"/>
      <c r="QHP134" s="562"/>
      <c r="QHQ134" s="562"/>
      <c r="QHR134" s="562"/>
      <c r="QHS134" s="562"/>
      <c r="QHT134" s="562"/>
      <c r="QHU134" s="562"/>
      <c r="QHV134" s="562"/>
      <c r="QHW134" s="562"/>
      <c r="QHX134" s="562"/>
      <c r="QHY134" s="562"/>
      <c r="QHZ134" s="562"/>
      <c r="QIA134" s="562"/>
      <c r="QIB134" s="562"/>
      <c r="QIC134" s="562"/>
      <c r="QID134" s="562"/>
      <c r="QIE134" s="562"/>
      <c r="QIF134" s="562"/>
      <c r="QIG134" s="562"/>
      <c r="QIH134" s="562"/>
      <c r="QII134" s="562"/>
      <c r="QIJ134" s="562"/>
      <c r="QIK134" s="562"/>
      <c r="QIL134" s="562"/>
      <c r="QIM134" s="562"/>
      <c r="QIN134" s="562"/>
      <c r="QIO134" s="562"/>
      <c r="QIP134" s="562"/>
      <c r="QIQ134" s="562"/>
      <c r="QIR134" s="562"/>
      <c r="QIS134" s="562"/>
      <c r="QIT134" s="562"/>
      <c r="QIU134" s="562"/>
      <c r="QIV134" s="562"/>
      <c r="QIW134" s="562"/>
      <c r="QIX134" s="562"/>
      <c r="QIY134" s="562"/>
      <c r="QIZ134" s="562"/>
      <c r="QJA134" s="562"/>
      <c r="QJB134" s="562"/>
      <c r="QJC134" s="562"/>
      <c r="QJD134" s="562"/>
      <c r="QJE134" s="562"/>
      <c r="QJF134" s="562"/>
      <c r="QJG134" s="562"/>
      <c r="QJH134" s="562"/>
      <c r="QJI134" s="562"/>
      <c r="QJJ134" s="562"/>
      <c r="QJK134" s="562"/>
      <c r="QJL134" s="562"/>
      <c r="QJM134" s="562"/>
      <c r="QJN134" s="562"/>
      <c r="QJO134" s="562"/>
      <c r="QJP134" s="562"/>
      <c r="QJQ134" s="562"/>
      <c r="QJR134" s="562"/>
      <c r="QJS134" s="562"/>
      <c r="QJT134" s="562"/>
      <c r="QJU134" s="562"/>
      <c r="QJV134" s="562"/>
      <c r="QJW134" s="562"/>
      <c r="QJX134" s="562"/>
      <c r="QJY134" s="562"/>
      <c r="QJZ134" s="562"/>
      <c r="QKA134" s="562"/>
      <c r="QKB134" s="562"/>
      <c r="QKC134" s="562"/>
      <c r="QKD134" s="562"/>
      <c r="QKE134" s="562"/>
      <c r="QKF134" s="562"/>
      <c r="QKG134" s="562"/>
      <c r="QKH134" s="562"/>
      <c r="QKI134" s="562"/>
      <c r="QKJ134" s="562"/>
      <c r="QKK134" s="562"/>
      <c r="QKL134" s="562"/>
      <c r="QKM134" s="562"/>
      <c r="QKN134" s="562"/>
      <c r="QKO134" s="562"/>
      <c r="QKP134" s="562"/>
      <c r="QKQ134" s="562"/>
      <c r="QKR134" s="562"/>
      <c r="QKS134" s="562"/>
      <c r="QKT134" s="562"/>
      <c r="QKU134" s="562"/>
      <c r="QKV134" s="562"/>
      <c r="QKW134" s="562"/>
      <c r="QKX134" s="562"/>
      <c r="QKY134" s="562"/>
      <c r="QKZ134" s="562"/>
      <c r="QLA134" s="562"/>
      <c r="QLB134" s="562"/>
      <c r="QLC134" s="562"/>
      <c r="QLD134" s="562"/>
      <c r="QLE134" s="562"/>
      <c r="QLF134" s="562"/>
      <c r="QLG134" s="562"/>
      <c r="QLH134" s="562"/>
      <c r="QLI134" s="562"/>
      <c r="QLJ134" s="562"/>
      <c r="QLK134" s="562"/>
      <c r="QLL134" s="562"/>
      <c r="QLM134" s="562"/>
      <c r="QLN134" s="562"/>
      <c r="QLO134" s="562"/>
      <c r="QLP134" s="562"/>
      <c r="QLQ134" s="562"/>
      <c r="QLR134" s="562"/>
      <c r="QLS134" s="562"/>
      <c r="QLT134" s="562"/>
      <c r="QLU134" s="562"/>
      <c r="QLV134" s="562"/>
      <c r="QLW134" s="562"/>
      <c r="QLX134" s="562"/>
      <c r="QLY134" s="562"/>
      <c r="QLZ134" s="562"/>
      <c r="QMA134" s="562"/>
      <c r="QMB134" s="562"/>
      <c r="QMC134" s="562"/>
      <c r="QMD134" s="562"/>
      <c r="QME134" s="562"/>
      <c r="QMF134" s="562"/>
      <c r="QMG134" s="562"/>
      <c r="QMH134" s="562"/>
      <c r="QMI134" s="562"/>
      <c r="QMJ134" s="562"/>
      <c r="QMK134" s="562"/>
      <c r="QML134" s="562"/>
      <c r="QMM134" s="562"/>
      <c r="QMN134" s="562"/>
      <c r="QMO134" s="562"/>
      <c r="QMP134" s="562"/>
      <c r="QMQ134" s="562"/>
      <c r="QMR134" s="562"/>
      <c r="QMS134" s="562"/>
      <c r="QMT134" s="562"/>
      <c r="QMU134" s="562"/>
      <c r="QMV134" s="562"/>
      <c r="QMW134" s="562"/>
      <c r="QMX134" s="562"/>
      <c r="QMY134" s="562"/>
      <c r="QMZ134" s="562"/>
      <c r="QNA134" s="562"/>
      <c r="QNB134" s="562"/>
      <c r="QNC134" s="562"/>
      <c r="QND134" s="562"/>
      <c r="QNE134" s="562"/>
      <c r="QNF134" s="562"/>
      <c r="QNG134" s="562"/>
      <c r="QNH134" s="562"/>
      <c r="QNI134" s="562"/>
      <c r="QNJ134" s="562"/>
      <c r="QNK134" s="562"/>
      <c r="QNL134" s="562"/>
      <c r="QNM134" s="562"/>
      <c r="QNN134" s="562"/>
      <c r="QNO134" s="562"/>
      <c r="QNP134" s="562"/>
      <c r="QNQ134" s="562"/>
      <c r="QNR134" s="562"/>
      <c r="QNS134" s="562"/>
      <c r="QNT134" s="562"/>
      <c r="QNU134" s="562"/>
      <c r="QNV134" s="562"/>
      <c r="QNW134" s="562"/>
      <c r="QNX134" s="562"/>
      <c r="QNY134" s="562"/>
      <c r="QNZ134" s="562"/>
      <c r="QOA134" s="562"/>
      <c r="QOB134" s="562"/>
      <c r="QOC134" s="562"/>
      <c r="QOD134" s="562"/>
      <c r="QOE134" s="562"/>
      <c r="QOF134" s="562"/>
      <c r="QOG134" s="562"/>
      <c r="QOH134" s="562"/>
      <c r="QOI134" s="562"/>
      <c r="QOJ134" s="562"/>
      <c r="QOK134" s="562"/>
      <c r="QOL134" s="562"/>
      <c r="QOM134" s="562"/>
      <c r="QON134" s="562"/>
      <c r="QOO134" s="562"/>
      <c r="QOP134" s="562"/>
      <c r="QOQ134" s="562"/>
      <c r="QOR134" s="562"/>
      <c r="QOS134" s="562"/>
      <c r="QOT134" s="562"/>
      <c r="QOU134" s="562"/>
      <c r="QOV134" s="562"/>
      <c r="QOW134" s="562"/>
      <c r="QOX134" s="562"/>
      <c r="QOY134" s="562"/>
      <c r="QOZ134" s="562"/>
      <c r="QPA134" s="562"/>
      <c r="QPB134" s="562"/>
      <c r="QPC134" s="562"/>
      <c r="QPD134" s="562"/>
      <c r="QPE134" s="562"/>
      <c r="QPF134" s="562"/>
      <c r="QPG134" s="562"/>
      <c r="QPH134" s="562"/>
      <c r="QPI134" s="562"/>
      <c r="QPJ134" s="562"/>
      <c r="QPK134" s="562"/>
      <c r="QPL134" s="562"/>
      <c r="QPM134" s="562"/>
      <c r="QPN134" s="562"/>
      <c r="QPO134" s="562"/>
      <c r="QPP134" s="562"/>
      <c r="QPQ134" s="562"/>
      <c r="QPR134" s="562"/>
      <c r="QPS134" s="562"/>
      <c r="QPT134" s="562"/>
      <c r="QPU134" s="562"/>
      <c r="QPV134" s="562"/>
      <c r="QPW134" s="562"/>
      <c r="QPX134" s="562"/>
      <c r="QPY134" s="562"/>
      <c r="QPZ134" s="562"/>
      <c r="QQA134" s="562"/>
      <c r="QQB134" s="562"/>
      <c r="QQC134" s="562"/>
      <c r="QQD134" s="562"/>
      <c r="QQE134" s="562"/>
      <c r="QQF134" s="562"/>
      <c r="QQG134" s="562"/>
      <c r="QQH134" s="562"/>
      <c r="QQI134" s="562"/>
      <c r="QQJ134" s="562"/>
      <c r="QQK134" s="562"/>
      <c r="QQL134" s="562"/>
      <c r="QQM134" s="562"/>
      <c r="QQN134" s="562"/>
      <c r="QQO134" s="562"/>
      <c r="QQP134" s="562"/>
      <c r="QQQ134" s="562"/>
      <c r="QQR134" s="562"/>
      <c r="QQS134" s="562"/>
      <c r="QQT134" s="562"/>
      <c r="QQU134" s="562"/>
      <c r="QQV134" s="562"/>
      <c r="QQW134" s="562"/>
      <c r="QQX134" s="562"/>
      <c r="QQY134" s="562"/>
      <c r="QQZ134" s="562"/>
      <c r="QRA134" s="562"/>
      <c r="QRB134" s="562"/>
      <c r="QRC134" s="562"/>
      <c r="QRD134" s="562"/>
      <c r="QRE134" s="562"/>
      <c r="QRF134" s="562"/>
      <c r="QRG134" s="562"/>
      <c r="QRH134" s="562"/>
      <c r="QRI134" s="562"/>
      <c r="QRJ134" s="562"/>
      <c r="QRK134" s="562"/>
      <c r="QRL134" s="562"/>
      <c r="QRM134" s="562"/>
      <c r="QRN134" s="562"/>
      <c r="QRO134" s="562"/>
      <c r="QRP134" s="562"/>
      <c r="QRQ134" s="562"/>
      <c r="QRR134" s="562"/>
      <c r="QRS134" s="562"/>
      <c r="QRT134" s="562"/>
      <c r="QRU134" s="562"/>
      <c r="QRV134" s="562"/>
      <c r="QRW134" s="562"/>
      <c r="QRX134" s="562"/>
      <c r="QRY134" s="562"/>
      <c r="QRZ134" s="562"/>
      <c r="QSA134" s="562"/>
      <c r="QSB134" s="562"/>
      <c r="QSC134" s="562"/>
      <c r="QSD134" s="562"/>
      <c r="QSE134" s="562"/>
      <c r="QSF134" s="562"/>
      <c r="QSG134" s="562"/>
      <c r="QSH134" s="562"/>
      <c r="QSI134" s="562"/>
      <c r="QSJ134" s="562"/>
      <c r="QSK134" s="562"/>
      <c r="QSL134" s="562"/>
      <c r="QSM134" s="562"/>
      <c r="QSN134" s="562"/>
      <c r="QSO134" s="562"/>
      <c r="QSP134" s="562"/>
      <c r="QSQ134" s="562"/>
      <c r="QSR134" s="562"/>
      <c r="QSS134" s="562"/>
      <c r="QST134" s="562"/>
      <c r="QSU134" s="562"/>
      <c r="QSV134" s="562"/>
      <c r="QSW134" s="562"/>
      <c r="QSX134" s="562"/>
      <c r="QSY134" s="562"/>
      <c r="QSZ134" s="562"/>
      <c r="QTA134" s="562"/>
      <c r="QTB134" s="562"/>
      <c r="QTC134" s="562"/>
      <c r="QTD134" s="562"/>
      <c r="QTE134" s="562"/>
      <c r="QTF134" s="562"/>
      <c r="QTG134" s="562"/>
      <c r="QTH134" s="562"/>
      <c r="QTI134" s="562"/>
      <c r="QTJ134" s="562"/>
      <c r="QTK134" s="562"/>
      <c r="QTL134" s="562"/>
      <c r="QTM134" s="562"/>
      <c r="QTN134" s="562"/>
      <c r="QTO134" s="562"/>
      <c r="QTP134" s="562"/>
      <c r="QTQ134" s="562"/>
      <c r="QTR134" s="562"/>
      <c r="QTS134" s="562"/>
      <c r="QTT134" s="562"/>
      <c r="QTU134" s="562"/>
      <c r="QTV134" s="562"/>
      <c r="QTW134" s="562"/>
      <c r="QTX134" s="562"/>
      <c r="QTY134" s="562"/>
      <c r="QTZ134" s="562"/>
      <c r="QUA134" s="562"/>
      <c r="QUB134" s="562"/>
      <c r="QUC134" s="562"/>
      <c r="QUD134" s="562"/>
      <c r="QUE134" s="562"/>
      <c r="QUF134" s="562"/>
      <c r="QUG134" s="562"/>
      <c r="QUH134" s="562"/>
      <c r="QUI134" s="562"/>
      <c r="QUJ134" s="562"/>
      <c r="QUK134" s="562"/>
      <c r="QUL134" s="562"/>
      <c r="QUM134" s="562"/>
      <c r="QUN134" s="562"/>
      <c r="QUO134" s="562"/>
      <c r="QUP134" s="562"/>
      <c r="QUQ134" s="562"/>
      <c r="QUR134" s="562"/>
      <c r="QUS134" s="562"/>
      <c r="QUT134" s="562"/>
      <c r="QUU134" s="562"/>
      <c r="QUV134" s="562"/>
      <c r="QUW134" s="562"/>
      <c r="QUX134" s="562"/>
      <c r="QUY134" s="562"/>
      <c r="QUZ134" s="562"/>
      <c r="QVA134" s="562"/>
      <c r="QVB134" s="562"/>
      <c r="QVC134" s="562"/>
      <c r="QVD134" s="562"/>
      <c r="QVE134" s="562"/>
      <c r="QVF134" s="562"/>
      <c r="QVG134" s="562"/>
      <c r="QVH134" s="562"/>
      <c r="QVI134" s="562"/>
      <c r="QVJ134" s="562"/>
      <c r="QVK134" s="562"/>
      <c r="QVL134" s="562"/>
      <c r="QVM134" s="562"/>
      <c r="QVN134" s="562"/>
      <c r="QVO134" s="562"/>
      <c r="QVP134" s="562"/>
      <c r="QVQ134" s="562"/>
      <c r="QVR134" s="562"/>
      <c r="QVS134" s="562"/>
      <c r="QVT134" s="562"/>
      <c r="QVU134" s="562"/>
      <c r="QVV134" s="562"/>
      <c r="QVW134" s="562"/>
      <c r="QVX134" s="562"/>
      <c r="QVY134" s="562"/>
      <c r="QVZ134" s="562"/>
      <c r="QWA134" s="562"/>
      <c r="QWB134" s="562"/>
      <c r="QWC134" s="562"/>
      <c r="QWD134" s="562"/>
      <c r="QWE134" s="562"/>
      <c r="QWF134" s="562"/>
      <c r="QWG134" s="562"/>
      <c r="QWH134" s="562"/>
      <c r="QWI134" s="562"/>
      <c r="QWJ134" s="562"/>
      <c r="QWK134" s="562"/>
      <c r="QWL134" s="562"/>
      <c r="QWM134" s="562"/>
      <c r="QWN134" s="562"/>
      <c r="QWO134" s="562"/>
      <c r="QWP134" s="562"/>
      <c r="QWQ134" s="562"/>
      <c r="QWR134" s="562"/>
      <c r="QWS134" s="562"/>
      <c r="QWT134" s="562"/>
      <c r="QWU134" s="562"/>
      <c r="QWV134" s="562"/>
      <c r="QWW134" s="562"/>
      <c r="QWX134" s="562"/>
      <c r="QWY134" s="562"/>
      <c r="QWZ134" s="562"/>
      <c r="QXA134" s="562"/>
      <c r="QXB134" s="562"/>
      <c r="QXC134" s="562"/>
      <c r="QXD134" s="562"/>
      <c r="QXE134" s="562"/>
      <c r="QXF134" s="562"/>
      <c r="QXG134" s="562"/>
      <c r="QXH134" s="562"/>
      <c r="QXI134" s="562"/>
      <c r="QXJ134" s="562"/>
      <c r="QXK134" s="562"/>
      <c r="QXL134" s="562"/>
      <c r="QXM134" s="562"/>
      <c r="QXN134" s="562"/>
      <c r="QXO134" s="562"/>
      <c r="QXP134" s="562"/>
      <c r="QXQ134" s="562"/>
      <c r="QXR134" s="562"/>
      <c r="QXS134" s="562"/>
      <c r="QXT134" s="562"/>
      <c r="QXU134" s="562"/>
      <c r="QXV134" s="562"/>
      <c r="QXW134" s="562"/>
      <c r="QXX134" s="562"/>
      <c r="QXY134" s="562"/>
      <c r="QXZ134" s="562"/>
      <c r="QYA134" s="562"/>
      <c r="QYB134" s="562"/>
      <c r="QYC134" s="562"/>
      <c r="QYD134" s="562"/>
      <c r="QYE134" s="562"/>
      <c r="QYF134" s="562"/>
      <c r="QYG134" s="562"/>
      <c r="QYH134" s="562"/>
      <c r="QYI134" s="562"/>
      <c r="QYJ134" s="562"/>
      <c r="QYK134" s="562"/>
      <c r="QYL134" s="562"/>
      <c r="QYM134" s="562"/>
      <c r="QYN134" s="562"/>
      <c r="QYO134" s="562"/>
      <c r="QYP134" s="562"/>
      <c r="QYQ134" s="562"/>
      <c r="QYR134" s="562"/>
      <c r="QYS134" s="562"/>
      <c r="QYT134" s="562"/>
      <c r="QYU134" s="562"/>
      <c r="QYV134" s="562"/>
      <c r="QYW134" s="562"/>
      <c r="QYX134" s="562"/>
      <c r="QYY134" s="562"/>
      <c r="QYZ134" s="562"/>
      <c r="QZA134" s="562"/>
      <c r="QZB134" s="562"/>
      <c r="QZC134" s="562"/>
      <c r="QZD134" s="562"/>
      <c r="QZE134" s="562"/>
      <c r="QZF134" s="562"/>
      <c r="QZG134" s="562"/>
      <c r="QZH134" s="562"/>
      <c r="QZI134" s="562"/>
      <c r="QZJ134" s="562"/>
      <c r="QZK134" s="562"/>
      <c r="QZL134" s="562"/>
      <c r="QZM134" s="562"/>
      <c r="QZN134" s="562"/>
      <c r="QZO134" s="562"/>
      <c r="QZP134" s="562"/>
      <c r="QZQ134" s="562"/>
      <c r="QZR134" s="562"/>
      <c r="QZS134" s="562"/>
      <c r="QZT134" s="562"/>
      <c r="QZU134" s="562"/>
      <c r="QZV134" s="562"/>
      <c r="QZW134" s="562"/>
      <c r="QZX134" s="562"/>
      <c r="QZY134" s="562"/>
      <c r="QZZ134" s="562"/>
      <c r="RAA134" s="562"/>
      <c r="RAB134" s="562"/>
      <c r="RAC134" s="562"/>
      <c r="RAD134" s="562"/>
      <c r="RAE134" s="562"/>
      <c r="RAF134" s="562"/>
      <c r="RAG134" s="562"/>
      <c r="RAH134" s="562"/>
      <c r="RAI134" s="562"/>
      <c r="RAJ134" s="562"/>
      <c r="RAK134" s="562"/>
      <c r="RAL134" s="562"/>
      <c r="RAM134" s="562"/>
      <c r="RAN134" s="562"/>
      <c r="RAO134" s="562"/>
      <c r="RAP134" s="562"/>
      <c r="RAQ134" s="562"/>
      <c r="RAR134" s="562"/>
      <c r="RAS134" s="562"/>
      <c r="RAT134" s="562"/>
      <c r="RAU134" s="562"/>
      <c r="RAV134" s="562"/>
      <c r="RAW134" s="562"/>
      <c r="RAX134" s="562"/>
      <c r="RAY134" s="562"/>
      <c r="RAZ134" s="562"/>
      <c r="RBA134" s="562"/>
      <c r="RBB134" s="562"/>
      <c r="RBC134" s="562"/>
      <c r="RBD134" s="562"/>
      <c r="RBE134" s="562"/>
      <c r="RBF134" s="562"/>
      <c r="RBG134" s="562"/>
      <c r="RBH134" s="562"/>
      <c r="RBI134" s="562"/>
      <c r="RBJ134" s="562"/>
      <c r="RBK134" s="562"/>
      <c r="RBL134" s="562"/>
      <c r="RBM134" s="562"/>
      <c r="RBN134" s="562"/>
      <c r="RBO134" s="562"/>
      <c r="RBP134" s="562"/>
      <c r="RBQ134" s="562"/>
      <c r="RBR134" s="562"/>
      <c r="RBS134" s="562"/>
      <c r="RBT134" s="562"/>
      <c r="RBU134" s="562"/>
      <c r="RBV134" s="562"/>
      <c r="RBW134" s="562"/>
      <c r="RBX134" s="562"/>
      <c r="RBY134" s="562"/>
      <c r="RBZ134" s="562"/>
      <c r="RCA134" s="562"/>
      <c r="RCB134" s="562"/>
      <c r="RCC134" s="562"/>
      <c r="RCD134" s="562"/>
      <c r="RCE134" s="562"/>
      <c r="RCF134" s="562"/>
      <c r="RCG134" s="562"/>
      <c r="RCH134" s="562"/>
      <c r="RCI134" s="562"/>
      <c r="RCJ134" s="562"/>
      <c r="RCK134" s="562"/>
      <c r="RCL134" s="562"/>
      <c r="RCM134" s="562"/>
      <c r="RCN134" s="562"/>
      <c r="RCO134" s="562"/>
      <c r="RCP134" s="562"/>
      <c r="RCQ134" s="562"/>
      <c r="RCR134" s="562"/>
      <c r="RCS134" s="562"/>
      <c r="RCT134" s="562"/>
      <c r="RCU134" s="562"/>
      <c r="RCV134" s="562"/>
      <c r="RCW134" s="562"/>
      <c r="RCX134" s="562"/>
      <c r="RCY134" s="562"/>
      <c r="RCZ134" s="562"/>
      <c r="RDA134" s="562"/>
      <c r="RDB134" s="562"/>
      <c r="RDC134" s="562"/>
      <c r="RDD134" s="562"/>
      <c r="RDE134" s="562"/>
      <c r="RDF134" s="562"/>
      <c r="RDG134" s="562"/>
      <c r="RDH134" s="562"/>
      <c r="RDI134" s="562"/>
      <c r="RDJ134" s="562"/>
      <c r="RDK134" s="562"/>
      <c r="RDL134" s="562"/>
      <c r="RDM134" s="562"/>
      <c r="RDN134" s="562"/>
      <c r="RDO134" s="562"/>
      <c r="RDP134" s="562"/>
      <c r="RDQ134" s="562"/>
      <c r="RDR134" s="562"/>
      <c r="RDS134" s="562"/>
      <c r="RDT134" s="562"/>
      <c r="RDU134" s="562"/>
      <c r="RDV134" s="562"/>
      <c r="RDW134" s="562"/>
      <c r="RDX134" s="562"/>
      <c r="RDY134" s="562"/>
      <c r="RDZ134" s="562"/>
      <c r="REA134" s="562"/>
      <c r="REB134" s="562"/>
      <c r="REC134" s="562"/>
      <c r="RED134" s="562"/>
      <c r="REE134" s="562"/>
      <c r="REF134" s="562"/>
      <c r="REG134" s="562"/>
      <c r="REH134" s="562"/>
      <c r="REI134" s="562"/>
      <c r="REJ134" s="562"/>
      <c r="REK134" s="562"/>
      <c r="REL134" s="562"/>
      <c r="REM134" s="562"/>
      <c r="REN134" s="562"/>
      <c r="REO134" s="562"/>
      <c r="REP134" s="562"/>
      <c r="REQ134" s="562"/>
      <c r="RER134" s="562"/>
      <c r="RES134" s="562"/>
      <c r="RET134" s="562"/>
      <c r="REU134" s="562"/>
      <c r="REV134" s="562"/>
      <c r="REW134" s="562"/>
      <c r="REX134" s="562"/>
      <c r="REY134" s="562"/>
      <c r="REZ134" s="562"/>
      <c r="RFA134" s="562"/>
      <c r="RFB134" s="562"/>
      <c r="RFC134" s="562"/>
      <c r="RFD134" s="562"/>
      <c r="RFE134" s="562"/>
      <c r="RFF134" s="562"/>
      <c r="RFG134" s="562"/>
      <c r="RFH134" s="562"/>
      <c r="RFI134" s="562"/>
      <c r="RFJ134" s="562"/>
      <c r="RFK134" s="562"/>
      <c r="RFL134" s="562"/>
      <c r="RFM134" s="562"/>
      <c r="RFN134" s="562"/>
      <c r="RFO134" s="562"/>
      <c r="RFP134" s="562"/>
      <c r="RFQ134" s="562"/>
      <c r="RFR134" s="562"/>
      <c r="RFS134" s="562"/>
      <c r="RFT134" s="562"/>
      <c r="RFU134" s="562"/>
      <c r="RFV134" s="562"/>
      <c r="RFW134" s="562"/>
      <c r="RFX134" s="562"/>
      <c r="RFY134" s="562"/>
      <c r="RFZ134" s="562"/>
      <c r="RGA134" s="562"/>
      <c r="RGB134" s="562"/>
      <c r="RGC134" s="562"/>
      <c r="RGD134" s="562"/>
      <c r="RGE134" s="562"/>
      <c r="RGF134" s="562"/>
      <c r="RGG134" s="562"/>
      <c r="RGH134" s="562"/>
      <c r="RGI134" s="562"/>
      <c r="RGJ134" s="562"/>
      <c r="RGK134" s="562"/>
      <c r="RGL134" s="562"/>
      <c r="RGM134" s="562"/>
      <c r="RGN134" s="562"/>
      <c r="RGO134" s="562"/>
      <c r="RGP134" s="562"/>
      <c r="RGQ134" s="562"/>
      <c r="RGR134" s="562"/>
      <c r="RGS134" s="562"/>
      <c r="RGT134" s="562"/>
      <c r="RGU134" s="562"/>
      <c r="RGV134" s="562"/>
      <c r="RGW134" s="562"/>
      <c r="RGX134" s="562"/>
      <c r="RGY134" s="562"/>
      <c r="RGZ134" s="562"/>
      <c r="RHA134" s="562"/>
      <c r="RHB134" s="562"/>
      <c r="RHC134" s="562"/>
      <c r="RHD134" s="562"/>
      <c r="RHE134" s="562"/>
      <c r="RHF134" s="562"/>
      <c r="RHG134" s="562"/>
      <c r="RHH134" s="562"/>
      <c r="RHI134" s="562"/>
      <c r="RHJ134" s="562"/>
      <c r="RHK134" s="562"/>
      <c r="RHL134" s="562"/>
      <c r="RHM134" s="562"/>
      <c r="RHN134" s="562"/>
      <c r="RHO134" s="562"/>
      <c r="RHP134" s="562"/>
      <c r="RHQ134" s="562"/>
      <c r="RHR134" s="562"/>
      <c r="RHS134" s="562"/>
      <c r="RHT134" s="562"/>
      <c r="RHU134" s="562"/>
      <c r="RHV134" s="562"/>
      <c r="RHW134" s="562"/>
      <c r="RHX134" s="562"/>
      <c r="RHY134" s="562"/>
      <c r="RHZ134" s="562"/>
      <c r="RIA134" s="562"/>
      <c r="RIB134" s="562"/>
      <c r="RIC134" s="562"/>
      <c r="RID134" s="562"/>
      <c r="RIE134" s="562"/>
      <c r="RIF134" s="562"/>
      <c r="RIG134" s="562"/>
      <c r="RIH134" s="562"/>
      <c r="RII134" s="562"/>
      <c r="RIJ134" s="562"/>
      <c r="RIK134" s="562"/>
      <c r="RIL134" s="562"/>
      <c r="RIM134" s="562"/>
      <c r="RIN134" s="562"/>
      <c r="RIO134" s="562"/>
      <c r="RIP134" s="562"/>
      <c r="RIQ134" s="562"/>
      <c r="RIR134" s="562"/>
      <c r="RIS134" s="562"/>
      <c r="RIT134" s="562"/>
      <c r="RIU134" s="562"/>
      <c r="RIV134" s="562"/>
      <c r="RIW134" s="562"/>
      <c r="RIX134" s="562"/>
      <c r="RIY134" s="562"/>
      <c r="RIZ134" s="562"/>
      <c r="RJA134" s="562"/>
      <c r="RJB134" s="562"/>
      <c r="RJC134" s="562"/>
      <c r="RJD134" s="562"/>
      <c r="RJE134" s="562"/>
      <c r="RJF134" s="562"/>
      <c r="RJG134" s="562"/>
      <c r="RJH134" s="562"/>
      <c r="RJI134" s="562"/>
      <c r="RJJ134" s="562"/>
      <c r="RJK134" s="562"/>
      <c r="RJL134" s="562"/>
      <c r="RJM134" s="562"/>
      <c r="RJN134" s="562"/>
      <c r="RJO134" s="562"/>
      <c r="RJP134" s="562"/>
      <c r="RJQ134" s="562"/>
      <c r="RJR134" s="562"/>
      <c r="RJS134" s="562"/>
      <c r="RJT134" s="562"/>
      <c r="RJU134" s="562"/>
      <c r="RJV134" s="562"/>
      <c r="RJW134" s="562"/>
      <c r="RJX134" s="562"/>
      <c r="RJY134" s="562"/>
      <c r="RJZ134" s="562"/>
      <c r="RKA134" s="562"/>
      <c r="RKB134" s="562"/>
      <c r="RKC134" s="562"/>
      <c r="RKD134" s="562"/>
      <c r="RKE134" s="562"/>
      <c r="RKF134" s="562"/>
      <c r="RKG134" s="562"/>
      <c r="RKH134" s="562"/>
      <c r="RKI134" s="562"/>
      <c r="RKJ134" s="562"/>
      <c r="RKK134" s="562"/>
      <c r="RKL134" s="562"/>
      <c r="RKM134" s="562"/>
      <c r="RKN134" s="562"/>
      <c r="RKO134" s="562"/>
      <c r="RKP134" s="562"/>
      <c r="RKQ134" s="562"/>
      <c r="RKR134" s="562"/>
      <c r="RKS134" s="562"/>
      <c r="RKT134" s="562"/>
      <c r="RKU134" s="562"/>
      <c r="RKV134" s="562"/>
      <c r="RKW134" s="562"/>
      <c r="RKX134" s="562"/>
      <c r="RKY134" s="562"/>
      <c r="RKZ134" s="562"/>
      <c r="RLA134" s="562"/>
      <c r="RLB134" s="562"/>
      <c r="RLC134" s="562"/>
      <c r="RLD134" s="562"/>
      <c r="RLE134" s="562"/>
      <c r="RLF134" s="562"/>
      <c r="RLG134" s="562"/>
      <c r="RLH134" s="562"/>
      <c r="RLI134" s="562"/>
      <c r="RLJ134" s="562"/>
      <c r="RLK134" s="562"/>
      <c r="RLL134" s="562"/>
      <c r="RLM134" s="562"/>
      <c r="RLN134" s="562"/>
      <c r="RLO134" s="562"/>
      <c r="RLP134" s="562"/>
      <c r="RLQ134" s="562"/>
      <c r="RLR134" s="562"/>
      <c r="RLS134" s="562"/>
      <c r="RLT134" s="562"/>
      <c r="RLU134" s="562"/>
      <c r="RLV134" s="562"/>
      <c r="RLW134" s="562"/>
      <c r="RLX134" s="562"/>
      <c r="RLY134" s="562"/>
      <c r="RLZ134" s="562"/>
      <c r="RMA134" s="562"/>
      <c r="RMB134" s="562"/>
      <c r="RMC134" s="562"/>
      <c r="RMD134" s="562"/>
      <c r="RME134" s="562"/>
      <c r="RMF134" s="562"/>
      <c r="RMG134" s="562"/>
      <c r="RMH134" s="562"/>
      <c r="RMI134" s="562"/>
      <c r="RMJ134" s="562"/>
      <c r="RMK134" s="562"/>
      <c r="RML134" s="562"/>
      <c r="RMM134" s="562"/>
      <c r="RMN134" s="562"/>
      <c r="RMO134" s="562"/>
      <c r="RMP134" s="562"/>
      <c r="RMQ134" s="562"/>
      <c r="RMR134" s="562"/>
      <c r="RMS134" s="562"/>
      <c r="RMT134" s="562"/>
      <c r="RMU134" s="562"/>
      <c r="RMV134" s="562"/>
      <c r="RMW134" s="562"/>
      <c r="RMX134" s="562"/>
      <c r="RMY134" s="562"/>
      <c r="RMZ134" s="562"/>
      <c r="RNA134" s="562"/>
      <c r="RNB134" s="562"/>
      <c r="RNC134" s="562"/>
      <c r="RND134" s="562"/>
      <c r="RNE134" s="562"/>
      <c r="RNF134" s="562"/>
      <c r="RNG134" s="562"/>
      <c r="RNH134" s="562"/>
      <c r="RNI134" s="562"/>
      <c r="RNJ134" s="562"/>
      <c r="RNK134" s="562"/>
      <c r="RNL134" s="562"/>
      <c r="RNM134" s="562"/>
      <c r="RNN134" s="562"/>
      <c r="RNO134" s="562"/>
      <c r="RNP134" s="562"/>
      <c r="RNQ134" s="562"/>
      <c r="RNR134" s="562"/>
      <c r="RNS134" s="562"/>
      <c r="RNT134" s="562"/>
      <c r="RNU134" s="562"/>
      <c r="RNV134" s="562"/>
      <c r="RNW134" s="562"/>
      <c r="RNX134" s="562"/>
      <c r="RNY134" s="562"/>
      <c r="RNZ134" s="562"/>
      <c r="ROA134" s="562"/>
      <c r="ROB134" s="562"/>
      <c r="ROC134" s="562"/>
      <c r="ROD134" s="562"/>
      <c r="ROE134" s="562"/>
      <c r="ROF134" s="562"/>
      <c r="ROG134" s="562"/>
      <c r="ROH134" s="562"/>
      <c r="ROI134" s="562"/>
      <c r="ROJ134" s="562"/>
      <c r="ROK134" s="562"/>
      <c r="ROL134" s="562"/>
      <c r="ROM134" s="562"/>
      <c r="RON134" s="562"/>
      <c r="ROO134" s="562"/>
      <c r="ROP134" s="562"/>
      <c r="ROQ134" s="562"/>
      <c r="ROR134" s="562"/>
      <c r="ROS134" s="562"/>
      <c r="ROT134" s="562"/>
      <c r="ROU134" s="562"/>
      <c r="ROV134" s="562"/>
      <c r="ROW134" s="562"/>
      <c r="ROX134" s="562"/>
      <c r="ROY134" s="562"/>
      <c r="ROZ134" s="562"/>
      <c r="RPA134" s="562"/>
      <c r="RPB134" s="562"/>
      <c r="RPC134" s="562"/>
      <c r="RPD134" s="562"/>
      <c r="RPE134" s="562"/>
      <c r="RPF134" s="562"/>
      <c r="RPG134" s="562"/>
      <c r="RPH134" s="562"/>
      <c r="RPI134" s="562"/>
      <c r="RPJ134" s="562"/>
      <c r="RPK134" s="562"/>
      <c r="RPL134" s="562"/>
      <c r="RPM134" s="562"/>
      <c r="RPN134" s="562"/>
      <c r="RPO134" s="562"/>
      <c r="RPP134" s="562"/>
      <c r="RPQ134" s="562"/>
      <c r="RPR134" s="562"/>
      <c r="RPS134" s="562"/>
      <c r="RPT134" s="562"/>
      <c r="RPU134" s="562"/>
      <c r="RPV134" s="562"/>
      <c r="RPW134" s="562"/>
      <c r="RPX134" s="562"/>
      <c r="RPY134" s="562"/>
      <c r="RPZ134" s="562"/>
      <c r="RQA134" s="562"/>
      <c r="RQB134" s="562"/>
      <c r="RQC134" s="562"/>
      <c r="RQD134" s="562"/>
      <c r="RQE134" s="562"/>
      <c r="RQF134" s="562"/>
      <c r="RQG134" s="562"/>
      <c r="RQH134" s="562"/>
      <c r="RQI134" s="562"/>
      <c r="RQJ134" s="562"/>
      <c r="RQK134" s="562"/>
      <c r="RQL134" s="562"/>
      <c r="RQM134" s="562"/>
      <c r="RQN134" s="562"/>
      <c r="RQO134" s="562"/>
      <c r="RQP134" s="562"/>
      <c r="RQQ134" s="562"/>
      <c r="RQR134" s="562"/>
      <c r="RQS134" s="562"/>
      <c r="RQT134" s="562"/>
      <c r="RQU134" s="562"/>
      <c r="RQV134" s="562"/>
      <c r="RQW134" s="562"/>
      <c r="RQX134" s="562"/>
      <c r="RQY134" s="562"/>
      <c r="RQZ134" s="562"/>
      <c r="RRA134" s="562"/>
      <c r="RRB134" s="562"/>
      <c r="RRC134" s="562"/>
      <c r="RRD134" s="562"/>
      <c r="RRE134" s="562"/>
      <c r="RRF134" s="562"/>
      <c r="RRG134" s="562"/>
      <c r="RRH134" s="562"/>
      <c r="RRI134" s="562"/>
      <c r="RRJ134" s="562"/>
      <c r="RRK134" s="562"/>
      <c r="RRL134" s="562"/>
      <c r="RRM134" s="562"/>
      <c r="RRN134" s="562"/>
      <c r="RRO134" s="562"/>
      <c r="RRP134" s="562"/>
      <c r="RRQ134" s="562"/>
      <c r="RRR134" s="562"/>
      <c r="RRS134" s="562"/>
      <c r="RRT134" s="562"/>
      <c r="RRU134" s="562"/>
      <c r="RRV134" s="562"/>
      <c r="RRW134" s="562"/>
      <c r="RRX134" s="562"/>
      <c r="RRY134" s="562"/>
      <c r="RRZ134" s="562"/>
      <c r="RSA134" s="562"/>
      <c r="RSB134" s="562"/>
      <c r="RSC134" s="562"/>
      <c r="RSD134" s="562"/>
      <c r="RSE134" s="562"/>
      <c r="RSF134" s="562"/>
      <c r="RSG134" s="562"/>
      <c r="RSH134" s="562"/>
      <c r="RSI134" s="562"/>
      <c r="RSJ134" s="562"/>
      <c r="RSK134" s="562"/>
      <c r="RSL134" s="562"/>
      <c r="RSM134" s="562"/>
      <c r="RSN134" s="562"/>
      <c r="RSO134" s="562"/>
      <c r="RSP134" s="562"/>
      <c r="RSQ134" s="562"/>
      <c r="RSR134" s="562"/>
      <c r="RSS134" s="562"/>
      <c r="RST134" s="562"/>
      <c r="RSU134" s="562"/>
      <c r="RSV134" s="562"/>
      <c r="RSW134" s="562"/>
      <c r="RSX134" s="562"/>
      <c r="RSY134" s="562"/>
      <c r="RSZ134" s="562"/>
      <c r="RTA134" s="562"/>
      <c r="RTB134" s="562"/>
      <c r="RTC134" s="562"/>
      <c r="RTD134" s="562"/>
      <c r="RTE134" s="562"/>
      <c r="RTF134" s="562"/>
      <c r="RTG134" s="562"/>
      <c r="RTH134" s="562"/>
      <c r="RTI134" s="562"/>
      <c r="RTJ134" s="562"/>
      <c r="RTK134" s="562"/>
      <c r="RTL134" s="562"/>
      <c r="RTM134" s="562"/>
      <c r="RTN134" s="562"/>
      <c r="RTO134" s="562"/>
      <c r="RTP134" s="562"/>
      <c r="RTQ134" s="562"/>
      <c r="RTR134" s="562"/>
      <c r="RTS134" s="562"/>
      <c r="RTT134" s="562"/>
      <c r="RTU134" s="562"/>
      <c r="RTV134" s="562"/>
      <c r="RTW134" s="562"/>
      <c r="RTX134" s="562"/>
      <c r="RTY134" s="562"/>
      <c r="RTZ134" s="562"/>
      <c r="RUA134" s="562"/>
      <c r="RUB134" s="562"/>
      <c r="RUC134" s="562"/>
      <c r="RUD134" s="562"/>
      <c r="RUE134" s="562"/>
      <c r="RUF134" s="562"/>
      <c r="RUG134" s="562"/>
      <c r="RUH134" s="562"/>
      <c r="RUI134" s="562"/>
      <c r="RUJ134" s="562"/>
      <c r="RUK134" s="562"/>
      <c r="RUL134" s="562"/>
      <c r="RUM134" s="562"/>
      <c r="RUN134" s="562"/>
      <c r="RUO134" s="562"/>
      <c r="RUP134" s="562"/>
      <c r="RUQ134" s="562"/>
      <c r="RUR134" s="562"/>
      <c r="RUS134" s="562"/>
      <c r="RUT134" s="562"/>
      <c r="RUU134" s="562"/>
      <c r="RUV134" s="562"/>
      <c r="RUW134" s="562"/>
      <c r="RUX134" s="562"/>
      <c r="RUY134" s="562"/>
      <c r="RUZ134" s="562"/>
      <c r="RVA134" s="562"/>
      <c r="RVB134" s="562"/>
      <c r="RVC134" s="562"/>
      <c r="RVD134" s="562"/>
      <c r="RVE134" s="562"/>
      <c r="RVF134" s="562"/>
      <c r="RVG134" s="562"/>
      <c r="RVH134" s="562"/>
      <c r="RVI134" s="562"/>
      <c r="RVJ134" s="562"/>
      <c r="RVK134" s="562"/>
      <c r="RVL134" s="562"/>
      <c r="RVM134" s="562"/>
      <c r="RVN134" s="562"/>
      <c r="RVO134" s="562"/>
      <c r="RVP134" s="562"/>
      <c r="RVQ134" s="562"/>
      <c r="RVR134" s="562"/>
      <c r="RVS134" s="562"/>
      <c r="RVT134" s="562"/>
      <c r="RVU134" s="562"/>
      <c r="RVV134" s="562"/>
      <c r="RVW134" s="562"/>
      <c r="RVX134" s="562"/>
      <c r="RVY134" s="562"/>
      <c r="RVZ134" s="562"/>
      <c r="RWA134" s="562"/>
      <c r="RWB134" s="562"/>
      <c r="RWC134" s="562"/>
      <c r="RWD134" s="562"/>
      <c r="RWE134" s="562"/>
      <c r="RWF134" s="562"/>
      <c r="RWG134" s="562"/>
      <c r="RWH134" s="562"/>
      <c r="RWI134" s="562"/>
      <c r="RWJ134" s="562"/>
      <c r="RWK134" s="562"/>
      <c r="RWL134" s="562"/>
      <c r="RWM134" s="562"/>
      <c r="RWN134" s="562"/>
      <c r="RWO134" s="562"/>
      <c r="RWP134" s="562"/>
      <c r="RWQ134" s="562"/>
      <c r="RWR134" s="562"/>
      <c r="RWS134" s="562"/>
      <c r="RWT134" s="562"/>
      <c r="RWU134" s="562"/>
      <c r="RWV134" s="562"/>
      <c r="RWW134" s="562"/>
      <c r="RWX134" s="562"/>
      <c r="RWY134" s="562"/>
      <c r="RWZ134" s="562"/>
      <c r="RXA134" s="562"/>
      <c r="RXB134" s="562"/>
      <c r="RXC134" s="562"/>
      <c r="RXD134" s="562"/>
      <c r="RXE134" s="562"/>
      <c r="RXF134" s="562"/>
      <c r="RXG134" s="562"/>
      <c r="RXH134" s="562"/>
      <c r="RXI134" s="562"/>
      <c r="RXJ134" s="562"/>
      <c r="RXK134" s="562"/>
      <c r="RXL134" s="562"/>
      <c r="RXM134" s="562"/>
      <c r="RXN134" s="562"/>
      <c r="RXO134" s="562"/>
      <c r="RXP134" s="562"/>
      <c r="RXQ134" s="562"/>
      <c r="RXR134" s="562"/>
      <c r="RXS134" s="562"/>
      <c r="RXT134" s="562"/>
      <c r="RXU134" s="562"/>
      <c r="RXV134" s="562"/>
      <c r="RXW134" s="562"/>
      <c r="RXX134" s="562"/>
      <c r="RXY134" s="562"/>
      <c r="RXZ134" s="562"/>
      <c r="RYA134" s="562"/>
      <c r="RYB134" s="562"/>
      <c r="RYC134" s="562"/>
      <c r="RYD134" s="562"/>
      <c r="RYE134" s="562"/>
      <c r="RYF134" s="562"/>
      <c r="RYG134" s="562"/>
      <c r="RYH134" s="562"/>
      <c r="RYI134" s="562"/>
      <c r="RYJ134" s="562"/>
      <c r="RYK134" s="562"/>
      <c r="RYL134" s="562"/>
      <c r="RYM134" s="562"/>
      <c r="RYN134" s="562"/>
      <c r="RYO134" s="562"/>
      <c r="RYP134" s="562"/>
      <c r="RYQ134" s="562"/>
      <c r="RYR134" s="562"/>
      <c r="RYS134" s="562"/>
      <c r="RYT134" s="562"/>
      <c r="RYU134" s="562"/>
      <c r="RYV134" s="562"/>
      <c r="RYW134" s="562"/>
      <c r="RYX134" s="562"/>
      <c r="RYY134" s="562"/>
      <c r="RYZ134" s="562"/>
      <c r="RZA134" s="562"/>
      <c r="RZB134" s="562"/>
      <c r="RZC134" s="562"/>
      <c r="RZD134" s="562"/>
      <c r="RZE134" s="562"/>
      <c r="RZF134" s="562"/>
      <c r="RZG134" s="562"/>
      <c r="RZH134" s="562"/>
      <c r="RZI134" s="562"/>
      <c r="RZJ134" s="562"/>
      <c r="RZK134" s="562"/>
      <c r="RZL134" s="562"/>
      <c r="RZM134" s="562"/>
      <c r="RZN134" s="562"/>
      <c r="RZO134" s="562"/>
      <c r="RZP134" s="562"/>
      <c r="RZQ134" s="562"/>
      <c r="RZR134" s="562"/>
      <c r="RZS134" s="562"/>
      <c r="RZT134" s="562"/>
      <c r="RZU134" s="562"/>
      <c r="RZV134" s="562"/>
      <c r="RZW134" s="562"/>
      <c r="RZX134" s="562"/>
      <c r="RZY134" s="562"/>
      <c r="RZZ134" s="562"/>
      <c r="SAA134" s="562"/>
      <c r="SAB134" s="562"/>
      <c r="SAC134" s="562"/>
      <c r="SAD134" s="562"/>
      <c r="SAE134" s="562"/>
      <c r="SAF134" s="562"/>
      <c r="SAG134" s="562"/>
      <c r="SAH134" s="562"/>
      <c r="SAI134" s="562"/>
      <c r="SAJ134" s="562"/>
      <c r="SAK134" s="562"/>
      <c r="SAL134" s="562"/>
      <c r="SAM134" s="562"/>
      <c r="SAN134" s="562"/>
      <c r="SAO134" s="562"/>
      <c r="SAP134" s="562"/>
      <c r="SAQ134" s="562"/>
      <c r="SAR134" s="562"/>
      <c r="SAS134" s="562"/>
      <c r="SAT134" s="562"/>
      <c r="SAU134" s="562"/>
      <c r="SAV134" s="562"/>
      <c r="SAW134" s="562"/>
      <c r="SAX134" s="562"/>
      <c r="SAY134" s="562"/>
      <c r="SAZ134" s="562"/>
      <c r="SBA134" s="562"/>
      <c r="SBB134" s="562"/>
      <c r="SBC134" s="562"/>
      <c r="SBD134" s="562"/>
      <c r="SBE134" s="562"/>
      <c r="SBF134" s="562"/>
      <c r="SBG134" s="562"/>
      <c r="SBH134" s="562"/>
      <c r="SBI134" s="562"/>
      <c r="SBJ134" s="562"/>
      <c r="SBK134" s="562"/>
      <c r="SBL134" s="562"/>
      <c r="SBM134" s="562"/>
      <c r="SBN134" s="562"/>
      <c r="SBO134" s="562"/>
      <c r="SBP134" s="562"/>
      <c r="SBQ134" s="562"/>
      <c r="SBR134" s="562"/>
      <c r="SBS134" s="562"/>
      <c r="SBT134" s="562"/>
      <c r="SBU134" s="562"/>
      <c r="SBV134" s="562"/>
      <c r="SBW134" s="562"/>
      <c r="SBX134" s="562"/>
      <c r="SBY134" s="562"/>
      <c r="SBZ134" s="562"/>
      <c r="SCA134" s="562"/>
      <c r="SCB134" s="562"/>
      <c r="SCC134" s="562"/>
      <c r="SCD134" s="562"/>
      <c r="SCE134" s="562"/>
      <c r="SCF134" s="562"/>
      <c r="SCG134" s="562"/>
      <c r="SCH134" s="562"/>
      <c r="SCI134" s="562"/>
      <c r="SCJ134" s="562"/>
      <c r="SCK134" s="562"/>
      <c r="SCL134" s="562"/>
      <c r="SCM134" s="562"/>
      <c r="SCN134" s="562"/>
      <c r="SCO134" s="562"/>
      <c r="SCP134" s="562"/>
      <c r="SCQ134" s="562"/>
      <c r="SCR134" s="562"/>
      <c r="SCS134" s="562"/>
      <c r="SCT134" s="562"/>
      <c r="SCU134" s="562"/>
      <c r="SCV134" s="562"/>
      <c r="SCW134" s="562"/>
      <c r="SCX134" s="562"/>
      <c r="SCY134" s="562"/>
      <c r="SCZ134" s="562"/>
      <c r="SDA134" s="562"/>
      <c r="SDB134" s="562"/>
      <c r="SDC134" s="562"/>
      <c r="SDD134" s="562"/>
      <c r="SDE134" s="562"/>
      <c r="SDF134" s="562"/>
      <c r="SDG134" s="562"/>
      <c r="SDH134" s="562"/>
      <c r="SDI134" s="562"/>
      <c r="SDJ134" s="562"/>
      <c r="SDK134" s="562"/>
      <c r="SDL134" s="562"/>
      <c r="SDM134" s="562"/>
      <c r="SDN134" s="562"/>
      <c r="SDO134" s="562"/>
      <c r="SDP134" s="562"/>
      <c r="SDQ134" s="562"/>
      <c r="SDR134" s="562"/>
      <c r="SDS134" s="562"/>
      <c r="SDT134" s="562"/>
      <c r="SDU134" s="562"/>
      <c r="SDV134" s="562"/>
      <c r="SDW134" s="562"/>
      <c r="SDX134" s="562"/>
      <c r="SDY134" s="562"/>
      <c r="SDZ134" s="562"/>
      <c r="SEA134" s="562"/>
      <c r="SEB134" s="562"/>
      <c r="SEC134" s="562"/>
      <c r="SED134" s="562"/>
      <c r="SEE134" s="562"/>
      <c r="SEF134" s="562"/>
      <c r="SEG134" s="562"/>
      <c r="SEH134" s="562"/>
      <c r="SEI134" s="562"/>
      <c r="SEJ134" s="562"/>
      <c r="SEK134" s="562"/>
      <c r="SEL134" s="562"/>
      <c r="SEM134" s="562"/>
      <c r="SEN134" s="562"/>
      <c r="SEO134" s="562"/>
      <c r="SEP134" s="562"/>
      <c r="SEQ134" s="562"/>
      <c r="SER134" s="562"/>
      <c r="SES134" s="562"/>
      <c r="SET134" s="562"/>
      <c r="SEU134" s="562"/>
      <c r="SEV134" s="562"/>
      <c r="SEW134" s="562"/>
      <c r="SEX134" s="562"/>
      <c r="SEY134" s="562"/>
      <c r="SEZ134" s="562"/>
      <c r="SFA134" s="562"/>
      <c r="SFB134" s="562"/>
      <c r="SFC134" s="562"/>
      <c r="SFD134" s="562"/>
      <c r="SFE134" s="562"/>
      <c r="SFF134" s="562"/>
      <c r="SFG134" s="562"/>
      <c r="SFH134" s="562"/>
      <c r="SFI134" s="562"/>
      <c r="SFJ134" s="562"/>
      <c r="SFK134" s="562"/>
      <c r="SFL134" s="562"/>
      <c r="SFM134" s="562"/>
      <c r="SFN134" s="562"/>
      <c r="SFO134" s="562"/>
      <c r="SFP134" s="562"/>
      <c r="SFQ134" s="562"/>
      <c r="SFR134" s="562"/>
      <c r="SFS134" s="562"/>
      <c r="SFT134" s="562"/>
      <c r="SFU134" s="562"/>
      <c r="SFV134" s="562"/>
      <c r="SFW134" s="562"/>
      <c r="SFX134" s="562"/>
      <c r="SFY134" s="562"/>
      <c r="SFZ134" s="562"/>
      <c r="SGA134" s="562"/>
      <c r="SGB134" s="562"/>
      <c r="SGC134" s="562"/>
      <c r="SGD134" s="562"/>
      <c r="SGE134" s="562"/>
      <c r="SGF134" s="562"/>
      <c r="SGG134" s="562"/>
      <c r="SGH134" s="562"/>
      <c r="SGI134" s="562"/>
      <c r="SGJ134" s="562"/>
      <c r="SGK134" s="562"/>
      <c r="SGL134" s="562"/>
      <c r="SGM134" s="562"/>
      <c r="SGN134" s="562"/>
      <c r="SGO134" s="562"/>
      <c r="SGP134" s="562"/>
      <c r="SGQ134" s="562"/>
      <c r="SGR134" s="562"/>
      <c r="SGS134" s="562"/>
      <c r="SGT134" s="562"/>
      <c r="SGU134" s="562"/>
      <c r="SGV134" s="562"/>
      <c r="SGW134" s="562"/>
      <c r="SGX134" s="562"/>
      <c r="SGY134" s="562"/>
      <c r="SGZ134" s="562"/>
      <c r="SHA134" s="562"/>
      <c r="SHB134" s="562"/>
      <c r="SHC134" s="562"/>
      <c r="SHD134" s="562"/>
      <c r="SHE134" s="562"/>
      <c r="SHF134" s="562"/>
      <c r="SHG134" s="562"/>
      <c r="SHH134" s="562"/>
      <c r="SHI134" s="562"/>
      <c r="SHJ134" s="562"/>
      <c r="SHK134" s="562"/>
      <c r="SHL134" s="562"/>
      <c r="SHM134" s="562"/>
      <c r="SHN134" s="562"/>
      <c r="SHO134" s="562"/>
      <c r="SHP134" s="562"/>
      <c r="SHQ134" s="562"/>
      <c r="SHR134" s="562"/>
      <c r="SHS134" s="562"/>
      <c r="SHT134" s="562"/>
      <c r="SHU134" s="562"/>
      <c r="SHV134" s="562"/>
      <c r="SHW134" s="562"/>
      <c r="SHX134" s="562"/>
      <c r="SHY134" s="562"/>
      <c r="SHZ134" s="562"/>
      <c r="SIA134" s="562"/>
      <c r="SIB134" s="562"/>
      <c r="SIC134" s="562"/>
      <c r="SID134" s="562"/>
      <c r="SIE134" s="562"/>
      <c r="SIF134" s="562"/>
      <c r="SIG134" s="562"/>
      <c r="SIH134" s="562"/>
      <c r="SII134" s="562"/>
      <c r="SIJ134" s="562"/>
      <c r="SIK134" s="562"/>
      <c r="SIL134" s="562"/>
      <c r="SIM134" s="562"/>
      <c r="SIN134" s="562"/>
      <c r="SIO134" s="562"/>
      <c r="SIP134" s="562"/>
      <c r="SIQ134" s="562"/>
      <c r="SIR134" s="562"/>
      <c r="SIS134" s="562"/>
      <c r="SIT134" s="562"/>
      <c r="SIU134" s="562"/>
      <c r="SIV134" s="562"/>
      <c r="SIW134" s="562"/>
      <c r="SIX134" s="562"/>
      <c r="SIY134" s="562"/>
      <c r="SIZ134" s="562"/>
      <c r="SJA134" s="562"/>
      <c r="SJB134" s="562"/>
      <c r="SJC134" s="562"/>
      <c r="SJD134" s="562"/>
      <c r="SJE134" s="562"/>
      <c r="SJF134" s="562"/>
      <c r="SJG134" s="562"/>
      <c r="SJH134" s="562"/>
      <c r="SJI134" s="562"/>
      <c r="SJJ134" s="562"/>
      <c r="SJK134" s="562"/>
      <c r="SJL134" s="562"/>
      <c r="SJM134" s="562"/>
      <c r="SJN134" s="562"/>
      <c r="SJO134" s="562"/>
      <c r="SJP134" s="562"/>
      <c r="SJQ134" s="562"/>
      <c r="SJR134" s="562"/>
      <c r="SJS134" s="562"/>
      <c r="SJT134" s="562"/>
      <c r="SJU134" s="562"/>
      <c r="SJV134" s="562"/>
      <c r="SJW134" s="562"/>
      <c r="SJX134" s="562"/>
      <c r="SJY134" s="562"/>
      <c r="SJZ134" s="562"/>
      <c r="SKA134" s="562"/>
      <c r="SKB134" s="562"/>
      <c r="SKC134" s="562"/>
      <c r="SKD134" s="562"/>
      <c r="SKE134" s="562"/>
      <c r="SKF134" s="562"/>
      <c r="SKG134" s="562"/>
      <c r="SKH134" s="562"/>
      <c r="SKI134" s="562"/>
      <c r="SKJ134" s="562"/>
      <c r="SKK134" s="562"/>
      <c r="SKL134" s="562"/>
      <c r="SKM134" s="562"/>
      <c r="SKN134" s="562"/>
      <c r="SKO134" s="562"/>
      <c r="SKP134" s="562"/>
      <c r="SKQ134" s="562"/>
      <c r="SKR134" s="562"/>
      <c r="SKS134" s="562"/>
      <c r="SKT134" s="562"/>
      <c r="SKU134" s="562"/>
      <c r="SKV134" s="562"/>
      <c r="SKW134" s="562"/>
      <c r="SKX134" s="562"/>
      <c r="SKY134" s="562"/>
      <c r="SKZ134" s="562"/>
      <c r="SLA134" s="562"/>
      <c r="SLB134" s="562"/>
      <c r="SLC134" s="562"/>
      <c r="SLD134" s="562"/>
      <c r="SLE134" s="562"/>
      <c r="SLF134" s="562"/>
      <c r="SLG134" s="562"/>
      <c r="SLH134" s="562"/>
      <c r="SLI134" s="562"/>
      <c r="SLJ134" s="562"/>
      <c r="SLK134" s="562"/>
      <c r="SLL134" s="562"/>
      <c r="SLM134" s="562"/>
      <c r="SLN134" s="562"/>
      <c r="SLO134" s="562"/>
      <c r="SLP134" s="562"/>
      <c r="SLQ134" s="562"/>
      <c r="SLR134" s="562"/>
      <c r="SLS134" s="562"/>
      <c r="SLT134" s="562"/>
      <c r="SLU134" s="562"/>
      <c r="SLV134" s="562"/>
      <c r="SLW134" s="562"/>
      <c r="SLX134" s="562"/>
      <c r="SLY134" s="562"/>
      <c r="SLZ134" s="562"/>
      <c r="SMA134" s="562"/>
      <c r="SMB134" s="562"/>
      <c r="SMC134" s="562"/>
      <c r="SMD134" s="562"/>
      <c r="SME134" s="562"/>
      <c r="SMF134" s="562"/>
      <c r="SMG134" s="562"/>
      <c r="SMH134" s="562"/>
      <c r="SMI134" s="562"/>
      <c r="SMJ134" s="562"/>
      <c r="SMK134" s="562"/>
      <c r="SML134" s="562"/>
      <c r="SMM134" s="562"/>
      <c r="SMN134" s="562"/>
      <c r="SMO134" s="562"/>
      <c r="SMP134" s="562"/>
      <c r="SMQ134" s="562"/>
      <c r="SMR134" s="562"/>
      <c r="SMS134" s="562"/>
      <c r="SMT134" s="562"/>
      <c r="SMU134" s="562"/>
      <c r="SMV134" s="562"/>
      <c r="SMW134" s="562"/>
      <c r="SMX134" s="562"/>
      <c r="SMY134" s="562"/>
      <c r="SMZ134" s="562"/>
      <c r="SNA134" s="562"/>
      <c r="SNB134" s="562"/>
      <c r="SNC134" s="562"/>
      <c r="SND134" s="562"/>
      <c r="SNE134" s="562"/>
      <c r="SNF134" s="562"/>
      <c r="SNG134" s="562"/>
      <c r="SNH134" s="562"/>
      <c r="SNI134" s="562"/>
      <c r="SNJ134" s="562"/>
      <c r="SNK134" s="562"/>
      <c r="SNL134" s="562"/>
      <c r="SNM134" s="562"/>
      <c r="SNN134" s="562"/>
      <c r="SNO134" s="562"/>
      <c r="SNP134" s="562"/>
      <c r="SNQ134" s="562"/>
      <c r="SNR134" s="562"/>
      <c r="SNS134" s="562"/>
      <c r="SNT134" s="562"/>
      <c r="SNU134" s="562"/>
      <c r="SNV134" s="562"/>
      <c r="SNW134" s="562"/>
      <c r="SNX134" s="562"/>
      <c r="SNY134" s="562"/>
      <c r="SNZ134" s="562"/>
      <c r="SOA134" s="562"/>
      <c r="SOB134" s="562"/>
      <c r="SOC134" s="562"/>
      <c r="SOD134" s="562"/>
      <c r="SOE134" s="562"/>
      <c r="SOF134" s="562"/>
      <c r="SOG134" s="562"/>
      <c r="SOH134" s="562"/>
      <c r="SOI134" s="562"/>
      <c r="SOJ134" s="562"/>
      <c r="SOK134" s="562"/>
      <c r="SOL134" s="562"/>
      <c r="SOM134" s="562"/>
      <c r="SON134" s="562"/>
      <c r="SOO134" s="562"/>
      <c r="SOP134" s="562"/>
      <c r="SOQ134" s="562"/>
      <c r="SOR134" s="562"/>
      <c r="SOS134" s="562"/>
      <c r="SOT134" s="562"/>
      <c r="SOU134" s="562"/>
      <c r="SOV134" s="562"/>
      <c r="SOW134" s="562"/>
      <c r="SOX134" s="562"/>
      <c r="SOY134" s="562"/>
      <c r="SOZ134" s="562"/>
      <c r="SPA134" s="562"/>
      <c r="SPB134" s="562"/>
      <c r="SPC134" s="562"/>
      <c r="SPD134" s="562"/>
      <c r="SPE134" s="562"/>
      <c r="SPF134" s="562"/>
      <c r="SPG134" s="562"/>
      <c r="SPH134" s="562"/>
      <c r="SPI134" s="562"/>
      <c r="SPJ134" s="562"/>
      <c r="SPK134" s="562"/>
      <c r="SPL134" s="562"/>
      <c r="SPM134" s="562"/>
      <c r="SPN134" s="562"/>
      <c r="SPO134" s="562"/>
      <c r="SPP134" s="562"/>
      <c r="SPQ134" s="562"/>
      <c r="SPR134" s="562"/>
      <c r="SPS134" s="562"/>
      <c r="SPT134" s="562"/>
      <c r="SPU134" s="562"/>
      <c r="SPV134" s="562"/>
      <c r="SPW134" s="562"/>
      <c r="SPX134" s="562"/>
      <c r="SPY134" s="562"/>
      <c r="SPZ134" s="562"/>
      <c r="SQA134" s="562"/>
      <c r="SQB134" s="562"/>
      <c r="SQC134" s="562"/>
      <c r="SQD134" s="562"/>
      <c r="SQE134" s="562"/>
      <c r="SQF134" s="562"/>
      <c r="SQG134" s="562"/>
      <c r="SQH134" s="562"/>
      <c r="SQI134" s="562"/>
      <c r="SQJ134" s="562"/>
      <c r="SQK134" s="562"/>
      <c r="SQL134" s="562"/>
      <c r="SQM134" s="562"/>
      <c r="SQN134" s="562"/>
      <c r="SQO134" s="562"/>
      <c r="SQP134" s="562"/>
      <c r="SQQ134" s="562"/>
      <c r="SQR134" s="562"/>
      <c r="SQS134" s="562"/>
      <c r="SQT134" s="562"/>
      <c r="SQU134" s="562"/>
      <c r="SQV134" s="562"/>
      <c r="SQW134" s="562"/>
      <c r="SQX134" s="562"/>
      <c r="SQY134" s="562"/>
      <c r="SQZ134" s="562"/>
      <c r="SRA134" s="562"/>
      <c r="SRB134" s="562"/>
      <c r="SRC134" s="562"/>
      <c r="SRD134" s="562"/>
      <c r="SRE134" s="562"/>
      <c r="SRF134" s="562"/>
      <c r="SRG134" s="562"/>
      <c r="SRH134" s="562"/>
      <c r="SRI134" s="562"/>
      <c r="SRJ134" s="562"/>
      <c r="SRK134" s="562"/>
      <c r="SRL134" s="562"/>
      <c r="SRM134" s="562"/>
      <c r="SRN134" s="562"/>
      <c r="SRO134" s="562"/>
      <c r="SRP134" s="562"/>
      <c r="SRQ134" s="562"/>
      <c r="SRR134" s="562"/>
      <c r="SRS134" s="562"/>
      <c r="SRT134" s="562"/>
      <c r="SRU134" s="562"/>
      <c r="SRV134" s="562"/>
      <c r="SRW134" s="562"/>
      <c r="SRX134" s="562"/>
      <c r="SRY134" s="562"/>
      <c r="SRZ134" s="562"/>
      <c r="SSA134" s="562"/>
      <c r="SSB134" s="562"/>
      <c r="SSC134" s="562"/>
      <c r="SSD134" s="562"/>
      <c r="SSE134" s="562"/>
      <c r="SSF134" s="562"/>
      <c r="SSG134" s="562"/>
      <c r="SSH134" s="562"/>
      <c r="SSI134" s="562"/>
      <c r="SSJ134" s="562"/>
      <c r="SSK134" s="562"/>
      <c r="SSL134" s="562"/>
      <c r="SSM134" s="562"/>
      <c r="SSN134" s="562"/>
      <c r="SSO134" s="562"/>
      <c r="SSP134" s="562"/>
      <c r="SSQ134" s="562"/>
      <c r="SSR134" s="562"/>
      <c r="SSS134" s="562"/>
      <c r="SST134" s="562"/>
      <c r="SSU134" s="562"/>
      <c r="SSV134" s="562"/>
      <c r="SSW134" s="562"/>
      <c r="SSX134" s="562"/>
      <c r="SSY134" s="562"/>
      <c r="SSZ134" s="562"/>
      <c r="STA134" s="562"/>
      <c r="STB134" s="562"/>
      <c r="STC134" s="562"/>
      <c r="STD134" s="562"/>
      <c r="STE134" s="562"/>
      <c r="STF134" s="562"/>
      <c r="STG134" s="562"/>
      <c r="STH134" s="562"/>
      <c r="STI134" s="562"/>
      <c r="STJ134" s="562"/>
      <c r="STK134" s="562"/>
      <c r="STL134" s="562"/>
      <c r="STM134" s="562"/>
      <c r="STN134" s="562"/>
      <c r="STO134" s="562"/>
      <c r="STP134" s="562"/>
      <c r="STQ134" s="562"/>
      <c r="STR134" s="562"/>
      <c r="STS134" s="562"/>
      <c r="STT134" s="562"/>
      <c r="STU134" s="562"/>
      <c r="STV134" s="562"/>
      <c r="STW134" s="562"/>
      <c r="STX134" s="562"/>
      <c r="STY134" s="562"/>
      <c r="STZ134" s="562"/>
      <c r="SUA134" s="562"/>
      <c r="SUB134" s="562"/>
      <c r="SUC134" s="562"/>
      <c r="SUD134" s="562"/>
      <c r="SUE134" s="562"/>
      <c r="SUF134" s="562"/>
      <c r="SUG134" s="562"/>
      <c r="SUH134" s="562"/>
      <c r="SUI134" s="562"/>
      <c r="SUJ134" s="562"/>
      <c r="SUK134" s="562"/>
      <c r="SUL134" s="562"/>
      <c r="SUM134" s="562"/>
      <c r="SUN134" s="562"/>
      <c r="SUO134" s="562"/>
      <c r="SUP134" s="562"/>
      <c r="SUQ134" s="562"/>
      <c r="SUR134" s="562"/>
      <c r="SUS134" s="562"/>
      <c r="SUT134" s="562"/>
      <c r="SUU134" s="562"/>
      <c r="SUV134" s="562"/>
      <c r="SUW134" s="562"/>
      <c r="SUX134" s="562"/>
      <c r="SUY134" s="562"/>
      <c r="SUZ134" s="562"/>
      <c r="SVA134" s="562"/>
      <c r="SVB134" s="562"/>
      <c r="SVC134" s="562"/>
      <c r="SVD134" s="562"/>
      <c r="SVE134" s="562"/>
      <c r="SVF134" s="562"/>
      <c r="SVG134" s="562"/>
      <c r="SVH134" s="562"/>
      <c r="SVI134" s="562"/>
      <c r="SVJ134" s="562"/>
      <c r="SVK134" s="562"/>
      <c r="SVL134" s="562"/>
      <c r="SVM134" s="562"/>
      <c r="SVN134" s="562"/>
      <c r="SVO134" s="562"/>
      <c r="SVP134" s="562"/>
      <c r="SVQ134" s="562"/>
      <c r="SVR134" s="562"/>
      <c r="SVS134" s="562"/>
      <c r="SVT134" s="562"/>
      <c r="SVU134" s="562"/>
      <c r="SVV134" s="562"/>
      <c r="SVW134" s="562"/>
      <c r="SVX134" s="562"/>
      <c r="SVY134" s="562"/>
      <c r="SVZ134" s="562"/>
      <c r="SWA134" s="562"/>
      <c r="SWB134" s="562"/>
      <c r="SWC134" s="562"/>
      <c r="SWD134" s="562"/>
      <c r="SWE134" s="562"/>
      <c r="SWF134" s="562"/>
      <c r="SWG134" s="562"/>
      <c r="SWH134" s="562"/>
      <c r="SWI134" s="562"/>
      <c r="SWJ134" s="562"/>
      <c r="SWK134" s="562"/>
      <c r="SWL134" s="562"/>
      <c r="SWM134" s="562"/>
      <c r="SWN134" s="562"/>
      <c r="SWO134" s="562"/>
      <c r="SWP134" s="562"/>
      <c r="SWQ134" s="562"/>
      <c r="SWR134" s="562"/>
      <c r="SWS134" s="562"/>
      <c r="SWT134" s="562"/>
      <c r="SWU134" s="562"/>
      <c r="SWV134" s="562"/>
      <c r="SWW134" s="562"/>
      <c r="SWX134" s="562"/>
      <c r="SWY134" s="562"/>
      <c r="SWZ134" s="562"/>
      <c r="SXA134" s="562"/>
      <c r="SXB134" s="562"/>
      <c r="SXC134" s="562"/>
      <c r="SXD134" s="562"/>
      <c r="SXE134" s="562"/>
      <c r="SXF134" s="562"/>
      <c r="SXG134" s="562"/>
      <c r="SXH134" s="562"/>
      <c r="SXI134" s="562"/>
      <c r="SXJ134" s="562"/>
      <c r="SXK134" s="562"/>
      <c r="SXL134" s="562"/>
      <c r="SXM134" s="562"/>
      <c r="SXN134" s="562"/>
      <c r="SXO134" s="562"/>
      <c r="SXP134" s="562"/>
      <c r="SXQ134" s="562"/>
      <c r="SXR134" s="562"/>
      <c r="SXS134" s="562"/>
      <c r="SXT134" s="562"/>
      <c r="SXU134" s="562"/>
      <c r="SXV134" s="562"/>
      <c r="SXW134" s="562"/>
      <c r="SXX134" s="562"/>
      <c r="SXY134" s="562"/>
      <c r="SXZ134" s="562"/>
      <c r="SYA134" s="562"/>
      <c r="SYB134" s="562"/>
      <c r="SYC134" s="562"/>
      <c r="SYD134" s="562"/>
      <c r="SYE134" s="562"/>
      <c r="SYF134" s="562"/>
      <c r="SYG134" s="562"/>
      <c r="SYH134" s="562"/>
      <c r="SYI134" s="562"/>
      <c r="SYJ134" s="562"/>
      <c r="SYK134" s="562"/>
      <c r="SYL134" s="562"/>
      <c r="SYM134" s="562"/>
      <c r="SYN134" s="562"/>
      <c r="SYO134" s="562"/>
      <c r="SYP134" s="562"/>
      <c r="SYQ134" s="562"/>
      <c r="SYR134" s="562"/>
      <c r="SYS134" s="562"/>
      <c r="SYT134" s="562"/>
      <c r="SYU134" s="562"/>
      <c r="SYV134" s="562"/>
      <c r="SYW134" s="562"/>
      <c r="SYX134" s="562"/>
      <c r="SYY134" s="562"/>
      <c r="SYZ134" s="562"/>
      <c r="SZA134" s="562"/>
      <c r="SZB134" s="562"/>
      <c r="SZC134" s="562"/>
      <c r="SZD134" s="562"/>
      <c r="SZE134" s="562"/>
      <c r="SZF134" s="562"/>
      <c r="SZG134" s="562"/>
      <c r="SZH134" s="562"/>
      <c r="SZI134" s="562"/>
      <c r="SZJ134" s="562"/>
      <c r="SZK134" s="562"/>
      <c r="SZL134" s="562"/>
      <c r="SZM134" s="562"/>
      <c r="SZN134" s="562"/>
      <c r="SZO134" s="562"/>
      <c r="SZP134" s="562"/>
      <c r="SZQ134" s="562"/>
      <c r="SZR134" s="562"/>
      <c r="SZS134" s="562"/>
      <c r="SZT134" s="562"/>
      <c r="SZU134" s="562"/>
      <c r="SZV134" s="562"/>
      <c r="SZW134" s="562"/>
      <c r="SZX134" s="562"/>
      <c r="SZY134" s="562"/>
      <c r="SZZ134" s="562"/>
      <c r="TAA134" s="562"/>
      <c r="TAB134" s="562"/>
      <c r="TAC134" s="562"/>
      <c r="TAD134" s="562"/>
      <c r="TAE134" s="562"/>
      <c r="TAF134" s="562"/>
      <c r="TAG134" s="562"/>
      <c r="TAH134" s="562"/>
      <c r="TAI134" s="562"/>
      <c r="TAJ134" s="562"/>
      <c r="TAK134" s="562"/>
      <c r="TAL134" s="562"/>
      <c r="TAM134" s="562"/>
      <c r="TAN134" s="562"/>
      <c r="TAO134" s="562"/>
      <c r="TAP134" s="562"/>
      <c r="TAQ134" s="562"/>
      <c r="TAR134" s="562"/>
      <c r="TAS134" s="562"/>
      <c r="TAT134" s="562"/>
      <c r="TAU134" s="562"/>
      <c r="TAV134" s="562"/>
      <c r="TAW134" s="562"/>
      <c r="TAX134" s="562"/>
      <c r="TAY134" s="562"/>
      <c r="TAZ134" s="562"/>
      <c r="TBA134" s="562"/>
      <c r="TBB134" s="562"/>
      <c r="TBC134" s="562"/>
      <c r="TBD134" s="562"/>
      <c r="TBE134" s="562"/>
      <c r="TBF134" s="562"/>
      <c r="TBG134" s="562"/>
      <c r="TBH134" s="562"/>
      <c r="TBI134" s="562"/>
      <c r="TBJ134" s="562"/>
      <c r="TBK134" s="562"/>
      <c r="TBL134" s="562"/>
      <c r="TBM134" s="562"/>
      <c r="TBN134" s="562"/>
      <c r="TBO134" s="562"/>
      <c r="TBP134" s="562"/>
      <c r="TBQ134" s="562"/>
      <c r="TBR134" s="562"/>
      <c r="TBS134" s="562"/>
      <c r="TBT134" s="562"/>
      <c r="TBU134" s="562"/>
      <c r="TBV134" s="562"/>
      <c r="TBW134" s="562"/>
      <c r="TBX134" s="562"/>
      <c r="TBY134" s="562"/>
      <c r="TBZ134" s="562"/>
      <c r="TCA134" s="562"/>
      <c r="TCB134" s="562"/>
      <c r="TCC134" s="562"/>
      <c r="TCD134" s="562"/>
      <c r="TCE134" s="562"/>
      <c r="TCF134" s="562"/>
      <c r="TCG134" s="562"/>
      <c r="TCH134" s="562"/>
      <c r="TCI134" s="562"/>
      <c r="TCJ134" s="562"/>
      <c r="TCK134" s="562"/>
      <c r="TCL134" s="562"/>
      <c r="TCM134" s="562"/>
      <c r="TCN134" s="562"/>
      <c r="TCO134" s="562"/>
      <c r="TCP134" s="562"/>
      <c r="TCQ134" s="562"/>
      <c r="TCR134" s="562"/>
      <c r="TCS134" s="562"/>
      <c r="TCT134" s="562"/>
      <c r="TCU134" s="562"/>
      <c r="TCV134" s="562"/>
      <c r="TCW134" s="562"/>
      <c r="TCX134" s="562"/>
      <c r="TCY134" s="562"/>
      <c r="TCZ134" s="562"/>
      <c r="TDA134" s="562"/>
      <c r="TDB134" s="562"/>
      <c r="TDC134" s="562"/>
      <c r="TDD134" s="562"/>
      <c r="TDE134" s="562"/>
      <c r="TDF134" s="562"/>
      <c r="TDG134" s="562"/>
      <c r="TDH134" s="562"/>
      <c r="TDI134" s="562"/>
      <c r="TDJ134" s="562"/>
      <c r="TDK134" s="562"/>
      <c r="TDL134" s="562"/>
      <c r="TDM134" s="562"/>
      <c r="TDN134" s="562"/>
      <c r="TDO134" s="562"/>
      <c r="TDP134" s="562"/>
      <c r="TDQ134" s="562"/>
      <c r="TDR134" s="562"/>
      <c r="TDS134" s="562"/>
      <c r="TDT134" s="562"/>
      <c r="TDU134" s="562"/>
      <c r="TDV134" s="562"/>
      <c r="TDW134" s="562"/>
      <c r="TDX134" s="562"/>
      <c r="TDY134" s="562"/>
      <c r="TDZ134" s="562"/>
      <c r="TEA134" s="562"/>
      <c r="TEB134" s="562"/>
      <c r="TEC134" s="562"/>
      <c r="TED134" s="562"/>
      <c r="TEE134" s="562"/>
      <c r="TEF134" s="562"/>
      <c r="TEG134" s="562"/>
      <c r="TEH134" s="562"/>
      <c r="TEI134" s="562"/>
      <c r="TEJ134" s="562"/>
      <c r="TEK134" s="562"/>
      <c r="TEL134" s="562"/>
      <c r="TEM134" s="562"/>
      <c r="TEN134" s="562"/>
      <c r="TEO134" s="562"/>
      <c r="TEP134" s="562"/>
      <c r="TEQ134" s="562"/>
      <c r="TER134" s="562"/>
      <c r="TES134" s="562"/>
      <c r="TET134" s="562"/>
      <c r="TEU134" s="562"/>
      <c r="TEV134" s="562"/>
      <c r="TEW134" s="562"/>
      <c r="TEX134" s="562"/>
      <c r="TEY134" s="562"/>
      <c r="TEZ134" s="562"/>
      <c r="TFA134" s="562"/>
      <c r="TFB134" s="562"/>
      <c r="TFC134" s="562"/>
      <c r="TFD134" s="562"/>
      <c r="TFE134" s="562"/>
      <c r="TFF134" s="562"/>
      <c r="TFG134" s="562"/>
      <c r="TFH134" s="562"/>
      <c r="TFI134" s="562"/>
      <c r="TFJ134" s="562"/>
      <c r="TFK134" s="562"/>
      <c r="TFL134" s="562"/>
      <c r="TFM134" s="562"/>
      <c r="TFN134" s="562"/>
      <c r="TFO134" s="562"/>
      <c r="TFP134" s="562"/>
      <c r="TFQ134" s="562"/>
      <c r="TFR134" s="562"/>
      <c r="TFS134" s="562"/>
      <c r="TFT134" s="562"/>
      <c r="TFU134" s="562"/>
      <c r="TFV134" s="562"/>
      <c r="TFW134" s="562"/>
      <c r="TFX134" s="562"/>
      <c r="TFY134" s="562"/>
      <c r="TFZ134" s="562"/>
      <c r="TGA134" s="562"/>
      <c r="TGB134" s="562"/>
      <c r="TGC134" s="562"/>
      <c r="TGD134" s="562"/>
      <c r="TGE134" s="562"/>
      <c r="TGF134" s="562"/>
      <c r="TGG134" s="562"/>
      <c r="TGH134" s="562"/>
      <c r="TGI134" s="562"/>
      <c r="TGJ134" s="562"/>
      <c r="TGK134" s="562"/>
      <c r="TGL134" s="562"/>
      <c r="TGM134" s="562"/>
      <c r="TGN134" s="562"/>
      <c r="TGO134" s="562"/>
      <c r="TGP134" s="562"/>
      <c r="TGQ134" s="562"/>
      <c r="TGR134" s="562"/>
      <c r="TGS134" s="562"/>
      <c r="TGT134" s="562"/>
      <c r="TGU134" s="562"/>
      <c r="TGV134" s="562"/>
      <c r="TGW134" s="562"/>
      <c r="TGX134" s="562"/>
      <c r="TGY134" s="562"/>
      <c r="TGZ134" s="562"/>
      <c r="THA134" s="562"/>
      <c r="THB134" s="562"/>
      <c r="THC134" s="562"/>
      <c r="THD134" s="562"/>
      <c r="THE134" s="562"/>
      <c r="THF134" s="562"/>
      <c r="THG134" s="562"/>
      <c r="THH134" s="562"/>
      <c r="THI134" s="562"/>
      <c r="THJ134" s="562"/>
      <c r="THK134" s="562"/>
      <c r="THL134" s="562"/>
      <c r="THM134" s="562"/>
      <c r="THN134" s="562"/>
      <c r="THO134" s="562"/>
      <c r="THP134" s="562"/>
      <c r="THQ134" s="562"/>
      <c r="THR134" s="562"/>
      <c r="THS134" s="562"/>
      <c r="THT134" s="562"/>
      <c r="THU134" s="562"/>
      <c r="THV134" s="562"/>
      <c r="THW134" s="562"/>
      <c r="THX134" s="562"/>
      <c r="THY134" s="562"/>
      <c r="THZ134" s="562"/>
      <c r="TIA134" s="562"/>
      <c r="TIB134" s="562"/>
      <c r="TIC134" s="562"/>
      <c r="TID134" s="562"/>
      <c r="TIE134" s="562"/>
      <c r="TIF134" s="562"/>
      <c r="TIG134" s="562"/>
      <c r="TIH134" s="562"/>
      <c r="TII134" s="562"/>
      <c r="TIJ134" s="562"/>
      <c r="TIK134" s="562"/>
      <c r="TIL134" s="562"/>
      <c r="TIM134" s="562"/>
      <c r="TIN134" s="562"/>
      <c r="TIO134" s="562"/>
      <c r="TIP134" s="562"/>
      <c r="TIQ134" s="562"/>
      <c r="TIR134" s="562"/>
      <c r="TIS134" s="562"/>
      <c r="TIT134" s="562"/>
      <c r="TIU134" s="562"/>
      <c r="TIV134" s="562"/>
      <c r="TIW134" s="562"/>
      <c r="TIX134" s="562"/>
      <c r="TIY134" s="562"/>
      <c r="TIZ134" s="562"/>
      <c r="TJA134" s="562"/>
      <c r="TJB134" s="562"/>
      <c r="TJC134" s="562"/>
      <c r="TJD134" s="562"/>
      <c r="TJE134" s="562"/>
      <c r="TJF134" s="562"/>
      <c r="TJG134" s="562"/>
      <c r="TJH134" s="562"/>
      <c r="TJI134" s="562"/>
      <c r="TJJ134" s="562"/>
      <c r="TJK134" s="562"/>
      <c r="TJL134" s="562"/>
      <c r="TJM134" s="562"/>
      <c r="TJN134" s="562"/>
      <c r="TJO134" s="562"/>
      <c r="TJP134" s="562"/>
      <c r="TJQ134" s="562"/>
      <c r="TJR134" s="562"/>
      <c r="TJS134" s="562"/>
      <c r="TJT134" s="562"/>
      <c r="TJU134" s="562"/>
      <c r="TJV134" s="562"/>
      <c r="TJW134" s="562"/>
      <c r="TJX134" s="562"/>
      <c r="TJY134" s="562"/>
      <c r="TJZ134" s="562"/>
      <c r="TKA134" s="562"/>
      <c r="TKB134" s="562"/>
      <c r="TKC134" s="562"/>
      <c r="TKD134" s="562"/>
      <c r="TKE134" s="562"/>
      <c r="TKF134" s="562"/>
      <c r="TKG134" s="562"/>
      <c r="TKH134" s="562"/>
      <c r="TKI134" s="562"/>
      <c r="TKJ134" s="562"/>
      <c r="TKK134" s="562"/>
      <c r="TKL134" s="562"/>
      <c r="TKM134" s="562"/>
      <c r="TKN134" s="562"/>
      <c r="TKO134" s="562"/>
      <c r="TKP134" s="562"/>
      <c r="TKQ134" s="562"/>
      <c r="TKR134" s="562"/>
      <c r="TKS134" s="562"/>
      <c r="TKT134" s="562"/>
      <c r="TKU134" s="562"/>
      <c r="TKV134" s="562"/>
      <c r="TKW134" s="562"/>
      <c r="TKX134" s="562"/>
      <c r="TKY134" s="562"/>
      <c r="TKZ134" s="562"/>
      <c r="TLA134" s="562"/>
      <c r="TLB134" s="562"/>
      <c r="TLC134" s="562"/>
      <c r="TLD134" s="562"/>
      <c r="TLE134" s="562"/>
      <c r="TLF134" s="562"/>
      <c r="TLG134" s="562"/>
      <c r="TLH134" s="562"/>
      <c r="TLI134" s="562"/>
      <c r="TLJ134" s="562"/>
      <c r="TLK134" s="562"/>
      <c r="TLL134" s="562"/>
      <c r="TLM134" s="562"/>
      <c r="TLN134" s="562"/>
      <c r="TLO134" s="562"/>
      <c r="TLP134" s="562"/>
      <c r="TLQ134" s="562"/>
      <c r="TLR134" s="562"/>
      <c r="TLS134" s="562"/>
      <c r="TLT134" s="562"/>
      <c r="TLU134" s="562"/>
      <c r="TLV134" s="562"/>
      <c r="TLW134" s="562"/>
      <c r="TLX134" s="562"/>
      <c r="TLY134" s="562"/>
      <c r="TLZ134" s="562"/>
      <c r="TMA134" s="562"/>
      <c r="TMB134" s="562"/>
      <c r="TMC134" s="562"/>
      <c r="TMD134" s="562"/>
      <c r="TME134" s="562"/>
      <c r="TMF134" s="562"/>
      <c r="TMG134" s="562"/>
      <c r="TMH134" s="562"/>
      <c r="TMI134" s="562"/>
      <c r="TMJ134" s="562"/>
      <c r="TMK134" s="562"/>
      <c r="TML134" s="562"/>
      <c r="TMM134" s="562"/>
      <c r="TMN134" s="562"/>
      <c r="TMO134" s="562"/>
      <c r="TMP134" s="562"/>
      <c r="TMQ134" s="562"/>
      <c r="TMR134" s="562"/>
      <c r="TMS134" s="562"/>
      <c r="TMT134" s="562"/>
      <c r="TMU134" s="562"/>
      <c r="TMV134" s="562"/>
      <c r="TMW134" s="562"/>
      <c r="TMX134" s="562"/>
      <c r="TMY134" s="562"/>
      <c r="TMZ134" s="562"/>
      <c r="TNA134" s="562"/>
      <c r="TNB134" s="562"/>
      <c r="TNC134" s="562"/>
      <c r="TND134" s="562"/>
      <c r="TNE134" s="562"/>
      <c r="TNF134" s="562"/>
      <c r="TNG134" s="562"/>
      <c r="TNH134" s="562"/>
      <c r="TNI134" s="562"/>
      <c r="TNJ134" s="562"/>
      <c r="TNK134" s="562"/>
      <c r="TNL134" s="562"/>
      <c r="TNM134" s="562"/>
      <c r="TNN134" s="562"/>
      <c r="TNO134" s="562"/>
      <c r="TNP134" s="562"/>
      <c r="TNQ134" s="562"/>
      <c r="TNR134" s="562"/>
      <c r="TNS134" s="562"/>
      <c r="TNT134" s="562"/>
      <c r="TNU134" s="562"/>
      <c r="TNV134" s="562"/>
      <c r="TNW134" s="562"/>
      <c r="TNX134" s="562"/>
      <c r="TNY134" s="562"/>
      <c r="TNZ134" s="562"/>
      <c r="TOA134" s="562"/>
      <c r="TOB134" s="562"/>
      <c r="TOC134" s="562"/>
      <c r="TOD134" s="562"/>
      <c r="TOE134" s="562"/>
      <c r="TOF134" s="562"/>
      <c r="TOG134" s="562"/>
      <c r="TOH134" s="562"/>
      <c r="TOI134" s="562"/>
      <c r="TOJ134" s="562"/>
      <c r="TOK134" s="562"/>
      <c r="TOL134" s="562"/>
      <c r="TOM134" s="562"/>
      <c r="TON134" s="562"/>
      <c r="TOO134" s="562"/>
      <c r="TOP134" s="562"/>
      <c r="TOQ134" s="562"/>
      <c r="TOR134" s="562"/>
      <c r="TOS134" s="562"/>
      <c r="TOT134" s="562"/>
      <c r="TOU134" s="562"/>
      <c r="TOV134" s="562"/>
      <c r="TOW134" s="562"/>
      <c r="TOX134" s="562"/>
      <c r="TOY134" s="562"/>
      <c r="TOZ134" s="562"/>
      <c r="TPA134" s="562"/>
      <c r="TPB134" s="562"/>
      <c r="TPC134" s="562"/>
      <c r="TPD134" s="562"/>
      <c r="TPE134" s="562"/>
      <c r="TPF134" s="562"/>
      <c r="TPG134" s="562"/>
      <c r="TPH134" s="562"/>
      <c r="TPI134" s="562"/>
      <c r="TPJ134" s="562"/>
      <c r="TPK134" s="562"/>
      <c r="TPL134" s="562"/>
      <c r="TPM134" s="562"/>
      <c r="TPN134" s="562"/>
      <c r="TPO134" s="562"/>
      <c r="TPP134" s="562"/>
      <c r="TPQ134" s="562"/>
      <c r="TPR134" s="562"/>
      <c r="TPS134" s="562"/>
      <c r="TPT134" s="562"/>
      <c r="TPU134" s="562"/>
      <c r="TPV134" s="562"/>
      <c r="TPW134" s="562"/>
      <c r="TPX134" s="562"/>
      <c r="TPY134" s="562"/>
      <c r="TPZ134" s="562"/>
      <c r="TQA134" s="562"/>
      <c r="TQB134" s="562"/>
      <c r="TQC134" s="562"/>
      <c r="TQD134" s="562"/>
      <c r="TQE134" s="562"/>
      <c r="TQF134" s="562"/>
      <c r="TQG134" s="562"/>
      <c r="TQH134" s="562"/>
      <c r="TQI134" s="562"/>
      <c r="TQJ134" s="562"/>
      <c r="TQK134" s="562"/>
      <c r="TQL134" s="562"/>
      <c r="TQM134" s="562"/>
      <c r="TQN134" s="562"/>
      <c r="TQO134" s="562"/>
      <c r="TQP134" s="562"/>
      <c r="TQQ134" s="562"/>
      <c r="TQR134" s="562"/>
      <c r="TQS134" s="562"/>
      <c r="TQT134" s="562"/>
      <c r="TQU134" s="562"/>
      <c r="TQV134" s="562"/>
      <c r="TQW134" s="562"/>
      <c r="TQX134" s="562"/>
      <c r="TQY134" s="562"/>
      <c r="TQZ134" s="562"/>
      <c r="TRA134" s="562"/>
      <c r="TRB134" s="562"/>
      <c r="TRC134" s="562"/>
      <c r="TRD134" s="562"/>
      <c r="TRE134" s="562"/>
      <c r="TRF134" s="562"/>
      <c r="TRG134" s="562"/>
      <c r="TRH134" s="562"/>
      <c r="TRI134" s="562"/>
      <c r="TRJ134" s="562"/>
      <c r="TRK134" s="562"/>
      <c r="TRL134" s="562"/>
      <c r="TRM134" s="562"/>
      <c r="TRN134" s="562"/>
      <c r="TRO134" s="562"/>
      <c r="TRP134" s="562"/>
      <c r="TRQ134" s="562"/>
      <c r="TRR134" s="562"/>
      <c r="TRS134" s="562"/>
      <c r="TRT134" s="562"/>
      <c r="TRU134" s="562"/>
      <c r="TRV134" s="562"/>
      <c r="TRW134" s="562"/>
      <c r="TRX134" s="562"/>
      <c r="TRY134" s="562"/>
      <c r="TRZ134" s="562"/>
      <c r="TSA134" s="562"/>
      <c r="TSB134" s="562"/>
      <c r="TSC134" s="562"/>
      <c r="TSD134" s="562"/>
      <c r="TSE134" s="562"/>
      <c r="TSF134" s="562"/>
      <c r="TSG134" s="562"/>
      <c r="TSH134" s="562"/>
      <c r="TSI134" s="562"/>
      <c r="TSJ134" s="562"/>
      <c r="TSK134" s="562"/>
      <c r="TSL134" s="562"/>
      <c r="TSM134" s="562"/>
      <c r="TSN134" s="562"/>
      <c r="TSO134" s="562"/>
      <c r="TSP134" s="562"/>
      <c r="TSQ134" s="562"/>
      <c r="TSR134" s="562"/>
      <c r="TSS134" s="562"/>
      <c r="TST134" s="562"/>
      <c r="TSU134" s="562"/>
      <c r="TSV134" s="562"/>
      <c r="TSW134" s="562"/>
      <c r="TSX134" s="562"/>
      <c r="TSY134" s="562"/>
      <c r="TSZ134" s="562"/>
      <c r="TTA134" s="562"/>
      <c r="TTB134" s="562"/>
      <c r="TTC134" s="562"/>
      <c r="TTD134" s="562"/>
      <c r="TTE134" s="562"/>
      <c r="TTF134" s="562"/>
      <c r="TTG134" s="562"/>
      <c r="TTH134" s="562"/>
      <c r="TTI134" s="562"/>
      <c r="TTJ134" s="562"/>
      <c r="TTK134" s="562"/>
      <c r="TTL134" s="562"/>
      <c r="TTM134" s="562"/>
      <c r="TTN134" s="562"/>
      <c r="TTO134" s="562"/>
      <c r="TTP134" s="562"/>
      <c r="TTQ134" s="562"/>
      <c r="TTR134" s="562"/>
      <c r="TTS134" s="562"/>
      <c r="TTT134" s="562"/>
      <c r="TTU134" s="562"/>
      <c r="TTV134" s="562"/>
      <c r="TTW134" s="562"/>
      <c r="TTX134" s="562"/>
      <c r="TTY134" s="562"/>
      <c r="TTZ134" s="562"/>
      <c r="TUA134" s="562"/>
      <c r="TUB134" s="562"/>
      <c r="TUC134" s="562"/>
      <c r="TUD134" s="562"/>
      <c r="TUE134" s="562"/>
      <c r="TUF134" s="562"/>
      <c r="TUG134" s="562"/>
      <c r="TUH134" s="562"/>
      <c r="TUI134" s="562"/>
      <c r="TUJ134" s="562"/>
      <c r="TUK134" s="562"/>
      <c r="TUL134" s="562"/>
      <c r="TUM134" s="562"/>
      <c r="TUN134" s="562"/>
      <c r="TUO134" s="562"/>
      <c r="TUP134" s="562"/>
      <c r="TUQ134" s="562"/>
      <c r="TUR134" s="562"/>
      <c r="TUS134" s="562"/>
      <c r="TUT134" s="562"/>
      <c r="TUU134" s="562"/>
      <c r="TUV134" s="562"/>
      <c r="TUW134" s="562"/>
      <c r="TUX134" s="562"/>
      <c r="TUY134" s="562"/>
      <c r="TUZ134" s="562"/>
      <c r="TVA134" s="562"/>
      <c r="TVB134" s="562"/>
      <c r="TVC134" s="562"/>
      <c r="TVD134" s="562"/>
      <c r="TVE134" s="562"/>
      <c r="TVF134" s="562"/>
      <c r="TVG134" s="562"/>
      <c r="TVH134" s="562"/>
      <c r="TVI134" s="562"/>
      <c r="TVJ134" s="562"/>
      <c r="TVK134" s="562"/>
      <c r="TVL134" s="562"/>
      <c r="TVM134" s="562"/>
      <c r="TVN134" s="562"/>
      <c r="TVO134" s="562"/>
      <c r="TVP134" s="562"/>
      <c r="TVQ134" s="562"/>
      <c r="TVR134" s="562"/>
      <c r="TVS134" s="562"/>
      <c r="TVT134" s="562"/>
      <c r="TVU134" s="562"/>
      <c r="TVV134" s="562"/>
      <c r="TVW134" s="562"/>
      <c r="TVX134" s="562"/>
      <c r="TVY134" s="562"/>
      <c r="TVZ134" s="562"/>
      <c r="TWA134" s="562"/>
      <c r="TWB134" s="562"/>
      <c r="TWC134" s="562"/>
      <c r="TWD134" s="562"/>
      <c r="TWE134" s="562"/>
      <c r="TWF134" s="562"/>
      <c r="TWG134" s="562"/>
      <c r="TWH134" s="562"/>
      <c r="TWI134" s="562"/>
      <c r="TWJ134" s="562"/>
      <c r="TWK134" s="562"/>
      <c r="TWL134" s="562"/>
      <c r="TWM134" s="562"/>
      <c r="TWN134" s="562"/>
      <c r="TWO134" s="562"/>
      <c r="TWP134" s="562"/>
      <c r="TWQ134" s="562"/>
      <c r="TWR134" s="562"/>
      <c r="TWS134" s="562"/>
      <c r="TWT134" s="562"/>
      <c r="TWU134" s="562"/>
      <c r="TWV134" s="562"/>
      <c r="TWW134" s="562"/>
      <c r="TWX134" s="562"/>
      <c r="TWY134" s="562"/>
      <c r="TWZ134" s="562"/>
      <c r="TXA134" s="562"/>
      <c r="TXB134" s="562"/>
      <c r="TXC134" s="562"/>
      <c r="TXD134" s="562"/>
      <c r="TXE134" s="562"/>
      <c r="TXF134" s="562"/>
      <c r="TXG134" s="562"/>
      <c r="TXH134" s="562"/>
      <c r="TXI134" s="562"/>
      <c r="TXJ134" s="562"/>
      <c r="TXK134" s="562"/>
      <c r="TXL134" s="562"/>
      <c r="TXM134" s="562"/>
      <c r="TXN134" s="562"/>
      <c r="TXO134" s="562"/>
      <c r="TXP134" s="562"/>
      <c r="TXQ134" s="562"/>
      <c r="TXR134" s="562"/>
      <c r="TXS134" s="562"/>
      <c r="TXT134" s="562"/>
      <c r="TXU134" s="562"/>
      <c r="TXV134" s="562"/>
      <c r="TXW134" s="562"/>
      <c r="TXX134" s="562"/>
      <c r="TXY134" s="562"/>
      <c r="TXZ134" s="562"/>
      <c r="TYA134" s="562"/>
      <c r="TYB134" s="562"/>
      <c r="TYC134" s="562"/>
      <c r="TYD134" s="562"/>
      <c r="TYE134" s="562"/>
      <c r="TYF134" s="562"/>
      <c r="TYG134" s="562"/>
      <c r="TYH134" s="562"/>
      <c r="TYI134" s="562"/>
      <c r="TYJ134" s="562"/>
      <c r="TYK134" s="562"/>
      <c r="TYL134" s="562"/>
      <c r="TYM134" s="562"/>
      <c r="TYN134" s="562"/>
      <c r="TYO134" s="562"/>
      <c r="TYP134" s="562"/>
      <c r="TYQ134" s="562"/>
      <c r="TYR134" s="562"/>
      <c r="TYS134" s="562"/>
      <c r="TYT134" s="562"/>
      <c r="TYU134" s="562"/>
      <c r="TYV134" s="562"/>
      <c r="TYW134" s="562"/>
      <c r="TYX134" s="562"/>
      <c r="TYY134" s="562"/>
      <c r="TYZ134" s="562"/>
      <c r="TZA134" s="562"/>
      <c r="TZB134" s="562"/>
      <c r="TZC134" s="562"/>
      <c r="TZD134" s="562"/>
      <c r="TZE134" s="562"/>
      <c r="TZF134" s="562"/>
      <c r="TZG134" s="562"/>
      <c r="TZH134" s="562"/>
      <c r="TZI134" s="562"/>
      <c r="TZJ134" s="562"/>
      <c r="TZK134" s="562"/>
      <c r="TZL134" s="562"/>
      <c r="TZM134" s="562"/>
      <c r="TZN134" s="562"/>
      <c r="TZO134" s="562"/>
      <c r="TZP134" s="562"/>
      <c r="TZQ134" s="562"/>
      <c r="TZR134" s="562"/>
      <c r="TZS134" s="562"/>
      <c r="TZT134" s="562"/>
      <c r="TZU134" s="562"/>
      <c r="TZV134" s="562"/>
      <c r="TZW134" s="562"/>
      <c r="TZX134" s="562"/>
      <c r="TZY134" s="562"/>
      <c r="TZZ134" s="562"/>
      <c r="UAA134" s="562"/>
      <c r="UAB134" s="562"/>
      <c r="UAC134" s="562"/>
      <c r="UAD134" s="562"/>
      <c r="UAE134" s="562"/>
      <c r="UAF134" s="562"/>
      <c r="UAG134" s="562"/>
      <c r="UAH134" s="562"/>
      <c r="UAI134" s="562"/>
      <c r="UAJ134" s="562"/>
      <c r="UAK134" s="562"/>
      <c r="UAL134" s="562"/>
      <c r="UAM134" s="562"/>
      <c r="UAN134" s="562"/>
      <c r="UAO134" s="562"/>
      <c r="UAP134" s="562"/>
      <c r="UAQ134" s="562"/>
      <c r="UAR134" s="562"/>
      <c r="UAS134" s="562"/>
      <c r="UAT134" s="562"/>
      <c r="UAU134" s="562"/>
      <c r="UAV134" s="562"/>
      <c r="UAW134" s="562"/>
      <c r="UAX134" s="562"/>
      <c r="UAY134" s="562"/>
      <c r="UAZ134" s="562"/>
      <c r="UBA134" s="562"/>
      <c r="UBB134" s="562"/>
      <c r="UBC134" s="562"/>
      <c r="UBD134" s="562"/>
      <c r="UBE134" s="562"/>
      <c r="UBF134" s="562"/>
      <c r="UBG134" s="562"/>
      <c r="UBH134" s="562"/>
      <c r="UBI134" s="562"/>
      <c r="UBJ134" s="562"/>
      <c r="UBK134" s="562"/>
      <c r="UBL134" s="562"/>
      <c r="UBM134" s="562"/>
      <c r="UBN134" s="562"/>
      <c r="UBO134" s="562"/>
      <c r="UBP134" s="562"/>
      <c r="UBQ134" s="562"/>
      <c r="UBR134" s="562"/>
      <c r="UBS134" s="562"/>
      <c r="UBT134" s="562"/>
      <c r="UBU134" s="562"/>
      <c r="UBV134" s="562"/>
      <c r="UBW134" s="562"/>
      <c r="UBX134" s="562"/>
      <c r="UBY134" s="562"/>
      <c r="UBZ134" s="562"/>
      <c r="UCA134" s="562"/>
      <c r="UCB134" s="562"/>
      <c r="UCC134" s="562"/>
      <c r="UCD134" s="562"/>
      <c r="UCE134" s="562"/>
      <c r="UCF134" s="562"/>
      <c r="UCG134" s="562"/>
      <c r="UCH134" s="562"/>
      <c r="UCI134" s="562"/>
      <c r="UCJ134" s="562"/>
      <c r="UCK134" s="562"/>
      <c r="UCL134" s="562"/>
      <c r="UCM134" s="562"/>
      <c r="UCN134" s="562"/>
      <c r="UCO134" s="562"/>
      <c r="UCP134" s="562"/>
      <c r="UCQ134" s="562"/>
      <c r="UCR134" s="562"/>
      <c r="UCS134" s="562"/>
      <c r="UCT134" s="562"/>
      <c r="UCU134" s="562"/>
      <c r="UCV134" s="562"/>
      <c r="UCW134" s="562"/>
      <c r="UCX134" s="562"/>
      <c r="UCY134" s="562"/>
      <c r="UCZ134" s="562"/>
      <c r="UDA134" s="562"/>
      <c r="UDB134" s="562"/>
      <c r="UDC134" s="562"/>
      <c r="UDD134" s="562"/>
      <c r="UDE134" s="562"/>
      <c r="UDF134" s="562"/>
      <c r="UDG134" s="562"/>
      <c r="UDH134" s="562"/>
      <c r="UDI134" s="562"/>
      <c r="UDJ134" s="562"/>
      <c r="UDK134" s="562"/>
      <c r="UDL134" s="562"/>
      <c r="UDM134" s="562"/>
      <c r="UDN134" s="562"/>
      <c r="UDO134" s="562"/>
      <c r="UDP134" s="562"/>
      <c r="UDQ134" s="562"/>
      <c r="UDR134" s="562"/>
      <c r="UDS134" s="562"/>
      <c r="UDT134" s="562"/>
      <c r="UDU134" s="562"/>
      <c r="UDV134" s="562"/>
      <c r="UDW134" s="562"/>
      <c r="UDX134" s="562"/>
      <c r="UDY134" s="562"/>
      <c r="UDZ134" s="562"/>
      <c r="UEA134" s="562"/>
      <c r="UEB134" s="562"/>
      <c r="UEC134" s="562"/>
      <c r="UED134" s="562"/>
      <c r="UEE134" s="562"/>
      <c r="UEF134" s="562"/>
      <c r="UEG134" s="562"/>
      <c r="UEH134" s="562"/>
      <c r="UEI134" s="562"/>
      <c r="UEJ134" s="562"/>
      <c r="UEK134" s="562"/>
      <c r="UEL134" s="562"/>
      <c r="UEM134" s="562"/>
      <c r="UEN134" s="562"/>
      <c r="UEO134" s="562"/>
      <c r="UEP134" s="562"/>
      <c r="UEQ134" s="562"/>
      <c r="UER134" s="562"/>
      <c r="UES134" s="562"/>
      <c r="UET134" s="562"/>
      <c r="UEU134" s="562"/>
      <c r="UEV134" s="562"/>
      <c r="UEW134" s="562"/>
      <c r="UEX134" s="562"/>
      <c r="UEY134" s="562"/>
      <c r="UEZ134" s="562"/>
      <c r="UFA134" s="562"/>
      <c r="UFB134" s="562"/>
      <c r="UFC134" s="562"/>
      <c r="UFD134" s="562"/>
      <c r="UFE134" s="562"/>
      <c r="UFF134" s="562"/>
      <c r="UFG134" s="562"/>
      <c r="UFH134" s="562"/>
      <c r="UFI134" s="562"/>
      <c r="UFJ134" s="562"/>
      <c r="UFK134" s="562"/>
      <c r="UFL134" s="562"/>
      <c r="UFM134" s="562"/>
      <c r="UFN134" s="562"/>
      <c r="UFO134" s="562"/>
      <c r="UFP134" s="562"/>
      <c r="UFQ134" s="562"/>
      <c r="UFR134" s="562"/>
      <c r="UFS134" s="562"/>
      <c r="UFT134" s="562"/>
      <c r="UFU134" s="562"/>
      <c r="UFV134" s="562"/>
      <c r="UFW134" s="562"/>
      <c r="UFX134" s="562"/>
      <c r="UFY134" s="562"/>
      <c r="UFZ134" s="562"/>
      <c r="UGA134" s="562"/>
      <c r="UGB134" s="562"/>
      <c r="UGC134" s="562"/>
      <c r="UGD134" s="562"/>
      <c r="UGE134" s="562"/>
      <c r="UGF134" s="562"/>
      <c r="UGG134" s="562"/>
      <c r="UGH134" s="562"/>
      <c r="UGI134" s="562"/>
      <c r="UGJ134" s="562"/>
      <c r="UGK134" s="562"/>
      <c r="UGL134" s="562"/>
      <c r="UGM134" s="562"/>
      <c r="UGN134" s="562"/>
      <c r="UGO134" s="562"/>
      <c r="UGP134" s="562"/>
      <c r="UGQ134" s="562"/>
      <c r="UGR134" s="562"/>
      <c r="UGS134" s="562"/>
      <c r="UGT134" s="562"/>
      <c r="UGU134" s="562"/>
      <c r="UGV134" s="562"/>
      <c r="UGW134" s="562"/>
      <c r="UGX134" s="562"/>
      <c r="UGY134" s="562"/>
      <c r="UGZ134" s="562"/>
      <c r="UHA134" s="562"/>
      <c r="UHB134" s="562"/>
      <c r="UHC134" s="562"/>
      <c r="UHD134" s="562"/>
      <c r="UHE134" s="562"/>
      <c r="UHF134" s="562"/>
      <c r="UHG134" s="562"/>
      <c r="UHH134" s="562"/>
      <c r="UHI134" s="562"/>
      <c r="UHJ134" s="562"/>
      <c r="UHK134" s="562"/>
      <c r="UHL134" s="562"/>
      <c r="UHM134" s="562"/>
      <c r="UHN134" s="562"/>
      <c r="UHO134" s="562"/>
      <c r="UHP134" s="562"/>
      <c r="UHQ134" s="562"/>
      <c r="UHR134" s="562"/>
      <c r="UHS134" s="562"/>
      <c r="UHT134" s="562"/>
      <c r="UHU134" s="562"/>
      <c r="UHV134" s="562"/>
      <c r="UHW134" s="562"/>
      <c r="UHX134" s="562"/>
      <c r="UHY134" s="562"/>
      <c r="UHZ134" s="562"/>
      <c r="UIA134" s="562"/>
      <c r="UIB134" s="562"/>
      <c r="UIC134" s="562"/>
      <c r="UID134" s="562"/>
      <c r="UIE134" s="562"/>
      <c r="UIF134" s="562"/>
      <c r="UIG134" s="562"/>
      <c r="UIH134" s="562"/>
      <c r="UII134" s="562"/>
      <c r="UIJ134" s="562"/>
      <c r="UIK134" s="562"/>
      <c r="UIL134" s="562"/>
      <c r="UIM134" s="562"/>
      <c r="UIN134" s="562"/>
      <c r="UIO134" s="562"/>
      <c r="UIP134" s="562"/>
      <c r="UIQ134" s="562"/>
      <c r="UIR134" s="562"/>
      <c r="UIS134" s="562"/>
      <c r="UIT134" s="562"/>
      <c r="UIU134" s="562"/>
      <c r="UIV134" s="562"/>
      <c r="UIW134" s="562"/>
      <c r="UIX134" s="562"/>
      <c r="UIY134" s="562"/>
      <c r="UIZ134" s="562"/>
      <c r="UJA134" s="562"/>
      <c r="UJB134" s="562"/>
      <c r="UJC134" s="562"/>
      <c r="UJD134" s="562"/>
      <c r="UJE134" s="562"/>
      <c r="UJF134" s="562"/>
      <c r="UJG134" s="562"/>
      <c r="UJH134" s="562"/>
      <c r="UJI134" s="562"/>
      <c r="UJJ134" s="562"/>
      <c r="UJK134" s="562"/>
      <c r="UJL134" s="562"/>
      <c r="UJM134" s="562"/>
      <c r="UJN134" s="562"/>
      <c r="UJO134" s="562"/>
      <c r="UJP134" s="562"/>
      <c r="UJQ134" s="562"/>
      <c r="UJR134" s="562"/>
      <c r="UJS134" s="562"/>
      <c r="UJT134" s="562"/>
      <c r="UJU134" s="562"/>
      <c r="UJV134" s="562"/>
      <c r="UJW134" s="562"/>
      <c r="UJX134" s="562"/>
      <c r="UJY134" s="562"/>
      <c r="UJZ134" s="562"/>
      <c r="UKA134" s="562"/>
      <c r="UKB134" s="562"/>
      <c r="UKC134" s="562"/>
      <c r="UKD134" s="562"/>
      <c r="UKE134" s="562"/>
      <c r="UKF134" s="562"/>
      <c r="UKG134" s="562"/>
      <c r="UKH134" s="562"/>
      <c r="UKI134" s="562"/>
      <c r="UKJ134" s="562"/>
      <c r="UKK134" s="562"/>
      <c r="UKL134" s="562"/>
      <c r="UKM134" s="562"/>
      <c r="UKN134" s="562"/>
      <c r="UKO134" s="562"/>
      <c r="UKP134" s="562"/>
      <c r="UKQ134" s="562"/>
      <c r="UKR134" s="562"/>
      <c r="UKS134" s="562"/>
      <c r="UKT134" s="562"/>
      <c r="UKU134" s="562"/>
      <c r="UKV134" s="562"/>
      <c r="UKW134" s="562"/>
      <c r="UKX134" s="562"/>
      <c r="UKY134" s="562"/>
      <c r="UKZ134" s="562"/>
      <c r="ULA134" s="562"/>
      <c r="ULB134" s="562"/>
      <c r="ULC134" s="562"/>
      <c r="ULD134" s="562"/>
      <c r="ULE134" s="562"/>
      <c r="ULF134" s="562"/>
      <c r="ULG134" s="562"/>
      <c r="ULH134" s="562"/>
      <c r="ULI134" s="562"/>
      <c r="ULJ134" s="562"/>
      <c r="ULK134" s="562"/>
      <c r="ULL134" s="562"/>
      <c r="ULM134" s="562"/>
      <c r="ULN134" s="562"/>
      <c r="ULO134" s="562"/>
      <c r="ULP134" s="562"/>
      <c r="ULQ134" s="562"/>
      <c r="ULR134" s="562"/>
      <c r="ULS134" s="562"/>
      <c r="ULT134" s="562"/>
      <c r="ULU134" s="562"/>
      <c r="ULV134" s="562"/>
      <c r="ULW134" s="562"/>
      <c r="ULX134" s="562"/>
      <c r="ULY134" s="562"/>
      <c r="ULZ134" s="562"/>
      <c r="UMA134" s="562"/>
      <c r="UMB134" s="562"/>
      <c r="UMC134" s="562"/>
      <c r="UMD134" s="562"/>
      <c r="UME134" s="562"/>
      <c r="UMF134" s="562"/>
      <c r="UMG134" s="562"/>
      <c r="UMH134" s="562"/>
      <c r="UMI134" s="562"/>
      <c r="UMJ134" s="562"/>
      <c r="UMK134" s="562"/>
      <c r="UML134" s="562"/>
      <c r="UMM134" s="562"/>
      <c r="UMN134" s="562"/>
      <c r="UMO134" s="562"/>
      <c r="UMP134" s="562"/>
      <c r="UMQ134" s="562"/>
      <c r="UMR134" s="562"/>
      <c r="UMS134" s="562"/>
      <c r="UMT134" s="562"/>
      <c r="UMU134" s="562"/>
      <c r="UMV134" s="562"/>
      <c r="UMW134" s="562"/>
      <c r="UMX134" s="562"/>
      <c r="UMY134" s="562"/>
      <c r="UMZ134" s="562"/>
      <c r="UNA134" s="562"/>
      <c r="UNB134" s="562"/>
      <c r="UNC134" s="562"/>
      <c r="UND134" s="562"/>
      <c r="UNE134" s="562"/>
      <c r="UNF134" s="562"/>
      <c r="UNG134" s="562"/>
      <c r="UNH134" s="562"/>
      <c r="UNI134" s="562"/>
      <c r="UNJ134" s="562"/>
      <c r="UNK134" s="562"/>
      <c r="UNL134" s="562"/>
      <c r="UNM134" s="562"/>
      <c r="UNN134" s="562"/>
      <c r="UNO134" s="562"/>
      <c r="UNP134" s="562"/>
      <c r="UNQ134" s="562"/>
      <c r="UNR134" s="562"/>
      <c r="UNS134" s="562"/>
      <c r="UNT134" s="562"/>
      <c r="UNU134" s="562"/>
      <c r="UNV134" s="562"/>
      <c r="UNW134" s="562"/>
      <c r="UNX134" s="562"/>
      <c r="UNY134" s="562"/>
      <c r="UNZ134" s="562"/>
      <c r="UOA134" s="562"/>
      <c r="UOB134" s="562"/>
      <c r="UOC134" s="562"/>
      <c r="UOD134" s="562"/>
      <c r="UOE134" s="562"/>
      <c r="UOF134" s="562"/>
      <c r="UOG134" s="562"/>
      <c r="UOH134" s="562"/>
      <c r="UOI134" s="562"/>
      <c r="UOJ134" s="562"/>
      <c r="UOK134" s="562"/>
      <c r="UOL134" s="562"/>
      <c r="UOM134" s="562"/>
      <c r="UON134" s="562"/>
      <c r="UOO134" s="562"/>
      <c r="UOP134" s="562"/>
      <c r="UOQ134" s="562"/>
      <c r="UOR134" s="562"/>
      <c r="UOS134" s="562"/>
      <c r="UOT134" s="562"/>
      <c r="UOU134" s="562"/>
      <c r="UOV134" s="562"/>
      <c r="UOW134" s="562"/>
      <c r="UOX134" s="562"/>
      <c r="UOY134" s="562"/>
      <c r="UOZ134" s="562"/>
      <c r="UPA134" s="562"/>
      <c r="UPB134" s="562"/>
      <c r="UPC134" s="562"/>
      <c r="UPD134" s="562"/>
      <c r="UPE134" s="562"/>
      <c r="UPF134" s="562"/>
      <c r="UPG134" s="562"/>
      <c r="UPH134" s="562"/>
      <c r="UPI134" s="562"/>
      <c r="UPJ134" s="562"/>
      <c r="UPK134" s="562"/>
      <c r="UPL134" s="562"/>
      <c r="UPM134" s="562"/>
      <c r="UPN134" s="562"/>
      <c r="UPO134" s="562"/>
      <c r="UPP134" s="562"/>
      <c r="UPQ134" s="562"/>
      <c r="UPR134" s="562"/>
      <c r="UPS134" s="562"/>
      <c r="UPT134" s="562"/>
      <c r="UPU134" s="562"/>
      <c r="UPV134" s="562"/>
      <c r="UPW134" s="562"/>
      <c r="UPX134" s="562"/>
      <c r="UPY134" s="562"/>
      <c r="UPZ134" s="562"/>
      <c r="UQA134" s="562"/>
      <c r="UQB134" s="562"/>
      <c r="UQC134" s="562"/>
      <c r="UQD134" s="562"/>
      <c r="UQE134" s="562"/>
      <c r="UQF134" s="562"/>
      <c r="UQG134" s="562"/>
      <c r="UQH134" s="562"/>
      <c r="UQI134" s="562"/>
      <c r="UQJ134" s="562"/>
      <c r="UQK134" s="562"/>
      <c r="UQL134" s="562"/>
      <c r="UQM134" s="562"/>
      <c r="UQN134" s="562"/>
      <c r="UQO134" s="562"/>
      <c r="UQP134" s="562"/>
      <c r="UQQ134" s="562"/>
      <c r="UQR134" s="562"/>
      <c r="UQS134" s="562"/>
      <c r="UQT134" s="562"/>
      <c r="UQU134" s="562"/>
      <c r="UQV134" s="562"/>
      <c r="UQW134" s="562"/>
      <c r="UQX134" s="562"/>
      <c r="UQY134" s="562"/>
      <c r="UQZ134" s="562"/>
      <c r="URA134" s="562"/>
      <c r="URB134" s="562"/>
      <c r="URC134" s="562"/>
      <c r="URD134" s="562"/>
      <c r="URE134" s="562"/>
      <c r="URF134" s="562"/>
      <c r="URG134" s="562"/>
      <c r="URH134" s="562"/>
      <c r="URI134" s="562"/>
      <c r="URJ134" s="562"/>
      <c r="URK134" s="562"/>
      <c r="URL134" s="562"/>
      <c r="URM134" s="562"/>
      <c r="URN134" s="562"/>
      <c r="URO134" s="562"/>
      <c r="URP134" s="562"/>
      <c r="URQ134" s="562"/>
      <c r="URR134" s="562"/>
      <c r="URS134" s="562"/>
      <c r="URT134" s="562"/>
      <c r="URU134" s="562"/>
      <c r="URV134" s="562"/>
      <c r="URW134" s="562"/>
      <c r="URX134" s="562"/>
      <c r="URY134" s="562"/>
      <c r="URZ134" s="562"/>
      <c r="USA134" s="562"/>
      <c r="USB134" s="562"/>
      <c r="USC134" s="562"/>
      <c r="USD134" s="562"/>
      <c r="USE134" s="562"/>
      <c r="USF134" s="562"/>
      <c r="USG134" s="562"/>
      <c r="USH134" s="562"/>
      <c r="USI134" s="562"/>
      <c r="USJ134" s="562"/>
      <c r="USK134" s="562"/>
      <c r="USL134" s="562"/>
      <c r="USM134" s="562"/>
      <c r="USN134" s="562"/>
      <c r="USO134" s="562"/>
      <c r="USP134" s="562"/>
      <c r="USQ134" s="562"/>
      <c r="USR134" s="562"/>
      <c r="USS134" s="562"/>
      <c r="UST134" s="562"/>
      <c r="USU134" s="562"/>
      <c r="USV134" s="562"/>
      <c r="USW134" s="562"/>
      <c r="USX134" s="562"/>
      <c r="USY134" s="562"/>
      <c r="USZ134" s="562"/>
      <c r="UTA134" s="562"/>
      <c r="UTB134" s="562"/>
      <c r="UTC134" s="562"/>
      <c r="UTD134" s="562"/>
      <c r="UTE134" s="562"/>
      <c r="UTF134" s="562"/>
      <c r="UTG134" s="562"/>
      <c r="UTH134" s="562"/>
      <c r="UTI134" s="562"/>
      <c r="UTJ134" s="562"/>
      <c r="UTK134" s="562"/>
      <c r="UTL134" s="562"/>
      <c r="UTM134" s="562"/>
      <c r="UTN134" s="562"/>
      <c r="UTO134" s="562"/>
      <c r="UTP134" s="562"/>
      <c r="UTQ134" s="562"/>
      <c r="UTR134" s="562"/>
      <c r="UTS134" s="562"/>
      <c r="UTT134" s="562"/>
      <c r="UTU134" s="562"/>
      <c r="UTV134" s="562"/>
      <c r="UTW134" s="562"/>
      <c r="UTX134" s="562"/>
      <c r="UTY134" s="562"/>
      <c r="UTZ134" s="562"/>
      <c r="UUA134" s="562"/>
      <c r="UUB134" s="562"/>
      <c r="UUC134" s="562"/>
      <c r="UUD134" s="562"/>
      <c r="UUE134" s="562"/>
      <c r="UUF134" s="562"/>
      <c r="UUG134" s="562"/>
      <c r="UUH134" s="562"/>
      <c r="UUI134" s="562"/>
      <c r="UUJ134" s="562"/>
      <c r="UUK134" s="562"/>
      <c r="UUL134" s="562"/>
      <c r="UUM134" s="562"/>
      <c r="UUN134" s="562"/>
      <c r="UUO134" s="562"/>
      <c r="UUP134" s="562"/>
      <c r="UUQ134" s="562"/>
      <c r="UUR134" s="562"/>
      <c r="UUS134" s="562"/>
      <c r="UUT134" s="562"/>
      <c r="UUU134" s="562"/>
      <c r="UUV134" s="562"/>
      <c r="UUW134" s="562"/>
      <c r="UUX134" s="562"/>
      <c r="UUY134" s="562"/>
      <c r="UUZ134" s="562"/>
      <c r="UVA134" s="562"/>
      <c r="UVB134" s="562"/>
      <c r="UVC134" s="562"/>
      <c r="UVD134" s="562"/>
      <c r="UVE134" s="562"/>
      <c r="UVF134" s="562"/>
      <c r="UVG134" s="562"/>
      <c r="UVH134" s="562"/>
      <c r="UVI134" s="562"/>
      <c r="UVJ134" s="562"/>
      <c r="UVK134" s="562"/>
      <c r="UVL134" s="562"/>
      <c r="UVM134" s="562"/>
      <c r="UVN134" s="562"/>
      <c r="UVO134" s="562"/>
      <c r="UVP134" s="562"/>
      <c r="UVQ134" s="562"/>
      <c r="UVR134" s="562"/>
      <c r="UVS134" s="562"/>
      <c r="UVT134" s="562"/>
      <c r="UVU134" s="562"/>
      <c r="UVV134" s="562"/>
      <c r="UVW134" s="562"/>
      <c r="UVX134" s="562"/>
      <c r="UVY134" s="562"/>
      <c r="UVZ134" s="562"/>
      <c r="UWA134" s="562"/>
      <c r="UWB134" s="562"/>
      <c r="UWC134" s="562"/>
      <c r="UWD134" s="562"/>
      <c r="UWE134" s="562"/>
      <c r="UWF134" s="562"/>
      <c r="UWG134" s="562"/>
      <c r="UWH134" s="562"/>
      <c r="UWI134" s="562"/>
      <c r="UWJ134" s="562"/>
      <c r="UWK134" s="562"/>
      <c r="UWL134" s="562"/>
      <c r="UWM134" s="562"/>
      <c r="UWN134" s="562"/>
      <c r="UWO134" s="562"/>
      <c r="UWP134" s="562"/>
      <c r="UWQ134" s="562"/>
      <c r="UWR134" s="562"/>
      <c r="UWS134" s="562"/>
      <c r="UWT134" s="562"/>
      <c r="UWU134" s="562"/>
      <c r="UWV134" s="562"/>
      <c r="UWW134" s="562"/>
      <c r="UWX134" s="562"/>
      <c r="UWY134" s="562"/>
      <c r="UWZ134" s="562"/>
      <c r="UXA134" s="562"/>
      <c r="UXB134" s="562"/>
      <c r="UXC134" s="562"/>
      <c r="UXD134" s="562"/>
      <c r="UXE134" s="562"/>
      <c r="UXF134" s="562"/>
      <c r="UXG134" s="562"/>
      <c r="UXH134" s="562"/>
      <c r="UXI134" s="562"/>
      <c r="UXJ134" s="562"/>
      <c r="UXK134" s="562"/>
      <c r="UXL134" s="562"/>
      <c r="UXM134" s="562"/>
      <c r="UXN134" s="562"/>
      <c r="UXO134" s="562"/>
      <c r="UXP134" s="562"/>
      <c r="UXQ134" s="562"/>
      <c r="UXR134" s="562"/>
      <c r="UXS134" s="562"/>
      <c r="UXT134" s="562"/>
      <c r="UXU134" s="562"/>
      <c r="UXV134" s="562"/>
      <c r="UXW134" s="562"/>
      <c r="UXX134" s="562"/>
      <c r="UXY134" s="562"/>
      <c r="UXZ134" s="562"/>
      <c r="UYA134" s="562"/>
      <c r="UYB134" s="562"/>
      <c r="UYC134" s="562"/>
      <c r="UYD134" s="562"/>
      <c r="UYE134" s="562"/>
      <c r="UYF134" s="562"/>
      <c r="UYG134" s="562"/>
      <c r="UYH134" s="562"/>
      <c r="UYI134" s="562"/>
      <c r="UYJ134" s="562"/>
      <c r="UYK134" s="562"/>
      <c r="UYL134" s="562"/>
      <c r="UYM134" s="562"/>
      <c r="UYN134" s="562"/>
      <c r="UYO134" s="562"/>
      <c r="UYP134" s="562"/>
      <c r="UYQ134" s="562"/>
      <c r="UYR134" s="562"/>
      <c r="UYS134" s="562"/>
      <c r="UYT134" s="562"/>
      <c r="UYU134" s="562"/>
      <c r="UYV134" s="562"/>
      <c r="UYW134" s="562"/>
      <c r="UYX134" s="562"/>
      <c r="UYY134" s="562"/>
      <c r="UYZ134" s="562"/>
      <c r="UZA134" s="562"/>
      <c r="UZB134" s="562"/>
      <c r="UZC134" s="562"/>
      <c r="UZD134" s="562"/>
      <c r="UZE134" s="562"/>
      <c r="UZF134" s="562"/>
      <c r="UZG134" s="562"/>
      <c r="UZH134" s="562"/>
      <c r="UZI134" s="562"/>
      <c r="UZJ134" s="562"/>
      <c r="UZK134" s="562"/>
      <c r="UZL134" s="562"/>
      <c r="UZM134" s="562"/>
      <c r="UZN134" s="562"/>
      <c r="UZO134" s="562"/>
      <c r="UZP134" s="562"/>
      <c r="UZQ134" s="562"/>
      <c r="UZR134" s="562"/>
      <c r="UZS134" s="562"/>
      <c r="UZT134" s="562"/>
      <c r="UZU134" s="562"/>
      <c r="UZV134" s="562"/>
      <c r="UZW134" s="562"/>
      <c r="UZX134" s="562"/>
      <c r="UZY134" s="562"/>
      <c r="UZZ134" s="562"/>
      <c r="VAA134" s="562"/>
      <c r="VAB134" s="562"/>
      <c r="VAC134" s="562"/>
      <c r="VAD134" s="562"/>
      <c r="VAE134" s="562"/>
      <c r="VAF134" s="562"/>
      <c r="VAG134" s="562"/>
      <c r="VAH134" s="562"/>
      <c r="VAI134" s="562"/>
      <c r="VAJ134" s="562"/>
      <c r="VAK134" s="562"/>
      <c r="VAL134" s="562"/>
      <c r="VAM134" s="562"/>
      <c r="VAN134" s="562"/>
      <c r="VAO134" s="562"/>
      <c r="VAP134" s="562"/>
      <c r="VAQ134" s="562"/>
      <c r="VAR134" s="562"/>
      <c r="VAS134" s="562"/>
      <c r="VAT134" s="562"/>
      <c r="VAU134" s="562"/>
      <c r="VAV134" s="562"/>
      <c r="VAW134" s="562"/>
      <c r="VAX134" s="562"/>
      <c r="VAY134" s="562"/>
      <c r="VAZ134" s="562"/>
      <c r="VBA134" s="562"/>
      <c r="VBB134" s="562"/>
      <c r="VBC134" s="562"/>
      <c r="VBD134" s="562"/>
      <c r="VBE134" s="562"/>
      <c r="VBF134" s="562"/>
      <c r="VBG134" s="562"/>
      <c r="VBH134" s="562"/>
      <c r="VBI134" s="562"/>
      <c r="VBJ134" s="562"/>
      <c r="VBK134" s="562"/>
      <c r="VBL134" s="562"/>
      <c r="VBM134" s="562"/>
      <c r="VBN134" s="562"/>
      <c r="VBO134" s="562"/>
      <c r="VBP134" s="562"/>
      <c r="VBQ134" s="562"/>
      <c r="VBR134" s="562"/>
      <c r="VBS134" s="562"/>
      <c r="VBT134" s="562"/>
      <c r="VBU134" s="562"/>
      <c r="VBV134" s="562"/>
      <c r="VBW134" s="562"/>
      <c r="VBX134" s="562"/>
      <c r="VBY134" s="562"/>
      <c r="VBZ134" s="562"/>
      <c r="VCA134" s="562"/>
      <c r="VCB134" s="562"/>
      <c r="VCC134" s="562"/>
      <c r="VCD134" s="562"/>
      <c r="VCE134" s="562"/>
      <c r="VCF134" s="562"/>
      <c r="VCG134" s="562"/>
      <c r="VCH134" s="562"/>
      <c r="VCI134" s="562"/>
      <c r="VCJ134" s="562"/>
      <c r="VCK134" s="562"/>
      <c r="VCL134" s="562"/>
      <c r="VCM134" s="562"/>
      <c r="VCN134" s="562"/>
      <c r="VCO134" s="562"/>
      <c r="VCP134" s="562"/>
      <c r="VCQ134" s="562"/>
      <c r="VCR134" s="562"/>
      <c r="VCS134" s="562"/>
      <c r="VCT134" s="562"/>
      <c r="VCU134" s="562"/>
      <c r="VCV134" s="562"/>
      <c r="VCW134" s="562"/>
      <c r="VCX134" s="562"/>
      <c r="VCY134" s="562"/>
      <c r="VCZ134" s="562"/>
      <c r="VDA134" s="562"/>
      <c r="VDB134" s="562"/>
      <c r="VDC134" s="562"/>
      <c r="VDD134" s="562"/>
      <c r="VDE134" s="562"/>
      <c r="VDF134" s="562"/>
      <c r="VDG134" s="562"/>
      <c r="VDH134" s="562"/>
      <c r="VDI134" s="562"/>
      <c r="VDJ134" s="562"/>
      <c r="VDK134" s="562"/>
      <c r="VDL134" s="562"/>
      <c r="VDM134" s="562"/>
      <c r="VDN134" s="562"/>
      <c r="VDO134" s="562"/>
      <c r="VDP134" s="562"/>
      <c r="VDQ134" s="562"/>
      <c r="VDR134" s="562"/>
      <c r="VDS134" s="562"/>
      <c r="VDT134" s="562"/>
      <c r="VDU134" s="562"/>
      <c r="VDV134" s="562"/>
      <c r="VDW134" s="562"/>
      <c r="VDX134" s="562"/>
      <c r="VDY134" s="562"/>
      <c r="VDZ134" s="562"/>
      <c r="VEA134" s="562"/>
      <c r="VEB134" s="562"/>
      <c r="VEC134" s="562"/>
      <c r="VED134" s="562"/>
      <c r="VEE134" s="562"/>
      <c r="VEF134" s="562"/>
      <c r="VEG134" s="562"/>
      <c r="VEH134" s="562"/>
      <c r="VEI134" s="562"/>
      <c r="VEJ134" s="562"/>
      <c r="VEK134" s="562"/>
      <c r="VEL134" s="562"/>
      <c r="VEM134" s="562"/>
      <c r="VEN134" s="562"/>
      <c r="VEO134" s="562"/>
      <c r="VEP134" s="562"/>
      <c r="VEQ134" s="562"/>
      <c r="VER134" s="562"/>
      <c r="VES134" s="562"/>
      <c r="VET134" s="562"/>
      <c r="VEU134" s="562"/>
      <c r="VEV134" s="562"/>
      <c r="VEW134" s="562"/>
      <c r="VEX134" s="562"/>
      <c r="VEY134" s="562"/>
      <c r="VEZ134" s="562"/>
      <c r="VFA134" s="562"/>
      <c r="VFB134" s="562"/>
      <c r="VFC134" s="562"/>
      <c r="VFD134" s="562"/>
      <c r="VFE134" s="562"/>
      <c r="VFF134" s="562"/>
      <c r="VFG134" s="562"/>
      <c r="VFH134" s="562"/>
      <c r="VFI134" s="562"/>
      <c r="VFJ134" s="562"/>
      <c r="VFK134" s="562"/>
      <c r="VFL134" s="562"/>
      <c r="VFM134" s="562"/>
      <c r="VFN134" s="562"/>
      <c r="VFO134" s="562"/>
      <c r="VFP134" s="562"/>
      <c r="VFQ134" s="562"/>
      <c r="VFR134" s="562"/>
      <c r="VFS134" s="562"/>
      <c r="VFT134" s="562"/>
      <c r="VFU134" s="562"/>
      <c r="VFV134" s="562"/>
      <c r="VFW134" s="562"/>
      <c r="VFX134" s="562"/>
      <c r="VFY134" s="562"/>
      <c r="VFZ134" s="562"/>
      <c r="VGA134" s="562"/>
      <c r="VGB134" s="562"/>
      <c r="VGC134" s="562"/>
      <c r="VGD134" s="562"/>
      <c r="VGE134" s="562"/>
      <c r="VGF134" s="562"/>
      <c r="VGG134" s="562"/>
      <c r="VGH134" s="562"/>
      <c r="VGI134" s="562"/>
      <c r="VGJ134" s="562"/>
      <c r="VGK134" s="562"/>
      <c r="VGL134" s="562"/>
      <c r="VGM134" s="562"/>
      <c r="VGN134" s="562"/>
      <c r="VGO134" s="562"/>
      <c r="VGP134" s="562"/>
      <c r="VGQ134" s="562"/>
      <c r="VGR134" s="562"/>
      <c r="VGS134" s="562"/>
      <c r="VGT134" s="562"/>
      <c r="VGU134" s="562"/>
      <c r="VGV134" s="562"/>
      <c r="VGW134" s="562"/>
      <c r="VGX134" s="562"/>
      <c r="VGY134" s="562"/>
      <c r="VGZ134" s="562"/>
      <c r="VHA134" s="562"/>
      <c r="VHB134" s="562"/>
      <c r="VHC134" s="562"/>
      <c r="VHD134" s="562"/>
      <c r="VHE134" s="562"/>
      <c r="VHF134" s="562"/>
      <c r="VHG134" s="562"/>
      <c r="VHH134" s="562"/>
      <c r="VHI134" s="562"/>
      <c r="VHJ134" s="562"/>
      <c r="VHK134" s="562"/>
      <c r="VHL134" s="562"/>
      <c r="VHM134" s="562"/>
      <c r="VHN134" s="562"/>
      <c r="VHO134" s="562"/>
      <c r="VHP134" s="562"/>
      <c r="VHQ134" s="562"/>
      <c r="VHR134" s="562"/>
      <c r="VHS134" s="562"/>
      <c r="VHT134" s="562"/>
      <c r="VHU134" s="562"/>
      <c r="VHV134" s="562"/>
      <c r="VHW134" s="562"/>
      <c r="VHX134" s="562"/>
      <c r="VHY134" s="562"/>
      <c r="VHZ134" s="562"/>
      <c r="VIA134" s="562"/>
      <c r="VIB134" s="562"/>
      <c r="VIC134" s="562"/>
      <c r="VID134" s="562"/>
      <c r="VIE134" s="562"/>
      <c r="VIF134" s="562"/>
      <c r="VIG134" s="562"/>
      <c r="VIH134" s="562"/>
      <c r="VII134" s="562"/>
      <c r="VIJ134" s="562"/>
      <c r="VIK134" s="562"/>
      <c r="VIL134" s="562"/>
      <c r="VIM134" s="562"/>
      <c r="VIN134" s="562"/>
      <c r="VIO134" s="562"/>
      <c r="VIP134" s="562"/>
      <c r="VIQ134" s="562"/>
      <c r="VIR134" s="562"/>
      <c r="VIS134" s="562"/>
      <c r="VIT134" s="562"/>
      <c r="VIU134" s="562"/>
      <c r="VIV134" s="562"/>
      <c r="VIW134" s="562"/>
      <c r="VIX134" s="562"/>
      <c r="VIY134" s="562"/>
      <c r="VIZ134" s="562"/>
      <c r="VJA134" s="562"/>
      <c r="VJB134" s="562"/>
      <c r="VJC134" s="562"/>
      <c r="VJD134" s="562"/>
      <c r="VJE134" s="562"/>
      <c r="VJF134" s="562"/>
      <c r="VJG134" s="562"/>
      <c r="VJH134" s="562"/>
      <c r="VJI134" s="562"/>
      <c r="VJJ134" s="562"/>
      <c r="VJK134" s="562"/>
      <c r="VJL134" s="562"/>
      <c r="VJM134" s="562"/>
      <c r="VJN134" s="562"/>
      <c r="VJO134" s="562"/>
      <c r="VJP134" s="562"/>
      <c r="VJQ134" s="562"/>
      <c r="VJR134" s="562"/>
      <c r="VJS134" s="562"/>
      <c r="VJT134" s="562"/>
      <c r="VJU134" s="562"/>
      <c r="VJV134" s="562"/>
      <c r="VJW134" s="562"/>
      <c r="VJX134" s="562"/>
      <c r="VJY134" s="562"/>
      <c r="VJZ134" s="562"/>
      <c r="VKA134" s="562"/>
      <c r="VKB134" s="562"/>
      <c r="VKC134" s="562"/>
      <c r="VKD134" s="562"/>
      <c r="VKE134" s="562"/>
      <c r="VKF134" s="562"/>
      <c r="VKG134" s="562"/>
      <c r="VKH134" s="562"/>
      <c r="VKI134" s="562"/>
      <c r="VKJ134" s="562"/>
      <c r="VKK134" s="562"/>
      <c r="VKL134" s="562"/>
      <c r="VKM134" s="562"/>
      <c r="VKN134" s="562"/>
      <c r="VKO134" s="562"/>
      <c r="VKP134" s="562"/>
      <c r="VKQ134" s="562"/>
      <c r="VKR134" s="562"/>
      <c r="VKS134" s="562"/>
      <c r="VKT134" s="562"/>
      <c r="VKU134" s="562"/>
      <c r="VKV134" s="562"/>
      <c r="VKW134" s="562"/>
      <c r="VKX134" s="562"/>
      <c r="VKY134" s="562"/>
      <c r="VKZ134" s="562"/>
      <c r="VLA134" s="562"/>
      <c r="VLB134" s="562"/>
      <c r="VLC134" s="562"/>
      <c r="VLD134" s="562"/>
      <c r="VLE134" s="562"/>
      <c r="VLF134" s="562"/>
      <c r="VLG134" s="562"/>
      <c r="VLH134" s="562"/>
      <c r="VLI134" s="562"/>
      <c r="VLJ134" s="562"/>
      <c r="VLK134" s="562"/>
      <c r="VLL134" s="562"/>
      <c r="VLM134" s="562"/>
      <c r="VLN134" s="562"/>
      <c r="VLO134" s="562"/>
      <c r="VLP134" s="562"/>
      <c r="VLQ134" s="562"/>
      <c r="VLR134" s="562"/>
      <c r="VLS134" s="562"/>
      <c r="VLT134" s="562"/>
      <c r="VLU134" s="562"/>
      <c r="VLV134" s="562"/>
      <c r="VLW134" s="562"/>
      <c r="VLX134" s="562"/>
      <c r="VLY134" s="562"/>
      <c r="VLZ134" s="562"/>
      <c r="VMA134" s="562"/>
      <c r="VMB134" s="562"/>
      <c r="VMC134" s="562"/>
      <c r="VMD134" s="562"/>
      <c r="VME134" s="562"/>
      <c r="VMF134" s="562"/>
      <c r="VMG134" s="562"/>
      <c r="VMH134" s="562"/>
      <c r="VMI134" s="562"/>
      <c r="VMJ134" s="562"/>
      <c r="VMK134" s="562"/>
      <c r="VML134" s="562"/>
      <c r="VMM134" s="562"/>
      <c r="VMN134" s="562"/>
      <c r="VMO134" s="562"/>
      <c r="VMP134" s="562"/>
      <c r="VMQ134" s="562"/>
      <c r="VMR134" s="562"/>
      <c r="VMS134" s="562"/>
      <c r="VMT134" s="562"/>
      <c r="VMU134" s="562"/>
      <c r="VMV134" s="562"/>
      <c r="VMW134" s="562"/>
      <c r="VMX134" s="562"/>
      <c r="VMY134" s="562"/>
      <c r="VMZ134" s="562"/>
      <c r="VNA134" s="562"/>
      <c r="VNB134" s="562"/>
      <c r="VNC134" s="562"/>
      <c r="VND134" s="562"/>
      <c r="VNE134" s="562"/>
      <c r="VNF134" s="562"/>
      <c r="VNG134" s="562"/>
      <c r="VNH134" s="562"/>
      <c r="VNI134" s="562"/>
      <c r="VNJ134" s="562"/>
      <c r="VNK134" s="562"/>
      <c r="VNL134" s="562"/>
      <c r="VNM134" s="562"/>
      <c r="VNN134" s="562"/>
      <c r="VNO134" s="562"/>
      <c r="VNP134" s="562"/>
      <c r="VNQ134" s="562"/>
      <c r="VNR134" s="562"/>
      <c r="VNS134" s="562"/>
      <c r="VNT134" s="562"/>
      <c r="VNU134" s="562"/>
      <c r="VNV134" s="562"/>
      <c r="VNW134" s="562"/>
      <c r="VNX134" s="562"/>
      <c r="VNY134" s="562"/>
      <c r="VNZ134" s="562"/>
      <c r="VOA134" s="562"/>
      <c r="VOB134" s="562"/>
      <c r="VOC134" s="562"/>
      <c r="VOD134" s="562"/>
      <c r="VOE134" s="562"/>
      <c r="VOF134" s="562"/>
      <c r="VOG134" s="562"/>
      <c r="VOH134" s="562"/>
      <c r="VOI134" s="562"/>
      <c r="VOJ134" s="562"/>
      <c r="VOK134" s="562"/>
      <c r="VOL134" s="562"/>
      <c r="VOM134" s="562"/>
      <c r="VON134" s="562"/>
      <c r="VOO134" s="562"/>
      <c r="VOP134" s="562"/>
      <c r="VOQ134" s="562"/>
      <c r="VOR134" s="562"/>
      <c r="VOS134" s="562"/>
      <c r="VOT134" s="562"/>
      <c r="VOU134" s="562"/>
      <c r="VOV134" s="562"/>
      <c r="VOW134" s="562"/>
      <c r="VOX134" s="562"/>
      <c r="VOY134" s="562"/>
      <c r="VOZ134" s="562"/>
      <c r="VPA134" s="562"/>
      <c r="VPB134" s="562"/>
      <c r="VPC134" s="562"/>
      <c r="VPD134" s="562"/>
      <c r="VPE134" s="562"/>
      <c r="VPF134" s="562"/>
      <c r="VPG134" s="562"/>
      <c r="VPH134" s="562"/>
      <c r="VPI134" s="562"/>
      <c r="VPJ134" s="562"/>
      <c r="VPK134" s="562"/>
      <c r="VPL134" s="562"/>
      <c r="VPM134" s="562"/>
      <c r="VPN134" s="562"/>
      <c r="VPO134" s="562"/>
      <c r="VPP134" s="562"/>
      <c r="VPQ134" s="562"/>
      <c r="VPR134" s="562"/>
      <c r="VPS134" s="562"/>
      <c r="VPT134" s="562"/>
      <c r="VPU134" s="562"/>
      <c r="VPV134" s="562"/>
      <c r="VPW134" s="562"/>
      <c r="VPX134" s="562"/>
      <c r="VPY134" s="562"/>
      <c r="VPZ134" s="562"/>
      <c r="VQA134" s="562"/>
      <c r="VQB134" s="562"/>
      <c r="VQC134" s="562"/>
      <c r="VQD134" s="562"/>
      <c r="VQE134" s="562"/>
      <c r="VQF134" s="562"/>
      <c r="VQG134" s="562"/>
      <c r="VQH134" s="562"/>
      <c r="VQI134" s="562"/>
      <c r="VQJ134" s="562"/>
      <c r="VQK134" s="562"/>
      <c r="VQL134" s="562"/>
      <c r="VQM134" s="562"/>
      <c r="VQN134" s="562"/>
      <c r="VQO134" s="562"/>
      <c r="VQP134" s="562"/>
      <c r="VQQ134" s="562"/>
      <c r="VQR134" s="562"/>
      <c r="VQS134" s="562"/>
      <c r="VQT134" s="562"/>
      <c r="VQU134" s="562"/>
      <c r="VQV134" s="562"/>
      <c r="VQW134" s="562"/>
      <c r="VQX134" s="562"/>
      <c r="VQY134" s="562"/>
      <c r="VQZ134" s="562"/>
      <c r="VRA134" s="562"/>
      <c r="VRB134" s="562"/>
      <c r="VRC134" s="562"/>
      <c r="VRD134" s="562"/>
      <c r="VRE134" s="562"/>
      <c r="VRF134" s="562"/>
      <c r="VRG134" s="562"/>
      <c r="VRH134" s="562"/>
      <c r="VRI134" s="562"/>
      <c r="VRJ134" s="562"/>
      <c r="VRK134" s="562"/>
      <c r="VRL134" s="562"/>
      <c r="VRM134" s="562"/>
      <c r="VRN134" s="562"/>
      <c r="VRO134" s="562"/>
      <c r="VRP134" s="562"/>
      <c r="VRQ134" s="562"/>
      <c r="VRR134" s="562"/>
      <c r="VRS134" s="562"/>
      <c r="VRT134" s="562"/>
      <c r="VRU134" s="562"/>
      <c r="VRV134" s="562"/>
      <c r="VRW134" s="562"/>
      <c r="VRX134" s="562"/>
      <c r="VRY134" s="562"/>
      <c r="VRZ134" s="562"/>
      <c r="VSA134" s="562"/>
      <c r="VSB134" s="562"/>
      <c r="VSC134" s="562"/>
      <c r="VSD134" s="562"/>
      <c r="VSE134" s="562"/>
      <c r="VSF134" s="562"/>
      <c r="VSG134" s="562"/>
      <c r="VSH134" s="562"/>
      <c r="VSI134" s="562"/>
      <c r="VSJ134" s="562"/>
      <c r="VSK134" s="562"/>
      <c r="VSL134" s="562"/>
      <c r="VSM134" s="562"/>
      <c r="VSN134" s="562"/>
      <c r="VSO134" s="562"/>
      <c r="VSP134" s="562"/>
      <c r="VSQ134" s="562"/>
      <c r="VSR134" s="562"/>
      <c r="VSS134" s="562"/>
      <c r="VST134" s="562"/>
      <c r="VSU134" s="562"/>
      <c r="VSV134" s="562"/>
      <c r="VSW134" s="562"/>
      <c r="VSX134" s="562"/>
      <c r="VSY134" s="562"/>
      <c r="VSZ134" s="562"/>
      <c r="VTA134" s="562"/>
      <c r="VTB134" s="562"/>
      <c r="VTC134" s="562"/>
      <c r="VTD134" s="562"/>
      <c r="VTE134" s="562"/>
      <c r="VTF134" s="562"/>
      <c r="VTG134" s="562"/>
      <c r="VTH134" s="562"/>
      <c r="VTI134" s="562"/>
      <c r="VTJ134" s="562"/>
      <c r="VTK134" s="562"/>
      <c r="VTL134" s="562"/>
      <c r="VTM134" s="562"/>
      <c r="VTN134" s="562"/>
      <c r="VTO134" s="562"/>
      <c r="VTP134" s="562"/>
      <c r="VTQ134" s="562"/>
      <c r="VTR134" s="562"/>
      <c r="VTS134" s="562"/>
      <c r="VTT134" s="562"/>
      <c r="VTU134" s="562"/>
      <c r="VTV134" s="562"/>
      <c r="VTW134" s="562"/>
      <c r="VTX134" s="562"/>
      <c r="VTY134" s="562"/>
      <c r="VTZ134" s="562"/>
      <c r="VUA134" s="562"/>
      <c r="VUB134" s="562"/>
      <c r="VUC134" s="562"/>
      <c r="VUD134" s="562"/>
      <c r="VUE134" s="562"/>
      <c r="VUF134" s="562"/>
      <c r="VUG134" s="562"/>
      <c r="VUH134" s="562"/>
      <c r="VUI134" s="562"/>
      <c r="VUJ134" s="562"/>
      <c r="VUK134" s="562"/>
      <c r="VUL134" s="562"/>
      <c r="VUM134" s="562"/>
      <c r="VUN134" s="562"/>
      <c r="VUO134" s="562"/>
      <c r="VUP134" s="562"/>
      <c r="VUQ134" s="562"/>
      <c r="VUR134" s="562"/>
      <c r="VUS134" s="562"/>
      <c r="VUT134" s="562"/>
      <c r="VUU134" s="562"/>
      <c r="VUV134" s="562"/>
      <c r="VUW134" s="562"/>
      <c r="VUX134" s="562"/>
      <c r="VUY134" s="562"/>
      <c r="VUZ134" s="562"/>
      <c r="VVA134" s="562"/>
      <c r="VVB134" s="562"/>
      <c r="VVC134" s="562"/>
      <c r="VVD134" s="562"/>
      <c r="VVE134" s="562"/>
      <c r="VVF134" s="562"/>
      <c r="VVG134" s="562"/>
      <c r="VVH134" s="562"/>
      <c r="VVI134" s="562"/>
      <c r="VVJ134" s="562"/>
      <c r="VVK134" s="562"/>
      <c r="VVL134" s="562"/>
      <c r="VVM134" s="562"/>
      <c r="VVN134" s="562"/>
      <c r="VVO134" s="562"/>
      <c r="VVP134" s="562"/>
      <c r="VVQ134" s="562"/>
      <c r="VVR134" s="562"/>
      <c r="VVS134" s="562"/>
      <c r="VVT134" s="562"/>
      <c r="VVU134" s="562"/>
      <c r="VVV134" s="562"/>
      <c r="VVW134" s="562"/>
      <c r="VVX134" s="562"/>
      <c r="VVY134" s="562"/>
      <c r="VVZ134" s="562"/>
      <c r="VWA134" s="562"/>
      <c r="VWB134" s="562"/>
      <c r="VWC134" s="562"/>
      <c r="VWD134" s="562"/>
      <c r="VWE134" s="562"/>
      <c r="VWF134" s="562"/>
      <c r="VWG134" s="562"/>
      <c r="VWH134" s="562"/>
      <c r="VWI134" s="562"/>
      <c r="VWJ134" s="562"/>
      <c r="VWK134" s="562"/>
      <c r="VWL134" s="562"/>
      <c r="VWM134" s="562"/>
      <c r="VWN134" s="562"/>
      <c r="VWO134" s="562"/>
      <c r="VWP134" s="562"/>
      <c r="VWQ134" s="562"/>
      <c r="VWR134" s="562"/>
      <c r="VWS134" s="562"/>
      <c r="VWT134" s="562"/>
      <c r="VWU134" s="562"/>
      <c r="VWV134" s="562"/>
      <c r="VWW134" s="562"/>
      <c r="VWX134" s="562"/>
      <c r="VWY134" s="562"/>
      <c r="VWZ134" s="562"/>
      <c r="VXA134" s="562"/>
      <c r="VXB134" s="562"/>
      <c r="VXC134" s="562"/>
      <c r="VXD134" s="562"/>
      <c r="VXE134" s="562"/>
      <c r="VXF134" s="562"/>
      <c r="VXG134" s="562"/>
      <c r="VXH134" s="562"/>
      <c r="VXI134" s="562"/>
      <c r="VXJ134" s="562"/>
      <c r="VXK134" s="562"/>
      <c r="VXL134" s="562"/>
      <c r="VXM134" s="562"/>
      <c r="VXN134" s="562"/>
      <c r="VXO134" s="562"/>
      <c r="VXP134" s="562"/>
      <c r="VXQ134" s="562"/>
      <c r="VXR134" s="562"/>
      <c r="VXS134" s="562"/>
      <c r="VXT134" s="562"/>
      <c r="VXU134" s="562"/>
      <c r="VXV134" s="562"/>
      <c r="VXW134" s="562"/>
      <c r="VXX134" s="562"/>
      <c r="VXY134" s="562"/>
      <c r="VXZ134" s="562"/>
      <c r="VYA134" s="562"/>
      <c r="VYB134" s="562"/>
      <c r="VYC134" s="562"/>
      <c r="VYD134" s="562"/>
      <c r="VYE134" s="562"/>
      <c r="VYF134" s="562"/>
      <c r="VYG134" s="562"/>
      <c r="VYH134" s="562"/>
      <c r="VYI134" s="562"/>
      <c r="VYJ134" s="562"/>
      <c r="VYK134" s="562"/>
      <c r="VYL134" s="562"/>
      <c r="VYM134" s="562"/>
      <c r="VYN134" s="562"/>
      <c r="VYO134" s="562"/>
      <c r="VYP134" s="562"/>
      <c r="VYQ134" s="562"/>
      <c r="VYR134" s="562"/>
      <c r="VYS134" s="562"/>
      <c r="VYT134" s="562"/>
      <c r="VYU134" s="562"/>
      <c r="VYV134" s="562"/>
      <c r="VYW134" s="562"/>
      <c r="VYX134" s="562"/>
      <c r="VYY134" s="562"/>
      <c r="VYZ134" s="562"/>
      <c r="VZA134" s="562"/>
      <c r="VZB134" s="562"/>
      <c r="VZC134" s="562"/>
      <c r="VZD134" s="562"/>
      <c r="VZE134" s="562"/>
      <c r="VZF134" s="562"/>
      <c r="VZG134" s="562"/>
      <c r="VZH134" s="562"/>
      <c r="VZI134" s="562"/>
      <c r="VZJ134" s="562"/>
      <c r="VZK134" s="562"/>
      <c r="VZL134" s="562"/>
      <c r="VZM134" s="562"/>
      <c r="VZN134" s="562"/>
      <c r="VZO134" s="562"/>
      <c r="VZP134" s="562"/>
      <c r="VZQ134" s="562"/>
      <c r="VZR134" s="562"/>
      <c r="VZS134" s="562"/>
      <c r="VZT134" s="562"/>
      <c r="VZU134" s="562"/>
      <c r="VZV134" s="562"/>
      <c r="VZW134" s="562"/>
      <c r="VZX134" s="562"/>
      <c r="VZY134" s="562"/>
      <c r="VZZ134" s="562"/>
      <c r="WAA134" s="562"/>
      <c r="WAB134" s="562"/>
      <c r="WAC134" s="562"/>
      <c r="WAD134" s="562"/>
      <c r="WAE134" s="562"/>
      <c r="WAF134" s="562"/>
      <c r="WAG134" s="562"/>
      <c r="WAH134" s="562"/>
      <c r="WAI134" s="562"/>
      <c r="WAJ134" s="562"/>
      <c r="WAK134" s="562"/>
      <c r="WAL134" s="562"/>
      <c r="WAM134" s="562"/>
      <c r="WAN134" s="562"/>
      <c r="WAO134" s="562"/>
      <c r="WAP134" s="562"/>
      <c r="WAQ134" s="562"/>
      <c r="WAR134" s="562"/>
      <c r="WAS134" s="562"/>
      <c r="WAT134" s="562"/>
      <c r="WAU134" s="562"/>
      <c r="WAV134" s="562"/>
      <c r="WAW134" s="562"/>
      <c r="WAX134" s="562"/>
      <c r="WAY134" s="562"/>
      <c r="WAZ134" s="562"/>
      <c r="WBA134" s="562"/>
      <c r="WBB134" s="562"/>
      <c r="WBC134" s="562"/>
      <c r="WBD134" s="562"/>
      <c r="WBE134" s="562"/>
      <c r="WBF134" s="562"/>
      <c r="WBG134" s="562"/>
      <c r="WBH134" s="562"/>
      <c r="WBI134" s="562"/>
      <c r="WBJ134" s="562"/>
      <c r="WBK134" s="562"/>
      <c r="WBL134" s="562"/>
      <c r="WBM134" s="562"/>
      <c r="WBN134" s="562"/>
      <c r="WBO134" s="562"/>
      <c r="WBP134" s="562"/>
      <c r="WBQ134" s="562"/>
      <c r="WBR134" s="562"/>
      <c r="WBS134" s="562"/>
      <c r="WBT134" s="562"/>
      <c r="WBU134" s="562"/>
      <c r="WBV134" s="562"/>
      <c r="WBW134" s="562"/>
      <c r="WBX134" s="562"/>
      <c r="WBY134" s="562"/>
      <c r="WBZ134" s="562"/>
      <c r="WCA134" s="562"/>
      <c r="WCB134" s="562"/>
      <c r="WCC134" s="562"/>
      <c r="WCD134" s="562"/>
      <c r="WCE134" s="562"/>
      <c r="WCF134" s="562"/>
      <c r="WCG134" s="562"/>
      <c r="WCH134" s="562"/>
      <c r="WCI134" s="562"/>
      <c r="WCJ134" s="562"/>
      <c r="WCK134" s="562"/>
      <c r="WCL134" s="562"/>
      <c r="WCM134" s="562"/>
      <c r="WCN134" s="562"/>
      <c r="WCO134" s="562"/>
      <c r="WCP134" s="562"/>
      <c r="WCQ134" s="562"/>
      <c r="WCR134" s="562"/>
      <c r="WCS134" s="562"/>
      <c r="WCT134" s="562"/>
      <c r="WCU134" s="562"/>
      <c r="WCV134" s="562"/>
      <c r="WCW134" s="562"/>
      <c r="WCX134" s="562"/>
      <c r="WCY134" s="562"/>
      <c r="WCZ134" s="562"/>
      <c r="WDA134" s="562"/>
      <c r="WDB134" s="562"/>
      <c r="WDC134" s="562"/>
      <c r="WDD134" s="562"/>
      <c r="WDE134" s="562"/>
      <c r="WDF134" s="562"/>
      <c r="WDG134" s="562"/>
      <c r="WDH134" s="562"/>
      <c r="WDI134" s="562"/>
      <c r="WDJ134" s="562"/>
      <c r="WDK134" s="562"/>
      <c r="WDL134" s="562"/>
      <c r="WDM134" s="562"/>
      <c r="WDN134" s="562"/>
      <c r="WDO134" s="562"/>
      <c r="WDP134" s="562"/>
      <c r="WDQ134" s="562"/>
      <c r="WDR134" s="562"/>
      <c r="WDS134" s="562"/>
      <c r="WDT134" s="562"/>
      <c r="WDU134" s="562"/>
      <c r="WDV134" s="562"/>
      <c r="WDW134" s="562"/>
      <c r="WDX134" s="562"/>
      <c r="WDY134" s="562"/>
      <c r="WDZ134" s="562"/>
      <c r="WEA134" s="562"/>
      <c r="WEB134" s="562"/>
      <c r="WEC134" s="562"/>
      <c r="WED134" s="562"/>
      <c r="WEE134" s="562"/>
      <c r="WEF134" s="562"/>
      <c r="WEG134" s="562"/>
      <c r="WEH134" s="562"/>
      <c r="WEI134" s="562"/>
      <c r="WEJ134" s="562"/>
      <c r="WEK134" s="562"/>
      <c r="WEL134" s="562"/>
      <c r="WEM134" s="562"/>
      <c r="WEN134" s="562"/>
      <c r="WEO134" s="562"/>
      <c r="WEP134" s="562"/>
      <c r="WEQ134" s="562"/>
      <c r="WER134" s="562"/>
      <c r="WES134" s="562"/>
      <c r="WET134" s="562"/>
      <c r="WEU134" s="562"/>
      <c r="WEV134" s="562"/>
      <c r="WEW134" s="562"/>
      <c r="WEX134" s="562"/>
      <c r="WEY134" s="562"/>
      <c r="WEZ134" s="562"/>
      <c r="WFA134" s="562"/>
      <c r="WFB134" s="562"/>
      <c r="WFC134" s="562"/>
      <c r="WFD134" s="562"/>
      <c r="WFE134" s="562"/>
      <c r="WFF134" s="562"/>
      <c r="WFG134" s="562"/>
      <c r="WFH134" s="562"/>
      <c r="WFI134" s="562"/>
      <c r="WFJ134" s="562"/>
      <c r="WFK134" s="562"/>
      <c r="WFL134" s="562"/>
      <c r="WFM134" s="562"/>
      <c r="WFN134" s="562"/>
      <c r="WFO134" s="562"/>
      <c r="WFP134" s="562"/>
      <c r="WFQ134" s="562"/>
      <c r="WFR134" s="562"/>
      <c r="WFS134" s="562"/>
      <c r="WFT134" s="562"/>
      <c r="WFU134" s="562"/>
      <c r="WFV134" s="562"/>
      <c r="WFW134" s="562"/>
      <c r="WFX134" s="562"/>
      <c r="WFY134" s="562"/>
      <c r="WFZ134" s="562"/>
      <c r="WGA134" s="562"/>
      <c r="WGB134" s="562"/>
      <c r="WGC134" s="562"/>
      <c r="WGD134" s="562"/>
      <c r="WGE134" s="562"/>
      <c r="WGF134" s="562"/>
      <c r="WGG134" s="562"/>
      <c r="WGH134" s="562"/>
      <c r="WGI134" s="562"/>
      <c r="WGJ134" s="562"/>
      <c r="WGK134" s="562"/>
      <c r="WGL134" s="562"/>
      <c r="WGM134" s="562"/>
      <c r="WGN134" s="562"/>
      <c r="WGO134" s="562"/>
      <c r="WGP134" s="562"/>
      <c r="WGQ134" s="562"/>
      <c r="WGR134" s="562"/>
      <c r="WGS134" s="562"/>
      <c r="WGT134" s="562"/>
      <c r="WGU134" s="562"/>
      <c r="WGV134" s="562"/>
      <c r="WGW134" s="562"/>
      <c r="WGX134" s="562"/>
      <c r="WGY134" s="562"/>
      <c r="WGZ134" s="562"/>
      <c r="WHA134" s="562"/>
      <c r="WHB134" s="562"/>
      <c r="WHC134" s="562"/>
      <c r="WHD134" s="562"/>
      <c r="WHE134" s="562"/>
      <c r="WHF134" s="562"/>
      <c r="WHG134" s="562"/>
      <c r="WHH134" s="562"/>
      <c r="WHI134" s="562"/>
      <c r="WHJ134" s="562"/>
      <c r="WHK134" s="562"/>
      <c r="WHL134" s="562"/>
      <c r="WHM134" s="562"/>
      <c r="WHN134" s="562"/>
      <c r="WHO134" s="562"/>
      <c r="WHP134" s="562"/>
      <c r="WHQ134" s="562"/>
      <c r="WHR134" s="562"/>
      <c r="WHS134" s="562"/>
      <c r="WHT134" s="562"/>
      <c r="WHU134" s="562"/>
      <c r="WHV134" s="562"/>
      <c r="WHW134" s="562"/>
      <c r="WHX134" s="562"/>
      <c r="WHY134" s="562"/>
      <c r="WHZ134" s="562"/>
      <c r="WIA134" s="562"/>
      <c r="WIB134" s="562"/>
      <c r="WIC134" s="562"/>
      <c r="WID134" s="562"/>
      <c r="WIE134" s="562"/>
      <c r="WIF134" s="562"/>
      <c r="WIG134" s="562"/>
      <c r="WIH134" s="562"/>
      <c r="WII134" s="562"/>
      <c r="WIJ134" s="562"/>
      <c r="WIK134" s="562"/>
      <c r="WIL134" s="562"/>
      <c r="WIM134" s="562"/>
      <c r="WIN134" s="562"/>
      <c r="WIO134" s="562"/>
      <c r="WIP134" s="562"/>
      <c r="WIQ134" s="562"/>
      <c r="WIR134" s="562"/>
      <c r="WIS134" s="562"/>
      <c r="WIT134" s="562"/>
      <c r="WIU134" s="562"/>
      <c r="WIV134" s="562"/>
      <c r="WIW134" s="562"/>
      <c r="WIX134" s="562"/>
      <c r="WIY134" s="562"/>
      <c r="WIZ134" s="562"/>
      <c r="WJA134" s="562"/>
      <c r="WJB134" s="562"/>
      <c r="WJC134" s="562"/>
      <c r="WJD134" s="562"/>
      <c r="WJE134" s="562"/>
      <c r="WJF134" s="562"/>
      <c r="WJG134" s="562"/>
      <c r="WJH134" s="562"/>
      <c r="WJI134" s="562"/>
      <c r="WJJ134" s="562"/>
      <c r="WJK134" s="562"/>
      <c r="WJL134" s="562"/>
      <c r="WJM134" s="562"/>
      <c r="WJN134" s="562"/>
      <c r="WJO134" s="562"/>
      <c r="WJP134" s="562"/>
      <c r="WJQ134" s="562"/>
      <c r="WJR134" s="562"/>
      <c r="WJS134" s="562"/>
      <c r="WJT134" s="562"/>
      <c r="WJU134" s="562"/>
      <c r="WJV134" s="562"/>
      <c r="WJW134" s="562"/>
      <c r="WJX134" s="562"/>
      <c r="WJY134" s="562"/>
      <c r="WJZ134" s="562"/>
      <c r="WKA134" s="562"/>
      <c r="WKB134" s="562"/>
      <c r="WKC134" s="562"/>
      <c r="WKD134" s="562"/>
      <c r="WKE134" s="562"/>
      <c r="WKF134" s="562"/>
      <c r="WKG134" s="562"/>
      <c r="WKH134" s="562"/>
      <c r="WKI134" s="562"/>
      <c r="WKJ134" s="562"/>
      <c r="WKK134" s="562"/>
      <c r="WKL134" s="562"/>
      <c r="WKM134" s="562"/>
      <c r="WKN134" s="562"/>
      <c r="WKO134" s="562"/>
      <c r="WKP134" s="562"/>
      <c r="WKQ134" s="562"/>
      <c r="WKR134" s="562"/>
      <c r="WKS134" s="562"/>
      <c r="WKT134" s="562"/>
      <c r="WKU134" s="562"/>
      <c r="WKV134" s="562"/>
      <c r="WKW134" s="562"/>
      <c r="WKX134" s="562"/>
      <c r="WKY134" s="562"/>
      <c r="WKZ134" s="562"/>
      <c r="WLA134" s="562"/>
      <c r="WLB134" s="562"/>
      <c r="WLC134" s="562"/>
      <c r="WLD134" s="562"/>
      <c r="WLE134" s="562"/>
      <c r="WLF134" s="562"/>
      <c r="WLG134" s="562"/>
      <c r="WLH134" s="562"/>
      <c r="WLI134" s="562"/>
      <c r="WLJ134" s="562"/>
      <c r="WLK134" s="562"/>
      <c r="WLL134" s="562"/>
      <c r="WLM134" s="562"/>
      <c r="WLN134" s="562"/>
      <c r="WLO134" s="562"/>
      <c r="WLP134" s="562"/>
      <c r="WLQ134" s="562"/>
      <c r="WLR134" s="562"/>
      <c r="WLS134" s="562"/>
      <c r="WLT134" s="562"/>
      <c r="WLU134" s="562"/>
      <c r="WLV134" s="562"/>
      <c r="WLW134" s="562"/>
      <c r="WLX134" s="562"/>
      <c r="WLY134" s="562"/>
      <c r="WLZ134" s="562"/>
      <c r="WMA134" s="562"/>
      <c r="WMB134" s="562"/>
      <c r="WMC134" s="562"/>
      <c r="WMD134" s="562"/>
      <c r="WME134" s="562"/>
      <c r="WMF134" s="562"/>
      <c r="WMG134" s="562"/>
      <c r="WMH134" s="562"/>
      <c r="WMI134" s="562"/>
      <c r="WMJ134" s="562"/>
      <c r="WMK134" s="562"/>
      <c r="WML134" s="562"/>
      <c r="WMM134" s="562"/>
      <c r="WMN134" s="562"/>
      <c r="WMO134" s="562"/>
      <c r="WMP134" s="562"/>
      <c r="WMQ134" s="562"/>
      <c r="WMR134" s="562"/>
      <c r="WMS134" s="562"/>
      <c r="WMT134" s="562"/>
      <c r="WMU134" s="562"/>
      <c r="WMV134" s="562"/>
      <c r="WMW134" s="562"/>
      <c r="WMX134" s="562"/>
      <c r="WMY134" s="562"/>
      <c r="WMZ134" s="562"/>
      <c r="WNA134" s="562"/>
      <c r="WNB134" s="562"/>
      <c r="WNC134" s="562"/>
      <c r="WND134" s="562"/>
      <c r="WNE134" s="562"/>
      <c r="WNF134" s="562"/>
      <c r="WNG134" s="562"/>
      <c r="WNH134" s="562"/>
      <c r="WNI134" s="562"/>
      <c r="WNJ134" s="562"/>
      <c r="WNK134" s="562"/>
      <c r="WNL134" s="562"/>
      <c r="WNM134" s="562"/>
      <c r="WNN134" s="562"/>
      <c r="WNO134" s="562"/>
      <c r="WNP134" s="562"/>
      <c r="WNQ134" s="562"/>
      <c r="WNR134" s="562"/>
      <c r="WNS134" s="562"/>
      <c r="WNT134" s="562"/>
      <c r="WNU134" s="562"/>
      <c r="WNV134" s="562"/>
      <c r="WNW134" s="562"/>
      <c r="WNX134" s="562"/>
      <c r="WNY134" s="562"/>
      <c r="WNZ134" s="562"/>
      <c r="WOA134" s="562"/>
      <c r="WOB134" s="562"/>
      <c r="WOC134" s="562"/>
      <c r="WOD134" s="562"/>
      <c r="WOE134" s="562"/>
      <c r="WOF134" s="562"/>
      <c r="WOG134" s="562"/>
      <c r="WOH134" s="562"/>
      <c r="WOI134" s="562"/>
      <c r="WOJ134" s="562"/>
      <c r="WOK134" s="562"/>
      <c r="WOL134" s="562"/>
      <c r="WOM134" s="562"/>
      <c r="WON134" s="562"/>
      <c r="WOO134" s="562"/>
      <c r="WOP134" s="562"/>
      <c r="WOQ134" s="562"/>
      <c r="WOR134" s="562"/>
      <c r="WOS134" s="562"/>
      <c r="WOT134" s="562"/>
      <c r="WOU134" s="562"/>
      <c r="WOV134" s="562"/>
      <c r="WOW134" s="562"/>
      <c r="WOX134" s="562"/>
      <c r="WOY134" s="562"/>
      <c r="WOZ134" s="562"/>
      <c r="WPA134" s="562"/>
      <c r="WPB134" s="562"/>
      <c r="WPC134" s="562"/>
      <c r="WPD134" s="562"/>
      <c r="WPE134" s="562"/>
      <c r="WPF134" s="562"/>
      <c r="WPG134" s="562"/>
      <c r="WPH134" s="562"/>
      <c r="WPI134" s="562"/>
      <c r="WPJ134" s="562"/>
      <c r="WPK134" s="562"/>
      <c r="WPL134" s="562"/>
      <c r="WPM134" s="562"/>
      <c r="WPN134" s="562"/>
      <c r="WPO134" s="562"/>
      <c r="WPP134" s="562"/>
      <c r="WPQ134" s="562"/>
      <c r="WPR134" s="562"/>
      <c r="WPS134" s="562"/>
      <c r="WPT134" s="562"/>
      <c r="WPU134" s="562"/>
      <c r="WPV134" s="562"/>
      <c r="WPW134" s="562"/>
      <c r="WPX134" s="562"/>
      <c r="WPY134" s="562"/>
      <c r="WPZ134" s="562"/>
      <c r="WQA134" s="562"/>
      <c r="WQB134" s="562"/>
      <c r="WQC134" s="562"/>
      <c r="WQD134" s="562"/>
      <c r="WQE134" s="562"/>
      <c r="WQF134" s="562"/>
      <c r="WQG134" s="562"/>
      <c r="WQH134" s="562"/>
      <c r="WQI134" s="562"/>
      <c r="WQJ134" s="562"/>
      <c r="WQK134" s="562"/>
      <c r="WQL134" s="562"/>
      <c r="WQM134" s="562"/>
      <c r="WQN134" s="562"/>
      <c r="WQO134" s="562"/>
      <c r="WQP134" s="562"/>
      <c r="WQQ134" s="562"/>
      <c r="WQR134" s="562"/>
      <c r="WQS134" s="562"/>
      <c r="WQT134" s="562"/>
      <c r="WQU134" s="562"/>
      <c r="WQV134" s="562"/>
      <c r="WQW134" s="562"/>
      <c r="WQX134" s="562"/>
      <c r="WQY134" s="562"/>
      <c r="WQZ134" s="562"/>
      <c r="WRA134" s="562"/>
      <c r="WRB134" s="562"/>
      <c r="WRC134" s="562"/>
      <c r="WRD134" s="562"/>
      <c r="WRE134" s="562"/>
      <c r="WRF134" s="562"/>
      <c r="WRG134" s="562"/>
      <c r="WRH134" s="562"/>
      <c r="WRI134" s="562"/>
      <c r="WRJ134" s="562"/>
      <c r="WRK134" s="562"/>
      <c r="WRL134" s="562"/>
      <c r="WRM134" s="562"/>
      <c r="WRN134" s="562"/>
      <c r="WRO134" s="562"/>
      <c r="WRP134" s="562"/>
      <c r="WRQ134" s="562"/>
      <c r="WRR134" s="562"/>
      <c r="WRS134" s="562"/>
      <c r="WRT134" s="562"/>
      <c r="WRU134" s="562"/>
      <c r="WRV134" s="562"/>
      <c r="WRW134" s="562"/>
      <c r="WRX134" s="562"/>
      <c r="WRY134" s="562"/>
      <c r="WRZ134" s="562"/>
      <c r="WSA134" s="562"/>
      <c r="WSB134" s="562"/>
      <c r="WSC134" s="562"/>
      <c r="WSD134" s="562"/>
      <c r="WSE134" s="562"/>
      <c r="WSF134" s="562"/>
      <c r="WSG134" s="562"/>
      <c r="WSH134" s="562"/>
      <c r="WSI134" s="562"/>
      <c r="WSJ134" s="562"/>
      <c r="WSK134" s="562"/>
      <c r="WSL134" s="562"/>
      <c r="WSM134" s="562"/>
      <c r="WSN134" s="562"/>
      <c r="WSO134" s="562"/>
      <c r="WSP134" s="562"/>
      <c r="WSQ134" s="562"/>
      <c r="WSR134" s="562"/>
      <c r="WSS134" s="562"/>
      <c r="WST134" s="562"/>
      <c r="WSU134" s="562"/>
      <c r="WSV134" s="562"/>
      <c r="WSW134" s="562"/>
      <c r="WSX134" s="562"/>
      <c r="WSY134" s="562"/>
      <c r="WSZ134" s="562"/>
      <c r="WTA134" s="562"/>
      <c r="WTB134" s="562"/>
      <c r="WTC134" s="562"/>
      <c r="WTD134" s="562"/>
      <c r="WTE134" s="562"/>
      <c r="WTF134" s="562"/>
      <c r="WTG134" s="562"/>
      <c r="WTH134" s="562"/>
      <c r="WTI134" s="562"/>
      <c r="WTJ134" s="562"/>
      <c r="WTK134" s="562"/>
      <c r="WTL134" s="562"/>
      <c r="WTM134" s="562"/>
      <c r="WTN134" s="562"/>
      <c r="WTO134" s="562"/>
      <c r="WTP134" s="562"/>
      <c r="WTQ134" s="562"/>
      <c r="WTR134" s="562"/>
      <c r="WTS134" s="562"/>
      <c r="WTT134" s="562"/>
      <c r="WTU134" s="562"/>
      <c r="WTV134" s="562"/>
      <c r="WTW134" s="562"/>
      <c r="WTX134" s="562"/>
      <c r="WTY134" s="562"/>
      <c r="WTZ134" s="562"/>
      <c r="WUA134" s="562"/>
      <c r="WUB134" s="562"/>
      <c r="WUC134" s="562"/>
      <c r="WUD134" s="562"/>
      <c r="WUE134" s="562"/>
      <c r="WUF134" s="562"/>
      <c r="WUG134" s="562"/>
      <c r="WUH134" s="562"/>
      <c r="WUI134" s="562"/>
      <c r="WUJ134" s="562"/>
      <c r="WUK134" s="562"/>
      <c r="WUL134" s="562"/>
      <c r="WUM134" s="562"/>
      <c r="WUN134" s="562"/>
      <c r="WUO134" s="562"/>
      <c r="WUP134" s="562"/>
      <c r="WUQ134" s="562"/>
      <c r="WUR134" s="562"/>
      <c r="WUS134" s="562"/>
      <c r="WUT134" s="562"/>
      <c r="WUU134" s="562"/>
      <c r="WUV134" s="562"/>
      <c r="WUW134" s="562"/>
      <c r="WUX134" s="562"/>
      <c r="WUY134" s="562"/>
      <c r="WUZ134" s="562"/>
      <c r="WVA134" s="562"/>
      <c r="WVB134" s="562"/>
      <c r="WVC134" s="562"/>
      <c r="WVD134" s="562"/>
      <c r="WVE134" s="562"/>
      <c r="WVF134" s="562"/>
      <c r="WVG134" s="562"/>
      <c r="WVH134" s="562"/>
      <c r="WVI134" s="562"/>
      <c r="WVJ134" s="562"/>
      <c r="WVK134" s="562"/>
      <c r="WVL134" s="562"/>
      <c r="WVM134" s="562"/>
      <c r="WVN134" s="562"/>
      <c r="WVO134" s="562"/>
      <c r="WVP134" s="562"/>
      <c r="WVQ134" s="562"/>
      <c r="WVR134" s="562"/>
      <c r="WVS134" s="562"/>
      <c r="WVT134" s="562"/>
      <c r="WVU134" s="562"/>
      <c r="WVV134" s="562"/>
      <c r="WVW134" s="562"/>
      <c r="WVX134" s="562"/>
      <c r="WVY134" s="562"/>
      <c r="WVZ134" s="562"/>
      <c r="WWA134" s="562"/>
      <c r="WWB134" s="562"/>
      <c r="WWC134" s="562"/>
      <c r="WWD134" s="562"/>
      <c r="WWE134" s="562"/>
      <c r="WWF134" s="562"/>
      <c r="WWG134" s="562"/>
      <c r="WWH134" s="562"/>
      <c r="WWI134" s="562"/>
      <c r="WWJ134" s="562"/>
      <c r="WWK134" s="562"/>
      <c r="WWL134" s="562"/>
      <c r="WWM134" s="562"/>
      <c r="WWN134" s="562"/>
      <c r="WWO134" s="562"/>
      <c r="WWP134" s="562"/>
      <c r="WWQ134" s="562"/>
      <c r="WWR134" s="562"/>
      <c r="WWS134" s="562"/>
      <c r="WWT134" s="562"/>
      <c r="WWU134" s="562"/>
      <c r="WWV134" s="562"/>
      <c r="WWW134" s="562"/>
      <c r="WWX134" s="562"/>
      <c r="WWY134" s="562"/>
      <c r="WWZ134" s="562"/>
      <c r="WXA134" s="562"/>
      <c r="WXB134" s="562"/>
      <c r="WXC134" s="562"/>
      <c r="WXD134" s="562"/>
      <c r="WXE134" s="562"/>
      <c r="WXF134" s="562"/>
      <c r="WXG134" s="562"/>
      <c r="WXH134" s="562"/>
      <c r="WXI134" s="562"/>
      <c r="WXJ134" s="562"/>
      <c r="WXK134" s="562"/>
      <c r="WXL134" s="562"/>
      <c r="WXM134" s="562"/>
      <c r="WXN134" s="562"/>
      <c r="WXO134" s="562"/>
      <c r="WXP134" s="562"/>
      <c r="WXQ134" s="562"/>
      <c r="WXR134" s="562"/>
      <c r="WXS134" s="562"/>
      <c r="WXT134" s="562"/>
      <c r="WXU134" s="562"/>
      <c r="WXV134" s="562"/>
      <c r="WXW134" s="562"/>
      <c r="WXX134" s="562"/>
      <c r="WXY134" s="562"/>
      <c r="WXZ134" s="562"/>
      <c r="WYA134" s="562"/>
      <c r="WYB134" s="562"/>
      <c r="WYC134" s="562"/>
      <c r="WYD134" s="562"/>
      <c r="WYE134" s="562"/>
      <c r="WYF134" s="562"/>
      <c r="WYG134" s="562"/>
      <c r="WYH134" s="562"/>
      <c r="WYI134" s="562"/>
      <c r="WYJ134" s="562"/>
      <c r="WYK134" s="562"/>
      <c r="WYL134" s="562"/>
      <c r="WYM134" s="562"/>
      <c r="WYN134" s="562"/>
      <c r="WYO134" s="562"/>
      <c r="WYP134" s="562"/>
      <c r="WYQ134" s="562"/>
      <c r="WYR134" s="562"/>
      <c r="WYS134" s="562"/>
      <c r="WYT134" s="562"/>
      <c r="WYU134" s="562"/>
      <c r="WYV134" s="562"/>
      <c r="WYW134" s="562"/>
      <c r="WYX134" s="562"/>
      <c r="WYY134" s="562"/>
      <c r="WYZ134" s="562"/>
      <c r="WZA134" s="562"/>
      <c r="WZB134" s="562"/>
      <c r="WZC134" s="562"/>
      <c r="WZD134" s="562"/>
      <c r="WZE134" s="562"/>
      <c r="WZF134" s="562"/>
      <c r="WZG134" s="562"/>
      <c r="WZH134" s="562"/>
      <c r="WZI134" s="562"/>
      <c r="WZJ134" s="562"/>
      <c r="WZK134" s="562"/>
      <c r="WZL134" s="562"/>
      <c r="WZM134" s="562"/>
      <c r="WZN134" s="562"/>
      <c r="WZO134" s="562"/>
      <c r="WZP134" s="562"/>
      <c r="WZQ134" s="562"/>
      <c r="WZR134" s="562"/>
      <c r="WZS134" s="562"/>
      <c r="WZT134" s="562"/>
      <c r="WZU134" s="562"/>
      <c r="WZV134" s="562"/>
      <c r="WZW134" s="562"/>
      <c r="WZX134" s="562"/>
      <c r="WZY134" s="562"/>
      <c r="WZZ134" s="562"/>
      <c r="XAA134" s="562"/>
      <c r="XAB134" s="562"/>
      <c r="XAC134" s="562"/>
      <c r="XAD134" s="562"/>
      <c r="XAE134" s="562"/>
      <c r="XAF134" s="562"/>
      <c r="XAG134" s="562"/>
      <c r="XAH134" s="562"/>
      <c r="XAI134" s="562"/>
      <c r="XAJ134" s="562"/>
      <c r="XAK134" s="562"/>
      <c r="XAL134" s="562"/>
      <c r="XAM134" s="562"/>
      <c r="XAN134" s="562"/>
      <c r="XAO134" s="562"/>
      <c r="XAP134" s="562"/>
      <c r="XAQ134" s="562"/>
      <c r="XAR134" s="562"/>
      <c r="XAS134" s="562"/>
      <c r="XAT134" s="562"/>
      <c r="XAU134" s="562"/>
      <c r="XAV134" s="562"/>
      <c r="XAW134" s="562"/>
      <c r="XAX134" s="562"/>
      <c r="XAY134" s="562"/>
      <c r="XAZ134" s="562"/>
      <c r="XBA134" s="562"/>
      <c r="XBB134" s="562"/>
      <c r="XBC134" s="562"/>
      <c r="XBD134" s="562"/>
      <c r="XBE134" s="562"/>
      <c r="XBF134" s="562"/>
      <c r="XBG134" s="562"/>
      <c r="XBH134" s="562"/>
      <c r="XBI134" s="562"/>
      <c r="XBJ134" s="562"/>
      <c r="XBK134" s="562"/>
      <c r="XBL134" s="562"/>
      <c r="XBM134" s="562"/>
      <c r="XBN134" s="562"/>
      <c r="XBO134" s="562"/>
      <c r="XBP134" s="562"/>
      <c r="XBQ134" s="562"/>
      <c r="XBR134" s="562"/>
      <c r="XBS134" s="562"/>
      <c r="XBT134" s="562"/>
      <c r="XBU134" s="562"/>
      <c r="XBV134" s="562"/>
      <c r="XBW134" s="562"/>
      <c r="XBX134" s="562"/>
      <c r="XBY134" s="562"/>
      <c r="XBZ134" s="562"/>
      <c r="XCA134" s="562"/>
      <c r="XCB134" s="562"/>
      <c r="XCC134" s="562"/>
      <c r="XCD134" s="562"/>
      <c r="XCE134" s="562"/>
      <c r="XCF134" s="562"/>
      <c r="XCG134" s="562"/>
      <c r="XCH134" s="562"/>
      <c r="XCI134" s="562"/>
      <c r="XCJ134" s="562"/>
      <c r="XCK134" s="562"/>
      <c r="XCL134" s="562"/>
      <c r="XCM134" s="562"/>
      <c r="XCN134" s="562"/>
      <c r="XCO134" s="562"/>
      <c r="XCP134" s="562"/>
      <c r="XCQ134" s="562"/>
      <c r="XCR134" s="562"/>
      <c r="XCS134" s="562"/>
      <c r="XCT134" s="562"/>
      <c r="XCU134" s="562"/>
      <c r="XCV134" s="562"/>
      <c r="XCW134" s="562"/>
      <c r="XCX134" s="562"/>
      <c r="XCY134" s="562"/>
      <c r="XCZ134" s="562"/>
      <c r="XDA134" s="562"/>
      <c r="XDB134" s="562"/>
      <c r="XDC134" s="562"/>
      <c r="XDD134" s="562"/>
      <c r="XDE134" s="562"/>
      <c r="XDF134" s="562"/>
      <c r="XDG134" s="562"/>
      <c r="XDH134" s="562"/>
      <c r="XDI134" s="562"/>
      <c r="XDJ134" s="562"/>
      <c r="XDK134" s="562"/>
      <c r="XDL134" s="562"/>
      <c r="XDM134" s="562"/>
      <c r="XDN134" s="562"/>
      <c r="XDO134" s="562"/>
      <c r="XDP134" s="562"/>
      <c r="XDQ134" s="562"/>
      <c r="XDR134" s="562"/>
      <c r="XDS134" s="562"/>
      <c r="XDT134" s="562"/>
      <c r="XDU134" s="562"/>
    </row>
    <row r="135" spans="1:16349" s="610" customFormat="1">
      <c r="A135" s="558" t="s">
        <v>146</v>
      </c>
      <c r="B135" s="560"/>
      <c r="C135" s="558" t="s">
        <v>103</v>
      </c>
      <c r="D135" s="558" t="s">
        <v>45</v>
      </c>
      <c r="E135" s="558" t="s">
        <v>22</v>
      </c>
      <c r="F135" s="558" t="s">
        <v>57</v>
      </c>
      <c r="G135" s="558"/>
      <c r="H135" s="690" t="s">
        <v>201</v>
      </c>
      <c r="I135" s="561">
        <v>6.4</v>
      </c>
      <c r="J135" s="562">
        <v>17.5</v>
      </c>
      <c r="K135" s="563">
        <v>17.5</v>
      </c>
      <c r="L135" s="563">
        <f>ROUND(L134*1.03,2)</f>
        <v>1973.24</v>
      </c>
      <c r="M135" s="563">
        <f t="shared" si="58"/>
        <v>1990.74</v>
      </c>
      <c r="N135" s="563">
        <f t="shared" si="53"/>
        <v>2008.24</v>
      </c>
      <c r="O135" s="563">
        <f t="shared" si="53"/>
        <v>2025.74</v>
      </c>
      <c r="P135" s="563">
        <f t="shared" si="53"/>
        <v>2043.24</v>
      </c>
      <c r="Q135" s="563">
        <f t="shared" si="53"/>
        <v>2060.7399999999998</v>
      </c>
      <c r="R135" s="563">
        <f t="shared" si="53"/>
        <v>2078.2399999999998</v>
      </c>
      <c r="S135" s="563">
        <f t="shared" si="53"/>
        <v>2095.7399999999998</v>
      </c>
      <c r="T135" s="563">
        <f t="shared" si="53"/>
        <v>2113.2399999999998</v>
      </c>
      <c r="U135" s="563">
        <f t="shared" si="53"/>
        <v>2130.7399999999998</v>
      </c>
      <c r="V135" s="563">
        <f t="shared" si="53"/>
        <v>2148.2399999999998</v>
      </c>
      <c r="W135" s="563">
        <f t="shared" si="53"/>
        <v>2165.7399999999998</v>
      </c>
      <c r="X135" s="563">
        <f t="shared" si="53"/>
        <v>2183.2399999999998</v>
      </c>
      <c r="Y135" s="563">
        <f t="shared" si="53"/>
        <v>2200.7399999999998</v>
      </c>
      <c r="Z135" s="563">
        <f t="shared" si="53"/>
        <v>2218.2399999999998</v>
      </c>
      <c r="AA135" s="563">
        <f t="shared" si="53"/>
        <v>2235.7399999999998</v>
      </c>
      <c r="AB135" s="563">
        <f t="shared" si="53"/>
        <v>2253.2399999999998</v>
      </c>
      <c r="AC135" s="563">
        <f t="shared" si="53"/>
        <v>2270.7399999999998</v>
      </c>
      <c r="AD135" s="563">
        <f t="shared" si="53"/>
        <v>2288.2399999999998</v>
      </c>
      <c r="AE135" s="563">
        <f t="shared" si="53"/>
        <v>2305.7399999999998</v>
      </c>
      <c r="AF135" s="563">
        <f t="shared" si="53"/>
        <v>2323.2399999999998</v>
      </c>
      <c r="AG135" s="563">
        <f t="shared" si="53"/>
        <v>2340.7399999999998</v>
      </c>
      <c r="AH135" s="563">
        <f t="shared" si="54"/>
        <v>2358.2399999999998</v>
      </c>
      <c r="AI135" s="563">
        <f t="shared" si="55"/>
        <v>2375.7399999999998</v>
      </c>
      <c r="AJ135" s="563">
        <f t="shared" si="56"/>
        <v>2393.2399999999998</v>
      </c>
      <c r="AK135" s="563">
        <f t="shared" si="57"/>
        <v>2410.7399999999998</v>
      </c>
      <c r="AL135" s="612">
        <f>L135+$J135*($AL$10-$L$10)/1000</f>
        <v>2375.7399999999998</v>
      </c>
      <c r="AM135" s="562"/>
      <c r="AN135" s="562"/>
      <c r="AO135" s="562"/>
      <c r="AP135" s="562"/>
      <c r="AQ135" s="562"/>
      <c r="AR135" s="562"/>
      <c r="AS135" s="562"/>
      <c r="AT135" s="562"/>
      <c r="AU135" s="562"/>
      <c r="AV135" s="562"/>
      <c r="AW135" s="562"/>
      <c r="AX135" s="562"/>
      <c r="AY135" s="562"/>
      <c r="AZ135" s="562"/>
      <c r="BA135" s="562"/>
      <c r="BB135" s="562"/>
      <c r="BC135" s="562"/>
      <c r="BD135" s="562"/>
      <c r="BE135" s="562"/>
      <c r="BF135" s="562"/>
      <c r="BG135" s="562"/>
      <c r="BH135" s="562"/>
      <c r="BI135" s="562"/>
      <c r="BJ135" s="562"/>
      <c r="BK135" s="562"/>
      <c r="BL135" s="562"/>
      <c r="BM135" s="562"/>
      <c r="BN135" s="562"/>
      <c r="BO135" s="562"/>
      <c r="BP135" s="562"/>
      <c r="BQ135" s="562"/>
      <c r="BR135" s="562"/>
      <c r="BS135" s="562"/>
      <c r="BT135" s="562"/>
      <c r="BU135" s="562"/>
      <c r="BV135" s="562"/>
      <c r="BW135" s="562"/>
      <c r="BX135" s="562"/>
      <c r="BY135" s="562"/>
      <c r="BZ135" s="562"/>
      <c r="CA135" s="562"/>
      <c r="CB135" s="562"/>
      <c r="CC135" s="562"/>
      <c r="CD135" s="562"/>
      <c r="CE135" s="562"/>
      <c r="CF135" s="562"/>
      <c r="CG135" s="562"/>
      <c r="CH135" s="562"/>
      <c r="CI135" s="562"/>
      <c r="CJ135" s="562"/>
      <c r="CK135" s="562"/>
      <c r="CL135" s="562"/>
      <c r="CM135" s="562"/>
      <c r="CN135" s="562"/>
      <c r="CO135" s="562"/>
      <c r="CP135" s="562"/>
      <c r="CQ135" s="562"/>
      <c r="CR135" s="562"/>
      <c r="CS135" s="562"/>
      <c r="CT135" s="562"/>
      <c r="CU135" s="562"/>
      <c r="CV135" s="562"/>
      <c r="CW135" s="562"/>
      <c r="CX135" s="562"/>
      <c r="CY135" s="562"/>
      <c r="CZ135" s="562"/>
      <c r="DA135" s="562"/>
      <c r="DB135" s="562"/>
      <c r="DC135" s="562"/>
      <c r="DD135" s="562"/>
      <c r="DE135" s="562"/>
      <c r="DF135" s="562"/>
      <c r="DG135" s="562"/>
      <c r="DH135" s="562"/>
      <c r="DI135" s="562"/>
      <c r="DJ135" s="562"/>
      <c r="DK135" s="562"/>
      <c r="DL135" s="562"/>
      <c r="DM135" s="562"/>
      <c r="DN135" s="562"/>
      <c r="DO135" s="562"/>
      <c r="DP135" s="562"/>
      <c r="DQ135" s="562"/>
      <c r="DR135" s="562"/>
      <c r="DS135" s="562"/>
      <c r="DT135" s="562"/>
      <c r="DU135" s="562"/>
      <c r="DV135" s="562"/>
      <c r="DW135" s="562"/>
      <c r="DX135" s="562"/>
      <c r="DY135" s="562"/>
      <c r="DZ135" s="562"/>
      <c r="EA135" s="562"/>
      <c r="EB135" s="562"/>
      <c r="EC135" s="562"/>
      <c r="ED135" s="562"/>
      <c r="EE135" s="562"/>
      <c r="EF135" s="562"/>
      <c r="EG135" s="562"/>
      <c r="EH135" s="562"/>
      <c r="EI135" s="562"/>
      <c r="EJ135" s="562"/>
      <c r="EK135" s="562"/>
      <c r="EL135" s="562"/>
      <c r="EM135" s="562"/>
      <c r="EN135" s="562"/>
      <c r="EO135" s="562"/>
      <c r="EP135" s="562"/>
      <c r="EQ135" s="562"/>
      <c r="ER135" s="562"/>
      <c r="ES135" s="562"/>
      <c r="ET135" s="562"/>
      <c r="EU135" s="562"/>
      <c r="EV135" s="562"/>
      <c r="EW135" s="562"/>
      <c r="EX135" s="562"/>
      <c r="EY135" s="562"/>
      <c r="EZ135" s="562"/>
      <c r="FA135" s="562"/>
      <c r="FB135" s="562"/>
      <c r="FC135" s="562"/>
      <c r="FD135" s="562"/>
      <c r="FE135" s="562"/>
      <c r="FF135" s="562"/>
      <c r="FG135" s="562"/>
      <c r="FH135" s="562"/>
      <c r="FI135" s="562"/>
      <c r="FJ135" s="562"/>
      <c r="FK135" s="562"/>
      <c r="FL135" s="562"/>
      <c r="FM135" s="562"/>
      <c r="FN135" s="562"/>
      <c r="FO135" s="562"/>
      <c r="FP135" s="562"/>
      <c r="FQ135" s="562"/>
      <c r="FR135" s="562"/>
      <c r="FS135" s="562"/>
      <c r="FT135" s="562"/>
      <c r="FU135" s="562"/>
      <c r="FV135" s="562"/>
      <c r="FW135" s="562"/>
      <c r="FX135" s="562"/>
      <c r="FY135" s="562"/>
      <c r="FZ135" s="562"/>
      <c r="GA135" s="562"/>
      <c r="GB135" s="562"/>
      <c r="GC135" s="562"/>
      <c r="GD135" s="562"/>
      <c r="GE135" s="562"/>
      <c r="GF135" s="562"/>
      <c r="GG135" s="562"/>
      <c r="GH135" s="562"/>
      <c r="GI135" s="562"/>
      <c r="GJ135" s="562"/>
      <c r="GK135" s="562"/>
      <c r="GL135" s="562"/>
      <c r="GM135" s="562"/>
      <c r="GN135" s="562"/>
      <c r="GO135" s="562"/>
      <c r="GP135" s="562"/>
      <c r="GQ135" s="562"/>
      <c r="GR135" s="562"/>
      <c r="GS135" s="562"/>
      <c r="GT135" s="562"/>
      <c r="GU135" s="562"/>
      <c r="GV135" s="562"/>
      <c r="GW135" s="562"/>
      <c r="GX135" s="562"/>
      <c r="GY135" s="562"/>
      <c r="GZ135" s="562"/>
      <c r="HA135" s="562"/>
      <c r="HB135" s="562"/>
      <c r="HC135" s="562"/>
      <c r="HD135" s="562"/>
      <c r="HE135" s="562"/>
      <c r="HF135" s="562"/>
      <c r="HG135" s="562"/>
      <c r="HH135" s="562"/>
      <c r="HI135" s="562"/>
      <c r="HJ135" s="562"/>
      <c r="HK135" s="562"/>
      <c r="HL135" s="562"/>
      <c r="HM135" s="562"/>
      <c r="HN135" s="562"/>
      <c r="HO135" s="562"/>
      <c r="HP135" s="562"/>
      <c r="HQ135" s="562"/>
      <c r="HR135" s="562"/>
      <c r="HS135" s="562"/>
      <c r="HT135" s="562"/>
      <c r="HU135" s="562"/>
      <c r="HV135" s="562"/>
      <c r="HW135" s="562"/>
      <c r="HX135" s="562"/>
      <c r="HY135" s="562"/>
      <c r="HZ135" s="562"/>
      <c r="IA135" s="562"/>
      <c r="IB135" s="562"/>
      <c r="IC135" s="562"/>
      <c r="ID135" s="562"/>
      <c r="IE135" s="562"/>
      <c r="IF135" s="562"/>
      <c r="IG135" s="562"/>
      <c r="IH135" s="562"/>
      <c r="II135" s="562"/>
      <c r="IJ135" s="562"/>
      <c r="IK135" s="562"/>
      <c r="IL135" s="562"/>
      <c r="IM135" s="562"/>
      <c r="IN135" s="562"/>
      <c r="IO135" s="562"/>
      <c r="IP135" s="562"/>
      <c r="IQ135" s="562"/>
      <c r="IR135" s="562"/>
      <c r="IS135" s="562"/>
      <c r="IT135" s="562"/>
      <c r="IU135" s="562"/>
      <c r="IV135" s="562"/>
      <c r="IW135" s="562"/>
      <c r="IX135" s="562"/>
      <c r="IY135" s="562"/>
      <c r="IZ135" s="562"/>
      <c r="JA135" s="562"/>
      <c r="JB135" s="562"/>
      <c r="JC135" s="562"/>
      <c r="JD135" s="562"/>
      <c r="JE135" s="562"/>
      <c r="JF135" s="562"/>
      <c r="JG135" s="562"/>
      <c r="JH135" s="562"/>
      <c r="JI135" s="562"/>
      <c r="JJ135" s="562"/>
      <c r="JK135" s="562"/>
      <c r="JL135" s="562"/>
      <c r="JM135" s="562"/>
      <c r="JN135" s="562"/>
      <c r="JO135" s="562"/>
      <c r="JP135" s="562"/>
      <c r="JQ135" s="562"/>
      <c r="JR135" s="562"/>
      <c r="JS135" s="562"/>
      <c r="JT135" s="562"/>
      <c r="JU135" s="562"/>
      <c r="JV135" s="562"/>
      <c r="JW135" s="562"/>
      <c r="JX135" s="562"/>
      <c r="JY135" s="562"/>
      <c r="JZ135" s="562"/>
      <c r="KA135" s="562"/>
      <c r="KB135" s="562"/>
      <c r="KC135" s="562"/>
      <c r="KD135" s="562"/>
      <c r="KE135" s="562"/>
      <c r="KF135" s="562"/>
      <c r="KG135" s="562"/>
      <c r="KH135" s="562"/>
      <c r="KI135" s="562"/>
      <c r="KJ135" s="562"/>
      <c r="KK135" s="562"/>
      <c r="KL135" s="562"/>
      <c r="KM135" s="562"/>
      <c r="KN135" s="562"/>
      <c r="KO135" s="562"/>
      <c r="KP135" s="562"/>
      <c r="KQ135" s="562"/>
      <c r="KR135" s="562"/>
      <c r="KS135" s="562"/>
      <c r="KT135" s="562"/>
      <c r="KU135" s="562"/>
      <c r="KV135" s="562"/>
      <c r="KW135" s="562"/>
      <c r="KX135" s="562"/>
      <c r="KY135" s="562"/>
      <c r="KZ135" s="562"/>
      <c r="LA135" s="562"/>
      <c r="LB135" s="562"/>
      <c r="LC135" s="562"/>
      <c r="LD135" s="562"/>
      <c r="LE135" s="562"/>
      <c r="LF135" s="562"/>
      <c r="LG135" s="562"/>
      <c r="LH135" s="562"/>
      <c r="LI135" s="562"/>
      <c r="LJ135" s="562"/>
      <c r="LK135" s="562"/>
      <c r="LL135" s="562"/>
      <c r="LM135" s="562"/>
      <c r="LN135" s="562"/>
      <c r="LO135" s="562"/>
      <c r="LP135" s="562"/>
      <c r="LQ135" s="562"/>
      <c r="LR135" s="562"/>
      <c r="LS135" s="562"/>
      <c r="LT135" s="562"/>
      <c r="LU135" s="562"/>
      <c r="LV135" s="562"/>
      <c r="LW135" s="562"/>
      <c r="LX135" s="562"/>
      <c r="LY135" s="562"/>
      <c r="LZ135" s="562"/>
      <c r="MA135" s="562"/>
      <c r="MB135" s="562"/>
      <c r="MC135" s="562"/>
      <c r="MD135" s="562"/>
      <c r="ME135" s="562"/>
      <c r="MF135" s="562"/>
      <c r="MG135" s="562"/>
      <c r="MH135" s="562"/>
      <c r="MI135" s="562"/>
      <c r="MJ135" s="562"/>
      <c r="MK135" s="562"/>
      <c r="ML135" s="562"/>
      <c r="MM135" s="562"/>
      <c r="MN135" s="562"/>
      <c r="MO135" s="562"/>
      <c r="MP135" s="562"/>
      <c r="MQ135" s="562"/>
      <c r="MR135" s="562"/>
      <c r="MS135" s="562"/>
      <c r="MT135" s="562"/>
      <c r="MU135" s="562"/>
      <c r="MV135" s="562"/>
      <c r="MW135" s="562"/>
      <c r="MX135" s="562"/>
      <c r="MY135" s="562"/>
      <c r="MZ135" s="562"/>
      <c r="NA135" s="562"/>
      <c r="NB135" s="562"/>
      <c r="NC135" s="562"/>
      <c r="ND135" s="562"/>
      <c r="NE135" s="562"/>
      <c r="NF135" s="562"/>
      <c r="NG135" s="562"/>
      <c r="NH135" s="562"/>
      <c r="NI135" s="562"/>
      <c r="NJ135" s="562"/>
      <c r="NK135" s="562"/>
      <c r="NL135" s="562"/>
      <c r="NM135" s="562"/>
      <c r="NN135" s="562"/>
      <c r="NO135" s="562"/>
      <c r="NP135" s="562"/>
      <c r="NQ135" s="562"/>
      <c r="NR135" s="562"/>
      <c r="NS135" s="562"/>
      <c r="NT135" s="562"/>
      <c r="NU135" s="562"/>
      <c r="NV135" s="562"/>
      <c r="NW135" s="562"/>
      <c r="NX135" s="562"/>
      <c r="NY135" s="562"/>
      <c r="NZ135" s="562"/>
      <c r="OA135" s="562"/>
      <c r="OB135" s="562"/>
      <c r="OC135" s="562"/>
      <c r="OD135" s="562"/>
      <c r="OE135" s="562"/>
      <c r="OF135" s="562"/>
      <c r="OG135" s="562"/>
      <c r="OH135" s="562"/>
      <c r="OI135" s="562"/>
      <c r="OJ135" s="562"/>
      <c r="OK135" s="562"/>
      <c r="OL135" s="562"/>
      <c r="OM135" s="562"/>
      <c r="ON135" s="562"/>
      <c r="OO135" s="562"/>
      <c r="OP135" s="562"/>
      <c r="OQ135" s="562"/>
      <c r="OR135" s="562"/>
      <c r="OS135" s="562"/>
      <c r="OT135" s="562"/>
      <c r="OU135" s="562"/>
      <c r="OV135" s="562"/>
      <c r="OW135" s="562"/>
      <c r="OX135" s="562"/>
      <c r="OY135" s="562"/>
      <c r="OZ135" s="562"/>
      <c r="PA135" s="562"/>
      <c r="PB135" s="562"/>
      <c r="PC135" s="562"/>
      <c r="PD135" s="562"/>
      <c r="PE135" s="562"/>
      <c r="PF135" s="562"/>
      <c r="PG135" s="562"/>
      <c r="PH135" s="562"/>
      <c r="PI135" s="562"/>
      <c r="PJ135" s="562"/>
      <c r="PK135" s="562"/>
      <c r="PL135" s="562"/>
      <c r="PM135" s="562"/>
      <c r="PN135" s="562"/>
      <c r="PO135" s="562"/>
      <c r="PP135" s="562"/>
      <c r="PQ135" s="562"/>
      <c r="PR135" s="562"/>
      <c r="PS135" s="562"/>
      <c r="PT135" s="562"/>
      <c r="PU135" s="562"/>
      <c r="PV135" s="562"/>
      <c r="PW135" s="562"/>
      <c r="PX135" s="562"/>
      <c r="PY135" s="562"/>
      <c r="PZ135" s="562"/>
      <c r="QA135" s="562"/>
      <c r="QB135" s="562"/>
      <c r="QC135" s="562"/>
      <c r="QD135" s="562"/>
      <c r="QE135" s="562"/>
      <c r="QF135" s="562"/>
      <c r="QG135" s="562"/>
      <c r="QH135" s="562"/>
      <c r="QI135" s="562"/>
      <c r="QJ135" s="562"/>
      <c r="QK135" s="562"/>
      <c r="QL135" s="562"/>
      <c r="QM135" s="562"/>
      <c r="QN135" s="562"/>
      <c r="QO135" s="562"/>
      <c r="QP135" s="562"/>
      <c r="QQ135" s="562"/>
      <c r="QR135" s="562"/>
      <c r="QS135" s="562"/>
      <c r="QT135" s="562"/>
      <c r="QU135" s="562"/>
      <c r="QV135" s="562"/>
      <c r="QW135" s="562"/>
      <c r="QX135" s="562"/>
      <c r="QY135" s="562"/>
      <c r="QZ135" s="562"/>
      <c r="RA135" s="562"/>
      <c r="RB135" s="562"/>
      <c r="RC135" s="562"/>
      <c r="RD135" s="562"/>
      <c r="RE135" s="562"/>
      <c r="RF135" s="562"/>
      <c r="RG135" s="562"/>
      <c r="RH135" s="562"/>
      <c r="RI135" s="562"/>
      <c r="RJ135" s="562"/>
      <c r="RK135" s="562"/>
      <c r="RL135" s="562"/>
      <c r="RM135" s="562"/>
      <c r="RN135" s="562"/>
      <c r="RO135" s="562"/>
      <c r="RP135" s="562"/>
      <c r="RQ135" s="562"/>
      <c r="RR135" s="562"/>
      <c r="RS135" s="562"/>
      <c r="RT135" s="562"/>
      <c r="RU135" s="562"/>
      <c r="RV135" s="562"/>
      <c r="RW135" s="562"/>
      <c r="RX135" s="562"/>
      <c r="RY135" s="562"/>
      <c r="RZ135" s="562"/>
      <c r="SA135" s="562"/>
      <c r="SB135" s="562"/>
      <c r="SC135" s="562"/>
      <c r="SD135" s="562"/>
      <c r="SE135" s="562"/>
      <c r="SF135" s="562"/>
      <c r="SG135" s="562"/>
      <c r="SH135" s="562"/>
      <c r="SI135" s="562"/>
      <c r="SJ135" s="562"/>
      <c r="SK135" s="562"/>
      <c r="SL135" s="562"/>
      <c r="SM135" s="562"/>
      <c r="SN135" s="562"/>
      <c r="SO135" s="562"/>
      <c r="SP135" s="562"/>
      <c r="SQ135" s="562"/>
      <c r="SR135" s="562"/>
      <c r="SS135" s="562"/>
      <c r="ST135" s="562"/>
      <c r="SU135" s="562"/>
      <c r="SV135" s="562"/>
      <c r="SW135" s="562"/>
      <c r="SX135" s="562"/>
      <c r="SY135" s="562"/>
      <c r="SZ135" s="562"/>
      <c r="TA135" s="562"/>
      <c r="TB135" s="562"/>
      <c r="TC135" s="562"/>
      <c r="TD135" s="562"/>
      <c r="TE135" s="562"/>
      <c r="TF135" s="562"/>
      <c r="TG135" s="562"/>
      <c r="TH135" s="562"/>
      <c r="TI135" s="562"/>
      <c r="TJ135" s="562"/>
      <c r="TK135" s="562"/>
      <c r="TL135" s="562"/>
      <c r="TM135" s="562"/>
      <c r="TN135" s="562"/>
      <c r="TO135" s="562"/>
      <c r="TP135" s="562"/>
      <c r="TQ135" s="562"/>
      <c r="TR135" s="562"/>
      <c r="TS135" s="562"/>
      <c r="TT135" s="562"/>
      <c r="TU135" s="562"/>
      <c r="TV135" s="562"/>
      <c r="TW135" s="562"/>
      <c r="TX135" s="562"/>
      <c r="TY135" s="562"/>
      <c r="TZ135" s="562"/>
      <c r="UA135" s="562"/>
      <c r="UB135" s="562"/>
      <c r="UC135" s="562"/>
      <c r="UD135" s="562"/>
      <c r="UE135" s="562"/>
      <c r="UF135" s="562"/>
      <c r="UG135" s="562"/>
      <c r="UH135" s="562"/>
      <c r="UI135" s="562"/>
      <c r="UJ135" s="562"/>
      <c r="UK135" s="562"/>
      <c r="UL135" s="562"/>
      <c r="UM135" s="562"/>
      <c r="UN135" s="562"/>
      <c r="UO135" s="562"/>
      <c r="UP135" s="562"/>
      <c r="UQ135" s="562"/>
      <c r="UR135" s="562"/>
      <c r="US135" s="562"/>
      <c r="UT135" s="562"/>
      <c r="UU135" s="562"/>
      <c r="UV135" s="562"/>
      <c r="UW135" s="562"/>
      <c r="UX135" s="562"/>
      <c r="UY135" s="562"/>
      <c r="UZ135" s="562"/>
      <c r="VA135" s="562"/>
      <c r="VB135" s="562"/>
      <c r="VC135" s="562"/>
      <c r="VD135" s="562"/>
      <c r="VE135" s="562"/>
      <c r="VF135" s="562"/>
      <c r="VG135" s="562"/>
      <c r="VH135" s="562"/>
      <c r="VI135" s="562"/>
      <c r="VJ135" s="562"/>
      <c r="VK135" s="562"/>
      <c r="VL135" s="562"/>
      <c r="VM135" s="562"/>
      <c r="VN135" s="562"/>
      <c r="VO135" s="562"/>
      <c r="VP135" s="562"/>
      <c r="VQ135" s="562"/>
      <c r="VR135" s="562"/>
      <c r="VS135" s="562"/>
      <c r="VT135" s="562"/>
      <c r="VU135" s="562"/>
      <c r="VV135" s="562"/>
      <c r="VW135" s="562"/>
      <c r="VX135" s="562"/>
      <c r="VY135" s="562"/>
      <c r="VZ135" s="562"/>
      <c r="WA135" s="562"/>
      <c r="WB135" s="562"/>
      <c r="WC135" s="562"/>
      <c r="WD135" s="562"/>
      <c r="WE135" s="562"/>
      <c r="WF135" s="562"/>
      <c r="WG135" s="562"/>
      <c r="WH135" s="562"/>
      <c r="WI135" s="562"/>
      <c r="WJ135" s="562"/>
      <c r="WK135" s="562"/>
      <c r="WL135" s="562"/>
      <c r="WM135" s="562"/>
      <c r="WN135" s="562"/>
      <c r="WO135" s="562"/>
      <c r="WP135" s="562"/>
      <c r="WQ135" s="562"/>
      <c r="WR135" s="562"/>
      <c r="WS135" s="562"/>
      <c r="WT135" s="562"/>
      <c r="WU135" s="562"/>
      <c r="WV135" s="562"/>
      <c r="WW135" s="562"/>
      <c r="WX135" s="562"/>
      <c r="WY135" s="562"/>
      <c r="WZ135" s="562"/>
      <c r="XA135" s="562"/>
      <c r="XB135" s="562"/>
      <c r="XC135" s="562"/>
      <c r="XD135" s="562"/>
      <c r="XE135" s="562"/>
      <c r="XF135" s="562"/>
      <c r="XG135" s="562"/>
      <c r="XH135" s="562"/>
      <c r="XI135" s="562"/>
      <c r="XJ135" s="562"/>
      <c r="XK135" s="562"/>
      <c r="XL135" s="562"/>
      <c r="XM135" s="562"/>
      <c r="XN135" s="562"/>
      <c r="XO135" s="562"/>
      <c r="XP135" s="562"/>
      <c r="XQ135" s="562"/>
      <c r="XR135" s="562"/>
      <c r="XS135" s="562"/>
      <c r="XT135" s="562"/>
      <c r="XU135" s="562"/>
      <c r="XV135" s="562"/>
      <c r="XW135" s="562"/>
      <c r="XX135" s="562"/>
      <c r="XY135" s="562"/>
      <c r="XZ135" s="562"/>
      <c r="YA135" s="562"/>
      <c r="YB135" s="562"/>
      <c r="YC135" s="562"/>
      <c r="YD135" s="562"/>
      <c r="YE135" s="562"/>
      <c r="YF135" s="562"/>
      <c r="YG135" s="562"/>
      <c r="YH135" s="562"/>
      <c r="YI135" s="562"/>
      <c r="YJ135" s="562"/>
      <c r="YK135" s="562"/>
      <c r="YL135" s="562"/>
      <c r="YM135" s="562"/>
      <c r="YN135" s="562"/>
      <c r="YO135" s="562"/>
      <c r="YP135" s="562"/>
      <c r="YQ135" s="562"/>
      <c r="YR135" s="562"/>
      <c r="YS135" s="562"/>
      <c r="YT135" s="562"/>
      <c r="YU135" s="562"/>
      <c r="YV135" s="562"/>
      <c r="YW135" s="562"/>
      <c r="YX135" s="562"/>
      <c r="YY135" s="562"/>
      <c r="YZ135" s="562"/>
      <c r="ZA135" s="562"/>
      <c r="ZB135" s="562"/>
      <c r="ZC135" s="562"/>
      <c r="ZD135" s="562"/>
      <c r="ZE135" s="562"/>
      <c r="ZF135" s="562"/>
      <c r="ZG135" s="562"/>
      <c r="ZH135" s="562"/>
      <c r="ZI135" s="562"/>
      <c r="ZJ135" s="562"/>
      <c r="ZK135" s="562"/>
      <c r="ZL135" s="562"/>
      <c r="ZM135" s="562"/>
      <c r="ZN135" s="562"/>
      <c r="ZO135" s="562"/>
      <c r="ZP135" s="562"/>
      <c r="ZQ135" s="562"/>
      <c r="ZR135" s="562"/>
      <c r="ZS135" s="562"/>
      <c r="ZT135" s="562"/>
      <c r="ZU135" s="562"/>
      <c r="ZV135" s="562"/>
      <c r="ZW135" s="562"/>
      <c r="ZX135" s="562"/>
      <c r="ZY135" s="562"/>
      <c r="ZZ135" s="562"/>
      <c r="AAA135" s="562"/>
      <c r="AAB135" s="562"/>
      <c r="AAC135" s="562"/>
      <c r="AAD135" s="562"/>
      <c r="AAE135" s="562"/>
      <c r="AAF135" s="562"/>
      <c r="AAG135" s="562"/>
      <c r="AAH135" s="562"/>
      <c r="AAI135" s="562"/>
      <c r="AAJ135" s="562"/>
      <c r="AAK135" s="562"/>
      <c r="AAL135" s="562"/>
      <c r="AAM135" s="562"/>
      <c r="AAN135" s="562"/>
      <c r="AAO135" s="562"/>
      <c r="AAP135" s="562"/>
      <c r="AAQ135" s="562"/>
      <c r="AAR135" s="562"/>
      <c r="AAS135" s="562"/>
      <c r="AAT135" s="562"/>
      <c r="AAU135" s="562"/>
      <c r="AAV135" s="562"/>
      <c r="AAW135" s="562"/>
      <c r="AAX135" s="562"/>
      <c r="AAY135" s="562"/>
      <c r="AAZ135" s="562"/>
      <c r="ABA135" s="562"/>
      <c r="ABB135" s="562"/>
      <c r="ABC135" s="562"/>
      <c r="ABD135" s="562"/>
      <c r="ABE135" s="562"/>
      <c r="ABF135" s="562"/>
      <c r="ABG135" s="562"/>
      <c r="ABH135" s="562"/>
      <c r="ABI135" s="562"/>
      <c r="ABJ135" s="562"/>
      <c r="ABK135" s="562"/>
      <c r="ABL135" s="562"/>
      <c r="ABM135" s="562"/>
      <c r="ABN135" s="562"/>
      <c r="ABO135" s="562"/>
      <c r="ABP135" s="562"/>
      <c r="ABQ135" s="562"/>
      <c r="ABR135" s="562"/>
      <c r="ABS135" s="562"/>
      <c r="ABT135" s="562"/>
      <c r="ABU135" s="562"/>
      <c r="ABV135" s="562"/>
      <c r="ABW135" s="562"/>
      <c r="ABX135" s="562"/>
      <c r="ABY135" s="562"/>
      <c r="ABZ135" s="562"/>
      <c r="ACA135" s="562"/>
      <c r="ACB135" s="562"/>
      <c r="ACC135" s="562"/>
      <c r="ACD135" s="562"/>
      <c r="ACE135" s="562"/>
      <c r="ACF135" s="562"/>
      <c r="ACG135" s="562"/>
      <c r="ACH135" s="562"/>
      <c r="ACI135" s="562"/>
      <c r="ACJ135" s="562"/>
      <c r="ACK135" s="562"/>
      <c r="ACL135" s="562"/>
      <c r="ACM135" s="562"/>
      <c r="ACN135" s="562"/>
      <c r="ACO135" s="562"/>
      <c r="ACP135" s="562"/>
      <c r="ACQ135" s="562"/>
      <c r="ACR135" s="562"/>
      <c r="ACS135" s="562"/>
      <c r="ACT135" s="562"/>
      <c r="ACU135" s="562"/>
      <c r="ACV135" s="562"/>
      <c r="ACW135" s="562"/>
      <c r="ACX135" s="562"/>
      <c r="ACY135" s="562"/>
      <c r="ACZ135" s="562"/>
      <c r="ADA135" s="562"/>
      <c r="ADB135" s="562"/>
      <c r="ADC135" s="562"/>
      <c r="ADD135" s="562"/>
      <c r="ADE135" s="562"/>
      <c r="ADF135" s="562"/>
      <c r="ADG135" s="562"/>
      <c r="ADH135" s="562"/>
      <c r="ADI135" s="562"/>
      <c r="ADJ135" s="562"/>
      <c r="ADK135" s="562"/>
      <c r="ADL135" s="562"/>
      <c r="ADM135" s="562"/>
      <c r="ADN135" s="562"/>
      <c r="ADO135" s="562"/>
      <c r="ADP135" s="562"/>
      <c r="ADQ135" s="562"/>
      <c r="ADR135" s="562"/>
      <c r="ADS135" s="562"/>
      <c r="ADT135" s="562"/>
      <c r="ADU135" s="562"/>
      <c r="ADV135" s="562"/>
      <c r="ADW135" s="562"/>
      <c r="ADX135" s="562"/>
      <c r="ADY135" s="562"/>
      <c r="ADZ135" s="562"/>
      <c r="AEA135" s="562"/>
      <c r="AEB135" s="562"/>
      <c r="AEC135" s="562"/>
      <c r="AED135" s="562"/>
      <c r="AEE135" s="562"/>
      <c r="AEF135" s="562"/>
      <c r="AEG135" s="562"/>
      <c r="AEH135" s="562"/>
      <c r="AEI135" s="562"/>
      <c r="AEJ135" s="562"/>
      <c r="AEK135" s="562"/>
      <c r="AEL135" s="562"/>
      <c r="AEM135" s="562"/>
      <c r="AEN135" s="562"/>
      <c r="AEO135" s="562"/>
      <c r="AEP135" s="562"/>
      <c r="AEQ135" s="562"/>
      <c r="AER135" s="562"/>
      <c r="AES135" s="562"/>
      <c r="AET135" s="562"/>
      <c r="AEU135" s="562"/>
      <c r="AEV135" s="562"/>
      <c r="AEW135" s="562"/>
      <c r="AEX135" s="562"/>
      <c r="AEY135" s="562"/>
      <c r="AEZ135" s="562"/>
      <c r="AFA135" s="562"/>
      <c r="AFB135" s="562"/>
      <c r="AFC135" s="562"/>
      <c r="AFD135" s="562"/>
      <c r="AFE135" s="562"/>
      <c r="AFF135" s="562"/>
      <c r="AFG135" s="562"/>
      <c r="AFH135" s="562"/>
      <c r="AFI135" s="562"/>
      <c r="AFJ135" s="562"/>
      <c r="AFK135" s="562"/>
      <c r="AFL135" s="562"/>
      <c r="AFM135" s="562"/>
      <c r="AFN135" s="562"/>
      <c r="AFO135" s="562"/>
      <c r="AFP135" s="562"/>
      <c r="AFQ135" s="562"/>
      <c r="AFR135" s="562"/>
      <c r="AFS135" s="562"/>
      <c r="AFT135" s="562"/>
      <c r="AFU135" s="562"/>
      <c r="AFV135" s="562"/>
      <c r="AFW135" s="562"/>
      <c r="AFX135" s="562"/>
      <c r="AFY135" s="562"/>
      <c r="AFZ135" s="562"/>
      <c r="AGA135" s="562"/>
      <c r="AGB135" s="562"/>
      <c r="AGC135" s="562"/>
      <c r="AGD135" s="562"/>
      <c r="AGE135" s="562"/>
      <c r="AGF135" s="562"/>
      <c r="AGG135" s="562"/>
      <c r="AGH135" s="562"/>
      <c r="AGI135" s="562"/>
      <c r="AGJ135" s="562"/>
      <c r="AGK135" s="562"/>
      <c r="AGL135" s="562"/>
      <c r="AGM135" s="562"/>
      <c r="AGN135" s="562"/>
      <c r="AGO135" s="562"/>
      <c r="AGP135" s="562"/>
      <c r="AGQ135" s="562"/>
      <c r="AGR135" s="562"/>
      <c r="AGS135" s="562"/>
      <c r="AGT135" s="562"/>
      <c r="AGU135" s="562"/>
      <c r="AGV135" s="562"/>
      <c r="AGW135" s="562"/>
      <c r="AGX135" s="562"/>
      <c r="AGY135" s="562"/>
      <c r="AGZ135" s="562"/>
      <c r="AHA135" s="562"/>
      <c r="AHB135" s="562"/>
      <c r="AHC135" s="562"/>
      <c r="AHD135" s="562"/>
      <c r="AHE135" s="562"/>
      <c r="AHF135" s="562"/>
      <c r="AHG135" s="562"/>
      <c r="AHH135" s="562"/>
      <c r="AHI135" s="562"/>
      <c r="AHJ135" s="562"/>
      <c r="AHK135" s="562"/>
      <c r="AHL135" s="562"/>
      <c r="AHM135" s="562"/>
      <c r="AHN135" s="562"/>
      <c r="AHO135" s="562"/>
      <c r="AHP135" s="562"/>
      <c r="AHQ135" s="562"/>
      <c r="AHR135" s="562"/>
      <c r="AHS135" s="562"/>
      <c r="AHT135" s="562"/>
      <c r="AHU135" s="562"/>
      <c r="AHV135" s="562"/>
      <c r="AHW135" s="562"/>
      <c r="AHX135" s="562"/>
      <c r="AHY135" s="562"/>
      <c r="AHZ135" s="562"/>
      <c r="AIA135" s="562"/>
      <c r="AIB135" s="562"/>
      <c r="AIC135" s="562"/>
      <c r="AID135" s="562"/>
      <c r="AIE135" s="562"/>
      <c r="AIF135" s="562"/>
      <c r="AIG135" s="562"/>
      <c r="AIH135" s="562"/>
      <c r="AII135" s="562"/>
      <c r="AIJ135" s="562"/>
      <c r="AIK135" s="562"/>
      <c r="AIL135" s="562"/>
      <c r="AIM135" s="562"/>
      <c r="AIN135" s="562"/>
      <c r="AIO135" s="562"/>
      <c r="AIP135" s="562"/>
      <c r="AIQ135" s="562"/>
      <c r="AIR135" s="562"/>
      <c r="AIS135" s="562"/>
      <c r="AIT135" s="562"/>
      <c r="AIU135" s="562"/>
      <c r="AIV135" s="562"/>
      <c r="AIW135" s="562"/>
      <c r="AIX135" s="562"/>
      <c r="AIY135" s="562"/>
      <c r="AIZ135" s="562"/>
      <c r="AJA135" s="562"/>
      <c r="AJB135" s="562"/>
      <c r="AJC135" s="562"/>
      <c r="AJD135" s="562"/>
      <c r="AJE135" s="562"/>
      <c r="AJF135" s="562"/>
      <c r="AJG135" s="562"/>
      <c r="AJH135" s="562"/>
      <c r="AJI135" s="562"/>
      <c r="AJJ135" s="562"/>
      <c r="AJK135" s="562"/>
      <c r="AJL135" s="562"/>
      <c r="AJM135" s="562"/>
      <c r="AJN135" s="562"/>
      <c r="AJO135" s="562"/>
      <c r="AJP135" s="562"/>
      <c r="AJQ135" s="562"/>
      <c r="AJR135" s="562"/>
      <c r="AJS135" s="562"/>
      <c r="AJT135" s="562"/>
      <c r="AJU135" s="562"/>
      <c r="AJV135" s="562"/>
      <c r="AJW135" s="562"/>
      <c r="AJX135" s="562"/>
      <c r="AJY135" s="562"/>
      <c r="AJZ135" s="562"/>
      <c r="AKA135" s="562"/>
      <c r="AKB135" s="562"/>
      <c r="AKC135" s="562"/>
      <c r="AKD135" s="562"/>
      <c r="AKE135" s="562"/>
      <c r="AKF135" s="562"/>
      <c r="AKG135" s="562"/>
      <c r="AKH135" s="562"/>
      <c r="AKI135" s="562"/>
      <c r="AKJ135" s="562"/>
      <c r="AKK135" s="562"/>
      <c r="AKL135" s="562"/>
      <c r="AKM135" s="562"/>
      <c r="AKN135" s="562"/>
      <c r="AKO135" s="562"/>
      <c r="AKP135" s="562"/>
      <c r="AKQ135" s="562"/>
      <c r="AKR135" s="562"/>
      <c r="AKS135" s="562"/>
      <c r="AKT135" s="562"/>
      <c r="AKU135" s="562"/>
      <c r="AKV135" s="562"/>
      <c r="AKW135" s="562"/>
      <c r="AKX135" s="562"/>
      <c r="AKY135" s="562"/>
      <c r="AKZ135" s="562"/>
      <c r="ALA135" s="562"/>
      <c r="ALB135" s="562"/>
      <c r="ALC135" s="562"/>
      <c r="ALD135" s="562"/>
      <c r="ALE135" s="562"/>
      <c r="ALF135" s="562"/>
      <c r="ALG135" s="562"/>
      <c r="ALH135" s="562"/>
      <c r="ALI135" s="562"/>
      <c r="ALJ135" s="562"/>
      <c r="ALK135" s="562"/>
      <c r="ALL135" s="562"/>
      <c r="ALM135" s="562"/>
      <c r="ALN135" s="562"/>
      <c r="ALO135" s="562"/>
      <c r="ALP135" s="562"/>
      <c r="ALQ135" s="562"/>
      <c r="ALR135" s="562"/>
      <c r="ALS135" s="562"/>
      <c r="ALT135" s="562"/>
      <c r="ALU135" s="562"/>
      <c r="ALV135" s="562"/>
      <c r="ALW135" s="562"/>
      <c r="ALX135" s="562"/>
      <c r="ALY135" s="562"/>
      <c r="ALZ135" s="562"/>
      <c r="AMA135" s="562"/>
      <c r="AMB135" s="562"/>
      <c r="AMC135" s="562"/>
      <c r="AMD135" s="562"/>
      <c r="AME135" s="562"/>
      <c r="AMF135" s="562"/>
      <c r="AMG135" s="562"/>
      <c r="AMH135" s="562"/>
      <c r="AMI135" s="562"/>
      <c r="AMJ135" s="562"/>
      <c r="AMK135" s="562"/>
      <c r="AML135" s="562"/>
      <c r="AMM135" s="562"/>
      <c r="AMN135" s="562"/>
      <c r="AMO135" s="562"/>
      <c r="AMP135" s="562"/>
      <c r="AMQ135" s="562"/>
      <c r="AMR135" s="562"/>
      <c r="AMS135" s="562"/>
      <c r="AMT135" s="562"/>
      <c r="AMU135" s="562"/>
      <c r="AMV135" s="562"/>
      <c r="AMW135" s="562"/>
      <c r="AMX135" s="562"/>
      <c r="AMY135" s="562"/>
      <c r="AMZ135" s="562"/>
      <c r="ANA135" s="562"/>
      <c r="ANB135" s="562"/>
      <c r="ANC135" s="562"/>
      <c r="AND135" s="562"/>
      <c r="ANE135" s="562"/>
      <c r="ANF135" s="562"/>
      <c r="ANG135" s="562"/>
      <c r="ANH135" s="562"/>
      <c r="ANI135" s="562"/>
      <c r="ANJ135" s="562"/>
      <c r="ANK135" s="562"/>
      <c r="ANL135" s="562"/>
      <c r="ANM135" s="562"/>
      <c r="ANN135" s="562"/>
      <c r="ANO135" s="562"/>
      <c r="ANP135" s="562"/>
      <c r="ANQ135" s="562"/>
      <c r="ANR135" s="562"/>
      <c r="ANS135" s="562"/>
      <c r="ANT135" s="562"/>
      <c r="ANU135" s="562"/>
      <c r="ANV135" s="562"/>
      <c r="ANW135" s="562"/>
      <c r="ANX135" s="562"/>
      <c r="ANY135" s="562"/>
      <c r="ANZ135" s="562"/>
      <c r="AOA135" s="562"/>
      <c r="AOB135" s="562"/>
      <c r="AOC135" s="562"/>
      <c r="AOD135" s="562"/>
      <c r="AOE135" s="562"/>
      <c r="AOF135" s="562"/>
      <c r="AOG135" s="562"/>
      <c r="AOH135" s="562"/>
      <c r="AOI135" s="562"/>
      <c r="AOJ135" s="562"/>
      <c r="AOK135" s="562"/>
      <c r="AOL135" s="562"/>
      <c r="AOM135" s="562"/>
      <c r="AON135" s="562"/>
      <c r="AOO135" s="562"/>
      <c r="AOP135" s="562"/>
      <c r="AOQ135" s="562"/>
      <c r="AOR135" s="562"/>
      <c r="AOS135" s="562"/>
      <c r="AOT135" s="562"/>
      <c r="AOU135" s="562"/>
      <c r="AOV135" s="562"/>
      <c r="AOW135" s="562"/>
      <c r="AOX135" s="562"/>
      <c r="AOY135" s="562"/>
      <c r="AOZ135" s="562"/>
      <c r="APA135" s="562"/>
      <c r="APB135" s="562"/>
      <c r="APC135" s="562"/>
      <c r="APD135" s="562"/>
      <c r="APE135" s="562"/>
      <c r="APF135" s="562"/>
      <c r="APG135" s="562"/>
      <c r="APH135" s="562"/>
      <c r="API135" s="562"/>
      <c r="APJ135" s="562"/>
      <c r="APK135" s="562"/>
      <c r="APL135" s="562"/>
      <c r="APM135" s="562"/>
      <c r="APN135" s="562"/>
      <c r="APO135" s="562"/>
      <c r="APP135" s="562"/>
      <c r="APQ135" s="562"/>
      <c r="APR135" s="562"/>
      <c r="APS135" s="562"/>
      <c r="APT135" s="562"/>
      <c r="APU135" s="562"/>
      <c r="APV135" s="562"/>
      <c r="APW135" s="562"/>
      <c r="APX135" s="562"/>
      <c r="APY135" s="562"/>
      <c r="APZ135" s="562"/>
      <c r="AQA135" s="562"/>
      <c r="AQB135" s="562"/>
      <c r="AQC135" s="562"/>
      <c r="AQD135" s="562"/>
      <c r="AQE135" s="562"/>
      <c r="AQF135" s="562"/>
      <c r="AQG135" s="562"/>
      <c r="AQH135" s="562"/>
      <c r="AQI135" s="562"/>
      <c r="AQJ135" s="562"/>
      <c r="AQK135" s="562"/>
      <c r="AQL135" s="562"/>
      <c r="AQM135" s="562"/>
      <c r="AQN135" s="562"/>
      <c r="AQO135" s="562"/>
      <c r="AQP135" s="562"/>
      <c r="AQQ135" s="562"/>
      <c r="AQR135" s="562"/>
      <c r="AQS135" s="562"/>
      <c r="AQT135" s="562"/>
      <c r="AQU135" s="562"/>
      <c r="AQV135" s="562"/>
      <c r="AQW135" s="562"/>
      <c r="AQX135" s="562"/>
      <c r="AQY135" s="562"/>
      <c r="AQZ135" s="562"/>
      <c r="ARA135" s="562"/>
      <c r="ARB135" s="562"/>
      <c r="ARC135" s="562"/>
      <c r="ARD135" s="562"/>
      <c r="ARE135" s="562"/>
      <c r="ARF135" s="562"/>
      <c r="ARG135" s="562"/>
      <c r="ARH135" s="562"/>
      <c r="ARI135" s="562"/>
      <c r="ARJ135" s="562"/>
      <c r="ARK135" s="562"/>
      <c r="ARL135" s="562"/>
      <c r="ARM135" s="562"/>
      <c r="ARN135" s="562"/>
      <c r="ARO135" s="562"/>
      <c r="ARP135" s="562"/>
      <c r="ARQ135" s="562"/>
      <c r="ARR135" s="562"/>
      <c r="ARS135" s="562"/>
      <c r="ART135" s="562"/>
      <c r="ARU135" s="562"/>
      <c r="ARV135" s="562"/>
      <c r="ARW135" s="562"/>
      <c r="ARX135" s="562"/>
      <c r="ARY135" s="562"/>
      <c r="ARZ135" s="562"/>
      <c r="ASA135" s="562"/>
      <c r="ASB135" s="562"/>
      <c r="ASC135" s="562"/>
      <c r="ASD135" s="562"/>
      <c r="ASE135" s="562"/>
      <c r="ASF135" s="562"/>
      <c r="ASG135" s="562"/>
      <c r="ASH135" s="562"/>
      <c r="ASI135" s="562"/>
      <c r="ASJ135" s="562"/>
      <c r="ASK135" s="562"/>
      <c r="ASL135" s="562"/>
      <c r="ASM135" s="562"/>
      <c r="ASN135" s="562"/>
      <c r="ASO135" s="562"/>
      <c r="ASP135" s="562"/>
      <c r="ASQ135" s="562"/>
      <c r="ASR135" s="562"/>
      <c r="ASS135" s="562"/>
      <c r="AST135" s="562"/>
      <c r="ASU135" s="562"/>
      <c r="ASV135" s="562"/>
      <c r="ASW135" s="562"/>
      <c r="ASX135" s="562"/>
      <c r="ASY135" s="562"/>
      <c r="ASZ135" s="562"/>
      <c r="ATA135" s="562"/>
      <c r="ATB135" s="562"/>
      <c r="ATC135" s="562"/>
      <c r="ATD135" s="562"/>
      <c r="ATE135" s="562"/>
      <c r="ATF135" s="562"/>
      <c r="ATG135" s="562"/>
      <c r="ATH135" s="562"/>
      <c r="ATI135" s="562"/>
      <c r="ATJ135" s="562"/>
      <c r="ATK135" s="562"/>
      <c r="ATL135" s="562"/>
      <c r="ATM135" s="562"/>
      <c r="ATN135" s="562"/>
      <c r="ATO135" s="562"/>
      <c r="ATP135" s="562"/>
      <c r="ATQ135" s="562"/>
      <c r="ATR135" s="562"/>
      <c r="ATS135" s="562"/>
      <c r="ATT135" s="562"/>
      <c r="ATU135" s="562"/>
      <c r="ATV135" s="562"/>
      <c r="ATW135" s="562"/>
      <c r="ATX135" s="562"/>
      <c r="ATY135" s="562"/>
      <c r="ATZ135" s="562"/>
      <c r="AUA135" s="562"/>
      <c r="AUB135" s="562"/>
      <c r="AUC135" s="562"/>
      <c r="AUD135" s="562"/>
      <c r="AUE135" s="562"/>
      <c r="AUF135" s="562"/>
      <c r="AUG135" s="562"/>
      <c r="AUH135" s="562"/>
      <c r="AUI135" s="562"/>
      <c r="AUJ135" s="562"/>
      <c r="AUK135" s="562"/>
      <c r="AUL135" s="562"/>
      <c r="AUM135" s="562"/>
      <c r="AUN135" s="562"/>
      <c r="AUO135" s="562"/>
      <c r="AUP135" s="562"/>
      <c r="AUQ135" s="562"/>
      <c r="AUR135" s="562"/>
      <c r="AUS135" s="562"/>
      <c r="AUT135" s="562"/>
      <c r="AUU135" s="562"/>
      <c r="AUV135" s="562"/>
      <c r="AUW135" s="562"/>
      <c r="AUX135" s="562"/>
      <c r="AUY135" s="562"/>
      <c r="AUZ135" s="562"/>
      <c r="AVA135" s="562"/>
      <c r="AVB135" s="562"/>
      <c r="AVC135" s="562"/>
      <c r="AVD135" s="562"/>
      <c r="AVE135" s="562"/>
      <c r="AVF135" s="562"/>
      <c r="AVG135" s="562"/>
      <c r="AVH135" s="562"/>
      <c r="AVI135" s="562"/>
      <c r="AVJ135" s="562"/>
      <c r="AVK135" s="562"/>
      <c r="AVL135" s="562"/>
      <c r="AVM135" s="562"/>
      <c r="AVN135" s="562"/>
      <c r="AVO135" s="562"/>
      <c r="AVP135" s="562"/>
      <c r="AVQ135" s="562"/>
      <c r="AVR135" s="562"/>
      <c r="AVS135" s="562"/>
      <c r="AVT135" s="562"/>
      <c r="AVU135" s="562"/>
      <c r="AVV135" s="562"/>
      <c r="AVW135" s="562"/>
      <c r="AVX135" s="562"/>
      <c r="AVY135" s="562"/>
      <c r="AVZ135" s="562"/>
      <c r="AWA135" s="562"/>
      <c r="AWB135" s="562"/>
      <c r="AWC135" s="562"/>
      <c r="AWD135" s="562"/>
      <c r="AWE135" s="562"/>
      <c r="AWF135" s="562"/>
      <c r="AWG135" s="562"/>
      <c r="AWH135" s="562"/>
      <c r="AWI135" s="562"/>
      <c r="AWJ135" s="562"/>
      <c r="AWK135" s="562"/>
      <c r="AWL135" s="562"/>
      <c r="AWM135" s="562"/>
      <c r="AWN135" s="562"/>
      <c r="AWO135" s="562"/>
      <c r="AWP135" s="562"/>
      <c r="AWQ135" s="562"/>
      <c r="AWR135" s="562"/>
      <c r="AWS135" s="562"/>
      <c r="AWT135" s="562"/>
      <c r="AWU135" s="562"/>
      <c r="AWV135" s="562"/>
      <c r="AWW135" s="562"/>
      <c r="AWX135" s="562"/>
      <c r="AWY135" s="562"/>
      <c r="AWZ135" s="562"/>
      <c r="AXA135" s="562"/>
      <c r="AXB135" s="562"/>
      <c r="AXC135" s="562"/>
      <c r="AXD135" s="562"/>
      <c r="AXE135" s="562"/>
      <c r="AXF135" s="562"/>
      <c r="AXG135" s="562"/>
      <c r="AXH135" s="562"/>
      <c r="AXI135" s="562"/>
      <c r="AXJ135" s="562"/>
      <c r="AXK135" s="562"/>
      <c r="AXL135" s="562"/>
      <c r="AXM135" s="562"/>
      <c r="AXN135" s="562"/>
      <c r="AXO135" s="562"/>
      <c r="AXP135" s="562"/>
      <c r="AXQ135" s="562"/>
      <c r="AXR135" s="562"/>
      <c r="AXS135" s="562"/>
      <c r="AXT135" s="562"/>
      <c r="AXU135" s="562"/>
      <c r="AXV135" s="562"/>
      <c r="AXW135" s="562"/>
      <c r="AXX135" s="562"/>
      <c r="AXY135" s="562"/>
      <c r="AXZ135" s="562"/>
      <c r="AYA135" s="562"/>
      <c r="AYB135" s="562"/>
      <c r="AYC135" s="562"/>
      <c r="AYD135" s="562"/>
      <c r="AYE135" s="562"/>
      <c r="AYF135" s="562"/>
      <c r="AYG135" s="562"/>
      <c r="AYH135" s="562"/>
      <c r="AYI135" s="562"/>
      <c r="AYJ135" s="562"/>
      <c r="AYK135" s="562"/>
      <c r="AYL135" s="562"/>
      <c r="AYM135" s="562"/>
      <c r="AYN135" s="562"/>
      <c r="AYO135" s="562"/>
      <c r="AYP135" s="562"/>
      <c r="AYQ135" s="562"/>
      <c r="AYR135" s="562"/>
      <c r="AYS135" s="562"/>
      <c r="AYT135" s="562"/>
      <c r="AYU135" s="562"/>
      <c r="AYV135" s="562"/>
      <c r="AYW135" s="562"/>
      <c r="AYX135" s="562"/>
      <c r="AYY135" s="562"/>
      <c r="AYZ135" s="562"/>
      <c r="AZA135" s="562"/>
      <c r="AZB135" s="562"/>
      <c r="AZC135" s="562"/>
      <c r="AZD135" s="562"/>
      <c r="AZE135" s="562"/>
      <c r="AZF135" s="562"/>
      <c r="AZG135" s="562"/>
      <c r="AZH135" s="562"/>
      <c r="AZI135" s="562"/>
      <c r="AZJ135" s="562"/>
      <c r="AZK135" s="562"/>
      <c r="AZL135" s="562"/>
      <c r="AZM135" s="562"/>
      <c r="AZN135" s="562"/>
      <c r="AZO135" s="562"/>
      <c r="AZP135" s="562"/>
      <c r="AZQ135" s="562"/>
      <c r="AZR135" s="562"/>
      <c r="AZS135" s="562"/>
      <c r="AZT135" s="562"/>
      <c r="AZU135" s="562"/>
      <c r="AZV135" s="562"/>
      <c r="AZW135" s="562"/>
      <c r="AZX135" s="562"/>
      <c r="AZY135" s="562"/>
      <c r="AZZ135" s="562"/>
      <c r="BAA135" s="562"/>
      <c r="BAB135" s="562"/>
      <c r="BAC135" s="562"/>
      <c r="BAD135" s="562"/>
      <c r="BAE135" s="562"/>
      <c r="BAF135" s="562"/>
      <c r="BAG135" s="562"/>
      <c r="BAH135" s="562"/>
      <c r="BAI135" s="562"/>
      <c r="BAJ135" s="562"/>
      <c r="BAK135" s="562"/>
      <c r="BAL135" s="562"/>
      <c r="BAM135" s="562"/>
      <c r="BAN135" s="562"/>
      <c r="BAO135" s="562"/>
      <c r="BAP135" s="562"/>
      <c r="BAQ135" s="562"/>
      <c r="BAR135" s="562"/>
      <c r="BAS135" s="562"/>
      <c r="BAT135" s="562"/>
      <c r="BAU135" s="562"/>
      <c r="BAV135" s="562"/>
      <c r="BAW135" s="562"/>
      <c r="BAX135" s="562"/>
      <c r="BAY135" s="562"/>
      <c r="BAZ135" s="562"/>
      <c r="BBA135" s="562"/>
      <c r="BBB135" s="562"/>
      <c r="BBC135" s="562"/>
      <c r="BBD135" s="562"/>
      <c r="BBE135" s="562"/>
      <c r="BBF135" s="562"/>
      <c r="BBG135" s="562"/>
      <c r="BBH135" s="562"/>
      <c r="BBI135" s="562"/>
      <c r="BBJ135" s="562"/>
      <c r="BBK135" s="562"/>
      <c r="BBL135" s="562"/>
      <c r="BBM135" s="562"/>
      <c r="BBN135" s="562"/>
      <c r="BBO135" s="562"/>
      <c r="BBP135" s="562"/>
      <c r="BBQ135" s="562"/>
      <c r="BBR135" s="562"/>
      <c r="BBS135" s="562"/>
      <c r="BBT135" s="562"/>
      <c r="BBU135" s="562"/>
      <c r="BBV135" s="562"/>
      <c r="BBW135" s="562"/>
      <c r="BBX135" s="562"/>
      <c r="BBY135" s="562"/>
      <c r="BBZ135" s="562"/>
      <c r="BCA135" s="562"/>
      <c r="BCB135" s="562"/>
      <c r="BCC135" s="562"/>
      <c r="BCD135" s="562"/>
      <c r="BCE135" s="562"/>
      <c r="BCF135" s="562"/>
      <c r="BCG135" s="562"/>
      <c r="BCH135" s="562"/>
      <c r="BCI135" s="562"/>
      <c r="BCJ135" s="562"/>
      <c r="BCK135" s="562"/>
      <c r="BCL135" s="562"/>
      <c r="BCM135" s="562"/>
      <c r="BCN135" s="562"/>
      <c r="BCO135" s="562"/>
      <c r="BCP135" s="562"/>
      <c r="BCQ135" s="562"/>
      <c r="BCR135" s="562"/>
      <c r="BCS135" s="562"/>
      <c r="BCT135" s="562"/>
      <c r="BCU135" s="562"/>
      <c r="BCV135" s="562"/>
      <c r="BCW135" s="562"/>
      <c r="BCX135" s="562"/>
      <c r="BCY135" s="562"/>
      <c r="BCZ135" s="562"/>
      <c r="BDA135" s="562"/>
      <c r="BDB135" s="562"/>
      <c r="BDC135" s="562"/>
      <c r="BDD135" s="562"/>
      <c r="BDE135" s="562"/>
      <c r="BDF135" s="562"/>
      <c r="BDG135" s="562"/>
      <c r="BDH135" s="562"/>
      <c r="BDI135" s="562"/>
      <c r="BDJ135" s="562"/>
      <c r="BDK135" s="562"/>
      <c r="BDL135" s="562"/>
      <c r="BDM135" s="562"/>
      <c r="BDN135" s="562"/>
      <c r="BDO135" s="562"/>
      <c r="BDP135" s="562"/>
      <c r="BDQ135" s="562"/>
      <c r="BDR135" s="562"/>
      <c r="BDS135" s="562"/>
      <c r="BDT135" s="562"/>
      <c r="BDU135" s="562"/>
      <c r="BDV135" s="562"/>
      <c r="BDW135" s="562"/>
      <c r="BDX135" s="562"/>
      <c r="BDY135" s="562"/>
      <c r="BDZ135" s="562"/>
      <c r="BEA135" s="562"/>
      <c r="BEB135" s="562"/>
      <c r="BEC135" s="562"/>
      <c r="BED135" s="562"/>
      <c r="BEE135" s="562"/>
      <c r="BEF135" s="562"/>
      <c r="BEG135" s="562"/>
      <c r="BEH135" s="562"/>
      <c r="BEI135" s="562"/>
      <c r="BEJ135" s="562"/>
      <c r="BEK135" s="562"/>
      <c r="BEL135" s="562"/>
      <c r="BEM135" s="562"/>
      <c r="BEN135" s="562"/>
      <c r="BEO135" s="562"/>
      <c r="BEP135" s="562"/>
      <c r="BEQ135" s="562"/>
      <c r="BER135" s="562"/>
      <c r="BES135" s="562"/>
      <c r="BET135" s="562"/>
      <c r="BEU135" s="562"/>
      <c r="BEV135" s="562"/>
      <c r="BEW135" s="562"/>
      <c r="BEX135" s="562"/>
      <c r="BEY135" s="562"/>
      <c r="BEZ135" s="562"/>
      <c r="BFA135" s="562"/>
      <c r="BFB135" s="562"/>
      <c r="BFC135" s="562"/>
      <c r="BFD135" s="562"/>
      <c r="BFE135" s="562"/>
      <c r="BFF135" s="562"/>
      <c r="BFG135" s="562"/>
      <c r="BFH135" s="562"/>
      <c r="BFI135" s="562"/>
      <c r="BFJ135" s="562"/>
      <c r="BFK135" s="562"/>
      <c r="BFL135" s="562"/>
      <c r="BFM135" s="562"/>
      <c r="BFN135" s="562"/>
      <c r="BFO135" s="562"/>
      <c r="BFP135" s="562"/>
      <c r="BFQ135" s="562"/>
      <c r="BFR135" s="562"/>
      <c r="BFS135" s="562"/>
      <c r="BFT135" s="562"/>
      <c r="BFU135" s="562"/>
      <c r="BFV135" s="562"/>
      <c r="BFW135" s="562"/>
      <c r="BFX135" s="562"/>
      <c r="BFY135" s="562"/>
      <c r="BFZ135" s="562"/>
      <c r="BGA135" s="562"/>
      <c r="BGB135" s="562"/>
      <c r="BGC135" s="562"/>
      <c r="BGD135" s="562"/>
      <c r="BGE135" s="562"/>
      <c r="BGF135" s="562"/>
      <c r="BGG135" s="562"/>
      <c r="BGH135" s="562"/>
      <c r="BGI135" s="562"/>
      <c r="BGJ135" s="562"/>
      <c r="BGK135" s="562"/>
      <c r="BGL135" s="562"/>
      <c r="BGM135" s="562"/>
      <c r="BGN135" s="562"/>
      <c r="BGO135" s="562"/>
      <c r="BGP135" s="562"/>
      <c r="BGQ135" s="562"/>
      <c r="BGR135" s="562"/>
      <c r="BGS135" s="562"/>
      <c r="BGT135" s="562"/>
      <c r="BGU135" s="562"/>
      <c r="BGV135" s="562"/>
      <c r="BGW135" s="562"/>
      <c r="BGX135" s="562"/>
      <c r="BGY135" s="562"/>
      <c r="BGZ135" s="562"/>
      <c r="BHA135" s="562"/>
      <c r="BHB135" s="562"/>
      <c r="BHC135" s="562"/>
      <c r="BHD135" s="562"/>
      <c r="BHE135" s="562"/>
      <c r="BHF135" s="562"/>
      <c r="BHG135" s="562"/>
      <c r="BHH135" s="562"/>
      <c r="BHI135" s="562"/>
      <c r="BHJ135" s="562"/>
      <c r="BHK135" s="562"/>
      <c r="BHL135" s="562"/>
      <c r="BHM135" s="562"/>
      <c r="BHN135" s="562"/>
      <c r="BHO135" s="562"/>
      <c r="BHP135" s="562"/>
      <c r="BHQ135" s="562"/>
      <c r="BHR135" s="562"/>
      <c r="BHS135" s="562"/>
      <c r="BHT135" s="562"/>
      <c r="BHU135" s="562"/>
      <c r="BHV135" s="562"/>
      <c r="BHW135" s="562"/>
      <c r="BHX135" s="562"/>
      <c r="BHY135" s="562"/>
      <c r="BHZ135" s="562"/>
      <c r="BIA135" s="562"/>
      <c r="BIB135" s="562"/>
      <c r="BIC135" s="562"/>
      <c r="BID135" s="562"/>
      <c r="BIE135" s="562"/>
      <c r="BIF135" s="562"/>
      <c r="BIG135" s="562"/>
      <c r="BIH135" s="562"/>
      <c r="BII135" s="562"/>
      <c r="BIJ135" s="562"/>
      <c r="BIK135" s="562"/>
      <c r="BIL135" s="562"/>
      <c r="BIM135" s="562"/>
      <c r="BIN135" s="562"/>
      <c r="BIO135" s="562"/>
      <c r="BIP135" s="562"/>
      <c r="BIQ135" s="562"/>
      <c r="BIR135" s="562"/>
      <c r="BIS135" s="562"/>
      <c r="BIT135" s="562"/>
      <c r="BIU135" s="562"/>
      <c r="BIV135" s="562"/>
      <c r="BIW135" s="562"/>
      <c r="BIX135" s="562"/>
      <c r="BIY135" s="562"/>
      <c r="BIZ135" s="562"/>
      <c r="BJA135" s="562"/>
      <c r="BJB135" s="562"/>
      <c r="BJC135" s="562"/>
      <c r="BJD135" s="562"/>
      <c r="BJE135" s="562"/>
      <c r="BJF135" s="562"/>
      <c r="BJG135" s="562"/>
      <c r="BJH135" s="562"/>
      <c r="BJI135" s="562"/>
      <c r="BJJ135" s="562"/>
      <c r="BJK135" s="562"/>
      <c r="BJL135" s="562"/>
      <c r="BJM135" s="562"/>
      <c r="BJN135" s="562"/>
      <c r="BJO135" s="562"/>
      <c r="BJP135" s="562"/>
      <c r="BJQ135" s="562"/>
      <c r="BJR135" s="562"/>
      <c r="BJS135" s="562"/>
      <c r="BJT135" s="562"/>
      <c r="BJU135" s="562"/>
      <c r="BJV135" s="562"/>
      <c r="BJW135" s="562"/>
      <c r="BJX135" s="562"/>
      <c r="BJY135" s="562"/>
      <c r="BJZ135" s="562"/>
      <c r="BKA135" s="562"/>
      <c r="BKB135" s="562"/>
      <c r="BKC135" s="562"/>
      <c r="BKD135" s="562"/>
      <c r="BKE135" s="562"/>
      <c r="BKF135" s="562"/>
      <c r="BKG135" s="562"/>
      <c r="BKH135" s="562"/>
      <c r="BKI135" s="562"/>
      <c r="BKJ135" s="562"/>
      <c r="BKK135" s="562"/>
      <c r="BKL135" s="562"/>
      <c r="BKM135" s="562"/>
      <c r="BKN135" s="562"/>
      <c r="BKO135" s="562"/>
      <c r="BKP135" s="562"/>
      <c r="BKQ135" s="562"/>
      <c r="BKR135" s="562"/>
      <c r="BKS135" s="562"/>
      <c r="BKT135" s="562"/>
      <c r="BKU135" s="562"/>
      <c r="BKV135" s="562"/>
      <c r="BKW135" s="562"/>
      <c r="BKX135" s="562"/>
      <c r="BKY135" s="562"/>
      <c r="BKZ135" s="562"/>
      <c r="BLA135" s="562"/>
      <c r="BLB135" s="562"/>
      <c r="BLC135" s="562"/>
      <c r="BLD135" s="562"/>
      <c r="BLE135" s="562"/>
      <c r="BLF135" s="562"/>
      <c r="BLG135" s="562"/>
      <c r="BLH135" s="562"/>
      <c r="BLI135" s="562"/>
      <c r="BLJ135" s="562"/>
      <c r="BLK135" s="562"/>
      <c r="BLL135" s="562"/>
      <c r="BLM135" s="562"/>
      <c r="BLN135" s="562"/>
      <c r="BLO135" s="562"/>
      <c r="BLP135" s="562"/>
      <c r="BLQ135" s="562"/>
      <c r="BLR135" s="562"/>
      <c r="BLS135" s="562"/>
      <c r="BLT135" s="562"/>
      <c r="BLU135" s="562"/>
      <c r="BLV135" s="562"/>
      <c r="BLW135" s="562"/>
      <c r="BLX135" s="562"/>
      <c r="BLY135" s="562"/>
      <c r="BLZ135" s="562"/>
      <c r="BMA135" s="562"/>
      <c r="BMB135" s="562"/>
      <c r="BMC135" s="562"/>
      <c r="BMD135" s="562"/>
      <c r="BME135" s="562"/>
      <c r="BMF135" s="562"/>
      <c r="BMG135" s="562"/>
      <c r="BMH135" s="562"/>
      <c r="BMI135" s="562"/>
      <c r="BMJ135" s="562"/>
      <c r="BMK135" s="562"/>
      <c r="BML135" s="562"/>
      <c r="BMM135" s="562"/>
      <c r="BMN135" s="562"/>
      <c r="BMO135" s="562"/>
      <c r="BMP135" s="562"/>
      <c r="BMQ135" s="562"/>
      <c r="BMR135" s="562"/>
      <c r="BMS135" s="562"/>
      <c r="BMT135" s="562"/>
      <c r="BMU135" s="562"/>
      <c r="BMV135" s="562"/>
      <c r="BMW135" s="562"/>
      <c r="BMX135" s="562"/>
      <c r="BMY135" s="562"/>
      <c r="BMZ135" s="562"/>
      <c r="BNA135" s="562"/>
      <c r="BNB135" s="562"/>
      <c r="BNC135" s="562"/>
      <c r="BND135" s="562"/>
      <c r="BNE135" s="562"/>
      <c r="BNF135" s="562"/>
      <c r="BNG135" s="562"/>
      <c r="BNH135" s="562"/>
      <c r="BNI135" s="562"/>
      <c r="BNJ135" s="562"/>
      <c r="BNK135" s="562"/>
      <c r="BNL135" s="562"/>
      <c r="BNM135" s="562"/>
      <c r="BNN135" s="562"/>
      <c r="BNO135" s="562"/>
      <c r="BNP135" s="562"/>
      <c r="BNQ135" s="562"/>
      <c r="BNR135" s="562"/>
      <c r="BNS135" s="562"/>
      <c r="BNT135" s="562"/>
      <c r="BNU135" s="562"/>
      <c r="BNV135" s="562"/>
      <c r="BNW135" s="562"/>
      <c r="BNX135" s="562"/>
      <c r="BNY135" s="562"/>
      <c r="BNZ135" s="562"/>
      <c r="BOA135" s="562"/>
      <c r="BOB135" s="562"/>
      <c r="BOC135" s="562"/>
      <c r="BOD135" s="562"/>
      <c r="BOE135" s="562"/>
      <c r="BOF135" s="562"/>
      <c r="BOG135" s="562"/>
      <c r="BOH135" s="562"/>
      <c r="BOI135" s="562"/>
      <c r="BOJ135" s="562"/>
      <c r="BOK135" s="562"/>
      <c r="BOL135" s="562"/>
      <c r="BOM135" s="562"/>
      <c r="BON135" s="562"/>
      <c r="BOO135" s="562"/>
      <c r="BOP135" s="562"/>
      <c r="BOQ135" s="562"/>
      <c r="BOR135" s="562"/>
      <c r="BOS135" s="562"/>
      <c r="BOT135" s="562"/>
      <c r="BOU135" s="562"/>
      <c r="BOV135" s="562"/>
      <c r="BOW135" s="562"/>
      <c r="BOX135" s="562"/>
      <c r="BOY135" s="562"/>
      <c r="BOZ135" s="562"/>
      <c r="BPA135" s="562"/>
      <c r="BPB135" s="562"/>
      <c r="BPC135" s="562"/>
      <c r="BPD135" s="562"/>
      <c r="BPE135" s="562"/>
      <c r="BPF135" s="562"/>
      <c r="BPG135" s="562"/>
      <c r="BPH135" s="562"/>
      <c r="BPI135" s="562"/>
      <c r="BPJ135" s="562"/>
      <c r="BPK135" s="562"/>
      <c r="BPL135" s="562"/>
      <c r="BPM135" s="562"/>
      <c r="BPN135" s="562"/>
      <c r="BPO135" s="562"/>
      <c r="BPP135" s="562"/>
      <c r="BPQ135" s="562"/>
      <c r="BPR135" s="562"/>
      <c r="BPS135" s="562"/>
      <c r="BPT135" s="562"/>
      <c r="BPU135" s="562"/>
      <c r="BPV135" s="562"/>
      <c r="BPW135" s="562"/>
      <c r="BPX135" s="562"/>
      <c r="BPY135" s="562"/>
      <c r="BPZ135" s="562"/>
      <c r="BQA135" s="562"/>
      <c r="BQB135" s="562"/>
      <c r="BQC135" s="562"/>
      <c r="BQD135" s="562"/>
      <c r="BQE135" s="562"/>
      <c r="BQF135" s="562"/>
      <c r="BQG135" s="562"/>
      <c r="BQH135" s="562"/>
      <c r="BQI135" s="562"/>
      <c r="BQJ135" s="562"/>
      <c r="BQK135" s="562"/>
      <c r="BQL135" s="562"/>
      <c r="BQM135" s="562"/>
      <c r="BQN135" s="562"/>
      <c r="BQO135" s="562"/>
      <c r="BQP135" s="562"/>
      <c r="BQQ135" s="562"/>
      <c r="BQR135" s="562"/>
      <c r="BQS135" s="562"/>
      <c r="BQT135" s="562"/>
      <c r="BQU135" s="562"/>
      <c r="BQV135" s="562"/>
      <c r="BQW135" s="562"/>
      <c r="BQX135" s="562"/>
      <c r="BQY135" s="562"/>
      <c r="BQZ135" s="562"/>
      <c r="BRA135" s="562"/>
      <c r="BRB135" s="562"/>
      <c r="BRC135" s="562"/>
      <c r="BRD135" s="562"/>
      <c r="BRE135" s="562"/>
      <c r="BRF135" s="562"/>
      <c r="BRG135" s="562"/>
      <c r="BRH135" s="562"/>
      <c r="BRI135" s="562"/>
      <c r="BRJ135" s="562"/>
      <c r="BRK135" s="562"/>
      <c r="BRL135" s="562"/>
      <c r="BRM135" s="562"/>
      <c r="BRN135" s="562"/>
      <c r="BRO135" s="562"/>
      <c r="BRP135" s="562"/>
      <c r="BRQ135" s="562"/>
      <c r="BRR135" s="562"/>
      <c r="BRS135" s="562"/>
      <c r="BRT135" s="562"/>
      <c r="BRU135" s="562"/>
      <c r="BRV135" s="562"/>
      <c r="BRW135" s="562"/>
      <c r="BRX135" s="562"/>
      <c r="BRY135" s="562"/>
      <c r="BRZ135" s="562"/>
      <c r="BSA135" s="562"/>
      <c r="BSB135" s="562"/>
      <c r="BSC135" s="562"/>
      <c r="BSD135" s="562"/>
      <c r="BSE135" s="562"/>
      <c r="BSF135" s="562"/>
      <c r="BSG135" s="562"/>
      <c r="BSH135" s="562"/>
      <c r="BSI135" s="562"/>
      <c r="BSJ135" s="562"/>
      <c r="BSK135" s="562"/>
      <c r="BSL135" s="562"/>
      <c r="BSM135" s="562"/>
      <c r="BSN135" s="562"/>
      <c r="BSO135" s="562"/>
      <c r="BSP135" s="562"/>
      <c r="BSQ135" s="562"/>
      <c r="BSR135" s="562"/>
      <c r="BSS135" s="562"/>
      <c r="BST135" s="562"/>
      <c r="BSU135" s="562"/>
      <c r="BSV135" s="562"/>
      <c r="BSW135" s="562"/>
      <c r="BSX135" s="562"/>
      <c r="BSY135" s="562"/>
      <c r="BSZ135" s="562"/>
      <c r="BTA135" s="562"/>
      <c r="BTB135" s="562"/>
      <c r="BTC135" s="562"/>
      <c r="BTD135" s="562"/>
      <c r="BTE135" s="562"/>
      <c r="BTF135" s="562"/>
      <c r="BTG135" s="562"/>
      <c r="BTH135" s="562"/>
      <c r="BTI135" s="562"/>
      <c r="BTJ135" s="562"/>
      <c r="BTK135" s="562"/>
      <c r="BTL135" s="562"/>
      <c r="BTM135" s="562"/>
      <c r="BTN135" s="562"/>
      <c r="BTO135" s="562"/>
      <c r="BTP135" s="562"/>
      <c r="BTQ135" s="562"/>
      <c r="BTR135" s="562"/>
      <c r="BTS135" s="562"/>
      <c r="BTT135" s="562"/>
      <c r="BTU135" s="562"/>
      <c r="BTV135" s="562"/>
      <c r="BTW135" s="562"/>
      <c r="BTX135" s="562"/>
      <c r="BTY135" s="562"/>
      <c r="BTZ135" s="562"/>
      <c r="BUA135" s="562"/>
      <c r="BUB135" s="562"/>
      <c r="BUC135" s="562"/>
      <c r="BUD135" s="562"/>
      <c r="BUE135" s="562"/>
      <c r="BUF135" s="562"/>
      <c r="BUG135" s="562"/>
      <c r="BUH135" s="562"/>
      <c r="BUI135" s="562"/>
      <c r="BUJ135" s="562"/>
      <c r="BUK135" s="562"/>
      <c r="BUL135" s="562"/>
      <c r="BUM135" s="562"/>
      <c r="BUN135" s="562"/>
      <c r="BUO135" s="562"/>
      <c r="BUP135" s="562"/>
      <c r="BUQ135" s="562"/>
      <c r="BUR135" s="562"/>
      <c r="BUS135" s="562"/>
      <c r="BUT135" s="562"/>
      <c r="BUU135" s="562"/>
      <c r="BUV135" s="562"/>
      <c r="BUW135" s="562"/>
      <c r="BUX135" s="562"/>
      <c r="BUY135" s="562"/>
      <c r="BUZ135" s="562"/>
      <c r="BVA135" s="562"/>
      <c r="BVB135" s="562"/>
      <c r="BVC135" s="562"/>
      <c r="BVD135" s="562"/>
      <c r="BVE135" s="562"/>
      <c r="BVF135" s="562"/>
      <c r="BVG135" s="562"/>
      <c r="BVH135" s="562"/>
      <c r="BVI135" s="562"/>
      <c r="BVJ135" s="562"/>
      <c r="BVK135" s="562"/>
      <c r="BVL135" s="562"/>
      <c r="BVM135" s="562"/>
      <c r="BVN135" s="562"/>
      <c r="BVO135" s="562"/>
      <c r="BVP135" s="562"/>
      <c r="BVQ135" s="562"/>
      <c r="BVR135" s="562"/>
      <c r="BVS135" s="562"/>
      <c r="BVT135" s="562"/>
      <c r="BVU135" s="562"/>
      <c r="BVV135" s="562"/>
      <c r="BVW135" s="562"/>
      <c r="BVX135" s="562"/>
      <c r="BVY135" s="562"/>
      <c r="BVZ135" s="562"/>
      <c r="BWA135" s="562"/>
      <c r="BWB135" s="562"/>
      <c r="BWC135" s="562"/>
      <c r="BWD135" s="562"/>
      <c r="BWE135" s="562"/>
      <c r="BWF135" s="562"/>
      <c r="BWG135" s="562"/>
      <c r="BWH135" s="562"/>
      <c r="BWI135" s="562"/>
      <c r="BWJ135" s="562"/>
      <c r="BWK135" s="562"/>
      <c r="BWL135" s="562"/>
      <c r="BWM135" s="562"/>
      <c r="BWN135" s="562"/>
      <c r="BWO135" s="562"/>
      <c r="BWP135" s="562"/>
      <c r="BWQ135" s="562"/>
      <c r="BWR135" s="562"/>
      <c r="BWS135" s="562"/>
      <c r="BWT135" s="562"/>
      <c r="BWU135" s="562"/>
      <c r="BWV135" s="562"/>
      <c r="BWW135" s="562"/>
      <c r="BWX135" s="562"/>
      <c r="BWY135" s="562"/>
      <c r="BWZ135" s="562"/>
      <c r="BXA135" s="562"/>
      <c r="BXB135" s="562"/>
      <c r="BXC135" s="562"/>
      <c r="BXD135" s="562"/>
      <c r="BXE135" s="562"/>
      <c r="BXF135" s="562"/>
      <c r="BXG135" s="562"/>
      <c r="BXH135" s="562"/>
      <c r="BXI135" s="562"/>
      <c r="BXJ135" s="562"/>
      <c r="BXK135" s="562"/>
      <c r="BXL135" s="562"/>
      <c r="BXM135" s="562"/>
      <c r="BXN135" s="562"/>
      <c r="BXO135" s="562"/>
      <c r="BXP135" s="562"/>
      <c r="BXQ135" s="562"/>
      <c r="BXR135" s="562"/>
      <c r="BXS135" s="562"/>
      <c r="BXT135" s="562"/>
      <c r="BXU135" s="562"/>
      <c r="BXV135" s="562"/>
      <c r="BXW135" s="562"/>
      <c r="BXX135" s="562"/>
      <c r="BXY135" s="562"/>
      <c r="BXZ135" s="562"/>
      <c r="BYA135" s="562"/>
      <c r="BYB135" s="562"/>
      <c r="BYC135" s="562"/>
      <c r="BYD135" s="562"/>
      <c r="BYE135" s="562"/>
      <c r="BYF135" s="562"/>
      <c r="BYG135" s="562"/>
      <c r="BYH135" s="562"/>
      <c r="BYI135" s="562"/>
      <c r="BYJ135" s="562"/>
      <c r="BYK135" s="562"/>
      <c r="BYL135" s="562"/>
      <c r="BYM135" s="562"/>
      <c r="BYN135" s="562"/>
      <c r="BYO135" s="562"/>
      <c r="BYP135" s="562"/>
      <c r="BYQ135" s="562"/>
      <c r="BYR135" s="562"/>
      <c r="BYS135" s="562"/>
      <c r="BYT135" s="562"/>
      <c r="BYU135" s="562"/>
      <c r="BYV135" s="562"/>
      <c r="BYW135" s="562"/>
      <c r="BYX135" s="562"/>
      <c r="BYY135" s="562"/>
      <c r="BYZ135" s="562"/>
      <c r="BZA135" s="562"/>
      <c r="BZB135" s="562"/>
      <c r="BZC135" s="562"/>
      <c r="BZD135" s="562"/>
      <c r="BZE135" s="562"/>
      <c r="BZF135" s="562"/>
      <c r="BZG135" s="562"/>
      <c r="BZH135" s="562"/>
      <c r="BZI135" s="562"/>
      <c r="BZJ135" s="562"/>
      <c r="BZK135" s="562"/>
      <c r="BZL135" s="562"/>
      <c r="BZM135" s="562"/>
      <c r="BZN135" s="562"/>
      <c r="BZO135" s="562"/>
      <c r="BZP135" s="562"/>
      <c r="BZQ135" s="562"/>
      <c r="BZR135" s="562"/>
      <c r="BZS135" s="562"/>
      <c r="BZT135" s="562"/>
      <c r="BZU135" s="562"/>
      <c r="BZV135" s="562"/>
      <c r="BZW135" s="562"/>
      <c r="BZX135" s="562"/>
      <c r="BZY135" s="562"/>
      <c r="BZZ135" s="562"/>
      <c r="CAA135" s="562"/>
      <c r="CAB135" s="562"/>
      <c r="CAC135" s="562"/>
      <c r="CAD135" s="562"/>
      <c r="CAE135" s="562"/>
      <c r="CAF135" s="562"/>
      <c r="CAG135" s="562"/>
      <c r="CAH135" s="562"/>
      <c r="CAI135" s="562"/>
      <c r="CAJ135" s="562"/>
      <c r="CAK135" s="562"/>
      <c r="CAL135" s="562"/>
      <c r="CAM135" s="562"/>
      <c r="CAN135" s="562"/>
      <c r="CAO135" s="562"/>
      <c r="CAP135" s="562"/>
      <c r="CAQ135" s="562"/>
      <c r="CAR135" s="562"/>
      <c r="CAS135" s="562"/>
      <c r="CAT135" s="562"/>
      <c r="CAU135" s="562"/>
      <c r="CAV135" s="562"/>
      <c r="CAW135" s="562"/>
      <c r="CAX135" s="562"/>
      <c r="CAY135" s="562"/>
      <c r="CAZ135" s="562"/>
      <c r="CBA135" s="562"/>
      <c r="CBB135" s="562"/>
      <c r="CBC135" s="562"/>
      <c r="CBD135" s="562"/>
      <c r="CBE135" s="562"/>
      <c r="CBF135" s="562"/>
      <c r="CBG135" s="562"/>
      <c r="CBH135" s="562"/>
      <c r="CBI135" s="562"/>
      <c r="CBJ135" s="562"/>
      <c r="CBK135" s="562"/>
      <c r="CBL135" s="562"/>
      <c r="CBM135" s="562"/>
      <c r="CBN135" s="562"/>
      <c r="CBO135" s="562"/>
      <c r="CBP135" s="562"/>
      <c r="CBQ135" s="562"/>
      <c r="CBR135" s="562"/>
      <c r="CBS135" s="562"/>
      <c r="CBT135" s="562"/>
      <c r="CBU135" s="562"/>
      <c r="CBV135" s="562"/>
      <c r="CBW135" s="562"/>
      <c r="CBX135" s="562"/>
      <c r="CBY135" s="562"/>
      <c r="CBZ135" s="562"/>
      <c r="CCA135" s="562"/>
      <c r="CCB135" s="562"/>
      <c r="CCC135" s="562"/>
      <c r="CCD135" s="562"/>
      <c r="CCE135" s="562"/>
      <c r="CCF135" s="562"/>
      <c r="CCG135" s="562"/>
      <c r="CCH135" s="562"/>
      <c r="CCI135" s="562"/>
      <c r="CCJ135" s="562"/>
      <c r="CCK135" s="562"/>
      <c r="CCL135" s="562"/>
      <c r="CCM135" s="562"/>
      <c r="CCN135" s="562"/>
      <c r="CCO135" s="562"/>
      <c r="CCP135" s="562"/>
      <c r="CCQ135" s="562"/>
      <c r="CCR135" s="562"/>
      <c r="CCS135" s="562"/>
      <c r="CCT135" s="562"/>
      <c r="CCU135" s="562"/>
      <c r="CCV135" s="562"/>
      <c r="CCW135" s="562"/>
      <c r="CCX135" s="562"/>
      <c r="CCY135" s="562"/>
      <c r="CCZ135" s="562"/>
      <c r="CDA135" s="562"/>
      <c r="CDB135" s="562"/>
      <c r="CDC135" s="562"/>
      <c r="CDD135" s="562"/>
      <c r="CDE135" s="562"/>
      <c r="CDF135" s="562"/>
      <c r="CDG135" s="562"/>
      <c r="CDH135" s="562"/>
      <c r="CDI135" s="562"/>
      <c r="CDJ135" s="562"/>
      <c r="CDK135" s="562"/>
      <c r="CDL135" s="562"/>
      <c r="CDM135" s="562"/>
      <c r="CDN135" s="562"/>
      <c r="CDO135" s="562"/>
      <c r="CDP135" s="562"/>
      <c r="CDQ135" s="562"/>
      <c r="CDR135" s="562"/>
      <c r="CDS135" s="562"/>
      <c r="CDT135" s="562"/>
      <c r="CDU135" s="562"/>
      <c r="CDV135" s="562"/>
      <c r="CDW135" s="562"/>
      <c r="CDX135" s="562"/>
      <c r="CDY135" s="562"/>
      <c r="CDZ135" s="562"/>
      <c r="CEA135" s="562"/>
      <c r="CEB135" s="562"/>
      <c r="CEC135" s="562"/>
      <c r="CED135" s="562"/>
      <c r="CEE135" s="562"/>
      <c r="CEF135" s="562"/>
      <c r="CEG135" s="562"/>
      <c r="CEH135" s="562"/>
      <c r="CEI135" s="562"/>
      <c r="CEJ135" s="562"/>
      <c r="CEK135" s="562"/>
      <c r="CEL135" s="562"/>
      <c r="CEM135" s="562"/>
      <c r="CEN135" s="562"/>
      <c r="CEO135" s="562"/>
      <c r="CEP135" s="562"/>
      <c r="CEQ135" s="562"/>
      <c r="CER135" s="562"/>
      <c r="CES135" s="562"/>
      <c r="CET135" s="562"/>
      <c r="CEU135" s="562"/>
      <c r="CEV135" s="562"/>
      <c r="CEW135" s="562"/>
      <c r="CEX135" s="562"/>
      <c r="CEY135" s="562"/>
      <c r="CEZ135" s="562"/>
      <c r="CFA135" s="562"/>
      <c r="CFB135" s="562"/>
      <c r="CFC135" s="562"/>
      <c r="CFD135" s="562"/>
      <c r="CFE135" s="562"/>
      <c r="CFF135" s="562"/>
      <c r="CFG135" s="562"/>
      <c r="CFH135" s="562"/>
      <c r="CFI135" s="562"/>
      <c r="CFJ135" s="562"/>
      <c r="CFK135" s="562"/>
      <c r="CFL135" s="562"/>
      <c r="CFM135" s="562"/>
      <c r="CFN135" s="562"/>
      <c r="CFO135" s="562"/>
      <c r="CFP135" s="562"/>
      <c r="CFQ135" s="562"/>
      <c r="CFR135" s="562"/>
      <c r="CFS135" s="562"/>
      <c r="CFT135" s="562"/>
      <c r="CFU135" s="562"/>
      <c r="CFV135" s="562"/>
      <c r="CFW135" s="562"/>
      <c r="CFX135" s="562"/>
      <c r="CFY135" s="562"/>
      <c r="CFZ135" s="562"/>
      <c r="CGA135" s="562"/>
      <c r="CGB135" s="562"/>
      <c r="CGC135" s="562"/>
      <c r="CGD135" s="562"/>
      <c r="CGE135" s="562"/>
      <c r="CGF135" s="562"/>
      <c r="CGG135" s="562"/>
      <c r="CGH135" s="562"/>
      <c r="CGI135" s="562"/>
      <c r="CGJ135" s="562"/>
      <c r="CGK135" s="562"/>
      <c r="CGL135" s="562"/>
      <c r="CGM135" s="562"/>
      <c r="CGN135" s="562"/>
      <c r="CGO135" s="562"/>
      <c r="CGP135" s="562"/>
      <c r="CGQ135" s="562"/>
      <c r="CGR135" s="562"/>
      <c r="CGS135" s="562"/>
      <c r="CGT135" s="562"/>
      <c r="CGU135" s="562"/>
      <c r="CGV135" s="562"/>
      <c r="CGW135" s="562"/>
      <c r="CGX135" s="562"/>
      <c r="CGY135" s="562"/>
      <c r="CGZ135" s="562"/>
      <c r="CHA135" s="562"/>
      <c r="CHB135" s="562"/>
      <c r="CHC135" s="562"/>
      <c r="CHD135" s="562"/>
      <c r="CHE135" s="562"/>
      <c r="CHF135" s="562"/>
      <c r="CHG135" s="562"/>
      <c r="CHH135" s="562"/>
      <c r="CHI135" s="562"/>
      <c r="CHJ135" s="562"/>
      <c r="CHK135" s="562"/>
      <c r="CHL135" s="562"/>
      <c r="CHM135" s="562"/>
      <c r="CHN135" s="562"/>
      <c r="CHO135" s="562"/>
      <c r="CHP135" s="562"/>
      <c r="CHQ135" s="562"/>
      <c r="CHR135" s="562"/>
      <c r="CHS135" s="562"/>
      <c r="CHT135" s="562"/>
      <c r="CHU135" s="562"/>
      <c r="CHV135" s="562"/>
      <c r="CHW135" s="562"/>
      <c r="CHX135" s="562"/>
      <c r="CHY135" s="562"/>
      <c r="CHZ135" s="562"/>
      <c r="CIA135" s="562"/>
      <c r="CIB135" s="562"/>
      <c r="CIC135" s="562"/>
      <c r="CID135" s="562"/>
      <c r="CIE135" s="562"/>
      <c r="CIF135" s="562"/>
      <c r="CIG135" s="562"/>
      <c r="CIH135" s="562"/>
      <c r="CII135" s="562"/>
      <c r="CIJ135" s="562"/>
      <c r="CIK135" s="562"/>
      <c r="CIL135" s="562"/>
      <c r="CIM135" s="562"/>
      <c r="CIN135" s="562"/>
      <c r="CIO135" s="562"/>
      <c r="CIP135" s="562"/>
      <c r="CIQ135" s="562"/>
      <c r="CIR135" s="562"/>
      <c r="CIS135" s="562"/>
      <c r="CIT135" s="562"/>
      <c r="CIU135" s="562"/>
      <c r="CIV135" s="562"/>
      <c r="CIW135" s="562"/>
      <c r="CIX135" s="562"/>
      <c r="CIY135" s="562"/>
      <c r="CIZ135" s="562"/>
      <c r="CJA135" s="562"/>
      <c r="CJB135" s="562"/>
      <c r="CJC135" s="562"/>
      <c r="CJD135" s="562"/>
      <c r="CJE135" s="562"/>
      <c r="CJF135" s="562"/>
      <c r="CJG135" s="562"/>
      <c r="CJH135" s="562"/>
      <c r="CJI135" s="562"/>
      <c r="CJJ135" s="562"/>
      <c r="CJK135" s="562"/>
      <c r="CJL135" s="562"/>
      <c r="CJM135" s="562"/>
      <c r="CJN135" s="562"/>
      <c r="CJO135" s="562"/>
      <c r="CJP135" s="562"/>
      <c r="CJQ135" s="562"/>
      <c r="CJR135" s="562"/>
      <c r="CJS135" s="562"/>
      <c r="CJT135" s="562"/>
      <c r="CJU135" s="562"/>
      <c r="CJV135" s="562"/>
      <c r="CJW135" s="562"/>
      <c r="CJX135" s="562"/>
      <c r="CJY135" s="562"/>
      <c r="CJZ135" s="562"/>
      <c r="CKA135" s="562"/>
      <c r="CKB135" s="562"/>
      <c r="CKC135" s="562"/>
      <c r="CKD135" s="562"/>
      <c r="CKE135" s="562"/>
      <c r="CKF135" s="562"/>
      <c r="CKG135" s="562"/>
      <c r="CKH135" s="562"/>
      <c r="CKI135" s="562"/>
      <c r="CKJ135" s="562"/>
      <c r="CKK135" s="562"/>
      <c r="CKL135" s="562"/>
      <c r="CKM135" s="562"/>
      <c r="CKN135" s="562"/>
      <c r="CKO135" s="562"/>
      <c r="CKP135" s="562"/>
      <c r="CKQ135" s="562"/>
      <c r="CKR135" s="562"/>
      <c r="CKS135" s="562"/>
      <c r="CKT135" s="562"/>
      <c r="CKU135" s="562"/>
      <c r="CKV135" s="562"/>
      <c r="CKW135" s="562"/>
      <c r="CKX135" s="562"/>
      <c r="CKY135" s="562"/>
      <c r="CKZ135" s="562"/>
      <c r="CLA135" s="562"/>
      <c r="CLB135" s="562"/>
      <c r="CLC135" s="562"/>
      <c r="CLD135" s="562"/>
      <c r="CLE135" s="562"/>
      <c r="CLF135" s="562"/>
      <c r="CLG135" s="562"/>
      <c r="CLH135" s="562"/>
      <c r="CLI135" s="562"/>
      <c r="CLJ135" s="562"/>
      <c r="CLK135" s="562"/>
      <c r="CLL135" s="562"/>
      <c r="CLM135" s="562"/>
      <c r="CLN135" s="562"/>
      <c r="CLO135" s="562"/>
      <c r="CLP135" s="562"/>
      <c r="CLQ135" s="562"/>
      <c r="CLR135" s="562"/>
      <c r="CLS135" s="562"/>
      <c r="CLT135" s="562"/>
      <c r="CLU135" s="562"/>
      <c r="CLV135" s="562"/>
      <c r="CLW135" s="562"/>
      <c r="CLX135" s="562"/>
      <c r="CLY135" s="562"/>
      <c r="CLZ135" s="562"/>
      <c r="CMA135" s="562"/>
      <c r="CMB135" s="562"/>
      <c r="CMC135" s="562"/>
      <c r="CMD135" s="562"/>
      <c r="CME135" s="562"/>
      <c r="CMF135" s="562"/>
      <c r="CMG135" s="562"/>
      <c r="CMH135" s="562"/>
      <c r="CMI135" s="562"/>
      <c r="CMJ135" s="562"/>
      <c r="CMK135" s="562"/>
      <c r="CML135" s="562"/>
      <c r="CMM135" s="562"/>
      <c r="CMN135" s="562"/>
      <c r="CMO135" s="562"/>
      <c r="CMP135" s="562"/>
      <c r="CMQ135" s="562"/>
      <c r="CMR135" s="562"/>
      <c r="CMS135" s="562"/>
      <c r="CMT135" s="562"/>
      <c r="CMU135" s="562"/>
      <c r="CMV135" s="562"/>
      <c r="CMW135" s="562"/>
      <c r="CMX135" s="562"/>
      <c r="CMY135" s="562"/>
      <c r="CMZ135" s="562"/>
      <c r="CNA135" s="562"/>
      <c r="CNB135" s="562"/>
      <c r="CNC135" s="562"/>
      <c r="CND135" s="562"/>
      <c r="CNE135" s="562"/>
      <c r="CNF135" s="562"/>
      <c r="CNG135" s="562"/>
      <c r="CNH135" s="562"/>
      <c r="CNI135" s="562"/>
      <c r="CNJ135" s="562"/>
      <c r="CNK135" s="562"/>
      <c r="CNL135" s="562"/>
      <c r="CNM135" s="562"/>
      <c r="CNN135" s="562"/>
      <c r="CNO135" s="562"/>
      <c r="CNP135" s="562"/>
      <c r="CNQ135" s="562"/>
      <c r="CNR135" s="562"/>
      <c r="CNS135" s="562"/>
      <c r="CNT135" s="562"/>
      <c r="CNU135" s="562"/>
      <c r="CNV135" s="562"/>
      <c r="CNW135" s="562"/>
      <c r="CNX135" s="562"/>
      <c r="CNY135" s="562"/>
      <c r="CNZ135" s="562"/>
      <c r="COA135" s="562"/>
      <c r="COB135" s="562"/>
      <c r="COC135" s="562"/>
      <c r="COD135" s="562"/>
      <c r="COE135" s="562"/>
      <c r="COF135" s="562"/>
      <c r="COG135" s="562"/>
      <c r="COH135" s="562"/>
      <c r="COI135" s="562"/>
      <c r="COJ135" s="562"/>
      <c r="COK135" s="562"/>
      <c r="COL135" s="562"/>
      <c r="COM135" s="562"/>
      <c r="CON135" s="562"/>
      <c r="COO135" s="562"/>
      <c r="COP135" s="562"/>
      <c r="COQ135" s="562"/>
      <c r="COR135" s="562"/>
      <c r="COS135" s="562"/>
      <c r="COT135" s="562"/>
      <c r="COU135" s="562"/>
      <c r="COV135" s="562"/>
      <c r="COW135" s="562"/>
      <c r="COX135" s="562"/>
      <c r="COY135" s="562"/>
      <c r="COZ135" s="562"/>
      <c r="CPA135" s="562"/>
      <c r="CPB135" s="562"/>
      <c r="CPC135" s="562"/>
      <c r="CPD135" s="562"/>
      <c r="CPE135" s="562"/>
      <c r="CPF135" s="562"/>
      <c r="CPG135" s="562"/>
      <c r="CPH135" s="562"/>
      <c r="CPI135" s="562"/>
      <c r="CPJ135" s="562"/>
      <c r="CPK135" s="562"/>
      <c r="CPL135" s="562"/>
      <c r="CPM135" s="562"/>
      <c r="CPN135" s="562"/>
      <c r="CPO135" s="562"/>
      <c r="CPP135" s="562"/>
      <c r="CPQ135" s="562"/>
      <c r="CPR135" s="562"/>
      <c r="CPS135" s="562"/>
      <c r="CPT135" s="562"/>
      <c r="CPU135" s="562"/>
      <c r="CPV135" s="562"/>
      <c r="CPW135" s="562"/>
      <c r="CPX135" s="562"/>
      <c r="CPY135" s="562"/>
      <c r="CPZ135" s="562"/>
      <c r="CQA135" s="562"/>
      <c r="CQB135" s="562"/>
      <c r="CQC135" s="562"/>
      <c r="CQD135" s="562"/>
      <c r="CQE135" s="562"/>
      <c r="CQF135" s="562"/>
      <c r="CQG135" s="562"/>
      <c r="CQH135" s="562"/>
      <c r="CQI135" s="562"/>
      <c r="CQJ135" s="562"/>
      <c r="CQK135" s="562"/>
      <c r="CQL135" s="562"/>
      <c r="CQM135" s="562"/>
      <c r="CQN135" s="562"/>
      <c r="CQO135" s="562"/>
      <c r="CQP135" s="562"/>
      <c r="CQQ135" s="562"/>
      <c r="CQR135" s="562"/>
      <c r="CQS135" s="562"/>
      <c r="CQT135" s="562"/>
      <c r="CQU135" s="562"/>
      <c r="CQV135" s="562"/>
      <c r="CQW135" s="562"/>
      <c r="CQX135" s="562"/>
      <c r="CQY135" s="562"/>
      <c r="CQZ135" s="562"/>
      <c r="CRA135" s="562"/>
      <c r="CRB135" s="562"/>
      <c r="CRC135" s="562"/>
      <c r="CRD135" s="562"/>
      <c r="CRE135" s="562"/>
      <c r="CRF135" s="562"/>
      <c r="CRG135" s="562"/>
      <c r="CRH135" s="562"/>
      <c r="CRI135" s="562"/>
      <c r="CRJ135" s="562"/>
      <c r="CRK135" s="562"/>
      <c r="CRL135" s="562"/>
      <c r="CRM135" s="562"/>
      <c r="CRN135" s="562"/>
      <c r="CRO135" s="562"/>
      <c r="CRP135" s="562"/>
      <c r="CRQ135" s="562"/>
      <c r="CRR135" s="562"/>
      <c r="CRS135" s="562"/>
      <c r="CRT135" s="562"/>
      <c r="CRU135" s="562"/>
      <c r="CRV135" s="562"/>
      <c r="CRW135" s="562"/>
      <c r="CRX135" s="562"/>
      <c r="CRY135" s="562"/>
      <c r="CRZ135" s="562"/>
      <c r="CSA135" s="562"/>
      <c r="CSB135" s="562"/>
      <c r="CSC135" s="562"/>
      <c r="CSD135" s="562"/>
      <c r="CSE135" s="562"/>
      <c r="CSF135" s="562"/>
      <c r="CSG135" s="562"/>
      <c r="CSH135" s="562"/>
      <c r="CSI135" s="562"/>
      <c r="CSJ135" s="562"/>
      <c r="CSK135" s="562"/>
      <c r="CSL135" s="562"/>
      <c r="CSM135" s="562"/>
      <c r="CSN135" s="562"/>
      <c r="CSO135" s="562"/>
      <c r="CSP135" s="562"/>
      <c r="CSQ135" s="562"/>
      <c r="CSR135" s="562"/>
      <c r="CSS135" s="562"/>
      <c r="CST135" s="562"/>
      <c r="CSU135" s="562"/>
      <c r="CSV135" s="562"/>
      <c r="CSW135" s="562"/>
      <c r="CSX135" s="562"/>
      <c r="CSY135" s="562"/>
      <c r="CSZ135" s="562"/>
      <c r="CTA135" s="562"/>
      <c r="CTB135" s="562"/>
      <c r="CTC135" s="562"/>
      <c r="CTD135" s="562"/>
      <c r="CTE135" s="562"/>
      <c r="CTF135" s="562"/>
      <c r="CTG135" s="562"/>
      <c r="CTH135" s="562"/>
      <c r="CTI135" s="562"/>
      <c r="CTJ135" s="562"/>
      <c r="CTK135" s="562"/>
      <c r="CTL135" s="562"/>
      <c r="CTM135" s="562"/>
      <c r="CTN135" s="562"/>
      <c r="CTO135" s="562"/>
      <c r="CTP135" s="562"/>
      <c r="CTQ135" s="562"/>
      <c r="CTR135" s="562"/>
      <c r="CTS135" s="562"/>
      <c r="CTT135" s="562"/>
      <c r="CTU135" s="562"/>
      <c r="CTV135" s="562"/>
      <c r="CTW135" s="562"/>
      <c r="CTX135" s="562"/>
      <c r="CTY135" s="562"/>
      <c r="CTZ135" s="562"/>
      <c r="CUA135" s="562"/>
      <c r="CUB135" s="562"/>
      <c r="CUC135" s="562"/>
      <c r="CUD135" s="562"/>
      <c r="CUE135" s="562"/>
      <c r="CUF135" s="562"/>
      <c r="CUG135" s="562"/>
      <c r="CUH135" s="562"/>
      <c r="CUI135" s="562"/>
      <c r="CUJ135" s="562"/>
      <c r="CUK135" s="562"/>
      <c r="CUL135" s="562"/>
      <c r="CUM135" s="562"/>
      <c r="CUN135" s="562"/>
      <c r="CUO135" s="562"/>
      <c r="CUP135" s="562"/>
      <c r="CUQ135" s="562"/>
      <c r="CUR135" s="562"/>
      <c r="CUS135" s="562"/>
      <c r="CUT135" s="562"/>
      <c r="CUU135" s="562"/>
      <c r="CUV135" s="562"/>
      <c r="CUW135" s="562"/>
      <c r="CUX135" s="562"/>
      <c r="CUY135" s="562"/>
      <c r="CUZ135" s="562"/>
      <c r="CVA135" s="562"/>
      <c r="CVB135" s="562"/>
      <c r="CVC135" s="562"/>
      <c r="CVD135" s="562"/>
      <c r="CVE135" s="562"/>
      <c r="CVF135" s="562"/>
      <c r="CVG135" s="562"/>
      <c r="CVH135" s="562"/>
      <c r="CVI135" s="562"/>
      <c r="CVJ135" s="562"/>
      <c r="CVK135" s="562"/>
      <c r="CVL135" s="562"/>
      <c r="CVM135" s="562"/>
      <c r="CVN135" s="562"/>
      <c r="CVO135" s="562"/>
      <c r="CVP135" s="562"/>
      <c r="CVQ135" s="562"/>
      <c r="CVR135" s="562"/>
      <c r="CVS135" s="562"/>
      <c r="CVT135" s="562"/>
      <c r="CVU135" s="562"/>
      <c r="CVV135" s="562"/>
      <c r="CVW135" s="562"/>
      <c r="CVX135" s="562"/>
      <c r="CVY135" s="562"/>
      <c r="CVZ135" s="562"/>
      <c r="CWA135" s="562"/>
      <c r="CWB135" s="562"/>
      <c r="CWC135" s="562"/>
      <c r="CWD135" s="562"/>
      <c r="CWE135" s="562"/>
      <c r="CWF135" s="562"/>
      <c r="CWG135" s="562"/>
      <c r="CWH135" s="562"/>
      <c r="CWI135" s="562"/>
      <c r="CWJ135" s="562"/>
      <c r="CWK135" s="562"/>
      <c r="CWL135" s="562"/>
      <c r="CWM135" s="562"/>
      <c r="CWN135" s="562"/>
      <c r="CWO135" s="562"/>
      <c r="CWP135" s="562"/>
      <c r="CWQ135" s="562"/>
      <c r="CWR135" s="562"/>
      <c r="CWS135" s="562"/>
      <c r="CWT135" s="562"/>
      <c r="CWU135" s="562"/>
      <c r="CWV135" s="562"/>
      <c r="CWW135" s="562"/>
      <c r="CWX135" s="562"/>
      <c r="CWY135" s="562"/>
      <c r="CWZ135" s="562"/>
      <c r="CXA135" s="562"/>
      <c r="CXB135" s="562"/>
      <c r="CXC135" s="562"/>
      <c r="CXD135" s="562"/>
      <c r="CXE135" s="562"/>
      <c r="CXF135" s="562"/>
      <c r="CXG135" s="562"/>
      <c r="CXH135" s="562"/>
      <c r="CXI135" s="562"/>
      <c r="CXJ135" s="562"/>
      <c r="CXK135" s="562"/>
      <c r="CXL135" s="562"/>
      <c r="CXM135" s="562"/>
      <c r="CXN135" s="562"/>
      <c r="CXO135" s="562"/>
      <c r="CXP135" s="562"/>
      <c r="CXQ135" s="562"/>
      <c r="CXR135" s="562"/>
      <c r="CXS135" s="562"/>
      <c r="CXT135" s="562"/>
      <c r="CXU135" s="562"/>
      <c r="CXV135" s="562"/>
      <c r="CXW135" s="562"/>
      <c r="CXX135" s="562"/>
      <c r="CXY135" s="562"/>
      <c r="CXZ135" s="562"/>
      <c r="CYA135" s="562"/>
      <c r="CYB135" s="562"/>
      <c r="CYC135" s="562"/>
      <c r="CYD135" s="562"/>
      <c r="CYE135" s="562"/>
      <c r="CYF135" s="562"/>
      <c r="CYG135" s="562"/>
      <c r="CYH135" s="562"/>
      <c r="CYI135" s="562"/>
      <c r="CYJ135" s="562"/>
      <c r="CYK135" s="562"/>
      <c r="CYL135" s="562"/>
      <c r="CYM135" s="562"/>
      <c r="CYN135" s="562"/>
      <c r="CYO135" s="562"/>
      <c r="CYP135" s="562"/>
      <c r="CYQ135" s="562"/>
      <c r="CYR135" s="562"/>
      <c r="CYS135" s="562"/>
      <c r="CYT135" s="562"/>
      <c r="CYU135" s="562"/>
      <c r="CYV135" s="562"/>
      <c r="CYW135" s="562"/>
      <c r="CYX135" s="562"/>
      <c r="CYY135" s="562"/>
      <c r="CYZ135" s="562"/>
      <c r="CZA135" s="562"/>
      <c r="CZB135" s="562"/>
      <c r="CZC135" s="562"/>
      <c r="CZD135" s="562"/>
      <c r="CZE135" s="562"/>
      <c r="CZF135" s="562"/>
      <c r="CZG135" s="562"/>
      <c r="CZH135" s="562"/>
      <c r="CZI135" s="562"/>
      <c r="CZJ135" s="562"/>
      <c r="CZK135" s="562"/>
      <c r="CZL135" s="562"/>
      <c r="CZM135" s="562"/>
      <c r="CZN135" s="562"/>
      <c r="CZO135" s="562"/>
      <c r="CZP135" s="562"/>
      <c r="CZQ135" s="562"/>
      <c r="CZR135" s="562"/>
      <c r="CZS135" s="562"/>
      <c r="CZT135" s="562"/>
      <c r="CZU135" s="562"/>
      <c r="CZV135" s="562"/>
      <c r="CZW135" s="562"/>
      <c r="CZX135" s="562"/>
      <c r="CZY135" s="562"/>
      <c r="CZZ135" s="562"/>
      <c r="DAA135" s="562"/>
      <c r="DAB135" s="562"/>
      <c r="DAC135" s="562"/>
      <c r="DAD135" s="562"/>
      <c r="DAE135" s="562"/>
      <c r="DAF135" s="562"/>
      <c r="DAG135" s="562"/>
      <c r="DAH135" s="562"/>
      <c r="DAI135" s="562"/>
      <c r="DAJ135" s="562"/>
      <c r="DAK135" s="562"/>
      <c r="DAL135" s="562"/>
      <c r="DAM135" s="562"/>
      <c r="DAN135" s="562"/>
      <c r="DAO135" s="562"/>
      <c r="DAP135" s="562"/>
      <c r="DAQ135" s="562"/>
      <c r="DAR135" s="562"/>
      <c r="DAS135" s="562"/>
      <c r="DAT135" s="562"/>
      <c r="DAU135" s="562"/>
      <c r="DAV135" s="562"/>
      <c r="DAW135" s="562"/>
      <c r="DAX135" s="562"/>
      <c r="DAY135" s="562"/>
      <c r="DAZ135" s="562"/>
      <c r="DBA135" s="562"/>
      <c r="DBB135" s="562"/>
      <c r="DBC135" s="562"/>
      <c r="DBD135" s="562"/>
      <c r="DBE135" s="562"/>
      <c r="DBF135" s="562"/>
      <c r="DBG135" s="562"/>
      <c r="DBH135" s="562"/>
      <c r="DBI135" s="562"/>
      <c r="DBJ135" s="562"/>
      <c r="DBK135" s="562"/>
      <c r="DBL135" s="562"/>
      <c r="DBM135" s="562"/>
      <c r="DBN135" s="562"/>
      <c r="DBO135" s="562"/>
      <c r="DBP135" s="562"/>
      <c r="DBQ135" s="562"/>
      <c r="DBR135" s="562"/>
      <c r="DBS135" s="562"/>
      <c r="DBT135" s="562"/>
      <c r="DBU135" s="562"/>
      <c r="DBV135" s="562"/>
      <c r="DBW135" s="562"/>
      <c r="DBX135" s="562"/>
      <c r="DBY135" s="562"/>
      <c r="DBZ135" s="562"/>
      <c r="DCA135" s="562"/>
      <c r="DCB135" s="562"/>
      <c r="DCC135" s="562"/>
      <c r="DCD135" s="562"/>
      <c r="DCE135" s="562"/>
      <c r="DCF135" s="562"/>
      <c r="DCG135" s="562"/>
      <c r="DCH135" s="562"/>
      <c r="DCI135" s="562"/>
      <c r="DCJ135" s="562"/>
      <c r="DCK135" s="562"/>
      <c r="DCL135" s="562"/>
      <c r="DCM135" s="562"/>
      <c r="DCN135" s="562"/>
      <c r="DCO135" s="562"/>
      <c r="DCP135" s="562"/>
      <c r="DCQ135" s="562"/>
      <c r="DCR135" s="562"/>
      <c r="DCS135" s="562"/>
      <c r="DCT135" s="562"/>
      <c r="DCU135" s="562"/>
      <c r="DCV135" s="562"/>
      <c r="DCW135" s="562"/>
      <c r="DCX135" s="562"/>
      <c r="DCY135" s="562"/>
      <c r="DCZ135" s="562"/>
      <c r="DDA135" s="562"/>
      <c r="DDB135" s="562"/>
      <c r="DDC135" s="562"/>
      <c r="DDD135" s="562"/>
      <c r="DDE135" s="562"/>
      <c r="DDF135" s="562"/>
      <c r="DDG135" s="562"/>
      <c r="DDH135" s="562"/>
      <c r="DDI135" s="562"/>
      <c r="DDJ135" s="562"/>
      <c r="DDK135" s="562"/>
      <c r="DDL135" s="562"/>
      <c r="DDM135" s="562"/>
      <c r="DDN135" s="562"/>
      <c r="DDO135" s="562"/>
      <c r="DDP135" s="562"/>
      <c r="DDQ135" s="562"/>
      <c r="DDR135" s="562"/>
      <c r="DDS135" s="562"/>
      <c r="DDT135" s="562"/>
      <c r="DDU135" s="562"/>
      <c r="DDV135" s="562"/>
      <c r="DDW135" s="562"/>
      <c r="DDX135" s="562"/>
      <c r="DDY135" s="562"/>
      <c r="DDZ135" s="562"/>
      <c r="DEA135" s="562"/>
      <c r="DEB135" s="562"/>
      <c r="DEC135" s="562"/>
      <c r="DED135" s="562"/>
      <c r="DEE135" s="562"/>
      <c r="DEF135" s="562"/>
      <c r="DEG135" s="562"/>
      <c r="DEH135" s="562"/>
      <c r="DEI135" s="562"/>
      <c r="DEJ135" s="562"/>
      <c r="DEK135" s="562"/>
      <c r="DEL135" s="562"/>
      <c r="DEM135" s="562"/>
      <c r="DEN135" s="562"/>
      <c r="DEO135" s="562"/>
      <c r="DEP135" s="562"/>
      <c r="DEQ135" s="562"/>
      <c r="DER135" s="562"/>
      <c r="DES135" s="562"/>
      <c r="DET135" s="562"/>
      <c r="DEU135" s="562"/>
      <c r="DEV135" s="562"/>
      <c r="DEW135" s="562"/>
      <c r="DEX135" s="562"/>
      <c r="DEY135" s="562"/>
      <c r="DEZ135" s="562"/>
      <c r="DFA135" s="562"/>
      <c r="DFB135" s="562"/>
      <c r="DFC135" s="562"/>
      <c r="DFD135" s="562"/>
      <c r="DFE135" s="562"/>
      <c r="DFF135" s="562"/>
      <c r="DFG135" s="562"/>
      <c r="DFH135" s="562"/>
      <c r="DFI135" s="562"/>
      <c r="DFJ135" s="562"/>
      <c r="DFK135" s="562"/>
      <c r="DFL135" s="562"/>
      <c r="DFM135" s="562"/>
      <c r="DFN135" s="562"/>
      <c r="DFO135" s="562"/>
      <c r="DFP135" s="562"/>
      <c r="DFQ135" s="562"/>
      <c r="DFR135" s="562"/>
      <c r="DFS135" s="562"/>
      <c r="DFT135" s="562"/>
      <c r="DFU135" s="562"/>
      <c r="DFV135" s="562"/>
      <c r="DFW135" s="562"/>
      <c r="DFX135" s="562"/>
      <c r="DFY135" s="562"/>
      <c r="DFZ135" s="562"/>
      <c r="DGA135" s="562"/>
      <c r="DGB135" s="562"/>
      <c r="DGC135" s="562"/>
      <c r="DGD135" s="562"/>
      <c r="DGE135" s="562"/>
      <c r="DGF135" s="562"/>
      <c r="DGG135" s="562"/>
      <c r="DGH135" s="562"/>
      <c r="DGI135" s="562"/>
      <c r="DGJ135" s="562"/>
      <c r="DGK135" s="562"/>
      <c r="DGL135" s="562"/>
      <c r="DGM135" s="562"/>
      <c r="DGN135" s="562"/>
      <c r="DGO135" s="562"/>
      <c r="DGP135" s="562"/>
      <c r="DGQ135" s="562"/>
      <c r="DGR135" s="562"/>
      <c r="DGS135" s="562"/>
      <c r="DGT135" s="562"/>
      <c r="DGU135" s="562"/>
      <c r="DGV135" s="562"/>
      <c r="DGW135" s="562"/>
      <c r="DGX135" s="562"/>
      <c r="DGY135" s="562"/>
      <c r="DGZ135" s="562"/>
      <c r="DHA135" s="562"/>
      <c r="DHB135" s="562"/>
      <c r="DHC135" s="562"/>
      <c r="DHD135" s="562"/>
      <c r="DHE135" s="562"/>
      <c r="DHF135" s="562"/>
      <c r="DHG135" s="562"/>
      <c r="DHH135" s="562"/>
      <c r="DHI135" s="562"/>
      <c r="DHJ135" s="562"/>
      <c r="DHK135" s="562"/>
      <c r="DHL135" s="562"/>
      <c r="DHM135" s="562"/>
      <c r="DHN135" s="562"/>
      <c r="DHO135" s="562"/>
      <c r="DHP135" s="562"/>
      <c r="DHQ135" s="562"/>
      <c r="DHR135" s="562"/>
      <c r="DHS135" s="562"/>
      <c r="DHT135" s="562"/>
      <c r="DHU135" s="562"/>
      <c r="DHV135" s="562"/>
      <c r="DHW135" s="562"/>
      <c r="DHX135" s="562"/>
      <c r="DHY135" s="562"/>
      <c r="DHZ135" s="562"/>
      <c r="DIA135" s="562"/>
      <c r="DIB135" s="562"/>
      <c r="DIC135" s="562"/>
      <c r="DID135" s="562"/>
      <c r="DIE135" s="562"/>
      <c r="DIF135" s="562"/>
      <c r="DIG135" s="562"/>
      <c r="DIH135" s="562"/>
      <c r="DII135" s="562"/>
      <c r="DIJ135" s="562"/>
      <c r="DIK135" s="562"/>
      <c r="DIL135" s="562"/>
      <c r="DIM135" s="562"/>
      <c r="DIN135" s="562"/>
      <c r="DIO135" s="562"/>
      <c r="DIP135" s="562"/>
      <c r="DIQ135" s="562"/>
      <c r="DIR135" s="562"/>
      <c r="DIS135" s="562"/>
      <c r="DIT135" s="562"/>
      <c r="DIU135" s="562"/>
      <c r="DIV135" s="562"/>
      <c r="DIW135" s="562"/>
      <c r="DIX135" s="562"/>
      <c r="DIY135" s="562"/>
      <c r="DIZ135" s="562"/>
      <c r="DJA135" s="562"/>
      <c r="DJB135" s="562"/>
      <c r="DJC135" s="562"/>
      <c r="DJD135" s="562"/>
      <c r="DJE135" s="562"/>
      <c r="DJF135" s="562"/>
      <c r="DJG135" s="562"/>
      <c r="DJH135" s="562"/>
      <c r="DJI135" s="562"/>
      <c r="DJJ135" s="562"/>
      <c r="DJK135" s="562"/>
      <c r="DJL135" s="562"/>
      <c r="DJM135" s="562"/>
      <c r="DJN135" s="562"/>
      <c r="DJO135" s="562"/>
      <c r="DJP135" s="562"/>
      <c r="DJQ135" s="562"/>
      <c r="DJR135" s="562"/>
      <c r="DJS135" s="562"/>
      <c r="DJT135" s="562"/>
      <c r="DJU135" s="562"/>
      <c r="DJV135" s="562"/>
      <c r="DJW135" s="562"/>
      <c r="DJX135" s="562"/>
      <c r="DJY135" s="562"/>
      <c r="DJZ135" s="562"/>
      <c r="DKA135" s="562"/>
      <c r="DKB135" s="562"/>
      <c r="DKC135" s="562"/>
      <c r="DKD135" s="562"/>
      <c r="DKE135" s="562"/>
      <c r="DKF135" s="562"/>
      <c r="DKG135" s="562"/>
      <c r="DKH135" s="562"/>
      <c r="DKI135" s="562"/>
      <c r="DKJ135" s="562"/>
      <c r="DKK135" s="562"/>
      <c r="DKL135" s="562"/>
      <c r="DKM135" s="562"/>
      <c r="DKN135" s="562"/>
      <c r="DKO135" s="562"/>
      <c r="DKP135" s="562"/>
      <c r="DKQ135" s="562"/>
      <c r="DKR135" s="562"/>
      <c r="DKS135" s="562"/>
      <c r="DKT135" s="562"/>
      <c r="DKU135" s="562"/>
      <c r="DKV135" s="562"/>
      <c r="DKW135" s="562"/>
      <c r="DKX135" s="562"/>
      <c r="DKY135" s="562"/>
      <c r="DKZ135" s="562"/>
      <c r="DLA135" s="562"/>
      <c r="DLB135" s="562"/>
      <c r="DLC135" s="562"/>
      <c r="DLD135" s="562"/>
      <c r="DLE135" s="562"/>
      <c r="DLF135" s="562"/>
      <c r="DLG135" s="562"/>
      <c r="DLH135" s="562"/>
      <c r="DLI135" s="562"/>
      <c r="DLJ135" s="562"/>
      <c r="DLK135" s="562"/>
      <c r="DLL135" s="562"/>
      <c r="DLM135" s="562"/>
      <c r="DLN135" s="562"/>
      <c r="DLO135" s="562"/>
      <c r="DLP135" s="562"/>
      <c r="DLQ135" s="562"/>
      <c r="DLR135" s="562"/>
      <c r="DLS135" s="562"/>
      <c r="DLT135" s="562"/>
      <c r="DLU135" s="562"/>
      <c r="DLV135" s="562"/>
      <c r="DLW135" s="562"/>
      <c r="DLX135" s="562"/>
      <c r="DLY135" s="562"/>
      <c r="DLZ135" s="562"/>
      <c r="DMA135" s="562"/>
      <c r="DMB135" s="562"/>
      <c r="DMC135" s="562"/>
      <c r="DMD135" s="562"/>
      <c r="DME135" s="562"/>
      <c r="DMF135" s="562"/>
      <c r="DMG135" s="562"/>
      <c r="DMH135" s="562"/>
      <c r="DMI135" s="562"/>
      <c r="DMJ135" s="562"/>
      <c r="DMK135" s="562"/>
      <c r="DML135" s="562"/>
      <c r="DMM135" s="562"/>
      <c r="DMN135" s="562"/>
      <c r="DMO135" s="562"/>
      <c r="DMP135" s="562"/>
      <c r="DMQ135" s="562"/>
      <c r="DMR135" s="562"/>
      <c r="DMS135" s="562"/>
      <c r="DMT135" s="562"/>
      <c r="DMU135" s="562"/>
      <c r="DMV135" s="562"/>
      <c r="DMW135" s="562"/>
      <c r="DMX135" s="562"/>
      <c r="DMY135" s="562"/>
      <c r="DMZ135" s="562"/>
      <c r="DNA135" s="562"/>
      <c r="DNB135" s="562"/>
      <c r="DNC135" s="562"/>
      <c r="DND135" s="562"/>
      <c r="DNE135" s="562"/>
      <c r="DNF135" s="562"/>
      <c r="DNG135" s="562"/>
      <c r="DNH135" s="562"/>
      <c r="DNI135" s="562"/>
      <c r="DNJ135" s="562"/>
      <c r="DNK135" s="562"/>
      <c r="DNL135" s="562"/>
      <c r="DNM135" s="562"/>
      <c r="DNN135" s="562"/>
      <c r="DNO135" s="562"/>
      <c r="DNP135" s="562"/>
      <c r="DNQ135" s="562"/>
      <c r="DNR135" s="562"/>
      <c r="DNS135" s="562"/>
      <c r="DNT135" s="562"/>
      <c r="DNU135" s="562"/>
      <c r="DNV135" s="562"/>
      <c r="DNW135" s="562"/>
      <c r="DNX135" s="562"/>
      <c r="DNY135" s="562"/>
      <c r="DNZ135" s="562"/>
      <c r="DOA135" s="562"/>
      <c r="DOB135" s="562"/>
      <c r="DOC135" s="562"/>
      <c r="DOD135" s="562"/>
      <c r="DOE135" s="562"/>
      <c r="DOF135" s="562"/>
      <c r="DOG135" s="562"/>
      <c r="DOH135" s="562"/>
      <c r="DOI135" s="562"/>
      <c r="DOJ135" s="562"/>
      <c r="DOK135" s="562"/>
      <c r="DOL135" s="562"/>
      <c r="DOM135" s="562"/>
      <c r="DON135" s="562"/>
      <c r="DOO135" s="562"/>
      <c r="DOP135" s="562"/>
      <c r="DOQ135" s="562"/>
      <c r="DOR135" s="562"/>
      <c r="DOS135" s="562"/>
      <c r="DOT135" s="562"/>
      <c r="DOU135" s="562"/>
      <c r="DOV135" s="562"/>
      <c r="DOW135" s="562"/>
      <c r="DOX135" s="562"/>
      <c r="DOY135" s="562"/>
      <c r="DOZ135" s="562"/>
      <c r="DPA135" s="562"/>
      <c r="DPB135" s="562"/>
      <c r="DPC135" s="562"/>
      <c r="DPD135" s="562"/>
      <c r="DPE135" s="562"/>
      <c r="DPF135" s="562"/>
      <c r="DPG135" s="562"/>
      <c r="DPH135" s="562"/>
      <c r="DPI135" s="562"/>
      <c r="DPJ135" s="562"/>
      <c r="DPK135" s="562"/>
      <c r="DPL135" s="562"/>
      <c r="DPM135" s="562"/>
      <c r="DPN135" s="562"/>
      <c r="DPO135" s="562"/>
      <c r="DPP135" s="562"/>
      <c r="DPQ135" s="562"/>
      <c r="DPR135" s="562"/>
      <c r="DPS135" s="562"/>
      <c r="DPT135" s="562"/>
      <c r="DPU135" s="562"/>
      <c r="DPV135" s="562"/>
      <c r="DPW135" s="562"/>
      <c r="DPX135" s="562"/>
      <c r="DPY135" s="562"/>
      <c r="DPZ135" s="562"/>
      <c r="DQA135" s="562"/>
      <c r="DQB135" s="562"/>
      <c r="DQC135" s="562"/>
      <c r="DQD135" s="562"/>
      <c r="DQE135" s="562"/>
      <c r="DQF135" s="562"/>
      <c r="DQG135" s="562"/>
      <c r="DQH135" s="562"/>
      <c r="DQI135" s="562"/>
      <c r="DQJ135" s="562"/>
      <c r="DQK135" s="562"/>
      <c r="DQL135" s="562"/>
      <c r="DQM135" s="562"/>
      <c r="DQN135" s="562"/>
      <c r="DQO135" s="562"/>
      <c r="DQP135" s="562"/>
      <c r="DQQ135" s="562"/>
      <c r="DQR135" s="562"/>
      <c r="DQS135" s="562"/>
      <c r="DQT135" s="562"/>
      <c r="DQU135" s="562"/>
      <c r="DQV135" s="562"/>
      <c r="DQW135" s="562"/>
      <c r="DQX135" s="562"/>
      <c r="DQY135" s="562"/>
      <c r="DQZ135" s="562"/>
      <c r="DRA135" s="562"/>
      <c r="DRB135" s="562"/>
      <c r="DRC135" s="562"/>
      <c r="DRD135" s="562"/>
      <c r="DRE135" s="562"/>
      <c r="DRF135" s="562"/>
      <c r="DRG135" s="562"/>
      <c r="DRH135" s="562"/>
      <c r="DRI135" s="562"/>
      <c r="DRJ135" s="562"/>
      <c r="DRK135" s="562"/>
      <c r="DRL135" s="562"/>
      <c r="DRM135" s="562"/>
      <c r="DRN135" s="562"/>
      <c r="DRO135" s="562"/>
      <c r="DRP135" s="562"/>
      <c r="DRQ135" s="562"/>
      <c r="DRR135" s="562"/>
      <c r="DRS135" s="562"/>
      <c r="DRT135" s="562"/>
      <c r="DRU135" s="562"/>
      <c r="DRV135" s="562"/>
      <c r="DRW135" s="562"/>
      <c r="DRX135" s="562"/>
      <c r="DRY135" s="562"/>
      <c r="DRZ135" s="562"/>
      <c r="DSA135" s="562"/>
      <c r="DSB135" s="562"/>
      <c r="DSC135" s="562"/>
      <c r="DSD135" s="562"/>
      <c r="DSE135" s="562"/>
      <c r="DSF135" s="562"/>
      <c r="DSG135" s="562"/>
      <c r="DSH135" s="562"/>
      <c r="DSI135" s="562"/>
      <c r="DSJ135" s="562"/>
      <c r="DSK135" s="562"/>
      <c r="DSL135" s="562"/>
      <c r="DSM135" s="562"/>
      <c r="DSN135" s="562"/>
      <c r="DSO135" s="562"/>
      <c r="DSP135" s="562"/>
      <c r="DSQ135" s="562"/>
      <c r="DSR135" s="562"/>
      <c r="DSS135" s="562"/>
      <c r="DST135" s="562"/>
      <c r="DSU135" s="562"/>
      <c r="DSV135" s="562"/>
      <c r="DSW135" s="562"/>
      <c r="DSX135" s="562"/>
      <c r="DSY135" s="562"/>
      <c r="DSZ135" s="562"/>
      <c r="DTA135" s="562"/>
      <c r="DTB135" s="562"/>
      <c r="DTC135" s="562"/>
      <c r="DTD135" s="562"/>
      <c r="DTE135" s="562"/>
      <c r="DTF135" s="562"/>
      <c r="DTG135" s="562"/>
      <c r="DTH135" s="562"/>
      <c r="DTI135" s="562"/>
      <c r="DTJ135" s="562"/>
      <c r="DTK135" s="562"/>
      <c r="DTL135" s="562"/>
      <c r="DTM135" s="562"/>
      <c r="DTN135" s="562"/>
      <c r="DTO135" s="562"/>
      <c r="DTP135" s="562"/>
      <c r="DTQ135" s="562"/>
      <c r="DTR135" s="562"/>
      <c r="DTS135" s="562"/>
      <c r="DTT135" s="562"/>
      <c r="DTU135" s="562"/>
      <c r="DTV135" s="562"/>
      <c r="DTW135" s="562"/>
      <c r="DTX135" s="562"/>
      <c r="DTY135" s="562"/>
      <c r="DTZ135" s="562"/>
      <c r="DUA135" s="562"/>
      <c r="DUB135" s="562"/>
      <c r="DUC135" s="562"/>
      <c r="DUD135" s="562"/>
      <c r="DUE135" s="562"/>
      <c r="DUF135" s="562"/>
      <c r="DUG135" s="562"/>
      <c r="DUH135" s="562"/>
      <c r="DUI135" s="562"/>
      <c r="DUJ135" s="562"/>
      <c r="DUK135" s="562"/>
      <c r="DUL135" s="562"/>
      <c r="DUM135" s="562"/>
      <c r="DUN135" s="562"/>
      <c r="DUO135" s="562"/>
      <c r="DUP135" s="562"/>
      <c r="DUQ135" s="562"/>
      <c r="DUR135" s="562"/>
      <c r="DUS135" s="562"/>
      <c r="DUT135" s="562"/>
      <c r="DUU135" s="562"/>
      <c r="DUV135" s="562"/>
      <c r="DUW135" s="562"/>
      <c r="DUX135" s="562"/>
      <c r="DUY135" s="562"/>
      <c r="DUZ135" s="562"/>
      <c r="DVA135" s="562"/>
      <c r="DVB135" s="562"/>
      <c r="DVC135" s="562"/>
      <c r="DVD135" s="562"/>
      <c r="DVE135" s="562"/>
      <c r="DVF135" s="562"/>
      <c r="DVG135" s="562"/>
      <c r="DVH135" s="562"/>
      <c r="DVI135" s="562"/>
      <c r="DVJ135" s="562"/>
      <c r="DVK135" s="562"/>
      <c r="DVL135" s="562"/>
      <c r="DVM135" s="562"/>
      <c r="DVN135" s="562"/>
      <c r="DVO135" s="562"/>
      <c r="DVP135" s="562"/>
      <c r="DVQ135" s="562"/>
      <c r="DVR135" s="562"/>
      <c r="DVS135" s="562"/>
      <c r="DVT135" s="562"/>
      <c r="DVU135" s="562"/>
      <c r="DVV135" s="562"/>
      <c r="DVW135" s="562"/>
      <c r="DVX135" s="562"/>
      <c r="DVY135" s="562"/>
      <c r="DVZ135" s="562"/>
      <c r="DWA135" s="562"/>
      <c r="DWB135" s="562"/>
      <c r="DWC135" s="562"/>
      <c r="DWD135" s="562"/>
      <c r="DWE135" s="562"/>
      <c r="DWF135" s="562"/>
      <c r="DWG135" s="562"/>
      <c r="DWH135" s="562"/>
      <c r="DWI135" s="562"/>
      <c r="DWJ135" s="562"/>
      <c r="DWK135" s="562"/>
      <c r="DWL135" s="562"/>
      <c r="DWM135" s="562"/>
      <c r="DWN135" s="562"/>
      <c r="DWO135" s="562"/>
      <c r="DWP135" s="562"/>
      <c r="DWQ135" s="562"/>
      <c r="DWR135" s="562"/>
      <c r="DWS135" s="562"/>
      <c r="DWT135" s="562"/>
      <c r="DWU135" s="562"/>
      <c r="DWV135" s="562"/>
      <c r="DWW135" s="562"/>
      <c r="DWX135" s="562"/>
      <c r="DWY135" s="562"/>
      <c r="DWZ135" s="562"/>
      <c r="DXA135" s="562"/>
      <c r="DXB135" s="562"/>
      <c r="DXC135" s="562"/>
      <c r="DXD135" s="562"/>
      <c r="DXE135" s="562"/>
      <c r="DXF135" s="562"/>
      <c r="DXG135" s="562"/>
      <c r="DXH135" s="562"/>
      <c r="DXI135" s="562"/>
      <c r="DXJ135" s="562"/>
      <c r="DXK135" s="562"/>
      <c r="DXL135" s="562"/>
      <c r="DXM135" s="562"/>
      <c r="DXN135" s="562"/>
      <c r="DXO135" s="562"/>
      <c r="DXP135" s="562"/>
      <c r="DXQ135" s="562"/>
      <c r="DXR135" s="562"/>
      <c r="DXS135" s="562"/>
      <c r="DXT135" s="562"/>
      <c r="DXU135" s="562"/>
      <c r="DXV135" s="562"/>
      <c r="DXW135" s="562"/>
      <c r="DXX135" s="562"/>
      <c r="DXY135" s="562"/>
      <c r="DXZ135" s="562"/>
      <c r="DYA135" s="562"/>
      <c r="DYB135" s="562"/>
      <c r="DYC135" s="562"/>
      <c r="DYD135" s="562"/>
      <c r="DYE135" s="562"/>
      <c r="DYF135" s="562"/>
      <c r="DYG135" s="562"/>
      <c r="DYH135" s="562"/>
      <c r="DYI135" s="562"/>
      <c r="DYJ135" s="562"/>
      <c r="DYK135" s="562"/>
      <c r="DYL135" s="562"/>
      <c r="DYM135" s="562"/>
      <c r="DYN135" s="562"/>
      <c r="DYO135" s="562"/>
      <c r="DYP135" s="562"/>
      <c r="DYQ135" s="562"/>
      <c r="DYR135" s="562"/>
      <c r="DYS135" s="562"/>
      <c r="DYT135" s="562"/>
      <c r="DYU135" s="562"/>
      <c r="DYV135" s="562"/>
      <c r="DYW135" s="562"/>
      <c r="DYX135" s="562"/>
      <c r="DYY135" s="562"/>
      <c r="DYZ135" s="562"/>
      <c r="DZA135" s="562"/>
      <c r="DZB135" s="562"/>
      <c r="DZC135" s="562"/>
      <c r="DZD135" s="562"/>
      <c r="DZE135" s="562"/>
      <c r="DZF135" s="562"/>
      <c r="DZG135" s="562"/>
      <c r="DZH135" s="562"/>
      <c r="DZI135" s="562"/>
      <c r="DZJ135" s="562"/>
      <c r="DZK135" s="562"/>
      <c r="DZL135" s="562"/>
      <c r="DZM135" s="562"/>
      <c r="DZN135" s="562"/>
      <c r="DZO135" s="562"/>
      <c r="DZP135" s="562"/>
      <c r="DZQ135" s="562"/>
      <c r="DZR135" s="562"/>
      <c r="DZS135" s="562"/>
      <c r="DZT135" s="562"/>
      <c r="DZU135" s="562"/>
      <c r="DZV135" s="562"/>
      <c r="DZW135" s="562"/>
      <c r="DZX135" s="562"/>
      <c r="DZY135" s="562"/>
      <c r="DZZ135" s="562"/>
      <c r="EAA135" s="562"/>
      <c r="EAB135" s="562"/>
      <c r="EAC135" s="562"/>
      <c r="EAD135" s="562"/>
      <c r="EAE135" s="562"/>
      <c r="EAF135" s="562"/>
      <c r="EAG135" s="562"/>
      <c r="EAH135" s="562"/>
      <c r="EAI135" s="562"/>
      <c r="EAJ135" s="562"/>
      <c r="EAK135" s="562"/>
      <c r="EAL135" s="562"/>
      <c r="EAM135" s="562"/>
      <c r="EAN135" s="562"/>
      <c r="EAO135" s="562"/>
      <c r="EAP135" s="562"/>
      <c r="EAQ135" s="562"/>
      <c r="EAR135" s="562"/>
      <c r="EAS135" s="562"/>
      <c r="EAT135" s="562"/>
      <c r="EAU135" s="562"/>
      <c r="EAV135" s="562"/>
      <c r="EAW135" s="562"/>
      <c r="EAX135" s="562"/>
      <c r="EAY135" s="562"/>
      <c r="EAZ135" s="562"/>
      <c r="EBA135" s="562"/>
      <c r="EBB135" s="562"/>
      <c r="EBC135" s="562"/>
      <c r="EBD135" s="562"/>
      <c r="EBE135" s="562"/>
      <c r="EBF135" s="562"/>
      <c r="EBG135" s="562"/>
      <c r="EBH135" s="562"/>
      <c r="EBI135" s="562"/>
      <c r="EBJ135" s="562"/>
      <c r="EBK135" s="562"/>
      <c r="EBL135" s="562"/>
      <c r="EBM135" s="562"/>
      <c r="EBN135" s="562"/>
      <c r="EBO135" s="562"/>
      <c r="EBP135" s="562"/>
      <c r="EBQ135" s="562"/>
      <c r="EBR135" s="562"/>
      <c r="EBS135" s="562"/>
      <c r="EBT135" s="562"/>
      <c r="EBU135" s="562"/>
      <c r="EBV135" s="562"/>
      <c r="EBW135" s="562"/>
      <c r="EBX135" s="562"/>
      <c r="EBY135" s="562"/>
      <c r="EBZ135" s="562"/>
      <c r="ECA135" s="562"/>
      <c r="ECB135" s="562"/>
      <c r="ECC135" s="562"/>
      <c r="ECD135" s="562"/>
      <c r="ECE135" s="562"/>
      <c r="ECF135" s="562"/>
      <c r="ECG135" s="562"/>
      <c r="ECH135" s="562"/>
      <c r="ECI135" s="562"/>
      <c r="ECJ135" s="562"/>
      <c r="ECK135" s="562"/>
      <c r="ECL135" s="562"/>
      <c r="ECM135" s="562"/>
      <c r="ECN135" s="562"/>
      <c r="ECO135" s="562"/>
      <c r="ECP135" s="562"/>
      <c r="ECQ135" s="562"/>
      <c r="ECR135" s="562"/>
      <c r="ECS135" s="562"/>
      <c r="ECT135" s="562"/>
      <c r="ECU135" s="562"/>
      <c r="ECV135" s="562"/>
      <c r="ECW135" s="562"/>
      <c r="ECX135" s="562"/>
      <c r="ECY135" s="562"/>
      <c r="ECZ135" s="562"/>
      <c r="EDA135" s="562"/>
      <c r="EDB135" s="562"/>
      <c r="EDC135" s="562"/>
      <c r="EDD135" s="562"/>
      <c r="EDE135" s="562"/>
      <c r="EDF135" s="562"/>
      <c r="EDG135" s="562"/>
      <c r="EDH135" s="562"/>
      <c r="EDI135" s="562"/>
      <c r="EDJ135" s="562"/>
      <c r="EDK135" s="562"/>
      <c r="EDL135" s="562"/>
      <c r="EDM135" s="562"/>
      <c r="EDN135" s="562"/>
      <c r="EDO135" s="562"/>
      <c r="EDP135" s="562"/>
      <c r="EDQ135" s="562"/>
      <c r="EDR135" s="562"/>
      <c r="EDS135" s="562"/>
      <c r="EDT135" s="562"/>
      <c r="EDU135" s="562"/>
      <c r="EDV135" s="562"/>
      <c r="EDW135" s="562"/>
      <c r="EDX135" s="562"/>
      <c r="EDY135" s="562"/>
      <c r="EDZ135" s="562"/>
      <c r="EEA135" s="562"/>
      <c r="EEB135" s="562"/>
      <c r="EEC135" s="562"/>
      <c r="EED135" s="562"/>
      <c r="EEE135" s="562"/>
      <c r="EEF135" s="562"/>
      <c r="EEG135" s="562"/>
      <c r="EEH135" s="562"/>
      <c r="EEI135" s="562"/>
      <c r="EEJ135" s="562"/>
      <c r="EEK135" s="562"/>
      <c r="EEL135" s="562"/>
      <c r="EEM135" s="562"/>
      <c r="EEN135" s="562"/>
      <c r="EEO135" s="562"/>
      <c r="EEP135" s="562"/>
      <c r="EEQ135" s="562"/>
      <c r="EER135" s="562"/>
      <c r="EES135" s="562"/>
      <c r="EET135" s="562"/>
      <c r="EEU135" s="562"/>
      <c r="EEV135" s="562"/>
      <c r="EEW135" s="562"/>
      <c r="EEX135" s="562"/>
      <c r="EEY135" s="562"/>
      <c r="EEZ135" s="562"/>
      <c r="EFA135" s="562"/>
      <c r="EFB135" s="562"/>
      <c r="EFC135" s="562"/>
      <c r="EFD135" s="562"/>
      <c r="EFE135" s="562"/>
      <c r="EFF135" s="562"/>
      <c r="EFG135" s="562"/>
      <c r="EFH135" s="562"/>
      <c r="EFI135" s="562"/>
      <c r="EFJ135" s="562"/>
      <c r="EFK135" s="562"/>
      <c r="EFL135" s="562"/>
      <c r="EFM135" s="562"/>
      <c r="EFN135" s="562"/>
      <c r="EFO135" s="562"/>
      <c r="EFP135" s="562"/>
      <c r="EFQ135" s="562"/>
      <c r="EFR135" s="562"/>
      <c r="EFS135" s="562"/>
      <c r="EFT135" s="562"/>
      <c r="EFU135" s="562"/>
      <c r="EFV135" s="562"/>
      <c r="EFW135" s="562"/>
      <c r="EFX135" s="562"/>
      <c r="EFY135" s="562"/>
      <c r="EFZ135" s="562"/>
      <c r="EGA135" s="562"/>
      <c r="EGB135" s="562"/>
      <c r="EGC135" s="562"/>
      <c r="EGD135" s="562"/>
      <c r="EGE135" s="562"/>
      <c r="EGF135" s="562"/>
      <c r="EGG135" s="562"/>
      <c r="EGH135" s="562"/>
      <c r="EGI135" s="562"/>
      <c r="EGJ135" s="562"/>
      <c r="EGK135" s="562"/>
      <c r="EGL135" s="562"/>
      <c r="EGM135" s="562"/>
      <c r="EGN135" s="562"/>
      <c r="EGO135" s="562"/>
      <c r="EGP135" s="562"/>
      <c r="EGQ135" s="562"/>
      <c r="EGR135" s="562"/>
      <c r="EGS135" s="562"/>
      <c r="EGT135" s="562"/>
      <c r="EGU135" s="562"/>
      <c r="EGV135" s="562"/>
      <c r="EGW135" s="562"/>
      <c r="EGX135" s="562"/>
      <c r="EGY135" s="562"/>
      <c r="EGZ135" s="562"/>
      <c r="EHA135" s="562"/>
      <c r="EHB135" s="562"/>
      <c r="EHC135" s="562"/>
      <c r="EHD135" s="562"/>
      <c r="EHE135" s="562"/>
      <c r="EHF135" s="562"/>
      <c r="EHG135" s="562"/>
      <c r="EHH135" s="562"/>
      <c r="EHI135" s="562"/>
      <c r="EHJ135" s="562"/>
      <c r="EHK135" s="562"/>
      <c r="EHL135" s="562"/>
      <c r="EHM135" s="562"/>
      <c r="EHN135" s="562"/>
      <c r="EHO135" s="562"/>
      <c r="EHP135" s="562"/>
      <c r="EHQ135" s="562"/>
      <c r="EHR135" s="562"/>
      <c r="EHS135" s="562"/>
      <c r="EHT135" s="562"/>
      <c r="EHU135" s="562"/>
      <c r="EHV135" s="562"/>
      <c r="EHW135" s="562"/>
      <c r="EHX135" s="562"/>
      <c r="EHY135" s="562"/>
      <c r="EHZ135" s="562"/>
      <c r="EIA135" s="562"/>
      <c r="EIB135" s="562"/>
      <c r="EIC135" s="562"/>
      <c r="EID135" s="562"/>
      <c r="EIE135" s="562"/>
      <c r="EIF135" s="562"/>
      <c r="EIG135" s="562"/>
      <c r="EIH135" s="562"/>
      <c r="EII135" s="562"/>
      <c r="EIJ135" s="562"/>
      <c r="EIK135" s="562"/>
      <c r="EIL135" s="562"/>
      <c r="EIM135" s="562"/>
      <c r="EIN135" s="562"/>
      <c r="EIO135" s="562"/>
      <c r="EIP135" s="562"/>
      <c r="EIQ135" s="562"/>
      <c r="EIR135" s="562"/>
      <c r="EIS135" s="562"/>
      <c r="EIT135" s="562"/>
      <c r="EIU135" s="562"/>
      <c r="EIV135" s="562"/>
      <c r="EIW135" s="562"/>
      <c r="EIX135" s="562"/>
      <c r="EIY135" s="562"/>
      <c r="EIZ135" s="562"/>
      <c r="EJA135" s="562"/>
      <c r="EJB135" s="562"/>
      <c r="EJC135" s="562"/>
      <c r="EJD135" s="562"/>
      <c r="EJE135" s="562"/>
      <c r="EJF135" s="562"/>
      <c r="EJG135" s="562"/>
      <c r="EJH135" s="562"/>
      <c r="EJI135" s="562"/>
      <c r="EJJ135" s="562"/>
      <c r="EJK135" s="562"/>
      <c r="EJL135" s="562"/>
      <c r="EJM135" s="562"/>
      <c r="EJN135" s="562"/>
      <c r="EJO135" s="562"/>
      <c r="EJP135" s="562"/>
      <c r="EJQ135" s="562"/>
      <c r="EJR135" s="562"/>
      <c r="EJS135" s="562"/>
      <c r="EJT135" s="562"/>
      <c r="EJU135" s="562"/>
      <c r="EJV135" s="562"/>
      <c r="EJW135" s="562"/>
      <c r="EJX135" s="562"/>
      <c r="EJY135" s="562"/>
      <c r="EJZ135" s="562"/>
      <c r="EKA135" s="562"/>
      <c r="EKB135" s="562"/>
      <c r="EKC135" s="562"/>
      <c r="EKD135" s="562"/>
      <c r="EKE135" s="562"/>
      <c r="EKF135" s="562"/>
      <c r="EKG135" s="562"/>
      <c r="EKH135" s="562"/>
      <c r="EKI135" s="562"/>
      <c r="EKJ135" s="562"/>
      <c r="EKK135" s="562"/>
      <c r="EKL135" s="562"/>
      <c r="EKM135" s="562"/>
      <c r="EKN135" s="562"/>
      <c r="EKO135" s="562"/>
      <c r="EKP135" s="562"/>
      <c r="EKQ135" s="562"/>
      <c r="EKR135" s="562"/>
      <c r="EKS135" s="562"/>
      <c r="EKT135" s="562"/>
      <c r="EKU135" s="562"/>
      <c r="EKV135" s="562"/>
      <c r="EKW135" s="562"/>
      <c r="EKX135" s="562"/>
      <c r="EKY135" s="562"/>
      <c r="EKZ135" s="562"/>
      <c r="ELA135" s="562"/>
      <c r="ELB135" s="562"/>
      <c r="ELC135" s="562"/>
      <c r="ELD135" s="562"/>
      <c r="ELE135" s="562"/>
      <c r="ELF135" s="562"/>
      <c r="ELG135" s="562"/>
      <c r="ELH135" s="562"/>
      <c r="ELI135" s="562"/>
      <c r="ELJ135" s="562"/>
      <c r="ELK135" s="562"/>
      <c r="ELL135" s="562"/>
      <c r="ELM135" s="562"/>
      <c r="ELN135" s="562"/>
      <c r="ELO135" s="562"/>
      <c r="ELP135" s="562"/>
      <c r="ELQ135" s="562"/>
      <c r="ELR135" s="562"/>
      <c r="ELS135" s="562"/>
      <c r="ELT135" s="562"/>
      <c r="ELU135" s="562"/>
      <c r="ELV135" s="562"/>
      <c r="ELW135" s="562"/>
      <c r="ELX135" s="562"/>
      <c r="ELY135" s="562"/>
      <c r="ELZ135" s="562"/>
      <c r="EMA135" s="562"/>
      <c r="EMB135" s="562"/>
      <c r="EMC135" s="562"/>
      <c r="EMD135" s="562"/>
      <c r="EME135" s="562"/>
      <c r="EMF135" s="562"/>
      <c r="EMG135" s="562"/>
      <c r="EMH135" s="562"/>
      <c r="EMI135" s="562"/>
      <c r="EMJ135" s="562"/>
      <c r="EMK135" s="562"/>
      <c r="EML135" s="562"/>
      <c r="EMM135" s="562"/>
      <c r="EMN135" s="562"/>
      <c r="EMO135" s="562"/>
      <c r="EMP135" s="562"/>
      <c r="EMQ135" s="562"/>
      <c r="EMR135" s="562"/>
      <c r="EMS135" s="562"/>
      <c r="EMT135" s="562"/>
      <c r="EMU135" s="562"/>
      <c r="EMV135" s="562"/>
      <c r="EMW135" s="562"/>
      <c r="EMX135" s="562"/>
      <c r="EMY135" s="562"/>
      <c r="EMZ135" s="562"/>
      <c r="ENA135" s="562"/>
      <c r="ENB135" s="562"/>
      <c r="ENC135" s="562"/>
      <c r="END135" s="562"/>
      <c r="ENE135" s="562"/>
      <c r="ENF135" s="562"/>
      <c r="ENG135" s="562"/>
      <c r="ENH135" s="562"/>
      <c r="ENI135" s="562"/>
      <c r="ENJ135" s="562"/>
      <c r="ENK135" s="562"/>
      <c r="ENL135" s="562"/>
      <c r="ENM135" s="562"/>
      <c r="ENN135" s="562"/>
      <c r="ENO135" s="562"/>
      <c r="ENP135" s="562"/>
      <c r="ENQ135" s="562"/>
      <c r="ENR135" s="562"/>
      <c r="ENS135" s="562"/>
      <c r="ENT135" s="562"/>
      <c r="ENU135" s="562"/>
      <c r="ENV135" s="562"/>
      <c r="ENW135" s="562"/>
      <c r="ENX135" s="562"/>
      <c r="ENY135" s="562"/>
      <c r="ENZ135" s="562"/>
      <c r="EOA135" s="562"/>
      <c r="EOB135" s="562"/>
      <c r="EOC135" s="562"/>
      <c r="EOD135" s="562"/>
      <c r="EOE135" s="562"/>
      <c r="EOF135" s="562"/>
      <c r="EOG135" s="562"/>
      <c r="EOH135" s="562"/>
      <c r="EOI135" s="562"/>
      <c r="EOJ135" s="562"/>
      <c r="EOK135" s="562"/>
      <c r="EOL135" s="562"/>
      <c r="EOM135" s="562"/>
      <c r="EON135" s="562"/>
      <c r="EOO135" s="562"/>
      <c r="EOP135" s="562"/>
      <c r="EOQ135" s="562"/>
      <c r="EOR135" s="562"/>
      <c r="EOS135" s="562"/>
      <c r="EOT135" s="562"/>
      <c r="EOU135" s="562"/>
      <c r="EOV135" s="562"/>
      <c r="EOW135" s="562"/>
      <c r="EOX135" s="562"/>
      <c r="EOY135" s="562"/>
      <c r="EOZ135" s="562"/>
      <c r="EPA135" s="562"/>
      <c r="EPB135" s="562"/>
      <c r="EPC135" s="562"/>
      <c r="EPD135" s="562"/>
      <c r="EPE135" s="562"/>
      <c r="EPF135" s="562"/>
      <c r="EPG135" s="562"/>
      <c r="EPH135" s="562"/>
      <c r="EPI135" s="562"/>
      <c r="EPJ135" s="562"/>
      <c r="EPK135" s="562"/>
      <c r="EPL135" s="562"/>
      <c r="EPM135" s="562"/>
      <c r="EPN135" s="562"/>
      <c r="EPO135" s="562"/>
      <c r="EPP135" s="562"/>
      <c r="EPQ135" s="562"/>
      <c r="EPR135" s="562"/>
      <c r="EPS135" s="562"/>
      <c r="EPT135" s="562"/>
      <c r="EPU135" s="562"/>
      <c r="EPV135" s="562"/>
      <c r="EPW135" s="562"/>
      <c r="EPX135" s="562"/>
      <c r="EPY135" s="562"/>
      <c r="EPZ135" s="562"/>
      <c r="EQA135" s="562"/>
      <c r="EQB135" s="562"/>
      <c r="EQC135" s="562"/>
      <c r="EQD135" s="562"/>
      <c r="EQE135" s="562"/>
      <c r="EQF135" s="562"/>
      <c r="EQG135" s="562"/>
      <c r="EQH135" s="562"/>
      <c r="EQI135" s="562"/>
      <c r="EQJ135" s="562"/>
      <c r="EQK135" s="562"/>
      <c r="EQL135" s="562"/>
      <c r="EQM135" s="562"/>
      <c r="EQN135" s="562"/>
      <c r="EQO135" s="562"/>
      <c r="EQP135" s="562"/>
      <c r="EQQ135" s="562"/>
      <c r="EQR135" s="562"/>
      <c r="EQS135" s="562"/>
      <c r="EQT135" s="562"/>
      <c r="EQU135" s="562"/>
      <c r="EQV135" s="562"/>
      <c r="EQW135" s="562"/>
      <c r="EQX135" s="562"/>
      <c r="EQY135" s="562"/>
      <c r="EQZ135" s="562"/>
      <c r="ERA135" s="562"/>
      <c r="ERB135" s="562"/>
      <c r="ERC135" s="562"/>
      <c r="ERD135" s="562"/>
      <c r="ERE135" s="562"/>
      <c r="ERF135" s="562"/>
      <c r="ERG135" s="562"/>
      <c r="ERH135" s="562"/>
      <c r="ERI135" s="562"/>
      <c r="ERJ135" s="562"/>
      <c r="ERK135" s="562"/>
      <c r="ERL135" s="562"/>
      <c r="ERM135" s="562"/>
      <c r="ERN135" s="562"/>
      <c r="ERO135" s="562"/>
      <c r="ERP135" s="562"/>
      <c r="ERQ135" s="562"/>
      <c r="ERR135" s="562"/>
      <c r="ERS135" s="562"/>
      <c r="ERT135" s="562"/>
      <c r="ERU135" s="562"/>
      <c r="ERV135" s="562"/>
      <c r="ERW135" s="562"/>
      <c r="ERX135" s="562"/>
      <c r="ERY135" s="562"/>
      <c r="ERZ135" s="562"/>
      <c r="ESA135" s="562"/>
      <c r="ESB135" s="562"/>
      <c r="ESC135" s="562"/>
      <c r="ESD135" s="562"/>
      <c r="ESE135" s="562"/>
      <c r="ESF135" s="562"/>
      <c r="ESG135" s="562"/>
      <c r="ESH135" s="562"/>
      <c r="ESI135" s="562"/>
      <c r="ESJ135" s="562"/>
      <c r="ESK135" s="562"/>
      <c r="ESL135" s="562"/>
      <c r="ESM135" s="562"/>
      <c r="ESN135" s="562"/>
      <c r="ESO135" s="562"/>
      <c r="ESP135" s="562"/>
      <c r="ESQ135" s="562"/>
      <c r="ESR135" s="562"/>
      <c r="ESS135" s="562"/>
      <c r="EST135" s="562"/>
      <c r="ESU135" s="562"/>
      <c r="ESV135" s="562"/>
      <c r="ESW135" s="562"/>
      <c r="ESX135" s="562"/>
      <c r="ESY135" s="562"/>
      <c r="ESZ135" s="562"/>
      <c r="ETA135" s="562"/>
      <c r="ETB135" s="562"/>
      <c r="ETC135" s="562"/>
      <c r="ETD135" s="562"/>
      <c r="ETE135" s="562"/>
      <c r="ETF135" s="562"/>
      <c r="ETG135" s="562"/>
      <c r="ETH135" s="562"/>
      <c r="ETI135" s="562"/>
      <c r="ETJ135" s="562"/>
      <c r="ETK135" s="562"/>
      <c r="ETL135" s="562"/>
      <c r="ETM135" s="562"/>
      <c r="ETN135" s="562"/>
      <c r="ETO135" s="562"/>
      <c r="ETP135" s="562"/>
      <c r="ETQ135" s="562"/>
      <c r="ETR135" s="562"/>
      <c r="ETS135" s="562"/>
      <c r="ETT135" s="562"/>
      <c r="ETU135" s="562"/>
      <c r="ETV135" s="562"/>
      <c r="ETW135" s="562"/>
      <c r="ETX135" s="562"/>
      <c r="ETY135" s="562"/>
      <c r="ETZ135" s="562"/>
      <c r="EUA135" s="562"/>
      <c r="EUB135" s="562"/>
      <c r="EUC135" s="562"/>
      <c r="EUD135" s="562"/>
      <c r="EUE135" s="562"/>
      <c r="EUF135" s="562"/>
      <c r="EUG135" s="562"/>
      <c r="EUH135" s="562"/>
      <c r="EUI135" s="562"/>
      <c r="EUJ135" s="562"/>
      <c r="EUK135" s="562"/>
      <c r="EUL135" s="562"/>
      <c r="EUM135" s="562"/>
      <c r="EUN135" s="562"/>
      <c r="EUO135" s="562"/>
      <c r="EUP135" s="562"/>
      <c r="EUQ135" s="562"/>
      <c r="EUR135" s="562"/>
      <c r="EUS135" s="562"/>
      <c r="EUT135" s="562"/>
      <c r="EUU135" s="562"/>
      <c r="EUV135" s="562"/>
      <c r="EUW135" s="562"/>
      <c r="EUX135" s="562"/>
      <c r="EUY135" s="562"/>
      <c r="EUZ135" s="562"/>
      <c r="EVA135" s="562"/>
      <c r="EVB135" s="562"/>
      <c r="EVC135" s="562"/>
      <c r="EVD135" s="562"/>
      <c r="EVE135" s="562"/>
      <c r="EVF135" s="562"/>
      <c r="EVG135" s="562"/>
      <c r="EVH135" s="562"/>
      <c r="EVI135" s="562"/>
      <c r="EVJ135" s="562"/>
      <c r="EVK135" s="562"/>
      <c r="EVL135" s="562"/>
      <c r="EVM135" s="562"/>
      <c r="EVN135" s="562"/>
      <c r="EVO135" s="562"/>
      <c r="EVP135" s="562"/>
      <c r="EVQ135" s="562"/>
      <c r="EVR135" s="562"/>
      <c r="EVS135" s="562"/>
      <c r="EVT135" s="562"/>
      <c r="EVU135" s="562"/>
      <c r="EVV135" s="562"/>
      <c r="EVW135" s="562"/>
      <c r="EVX135" s="562"/>
      <c r="EVY135" s="562"/>
      <c r="EVZ135" s="562"/>
      <c r="EWA135" s="562"/>
      <c r="EWB135" s="562"/>
      <c r="EWC135" s="562"/>
      <c r="EWD135" s="562"/>
      <c r="EWE135" s="562"/>
      <c r="EWF135" s="562"/>
      <c r="EWG135" s="562"/>
      <c r="EWH135" s="562"/>
      <c r="EWI135" s="562"/>
      <c r="EWJ135" s="562"/>
      <c r="EWK135" s="562"/>
      <c r="EWL135" s="562"/>
      <c r="EWM135" s="562"/>
      <c r="EWN135" s="562"/>
      <c r="EWO135" s="562"/>
      <c r="EWP135" s="562"/>
      <c r="EWQ135" s="562"/>
      <c r="EWR135" s="562"/>
      <c r="EWS135" s="562"/>
      <c r="EWT135" s="562"/>
      <c r="EWU135" s="562"/>
      <c r="EWV135" s="562"/>
      <c r="EWW135" s="562"/>
      <c r="EWX135" s="562"/>
      <c r="EWY135" s="562"/>
      <c r="EWZ135" s="562"/>
      <c r="EXA135" s="562"/>
      <c r="EXB135" s="562"/>
      <c r="EXC135" s="562"/>
      <c r="EXD135" s="562"/>
      <c r="EXE135" s="562"/>
      <c r="EXF135" s="562"/>
      <c r="EXG135" s="562"/>
      <c r="EXH135" s="562"/>
      <c r="EXI135" s="562"/>
      <c r="EXJ135" s="562"/>
      <c r="EXK135" s="562"/>
      <c r="EXL135" s="562"/>
      <c r="EXM135" s="562"/>
      <c r="EXN135" s="562"/>
      <c r="EXO135" s="562"/>
      <c r="EXP135" s="562"/>
      <c r="EXQ135" s="562"/>
      <c r="EXR135" s="562"/>
      <c r="EXS135" s="562"/>
      <c r="EXT135" s="562"/>
      <c r="EXU135" s="562"/>
      <c r="EXV135" s="562"/>
      <c r="EXW135" s="562"/>
      <c r="EXX135" s="562"/>
      <c r="EXY135" s="562"/>
      <c r="EXZ135" s="562"/>
      <c r="EYA135" s="562"/>
      <c r="EYB135" s="562"/>
      <c r="EYC135" s="562"/>
      <c r="EYD135" s="562"/>
      <c r="EYE135" s="562"/>
      <c r="EYF135" s="562"/>
      <c r="EYG135" s="562"/>
      <c r="EYH135" s="562"/>
      <c r="EYI135" s="562"/>
      <c r="EYJ135" s="562"/>
      <c r="EYK135" s="562"/>
      <c r="EYL135" s="562"/>
      <c r="EYM135" s="562"/>
      <c r="EYN135" s="562"/>
      <c r="EYO135" s="562"/>
      <c r="EYP135" s="562"/>
      <c r="EYQ135" s="562"/>
      <c r="EYR135" s="562"/>
      <c r="EYS135" s="562"/>
      <c r="EYT135" s="562"/>
      <c r="EYU135" s="562"/>
      <c r="EYV135" s="562"/>
      <c r="EYW135" s="562"/>
      <c r="EYX135" s="562"/>
      <c r="EYY135" s="562"/>
      <c r="EYZ135" s="562"/>
      <c r="EZA135" s="562"/>
      <c r="EZB135" s="562"/>
      <c r="EZC135" s="562"/>
      <c r="EZD135" s="562"/>
      <c r="EZE135" s="562"/>
      <c r="EZF135" s="562"/>
      <c r="EZG135" s="562"/>
      <c r="EZH135" s="562"/>
      <c r="EZI135" s="562"/>
      <c r="EZJ135" s="562"/>
      <c r="EZK135" s="562"/>
      <c r="EZL135" s="562"/>
      <c r="EZM135" s="562"/>
      <c r="EZN135" s="562"/>
      <c r="EZO135" s="562"/>
      <c r="EZP135" s="562"/>
      <c r="EZQ135" s="562"/>
      <c r="EZR135" s="562"/>
      <c r="EZS135" s="562"/>
      <c r="EZT135" s="562"/>
      <c r="EZU135" s="562"/>
      <c r="EZV135" s="562"/>
      <c r="EZW135" s="562"/>
      <c r="EZX135" s="562"/>
      <c r="EZY135" s="562"/>
      <c r="EZZ135" s="562"/>
      <c r="FAA135" s="562"/>
      <c r="FAB135" s="562"/>
      <c r="FAC135" s="562"/>
      <c r="FAD135" s="562"/>
      <c r="FAE135" s="562"/>
      <c r="FAF135" s="562"/>
      <c r="FAG135" s="562"/>
      <c r="FAH135" s="562"/>
      <c r="FAI135" s="562"/>
      <c r="FAJ135" s="562"/>
      <c r="FAK135" s="562"/>
      <c r="FAL135" s="562"/>
      <c r="FAM135" s="562"/>
      <c r="FAN135" s="562"/>
      <c r="FAO135" s="562"/>
      <c r="FAP135" s="562"/>
      <c r="FAQ135" s="562"/>
      <c r="FAR135" s="562"/>
      <c r="FAS135" s="562"/>
      <c r="FAT135" s="562"/>
      <c r="FAU135" s="562"/>
      <c r="FAV135" s="562"/>
      <c r="FAW135" s="562"/>
      <c r="FAX135" s="562"/>
      <c r="FAY135" s="562"/>
      <c r="FAZ135" s="562"/>
      <c r="FBA135" s="562"/>
      <c r="FBB135" s="562"/>
      <c r="FBC135" s="562"/>
      <c r="FBD135" s="562"/>
      <c r="FBE135" s="562"/>
      <c r="FBF135" s="562"/>
      <c r="FBG135" s="562"/>
      <c r="FBH135" s="562"/>
      <c r="FBI135" s="562"/>
      <c r="FBJ135" s="562"/>
      <c r="FBK135" s="562"/>
      <c r="FBL135" s="562"/>
      <c r="FBM135" s="562"/>
      <c r="FBN135" s="562"/>
      <c r="FBO135" s="562"/>
      <c r="FBP135" s="562"/>
      <c r="FBQ135" s="562"/>
      <c r="FBR135" s="562"/>
      <c r="FBS135" s="562"/>
      <c r="FBT135" s="562"/>
      <c r="FBU135" s="562"/>
      <c r="FBV135" s="562"/>
      <c r="FBW135" s="562"/>
      <c r="FBX135" s="562"/>
      <c r="FBY135" s="562"/>
      <c r="FBZ135" s="562"/>
      <c r="FCA135" s="562"/>
      <c r="FCB135" s="562"/>
      <c r="FCC135" s="562"/>
      <c r="FCD135" s="562"/>
      <c r="FCE135" s="562"/>
      <c r="FCF135" s="562"/>
      <c r="FCG135" s="562"/>
      <c r="FCH135" s="562"/>
      <c r="FCI135" s="562"/>
      <c r="FCJ135" s="562"/>
      <c r="FCK135" s="562"/>
      <c r="FCL135" s="562"/>
      <c r="FCM135" s="562"/>
      <c r="FCN135" s="562"/>
      <c r="FCO135" s="562"/>
      <c r="FCP135" s="562"/>
      <c r="FCQ135" s="562"/>
      <c r="FCR135" s="562"/>
      <c r="FCS135" s="562"/>
      <c r="FCT135" s="562"/>
      <c r="FCU135" s="562"/>
      <c r="FCV135" s="562"/>
      <c r="FCW135" s="562"/>
      <c r="FCX135" s="562"/>
      <c r="FCY135" s="562"/>
      <c r="FCZ135" s="562"/>
      <c r="FDA135" s="562"/>
      <c r="FDB135" s="562"/>
      <c r="FDC135" s="562"/>
      <c r="FDD135" s="562"/>
      <c r="FDE135" s="562"/>
      <c r="FDF135" s="562"/>
      <c r="FDG135" s="562"/>
      <c r="FDH135" s="562"/>
      <c r="FDI135" s="562"/>
      <c r="FDJ135" s="562"/>
      <c r="FDK135" s="562"/>
      <c r="FDL135" s="562"/>
      <c r="FDM135" s="562"/>
      <c r="FDN135" s="562"/>
      <c r="FDO135" s="562"/>
      <c r="FDP135" s="562"/>
      <c r="FDQ135" s="562"/>
      <c r="FDR135" s="562"/>
      <c r="FDS135" s="562"/>
      <c r="FDT135" s="562"/>
      <c r="FDU135" s="562"/>
      <c r="FDV135" s="562"/>
      <c r="FDW135" s="562"/>
      <c r="FDX135" s="562"/>
      <c r="FDY135" s="562"/>
      <c r="FDZ135" s="562"/>
      <c r="FEA135" s="562"/>
      <c r="FEB135" s="562"/>
      <c r="FEC135" s="562"/>
      <c r="FED135" s="562"/>
      <c r="FEE135" s="562"/>
      <c r="FEF135" s="562"/>
      <c r="FEG135" s="562"/>
      <c r="FEH135" s="562"/>
      <c r="FEI135" s="562"/>
      <c r="FEJ135" s="562"/>
      <c r="FEK135" s="562"/>
      <c r="FEL135" s="562"/>
      <c r="FEM135" s="562"/>
      <c r="FEN135" s="562"/>
      <c r="FEO135" s="562"/>
      <c r="FEP135" s="562"/>
      <c r="FEQ135" s="562"/>
      <c r="FER135" s="562"/>
      <c r="FES135" s="562"/>
      <c r="FET135" s="562"/>
      <c r="FEU135" s="562"/>
      <c r="FEV135" s="562"/>
      <c r="FEW135" s="562"/>
      <c r="FEX135" s="562"/>
      <c r="FEY135" s="562"/>
      <c r="FEZ135" s="562"/>
      <c r="FFA135" s="562"/>
      <c r="FFB135" s="562"/>
      <c r="FFC135" s="562"/>
      <c r="FFD135" s="562"/>
      <c r="FFE135" s="562"/>
      <c r="FFF135" s="562"/>
      <c r="FFG135" s="562"/>
      <c r="FFH135" s="562"/>
      <c r="FFI135" s="562"/>
      <c r="FFJ135" s="562"/>
      <c r="FFK135" s="562"/>
      <c r="FFL135" s="562"/>
      <c r="FFM135" s="562"/>
      <c r="FFN135" s="562"/>
      <c r="FFO135" s="562"/>
      <c r="FFP135" s="562"/>
      <c r="FFQ135" s="562"/>
      <c r="FFR135" s="562"/>
      <c r="FFS135" s="562"/>
      <c r="FFT135" s="562"/>
      <c r="FFU135" s="562"/>
      <c r="FFV135" s="562"/>
      <c r="FFW135" s="562"/>
      <c r="FFX135" s="562"/>
      <c r="FFY135" s="562"/>
      <c r="FFZ135" s="562"/>
      <c r="FGA135" s="562"/>
      <c r="FGB135" s="562"/>
      <c r="FGC135" s="562"/>
      <c r="FGD135" s="562"/>
      <c r="FGE135" s="562"/>
      <c r="FGF135" s="562"/>
      <c r="FGG135" s="562"/>
      <c r="FGH135" s="562"/>
      <c r="FGI135" s="562"/>
      <c r="FGJ135" s="562"/>
      <c r="FGK135" s="562"/>
      <c r="FGL135" s="562"/>
      <c r="FGM135" s="562"/>
      <c r="FGN135" s="562"/>
      <c r="FGO135" s="562"/>
      <c r="FGP135" s="562"/>
      <c r="FGQ135" s="562"/>
      <c r="FGR135" s="562"/>
      <c r="FGS135" s="562"/>
      <c r="FGT135" s="562"/>
      <c r="FGU135" s="562"/>
      <c r="FGV135" s="562"/>
      <c r="FGW135" s="562"/>
      <c r="FGX135" s="562"/>
      <c r="FGY135" s="562"/>
      <c r="FGZ135" s="562"/>
      <c r="FHA135" s="562"/>
      <c r="FHB135" s="562"/>
      <c r="FHC135" s="562"/>
      <c r="FHD135" s="562"/>
      <c r="FHE135" s="562"/>
      <c r="FHF135" s="562"/>
      <c r="FHG135" s="562"/>
      <c r="FHH135" s="562"/>
      <c r="FHI135" s="562"/>
      <c r="FHJ135" s="562"/>
      <c r="FHK135" s="562"/>
      <c r="FHL135" s="562"/>
      <c r="FHM135" s="562"/>
      <c r="FHN135" s="562"/>
      <c r="FHO135" s="562"/>
      <c r="FHP135" s="562"/>
      <c r="FHQ135" s="562"/>
      <c r="FHR135" s="562"/>
      <c r="FHS135" s="562"/>
      <c r="FHT135" s="562"/>
      <c r="FHU135" s="562"/>
      <c r="FHV135" s="562"/>
      <c r="FHW135" s="562"/>
      <c r="FHX135" s="562"/>
      <c r="FHY135" s="562"/>
      <c r="FHZ135" s="562"/>
      <c r="FIA135" s="562"/>
      <c r="FIB135" s="562"/>
      <c r="FIC135" s="562"/>
      <c r="FID135" s="562"/>
      <c r="FIE135" s="562"/>
      <c r="FIF135" s="562"/>
      <c r="FIG135" s="562"/>
      <c r="FIH135" s="562"/>
      <c r="FII135" s="562"/>
      <c r="FIJ135" s="562"/>
      <c r="FIK135" s="562"/>
      <c r="FIL135" s="562"/>
      <c r="FIM135" s="562"/>
      <c r="FIN135" s="562"/>
      <c r="FIO135" s="562"/>
      <c r="FIP135" s="562"/>
      <c r="FIQ135" s="562"/>
      <c r="FIR135" s="562"/>
      <c r="FIS135" s="562"/>
      <c r="FIT135" s="562"/>
      <c r="FIU135" s="562"/>
      <c r="FIV135" s="562"/>
      <c r="FIW135" s="562"/>
      <c r="FIX135" s="562"/>
      <c r="FIY135" s="562"/>
      <c r="FIZ135" s="562"/>
      <c r="FJA135" s="562"/>
      <c r="FJB135" s="562"/>
      <c r="FJC135" s="562"/>
      <c r="FJD135" s="562"/>
      <c r="FJE135" s="562"/>
      <c r="FJF135" s="562"/>
      <c r="FJG135" s="562"/>
      <c r="FJH135" s="562"/>
      <c r="FJI135" s="562"/>
      <c r="FJJ135" s="562"/>
      <c r="FJK135" s="562"/>
      <c r="FJL135" s="562"/>
      <c r="FJM135" s="562"/>
      <c r="FJN135" s="562"/>
      <c r="FJO135" s="562"/>
      <c r="FJP135" s="562"/>
      <c r="FJQ135" s="562"/>
      <c r="FJR135" s="562"/>
      <c r="FJS135" s="562"/>
      <c r="FJT135" s="562"/>
      <c r="FJU135" s="562"/>
      <c r="FJV135" s="562"/>
      <c r="FJW135" s="562"/>
      <c r="FJX135" s="562"/>
      <c r="FJY135" s="562"/>
      <c r="FJZ135" s="562"/>
      <c r="FKA135" s="562"/>
      <c r="FKB135" s="562"/>
      <c r="FKC135" s="562"/>
      <c r="FKD135" s="562"/>
      <c r="FKE135" s="562"/>
      <c r="FKF135" s="562"/>
      <c r="FKG135" s="562"/>
      <c r="FKH135" s="562"/>
      <c r="FKI135" s="562"/>
      <c r="FKJ135" s="562"/>
      <c r="FKK135" s="562"/>
      <c r="FKL135" s="562"/>
      <c r="FKM135" s="562"/>
      <c r="FKN135" s="562"/>
      <c r="FKO135" s="562"/>
      <c r="FKP135" s="562"/>
      <c r="FKQ135" s="562"/>
      <c r="FKR135" s="562"/>
      <c r="FKS135" s="562"/>
      <c r="FKT135" s="562"/>
      <c r="FKU135" s="562"/>
      <c r="FKV135" s="562"/>
      <c r="FKW135" s="562"/>
      <c r="FKX135" s="562"/>
      <c r="FKY135" s="562"/>
      <c r="FKZ135" s="562"/>
      <c r="FLA135" s="562"/>
      <c r="FLB135" s="562"/>
      <c r="FLC135" s="562"/>
      <c r="FLD135" s="562"/>
      <c r="FLE135" s="562"/>
      <c r="FLF135" s="562"/>
      <c r="FLG135" s="562"/>
      <c r="FLH135" s="562"/>
      <c r="FLI135" s="562"/>
      <c r="FLJ135" s="562"/>
      <c r="FLK135" s="562"/>
      <c r="FLL135" s="562"/>
      <c r="FLM135" s="562"/>
      <c r="FLN135" s="562"/>
      <c r="FLO135" s="562"/>
      <c r="FLP135" s="562"/>
      <c r="FLQ135" s="562"/>
      <c r="FLR135" s="562"/>
      <c r="FLS135" s="562"/>
      <c r="FLT135" s="562"/>
      <c r="FLU135" s="562"/>
      <c r="FLV135" s="562"/>
      <c r="FLW135" s="562"/>
      <c r="FLX135" s="562"/>
      <c r="FLY135" s="562"/>
      <c r="FLZ135" s="562"/>
      <c r="FMA135" s="562"/>
      <c r="FMB135" s="562"/>
      <c r="FMC135" s="562"/>
      <c r="FMD135" s="562"/>
      <c r="FME135" s="562"/>
      <c r="FMF135" s="562"/>
      <c r="FMG135" s="562"/>
      <c r="FMH135" s="562"/>
      <c r="FMI135" s="562"/>
      <c r="FMJ135" s="562"/>
      <c r="FMK135" s="562"/>
      <c r="FML135" s="562"/>
      <c r="FMM135" s="562"/>
      <c r="FMN135" s="562"/>
      <c r="FMO135" s="562"/>
      <c r="FMP135" s="562"/>
      <c r="FMQ135" s="562"/>
      <c r="FMR135" s="562"/>
      <c r="FMS135" s="562"/>
      <c r="FMT135" s="562"/>
      <c r="FMU135" s="562"/>
      <c r="FMV135" s="562"/>
      <c r="FMW135" s="562"/>
      <c r="FMX135" s="562"/>
      <c r="FMY135" s="562"/>
      <c r="FMZ135" s="562"/>
      <c r="FNA135" s="562"/>
      <c r="FNB135" s="562"/>
      <c r="FNC135" s="562"/>
      <c r="FND135" s="562"/>
      <c r="FNE135" s="562"/>
      <c r="FNF135" s="562"/>
      <c r="FNG135" s="562"/>
      <c r="FNH135" s="562"/>
      <c r="FNI135" s="562"/>
      <c r="FNJ135" s="562"/>
      <c r="FNK135" s="562"/>
      <c r="FNL135" s="562"/>
      <c r="FNM135" s="562"/>
      <c r="FNN135" s="562"/>
      <c r="FNO135" s="562"/>
      <c r="FNP135" s="562"/>
      <c r="FNQ135" s="562"/>
      <c r="FNR135" s="562"/>
      <c r="FNS135" s="562"/>
      <c r="FNT135" s="562"/>
      <c r="FNU135" s="562"/>
      <c r="FNV135" s="562"/>
      <c r="FNW135" s="562"/>
      <c r="FNX135" s="562"/>
      <c r="FNY135" s="562"/>
      <c r="FNZ135" s="562"/>
      <c r="FOA135" s="562"/>
      <c r="FOB135" s="562"/>
      <c r="FOC135" s="562"/>
      <c r="FOD135" s="562"/>
      <c r="FOE135" s="562"/>
      <c r="FOF135" s="562"/>
      <c r="FOG135" s="562"/>
      <c r="FOH135" s="562"/>
      <c r="FOI135" s="562"/>
      <c r="FOJ135" s="562"/>
      <c r="FOK135" s="562"/>
      <c r="FOL135" s="562"/>
      <c r="FOM135" s="562"/>
      <c r="FON135" s="562"/>
      <c r="FOO135" s="562"/>
      <c r="FOP135" s="562"/>
      <c r="FOQ135" s="562"/>
      <c r="FOR135" s="562"/>
      <c r="FOS135" s="562"/>
      <c r="FOT135" s="562"/>
      <c r="FOU135" s="562"/>
      <c r="FOV135" s="562"/>
      <c r="FOW135" s="562"/>
      <c r="FOX135" s="562"/>
      <c r="FOY135" s="562"/>
      <c r="FOZ135" s="562"/>
      <c r="FPA135" s="562"/>
      <c r="FPB135" s="562"/>
      <c r="FPC135" s="562"/>
      <c r="FPD135" s="562"/>
      <c r="FPE135" s="562"/>
      <c r="FPF135" s="562"/>
      <c r="FPG135" s="562"/>
      <c r="FPH135" s="562"/>
      <c r="FPI135" s="562"/>
      <c r="FPJ135" s="562"/>
      <c r="FPK135" s="562"/>
      <c r="FPL135" s="562"/>
      <c r="FPM135" s="562"/>
      <c r="FPN135" s="562"/>
      <c r="FPO135" s="562"/>
      <c r="FPP135" s="562"/>
      <c r="FPQ135" s="562"/>
      <c r="FPR135" s="562"/>
      <c r="FPS135" s="562"/>
      <c r="FPT135" s="562"/>
      <c r="FPU135" s="562"/>
      <c r="FPV135" s="562"/>
      <c r="FPW135" s="562"/>
      <c r="FPX135" s="562"/>
      <c r="FPY135" s="562"/>
      <c r="FPZ135" s="562"/>
      <c r="FQA135" s="562"/>
      <c r="FQB135" s="562"/>
      <c r="FQC135" s="562"/>
      <c r="FQD135" s="562"/>
      <c r="FQE135" s="562"/>
      <c r="FQF135" s="562"/>
      <c r="FQG135" s="562"/>
      <c r="FQH135" s="562"/>
      <c r="FQI135" s="562"/>
      <c r="FQJ135" s="562"/>
      <c r="FQK135" s="562"/>
      <c r="FQL135" s="562"/>
      <c r="FQM135" s="562"/>
      <c r="FQN135" s="562"/>
      <c r="FQO135" s="562"/>
      <c r="FQP135" s="562"/>
      <c r="FQQ135" s="562"/>
      <c r="FQR135" s="562"/>
      <c r="FQS135" s="562"/>
      <c r="FQT135" s="562"/>
      <c r="FQU135" s="562"/>
      <c r="FQV135" s="562"/>
      <c r="FQW135" s="562"/>
      <c r="FQX135" s="562"/>
      <c r="FQY135" s="562"/>
      <c r="FQZ135" s="562"/>
      <c r="FRA135" s="562"/>
      <c r="FRB135" s="562"/>
      <c r="FRC135" s="562"/>
      <c r="FRD135" s="562"/>
      <c r="FRE135" s="562"/>
      <c r="FRF135" s="562"/>
      <c r="FRG135" s="562"/>
      <c r="FRH135" s="562"/>
      <c r="FRI135" s="562"/>
      <c r="FRJ135" s="562"/>
      <c r="FRK135" s="562"/>
      <c r="FRL135" s="562"/>
      <c r="FRM135" s="562"/>
      <c r="FRN135" s="562"/>
      <c r="FRO135" s="562"/>
      <c r="FRP135" s="562"/>
      <c r="FRQ135" s="562"/>
      <c r="FRR135" s="562"/>
      <c r="FRS135" s="562"/>
      <c r="FRT135" s="562"/>
      <c r="FRU135" s="562"/>
      <c r="FRV135" s="562"/>
      <c r="FRW135" s="562"/>
      <c r="FRX135" s="562"/>
      <c r="FRY135" s="562"/>
      <c r="FRZ135" s="562"/>
      <c r="FSA135" s="562"/>
      <c r="FSB135" s="562"/>
      <c r="FSC135" s="562"/>
      <c r="FSD135" s="562"/>
      <c r="FSE135" s="562"/>
      <c r="FSF135" s="562"/>
      <c r="FSG135" s="562"/>
      <c r="FSH135" s="562"/>
      <c r="FSI135" s="562"/>
      <c r="FSJ135" s="562"/>
      <c r="FSK135" s="562"/>
      <c r="FSL135" s="562"/>
      <c r="FSM135" s="562"/>
      <c r="FSN135" s="562"/>
      <c r="FSO135" s="562"/>
      <c r="FSP135" s="562"/>
      <c r="FSQ135" s="562"/>
      <c r="FSR135" s="562"/>
      <c r="FSS135" s="562"/>
      <c r="FST135" s="562"/>
      <c r="FSU135" s="562"/>
      <c r="FSV135" s="562"/>
      <c r="FSW135" s="562"/>
      <c r="FSX135" s="562"/>
      <c r="FSY135" s="562"/>
      <c r="FSZ135" s="562"/>
      <c r="FTA135" s="562"/>
      <c r="FTB135" s="562"/>
      <c r="FTC135" s="562"/>
      <c r="FTD135" s="562"/>
      <c r="FTE135" s="562"/>
      <c r="FTF135" s="562"/>
      <c r="FTG135" s="562"/>
      <c r="FTH135" s="562"/>
      <c r="FTI135" s="562"/>
      <c r="FTJ135" s="562"/>
      <c r="FTK135" s="562"/>
      <c r="FTL135" s="562"/>
      <c r="FTM135" s="562"/>
      <c r="FTN135" s="562"/>
      <c r="FTO135" s="562"/>
      <c r="FTP135" s="562"/>
      <c r="FTQ135" s="562"/>
      <c r="FTR135" s="562"/>
      <c r="FTS135" s="562"/>
      <c r="FTT135" s="562"/>
      <c r="FTU135" s="562"/>
      <c r="FTV135" s="562"/>
      <c r="FTW135" s="562"/>
      <c r="FTX135" s="562"/>
      <c r="FTY135" s="562"/>
      <c r="FTZ135" s="562"/>
      <c r="FUA135" s="562"/>
      <c r="FUB135" s="562"/>
      <c r="FUC135" s="562"/>
      <c r="FUD135" s="562"/>
      <c r="FUE135" s="562"/>
      <c r="FUF135" s="562"/>
      <c r="FUG135" s="562"/>
      <c r="FUH135" s="562"/>
      <c r="FUI135" s="562"/>
      <c r="FUJ135" s="562"/>
      <c r="FUK135" s="562"/>
      <c r="FUL135" s="562"/>
      <c r="FUM135" s="562"/>
      <c r="FUN135" s="562"/>
      <c r="FUO135" s="562"/>
      <c r="FUP135" s="562"/>
      <c r="FUQ135" s="562"/>
      <c r="FUR135" s="562"/>
      <c r="FUS135" s="562"/>
      <c r="FUT135" s="562"/>
      <c r="FUU135" s="562"/>
      <c r="FUV135" s="562"/>
      <c r="FUW135" s="562"/>
      <c r="FUX135" s="562"/>
      <c r="FUY135" s="562"/>
      <c r="FUZ135" s="562"/>
      <c r="FVA135" s="562"/>
      <c r="FVB135" s="562"/>
      <c r="FVC135" s="562"/>
      <c r="FVD135" s="562"/>
      <c r="FVE135" s="562"/>
      <c r="FVF135" s="562"/>
      <c r="FVG135" s="562"/>
      <c r="FVH135" s="562"/>
      <c r="FVI135" s="562"/>
      <c r="FVJ135" s="562"/>
      <c r="FVK135" s="562"/>
      <c r="FVL135" s="562"/>
      <c r="FVM135" s="562"/>
      <c r="FVN135" s="562"/>
      <c r="FVO135" s="562"/>
      <c r="FVP135" s="562"/>
      <c r="FVQ135" s="562"/>
      <c r="FVR135" s="562"/>
      <c r="FVS135" s="562"/>
      <c r="FVT135" s="562"/>
      <c r="FVU135" s="562"/>
      <c r="FVV135" s="562"/>
      <c r="FVW135" s="562"/>
      <c r="FVX135" s="562"/>
      <c r="FVY135" s="562"/>
      <c r="FVZ135" s="562"/>
      <c r="FWA135" s="562"/>
      <c r="FWB135" s="562"/>
      <c r="FWC135" s="562"/>
      <c r="FWD135" s="562"/>
      <c r="FWE135" s="562"/>
      <c r="FWF135" s="562"/>
      <c r="FWG135" s="562"/>
      <c r="FWH135" s="562"/>
      <c r="FWI135" s="562"/>
      <c r="FWJ135" s="562"/>
      <c r="FWK135" s="562"/>
      <c r="FWL135" s="562"/>
      <c r="FWM135" s="562"/>
      <c r="FWN135" s="562"/>
      <c r="FWO135" s="562"/>
      <c r="FWP135" s="562"/>
      <c r="FWQ135" s="562"/>
      <c r="FWR135" s="562"/>
      <c r="FWS135" s="562"/>
      <c r="FWT135" s="562"/>
      <c r="FWU135" s="562"/>
      <c r="FWV135" s="562"/>
      <c r="FWW135" s="562"/>
      <c r="FWX135" s="562"/>
      <c r="FWY135" s="562"/>
      <c r="FWZ135" s="562"/>
      <c r="FXA135" s="562"/>
      <c r="FXB135" s="562"/>
      <c r="FXC135" s="562"/>
      <c r="FXD135" s="562"/>
      <c r="FXE135" s="562"/>
      <c r="FXF135" s="562"/>
      <c r="FXG135" s="562"/>
      <c r="FXH135" s="562"/>
      <c r="FXI135" s="562"/>
      <c r="FXJ135" s="562"/>
      <c r="FXK135" s="562"/>
      <c r="FXL135" s="562"/>
      <c r="FXM135" s="562"/>
      <c r="FXN135" s="562"/>
      <c r="FXO135" s="562"/>
      <c r="FXP135" s="562"/>
      <c r="FXQ135" s="562"/>
      <c r="FXR135" s="562"/>
      <c r="FXS135" s="562"/>
      <c r="FXT135" s="562"/>
      <c r="FXU135" s="562"/>
      <c r="FXV135" s="562"/>
      <c r="FXW135" s="562"/>
      <c r="FXX135" s="562"/>
      <c r="FXY135" s="562"/>
      <c r="FXZ135" s="562"/>
      <c r="FYA135" s="562"/>
      <c r="FYB135" s="562"/>
      <c r="FYC135" s="562"/>
      <c r="FYD135" s="562"/>
      <c r="FYE135" s="562"/>
      <c r="FYF135" s="562"/>
      <c r="FYG135" s="562"/>
      <c r="FYH135" s="562"/>
      <c r="FYI135" s="562"/>
      <c r="FYJ135" s="562"/>
      <c r="FYK135" s="562"/>
      <c r="FYL135" s="562"/>
      <c r="FYM135" s="562"/>
      <c r="FYN135" s="562"/>
      <c r="FYO135" s="562"/>
      <c r="FYP135" s="562"/>
      <c r="FYQ135" s="562"/>
      <c r="FYR135" s="562"/>
      <c r="FYS135" s="562"/>
      <c r="FYT135" s="562"/>
      <c r="FYU135" s="562"/>
      <c r="FYV135" s="562"/>
      <c r="FYW135" s="562"/>
      <c r="FYX135" s="562"/>
      <c r="FYY135" s="562"/>
      <c r="FYZ135" s="562"/>
      <c r="FZA135" s="562"/>
      <c r="FZB135" s="562"/>
      <c r="FZC135" s="562"/>
      <c r="FZD135" s="562"/>
      <c r="FZE135" s="562"/>
      <c r="FZF135" s="562"/>
      <c r="FZG135" s="562"/>
      <c r="FZH135" s="562"/>
      <c r="FZI135" s="562"/>
      <c r="FZJ135" s="562"/>
      <c r="FZK135" s="562"/>
      <c r="FZL135" s="562"/>
      <c r="FZM135" s="562"/>
      <c r="FZN135" s="562"/>
      <c r="FZO135" s="562"/>
      <c r="FZP135" s="562"/>
      <c r="FZQ135" s="562"/>
      <c r="FZR135" s="562"/>
      <c r="FZS135" s="562"/>
      <c r="FZT135" s="562"/>
      <c r="FZU135" s="562"/>
      <c r="FZV135" s="562"/>
      <c r="FZW135" s="562"/>
      <c r="FZX135" s="562"/>
      <c r="FZY135" s="562"/>
      <c r="FZZ135" s="562"/>
      <c r="GAA135" s="562"/>
      <c r="GAB135" s="562"/>
      <c r="GAC135" s="562"/>
      <c r="GAD135" s="562"/>
      <c r="GAE135" s="562"/>
      <c r="GAF135" s="562"/>
      <c r="GAG135" s="562"/>
      <c r="GAH135" s="562"/>
      <c r="GAI135" s="562"/>
      <c r="GAJ135" s="562"/>
      <c r="GAK135" s="562"/>
      <c r="GAL135" s="562"/>
      <c r="GAM135" s="562"/>
      <c r="GAN135" s="562"/>
      <c r="GAO135" s="562"/>
      <c r="GAP135" s="562"/>
      <c r="GAQ135" s="562"/>
      <c r="GAR135" s="562"/>
      <c r="GAS135" s="562"/>
      <c r="GAT135" s="562"/>
      <c r="GAU135" s="562"/>
      <c r="GAV135" s="562"/>
      <c r="GAW135" s="562"/>
      <c r="GAX135" s="562"/>
      <c r="GAY135" s="562"/>
      <c r="GAZ135" s="562"/>
      <c r="GBA135" s="562"/>
      <c r="GBB135" s="562"/>
      <c r="GBC135" s="562"/>
      <c r="GBD135" s="562"/>
      <c r="GBE135" s="562"/>
      <c r="GBF135" s="562"/>
      <c r="GBG135" s="562"/>
      <c r="GBH135" s="562"/>
      <c r="GBI135" s="562"/>
      <c r="GBJ135" s="562"/>
      <c r="GBK135" s="562"/>
      <c r="GBL135" s="562"/>
      <c r="GBM135" s="562"/>
      <c r="GBN135" s="562"/>
      <c r="GBO135" s="562"/>
      <c r="GBP135" s="562"/>
      <c r="GBQ135" s="562"/>
      <c r="GBR135" s="562"/>
      <c r="GBS135" s="562"/>
      <c r="GBT135" s="562"/>
      <c r="GBU135" s="562"/>
      <c r="GBV135" s="562"/>
      <c r="GBW135" s="562"/>
      <c r="GBX135" s="562"/>
      <c r="GBY135" s="562"/>
      <c r="GBZ135" s="562"/>
      <c r="GCA135" s="562"/>
      <c r="GCB135" s="562"/>
      <c r="GCC135" s="562"/>
      <c r="GCD135" s="562"/>
      <c r="GCE135" s="562"/>
      <c r="GCF135" s="562"/>
      <c r="GCG135" s="562"/>
      <c r="GCH135" s="562"/>
      <c r="GCI135" s="562"/>
      <c r="GCJ135" s="562"/>
      <c r="GCK135" s="562"/>
      <c r="GCL135" s="562"/>
      <c r="GCM135" s="562"/>
      <c r="GCN135" s="562"/>
      <c r="GCO135" s="562"/>
      <c r="GCP135" s="562"/>
      <c r="GCQ135" s="562"/>
      <c r="GCR135" s="562"/>
      <c r="GCS135" s="562"/>
      <c r="GCT135" s="562"/>
      <c r="GCU135" s="562"/>
      <c r="GCV135" s="562"/>
      <c r="GCW135" s="562"/>
      <c r="GCX135" s="562"/>
      <c r="GCY135" s="562"/>
      <c r="GCZ135" s="562"/>
      <c r="GDA135" s="562"/>
      <c r="GDB135" s="562"/>
      <c r="GDC135" s="562"/>
      <c r="GDD135" s="562"/>
      <c r="GDE135" s="562"/>
      <c r="GDF135" s="562"/>
      <c r="GDG135" s="562"/>
      <c r="GDH135" s="562"/>
      <c r="GDI135" s="562"/>
      <c r="GDJ135" s="562"/>
      <c r="GDK135" s="562"/>
      <c r="GDL135" s="562"/>
      <c r="GDM135" s="562"/>
      <c r="GDN135" s="562"/>
      <c r="GDO135" s="562"/>
      <c r="GDP135" s="562"/>
      <c r="GDQ135" s="562"/>
      <c r="GDR135" s="562"/>
      <c r="GDS135" s="562"/>
      <c r="GDT135" s="562"/>
      <c r="GDU135" s="562"/>
      <c r="GDV135" s="562"/>
      <c r="GDW135" s="562"/>
      <c r="GDX135" s="562"/>
      <c r="GDY135" s="562"/>
      <c r="GDZ135" s="562"/>
      <c r="GEA135" s="562"/>
      <c r="GEB135" s="562"/>
      <c r="GEC135" s="562"/>
      <c r="GED135" s="562"/>
      <c r="GEE135" s="562"/>
      <c r="GEF135" s="562"/>
      <c r="GEG135" s="562"/>
      <c r="GEH135" s="562"/>
      <c r="GEI135" s="562"/>
      <c r="GEJ135" s="562"/>
      <c r="GEK135" s="562"/>
      <c r="GEL135" s="562"/>
      <c r="GEM135" s="562"/>
      <c r="GEN135" s="562"/>
      <c r="GEO135" s="562"/>
      <c r="GEP135" s="562"/>
      <c r="GEQ135" s="562"/>
      <c r="GER135" s="562"/>
      <c r="GES135" s="562"/>
      <c r="GET135" s="562"/>
      <c r="GEU135" s="562"/>
      <c r="GEV135" s="562"/>
      <c r="GEW135" s="562"/>
      <c r="GEX135" s="562"/>
      <c r="GEY135" s="562"/>
      <c r="GEZ135" s="562"/>
      <c r="GFA135" s="562"/>
      <c r="GFB135" s="562"/>
      <c r="GFC135" s="562"/>
      <c r="GFD135" s="562"/>
      <c r="GFE135" s="562"/>
      <c r="GFF135" s="562"/>
      <c r="GFG135" s="562"/>
      <c r="GFH135" s="562"/>
      <c r="GFI135" s="562"/>
      <c r="GFJ135" s="562"/>
      <c r="GFK135" s="562"/>
      <c r="GFL135" s="562"/>
      <c r="GFM135" s="562"/>
      <c r="GFN135" s="562"/>
      <c r="GFO135" s="562"/>
      <c r="GFP135" s="562"/>
      <c r="GFQ135" s="562"/>
      <c r="GFR135" s="562"/>
      <c r="GFS135" s="562"/>
      <c r="GFT135" s="562"/>
      <c r="GFU135" s="562"/>
      <c r="GFV135" s="562"/>
      <c r="GFW135" s="562"/>
      <c r="GFX135" s="562"/>
      <c r="GFY135" s="562"/>
      <c r="GFZ135" s="562"/>
      <c r="GGA135" s="562"/>
      <c r="GGB135" s="562"/>
      <c r="GGC135" s="562"/>
      <c r="GGD135" s="562"/>
      <c r="GGE135" s="562"/>
      <c r="GGF135" s="562"/>
      <c r="GGG135" s="562"/>
      <c r="GGH135" s="562"/>
      <c r="GGI135" s="562"/>
      <c r="GGJ135" s="562"/>
      <c r="GGK135" s="562"/>
      <c r="GGL135" s="562"/>
      <c r="GGM135" s="562"/>
      <c r="GGN135" s="562"/>
      <c r="GGO135" s="562"/>
      <c r="GGP135" s="562"/>
      <c r="GGQ135" s="562"/>
      <c r="GGR135" s="562"/>
      <c r="GGS135" s="562"/>
      <c r="GGT135" s="562"/>
      <c r="GGU135" s="562"/>
      <c r="GGV135" s="562"/>
      <c r="GGW135" s="562"/>
      <c r="GGX135" s="562"/>
      <c r="GGY135" s="562"/>
      <c r="GGZ135" s="562"/>
      <c r="GHA135" s="562"/>
      <c r="GHB135" s="562"/>
      <c r="GHC135" s="562"/>
      <c r="GHD135" s="562"/>
      <c r="GHE135" s="562"/>
      <c r="GHF135" s="562"/>
      <c r="GHG135" s="562"/>
      <c r="GHH135" s="562"/>
      <c r="GHI135" s="562"/>
      <c r="GHJ135" s="562"/>
      <c r="GHK135" s="562"/>
      <c r="GHL135" s="562"/>
      <c r="GHM135" s="562"/>
      <c r="GHN135" s="562"/>
      <c r="GHO135" s="562"/>
      <c r="GHP135" s="562"/>
      <c r="GHQ135" s="562"/>
      <c r="GHR135" s="562"/>
      <c r="GHS135" s="562"/>
      <c r="GHT135" s="562"/>
      <c r="GHU135" s="562"/>
      <c r="GHV135" s="562"/>
      <c r="GHW135" s="562"/>
      <c r="GHX135" s="562"/>
      <c r="GHY135" s="562"/>
      <c r="GHZ135" s="562"/>
      <c r="GIA135" s="562"/>
      <c r="GIB135" s="562"/>
      <c r="GIC135" s="562"/>
      <c r="GID135" s="562"/>
      <c r="GIE135" s="562"/>
      <c r="GIF135" s="562"/>
      <c r="GIG135" s="562"/>
      <c r="GIH135" s="562"/>
      <c r="GII135" s="562"/>
      <c r="GIJ135" s="562"/>
      <c r="GIK135" s="562"/>
      <c r="GIL135" s="562"/>
      <c r="GIM135" s="562"/>
      <c r="GIN135" s="562"/>
      <c r="GIO135" s="562"/>
      <c r="GIP135" s="562"/>
      <c r="GIQ135" s="562"/>
      <c r="GIR135" s="562"/>
      <c r="GIS135" s="562"/>
      <c r="GIT135" s="562"/>
      <c r="GIU135" s="562"/>
      <c r="GIV135" s="562"/>
      <c r="GIW135" s="562"/>
      <c r="GIX135" s="562"/>
      <c r="GIY135" s="562"/>
      <c r="GIZ135" s="562"/>
      <c r="GJA135" s="562"/>
      <c r="GJB135" s="562"/>
      <c r="GJC135" s="562"/>
      <c r="GJD135" s="562"/>
      <c r="GJE135" s="562"/>
      <c r="GJF135" s="562"/>
      <c r="GJG135" s="562"/>
      <c r="GJH135" s="562"/>
      <c r="GJI135" s="562"/>
      <c r="GJJ135" s="562"/>
      <c r="GJK135" s="562"/>
      <c r="GJL135" s="562"/>
      <c r="GJM135" s="562"/>
      <c r="GJN135" s="562"/>
      <c r="GJO135" s="562"/>
      <c r="GJP135" s="562"/>
      <c r="GJQ135" s="562"/>
      <c r="GJR135" s="562"/>
      <c r="GJS135" s="562"/>
      <c r="GJT135" s="562"/>
      <c r="GJU135" s="562"/>
      <c r="GJV135" s="562"/>
      <c r="GJW135" s="562"/>
      <c r="GJX135" s="562"/>
      <c r="GJY135" s="562"/>
      <c r="GJZ135" s="562"/>
      <c r="GKA135" s="562"/>
      <c r="GKB135" s="562"/>
      <c r="GKC135" s="562"/>
      <c r="GKD135" s="562"/>
      <c r="GKE135" s="562"/>
      <c r="GKF135" s="562"/>
      <c r="GKG135" s="562"/>
      <c r="GKH135" s="562"/>
      <c r="GKI135" s="562"/>
      <c r="GKJ135" s="562"/>
      <c r="GKK135" s="562"/>
      <c r="GKL135" s="562"/>
      <c r="GKM135" s="562"/>
      <c r="GKN135" s="562"/>
      <c r="GKO135" s="562"/>
      <c r="GKP135" s="562"/>
      <c r="GKQ135" s="562"/>
      <c r="GKR135" s="562"/>
      <c r="GKS135" s="562"/>
      <c r="GKT135" s="562"/>
      <c r="GKU135" s="562"/>
      <c r="GKV135" s="562"/>
      <c r="GKW135" s="562"/>
      <c r="GKX135" s="562"/>
      <c r="GKY135" s="562"/>
      <c r="GKZ135" s="562"/>
      <c r="GLA135" s="562"/>
      <c r="GLB135" s="562"/>
      <c r="GLC135" s="562"/>
      <c r="GLD135" s="562"/>
      <c r="GLE135" s="562"/>
      <c r="GLF135" s="562"/>
      <c r="GLG135" s="562"/>
      <c r="GLH135" s="562"/>
      <c r="GLI135" s="562"/>
      <c r="GLJ135" s="562"/>
      <c r="GLK135" s="562"/>
      <c r="GLL135" s="562"/>
      <c r="GLM135" s="562"/>
      <c r="GLN135" s="562"/>
      <c r="GLO135" s="562"/>
      <c r="GLP135" s="562"/>
      <c r="GLQ135" s="562"/>
      <c r="GLR135" s="562"/>
      <c r="GLS135" s="562"/>
      <c r="GLT135" s="562"/>
      <c r="GLU135" s="562"/>
      <c r="GLV135" s="562"/>
      <c r="GLW135" s="562"/>
      <c r="GLX135" s="562"/>
      <c r="GLY135" s="562"/>
      <c r="GLZ135" s="562"/>
      <c r="GMA135" s="562"/>
      <c r="GMB135" s="562"/>
      <c r="GMC135" s="562"/>
      <c r="GMD135" s="562"/>
      <c r="GME135" s="562"/>
      <c r="GMF135" s="562"/>
      <c r="GMG135" s="562"/>
      <c r="GMH135" s="562"/>
      <c r="GMI135" s="562"/>
      <c r="GMJ135" s="562"/>
      <c r="GMK135" s="562"/>
      <c r="GML135" s="562"/>
      <c r="GMM135" s="562"/>
      <c r="GMN135" s="562"/>
      <c r="GMO135" s="562"/>
      <c r="GMP135" s="562"/>
      <c r="GMQ135" s="562"/>
      <c r="GMR135" s="562"/>
      <c r="GMS135" s="562"/>
      <c r="GMT135" s="562"/>
      <c r="GMU135" s="562"/>
      <c r="GMV135" s="562"/>
      <c r="GMW135" s="562"/>
      <c r="GMX135" s="562"/>
      <c r="GMY135" s="562"/>
      <c r="GMZ135" s="562"/>
      <c r="GNA135" s="562"/>
      <c r="GNB135" s="562"/>
      <c r="GNC135" s="562"/>
      <c r="GND135" s="562"/>
      <c r="GNE135" s="562"/>
      <c r="GNF135" s="562"/>
      <c r="GNG135" s="562"/>
      <c r="GNH135" s="562"/>
      <c r="GNI135" s="562"/>
      <c r="GNJ135" s="562"/>
      <c r="GNK135" s="562"/>
      <c r="GNL135" s="562"/>
      <c r="GNM135" s="562"/>
      <c r="GNN135" s="562"/>
      <c r="GNO135" s="562"/>
      <c r="GNP135" s="562"/>
      <c r="GNQ135" s="562"/>
      <c r="GNR135" s="562"/>
      <c r="GNS135" s="562"/>
      <c r="GNT135" s="562"/>
      <c r="GNU135" s="562"/>
      <c r="GNV135" s="562"/>
      <c r="GNW135" s="562"/>
      <c r="GNX135" s="562"/>
      <c r="GNY135" s="562"/>
      <c r="GNZ135" s="562"/>
      <c r="GOA135" s="562"/>
      <c r="GOB135" s="562"/>
      <c r="GOC135" s="562"/>
      <c r="GOD135" s="562"/>
      <c r="GOE135" s="562"/>
      <c r="GOF135" s="562"/>
      <c r="GOG135" s="562"/>
      <c r="GOH135" s="562"/>
      <c r="GOI135" s="562"/>
      <c r="GOJ135" s="562"/>
      <c r="GOK135" s="562"/>
      <c r="GOL135" s="562"/>
      <c r="GOM135" s="562"/>
      <c r="GON135" s="562"/>
      <c r="GOO135" s="562"/>
      <c r="GOP135" s="562"/>
      <c r="GOQ135" s="562"/>
      <c r="GOR135" s="562"/>
      <c r="GOS135" s="562"/>
      <c r="GOT135" s="562"/>
      <c r="GOU135" s="562"/>
      <c r="GOV135" s="562"/>
      <c r="GOW135" s="562"/>
      <c r="GOX135" s="562"/>
      <c r="GOY135" s="562"/>
      <c r="GOZ135" s="562"/>
      <c r="GPA135" s="562"/>
      <c r="GPB135" s="562"/>
      <c r="GPC135" s="562"/>
      <c r="GPD135" s="562"/>
      <c r="GPE135" s="562"/>
      <c r="GPF135" s="562"/>
      <c r="GPG135" s="562"/>
      <c r="GPH135" s="562"/>
      <c r="GPI135" s="562"/>
      <c r="GPJ135" s="562"/>
      <c r="GPK135" s="562"/>
      <c r="GPL135" s="562"/>
      <c r="GPM135" s="562"/>
      <c r="GPN135" s="562"/>
      <c r="GPO135" s="562"/>
      <c r="GPP135" s="562"/>
      <c r="GPQ135" s="562"/>
      <c r="GPR135" s="562"/>
      <c r="GPS135" s="562"/>
      <c r="GPT135" s="562"/>
      <c r="GPU135" s="562"/>
      <c r="GPV135" s="562"/>
      <c r="GPW135" s="562"/>
      <c r="GPX135" s="562"/>
      <c r="GPY135" s="562"/>
      <c r="GPZ135" s="562"/>
      <c r="GQA135" s="562"/>
      <c r="GQB135" s="562"/>
      <c r="GQC135" s="562"/>
      <c r="GQD135" s="562"/>
      <c r="GQE135" s="562"/>
      <c r="GQF135" s="562"/>
      <c r="GQG135" s="562"/>
      <c r="GQH135" s="562"/>
      <c r="GQI135" s="562"/>
      <c r="GQJ135" s="562"/>
      <c r="GQK135" s="562"/>
      <c r="GQL135" s="562"/>
      <c r="GQM135" s="562"/>
      <c r="GQN135" s="562"/>
      <c r="GQO135" s="562"/>
      <c r="GQP135" s="562"/>
      <c r="GQQ135" s="562"/>
      <c r="GQR135" s="562"/>
      <c r="GQS135" s="562"/>
      <c r="GQT135" s="562"/>
      <c r="GQU135" s="562"/>
      <c r="GQV135" s="562"/>
      <c r="GQW135" s="562"/>
      <c r="GQX135" s="562"/>
      <c r="GQY135" s="562"/>
      <c r="GQZ135" s="562"/>
      <c r="GRA135" s="562"/>
      <c r="GRB135" s="562"/>
      <c r="GRC135" s="562"/>
      <c r="GRD135" s="562"/>
      <c r="GRE135" s="562"/>
      <c r="GRF135" s="562"/>
      <c r="GRG135" s="562"/>
      <c r="GRH135" s="562"/>
      <c r="GRI135" s="562"/>
      <c r="GRJ135" s="562"/>
      <c r="GRK135" s="562"/>
      <c r="GRL135" s="562"/>
      <c r="GRM135" s="562"/>
      <c r="GRN135" s="562"/>
      <c r="GRO135" s="562"/>
      <c r="GRP135" s="562"/>
      <c r="GRQ135" s="562"/>
      <c r="GRR135" s="562"/>
      <c r="GRS135" s="562"/>
      <c r="GRT135" s="562"/>
      <c r="GRU135" s="562"/>
      <c r="GRV135" s="562"/>
      <c r="GRW135" s="562"/>
      <c r="GRX135" s="562"/>
      <c r="GRY135" s="562"/>
      <c r="GRZ135" s="562"/>
      <c r="GSA135" s="562"/>
      <c r="GSB135" s="562"/>
      <c r="GSC135" s="562"/>
      <c r="GSD135" s="562"/>
      <c r="GSE135" s="562"/>
      <c r="GSF135" s="562"/>
      <c r="GSG135" s="562"/>
      <c r="GSH135" s="562"/>
      <c r="GSI135" s="562"/>
      <c r="GSJ135" s="562"/>
      <c r="GSK135" s="562"/>
      <c r="GSL135" s="562"/>
      <c r="GSM135" s="562"/>
      <c r="GSN135" s="562"/>
      <c r="GSO135" s="562"/>
      <c r="GSP135" s="562"/>
      <c r="GSQ135" s="562"/>
      <c r="GSR135" s="562"/>
      <c r="GSS135" s="562"/>
      <c r="GST135" s="562"/>
      <c r="GSU135" s="562"/>
      <c r="GSV135" s="562"/>
      <c r="GSW135" s="562"/>
      <c r="GSX135" s="562"/>
      <c r="GSY135" s="562"/>
      <c r="GSZ135" s="562"/>
      <c r="GTA135" s="562"/>
      <c r="GTB135" s="562"/>
      <c r="GTC135" s="562"/>
      <c r="GTD135" s="562"/>
      <c r="GTE135" s="562"/>
      <c r="GTF135" s="562"/>
      <c r="GTG135" s="562"/>
      <c r="GTH135" s="562"/>
      <c r="GTI135" s="562"/>
      <c r="GTJ135" s="562"/>
      <c r="GTK135" s="562"/>
      <c r="GTL135" s="562"/>
      <c r="GTM135" s="562"/>
      <c r="GTN135" s="562"/>
      <c r="GTO135" s="562"/>
      <c r="GTP135" s="562"/>
      <c r="GTQ135" s="562"/>
      <c r="GTR135" s="562"/>
      <c r="GTS135" s="562"/>
      <c r="GTT135" s="562"/>
      <c r="GTU135" s="562"/>
      <c r="GTV135" s="562"/>
      <c r="GTW135" s="562"/>
      <c r="GTX135" s="562"/>
      <c r="GTY135" s="562"/>
      <c r="GTZ135" s="562"/>
      <c r="GUA135" s="562"/>
      <c r="GUB135" s="562"/>
      <c r="GUC135" s="562"/>
      <c r="GUD135" s="562"/>
      <c r="GUE135" s="562"/>
      <c r="GUF135" s="562"/>
      <c r="GUG135" s="562"/>
      <c r="GUH135" s="562"/>
      <c r="GUI135" s="562"/>
      <c r="GUJ135" s="562"/>
      <c r="GUK135" s="562"/>
      <c r="GUL135" s="562"/>
      <c r="GUM135" s="562"/>
      <c r="GUN135" s="562"/>
      <c r="GUO135" s="562"/>
      <c r="GUP135" s="562"/>
      <c r="GUQ135" s="562"/>
      <c r="GUR135" s="562"/>
      <c r="GUS135" s="562"/>
      <c r="GUT135" s="562"/>
      <c r="GUU135" s="562"/>
      <c r="GUV135" s="562"/>
      <c r="GUW135" s="562"/>
      <c r="GUX135" s="562"/>
      <c r="GUY135" s="562"/>
      <c r="GUZ135" s="562"/>
      <c r="GVA135" s="562"/>
      <c r="GVB135" s="562"/>
      <c r="GVC135" s="562"/>
      <c r="GVD135" s="562"/>
      <c r="GVE135" s="562"/>
      <c r="GVF135" s="562"/>
      <c r="GVG135" s="562"/>
      <c r="GVH135" s="562"/>
      <c r="GVI135" s="562"/>
      <c r="GVJ135" s="562"/>
      <c r="GVK135" s="562"/>
      <c r="GVL135" s="562"/>
      <c r="GVM135" s="562"/>
      <c r="GVN135" s="562"/>
      <c r="GVO135" s="562"/>
      <c r="GVP135" s="562"/>
      <c r="GVQ135" s="562"/>
      <c r="GVR135" s="562"/>
      <c r="GVS135" s="562"/>
      <c r="GVT135" s="562"/>
      <c r="GVU135" s="562"/>
      <c r="GVV135" s="562"/>
      <c r="GVW135" s="562"/>
      <c r="GVX135" s="562"/>
      <c r="GVY135" s="562"/>
      <c r="GVZ135" s="562"/>
      <c r="GWA135" s="562"/>
      <c r="GWB135" s="562"/>
      <c r="GWC135" s="562"/>
      <c r="GWD135" s="562"/>
      <c r="GWE135" s="562"/>
      <c r="GWF135" s="562"/>
      <c r="GWG135" s="562"/>
      <c r="GWH135" s="562"/>
      <c r="GWI135" s="562"/>
      <c r="GWJ135" s="562"/>
      <c r="GWK135" s="562"/>
      <c r="GWL135" s="562"/>
      <c r="GWM135" s="562"/>
      <c r="GWN135" s="562"/>
      <c r="GWO135" s="562"/>
      <c r="GWP135" s="562"/>
      <c r="GWQ135" s="562"/>
      <c r="GWR135" s="562"/>
      <c r="GWS135" s="562"/>
      <c r="GWT135" s="562"/>
      <c r="GWU135" s="562"/>
      <c r="GWV135" s="562"/>
      <c r="GWW135" s="562"/>
      <c r="GWX135" s="562"/>
      <c r="GWY135" s="562"/>
      <c r="GWZ135" s="562"/>
      <c r="GXA135" s="562"/>
      <c r="GXB135" s="562"/>
      <c r="GXC135" s="562"/>
      <c r="GXD135" s="562"/>
      <c r="GXE135" s="562"/>
      <c r="GXF135" s="562"/>
      <c r="GXG135" s="562"/>
      <c r="GXH135" s="562"/>
      <c r="GXI135" s="562"/>
      <c r="GXJ135" s="562"/>
      <c r="GXK135" s="562"/>
      <c r="GXL135" s="562"/>
      <c r="GXM135" s="562"/>
      <c r="GXN135" s="562"/>
      <c r="GXO135" s="562"/>
      <c r="GXP135" s="562"/>
      <c r="GXQ135" s="562"/>
      <c r="GXR135" s="562"/>
      <c r="GXS135" s="562"/>
      <c r="GXT135" s="562"/>
      <c r="GXU135" s="562"/>
      <c r="GXV135" s="562"/>
      <c r="GXW135" s="562"/>
      <c r="GXX135" s="562"/>
      <c r="GXY135" s="562"/>
      <c r="GXZ135" s="562"/>
      <c r="GYA135" s="562"/>
      <c r="GYB135" s="562"/>
      <c r="GYC135" s="562"/>
      <c r="GYD135" s="562"/>
      <c r="GYE135" s="562"/>
      <c r="GYF135" s="562"/>
      <c r="GYG135" s="562"/>
      <c r="GYH135" s="562"/>
      <c r="GYI135" s="562"/>
      <c r="GYJ135" s="562"/>
      <c r="GYK135" s="562"/>
      <c r="GYL135" s="562"/>
      <c r="GYM135" s="562"/>
      <c r="GYN135" s="562"/>
      <c r="GYO135" s="562"/>
      <c r="GYP135" s="562"/>
      <c r="GYQ135" s="562"/>
      <c r="GYR135" s="562"/>
      <c r="GYS135" s="562"/>
      <c r="GYT135" s="562"/>
      <c r="GYU135" s="562"/>
      <c r="GYV135" s="562"/>
      <c r="GYW135" s="562"/>
      <c r="GYX135" s="562"/>
      <c r="GYY135" s="562"/>
      <c r="GYZ135" s="562"/>
      <c r="GZA135" s="562"/>
      <c r="GZB135" s="562"/>
      <c r="GZC135" s="562"/>
      <c r="GZD135" s="562"/>
      <c r="GZE135" s="562"/>
      <c r="GZF135" s="562"/>
      <c r="GZG135" s="562"/>
      <c r="GZH135" s="562"/>
      <c r="GZI135" s="562"/>
      <c r="GZJ135" s="562"/>
      <c r="GZK135" s="562"/>
      <c r="GZL135" s="562"/>
      <c r="GZM135" s="562"/>
      <c r="GZN135" s="562"/>
      <c r="GZO135" s="562"/>
      <c r="GZP135" s="562"/>
      <c r="GZQ135" s="562"/>
      <c r="GZR135" s="562"/>
      <c r="GZS135" s="562"/>
      <c r="GZT135" s="562"/>
      <c r="GZU135" s="562"/>
      <c r="GZV135" s="562"/>
      <c r="GZW135" s="562"/>
      <c r="GZX135" s="562"/>
      <c r="GZY135" s="562"/>
      <c r="GZZ135" s="562"/>
      <c r="HAA135" s="562"/>
      <c r="HAB135" s="562"/>
      <c r="HAC135" s="562"/>
      <c r="HAD135" s="562"/>
      <c r="HAE135" s="562"/>
      <c r="HAF135" s="562"/>
      <c r="HAG135" s="562"/>
      <c r="HAH135" s="562"/>
      <c r="HAI135" s="562"/>
      <c r="HAJ135" s="562"/>
      <c r="HAK135" s="562"/>
      <c r="HAL135" s="562"/>
      <c r="HAM135" s="562"/>
      <c r="HAN135" s="562"/>
      <c r="HAO135" s="562"/>
      <c r="HAP135" s="562"/>
      <c r="HAQ135" s="562"/>
      <c r="HAR135" s="562"/>
      <c r="HAS135" s="562"/>
      <c r="HAT135" s="562"/>
      <c r="HAU135" s="562"/>
      <c r="HAV135" s="562"/>
      <c r="HAW135" s="562"/>
      <c r="HAX135" s="562"/>
      <c r="HAY135" s="562"/>
      <c r="HAZ135" s="562"/>
      <c r="HBA135" s="562"/>
      <c r="HBB135" s="562"/>
      <c r="HBC135" s="562"/>
      <c r="HBD135" s="562"/>
      <c r="HBE135" s="562"/>
      <c r="HBF135" s="562"/>
      <c r="HBG135" s="562"/>
      <c r="HBH135" s="562"/>
      <c r="HBI135" s="562"/>
      <c r="HBJ135" s="562"/>
      <c r="HBK135" s="562"/>
      <c r="HBL135" s="562"/>
      <c r="HBM135" s="562"/>
      <c r="HBN135" s="562"/>
      <c r="HBO135" s="562"/>
      <c r="HBP135" s="562"/>
      <c r="HBQ135" s="562"/>
      <c r="HBR135" s="562"/>
      <c r="HBS135" s="562"/>
      <c r="HBT135" s="562"/>
      <c r="HBU135" s="562"/>
      <c r="HBV135" s="562"/>
      <c r="HBW135" s="562"/>
      <c r="HBX135" s="562"/>
      <c r="HBY135" s="562"/>
      <c r="HBZ135" s="562"/>
      <c r="HCA135" s="562"/>
      <c r="HCB135" s="562"/>
      <c r="HCC135" s="562"/>
      <c r="HCD135" s="562"/>
      <c r="HCE135" s="562"/>
      <c r="HCF135" s="562"/>
      <c r="HCG135" s="562"/>
      <c r="HCH135" s="562"/>
      <c r="HCI135" s="562"/>
      <c r="HCJ135" s="562"/>
      <c r="HCK135" s="562"/>
      <c r="HCL135" s="562"/>
      <c r="HCM135" s="562"/>
      <c r="HCN135" s="562"/>
      <c r="HCO135" s="562"/>
      <c r="HCP135" s="562"/>
      <c r="HCQ135" s="562"/>
      <c r="HCR135" s="562"/>
      <c r="HCS135" s="562"/>
      <c r="HCT135" s="562"/>
      <c r="HCU135" s="562"/>
      <c r="HCV135" s="562"/>
      <c r="HCW135" s="562"/>
      <c r="HCX135" s="562"/>
      <c r="HCY135" s="562"/>
      <c r="HCZ135" s="562"/>
      <c r="HDA135" s="562"/>
      <c r="HDB135" s="562"/>
      <c r="HDC135" s="562"/>
      <c r="HDD135" s="562"/>
      <c r="HDE135" s="562"/>
      <c r="HDF135" s="562"/>
      <c r="HDG135" s="562"/>
      <c r="HDH135" s="562"/>
      <c r="HDI135" s="562"/>
      <c r="HDJ135" s="562"/>
      <c r="HDK135" s="562"/>
      <c r="HDL135" s="562"/>
      <c r="HDM135" s="562"/>
      <c r="HDN135" s="562"/>
      <c r="HDO135" s="562"/>
      <c r="HDP135" s="562"/>
      <c r="HDQ135" s="562"/>
      <c r="HDR135" s="562"/>
      <c r="HDS135" s="562"/>
      <c r="HDT135" s="562"/>
      <c r="HDU135" s="562"/>
      <c r="HDV135" s="562"/>
      <c r="HDW135" s="562"/>
      <c r="HDX135" s="562"/>
      <c r="HDY135" s="562"/>
      <c r="HDZ135" s="562"/>
      <c r="HEA135" s="562"/>
      <c r="HEB135" s="562"/>
      <c r="HEC135" s="562"/>
      <c r="HED135" s="562"/>
      <c r="HEE135" s="562"/>
      <c r="HEF135" s="562"/>
      <c r="HEG135" s="562"/>
      <c r="HEH135" s="562"/>
      <c r="HEI135" s="562"/>
      <c r="HEJ135" s="562"/>
      <c r="HEK135" s="562"/>
      <c r="HEL135" s="562"/>
      <c r="HEM135" s="562"/>
      <c r="HEN135" s="562"/>
      <c r="HEO135" s="562"/>
      <c r="HEP135" s="562"/>
      <c r="HEQ135" s="562"/>
      <c r="HER135" s="562"/>
      <c r="HES135" s="562"/>
      <c r="HET135" s="562"/>
      <c r="HEU135" s="562"/>
      <c r="HEV135" s="562"/>
      <c r="HEW135" s="562"/>
      <c r="HEX135" s="562"/>
      <c r="HEY135" s="562"/>
      <c r="HEZ135" s="562"/>
      <c r="HFA135" s="562"/>
      <c r="HFB135" s="562"/>
      <c r="HFC135" s="562"/>
      <c r="HFD135" s="562"/>
      <c r="HFE135" s="562"/>
      <c r="HFF135" s="562"/>
      <c r="HFG135" s="562"/>
      <c r="HFH135" s="562"/>
      <c r="HFI135" s="562"/>
      <c r="HFJ135" s="562"/>
      <c r="HFK135" s="562"/>
      <c r="HFL135" s="562"/>
      <c r="HFM135" s="562"/>
      <c r="HFN135" s="562"/>
      <c r="HFO135" s="562"/>
      <c r="HFP135" s="562"/>
      <c r="HFQ135" s="562"/>
      <c r="HFR135" s="562"/>
      <c r="HFS135" s="562"/>
      <c r="HFT135" s="562"/>
      <c r="HFU135" s="562"/>
      <c r="HFV135" s="562"/>
      <c r="HFW135" s="562"/>
      <c r="HFX135" s="562"/>
      <c r="HFY135" s="562"/>
      <c r="HFZ135" s="562"/>
      <c r="HGA135" s="562"/>
      <c r="HGB135" s="562"/>
      <c r="HGC135" s="562"/>
      <c r="HGD135" s="562"/>
      <c r="HGE135" s="562"/>
      <c r="HGF135" s="562"/>
      <c r="HGG135" s="562"/>
      <c r="HGH135" s="562"/>
      <c r="HGI135" s="562"/>
      <c r="HGJ135" s="562"/>
      <c r="HGK135" s="562"/>
      <c r="HGL135" s="562"/>
      <c r="HGM135" s="562"/>
      <c r="HGN135" s="562"/>
      <c r="HGO135" s="562"/>
      <c r="HGP135" s="562"/>
      <c r="HGQ135" s="562"/>
      <c r="HGR135" s="562"/>
      <c r="HGS135" s="562"/>
      <c r="HGT135" s="562"/>
      <c r="HGU135" s="562"/>
      <c r="HGV135" s="562"/>
      <c r="HGW135" s="562"/>
      <c r="HGX135" s="562"/>
      <c r="HGY135" s="562"/>
      <c r="HGZ135" s="562"/>
      <c r="HHA135" s="562"/>
      <c r="HHB135" s="562"/>
      <c r="HHC135" s="562"/>
      <c r="HHD135" s="562"/>
      <c r="HHE135" s="562"/>
      <c r="HHF135" s="562"/>
      <c r="HHG135" s="562"/>
      <c r="HHH135" s="562"/>
      <c r="HHI135" s="562"/>
      <c r="HHJ135" s="562"/>
      <c r="HHK135" s="562"/>
      <c r="HHL135" s="562"/>
      <c r="HHM135" s="562"/>
      <c r="HHN135" s="562"/>
      <c r="HHO135" s="562"/>
      <c r="HHP135" s="562"/>
      <c r="HHQ135" s="562"/>
      <c r="HHR135" s="562"/>
      <c r="HHS135" s="562"/>
      <c r="HHT135" s="562"/>
      <c r="HHU135" s="562"/>
      <c r="HHV135" s="562"/>
      <c r="HHW135" s="562"/>
      <c r="HHX135" s="562"/>
      <c r="HHY135" s="562"/>
      <c r="HHZ135" s="562"/>
      <c r="HIA135" s="562"/>
      <c r="HIB135" s="562"/>
      <c r="HIC135" s="562"/>
      <c r="HID135" s="562"/>
      <c r="HIE135" s="562"/>
      <c r="HIF135" s="562"/>
      <c r="HIG135" s="562"/>
      <c r="HIH135" s="562"/>
      <c r="HII135" s="562"/>
      <c r="HIJ135" s="562"/>
      <c r="HIK135" s="562"/>
      <c r="HIL135" s="562"/>
      <c r="HIM135" s="562"/>
      <c r="HIN135" s="562"/>
      <c r="HIO135" s="562"/>
      <c r="HIP135" s="562"/>
      <c r="HIQ135" s="562"/>
      <c r="HIR135" s="562"/>
      <c r="HIS135" s="562"/>
      <c r="HIT135" s="562"/>
      <c r="HIU135" s="562"/>
      <c r="HIV135" s="562"/>
      <c r="HIW135" s="562"/>
      <c r="HIX135" s="562"/>
      <c r="HIY135" s="562"/>
      <c r="HIZ135" s="562"/>
      <c r="HJA135" s="562"/>
      <c r="HJB135" s="562"/>
      <c r="HJC135" s="562"/>
      <c r="HJD135" s="562"/>
      <c r="HJE135" s="562"/>
      <c r="HJF135" s="562"/>
      <c r="HJG135" s="562"/>
      <c r="HJH135" s="562"/>
      <c r="HJI135" s="562"/>
      <c r="HJJ135" s="562"/>
      <c r="HJK135" s="562"/>
      <c r="HJL135" s="562"/>
      <c r="HJM135" s="562"/>
      <c r="HJN135" s="562"/>
      <c r="HJO135" s="562"/>
      <c r="HJP135" s="562"/>
      <c r="HJQ135" s="562"/>
      <c r="HJR135" s="562"/>
      <c r="HJS135" s="562"/>
      <c r="HJT135" s="562"/>
      <c r="HJU135" s="562"/>
      <c r="HJV135" s="562"/>
      <c r="HJW135" s="562"/>
      <c r="HJX135" s="562"/>
      <c r="HJY135" s="562"/>
      <c r="HJZ135" s="562"/>
      <c r="HKA135" s="562"/>
      <c r="HKB135" s="562"/>
      <c r="HKC135" s="562"/>
      <c r="HKD135" s="562"/>
      <c r="HKE135" s="562"/>
      <c r="HKF135" s="562"/>
      <c r="HKG135" s="562"/>
      <c r="HKH135" s="562"/>
      <c r="HKI135" s="562"/>
      <c r="HKJ135" s="562"/>
      <c r="HKK135" s="562"/>
      <c r="HKL135" s="562"/>
      <c r="HKM135" s="562"/>
      <c r="HKN135" s="562"/>
      <c r="HKO135" s="562"/>
      <c r="HKP135" s="562"/>
      <c r="HKQ135" s="562"/>
      <c r="HKR135" s="562"/>
      <c r="HKS135" s="562"/>
      <c r="HKT135" s="562"/>
      <c r="HKU135" s="562"/>
      <c r="HKV135" s="562"/>
      <c r="HKW135" s="562"/>
      <c r="HKX135" s="562"/>
      <c r="HKY135" s="562"/>
      <c r="HKZ135" s="562"/>
      <c r="HLA135" s="562"/>
      <c r="HLB135" s="562"/>
      <c r="HLC135" s="562"/>
      <c r="HLD135" s="562"/>
      <c r="HLE135" s="562"/>
      <c r="HLF135" s="562"/>
      <c r="HLG135" s="562"/>
      <c r="HLH135" s="562"/>
      <c r="HLI135" s="562"/>
      <c r="HLJ135" s="562"/>
      <c r="HLK135" s="562"/>
      <c r="HLL135" s="562"/>
      <c r="HLM135" s="562"/>
      <c r="HLN135" s="562"/>
      <c r="HLO135" s="562"/>
      <c r="HLP135" s="562"/>
      <c r="HLQ135" s="562"/>
      <c r="HLR135" s="562"/>
      <c r="HLS135" s="562"/>
      <c r="HLT135" s="562"/>
      <c r="HLU135" s="562"/>
      <c r="HLV135" s="562"/>
      <c r="HLW135" s="562"/>
      <c r="HLX135" s="562"/>
      <c r="HLY135" s="562"/>
      <c r="HLZ135" s="562"/>
      <c r="HMA135" s="562"/>
      <c r="HMB135" s="562"/>
      <c r="HMC135" s="562"/>
      <c r="HMD135" s="562"/>
      <c r="HME135" s="562"/>
      <c r="HMF135" s="562"/>
      <c r="HMG135" s="562"/>
      <c r="HMH135" s="562"/>
      <c r="HMI135" s="562"/>
      <c r="HMJ135" s="562"/>
      <c r="HMK135" s="562"/>
      <c r="HML135" s="562"/>
      <c r="HMM135" s="562"/>
      <c r="HMN135" s="562"/>
      <c r="HMO135" s="562"/>
      <c r="HMP135" s="562"/>
      <c r="HMQ135" s="562"/>
      <c r="HMR135" s="562"/>
      <c r="HMS135" s="562"/>
      <c r="HMT135" s="562"/>
      <c r="HMU135" s="562"/>
      <c r="HMV135" s="562"/>
      <c r="HMW135" s="562"/>
      <c r="HMX135" s="562"/>
      <c r="HMY135" s="562"/>
      <c r="HMZ135" s="562"/>
      <c r="HNA135" s="562"/>
      <c r="HNB135" s="562"/>
      <c r="HNC135" s="562"/>
      <c r="HND135" s="562"/>
      <c r="HNE135" s="562"/>
      <c r="HNF135" s="562"/>
      <c r="HNG135" s="562"/>
      <c r="HNH135" s="562"/>
      <c r="HNI135" s="562"/>
      <c r="HNJ135" s="562"/>
      <c r="HNK135" s="562"/>
      <c r="HNL135" s="562"/>
      <c r="HNM135" s="562"/>
      <c r="HNN135" s="562"/>
      <c r="HNO135" s="562"/>
      <c r="HNP135" s="562"/>
      <c r="HNQ135" s="562"/>
      <c r="HNR135" s="562"/>
      <c r="HNS135" s="562"/>
      <c r="HNT135" s="562"/>
      <c r="HNU135" s="562"/>
      <c r="HNV135" s="562"/>
      <c r="HNW135" s="562"/>
      <c r="HNX135" s="562"/>
      <c r="HNY135" s="562"/>
      <c r="HNZ135" s="562"/>
      <c r="HOA135" s="562"/>
      <c r="HOB135" s="562"/>
      <c r="HOC135" s="562"/>
      <c r="HOD135" s="562"/>
      <c r="HOE135" s="562"/>
      <c r="HOF135" s="562"/>
      <c r="HOG135" s="562"/>
      <c r="HOH135" s="562"/>
      <c r="HOI135" s="562"/>
      <c r="HOJ135" s="562"/>
      <c r="HOK135" s="562"/>
      <c r="HOL135" s="562"/>
      <c r="HOM135" s="562"/>
      <c r="HON135" s="562"/>
      <c r="HOO135" s="562"/>
      <c r="HOP135" s="562"/>
      <c r="HOQ135" s="562"/>
      <c r="HOR135" s="562"/>
      <c r="HOS135" s="562"/>
      <c r="HOT135" s="562"/>
      <c r="HOU135" s="562"/>
      <c r="HOV135" s="562"/>
      <c r="HOW135" s="562"/>
      <c r="HOX135" s="562"/>
      <c r="HOY135" s="562"/>
      <c r="HOZ135" s="562"/>
      <c r="HPA135" s="562"/>
      <c r="HPB135" s="562"/>
      <c r="HPC135" s="562"/>
      <c r="HPD135" s="562"/>
      <c r="HPE135" s="562"/>
      <c r="HPF135" s="562"/>
      <c r="HPG135" s="562"/>
      <c r="HPH135" s="562"/>
      <c r="HPI135" s="562"/>
      <c r="HPJ135" s="562"/>
      <c r="HPK135" s="562"/>
      <c r="HPL135" s="562"/>
      <c r="HPM135" s="562"/>
      <c r="HPN135" s="562"/>
      <c r="HPO135" s="562"/>
      <c r="HPP135" s="562"/>
      <c r="HPQ135" s="562"/>
      <c r="HPR135" s="562"/>
      <c r="HPS135" s="562"/>
      <c r="HPT135" s="562"/>
      <c r="HPU135" s="562"/>
      <c r="HPV135" s="562"/>
      <c r="HPW135" s="562"/>
      <c r="HPX135" s="562"/>
      <c r="HPY135" s="562"/>
      <c r="HPZ135" s="562"/>
      <c r="HQA135" s="562"/>
      <c r="HQB135" s="562"/>
      <c r="HQC135" s="562"/>
      <c r="HQD135" s="562"/>
      <c r="HQE135" s="562"/>
      <c r="HQF135" s="562"/>
      <c r="HQG135" s="562"/>
      <c r="HQH135" s="562"/>
      <c r="HQI135" s="562"/>
      <c r="HQJ135" s="562"/>
      <c r="HQK135" s="562"/>
      <c r="HQL135" s="562"/>
      <c r="HQM135" s="562"/>
      <c r="HQN135" s="562"/>
      <c r="HQO135" s="562"/>
      <c r="HQP135" s="562"/>
      <c r="HQQ135" s="562"/>
      <c r="HQR135" s="562"/>
      <c r="HQS135" s="562"/>
      <c r="HQT135" s="562"/>
      <c r="HQU135" s="562"/>
      <c r="HQV135" s="562"/>
      <c r="HQW135" s="562"/>
      <c r="HQX135" s="562"/>
      <c r="HQY135" s="562"/>
      <c r="HQZ135" s="562"/>
      <c r="HRA135" s="562"/>
      <c r="HRB135" s="562"/>
      <c r="HRC135" s="562"/>
      <c r="HRD135" s="562"/>
      <c r="HRE135" s="562"/>
      <c r="HRF135" s="562"/>
      <c r="HRG135" s="562"/>
      <c r="HRH135" s="562"/>
      <c r="HRI135" s="562"/>
      <c r="HRJ135" s="562"/>
      <c r="HRK135" s="562"/>
      <c r="HRL135" s="562"/>
      <c r="HRM135" s="562"/>
      <c r="HRN135" s="562"/>
      <c r="HRO135" s="562"/>
      <c r="HRP135" s="562"/>
      <c r="HRQ135" s="562"/>
      <c r="HRR135" s="562"/>
      <c r="HRS135" s="562"/>
      <c r="HRT135" s="562"/>
      <c r="HRU135" s="562"/>
      <c r="HRV135" s="562"/>
      <c r="HRW135" s="562"/>
      <c r="HRX135" s="562"/>
      <c r="HRY135" s="562"/>
      <c r="HRZ135" s="562"/>
      <c r="HSA135" s="562"/>
      <c r="HSB135" s="562"/>
      <c r="HSC135" s="562"/>
      <c r="HSD135" s="562"/>
      <c r="HSE135" s="562"/>
      <c r="HSF135" s="562"/>
      <c r="HSG135" s="562"/>
      <c r="HSH135" s="562"/>
      <c r="HSI135" s="562"/>
      <c r="HSJ135" s="562"/>
      <c r="HSK135" s="562"/>
      <c r="HSL135" s="562"/>
      <c r="HSM135" s="562"/>
      <c r="HSN135" s="562"/>
      <c r="HSO135" s="562"/>
      <c r="HSP135" s="562"/>
      <c r="HSQ135" s="562"/>
      <c r="HSR135" s="562"/>
      <c r="HSS135" s="562"/>
      <c r="HST135" s="562"/>
      <c r="HSU135" s="562"/>
      <c r="HSV135" s="562"/>
      <c r="HSW135" s="562"/>
      <c r="HSX135" s="562"/>
      <c r="HSY135" s="562"/>
      <c r="HSZ135" s="562"/>
      <c r="HTA135" s="562"/>
      <c r="HTB135" s="562"/>
      <c r="HTC135" s="562"/>
      <c r="HTD135" s="562"/>
      <c r="HTE135" s="562"/>
      <c r="HTF135" s="562"/>
      <c r="HTG135" s="562"/>
      <c r="HTH135" s="562"/>
      <c r="HTI135" s="562"/>
      <c r="HTJ135" s="562"/>
      <c r="HTK135" s="562"/>
      <c r="HTL135" s="562"/>
      <c r="HTM135" s="562"/>
      <c r="HTN135" s="562"/>
      <c r="HTO135" s="562"/>
      <c r="HTP135" s="562"/>
      <c r="HTQ135" s="562"/>
      <c r="HTR135" s="562"/>
      <c r="HTS135" s="562"/>
      <c r="HTT135" s="562"/>
      <c r="HTU135" s="562"/>
      <c r="HTV135" s="562"/>
      <c r="HTW135" s="562"/>
      <c r="HTX135" s="562"/>
      <c r="HTY135" s="562"/>
      <c r="HTZ135" s="562"/>
      <c r="HUA135" s="562"/>
      <c r="HUB135" s="562"/>
      <c r="HUC135" s="562"/>
      <c r="HUD135" s="562"/>
      <c r="HUE135" s="562"/>
      <c r="HUF135" s="562"/>
      <c r="HUG135" s="562"/>
      <c r="HUH135" s="562"/>
      <c r="HUI135" s="562"/>
      <c r="HUJ135" s="562"/>
      <c r="HUK135" s="562"/>
      <c r="HUL135" s="562"/>
      <c r="HUM135" s="562"/>
      <c r="HUN135" s="562"/>
      <c r="HUO135" s="562"/>
      <c r="HUP135" s="562"/>
      <c r="HUQ135" s="562"/>
      <c r="HUR135" s="562"/>
      <c r="HUS135" s="562"/>
      <c r="HUT135" s="562"/>
      <c r="HUU135" s="562"/>
      <c r="HUV135" s="562"/>
      <c r="HUW135" s="562"/>
      <c r="HUX135" s="562"/>
      <c r="HUY135" s="562"/>
      <c r="HUZ135" s="562"/>
      <c r="HVA135" s="562"/>
      <c r="HVB135" s="562"/>
      <c r="HVC135" s="562"/>
      <c r="HVD135" s="562"/>
      <c r="HVE135" s="562"/>
      <c r="HVF135" s="562"/>
      <c r="HVG135" s="562"/>
      <c r="HVH135" s="562"/>
      <c r="HVI135" s="562"/>
      <c r="HVJ135" s="562"/>
      <c r="HVK135" s="562"/>
      <c r="HVL135" s="562"/>
      <c r="HVM135" s="562"/>
      <c r="HVN135" s="562"/>
      <c r="HVO135" s="562"/>
      <c r="HVP135" s="562"/>
      <c r="HVQ135" s="562"/>
      <c r="HVR135" s="562"/>
      <c r="HVS135" s="562"/>
      <c r="HVT135" s="562"/>
      <c r="HVU135" s="562"/>
      <c r="HVV135" s="562"/>
      <c r="HVW135" s="562"/>
      <c r="HVX135" s="562"/>
      <c r="HVY135" s="562"/>
      <c r="HVZ135" s="562"/>
      <c r="HWA135" s="562"/>
      <c r="HWB135" s="562"/>
      <c r="HWC135" s="562"/>
      <c r="HWD135" s="562"/>
      <c r="HWE135" s="562"/>
      <c r="HWF135" s="562"/>
      <c r="HWG135" s="562"/>
      <c r="HWH135" s="562"/>
      <c r="HWI135" s="562"/>
      <c r="HWJ135" s="562"/>
      <c r="HWK135" s="562"/>
      <c r="HWL135" s="562"/>
      <c r="HWM135" s="562"/>
      <c r="HWN135" s="562"/>
      <c r="HWO135" s="562"/>
      <c r="HWP135" s="562"/>
      <c r="HWQ135" s="562"/>
      <c r="HWR135" s="562"/>
      <c r="HWS135" s="562"/>
      <c r="HWT135" s="562"/>
      <c r="HWU135" s="562"/>
      <c r="HWV135" s="562"/>
      <c r="HWW135" s="562"/>
      <c r="HWX135" s="562"/>
      <c r="HWY135" s="562"/>
      <c r="HWZ135" s="562"/>
      <c r="HXA135" s="562"/>
      <c r="HXB135" s="562"/>
      <c r="HXC135" s="562"/>
      <c r="HXD135" s="562"/>
      <c r="HXE135" s="562"/>
      <c r="HXF135" s="562"/>
      <c r="HXG135" s="562"/>
      <c r="HXH135" s="562"/>
      <c r="HXI135" s="562"/>
      <c r="HXJ135" s="562"/>
      <c r="HXK135" s="562"/>
      <c r="HXL135" s="562"/>
      <c r="HXM135" s="562"/>
      <c r="HXN135" s="562"/>
      <c r="HXO135" s="562"/>
      <c r="HXP135" s="562"/>
      <c r="HXQ135" s="562"/>
      <c r="HXR135" s="562"/>
      <c r="HXS135" s="562"/>
      <c r="HXT135" s="562"/>
      <c r="HXU135" s="562"/>
      <c r="HXV135" s="562"/>
      <c r="HXW135" s="562"/>
      <c r="HXX135" s="562"/>
      <c r="HXY135" s="562"/>
      <c r="HXZ135" s="562"/>
      <c r="HYA135" s="562"/>
      <c r="HYB135" s="562"/>
      <c r="HYC135" s="562"/>
      <c r="HYD135" s="562"/>
      <c r="HYE135" s="562"/>
      <c r="HYF135" s="562"/>
      <c r="HYG135" s="562"/>
      <c r="HYH135" s="562"/>
      <c r="HYI135" s="562"/>
      <c r="HYJ135" s="562"/>
      <c r="HYK135" s="562"/>
      <c r="HYL135" s="562"/>
      <c r="HYM135" s="562"/>
      <c r="HYN135" s="562"/>
      <c r="HYO135" s="562"/>
      <c r="HYP135" s="562"/>
      <c r="HYQ135" s="562"/>
      <c r="HYR135" s="562"/>
      <c r="HYS135" s="562"/>
      <c r="HYT135" s="562"/>
      <c r="HYU135" s="562"/>
      <c r="HYV135" s="562"/>
      <c r="HYW135" s="562"/>
      <c r="HYX135" s="562"/>
      <c r="HYY135" s="562"/>
      <c r="HYZ135" s="562"/>
      <c r="HZA135" s="562"/>
      <c r="HZB135" s="562"/>
      <c r="HZC135" s="562"/>
      <c r="HZD135" s="562"/>
      <c r="HZE135" s="562"/>
      <c r="HZF135" s="562"/>
      <c r="HZG135" s="562"/>
      <c r="HZH135" s="562"/>
      <c r="HZI135" s="562"/>
      <c r="HZJ135" s="562"/>
      <c r="HZK135" s="562"/>
      <c r="HZL135" s="562"/>
      <c r="HZM135" s="562"/>
      <c r="HZN135" s="562"/>
      <c r="HZO135" s="562"/>
      <c r="HZP135" s="562"/>
      <c r="HZQ135" s="562"/>
      <c r="HZR135" s="562"/>
      <c r="HZS135" s="562"/>
      <c r="HZT135" s="562"/>
      <c r="HZU135" s="562"/>
      <c r="HZV135" s="562"/>
      <c r="HZW135" s="562"/>
      <c r="HZX135" s="562"/>
      <c r="HZY135" s="562"/>
      <c r="HZZ135" s="562"/>
      <c r="IAA135" s="562"/>
      <c r="IAB135" s="562"/>
      <c r="IAC135" s="562"/>
      <c r="IAD135" s="562"/>
      <c r="IAE135" s="562"/>
      <c r="IAF135" s="562"/>
      <c r="IAG135" s="562"/>
      <c r="IAH135" s="562"/>
      <c r="IAI135" s="562"/>
      <c r="IAJ135" s="562"/>
      <c r="IAK135" s="562"/>
      <c r="IAL135" s="562"/>
      <c r="IAM135" s="562"/>
      <c r="IAN135" s="562"/>
      <c r="IAO135" s="562"/>
      <c r="IAP135" s="562"/>
      <c r="IAQ135" s="562"/>
      <c r="IAR135" s="562"/>
      <c r="IAS135" s="562"/>
      <c r="IAT135" s="562"/>
      <c r="IAU135" s="562"/>
      <c r="IAV135" s="562"/>
      <c r="IAW135" s="562"/>
      <c r="IAX135" s="562"/>
      <c r="IAY135" s="562"/>
      <c r="IAZ135" s="562"/>
      <c r="IBA135" s="562"/>
      <c r="IBB135" s="562"/>
      <c r="IBC135" s="562"/>
      <c r="IBD135" s="562"/>
      <c r="IBE135" s="562"/>
      <c r="IBF135" s="562"/>
      <c r="IBG135" s="562"/>
      <c r="IBH135" s="562"/>
      <c r="IBI135" s="562"/>
      <c r="IBJ135" s="562"/>
      <c r="IBK135" s="562"/>
      <c r="IBL135" s="562"/>
      <c r="IBM135" s="562"/>
      <c r="IBN135" s="562"/>
      <c r="IBO135" s="562"/>
      <c r="IBP135" s="562"/>
      <c r="IBQ135" s="562"/>
      <c r="IBR135" s="562"/>
      <c r="IBS135" s="562"/>
      <c r="IBT135" s="562"/>
      <c r="IBU135" s="562"/>
      <c r="IBV135" s="562"/>
      <c r="IBW135" s="562"/>
      <c r="IBX135" s="562"/>
      <c r="IBY135" s="562"/>
      <c r="IBZ135" s="562"/>
      <c r="ICA135" s="562"/>
      <c r="ICB135" s="562"/>
      <c r="ICC135" s="562"/>
      <c r="ICD135" s="562"/>
      <c r="ICE135" s="562"/>
      <c r="ICF135" s="562"/>
      <c r="ICG135" s="562"/>
      <c r="ICH135" s="562"/>
      <c r="ICI135" s="562"/>
      <c r="ICJ135" s="562"/>
      <c r="ICK135" s="562"/>
      <c r="ICL135" s="562"/>
      <c r="ICM135" s="562"/>
      <c r="ICN135" s="562"/>
      <c r="ICO135" s="562"/>
      <c r="ICP135" s="562"/>
      <c r="ICQ135" s="562"/>
      <c r="ICR135" s="562"/>
      <c r="ICS135" s="562"/>
      <c r="ICT135" s="562"/>
      <c r="ICU135" s="562"/>
      <c r="ICV135" s="562"/>
      <c r="ICW135" s="562"/>
      <c r="ICX135" s="562"/>
      <c r="ICY135" s="562"/>
      <c r="ICZ135" s="562"/>
      <c r="IDA135" s="562"/>
      <c r="IDB135" s="562"/>
      <c r="IDC135" s="562"/>
      <c r="IDD135" s="562"/>
      <c r="IDE135" s="562"/>
      <c r="IDF135" s="562"/>
      <c r="IDG135" s="562"/>
      <c r="IDH135" s="562"/>
      <c r="IDI135" s="562"/>
      <c r="IDJ135" s="562"/>
      <c r="IDK135" s="562"/>
      <c r="IDL135" s="562"/>
      <c r="IDM135" s="562"/>
      <c r="IDN135" s="562"/>
      <c r="IDO135" s="562"/>
      <c r="IDP135" s="562"/>
      <c r="IDQ135" s="562"/>
      <c r="IDR135" s="562"/>
      <c r="IDS135" s="562"/>
      <c r="IDT135" s="562"/>
      <c r="IDU135" s="562"/>
      <c r="IDV135" s="562"/>
      <c r="IDW135" s="562"/>
      <c r="IDX135" s="562"/>
      <c r="IDY135" s="562"/>
      <c r="IDZ135" s="562"/>
      <c r="IEA135" s="562"/>
      <c r="IEB135" s="562"/>
      <c r="IEC135" s="562"/>
      <c r="IED135" s="562"/>
      <c r="IEE135" s="562"/>
      <c r="IEF135" s="562"/>
      <c r="IEG135" s="562"/>
      <c r="IEH135" s="562"/>
      <c r="IEI135" s="562"/>
      <c r="IEJ135" s="562"/>
      <c r="IEK135" s="562"/>
      <c r="IEL135" s="562"/>
      <c r="IEM135" s="562"/>
      <c r="IEN135" s="562"/>
      <c r="IEO135" s="562"/>
      <c r="IEP135" s="562"/>
      <c r="IEQ135" s="562"/>
      <c r="IER135" s="562"/>
      <c r="IES135" s="562"/>
      <c r="IET135" s="562"/>
      <c r="IEU135" s="562"/>
      <c r="IEV135" s="562"/>
      <c r="IEW135" s="562"/>
      <c r="IEX135" s="562"/>
      <c r="IEY135" s="562"/>
      <c r="IEZ135" s="562"/>
      <c r="IFA135" s="562"/>
      <c r="IFB135" s="562"/>
      <c r="IFC135" s="562"/>
      <c r="IFD135" s="562"/>
      <c r="IFE135" s="562"/>
      <c r="IFF135" s="562"/>
      <c r="IFG135" s="562"/>
      <c r="IFH135" s="562"/>
      <c r="IFI135" s="562"/>
      <c r="IFJ135" s="562"/>
      <c r="IFK135" s="562"/>
      <c r="IFL135" s="562"/>
      <c r="IFM135" s="562"/>
      <c r="IFN135" s="562"/>
      <c r="IFO135" s="562"/>
      <c r="IFP135" s="562"/>
      <c r="IFQ135" s="562"/>
      <c r="IFR135" s="562"/>
      <c r="IFS135" s="562"/>
      <c r="IFT135" s="562"/>
      <c r="IFU135" s="562"/>
      <c r="IFV135" s="562"/>
      <c r="IFW135" s="562"/>
      <c r="IFX135" s="562"/>
      <c r="IFY135" s="562"/>
      <c r="IFZ135" s="562"/>
      <c r="IGA135" s="562"/>
      <c r="IGB135" s="562"/>
      <c r="IGC135" s="562"/>
      <c r="IGD135" s="562"/>
      <c r="IGE135" s="562"/>
      <c r="IGF135" s="562"/>
      <c r="IGG135" s="562"/>
      <c r="IGH135" s="562"/>
      <c r="IGI135" s="562"/>
      <c r="IGJ135" s="562"/>
      <c r="IGK135" s="562"/>
      <c r="IGL135" s="562"/>
      <c r="IGM135" s="562"/>
      <c r="IGN135" s="562"/>
      <c r="IGO135" s="562"/>
      <c r="IGP135" s="562"/>
      <c r="IGQ135" s="562"/>
      <c r="IGR135" s="562"/>
      <c r="IGS135" s="562"/>
      <c r="IGT135" s="562"/>
      <c r="IGU135" s="562"/>
      <c r="IGV135" s="562"/>
      <c r="IGW135" s="562"/>
      <c r="IGX135" s="562"/>
      <c r="IGY135" s="562"/>
      <c r="IGZ135" s="562"/>
      <c r="IHA135" s="562"/>
      <c r="IHB135" s="562"/>
      <c r="IHC135" s="562"/>
      <c r="IHD135" s="562"/>
      <c r="IHE135" s="562"/>
      <c r="IHF135" s="562"/>
      <c r="IHG135" s="562"/>
      <c r="IHH135" s="562"/>
      <c r="IHI135" s="562"/>
      <c r="IHJ135" s="562"/>
      <c r="IHK135" s="562"/>
      <c r="IHL135" s="562"/>
      <c r="IHM135" s="562"/>
      <c r="IHN135" s="562"/>
      <c r="IHO135" s="562"/>
      <c r="IHP135" s="562"/>
      <c r="IHQ135" s="562"/>
      <c r="IHR135" s="562"/>
      <c r="IHS135" s="562"/>
      <c r="IHT135" s="562"/>
      <c r="IHU135" s="562"/>
      <c r="IHV135" s="562"/>
      <c r="IHW135" s="562"/>
      <c r="IHX135" s="562"/>
      <c r="IHY135" s="562"/>
      <c r="IHZ135" s="562"/>
      <c r="IIA135" s="562"/>
      <c r="IIB135" s="562"/>
      <c r="IIC135" s="562"/>
      <c r="IID135" s="562"/>
      <c r="IIE135" s="562"/>
      <c r="IIF135" s="562"/>
      <c r="IIG135" s="562"/>
      <c r="IIH135" s="562"/>
      <c r="III135" s="562"/>
      <c r="IIJ135" s="562"/>
      <c r="IIK135" s="562"/>
      <c r="IIL135" s="562"/>
      <c r="IIM135" s="562"/>
      <c r="IIN135" s="562"/>
      <c r="IIO135" s="562"/>
      <c r="IIP135" s="562"/>
      <c r="IIQ135" s="562"/>
      <c r="IIR135" s="562"/>
      <c r="IIS135" s="562"/>
      <c r="IIT135" s="562"/>
      <c r="IIU135" s="562"/>
      <c r="IIV135" s="562"/>
      <c r="IIW135" s="562"/>
      <c r="IIX135" s="562"/>
      <c r="IIY135" s="562"/>
      <c r="IIZ135" s="562"/>
      <c r="IJA135" s="562"/>
      <c r="IJB135" s="562"/>
      <c r="IJC135" s="562"/>
      <c r="IJD135" s="562"/>
      <c r="IJE135" s="562"/>
      <c r="IJF135" s="562"/>
      <c r="IJG135" s="562"/>
      <c r="IJH135" s="562"/>
      <c r="IJI135" s="562"/>
      <c r="IJJ135" s="562"/>
      <c r="IJK135" s="562"/>
      <c r="IJL135" s="562"/>
      <c r="IJM135" s="562"/>
      <c r="IJN135" s="562"/>
      <c r="IJO135" s="562"/>
      <c r="IJP135" s="562"/>
      <c r="IJQ135" s="562"/>
      <c r="IJR135" s="562"/>
      <c r="IJS135" s="562"/>
      <c r="IJT135" s="562"/>
      <c r="IJU135" s="562"/>
      <c r="IJV135" s="562"/>
      <c r="IJW135" s="562"/>
      <c r="IJX135" s="562"/>
      <c r="IJY135" s="562"/>
      <c r="IJZ135" s="562"/>
      <c r="IKA135" s="562"/>
      <c r="IKB135" s="562"/>
      <c r="IKC135" s="562"/>
      <c r="IKD135" s="562"/>
      <c r="IKE135" s="562"/>
      <c r="IKF135" s="562"/>
      <c r="IKG135" s="562"/>
      <c r="IKH135" s="562"/>
      <c r="IKI135" s="562"/>
      <c r="IKJ135" s="562"/>
      <c r="IKK135" s="562"/>
      <c r="IKL135" s="562"/>
      <c r="IKM135" s="562"/>
      <c r="IKN135" s="562"/>
      <c r="IKO135" s="562"/>
      <c r="IKP135" s="562"/>
      <c r="IKQ135" s="562"/>
      <c r="IKR135" s="562"/>
      <c r="IKS135" s="562"/>
      <c r="IKT135" s="562"/>
      <c r="IKU135" s="562"/>
      <c r="IKV135" s="562"/>
      <c r="IKW135" s="562"/>
      <c r="IKX135" s="562"/>
      <c r="IKY135" s="562"/>
      <c r="IKZ135" s="562"/>
      <c r="ILA135" s="562"/>
      <c r="ILB135" s="562"/>
      <c r="ILC135" s="562"/>
      <c r="ILD135" s="562"/>
      <c r="ILE135" s="562"/>
      <c r="ILF135" s="562"/>
      <c r="ILG135" s="562"/>
      <c r="ILH135" s="562"/>
      <c r="ILI135" s="562"/>
      <c r="ILJ135" s="562"/>
      <c r="ILK135" s="562"/>
      <c r="ILL135" s="562"/>
      <c r="ILM135" s="562"/>
      <c r="ILN135" s="562"/>
      <c r="ILO135" s="562"/>
      <c r="ILP135" s="562"/>
      <c r="ILQ135" s="562"/>
      <c r="ILR135" s="562"/>
      <c r="ILS135" s="562"/>
      <c r="ILT135" s="562"/>
      <c r="ILU135" s="562"/>
      <c r="ILV135" s="562"/>
      <c r="ILW135" s="562"/>
      <c r="ILX135" s="562"/>
      <c r="ILY135" s="562"/>
      <c r="ILZ135" s="562"/>
      <c r="IMA135" s="562"/>
      <c r="IMB135" s="562"/>
      <c r="IMC135" s="562"/>
      <c r="IMD135" s="562"/>
      <c r="IME135" s="562"/>
      <c r="IMF135" s="562"/>
      <c r="IMG135" s="562"/>
      <c r="IMH135" s="562"/>
      <c r="IMI135" s="562"/>
      <c r="IMJ135" s="562"/>
      <c r="IMK135" s="562"/>
      <c r="IML135" s="562"/>
      <c r="IMM135" s="562"/>
      <c r="IMN135" s="562"/>
      <c r="IMO135" s="562"/>
      <c r="IMP135" s="562"/>
      <c r="IMQ135" s="562"/>
      <c r="IMR135" s="562"/>
      <c r="IMS135" s="562"/>
      <c r="IMT135" s="562"/>
      <c r="IMU135" s="562"/>
      <c r="IMV135" s="562"/>
      <c r="IMW135" s="562"/>
      <c r="IMX135" s="562"/>
      <c r="IMY135" s="562"/>
      <c r="IMZ135" s="562"/>
      <c r="INA135" s="562"/>
      <c r="INB135" s="562"/>
      <c r="INC135" s="562"/>
      <c r="IND135" s="562"/>
      <c r="INE135" s="562"/>
      <c r="INF135" s="562"/>
      <c r="ING135" s="562"/>
      <c r="INH135" s="562"/>
      <c r="INI135" s="562"/>
      <c r="INJ135" s="562"/>
      <c r="INK135" s="562"/>
      <c r="INL135" s="562"/>
      <c r="INM135" s="562"/>
      <c r="INN135" s="562"/>
      <c r="INO135" s="562"/>
      <c r="INP135" s="562"/>
      <c r="INQ135" s="562"/>
      <c r="INR135" s="562"/>
      <c r="INS135" s="562"/>
      <c r="INT135" s="562"/>
      <c r="INU135" s="562"/>
      <c r="INV135" s="562"/>
      <c r="INW135" s="562"/>
      <c r="INX135" s="562"/>
      <c r="INY135" s="562"/>
      <c r="INZ135" s="562"/>
      <c r="IOA135" s="562"/>
      <c r="IOB135" s="562"/>
      <c r="IOC135" s="562"/>
      <c r="IOD135" s="562"/>
      <c r="IOE135" s="562"/>
      <c r="IOF135" s="562"/>
      <c r="IOG135" s="562"/>
      <c r="IOH135" s="562"/>
      <c r="IOI135" s="562"/>
      <c r="IOJ135" s="562"/>
      <c r="IOK135" s="562"/>
      <c r="IOL135" s="562"/>
      <c r="IOM135" s="562"/>
      <c r="ION135" s="562"/>
      <c r="IOO135" s="562"/>
      <c r="IOP135" s="562"/>
      <c r="IOQ135" s="562"/>
      <c r="IOR135" s="562"/>
      <c r="IOS135" s="562"/>
      <c r="IOT135" s="562"/>
      <c r="IOU135" s="562"/>
      <c r="IOV135" s="562"/>
      <c r="IOW135" s="562"/>
      <c r="IOX135" s="562"/>
      <c r="IOY135" s="562"/>
      <c r="IOZ135" s="562"/>
      <c r="IPA135" s="562"/>
      <c r="IPB135" s="562"/>
      <c r="IPC135" s="562"/>
      <c r="IPD135" s="562"/>
      <c r="IPE135" s="562"/>
      <c r="IPF135" s="562"/>
      <c r="IPG135" s="562"/>
      <c r="IPH135" s="562"/>
      <c r="IPI135" s="562"/>
      <c r="IPJ135" s="562"/>
      <c r="IPK135" s="562"/>
      <c r="IPL135" s="562"/>
      <c r="IPM135" s="562"/>
      <c r="IPN135" s="562"/>
      <c r="IPO135" s="562"/>
      <c r="IPP135" s="562"/>
      <c r="IPQ135" s="562"/>
      <c r="IPR135" s="562"/>
      <c r="IPS135" s="562"/>
      <c r="IPT135" s="562"/>
      <c r="IPU135" s="562"/>
      <c r="IPV135" s="562"/>
      <c r="IPW135" s="562"/>
      <c r="IPX135" s="562"/>
      <c r="IPY135" s="562"/>
      <c r="IPZ135" s="562"/>
      <c r="IQA135" s="562"/>
      <c r="IQB135" s="562"/>
      <c r="IQC135" s="562"/>
      <c r="IQD135" s="562"/>
      <c r="IQE135" s="562"/>
      <c r="IQF135" s="562"/>
      <c r="IQG135" s="562"/>
      <c r="IQH135" s="562"/>
      <c r="IQI135" s="562"/>
      <c r="IQJ135" s="562"/>
      <c r="IQK135" s="562"/>
      <c r="IQL135" s="562"/>
      <c r="IQM135" s="562"/>
      <c r="IQN135" s="562"/>
      <c r="IQO135" s="562"/>
      <c r="IQP135" s="562"/>
      <c r="IQQ135" s="562"/>
      <c r="IQR135" s="562"/>
      <c r="IQS135" s="562"/>
      <c r="IQT135" s="562"/>
      <c r="IQU135" s="562"/>
      <c r="IQV135" s="562"/>
      <c r="IQW135" s="562"/>
      <c r="IQX135" s="562"/>
      <c r="IQY135" s="562"/>
      <c r="IQZ135" s="562"/>
      <c r="IRA135" s="562"/>
      <c r="IRB135" s="562"/>
      <c r="IRC135" s="562"/>
      <c r="IRD135" s="562"/>
      <c r="IRE135" s="562"/>
      <c r="IRF135" s="562"/>
      <c r="IRG135" s="562"/>
      <c r="IRH135" s="562"/>
      <c r="IRI135" s="562"/>
      <c r="IRJ135" s="562"/>
      <c r="IRK135" s="562"/>
      <c r="IRL135" s="562"/>
      <c r="IRM135" s="562"/>
      <c r="IRN135" s="562"/>
      <c r="IRO135" s="562"/>
      <c r="IRP135" s="562"/>
      <c r="IRQ135" s="562"/>
      <c r="IRR135" s="562"/>
      <c r="IRS135" s="562"/>
      <c r="IRT135" s="562"/>
      <c r="IRU135" s="562"/>
      <c r="IRV135" s="562"/>
      <c r="IRW135" s="562"/>
      <c r="IRX135" s="562"/>
      <c r="IRY135" s="562"/>
      <c r="IRZ135" s="562"/>
      <c r="ISA135" s="562"/>
      <c r="ISB135" s="562"/>
      <c r="ISC135" s="562"/>
      <c r="ISD135" s="562"/>
      <c r="ISE135" s="562"/>
      <c r="ISF135" s="562"/>
      <c r="ISG135" s="562"/>
      <c r="ISH135" s="562"/>
      <c r="ISI135" s="562"/>
      <c r="ISJ135" s="562"/>
      <c r="ISK135" s="562"/>
      <c r="ISL135" s="562"/>
      <c r="ISM135" s="562"/>
      <c r="ISN135" s="562"/>
      <c r="ISO135" s="562"/>
      <c r="ISP135" s="562"/>
      <c r="ISQ135" s="562"/>
      <c r="ISR135" s="562"/>
      <c r="ISS135" s="562"/>
      <c r="IST135" s="562"/>
      <c r="ISU135" s="562"/>
      <c r="ISV135" s="562"/>
      <c r="ISW135" s="562"/>
      <c r="ISX135" s="562"/>
      <c r="ISY135" s="562"/>
      <c r="ISZ135" s="562"/>
      <c r="ITA135" s="562"/>
      <c r="ITB135" s="562"/>
      <c r="ITC135" s="562"/>
      <c r="ITD135" s="562"/>
      <c r="ITE135" s="562"/>
      <c r="ITF135" s="562"/>
      <c r="ITG135" s="562"/>
      <c r="ITH135" s="562"/>
      <c r="ITI135" s="562"/>
      <c r="ITJ135" s="562"/>
      <c r="ITK135" s="562"/>
      <c r="ITL135" s="562"/>
      <c r="ITM135" s="562"/>
      <c r="ITN135" s="562"/>
      <c r="ITO135" s="562"/>
      <c r="ITP135" s="562"/>
      <c r="ITQ135" s="562"/>
      <c r="ITR135" s="562"/>
      <c r="ITS135" s="562"/>
      <c r="ITT135" s="562"/>
      <c r="ITU135" s="562"/>
      <c r="ITV135" s="562"/>
      <c r="ITW135" s="562"/>
      <c r="ITX135" s="562"/>
      <c r="ITY135" s="562"/>
      <c r="ITZ135" s="562"/>
      <c r="IUA135" s="562"/>
      <c r="IUB135" s="562"/>
      <c r="IUC135" s="562"/>
      <c r="IUD135" s="562"/>
      <c r="IUE135" s="562"/>
      <c r="IUF135" s="562"/>
      <c r="IUG135" s="562"/>
      <c r="IUH135" s="562"/>
      <c r="IUI135" s="562"/>
      <c r="IUJ135" s="562"/>
      <c r="IUK135" s="562"/>
      <c r="IUL135" s="562"/>
      <c r="IUM135" s="562"/>
      <c r="IUN135" s="562"/>
      <c r="IUO135" s="562"/>
      <c r="IUP135" s="562"/>
      <c r="IUQ135" s="562"/>
      <c r="IUR135" s="562"/>
      <c r="IUS135" s="562"/>
      <c r="IUT135" s="562"/>
      <c r="IUU135" s="562"/>
      <c r="IUV135" s="562"/>
      <c r="IUW135" s="562"/>
      <c r="IUX135" s="562"/>
      <c r="IUY135" s="562"/>
      <c r="IUZ135" s="562"/>
      <c r="IVA135" s="562"/>
      <c r="IVB135" s="562"/>
      <c r="IVC135" s="562"/>
      <c r="IVD135" s="562"/>
      <c r="IVE135" s="562"/>
      <c r="IVF135" s="562"/>
      <c r="IVG135" s="562"/>
      <c r="IVH135" s="562"/>
      <c r="IVI135" s="562"/>
      <c r="IVJ135" s="562"/>
      <c r="IVK135" s="562"/>
      <c r="IVL135" s="562"/>
      <c r="IVM135" s="562"/>
      <c r="IVN135" s="562"/>
      <c r="IVO135" s="562"/>
      <c r="IVP135" s="562"/>
      <c r="IVQ135" s="562"/>
      <c r="IVR135" s="562"/>
      <c r="IVS135" s="562"/>
      <c r="IVT135" s="562"/>
      <c r="IVU135" s="562"/>
      <c r="IVV135" s="562"/>
      <c r="IVW135" s="562"/>
      <c r="IVX135" s="562"/>
      <c r="IVY135" s="562"/>
      <c r="IVZ135" s="562"/>
      <c r="IWA135" s="562"/>
      <c r="IWB135" s="562"/>
      <c r="IWC135" s="562"/>
      <c r="IWD135" s="562"/>
      <c r="IWE135" s="562"/>
      <c r="IWF135" s="562"/>
      <c r="IWG135" s="562"/>
      <c r="IWH135" s="562"/>
      <c r="IWI135" s="562"/>
      <c r="IWJ135" s="562"/>
      <c r="IWK135" s="562"/>
      <c r="IWL135" s="562"/>
      <c r="IWM135" s="562"/>
      <c r="IWN135" s="562"/>
      <c r="IWO135" s="562"/>
      <c r="IWP135" s="562"/>
      <c r="IWQ135" s="562"/>
      <c r="IWR135" s="562"/>
      <c r="IWS135" s="562"/>
      <c r="IWT135" s="562"/>
      <c r="IWU135" s="562"/>
      <c r="IWV135" s="562"/>
      <c r="IWW135" s="562"/>
      <c r="IWX135" s="562"/>
      <c r="IWY135" s="562"/>
      <c r="IWZ135" s="562"/>
      <c r="IXA135" s="562"/>
      <c r="IXB135" s="562"/>
      <c r="IXC135" s="562"/>
      <c r="IXD135" s="562"/>
      <c r="IXE135" s="562"/>
      <c r="IXF135" s="562"/>
      <c r="IXG135" s="562"/>
      <c r="IXH135" s="562"/>
      <c r="IXI135" s="562"/>
      <c r="IXJ135" s="562"/>
      <c r="IXK135" s="562"/>
      <c r="IXL135" s="562"/>
      <c r="IXM135" s="562"/>
      <c r="IXN135" s="562"/>
      <c r="IXO135" s="562"/>
      <c r="IXP135" s="562"/>
      <c r="IXQ135" s="562"/>
      <c r="IXR135" s="562"/>
      <c r="IXS135" s="562"/>
      <c r="IXT135" s="562"/>
      <c r="IXU135" s="562"/>
      <c r="IXV135" s="562"/>
      <c r="IXW135" s="562"/>
      <c r="IXX135" s="562"/>
      <c r="IXY135" s="562"/>
      <c r="IXZ135" s="562"/>
      <c r="IYA135" s="562"/>
      <c r="IYB135" s="562"/>
      <c r="IYC135" s="562"/>
      <c r="IYD135" s="562"/>
      <c r="IYE135" s="562"/>
      <c r="IYF135" s="562"/>
      <c r="IYG135" s="562"/>
      <c r="IYH135" s="562"/>
      <c r="IYI135" s="562"/>
      <c r="IYJ135" s="562"/>
      <c r="IYK135" s="562"/>
      <c r="IYL135" s="562"/>
      <c r="IYM135" s="562"/>
      <c r="IYN135" s="562"/>
      <c r="IYO135" s="562"/>
      <c r="IYP135" s="562"/>
      <c r="IYQ135" s="562"/>
      <c r="IYR135" s="562"/>
      <c r="IYS135" s="562"/>
      <c r="IYT135" s="562"/>
      <c r="IYU135" s="562"/>
      <c r="IYV135" s="562"/>
      <c r="IYW135" s="562"/>
      <c r="IYX135" s="562"/>
      <c r="IYY135" s="562"/>
      <c r="IYZ135" s="562"/>
      <c r="IZA135" s="562"/>
      <c r="IZB135" s="562"/>
      <c r="IZC135" s="562"/>
      <c r="IZD135" s="562"/>
      <c r="IZE135" s="562"/>
      <c r="IZF135" s="562"/>
      <c r="IZG135" s="562"/>
      <c r="IZH135" s="562"/>
      <c r="IZI135" s="562"/>
      <c r="IZJ135" s="562"/>
      <c r="IZK135" s="562"/>
      <c r="IZL135" s="562"/>
      <c r="IZM135" s="562"/>
      <c r="IZN135" s="562"/>
      <c r="IZO135" s="562"/>
      <c r="IZP135" s="562"/>
      <c r="IZQ135" s="562"/>
      <c r="IZR135" s="562"/>
      <c r="IZS135" s="562"/>
      <c r="IZT135" s="562"/>
      <c r="IZU135" s="562"/>
      <c r="IZV135" s="562"/>
      <c r="IZW135" s="562"/>
      <c r="IZX135" s="562"/>
      <c r="IZY135" s="562"/>
      <c r="IZZ135" s="562"/>
      <c r="JAA135" s="562"/>
      <c r="JAB135" s="562"/>
      <c r="JAC135" s="562"/>
      <c r="JAD135" s="562"/>
      <c r="JAE135" s="562"/>
      <c r="JAF135" s="562"/>
      <c r="JAG135" s="562"/>
      <c r="JAH135" s="562"/>
      <c r="JAI135" s="562"/>
      <c r="JAJ135" s="562"/>
      <c r="JAK135" s="562"/>
      <c r="JAL135" s="562"/>
      <c r="JAM135" s="562"/>
      <c r="JAN135" s="562"/>
      <c r="JAO135" s="562"/>
      <c r="JAP135" s="562"/>
      <c r="JAQ135" s="562"/>
      <c r="JAR135" s="562"/>
      <c r="JAS135" s="562"/>
      <c r="JAT135" s="562"/>
      <c r="JAU135" s="562"/>
      <c r="JAV135" s="562"/>
      <c r="JAW135" s="562"/>
      <c r="JAX135" s="562"/>
      <c r="JAY135" s="562"/>
      <c r="JAZ135" s="562"/>
      <c r="JBA135" s="562"/>
      <c r="JBB135" s="562"/>
      <c r="JBC135" s="562"/>
      <c r="JBD135" s="562"/>
      <c r="JBE135" s="562"/>
      <c r="JBF135" s="562"/>
      <c r="JBG135" s="562"/>
      <c r="JBH135" s="562"/>
      <c r="JBI135" s="562"/>
      <c r="JBJ135" s="562"/>
      <c r="JBK135" s="562"/>
      <c r="JBL135" s="562"/>
      <c r="JBM135" s="562"/>
      <c r="JBN135" s="562"/>
      <c r="JBO135" s="562"/>
      <c r="JBP135" s="562"/>
      <c r="JBQ135" s="562"/>
      <c r="JBR135" s="562"/>
      <c r="JBS135" s="562"/>
      <c r="JBT135" s="562"/>
      <c r="JBU135" s="562"/>
      <c r="JBV135" s="562"/>
      <c r="JBW135" s="562"/>
      <c r="JBX135" s="562"/>
      <c r="JBY135" s="562"/>
      <c r="JBZ135" s="562"/>
      <c r="JCA135" s="562"/>
      <c r="JCB135" s="562"/>
      <c r="JCC135" s="562"/>
      <c r="JCD135" s="562"/>
      <c r="JCE135" s="562"/>
      <c r="JCF135" s="562"/>
      <c r="JCG135" s="562"/>
      <c r="JCH135" s="562"/>
      <c r="JCI135" s="562"/>
      <c r="JCJ135" s="562"/>
      <c r="JCK135" s="562"/>
      <c r="JCL135" s="562"/>
      <c r="JCM135" s="562"/>
      <c r="JCN135" s="562"/>
      <c r="JCO135" s="562"/>
      <c r="JCP135" s="562"/>
      <c r="JCQ135" s="562"/>
      <c r="JCR135" s="562"/>
      <c r="JCS135" s="562"/>
      <c r="JCT135" s="562"/>
      <c r="JCU135" s="562"/>
      <c r="JCV135" s="562"/>
      <c r="JCW135" s="562"/>
      <c r="JCX135" s="562"/>
      <c r="JCY135" s="562"/>
      <c r="JCZ135" s="562"/>
      <c r="JDA135" s="562"/>
      <c r="JDB135" s="562"/>
      <c r="JDC135" s="562"/>
      <c r="JDD135" s="562"/>
      <c r="JDE135" s="562"/>
      <c r="JDF135" s="562"/>
      <c r="JDG135" s="562"/>
      <c r="JDH135" s="562"/>
      <c r="JDI135" s="562"/>
      <c r="JDJ135" s="562"/>
      <c r="JDK135" s="562"/>
      <c r="JDL135" s="562"/>
      <c r="JDM135" s="562"/>
      <c r="JDN135" s="562"/>
      <c r="JDO135" s="562"/>
      <c r="JDP135" s="562"/>
      <c r="JDQ135" s="562"/>
      <c r="JDR135" s="562"/>
      <c r="JDS135" s="562"/>
      <c r="JDT135" s="562"/>
      <c r="JDU135" s="562"/>
      <c r="JDV135" s="562"/>
      <c r="JDW135" s="562"/>
      <c r="JDX135" s="562"/>
      <c r="JDY135" s="562"/>
      <c r="JDZ135" s="562"/>
      <c r="JEA135" s="562"/>
      <c r="JEB135" s="562"/>
      <c r="JEC135" s="562"/>
      <c r="JED135" s="562"/>
      <c r="JEE135" s="562"/>
      <c r="JEF135" s="562"/>
      <c r="JEG135" s="562"/>
      <c r="JEH135" s="562"/>
      <c r="JEI135" s="562"/>
      <c r="JEJ135" s="562"/>
      <c r="JEK135" s="562"/>
      <c r="JEL135" s="562"/>
      <c r="JEM135" s="562"/>
      <c r="JEN135" s="562"/>
      <c r="JEO135" s="562"/>
      <c r="JEP135" s="562"/>
      <c r="JEQ135" s="562"/>
      <c r="JER135" s="562"/>
      <c r="JES135" s="562"/>
      <c r="JET135" s="562"/>
      <c r="JEU135" s="562"/>
      <c r="JEV135" s="562"/>
      <c r="JEW135" s="562"/>
      <c r="JEX135" s="562"/>
      <c r="JEY135" s="562"/>
      <c r="JEZ135" s="562"/>
      <c r="JFA135" s="562"/>
      <c r="JFB135" s="562"/>
      <c r="JFC135" s="562"/>
      <c r="JFD135" s="562"/>
      <c r="JFE135" s="562"/>
      <c r="JFF135" s="562"/>
      <c r="JFG135" s="562"/>
      <c r="JFH135" s="562"/>
      <c r="JFI135" s="562"/>
      <c r="JFJ135" s="562"/>
      <c r="JFK135" s="562"/>
      <c r="JFL135" s="562"/>
      <c r="JFM135" s="562"/>
      <c r="JFN135" s="562"/>
      <c r="JFO135" s="562"/>
      <c r="JFP135" s="562"/>
      <c r="JFQ135" s="562"/>
      <c r="JFR135" s="562"/>
      <c r="JFS135" s="562"/>
      <c r="JFT135" s="562"/>
      <c r="JFU135" s="562"/>
      <c r="JFV135" s="562"/>
      <c r="JFW135" s="562"/>
      <c r="JFX135" s="562"/>
      <c r="JFY135" s="562"/>
      <c r="JFZ135" s="562"/>
      <c r="JGA135" s="562"/>
      <c r="JGB135" s="562"/>
      <c r="JGC135" s="562"/>
      <c r="JGD135" s="562"/>
      <c r="JGE135" s="562"/>
      <c r="JGF135" s="562"/>
      <c r="JGG135" s="562"/>
      <c r="JGH135" s="562"/>
      <c r="JGI135" s="562"/>
      <c r="JGJ135" s="562"/>
      <c r="JGK135" s="562"/>
      <c r="JGL135" s="562"/>
      <c r="JGM135" s="562"/>
      <c r="JGN135" s="562"/>
      <c r="JGO135" s="562"/>
      <c r="JGP135" s="562"/>
      <c r="JGQ135" s="562"/>
      <c r="JGR135" s="562"/>
      <c r="JGS135" s="562"/>
      <c r="JGT135" s="562"/>
      <c r="JGU135" s="562"/>
      <c r="JGV135" s="562"/>
      <c r="JGW135" s="562"/>
      <c r="JGX135" s="562"/>
      <c r="JGY135" s="562"/>
      <c r="JGZ135" s="562"/>
      <c r="JHA135" s="562"/>
      <c r="JHB135" s="562"/>
      <c r="JHC135" s="562"/>
      <c r="JHD135" s="562"/>
      <c r="JHE135" s="562"/>
      <c r="JHF135" s="562"/>
      <c r="JHG135" s="562"/>
      <c r="JHH135" s="562"/>
      <c r="JHI135" s="562"/>
      <c r="JHJ135" s="562"/>
      <c r="JHK135" s="562"/>
      <c r="JHL135" s="562"/>
      <c r="JHM135" s="562"/>
      <c r="JHN135" s="562"/>
      <c r="JHO135" s="562"/>
      <c r="JHP135" s="562"/>
      <c r="JHQ135" s="562"/>
      <c r="JHR135" s="562"/>
      <c r="JHS135" s="562"/>
      <c r="JHT135" s="562"/>
      <c r="JHU135" s="562"/>
      <c r="JHV135" s="562"/>
      <c r="JHW135" s="562"/>
      <c r="JHX135" s="562"/>
      <c r="JHY135" s="562"/>
      <c r="JHZ135" s="562"/>
      <c r="JIA135" s="562"/>
      <c r="JIB135" s="562"/>
      <c r="JIC135" s="562"/>
      <c r="JID135" s="562"/>
      <c r="JIE135" s="562"/>
      <c r="JIF135" s="562"/>
      <c r="JIG135" s="562"/>
      <c r="JIH135" s="562"/>
      <c r="JII135" s="562"/>
      <c r="JIJ135" s="562"/>
      <c r="JIK135" s="562"/>
      <c r="JIL135" s="562"/>
      <c r="JIM135" s="562"/>
      <c r="JIN135" s="562"/>
      <c r="JIO135" s="562"/>
      <c r="JIP135" s="562"/>
      <c r="JIQ135" s="562"/>
      <c r="JIR135" s="562"/>
      <c r="JIS135" s="562"/>
      <c r="JIT135" s="562"/>
      <c r="JIU135" s="562"/>
      <c r="JIV135" s="562"/>
      <c r="JIW135" s="562"/>
      <c r="JIX135" s="562"/>
      <c r="JIY135" s="562"/>
      <c r="JIZ135" s="562"/>
      <c r="JJA135" s="562"/>
      <c r="JJB135" s="562"/>
      <c r="JJC135" s="562"/>
      <c r="JJD135" s="562"/>
      <c r="JJE135" s="562"/>
      <c r="JJF135" s="562"/>
      <c r="JJG135" s="562"/>
      <c r="JJH135" s="562"/>
      <c r="JJI135" s="562"/>
      <c r="JJJ135" s="562"/>
      <c r="JJK135" s="562"/>
      <c r="JJL135" s="562"/>
      <c r="JJM135" s="562"/>
      <c r="JJN135" s="562"/>
      <c r="JJO135" s="562"/>
      <c r="JJP135" s="562"/>
      <c r="JJQ135" s="562"/>
      <c r="JJR135" s="562"/>
      <c r="JJS135" s="562"/>
      <c r="JJT135" s="562"/>
      <c r="JJU135" s="562"/>
      <c r="JJV135" s="562"/>
      <c r="JJW135" s="562"/>
      <c r="JJX135" s="562"/>
      <c r="JJY135" s="562"/>
      <c r="JJZ135" s="562"/>
      <c r="JKA135" s="562"/>
      <c r="JKB135" s="562"/>
      <c r="JKC135" s="562"/>
      <c r="JKD135" s="562"/>
      <c r="JKE135" s="562"/>
      <c r="JKF135" s="562"/>
      <c r="JKG135" s="562"/>
      <c r="JKH135" s="562"/>
      <c r="JKI135" s="562"/>
      <c r="JKJ135" s="562"/>
      <c r="JKK135" s="562"/>
      <c r="JKL135" s="562"/>
      <c r="JKM135" s="562"/>
      <c r="JKN135" s="562"/>
      <c r="JKO135" s="562"/>
      <c r="JKP135" s="562"/>
      <c r="JKQ135" s="562"/>
      <c r="JKR135" s="562"/>
      <c r="JKS135" s="562"/>
      <c r="JKT135" s="562"/>
      <c r="JKU135" s="562"/>
      <c r="JKV135" s="562"/>
      <c r="JKW135" s="562"/>
      <c r="JKX135" s="562"/>
      <c r="JKY135" s="562"/>
      <c r="JKZ135" s="562"/>
      <c r="JLA135" s="562"/>
      <c r="JLB135" s="562"/>
      <c r="JLC135" s="562"/>
      <c r="JLD135" s="562"/>
      <c r="JLE135" s="562"/>
      <c r="JLF135" s="562"/>
      <c r="JLG135" s="562"/>
      <c r="JLH135" s="562"/>
      <c r="JLI135" s="562"/>
      <c r="JLJ135" s="562"/>
      <c r="JLK135" s="562"/>
      <c r="JLL135" s="562"/>
      <c r="JLM135" s="562"/>
      <c r="JLN135" s="562"/>
      <c r="JLO135" s="562"/>
      <c r="JLP135" s="562"/>
      <c r="JLQ135" s="562"/>
      <c r="JLR135" s="562"/>
      <c r="JLS135" s="562"/>
      <c r="JLT135" s="562"/>
      <c r="JLU135" s="562"/>
      <c r="JLV135" s="562"/>
      <c r="JLW135" s="562"/>
      <c r="JLX135" s="562"/>
      <c r="JLY135" s="562"/>
      <c r="JLZ135" s="562"/>
      <c r="JMA135" s="562"/>
      <c r="JMB135" s="562"/>
      <c r="JMC135" s="562"/>
      <c r="JMD135" s="562"/>
      <c r="JME135" s="562"/>
      <c r="JMF135" s="562"/>
      <c r="JMG135" s="562"/>
      <c r="JMH135" s="562"/>
      <c r="JMI135" s="562"/>
      <c r="JMJ135" s="562"/>
      <c r="JMK135" s="562"/>
      <c r="JML135" s="562"/>
      <c r="JMM135" s="562"/>
      <c r="JMN135" s="562"/>
      <c r="JMO135" s="562"/>
      <c r="JMP135" s="562"/>
      <c r="JMQ135" s="562"/>
      <c r="JMR135" s="562"/>
      <c r="JMS135" s="562"/>
      <c r="JMT135" s="562"/>
      <c r="JMU135" s="562"/>
      <c r="JMV135" s="562"/>
      <c r="JMW135" s="562"/>
      <c r="JMX135" s="562"/>
      <c r="JMY135" s="562"/>
      <c r="JMZ135" s="562"/>
      <c r="JNA135" s="562"/>
      <c r="JNB135" s="562"/>
      <c r="JNC135" s="562"/>
      <c r="JND135" s="562"/>
      <c r="JNE135" s="562"/>
      <c r="JNF135" s="562"/>
      <c r="JNG135" s="562"/>
      <c r="JNH135" s="562"/>
      <c r="JNI135" s="562"/>
      <c r="JNJ135" s="562"/>
      <c r="JNK135" s="562"/>
      <c r="JNL135" s="562"/>
      <c r="JNM135" s="562"/>
      <c r="JNN135" s="562"/>
      <c r="JNO135" s="562"/>
      <c r="JNP135" s="562"/>
      <c r="JNQ135" s="562"/>
      <c r="JNR135" s="562"/>
      <c r="JNS135" s="562"/>
      <c r="JNT135" s="562"/>
      <c r="JNU135" s="562"/>
      <c r="JNV135" s="562"/>
      <c r="JNW135" s="562"/>
      <c r="JNX135" s="562"/>
      <c r="JNY135" s="562"/>
      <c r="JNZ135" s="562"/>
      <c r="JOA135" s="562"/>
      <c r="JOB135" s="562"/>
      <c r="JOC135" s="562"/>
      <c r="JOD135" s="562"/>
      <c r="JOE135" s="562"/>
      <c r="JOF135" s="562"/>
      <c r="JOG135" s="562"/>
      <c r="JOH135" s="562"/>
      <c r="JOI135" s="562"/>
      <c r="JOJ135" s="562"/>
      <c r="JOK135" s="562"/>
      <c r="JOL135" s="562"/>
      <c r="JOM135" s="562"/>
      <c r="JON135" s="562"/>
      <c r="JOO135" s="562"/>
      <c r="JOP135" s="562"/>
      <c r="JOQ135" s="562"/>
      <c r="JOR135" s="562"/>
      <c r="JOS135" s="562"/>
      <c r="JOT135" s="562"/>
      <c r="JOU135" s="562"/>
      <c r="JOV135" s="562"/>
      <c r="JOW135" s="562"/>
      <c r="JOX135" s="562"/>
      <c r="JOY135" s="562"/>
      <c r="JOZ135" s="562"/>
      <c r="JPA135" s="562"/>
      <c r="JPB135" s="562"/>
      <c r="JPC135" s="562"/>
      <c r="JPD135" s="562"/>
      <c r="JPE135" s="562"/>
      <c r="JPF135" s="562"/>
      <c r="JPG135" s="562"/>
      <c r="JPH135" s="562"/>
      <c r="JPI135" s="562"/>
      <c r="JPJ135" s="562"/>
      <c r="JPK135" s="562"/>
      <c r="JPL135" s="562"/>
      <c r="JPM135" s="562"/>
      <c r="JPN135" s="562"/>
      <c r="JPO135" s="562"/>
      <c r="JPP135" s="562"/>
      <c r="JPQ135" s="562"/>
      <c r="JPR135" s="562"/>
      <c r="JPS135" s="562"/>
      <c r="JPT135" s="562"/>
      <c r="JPU135" s="562"/>
      <c r="JPV135" s="562"/>
      <c r="JPW135" s="562"/>
      <c r="JPX135" s="562"/>
      <c r="JPY135" s="562"/>
      <c r="JPZ135" s="562"/>
      <c r="JQA135" s="562"/>
      <c r="JQB135" s="562"/>
      <c r="JQC135" s="562"/>
      <c r="JQD135" s="562"/>
      <c r="JQE135" s="562"/>
      <c r="JQF135" s="562"/>
      <c r="JQG135" s="562"/>
      <c r="JQH135" s="562"/>
      <c r="JQI135" s="562"/>
      <c r="JQJ135" s="562"/>
      <c r="JQK135" s="562"/>
      <c r="JQL135" s="562"/>
      <c r="JQM135" s="562"/>
      <c r="JQN135" s="562"/>
      <c r="JQO135" s="562"/>
      <c r="JQP135" s="562"/>
      <c r="JQQ135" s="562"/>
      <c r="JQR135" s="562"/>
      <c r="JQS135" s="562"/>
      <c r="JQT135" s="562"/>
      <c r="JQU135" s="562"/>
      <c r="JQV135" s="562"/>
      <c r="JQW135" s="562"/>
      <c r="JQX135" s="562"/>
      <c r="JQY135" s="562"/>
      <c r="JQZ135" s="562"/>
      <c r="JRA135" s="562"/>
      <c r="JRB135" s="562"/>
      <c r="JRC135" s="562"/>
      <c r="JRD135" s="562"/>
      <c r="JRE135" s="562"/>
      <c r="JRF135" s="562"/>
      <c r="JRG135" s="562"/>
      <c r="JRH135" s="562"/>
      <c r="JRI135" s="562"/>
      <c r="JRJ135" s="562"/>
      <c r="JRK135" s="562"/>
      <c r="JRL135" s="562"/>
      <c r="JRM135" s="562"/>
      <c r="JRN135" s="562"/>
      <c r="JRO135" s="562"/>
      <c r="JRP135" s="562"/>
      <c r="JRQ135" s="562"/>
      <c r="JRR135" s="562"/>
      <c r="JRS135" s="562"/>
      <c r="JRT135" s="562"/>
      <c r="JRU135" s="562"/>
      <c r="JRV135" s="562"/>
      <c r="JRW135" s="562"/>
      <c r="JRX135" s="562"/>
      <c r="JRY135" s="562"/>
      <c r="JRZ135" s="562"/>
      <c r="JSA135" s="562"/>
      <c r="JSB135" s="562"/>
      <c r="JSC135" s="562"/>
      <c r="JSD135" s="562"/>
      <c r="JSE135" s="562"/>
      <c r="JSF135" s="562"/>
      <c r="JSG135" s="562"/>
      <c r="JSH135" s="562"/>
      <c r="JSI135" s="562"/>
      <c r="JSJ135" s="562"/>
      <c r="JSK135" s="562"/>
      <c r="JSL135" s="562"/>
      <c r="JSM135" s="562"/>
      <c r="JSN135" s="562"/>
      <c r="JSO135" s="562"/>
      <c r="JSP135" s="562"/>
      <c r="JSQ135" s="562"/>
      <c r="JSR135" s="562"/>
      <c r="JSS135" s="562"/>
      <c r="JST135" s="562"/>
      <c r="JSU135" s="562"/>
      <c r="JSV135" s="562"/>
      <c r="JSW135" s="562"/>
      <c r="JSX135" s="562"/>
      <c r="JSY135" s="562"/>
      <c r="JSZ135" s="562"/>
      <c r="JTA135" s="562"/>
      <c r="JTB135" s="562"/>
      <c r="JTC135" s="562"/>
      <c r="JTD135" s="562"/>
      <c r="JTE135" s="562"/>
      <c r="JTF135" s="562"/>
      <c r="JTG135" s="562"/>
      <c r="JTH135" s="562"/>
      <c r="JTI135" s="562"/>
      <c r="JTJ135" s="562"/>
      <c r="JTK135" s="562"/>
      <c r="JTL135" s="562"/>
      <c r="JTM135" s="562"/>
      <c r="JTN135" s="562"/>
      <c r="JTO135" s="562"/>
      <c r="JTP135" s="562"/>
      <c r="JTQ135" s="562"/>
      <c r="JTR135" s="562"/>
      <c r="JTS135" s="562"/>
      <c r="JTT135" s="562"/>
      <c r="JTU135" s="562"/>
      <c r="JTV135" s="562"/>
      <c r="JTW135" s="562"/>
      <c r="JTX135" s="562"/>
      <c r="JTY135" s="562"/>
      <c r="JTZ135" s="562"/>
      <c r="JUA135" s="562"/>
      <c r="JUB135" s="562"/>
      <c r="JUC135" s="562"/>
      <c r="JUD135" s="562"/>
      <c r="JUE135" s="562"/>
      <c r="JUF135" s="562"/>
      <c r="JUG135" s="562"/>
      <c r="JUH135" s="562"/>
      <c r="JUI135" s="562"/>
      <c r="JUJ135" s="562"/>
      <c r="JUK135" s="562"/>
      <c r="JUL135" s="562"/>
      <c r="JUM135" s="562"/>
      <c r="JUN135" s="562"/>
      <c r="JUO135" s="562"/>
      <c r="JUP135" s="562"/>
      <c r="JUQ135" s="562"/>
      <c r="JUR135" s="562"/>
      <c r="JUS135" s="562"/>
      <c r="JUT135" s="562"/>
      <c r="JUU135" s="562"/>
      <c r="JUV135" s="562"/>
      <c r="JUW135" s="562"/>
      <c r="JUX135" s="562"/>
      <c r="JUY135" s="562"/>
      <c r="JUZ135" s="562"/>
      <c r="JVA135" s="562"/>
      <c r="JVB135" s="562"/>
      <c r="JVC135" s="562"/>
      <c r="JVD135" s="562"/>
      <c r="JVE135" s="562"/>
      <c r="JVF135" s="562"/>
      <c r="JVG135" s="562"/>
      <c r="JVH135" s="562"/>
      <c r="JVI135" s="562"/>
      <c r="JVJ135" s="562"/>
      <c r="JVK135" s="562"/>
      <c r="JVL135" s="562"/>
      <c r="JVM135" s="562"/>
      <c r="JVN135" s="562"/>
      <c r="JVO135" s="562"/>
      <c r="JVP135" s="562"/>
      <c r="JVQ135" s="562"/>
      <c r="JVR135" s="562"/>
      <c r="JVS135" s="562"/>
      <c r="JVT135" s="562"/>
      <c r="JVU135" s="562"/>
      <c r="JVV135" s="562"/>
      <c r="JVW135" s="562"/>
      <c r="JVX135" s="562"/>
      <c r="JVY135" s="562"/>
      <c r="JVZ135" s="562"/>
      <c r="JWA135" s="562"/>
      <c r="JWB135" s="562"/>
      <c r="JWC135" s="562"/>
      <c r="JWD135" s="562"/>
      <c r="JWE135" s="562"/>
      <c r="JWF135" s="562"/>
      <c r="JWG135" s="562"/>
      <c r="JWH135" s="562"/>
      <c r="JWI135" s="562"/>
      <c r="JWJ135" s="562"/>
      <c r="JWK135" s="562"/>
      <c r="JWL135" s="562"/>
      <c r="JWM135" s="562"/>
      <c r="JWN135" s="562"/>
      <c r="JWO135" s="562"/>
      <c r="JWP135" s="562"/>
      <c r="JWQ135" s="562"/>
      <c r="JWR135" s="562"/>
      <c r="JWS135" s="562"/>
      <c r="JWT135" s="562"/>
      <c r="JWU135" s="562"/>
      <c r="JWV135" s="562"/>
      <c r="JWW135" s="562"/>
      <c r="JWX135" s="562"/>
      <c r="JWY135" s="562"/>
      <c r="JWZ135" s="562"/>
      <c r="JXA135" s="562"/>
      <c r="JXB135" s="562"/>
      <c r="JXC135" s="562"/>
      <c r="JXD135" s="562"/>
      <c r="JXE135" s="562"/>
      <c r="JXF135" s="562"/>
      <c r="JXG135" s="562"/>
      <c r="JXH135" s="562"/>
      <c r="JXI135" s="562"/>
      <c r="JXJ135" s="562"/>
      <c r="JXK135" s="562"/>
      <c r="JXL135" s="562"/>
      <c r="JXM135" s="562"/>
      <c r="JXN135" s="562"/>
      <c r="JXO135" s="562"/>
      <c r="JXP135" s="562"/>
      <c r="JXQ135" s="562"/>
      <c r="JXR135" s="562"/>
      <c r="JXS135" s="562"/>
      <c r="JXT135" s="562"/>
      <c r="JXU135" s="562"/>
      <c r="JXV135" s="562"/>
      <c r="JXW135" s="562"/>
      <c r="JXX135" s="562"/>
      <c r="JXY135" s="562"/>
      <c r="JXZ135" s="562"/>
      <c r="JYA135" s="562"/>
      <c r="JYB135" s="562"/>
      <c r="JYC135" s="562"/>
      <c r="JYD135" s="562"/>
      <c r="JYE135" s="562"/>
      <c r="JYF135" s="562"/>
      <c r="JYG135" s="562"/>
      <c r="JYH135" s="562"/>
      <c r="JYI135" s="562"/>
      <c r="JYJ135" s="562"/>
      <c r="JYK135" s="562"/>
      <c r="JYL135" s="562"/>
      <c r="JYM135" s="562"/>
      <c r="JYN135" s="562"/>
      <c r="JYO135" s="562"/>
      <c r="JYP135" s="562"/>
      <c r="JYQ135" s="562"/>
      <c r="JYR135" s="562"/>
      <c r="JYS135" s="562"/>
      <c r="JYT135" s="562"/>
      <c r="JYU135" s="562"/>
      <c r="JYV135" s="562"/>
      <c r="JYW135" s="562"/>
      <c r="JYX135" s="562"/>
      <c r="JYY135" s="562"/>
      <c r="JYZ135" s="562"/>
      <c r="JZA135" s="562"/>
      <c r="JZB135" s="562"/>
      <c r="JZC135" s="562"/>
      <c r="JZD135" s="562"/>
      <c r="JZE135" s="562"/>
      <c r="JZF135" s="562"/>
      <c r="JZG135" s="562"/>
      <c r="JZH135" s="562"/>
      <c r="JZI135" s="562"/>
      <c r="JZJ135" s="562"/>
      <c r="JZK135" s="562"/>
      <c r="JZL135" s="562"/>
      <c r="JZM135" s="562"/>
      <c r="JZN135" s="562"/>
      <c r="JZO135" s="562"/>
      <c r="JZP135" s="562"/>
      <c r="JZQ135" s="562"/>
      <c r="JZR135" s="562"/>
      <c r="JZS135" s="562"/>
      <c r="JZT135" s="562"/>
      <c r="JZU135" s="562"/>
      <c r="JZV135" s="562"/>
      <c r="JZW135" s="562"/>
      <c r="JZX135" s="562"/>
      <c r="JZY135" s="562"/>
      <c r="JZZ135" s="562"/>
      <c r="KAA135" s="562"/>
      <c r="KAB135" s="562"/>
      <c r="KAC135" s="562"/>
      <c r="KAD135" s="562"/>
      <c r="KAE135" s="562"/>
      <c r="KAF135" s="562"/>
      <c r="KAG135" s="562"/>
      <c r="KAH135" s="562"/>
      <c r="KAI135" s="562"/>
      <c r="KAJ135" s="562"/>
      <c r="KAK135" s="562"/>
      <c r="KAL135" s="562"/>
      <c r="KAM135" s="562"/>
      <c r="KAN135" s="562"/>
      <c r="KAO135" s="562"/>
      <c r="KAP135" s="562"/>
      <c r="KAQ135" s="562"/>
      <c r="KAR135" s="562"/>
      <c r="KAS135" s="562"/>
      <c r="KAT135" s="562"/>
      <c r="KAU135" s="562"/>
      <c r="KAV135" s="562"/>
      <c r="KAW135" s="562"/>
      <c r="KAX135" s="562"/>
      <c r="KAY135" s="562"/>
      <c r="KAZ135" s="562"/>
      <c r="KBA135" s="562"/>
      <c r="KBB135" s="562"/>
      <c r="KBC135" s="562"/>
      <c r="KBD135" s="562"/>
      <c r="KBE135" s="562"/>
      <c r="KBF135" s="562"/>
      <c r="KBG135" s="562"/>
      <c r="KBH135" s="562"/>
      <c r="KBI135" s="562"/>
      <c r="KBJ135" s="562"/>
      <c r="KBK135" s="562"/>
      <c r="KBL135" s="562"/>
      <c r="KBM135" s="562"/>
      <c r="KBN135" s="562"/>
      <c r="KBO135" s="562"/>
      <c r="KBP135" s="562"/>
      <c r="KBQ135" s="562"/>
      <c r="KBR135" s="562"/>
      <c r="KBS135" s="562"/>
      <c r="KBT135" s="562"/>
      <c r="KBU135" s="562"/>
      <c r="KBV135" s="562"/>
      <c r="KBW135" s="562"/>
      <c r="KBX135" s="562"/>
      <c r="KBY135" s="562"/>
      <c r="KBZ135" s="562"/>
      <c r="KCA135" s="562"/>
      <c r="KCB135" s="562"/>
      <c r="KCC135" s="562"/>
      <c r="KCD135" s="562"/>
      <c r="KCE135" s="562"/>
      <c r="KCF135" s="562"/>
      <c r="KCG135" s="562"/>
      <c r="KCH135" s="562"/>
      <c r="KCI135" s="562"/>
      <c r="KCJ135" s="562"/>
      <c r="KCK135" s="562"/>
      <c r="KCL135" s="562"/>
      <c r="KCM135" s="562"/>
      <c r="KCN135" s="562"/>
      <c r="KCO135" s="562"/>
      <c r="KCP135" s="562"/>
      <c r="KCQ135" s="562"/>
      <c r="KCR135" s="562"/>
      <c r="KCS135" s="562"/>
      <c r="KCT135" s="562"/>
      <c r="KCU135" s="562"/>
      <c r="KCV135" s="562"/>
      <c r="KCW135" s="562"/>
      <c r="KCX135" s="562"/>
      <c r="KCY135" s="562"/>
      <c r="KCZ135" s="562"/>
      <c r="KDA135" s="562"/>
      <c r="KDB135" s="562"/>
      <c r="KDC135" s="562"/>
      <c r="KDD135" s="562"/>
      <c r="KDE135" s="562"/>
      <c r="KDF135" s="562"/>
      <c r="KDG135" s="562"/>
      <c r="KDH135" s="562"/>
      <c r="KDI135" s="562"/>
      <c r="KDJ135" s="562"/>
      <c r="KDK135" s="562"/>
      <c r="KDL135" s="562"/>
      <c r="KDM135" s="562"/>
      <c r="KDN135" s="562"/>
      <c r="KDO135" s="562"/>
      <c r="KDP135" s="562"/>
      <c r="KDQ135" s="562"/>
      <c r="KDR135" s="562"/>
      <c r="KDS135" s="562"/>
      <c r="KDT135" s="562"/>
      <c r="KDU135" s="562"/>
      <c r="KDV135" s="562"/>
      <c r="KDW135" s="562"/>
      <c r="KDX135" s="562"/>
      <c r="KDY135" s="562"/>
      <c r="KDZ135" s="562"/>
      <c r="KEA135" s="562"/>
      <c r="KEB135" s="562"/>
      <c r="KEC135" s="562"/>
      <c r="KED135" s="562"/>
      <c r="KEE135" s="562"/>
      <c r="KEF135" s="562"/>
      <c r="KEG135" s="562"/>
      <c r="KEH135" s="562"/>
      <c r="KEI135" s="562"/>
      <c r="KEJ135" s="562"/>
      <c r="KEK135" s="562"/>
      <c r="KEL135" s="562"/>
      <c r="KEM135" s="562"/>
      <c r="KEN135" s="562"/>
      <c r="KEO135" s="562"/>
      <c r="KEP135" s="562"/>
      <c r="KEQ135" s="562"/>
      <c r="KER135" s="562"/>
      <c r="KES135" s="562"/>
      <c r="KET135" s="562"/>
      <c r="KEU135" s="562"/>
      <c r="KEV135" s="562"/>
      <c r="KEW135" s="562"/>
      <c r="KEX135" s="562"/>
      <c r="KEY135" s="562"/>
      <c r="KEZ135" s="562"/>
      <c r="KFA135" s="562"/>
      <c r="KFB135" s="562"/>
      <c r="KFC135" s="562"/>
      <c r="KFD135" s="562"/>
      <c r="KFE135" s="562"/>
      <c r="KFF135" s="562"/>
      <c r="KFG135" s="562"/>
      <c r="KFH135" s="562"/>
      <c r="KFI135" s="562"/>
      <c r="KFJ135" s="562"/>
      <c r="KFK135" s="562"/>
      <c r="KFL135" s="562"/>
      <c r="KFM135" s="562"/>
      <c r="KFN135" s="562"/>
      <c r="KFO135" s="562"/>
      <c r="KFP135" s="562"/>
      <c r="KFQ135" s="562"/>
      <c r="KFR135" s="562"/>
      <c r="KFS135" s="562"/>
      <c r="KFT135" s="562"/>
      <c r="KFU135" s="562"/>
      <c r="KFV135" s="562"/>
      <c r="KFW135" s="562"/>
      <c r="KFX135" s="562"/>
      <c r="KFY135" s="562"/>
      <c r="KFZ135" s="562"/>
      <c r="KGA135" s="562"/>
      <c r="KGB135" s="562"/>
      <c r="KGC135" s="562"/>
      <c r="KGD135" s="562"/>
      <c r="KGE135" s="562"/>
      <c r="KGF135" s="562"/>
      <c r="KGG135" s="562"/>
      <c r="KGH135" s="562"/>
      <c r="KGI135" s="562"/>
      <c r="KGJ135" s="562"/>
      <c r="KGK135" s="562"/>
      <c r="KGL135" s="562"/>
      <c r="KGM135" s="562"/>
      <c r="KGN135" s="562"/>
      <c r="KGO135" s="562"/>
      <c r="KGP135" s="562"/>
      <c r="KGQ135" s="562"/>
      <c r="KGR135" s="562"/>
      <c r="KGS135" s="562"/>
      <c r="KGT135" s="562"/>
      <c r="KGU135" s="562"/>
      <c r="KGV135" s="562"/>
      <c r="KGW135" s="562"/>
      <c r="KGX135" s="562"/>
      <c r="KGY135" s="562"/>
      <c r="KGZ135" s="562"/>
      <c r="KHA135" s="562"/>
      <c r="KHB135" s="562"/>
      <c r="KHC135" s="562"/>
      <c r="KHD135" s="562"/>
      <c r="KHE135" s="562"/>
      <c r="KHF135" s="562"/>
      <c r="KHG135" s="562"/>
      <c r="KHH135" s="562"/>
      <c r="KHI135" s="562"/>
      <c r="KHJ135" s="562"/>
      <c r="KHK135" s="562"/>
      <c r="KHL135" s="562"/>
      <c r="KHM135" s="562"/>
      <c r="KHN135" s="562"/>
      <c r="KHO135" s="562"/>
      <c r="KHP135" s="562"/>
      <c r="KHQ135" s="562"/>
      <c r="KHR135" s="562"/>
      <c r="KHS135" s="562"/>
      <c r="KHT135" s="562"/>
      <c r="KHU135" s="562"/>
      <c r="KHV135" s="562"/>
      <c r="KHW135" s="562"/>
      <c r="KHX135" s="562"/>
      <c r="KHY135" s="562"/>
      <c r="KHZ135" s="562"/>
      <c r="KIA135" s="562"/>
      <c r="KIB135" s="562"/>
      <c r="KIC135" s="562"/>
      <c r="KID135" s="562"/>
      <c r="KIE135" s="562"/>
      <c r="KIF135" s="562"/>
      <c r="KIG135" s="562"/>
      <c r="KIH135" s="562"/>
      <c r="KII135" s="562"/>
      <c r="KIJ135" s="562"/>
      <c r="KIK135" s="562"/>
      <c r="KIL135" s="562"/>
      <c r="KIM135" s="562"/>
      <c r="KIN135" s="562"/>
      <c r="KIO135" s="562"/>
      <c r="KIP135" s="562"/>
      <c r="KIQ135" s="562"/>
      <c r="KIR135" s="562"/>
      <c r="KIS135" s="562"/>
      <c r="KIT135" s="562"/>
      <c r="KIU135" s="562"/>
      <c r="KIV135" s="562"/>
      <c r="KIW135" s="562"/>
      <c r="KIX135" s="562"/>
      <c r="KIY135" s="562"/>
      <c r="KIZ135" s="562"/>
      <c r="KJA135" s="562"/>
      <c r="KJB135" s="562"/>
      <c r="KJC135" s="562"/>
      <c r="KJD135" s="562"/>
      <c r="KJE135" s="562"/>
      <c r="KJF135" s="562"/>
      <c r="KJG135" s="562"/>
      <c r="KJH135" s="562"/>
      <c r="KJI135" s="562"/>
      <c r="KJJ135" s="562"/>
      <c r="KJK135" s="562"/>
      <c r="KJL135" s="562"/>
      <c r="KJM135" s="562"/>
      <c r="KJN135" s="562"/>
      <c r="KJO135" s="562"/>
      <c r="KJP135" s="562"/>
      <c r="KJQ135" s="562"/>
      <c r="KJR135" s="562"/>
      <c r="KJS135" s="562"/>
      <c r="KJT135" s="562"/>
      <c r="KJU135" s="562"/>
      <c r="KJV135" s="562"/>
      <c r="KJW135" s="562"/>
      <c r="KJX135" s="562"/>
      <c r="KJY135" s="562"/>
      <c r="KJZ135" s="562"/>
      <c r="KKA135" s="562"/>
      <c r="KKB135" s="562"/>
      <c r="KKC135" s="562"/>
      <c r="KKD135" s="562"/>
      <c r="KKE135" s="562"/>
      <c r="KKF135" s="562"/>
      <c r="KKG135" s="562"/>
      <c r="KKH135" s="562"/>
      <c r="KKI135" s="562"/>
      <c r="KKJ135" s="562"/>
      <c r="KKK135" s="562"/>
      <c r="KKL135" s="562"/>
      <c r="KKM135" s="562"/>
      <c r="KKN135" s="562"/>
      <c r="KKO135" s="562"/>
      <c r="KKP135" s="562"/>
      <c r="KKQ135" s="562"/>
      <c r="KKR135" s="562"/>
      <c r="KKS135" s="562"/>
      <c r="KKT135" s="562"/>
      <c r="KKU135" s="562"/>
      <c r="KKV135" s="562"/>
      <c r="KKW135" s="562"/>
      <c r="KKX135" s="562"/>
      <c r="KKY135" s="562"/>
      <c r="KKZ135" s="562"/>
      <c r="KLA135" s="562"/>
      <c r="KLB135" s="562"/>
      <c r="KLC135" s="562"/>
      <c r="KLD135" s="562"/>
      <c r="KLE135" s="562"/>
      <c r="KLF135" s="562"/>
      <c r="KLG135" s="562"/>
      <c r="KLH135" s="562"/>
      <c r="KLI135" s="562"/>
      <c r="KLJ135" s="562"/>
      <c r="KLK135" s="562"/>
      <c r="KLL135" s="562"/>
      <c r="KLM135" s="562"/>
      <c r="KLN135" s="562"/>
      <c r="KLO135" s="562"/>
      <c r="KLP135" s="562"/>
      <c r="KLQ135" s="562"/>
      <c r="KLR135" s="562"/>
      <c r="KLS135" s="562"/>
      <c r="KLT135" s="562"/>
      <c r="KLU135" s="562"/>
      <c r="KLV135" s="562"/>
      <c r="KLW135" s="562"/>
      <c r="KLX135" s="562"/>
      <c r="KLY135" s="562"/>
      <c r="KLZ135" s="562"/>
      <c r="KMA135" s="562"/>
      <c r="KMB135" s="562"/>
      <c r="KMC135" s="562"/>
      <c r="KMD135" s="562"/>
      <c r="KME135" s="562"/>
      <c r="KMF135" s="562"/>
      <c r="KMG135" s="562"/>
      <c r="KMH135" s="562"/>
      <c r="KMI135" s="562"/>
      <c r="KMJ135" s="562"/>
      <c r="KMK135" s="562"/>
      <c r="KML135" s="562"/>
      <c r="KMM135" s="562"/>
      <c r="KMN135" s="562"/>
      <c r="KMO135" s="562"/>
      <c r="KMP135" s="562"/>
      <c r="KMQ135" s="562"/>
      <c r="KMR135" s="562"/>
      <c r="KMS135" s="562"/>
      <c r="KMT135" s="562"/>
      <c r="KMU135" s="562"/>
      <c r="KMV135" s="562"/>
      <c r="KMW135" s="562"/>
      <c r="KMX135" s="562"/>
      <c r="KMY135" s="562"/>
      <c r="KMZ135" s="562"/>
      <c r="KNA135" s="562"/>
      <c r="KNB135" s="562"/>
      <c r="KNC135" s="562"/>
      <c r="KND135" s="562"/>
      <c r="KNE135" s="562"/>
      <c r="KNF135" s="562"/>
      <c r="KNG135" s="562"/>
      <c r="KNH135" s="562"/>
      <c r="KNI135" s="562"/>
      <c r="KNJ135" s="562"/>
      <c r="KNK135" s="562"/>
      <c r="KNL135" s="562"/>
      <c r="KNM135" s="562"/>
      <c r="KNN135" s="562"/>
      <c r="KNO135" s="562"/>
      <c r="KNP135" s="562"/>
      <c r="KNQ135" s="562"/>
      <c r="KNR135" s="562"/>
      <c r="KNS135" s="562"/>
      <c r="KNT135" s="562"/>
      <c r="KNU135" s="562"/>
      <c r="KNV135" s="562"/>
      <c r="KNW135" s="562"/>
      <c r="KNX135" s="562"/>
      <c r="KNY135" s="562"/>
      <c r="KNZ135" s="562"/>
      <c r="KOA135" s="562"/>
      <c r="KOB135" s="562"/>
      <c r="KOC135" s="562"/>
      <c r="KOD135" s="562"/>
      <c r="KOE135" s="562"/>
      <c r="KOF135" s="562"/>
      <c r="KOG135" s="562"/>
      <c r="KOH135" s="562"/>
      <c r="KOI135" s="562"/>
      <c r="KOJ135" s="562"/>
      <c r="KOK135" s="562"/>
      <c r="KOL135" s="562"/>
      <c r="KOM135" s="562"/>
      <c r="KON135" s="562"/>
      <c r="KOO135" s="562"/>
      <c r="KOP135" s="562"/>
      <c r="KOQ135" s="562"/>
      <c r="KOR135" s="562"/>
      <c r="KOS135" s="562"/>
      <c r="KOT135" s="562"/>
      <c r="KOU135" s="562"/>
      <c r="KOV135" s="562"/>
      <c r="KOW135" s="562"/>
      <c r="KOX135" s="562"/>
      <c r="KOY135" s="562"/>
      <c r="KOZ135" s="562"/>
      <c r="KPA135" s="562"/>
      <c r="KPB135" s="562"/>
      <c r="KPC135" s="562"/>
      <c r="KPD135" s="562"/>
      <c r="KPE135" s="562"/>
      <c r="KPF135" s="562"/>
      <c r="KPG135" s="562"/>
      <c r="KPH135" s="562"/>
      <c r="KPI135" s="562"/>
      <c r="KPJ135" s="562"/>
      <c r="KPK135" s="562"/>
      <c r="KPL135" s="562"/>
      <c r="KPM135" s="562"/>
      <c r="KPN135" s="562"/>
      <c r="KPO135" s="562"/>
      <c r="KPP135" s="562"/>
      <c r="KPQ135" s="562"/>
      <c r="KPR135" s="562"/>
      <c r="KPS135" s="562"/>
      <c r="KPT135" s="562"/>
      <c r="KPU135" s="562"/>
      <c r="KPV135" s="562"/>
      <c r="KPW135" s="562"/>
      <c r="KPX135" s="562"/>
      <c r="KPY135" s="562"/>
      <c r="KPZ135" s="562"/>
      <c r="KQA135" s="562"/>
      <c r="KQB135" s="562"/>
      <c r="KQC135" s="562"/>
      <c r="KQD135" s="562"/>
      <c r="KQE135" s="562"/>
      <c r="KQF135" s="562"/>
      <c r="KQG135" s="562"/>
      <c r="KQH135" s="562"/>
      <c r="KQI135" s="562"/>
      <c r="KQJ135" s="562"/>
      <c r="KQK135" s="562"/>
      <c r="KQL135" s="562"/>
      <c r="KQM135" s="562"/>
      <c r="KQN135" s="562"/>
      <c r="KQO135" s="562"/>
      <c r="KQP135" s="562"/>
      <c r="KQQ135" s="562"/>
      <c r="KQR135" s="562"/>
      <c r="KQS135" s="562"/>
      <c r="KQT135" s="562"/>
      <c r="KQU135" s="562"/>
      <c r="KQV135" s="562"/>
      <c r="KQW135" s="562"/>
      <c r="KQX135" s="562"/>
      <c r="KQY135" s="562"/>
      <c r="KQZ135" s="562"/>
      <c r="KRA135" s="562"/>
      <c r="KRB135" s="562"/>
      <c r="KRC135" s="562"/>
      <c r="KRD135" s="562"/>
      <c r="KRE135" s="562"/>
      <c r="KRF135" s="562"/>
      <c r="KRG135" s="562"/>
      <c r="KRH135" s="562"/>
      <c r="KRI135" s="562"/>
      <c r="KRJ135" s="562"/>
      <c r="KRK135" s="562"/>
      <c r="KRL135" s="562"/>
      <c r="KRM135" s="562"/>
      <c r="KRN135" s="562"/>
      <c r="KRO135" s="562"/>
      <c r="KRP135" s="562"/>
      <c r="KRQ135" s="562"/>
      <c r="KRR135" s="562"/>
      <c r="KRS135" s="562"/>
      <c r="KRT135" s="562"/>
      <c r="KRU135" s="562"/>
      <c r="KRV135" s="562"/>
      <c r="KRW135" s="562"/>
      <c r="KRX135" s="562"/>
      <c r="KRY135" s="562"/>
      <c r="KRZ135" s="562"/>
      <c r="KSA135" s="562"/>
      <c r="KSB135" s="562"/>
      <c r="KSC135" s="562"/>
      <c r="KSD135" s="562"/>
      <c r="KSE135" s="562"/>
      <c r="KSF135" s="562"/>
      <c r="KSG135" s="562"/>
      <c r="KSH135" s="562"/>
      <c r="KSI135" s="562"/>
      <c r="KSJ135" s="562"/>
      <c r="KSK135" s="562"/>
      <c r="KSL135" s="562"/>
      <c r="KSM135" s="562"/>
      <c r="KSN135" s="562"/>
      <c r="KSO135" s="562"/>
      <c r="KSP135" s="562"/>
      <c r="KSQ135" s="562"/>
      <c r="KSR135" s="562"/>
      <c r="KSS135" s="562"/>
      <c r="KST135" s="562"/>
      <c r="KSU135" s="562"/>
      <c r="KSV135" s="562"/>
      <c r="KSW135" s="562"/>
      <c r="KSX135" s="562"/>
      <c r="KSY135" s="562"/>
      <c r="KSZ135" s="562"/>
      <c r="KTA135" s="562"/>
      <c r="KTB135" s="562"/>
      <c r="KTC135" s="562"/>
      <c r="KTD135" s="562"/>
      <c r="KTE135" s="562"/>
      <c r="KTF135" s="562"/>
      <c r="KTG135" s="562"/>
      <c r="KTH135" s="562"/>
      <c r="KTI135" s="562"/>
      <c r="KTJ135" s="562"/>
      <c r="KTK135" s="562"/>
      <c r="KTL135" s="562"/>
      <c r="KTM135" s="562"/>
      <c r="KTN135" s="562"/>
      <c r="KTO135" s="562"/>
      <c r="KTP135" s="562"/>
      <c r="KTQ135" s="562"/>
      <c r="KTR135" s="562"/>
      <c r="KTS135" s="562"/>
      <c r="KTT135" s="562"/>
      <c r="KTU135" s="562"/>
      <c r="KTV135" s="562"/>
      <c r="KTW135" s="562"/>
      <c r="KTX135" s="562"/>
      <c r="KTY135" s="562"/>
      <c r="KTZ135" s="562"/>
      <c r="KUA135" s="562"/>
      <c r="KUB135" s="562"/>
      <c r="KUC135" s="562"/>
      <c r="KUD135" s="562"/>
      <c r="KUE135" s="562"/>
      <c r="KUF135" s="562"/>
      <c r="KUG135" s="562"/>
      <c r="KUH135" s="562"/>
      <c r="KUI135" s="562"/>
      <c r="KUJ135" s="562"/>
      <c r="KUK135" s="562"/>
      <c r="KUL135" s="562"/>
      <c r="KUM135" s="562"/>
      <c r="KUN135" s="562"/>
      <c r="KUO135" s="562"/>
      <c r="KUP135" s="562"/>
      <c r="KUQ135" s="562"/>
      <c r="KUR135" s="562"/>
      <c r="KUS135" s="562"/>
      <c r="KUT135" s="562"/>
      <c r="KUU135" s="562"/>
      <c r="KUV135" s="562"/>
      <c r="KUW135" s="562"/>
      <c r="KUX135" s="562"/>
      <c r="KUY135" s="562"/>
      <c r="KUZ135" s="562"/>
      <c r="KVA135" s="562"/>
      <c r="KVB135" s="562"/>
      <c r="KVC135" s="562"/>
      <c r="KVD135" s="562"/>
      <c r="KVE135" s="562"/>
      <c r="KVF135" s="562"/>
      <c r="KVG135" s="562"/>
      <c r="KVH135" s="562"/>
      <c r="KVI135" s="562"/>
      <c r="KVJ135" s="562"/>
      <c r="KVK135" s="562"/>
      <c r="KVL135" s="562"/>
      <c r="KVM135" s="562"/>
      <c r="KVN135" s="562"/>
      <c r="KVO135" s="562"/>
      <c r="KVP135" s="562"/>
      <c r="KVQ135" s="562"/>
      <c r="KVR135" s="562"/>
      <c r="KVS135" s="562"/>
      <c r="KVT135" s="562"/>
      <c r="KVU135" s="562"/>
      <c r="KVV135" s="562"/>
      <c r="KVW135" s="562"/>
      <c r="KVX135" s="562"/>
      <c r="KVY135" s="562"/>
      <c r="KVZ135" s="562"/>
      <c r="KWA135" s="562"/>
      <c r="KWB135" s="562"/>
      <c r="KWC135" s="562"/>
      <c r="KWD135" s="562"/>
      <c r="KWE135" s="562"/>
      <c r="KWF135" s="562"/>
      <c r="KWG135" s="562"/>
      <c r="KWH135" s="562"/>
      <c r="KWI135" s="562"/>
      <c r="KWJ135" s="562"/>
      <c r="KWK135" s="562"/>
      <c r="KWL135" s="562"/>
      <c r="KWM135" s="562"/>
      <c r="KWN135" s="562"/>
      <c r="KWO135" s="562"/>
      <c r="KWP135" s="562"/>
      <c r="KWQ135" s="562"/>
      <c r="KWR135" s="562"/>
      <c r="KWS135" s="562"/>
      <c r="KWT135" s="562"/>
      <c r="KWU135" s="562"/>
      <c r="KWV135" s="562"/>
      <c r="KWW135" s="562"/>
      <c r="KWX135" s="562"/>
      <c r="KWY135" s="562"/>
      <c r="KWZ135" s="562"/>
      <c r="KXA135" s="562"/>
      <c r="KXB135" s="562"/>
      <c r="KXC135" s="562"/>
      <c r="KXD135" s="562"/>
      <c r="KXE135" s="562"/>
      <c r="KXF135" s="562"/>
      <c r="KXG135" s="562"/>
      <c r="KXH135" s="562"/>
      <c r="KXI135" s="562"/>
      <c r="KXJ135" s="562"/>
      <c r="KXK135" s="562"/>
      <c r="KXL135" s="562"/>
      <c r="KXM135" s="562"/>
      <c r="KXN135" s="562"/>
      <c r="KXO135" s="562"/>
      <c r="KXP135" s="562"/>
      <c r="KXQ135" s="562"/>
      <c r="KXR135" s="562"/>
      <c r="KXS135" s="562"/>
      <c r="KXT135" s="562"/>
      <c r="KXU135" s="562"/>
      <c r="KXV135" s="562"/>
      <c r="KXW135" s="562"/>
      <c r="KXX135" s="562"/>
      <c r="KXY135" s="562"/>
      <c r="KXZ135" s="562"/>
      <c r="KYA135" s="562"/>
      <c r="KYB135" s="562"/>
      <c r="KYC135" s="562"/>
      <c r="KYD135" s="562"/>
      <c r="KYE135" s="562"/>
      <c r="KYF135" s="562"/>
      <c r="KYG135" s="562"/>
      <c r="KYH135" s="562"/>
      <c r="KYI135" s="562"/>
      <c r="KYJ135" s="562"/>
      <c r="KYK135" s="562"/>
      <c r="KYL135" s="562"/>
      <c r="KYM135" s="562"/>
      <c r="KYN135" s="562"/>
      <c r="KYO135" s="562"/>
      <c r="KYP135" s="562"/>
      <c r="KYQ135" s="562"/>
      <c r="KYR135" s="562"/>
      <c r="KYS135" s="562"/>
      <c r="KYT135" s="562"/>
      <c r="KYU135" s="562"/>
      <c r="KYV135" s="562"/>
      <c r="KYW135" s="562"/>
      <c r="KYX135" s="562"/>
      <c r="KYY135" s="562"/>
      <c r="KYZ135" s="562"/>
      <c r="KZA135" s="562"/>
      <c r="KZB135" s="562"/>
      <c r="KZC135" s="562"/>
      <c r="KZD135" s="562"/>
      <c r="KZE135" s="562"/>
      <c r="KZF135" s="562"/>
      <c r="KZG135" s="562"/>
      <c r="KZH135" s="562"/>
      <c r="KZI135" s="562"/>
      <c r="KZJ135" s="562"/>
      <c r="KZK135" s="562"/>
      <c r="KZL135" s="562"/>
      <c r="KZM135" s="562"/>
      <c r="KZN135" s="562"/>
      <c r="KZO135" s="562"/>
      <c r="KZP135" s="562"/>
      <c r="KZQ135" s="562"/>
      <c r="KZR135" s="562"/>
      <c r="KZS135" s="562"/>
      <c r="KZT135" s="562"/>
      <c r="KZU135" s="562"/>
      <c r="KZV135" s="562"/>
      <c r="KZW135" s="562"/>
      <c r="KZX135" s="562"/>
      <c r="KZY135" s="562"/>
      <c r="KZZ135" s="562"/>
      <c r="LAA135" s="562"/>
      <c r="LAB135" s="562"/>
      <c r="LAC135" s="562"/>
      <c r="LAD135" s="562"/>
      <c r="LAE135" s="562"/>
      <c r="LAF135" s="562"/>
      <c r="LAG135" s="562"/>
      <c r="LAH135" s="562"/>
      <c r="LAI135" s="562"/>
      <c r="LAJ135" s="562"/>
      <c r="LAK135" s="562"/>
      <c r="LAL135" s="562"/>
      <c r="LAM135" s="562"/>
      <c r="LAN135" s="562"/>
      <c r="LAO135" s="562"/>
      <c r="LAP135" s="562"/>
      <c r="LAQ135" s="562"/>
      <c r="LAR135" s="562"/>
      <c r="LAS135" s="562"/>
      <c r="LAT135" s="562"/>
      <c r="LAU135" s="562"/>
      <c r="LAV135" s="562"/>
      <c r="LAW135" s="562"/>
      <c r="LAX135" s="562"/>
      <c r="LAY135" s="562"/>
      <c r="LAZ135" s="562"/>
      <c r="LBA135" s="562"/>
      <c r="LBB135" s="562"/>
      <c r="LBC135" s="562"/>
      <c r="LBD135" s="562"/>
      <c r="LBE135" s="562"/>
      <c r="LBF135" s="562"/>
      <c r="LBG135" s="562"/>
      <c r="LBH135" s="562"/>
      <c r="LBI135" s="562"/>
      <c r="LBJ135" s="562"/>
      <c r="LBK135" s="562"/>
      <c r="LBL135" s="562"/>
      <c r="LBM135" s="562"/>
      <c r="LBN135" s="562"/>
      <c r="LBO135" s="562"/>
      <c r="LBP135" s="562"/>
      <c r="LBQ135" s="562"/>
      <c r="LBR135" s="562"/>
      <c r="LBS135" s="562"/>
      <c r="LBT135" s="562"/>
      <c r="LBU135" s="562"/>
      <c r="LBV135" s="562"/>
      <c r="LBW135" s="562"/>
      <c r="LBX135" s="562"/>
      <c r="LBY135" s="562"/>
      <c r="LBZ135" s="562"/>
      <c r="LCA135" s="562"/>
      <c r="LCB135" s="562"/>
      <c r="LCC135" s="562"/>
      <c r="LCD135" s="562"/>
      <c r="LCE135" s="562"/>
      <c r="LCF135" s="562"/>
      <c r="LCG135" s="562"/>
      <c r="LCH135" s="562"/>
      <c r="LCI135" s="562"/>
      <c r="LCJ135" s="562"/>
      <c r="LCK135" s="562"/>
      <c r="LCL135" s="562"/>
      <c r="LCM135" s="562"/>
      <c r="LCN135" s="562"/>
      <c r="LCO135" s="562"/>
      <c r="LCP135" s="562"/>
      <c r="LCQ135" s="562"/>
      <c r="LCR135" s="562"/>
      <c r="LCS135" s="562"/>
      <c r="LCT135" s="562"/>
      <c r="LCU135" s="562"/>
      <c r="LCV135" s="562"/>
      <c r="LCW135" s="562"/>
      <c r="LCX135" s="562"/>
      <c r="LCY135" s="562"/>
      <c r="LCZ135" s="562"/>
      <c r="LDA135" s="562"/>
      <c r="LDB135" s="562"/>
      <c r="LDC135" s="562"/>
      <c r="LDD135" s="562"/>
      <c r="LDE135" s="562"/>
      <c r="LDF135" s="562"/>
      <c r="LDG135" s="562"/>
      <c r="LDH135" s="562"/>
      <c r="LDI135" s="562"/>
      <c r="LDJ135" s="562"/>
      <c r="LDK135" s="562"/>
      <c r="LDL135" s="562"/>
      <c r="LDM135" s="562"/>
      <c r="LDN135" s="562"/>
      <c r="LDO135" s="562"/>
      <c r="LDP135" s="562"/>
      <c r="LDQ135" s="562"/>
      <c r="LDR135" s="562"/>
      <c r="LDS135" s="562"/>
      <c r="LDT135" s="562"/>
      <c r="LDU135" s="562"/>
      <c r="LDV135" s="562"/>
      <c r="LDW135" s="562"/>
      <c r="LDX135" s="562"/>
      <c r="LDY135" s="562"/>
      <c r="LDZ135" s="562"/>
      <c r="LEA135" s="562"/>
      <c r="LEB135" s="562"/>
      <c r="LEC135" s="562"/>
      <c r="LED135" s="562"/>
      <c r="LEE135" s="562"/>
      <c r="LEF135" s="562"/>
      <c r="LEG135" s="562"/>
      <c r="LEH135" s="562"/>
      <c r="LEI135" s="562"/>
      <c r="LEJ135" s="562"/>
      <c r="LEK135" s="562"/>
      <c r="LEL135" s="562"/>
      <c r="LEM135" s="562"/>
      <c r="LEN135" s="562"/>
      <c r="LEO135" s="562"/>
      <c r="LEP135" s="562"/>
      <c r="LEQ135" s="562"/>
      <c r="LER135" s="562"/>
      <c r="LES135" s="562"/>
      <c r="LET135" s="562"/>
      <c r="LEU135" s="562"/>
      <c r="LEV135" s="562"/>
      <c r="LEW135" s="562"/>
      <c r="LEX135" s="562"/>
      <c r="LEY135" s="562"/>
      <c r="LEZ135" s="562"/>
      <c r="LFA135" s="562"/>
      <c r="LFB135" s="562"/>
      <c r="LFC135" s="562"/>
      <c r="LFD135" s="562"/>
      <c r="LFE135" s="562"/>
      <c r="LFF135" s="562"/>
      <c r="LFG135" s="562"/>
      <c r="LFH135" s="562"/>
      <c r="LFI135" s="562"/>
      <c r="LFJ135" s="562"/>
      <c r="LFK135" s="562"/>
      <c r="LFL135" s="562"/>
      <c r="LFM135" s="562"/>
      <c r="LFN135" s="562"/>
      <c r="LFO135" s="562"/>
      <c r="LFP135" s="562"/>
      <c r="LFQ135" s="562"/>
      <c r="LFR135" s="562"/>
      <c r="LFS135" s="562"/>
      <c r="LFT135" s="562"/>
      <c r="LFU135" s="562"/>
      <c r="LFV135" s="562"/>
      <c r="LFW135" s="562"/>
      <c r="LFX135" s="562"/>
      <c r="LFY135" s="562"/>
      <c r="LFZ135" s="562"/>
      <c r="LGA135" s="562"/>
      <c r="LGB135" s="562"/>
      <c r="LGC135" s="562"/>
      <c r="LGD135" s="562"/>
      <c r="LGE135" s="562"/>
      <c r="LGF135" s="562"/>
      <c r="LGG135" s="562"/>
      <c r="LGH135" s="562"/>
      <c r="LGI135" s="562"/>
      <c r="LGJ135" s="562"/>
      <c r="LGK135" s="562"/>
      <c r="LGL135" s="562"/>
      <c r="LGM135" s="562"/>
      <c r="LGN135" s="562"/>
      <c r="LGO135" s="562"/>
      <c r="LGP135" s="562"/>
      <c r="LGQ135" s="562"/>
      <c r="LGR135" s="562"/>
      <c r="LGS135" s="562"/>
      <c r="LGT135" s="562"/>
      <c r="LGU135" s="562"/>
      <c r="LGV135" s="562"/>
      <c r="LGW135" s="562"/>
      <c r="LGX135" s="562"/>
      <c r="LGY135" s="562"/>
      <c r="LGZ135" s="562"/>
      <c r="LHA135" s="562"/>
      <c r="LHB135" s="562"/>
      <c r="LHC135" s="562"/>
      <c r="LHD135" s="562"/>
      <c r="LHE135" s="562"/>
      <c r="LHF135" s="562"/>
      <c r="LHG135" s="562"/>
      <c r="LHH135" s="562"/>
      <c r="LHI135" s="562"/>
      <c r="LHJ135" s="562"/>
      <c r="LHK135" s="562"/>
      <c r="LHL135" s="562"/>
      <c r="LHM135" s="562"/>
      <c r="LHN135" s="562"/>
      <c r="LHO135" s="562"/>
      <c r="LHP135" s="562"/>
      <c r="LHQ135" s="562"/>
      <c r="LHR135" s="562"/>
      <c r="LHS135" s="562"/>
      <c r="LHT135" s="562"/>
      <c r="LHU135" s="562"/>
      <c r="LHV135" s="562"/>
      <c r="LHW135" s="562"/>
      <c r="LHX135" s="562"/>
      <c r="LHY135" s="562"/>
      <c r="LHZ135" s="562"/>
      <c r="LIA135" s="562"/>
      <c r="LIB135" s="562"/>
      <c r="LIC135" s="562"/>
      <c r="LID135" s="562"/>
      <c r="LIE135" s="562"/>
      <c r="LIF135" s="562"/>
      <c r="LIG135" s="562"/>
      <c r="LIH135" s="562"/>
      <c r="LII135" s="562"/>
      <c r="LIJ135" s="562"/>
      <c r="LIK135" s="562"/>
      <c r="LIL135" s="562"/>
      <c r="LIM135" s="562"/>
      <c r="LIN135" s="562"/>
      <c r="LIO135" s="562"/>
      <c r="LIP135" s="562"/>
      <c r="LIQ135" s="562"/>
      <c r="LIR135" s="562"/>
      <c r="LIS135" s="562"/>
      <c r="LIT135" s="562"/>
      <c r="LIU135" s="562"/>
      <c r="LIV135" s="562"/>
      <c r="LIW135" s="562"/>
      <c r="LIX135" s="562"/>
      <c r="LIY135" s="562"/>
      <c r="LIZ135" s="562"/>
      <c r="LJA135" s="562"/>
      <c r="LJB135" s="562"/>
      <c r="LJC135" s="562"/>
      <c r="LJD135" s="562"/>
      <c r="LJE135" s="562"/>
      <c r="LJF135" s="562"/>
      <c r="LJG135" s="562"/>
      <c r="LJH135" s="562"/>
      <c r="LJI135" s="562"/>
      <c r="LJJ135" s="562"/>
      <c r="LJK135" s="562"/>
      <c r="LJL135" s="562"/>
      <c r="LJM135" s="562"/>
      <c r="LJN135" s="562"/>
      <c r="LJO135" s="562"/>
      <c r="LJP135" s="562"/>
      <c r="LJQ135" s="562"/>
      <c r="LJR135" s="562"/>
      <c r="LJS135" s="562"/>
      <c r="LJT135" s="562"/>
      <c r="LJU135" s="562"/>
      <c r="LJV135" s="562"/>
      <c r="LJW135" s="562"/>
      <c r="LJX135" s="562"/>
      <c r="LJY135" s="562"/>
      <c r="LJZ135" s="562"/>
      <c r="LKA135" s="562"/>
      <c r="LKB135" s="562"/>
      <c r="LKC135" s="562"/>
      <c r="LKD135" s="562"/>
      <c r="LKE135" s="562"/>
      <c r="LKF135" s="562"/>
      <c r="LKG135" s="562"/>
      <c r="LKH135" s="562"/>
      <c r="LKI135" s="562"/>
      <c r="LKJ135" s="562"/>
      <c r="LKK135" s="562"/>
      <c r="LKL135" s="562"/>
      <c r="LKM135" s="562"/>
      <c r="LKN135" s="562"/>
      <c r="LKO135" s="562"/>
      <c r="LKP135" s="562"/>
      <c r="LKQ135" s="562"/>
      <c r="LKR135" s="562"/>
      <c r="LKS135" s="562"/>
      <c r="LKT135" s="562"/>
      <c r="LKU135" s="562"/>
      <c r="LKV135" s="562"/>
      <c r="LKW135" s="562"/>
      <c r="LKX135" s="562"/>
      <c r="LKY135" s="562"/>
      <c r="LKZ135" s="562"/>
      <c r="LLA135" s="562"/>
      <c r="LLB135" s="562"/>
      <c r="LLC135" s="562"/>
      <c r="LLD135" s="562"/>
      <c r="LLE135" s="562"/>
      <c r="LLF135" s="562"/>
      <c r="LLG135" s="562"/>
      <c r="LLH135" s="562"/>
      <c r="LLI135" s="562"/>
      <c r="LLJ135" s="562"/>
      <c r="LLK135" s="562"/>
      <c r="LLL135" s="562"/>
      <c r="LLM135" s="562"/>
      <c r="LLN135" s="562"/>
      <c r="LLO135" s="562"/>
      <c r="LLP135" s="562"/>
      <c r="LLQ135" s="562"/>
      <c r="LLR135" s="562"/>
      <c r="LLS135" s="562"/>
      <c r="LLT135" s="562"/>
      <c r="LLU135" s="562"/>
      <c r="LLV135" s="562"/>
      <c r="LLW135" s="562"/>
      <c r="LLX135" s="562"/>
      <c r="LLY135" s="562"/>
      <c r="LLZ135" s="562"/>
      <c r="LMA135" s="562"/>
      <c r="LMB135" s="562"/>
      <c r="LMC135" s="562"/>
      <c r="LMD135" s="562"/>
      <c r="LME135" s="562"/>
      <c r="LMF135" s="562"/>
      <c r="LMG135" s="562"/>
      <c r="LMH135" s="562"/>
      <c r="LMI135" s="562"/>
      <c r="LMJ135" s="562"/>
      <c r="LMK135" s="562"/>
      <c r="LML135" s="562"/>
      <c r="LMM135" s="562"/>
      <c r="LMN135" s="562"/>
      <c r="LMO135" s="562"/>
      <c r="LMP135" s="562"/>
      <c r="LMQ135" s="562"/>
      <c r="LMR135" s="562"/>
      <c r="LMS135" s="562"/>
      <c r="LMT135" s="562"/>
      <c r="LMU135" s="562"/>
      <c r="LMV135" s="562"/>
      <c r="LMW135" s="562"/>
      <c r="LMX135" s="562"/>
      <c r="LMY135" s="562"/>
      <c r="LMZ135" s="562"/>
      <c r="LNA135" s="562"/>
      <c r="LNB135" s="562"/>
      <c r="LNC135" s="562"/>
      <c r="LND135" s="562"/>
      <c r="LNE135" s="562"/>
      <c r="LNF135" s="562"/>
      <c r="LNG135" s="562"/>
      <c r="LNH135" s="562"/>
      <c r="LNI135" s="562"/>
      <c r="LNJ135" s="562"/>
      <c r="LNK135" s="562"/>
      <c r="LNL135" s="562"/>
      <c r="LNM135" s="562"/>
      <c r="LNN135" s="562"/>
      <c r="LNO135" s="562"/>
      <c r="LNP135" s="562"/>
      <c r="LNQ135" s="562"/>
      <c r="LNR135" s="562"/>
      <c r="LNS135" s="562"/>
      <c r="LNT135" s="562"/>
      <c r="LNU135" s="562"/>
      <c r="LNV135" s="562"/>
      <c r="LNW135" s="562"/>
      <c r="LNX135" s="562"/>
      <c r="LNY135" s="562"/>
      <c r="LNZ135" s="562"/>
      <c r="LOA135" s="562"/>
      <c r="LOB135" s="562"/>
      <c r="LOC135" s="562"/>
      <c r="LOD135" s="562"/>
      <c r="LOE135" s="562"/>
      <c r="LOF135" s="562"/>
      <c r="LOG135" s="562"/>
      <c r="LOH135" s="562"/>
      <c r="LOI135" s="562"/>
      <c r="LOJ135" s="562"/>
      <c r="LOK135" s="562"/>
      <c r="LOL135" s="562"/>
      <c r="LOM135" s="562"/>
      <c r="LON135" s="562"/>
      <c r="LOO135" s="562"/>
      <c r="LOP135" s="562"/>
      <c r="LOQ135" s="562"/>
      <c r="LOR135" s="562"/>
      <c r="LOS135" s="562"/>
      <c r="LOT135" s="562"/>
      <c r="LOU135" s="562"/>
      <c r="LOV135" s="562"/>
      <c r="LOW135" s="562"/>
      <c r="LOX135" s="562"/>
      <c r="LOY135" s="562"/>
      <c r="LOZ135" s="562"/>
      <c r="LPA135" s="562"/>
      <c r="LPB135" s="562"/>
      <c r="LPC135" s="562"/>
      <c r="LPD135" s="562"/>
      <c r="LPE135" s="562"/>
      <c r="LPF135" s="562"/>
      <c r="LPG135" s="562"/>
      <c r="LPH135" s="562"/>
      <c r="LPI135" s="562"/>
      <c r="LPJ135" s="562"/>
      <c r="LPK135" s="562"/>
      <c r="LPL135" s="562"/>
      <c r="LPM135" s="562"/>
      <c r="LPN135" s="562"/>
      <c r="LPO135" s="562"/>
      <c r="LPP135" s="562"/>
      <c r="LPQ135" s="562"/>
      <c r="LPR135" s="562"/>
      <c r="LPS135" s="562"/>
      <c r="LPT135" s="562"/>
      <c r="LPU135" s="562"/>
      <c r="LPV135" s="562"/>
      <c r="LPW135" s="562"/>
      <c r="LPX135" s="562"/>
      <c r="LPY135" s="562"/>
      <c r="LPZ135" s="562"/>
      <c r="LQA135" s="562"/>
      <c r="LQB135" s="562"/>
      <c r="LQC135" s="562"/>
      <c r="LQD135" s="562"/>
      <c r="LQE135" s="562"/>
      <c r="LQF135" s="562"/>
      <c r="LQG135" s="562"/>
      <c r="LQH135" s="562"/>
      <c r="LQI135" s="562"/>
      <c r="LQJ135" s="562"/>
      <c r="LQK135" s="562"/>
      <c r="LQL135" s="562"/>
      <c r="LQM135" s="562"/>
      <c r="LQN135" s="562"/>
      <c r="LQO135" s="562"/>
      <c r="LQP135" s="562"/>
      <c r="LQQ135" s="562"/>
      <c r="LQR135" s="562"/>
      <c r="LQS135" s="562"/>
      <c r="LQT135" s="562"/>
      <c r="LQU135" s="562"/>
      <c r="LQV135" s="562"/>
      <c r="LQW135" s="562"/>
      <c r="LQX135" s="562"/>
      <c r="LQY135" s="562"/>
      <c r="LQZ135" s="562"/>
      <c r="LRA135" s="562"/>
      <c r="LRB135" s="562"/>
      <c r="LRC135" s="562"/>
      <c r="LRD135" s="562"/>
      <c r="LRE135" s="562"/>
      <c r="LRF135" s="562"/>
      <c r="LRG135" s="562"/>
      <c r="LRH135" s="562"/>
      <c r="LRI135" s="562"/>
      <c r="LRJ135" s="562"/>
      <c r="LRK135" s="562"/>
      <c r="LRL135" s="562"/>
      <c r="LRM135" s="562"/>
      <c r="LRN135" s="562"/>
      <c r="LRO135" s="562"/>
      <c r="LRP135" s="562"/>
      <c r="LRQ135" s="562"/>
      <c r="LRR135" s="562"/>
      <c r="LRS135" s="562"/>
      <c r="LRT135" s="562"/>
      <c r="LRU135" s="562"/>
      <c r="LRV135" s="562"/>
      <c r="LRW135" s="562"/>
      <c r="LRX135" s="562"/>
      <c r="LRY135" s="562"/>
      <c r="LRZ135" s="562"/>
      <c r="LSA135" s="562"/>
      <c r="LSB135" s="562"/>
      <c r="LSC135" s="562"/>
      <c r="LSD135" s="562"/>
      <c r="LSE135" s="562"/>
      <c r="LSF135" s="562"/>
      <c r="LSG135" s="562"/>
      <c r="LSH135" s="562"/>
      <c r="LSI135" s="562"/>
      <c r="LSJ135" s="562"/>
      <c r="LSK135" s="562"/>
      <c r="LSL135" s="562"/>
      <c r="LSM135" s="562"/>
      <c r="LSN135" s="562"/>
      <c r="LSO135" s="562"/>
      <c r="LSP135" s="562"/>
      <c r="LSQ135" s="562"/>
      <c r="LSR135" s="562"/>
      <c r="LSS135" s="562"/>
      <c r="LST135" s="562"/>
      <c r="LSU135" s="562"/>
      <c r="LSV135" s="562"/>
      <c r="LSW135" s="562"/>
      <c r="LSX135" s="562"/>
      <c r="LSY135" s="562"/>
      <c r="LSZ135" s="562"/>
      <c r="LTA135" s="562"/>
      <c r="LTB135" s="562"/>
      <c r="LTC135" s="562"/>
      <c r="LTD135" s="562"/>
      <c r="LTE135" s="562"/>
      <c r="LTF135" s="562"/>
      <c r="LTG135" s="562"/>
      <c r="LTH135" s="562"/>
      <c r="LTI135" s="562"/>
      <c r="LTJ135" s="562"/>
      <c r="LTK135" s="562"/>
      <c r="LTL135" s="562"/>
      <c r="LTM135" s="562"/>
      <c r="LTN135" s="562"/>
      <c r="LTO135" s="562"/>
      <c r="LTP135" s="562"/>
      <c r="LTQ135" s="562"/>
      <c r="LTR135" s="562"/>
      <c r="LTS135" s="562"/>
      <c r="LTT135" s="562"/>
      <c r="LTU135" s="562"/>
      <c r="LTV135" s="562"/>
      <c r="LTW135" s="562"/>
      <c r="LTX135" s="562"/>
      <c r="LTY135" s="562"/>
      <c r="LTZ135" s="562"/>
      <c r="LUA135" s="562"/>
      <c r="LUB135" s="562"/>
      <c r="LUC135" s="562"/>
      <c r="LUD135" s="562"/>
      <c r="LUE135" s="562"/>
      <c r="LUF135" s="562"/>
      <c r="LUG135" s="562"/>
      <c r="LUH135" s="562"/>
      <c r="LUI135" s="562"/>
      <c r="LUJ135" s="562"/>
      <c r="LUK135" s="562"/>
      <c r="LUL135" s="562"/>
      <c r="LUM135" s="562"/>
      <c r="LUN135" s="562"/>
      <c r="LUO135" s="562"/>
      <c r="LUP135" s="562"/>
      <c r="LUQ135" s="562"/>
      <c r="LUR135" s="562"/>
      <c r="LUS135" s="562"/>
      <c r="LUT135" s="562"/>
      <c r="LUU135" s="562"/>
      <c r="LUV135" s="562"/>
      <c r="LUW135" s="562"/>
      <c r="LUX135" s="562"/>
      <c r="LUY135" s="562"/>
      <c r="LUZ135" s="562"/>
      <c r="LVA135" s="562"/>
      <c r="LVB135" s="562"/>
      <c r="LVC135" s="562"/>
      <c r="LVD135" s="562"/>
      <c r="LVE135" s="562"/>
      <c r="LVF135" s="562"/>
      <c r="LVG135" s="562"/>
      <c r="LVH135" s="562"/>
      <c r="LVI135" s="562"/>
      <c r="LVJ135" s="562"/>
      <c r="LVK135" s="562"/>
      <c r="LVL135" s="562"/>
      <c r="LVM135" s="562"/>
      <c r="LVN135" s="562"/>
      <c r="LVO135" s="562"/>
      <c r="LVP135" s="562"/>
      <c r="LVQ135" s="562"/>
      <c r="LVR135" s="562"/>
      <c r="LVS135" s="562"/>
      <c r="LVT135" s="562"/>
      <c r="LVU135" s="562"/>
      <c r="LVV135" s="562"/>
      <c r="LVW135" s="562"/>
      <c r="LVX135" s="562"/>
      <c r="LVY135" s="562"/>
      <c r="LVZ135" s="562"/>
      <c r="LWA135" s="562"/>
      <c r="LWB135" s="562"/>
      <c r="LWC135" s="562"/>
      <c r="LWD135" s="562"/>
      <c r="LWE135" s="562"/>
      <c r="LWF135" s="562"/>
      <c r="LWG135" s="562"/>
      <c r="LWH135" s="562"/>
      <c r="LWI135" s="562"/>
      <c r="LWJ135" s="562"/>
      <c r="LWK135" s="562"/>
      <c r="LWL135" s="562"/>
      <c r="LWM135" s="562"/>
      <c r="LWN135" s="562"/>
      <c r="LWO135" s="562"/>
      <c r="LWP135" s="562"/>
      <c r="LWQ135" s="562"/>
      <c r="LWR135" s="562"/>
      <c r="LWS135" s="562"/>
      <c r="LWT135" s="562"/>
      <c r="LWU135" s="562"/>
      <c r="LWV135" s="562"/>
      <c r="LWW135" s="562"/>
      <c r="LWX135" s="562"/>
      <c r="LWY135" s="562"/>
      <c r="LWZ135" s="562"/>
      <c r="LXA135" s="562"/>
      <c r="LXB135" s="562"/>
      <c r="LXC135" s="562"/>
      <c r="LXD135" s="562"/>
      <c r="LXE135" s="562"/>
      <c r="LXF135" s="562"/>
      <c r="LXG135" s="562"/>
      <c r="LXH135" s="562"/>
      <c r="LXI135" s="562"/>
      <c r="LXJ135" s="562"/>
      <c r="LXK135" s="562"/>
      <c r="LXL135" s="562"/>
      <c r="LXM135" s="562"/>
      <c r="LXN135" s="562"/>
      <c r="LXO135" s="562"/>
      <c r="LXP135" s="562"/>
      <c r="LXQ135" s="562"/>
      <c r="LXR135" s="562"/>
      <c r="LXS135" s="562"/>
      <c r="LXT135" s="562"/>
      <c r="LXU135" s="562"/>
      <c r="LXV135" s="562"/>
      <c r="LXW135" s="562"/>
      <c r="LXX135" s="562"/>
      <c r="LXY135" s="562"/>
      <c r="LXZ135" s="562"/>
      <c r="LYA135" s="562"/>
      <c r="LYB135" s="562"/>
      <c r="LYC135" s="562"/>
      <c r="LYD135" s="562"/>
      <c r="LYE135" s="562"/>
      <c r="LYF135" s="562"/>
      <c r="LYG135" s="562"/>
      <c r="LYH135" s="562"/>
      <c r="LYI135" s="562"/>
      <c r="LYJ135" s="562"/>
      <c r="LYK135" s="562"/>
      <c r="LYL135" s="562"/>
      <c r="LYM135" s="562"/>
      <c r="LYN135" s="562"/>
      <c r="LYO135" s="562"/>
      <c r="LYP135" s="562"/>
      <c r="LYQ135" s="562"/>
      <c r="LYR135" s="562"/>
      <c r="LYS135" s="562"/>
      <c r="LYT135" s="562"/>
      <c r="LYU135" s="562"/>
      <c r="LYV135" s="562"/>
      <c r="LYW135" s="562"/>
      <c r="LYX135" s="562"/>
      <c r="LYY135" s="562"/>
      <c r="LYZ135" s="562"/>
      <c r="LZA135" s="562"/>
      <c r="LZB135" s="562"/>
      <c r="LZC135" s="562"/>
      <c r="LZD135" s="562"/>
      <c r="LZE135" s="562"/>
      <c r="LZF135" s="562"/>
      <c r="LZG135" s="562"/>
      <c r="LZH135" s="562"/>
      <c r="LZI135" s="562"/>
      <c r="LZJ135" s="562"/>
      <c r="LZK135" s="562"/>
      <c r="LZL135" s="562"/>
      <c r="LZM135" s="562"/>
      <c r="LZN135" s="562"/>
      <c r="LZO135" s="562"/>
      <c r="LZP135" s="562"/>
      <c r="LZQ135" s="562"/>
      <c r="LZR135" s="562"/>
      <c r="LZS135" s="562"/>
      <c r="LZT135" s="562"/>
      <c r="LZU135" s="562"/>
      <c r="LZV135" s="562"/>
      <c r="LZW135" s="562"/>
      <c r="LZX135" s="562"/>
      <c r="LZY135" s="562"/>
      <c r="LZZ135" s="562"/>
      <c r="MAA135" s="562"/>
      <c r="MAB135" s="562"/>
      <c r="MAC135" s="562"/>
      <c r="MAD135" s="562"/>
      <c r="MAE135" s="562"/>
      <c r="MAF135" s="562"/>
      <c r="MAG135" s="562"/>
      <c r="MAH135" s="562"/>
      <c r="MAI135" s="562"/>
      <c r="MAJ135" s="562"/>
      <c r="MAK135" s="562"/>
      <c r="MAL135" s="562"/>
      <c r="MAM135" s="562"/>
      <c r="MAN135" s="562"/>
      <c r="MAO135" s="562"/>
      <c r="MAP135" s="562"/>
      <c r="MAQ135" s="562"/>
      <c r="MAR135" s="562"/>
      <c r="MAS135" s="562"/>
      <c r="MAT135" s="562"/>
      <c r="MAU135" s="562"/>
      <c r="MAV135" s="562"/>
      <c r="MAW135" s="562"/>
      <c r="MAX135" s="562"/>
      <c r="MAY135" s="562"/>
      <c r="MAZ135" s="562"/>
      <c r="MBA135" s="562"/>
      <c r="MBB135" s="562"/>
      <c r="MBC135" s="562"/>
      <c r="MBD135" s="562"/>
      <c r="MBE135" s="562"/>
      <c r="MBF135" s="562"/>
      <c r="MBG135" s="562"/>
      <c r="MBH135" s="562"/>
      <c r="MBI135" s="562"/>
      <c r="MBJ135" s="562"/>
      <c r="MBK135" s="562"/>
      <c r="MBL135" s="562"/>
      <c r="MBM135" s="562"/>
      <c r="MBN135" s="562"/>
      <c r="MBO135" s="562"/>
      <c r="MBP135" s="562"/>
      <c r="MBQ135" s="562"/>
      <c r="MBR135" s="562"/>
      <c r="MBS135" s="562"/>
      <c r="MBT135" s="562"/>
      <c r="MBU135" s="562"/>
      <c r="MBV135" s="562"/>
      <c r="MBW135" s="562"/>
      <c r="MBX135" s="562"/>
      <c r="MBY135" s="562"/>
      <c r="MBZ135" s="562"/>
      <c r="MCA135" s="562"/>
      <c r="MCB135" s="562"/>
      <c r="MCC135" s="562"/>
      <c r="MCD135" s="562"/>
      <c r="MCE135" s="562"/>
      <c r="MCF135" s="562"/>
      <c r="MCG135" s="562"/>
      <c r="MCH135" s="562"/>
      <c r="MCI135" s="562"/>
      <c r="MCJ135" s="562"/>
      <c r="MCK135" s="562"/>
      <c r="MCL135" s="562"/>
      <c r="MCM135" s="562"/>
      <c r="MCN135" s="562"/>
      <c r="MCO135" s="562"/>
      <c r="MCP135" s="562"/>
      <c r="MCQ135" s="562"/>
      <c r="MCR135" s="562"/>
      <c r="MCS135" s="562"/>
      <c r="MCT135" s="562"/>
      <c r="MCU135" s="562"/>
      <c r="MCV135" s="562"/>
      <c r="MCW135" s="562"/>
      <c r="MCX135" s="562"/>
      <c r="MCY135" s="562"/>
      <c r="MCZ135" s="562"/>
      <c r="MDA135" s="562"/>
      <c r="MDB135" s="562"/>
      <c r="MDC135" s="562"/>
      <c r="MDD135" s="562"/>
      <c r="MDE135" s="562"/>
      <c r="MDF135" s="562"/>
      <c r="MDG135" s="562"/>
      <c r="MDH135" s="562"/>
      <c r="MDI135" s="562"/>
      <c r="MDJ135" s="562"/>
      <c r="MDK135" s="562"/>
      <c r="MDL135" s="562"/>
      <c r="MDM135" s="562"/>
      <c r="MDN135" s="562"/>
      <c r="MDO135" s="562"/>
      <c r="MDP135" s="562"/>
      <c r="MDQ135" s="562"/>
      <c r="MDR135" s="562"/>
      <c r="MDS135" s="562"/>
      <c r="MDT135" s="562"/>
      <c r="MDU135" s="562"/>
      <c r="MDV135" s="562"/>
      <c r="MDW135" s="562"/>
      <c r="MDX135" s="562"/>
      <c r="MDY135" s="562"/>
      <c r="MDZ135" s="562"/>
      <c r="MEA135" s="562"/>
      <c r="MEB135" s="562"/>
      <c r="MEC135" s="562"/>
      <c r="MED135" s="562"/>
      <c r="MEE135" s="562"/>
      <c r="MEF135" s="562"/>
      <c r="MEG135" s="562"/>
      <c r="MEH135" s="562"/>
      <c r="MEI135" s="562"/>
      <c r="MEJ135" s="562"/>
      <c r="MEK135" s="562"/>
      <c r="MEL135" s="562"/>
      <c r="MEM135" s="562"/>
      <c r="MEN135" s="562"/>
      <c r="MEO135" s="562"/>
      <c r="MEP135" s="562"/>
      <c r="MEQ135" s="562"/>
      <c r="MER135" s="562"/>
      <c r="MES135" s="562"/>
      <c r="MET135" s="562"/>
      <c r="MEU135" s="562"/>
      <c r="MEV135" s="562"/>
      <c r="MEW135" s="562"/>
      <c r="MEX135" s="562"/>
      <c r="MEY135" s="562"/>
      <c r="MEZ135" s="562"/>
      <c r="MFA135" s="562"/>
      <c r="MFB135" s="562"/>
      <c r="MFC135" s="562"/>
      <c r="MFD135" s="562"/>
      <c r="MFE135" s="562"/>
      <c r="MFF135" s="562"/>
      <c r="MFG135" s="562"/>
      <c r="MFH135" s="562"/>
      <c r="MFI135" s="562"/>
      <c r="MFJ135" s="562"/>
      <c r="MFK135" s="562"/>
      <c r="MFL135" s="562"/>
      <c r="MFM135" s="562"/>
      <c r="MFN135" s="562"/>
      <c r="MFO135" s="562"/>
      <c r="MFP135" s="562"/>
      <c r="MFQ135" s="562"/>
      <c r="MFR135" s="562"/>
      <c r="MFS135" s="562"/>
      <c r="MFT135" s="562"/>
      <c r="MFU135" s="562"/>
      <c r="MFV135" s="562"/>
      <c r="MFW135" s="562"/>
      <c r="MFX135" s="562"/>
      <c r="MFY135" s="562"/>
      <c r="MFZ135" s="562"/>
      <c r="MGA135" s="562"/>
      <c r="MGB135" s="562"/>
      <c r="MGC135" s="562"/>
      <c r="MGD135" s="562"/>
      <c r="MGE135" s="562"/>
      <c r="MGF135" s="562"/>
      <c r="MGG135" s="562"/>
      <c r="MGH135" s="562"/>
      <c r="MGI135" s="562"/>
      <c r="MGJ135" s="562"/>
      <c r="MGK135" s="562"/>
      <c r="MGL135" s="562"/>
      <c r="MGM135" s="562"/>
      <c r="MGN135" s="562"/>
      <c r="MGO135" s="562"/>
      <c r="MGP135" s="562"/>
      <c r="MGQ135" s="562"/>
      <c r="MGR135" s="562"/>
      <c r="MGS135" s="562"/>
      <c r="MGT135" s="562"/>
      <c r="MGU135" s="562"/>
      <c r="MGV135" s="562"/>
      <c r="MGW135" s="562"/>
      <c r="MGX135" s="562"/>
      <c r="MGY135" s="562"/>
      <c r="MGZ135" s="562"/>
      <c r="MHA135" s="562"/>
      <c r="MHB135" s="562"/>
      <c r="MHC135" s="562"/>
      <c r="MHD135" s="562"/>
      <c r="MHE135" s="562"/>
      <c r="MHF135" s="562"/>
      <c r="MHG135" s="562"/>
      <c r="MHH135" s="562"/>
      <c r="MHI135" s="562"/>
      <c r="MHJ135" s="562"/>
      <c r="MHK135" s="562"/>
      <c r="MHL135" s="562"/>
      <c r="MHM135" s="562"/>
      <c r="MHN135" s="562"/>
      <c r="MHO135" s="562"/>
      <c r="MHP135" s="562"/>
      <c r="MHQ135" s="562"/>
      <c r="MHR135" s="562"/>
      <c r="MHS135" s="562"/>
      <c r="MHT135" s="562"/>
      <c r="MHU135" s="562"/>
      <c r="MHV135" s="562"/>
      <c r="MHW135" s="562"/>
      <c r="MHX135" s="562"/>
      <c r="MHY135" s="562"/>
      <c r="MHZ135" s="562"/>
      <c r="MIA135" s="562"/>
      <c r="MIB135" s="562"/>
      <c r="MIC135" s="562"/>
      <c r="MID135" s="562"/>
      <c r="MIE135" s="562"/>
      <c r="MIF135" s="562"/>
      <c r="MIG135" s="562"/>
      <c r="MIH135" s="562"/>
      <c r="MII135" s="562"/>
      <c r="MIJ135" s="562"/>
      <c r="MIK135" s="562"/>
      <c r="MIL135" s="562"/>
      <c r="MIM135" s="562"/>
      <c r="MIN135" s="562"/>
      <c r="MIO135" s="562"/>
      <c r="MIP135" s="562"/>
      <c r="MIQ135" s="562"/>
      <c r="MIR135" s="562"/>
      <c r="MIS135" s="562"/>
      <c r="MIT135" s="562"/>
      <c r="MIU135" s="562"/>
      <c r="MIV135" s="562"/>
      <c r="MIW135" s="562"/>
      <c r="MIX135" s="562"/>
      <c r="MIY135" s="562"/>
      <c r="MIZ135" s="562"/>
      <c r="MJA135" s="562"/>
      <c r="MJB135" s="562"/>
      <c r="MJC135" s="562"/>
      <c r="MJD135" s="562"/>
      <c r="MJE135" s="562"/>
      <c r="MJF135" s="562"/>
      <c r="MJG135" s="562"/>
      <c r="MJH135" s="562"/>
      <c r="MJI135" s="562"/>
      <c r="MJJ135" s="562"/>
      <c r="MJK135" s="562"/>
      <c r="MJL135" s="562"/>
      <c r="MJM135" s="562"/>
      <c r="MJN135" s="562"/>
      <c r="MJO135" s="562"/>
      <c r="MJP135" s="562"/>
      <c r="MJQ135" s="562"/>
      <c r="MJR135" s="562"/>
      <c r="MJS135" s="562"/>
      <c r="MJT135" s="562"/>
      <c r="MJU135" s="562"/>
      <c r="MJV135" s="562"/>
      <c r="MJW135" s="562"/>
      <c r="MJX135" s="562"/>
      <c r="MJY135" s="562"/>
      <c r="MJZ135" s="562"/>
      <c r="MKA135" s="562"/>
      <c r="MKB135" s="562"/>
      <c r="MKC135" s="562"/>
      <c r="MKD135" s="562"/>
      <c r="MKE135" s="562"/>
      <c r="MKF135" s="562"/>
      <c r="MKG135" s="562"/>
      <c r="MKH135" s="562"/>
      <c r="MKI135" s="562"/>
      <c r="MKJ135" s="562"/>
      <c r="MKK135" s="562"/>
      <c r="MKL135" s="562"/>
      <c r="MKM135" s="562"/>
      <c r="MKN135" s="562"/>
      <c r="MKO135" s="562"/>
      <c r="MKP135" s="562"/>
      <c r="MKQ135" s="562"/>
      <c r="MKR135" s="562"/>
      <c r="MKS135" s="562"/>
      <c r="MKT135" s="562"/>
      <c r="MKU135" s="562"/>
      <c r="MKV135" s="562"/>
      <c r="MKW135" s="562"/>
      <c r="MKX135" s="562"/>
      <c r="MKY135" s="562"/>
      <c r="MKZ135" s="562"/>
      <c r="MLA135" s="562"/>
      <c r="MLB135" s="562"/>
      <c r="MLC135" s="562"/>
      <c r="MLD135" s="562"/>
      <c r="MLE135" s="562"/>
      <c r="MLF135" s="562"/>
      <c r="MLG135" s="562"/>
      <c r="MLH135" s="562"/>
      <c r="MLI135" s="562"/>
      <c r="MLJ135" s="562"/>
      <c r="MLK135" s="562"/>
      <c r="MLL135" s="562"/>
      <c r="MLM135" s="562"/>
      <c r="MLN135" s="562"/>
      <c r="MLO135" s="562"/>
      <c r="MLP135" s="562"/>
      <c r="MLQ135" s="562"/>
      <c r="MLR135" s="562"/>
      <c r="MLS135" s="562"/>
      <c r="MLT135" s="562"/>
      <c r="MLU135" s="562"/>
      <c r="MLV135" s="562"/>
      <c r="MLW135" s="562"/>
      <c r="MLX135" s="562"/>
      <c r="MLY135" s="562"/>
      <c r="MLZ135" s="562"/>
      <c r="MMA135" s="562"/>
      <c r="MMB135" s="562"/>
      <c r="MMC135" s="562"/>
      <c r="MMD135" s="562"/>
      <c r="MME135" s="562"/>
      <c r="MMF135" s="562"/>
      <c r="MMG135" s="562"/>
      <c r="MMH135" s="562"/>
      <c r="MMI135" s="562"/>
      <c r="MMJ135" s="562"/>
      <c r="MMK135" s="562"/>
      <c r="MML135" s="562"/>
      <c r="MMM135" s="562"/>
      <c r="MMN135" s="562"/>
      <c r="MMO135" s="562"/>
      <c r="MMP135" s="562"/>
      <c r="MMQ135" s="562"/>
      <c r="MMR135" s="562"/>
      <c r="MMS135" s="562"/>
      <c r="MMT135" s="562"/>
      <c r="MMU135" s="562"/>
      <c r="MMV135" s="562"/>
      <c r="MMW135" s="562"/>
      <c r="MMX135" s="562"/>
      <c r="MMY135" s="562"/>
      <c r="MMZ135" s="562"/>
      <c r="MNA135" s="562"/>
      <c r="MNB135" s="562"/>
      <c r="MNC135" s="562"/>
      <c r="MND135" s="562"/>
      <c r="MNE135" s="562"/>
      <c r="MNF135" s="562"/>
      <c r="MNG135" s="562"/>
      <c r="MNH135" s="562"/>
      <c r="MNI135" s="562"/>
      <c r="MNJ135" s="562"/>
      <c r="MNK135" s="562"/>
      <c r="MNL135" s="562"/>
      <c r="MNM135" s="562"/>
      <c r="MNN135" s="562"/>
      <c r="MNO135" s="562"/>
      <c r="MNP135" s="562"/>
      <c r="MNQ135" s="562"/>
      <c r="MNR135" s="562"/>
      <c r="MNS135" s="562"/>
      <c r="MNT135" s="562"/>
      <c r="MNU135" s="562"/>
      <c r="MNV135" s="562"/>
      <c r="MNW135" s="562"/>
      <c r="MNX135" s="562"/>
      <c r="MNY135" s="562"/>
      <c r="MNZ135" s="562"/>
      <c r="MOA135" s="562"/>
      <c r="MOB135" s="562"/>
      <c r="MOC135" s="562"/>
      <c r="MOD135" s="562"/>
      <c r="MOE135" s="562"/>
      <c r="MOF135" s="562"/>
      <c r="MOG135" s="562"/>
      <c r="MOH135" s="562"/>
      <c r="MOI135" s="562"/>
      <c r="MOJ135" s="562"/>
      <c r="MOK135" s="562"/>
      <c r="MOL135" s="562"/>
      <c r="MOM135" s="562"/>
      <c r="MON135" s="562"/>
      <c r="MOO135" s="562"/>
      <c r="MOP135" s="562"/>
      <c r="MOQ135" s="562"/>
      <c r="MOR135" s="562"/>
      <c r="MOS135" s="562"/>
      <c r="MOT135" s="562"/>
      <c r="MOU135" s="562"/>
      <c r="MOV135" s="562"/>
      <c r="MOW135" s="562"/>
      <c r="MOX135" s="562"/>
      <c r="MOY135" s="562"/>
      <c r="MOZ135" s="562"/>
      <c r="MPA135" s="562"/>
      <c r="MPB135" s="562"/>
      <c r="MPC135" s="562"/>
      <c r="MPD135" s="562"/>
      <c r="MPE135" s="562"/>
      <c r="MPF135" s="562"/>
      <c r="MPG135" s="562"/>
      <c r="MPH135" s="562"/>
      <c r="MPI135" s="562"/>
      <c r="MPJ135" s="562"/>
      <c r="MPK135" s="562"/>
      <c r="MPL135" s="562"/>
      <c r="MPM135" s="562"/>
      <c r="MPN135" s="562"/>
      <c r="MPO135" s="562"/>
      <c r="MPP135" s="562"/>
      <c r="MPQ135" s="562"/>
      <c r="MPR135" s="562"/>
      <c r="MPS135" s="562"/>
      <c r="MPT135" s="562"/>
      <c r="MPU135" s="562"/>
      <c r="MPV135" s="562"/>
      <c r="MPW135" s="562"/>
      <c r="MPX135" s="562"/>
      <c r="MPY135" s="562"/>
      <c r="MPZ135" s="562"/>
      <c r="MQA135" s="562"/>
      <c r="MQB135" s="562"/>
      <c r="MQC135" s="562"/>
      <c r="MQD135" s="562"/>
      <c r="MQE135" s="562"/>
      <c r="MQF135" s="562"/>
      <c r="MQG135" s="562"/>
      <c r="MQH135" s="562"/>
      <c r="MQI135" s="562"/>
      <c r="MQJ135" s="562"/>
      <c r="MQK135" s="562"/>
      <c r="MQL135" s="562"/>
      <c r="MQM135" s="562"/>
      <c r="MQN135" s="562"/>
      <c r="MQO135" s="562"/>
      <c r="MQP135" s="562"/>
      <c r="MQQ135" s="562"/>
      <c r="MQR135" s="562"/>
      <c r="MQS135" s="562"/>
      <c r="MQT135" s="562"/>
      <c r="MQU135" s="562"/>
      <c r="MQV135" s="562"/>
      <c r="MQW135" s="562"/>
      <c r="MQX135" s="562"/>
      <c r="MQY135" s="562"/>
      <c r="MQZ135" s="562"/>
      <c r="MRA135" s="562"/>
      <c r="MRB135" s="562"/>
      <c r="MRC135" s="562"/>
      <c r="MRD135" s="562"/>
      <c r="MRE135" s="562"/>
      <c r="MRF135" s="562"/>
      <c r="MRG135" s="562"/>
      <c r="MRH135" s="562"/>
      <c r="MRI135" s="562"/>
      <c r="MRJ135" s="562"/>
      <c r="MRK135" s="562"/>
      <c r="MRL135" s="562"/>
      <c r="MRM135" s="562"/>
      <c r="MRN135" s="562"/>
      <c r="MRO135" s="562"/>
      <c r="MRP135" s="562"/>
      <c r="MRQ135" s="562"/>
      <c r="MRR135" s="562"/>
      <c r="MRS135" s="562"/>
      <c r="MRT135" s="562"/>
      <c r="MRU135" s="562"/>
      <c r="MRV135" s="562"/>
      <c r="MRW135" s="562"/>
      <c r="MRX135" s="562"/>
      <c r="MRY135" s="562"/>
      <c r="MRZ135" s="562"/>
      <c r="MSA135" s="562"/>
      <c r="MSB135" s="562"/>
      <c r="MSC135" s="562"/>
      <c r="MSD135" s="562"/>
      <c r="MSE135" s="562"/>
      <c r="MSF135" s="562"/>
      <c r="MSG135" s="562"/>
      <c r="MSH135" s="562"/>
      <c r="MSI135" s="562"/>
      <c r="MSJ135" s="562"/>
      <c r="MSK135" s="562"/>
      <c r="MSL135" s="562"/>
      <c r="MSM135" s="562"/>
      <c r="MSN135" s="562"/>
      <c r="MSO135" s="562"/>
      <c r="MSP135" s="562"/>
      <c r="MSQ135" s="562"/>
      <c r="MSR135" s="562"/>
      <c r="MSS135" s="562"/>
      <c r="MST135" s="562"/>
      <c r="MSU135" s="562"/>
      <c r="MSV135" s="562"/>
      <c r="MSW135" s="562"/>
      <c r="MSX135" s="562"/>
      <c r="MSY135" s="562"/>
      <c r="MSZ135" s="562"/>
      <c r="MTA135" s="562"/>
      <c r="MTB135" s="562"/>
      <c r="MTC135" s="562"/>
      <c r="MTD135" s="562"/>
      <c r="MTE135" s="562"/>
      <c r="MTF135" s="562"/>
      <c r="MTG135" s="562"/>
      <c r="MTH135" s="562"/>
      <c r="MTI135" s="562"/>
      <c r="MTJ135" s="562"/>
      <c r="MTK135" s="562"/>
      <c r="MTL135" s="562"/>
      <c r="MTM135" s="562"/>
      <c r="MTN135" s="562"/>
      <c r="MTO135" s="562"/>
      <c r="MTP135" s="562"/>
      <c r="MTQ135" s="562"/>
      <c r="MTR135" s="562"/>
      <c r="MTS135" s="562"/>
      <c r="MTT135" s="562"/>
      <c r="MTU135" s="562"/>
      <c r="MTV135" s="562"/>
      <c r="MTW135" s="562"/>
      <c r="MTX135" s="562"/>
      <c r="MTY135" s="562"/>
      <c r="MTZ135" s="562"/>
      <c r="MUA135" s="562"/>
      <c r="MUB135" s="562"/>
      <c r="MUC135" s="562"/>
      <c r="MUD135" s="562"/>
      <c r="MUE135" s="562"/>
      <c r="MUF135" s="562"/>
      <c r="MUG135" s="562"/>
      <c r="MUH135" s="562"/>
      <c r="MUI135" s="562"/>
      <c r="MUJ135" s="562"/>
      <c r="MUK135" s="562"/>
      <c r="MUL135" s="562"/>
      <c r="MUM135" s="562"/>
      <c r="MUN135" s="562"/>
      <c r="MUO135" s="562"/>
      <c r="MUP135" s="562"/>
      <c r="MUQ135" s="562"/>
      <c r="MUR135" s="562"/>
      <c r="MUS135" s="562"/>
      <c r="MUT135" s="562"/>
      <c r="MUU135" s="562"/>
      <c r="MUV135" s="562"/>
      <c r="MUW135" s="562"/>
      <c r="MUX135" s="562"/>
      <c r="MUY135" s="562"/>
      <c r="MUZ135" s="562"/>
      <c r="MVA135" s="562"/>
      <c r="MVB135" s="562"/>
      <c r="MVC135" s="562"/>
      <c r="MVD135" s="562"/>
      <c r="MVE135" s="562"/>
      <c r="MVF135" s="562"/>
      <c r="MVG135" s="562"/>
      <c r="MVH135" s="562"/>
      <c r="MVI135" s="562"/>
      <c r="MVJ135" s="562"/>
      <c r="MVK135" s="562"/>
      <c r="MVL135" s="562"/>
      <c r="MVM135" s="562"/>
      <c r="MVN135" s="562"/>
      <c r="MVO135" s="562"/>
      <c r="MVP135" s="562"/>
      <c r="MVQ135" s="562"/>
      <c r="MVR135" s="562"/>
      <c r="MVS135" s="562"/>
      <c r="MVT135" s="562"/>
      <c r="MVU135" s="562"/>
      <c r="MVV135" s="562"/>
      <c r="MVW135" s="562"/>
      <c r="MVX135" s="562"/>
      <c r="MVY135" s="562"/>
      <c r="MVZ135" s="562"/>
      <c r="MWA135" s="562"/>
      <c r="MWB135" s="562"/>
      <c r="MWC135" s="562"/>
      <c r="MWD135" s="562"/>
      <c r="MWE135" s="562"/>
      <c r="MWF135" s="562"/>
      <c r="MWG135" s="562"/>
      <c r="MWH135" s="562"/>
      <c r="MWI135" s="562"/>
      <c r="MWJ135" s="562"/>
      <c r="MWK135" s="562"/>
      <c r="MWL135" s="562"/>
      <c r="MWM135" s="562"/>
      <c r="MWN135" s="562"/>
      <c r="MWO135" s="562"/>
      <c r="MWP135" s="562"/>
      <c r="MWQ135" s="562"/>
      <c r="MWR135" s="562"/>
      <c r="MWS135" s="562"/>
      <c r="MWT135" s="562"/>
      <c r="MWU135" s="562"/>
      <c r="MWV135" s="562"/>
      <c r="MWW135" s="562"/>
      <c r="MWX135" s="562"/>
      <c r="MWY135" s="562"/>
      <c r="MWZ135" s="562"/>
      <c r="MXA135" s="562"/>
      <c r="MXB135" s="562"/>
      <c r="MXC135" s="562"/>
      <c r="MXD135" s="562"/>
      <c r="MXE135" s="562"/>
      <c r="MXF135" s="562"/>
      <c r="MXG135" s="562"/>
      <c r="MXH135" s="562"/>
      <c r="MXI135" s="562"/>
      <c r="MXJ135" s="562"/>
      <c r="MXK135" s="562"/>
      <c r="MXL135" s="562"/>
      <c r="MXM135" s="562"/>
      <c r="MXN135" s="562"/>
      <c r="MXO135" s="562"/>
      <c r="MXP135" s="562"/>
      <c r="MXQ135" s="562"/>
      <c r="MXR135" s="562"/>
      <c r="MXS135" s="562"/>
      <c r="MXT135" s="562"/>
      <c r="MXU135" s="562"/>
      <c r="MXV135" s="562"/>
      <c r="MXW135" s="562"/>
      <c r="MXX135" s="562"/>
      <c r="MXY135" s="562"/>
      <c r="MXZ135" s="562"/>
      <c r="MYA135" s="562"/>
      <c r="MYB135" s="562"/>
      <c r="MYC135" s="562"/>
      <c r="MYD135" s="562"/>
      <c r="MYE135" s="562"/>
      <c r="MYF135" s="562"/>
      <c r="MYG135" s="562"/>
      <c r="MYH135" s="562"/>
      <c r="MYI135" s="562"/>
      <c r="MYJ135" s="562"/>
      <c r="MYK135" s="562"/>
      <c r="MYL135" s="562"/>
      <c r="MYM135" s="562"/>
      <c r="MYN135" s="562"/>
      <c r="MYO135" s="562"/>
      <c r="MYP135" s="562"/>
      <c r="MYQ135" s="562"/>
      <c r="MYR135" s="562"/>
      <c r="MYS135" s="562"/>
      <c r="MYT135" s="562"/>
      <c r="MYU135" s="562"/>
      <c r="MYV135" s="562"/>
      <c r="MYW135" s="562"/>
      <c r="MYX135" s="562"/>
      <c r="MYY135" s="562"/>
      <c r="MYZ135" s="562"/>
      <c r="MZA135" s="562"/>
      <c r="MZB135" s="562"/>
      <c r="MZC135" s="562"/>
      <c r="MZD135" s="562"/>
      <c r="MZE135" s="562"/>
      <c r="MZF135" s="562"/>
      <c r="MZG135" s="562"/>
      <c r="MZH135" s="562"/>
      <c r="MZI135" s="562"/>
      <c r="MZJ135" s="562"/>
      <c r="MZK135" s="562"/>
      <c r="MZL135" s="562"/>
      <c r="MZM135" s="562"/>
      <c r="MZN135" s="562"/>
      <c r="MZO135" s="562"/>
      <c r="MZP135" s="562"/>
      <c r="MZQ135" s="562"/>
      <c r="MZR135" s="562"/>
      <c r="MZS135" s="562"/>
      <c r="MZT135" s="562"/>
      <c r="MZU135" s="562"/>
      <c r="MZV135" s="562"/>
      <c r="MZW135" s="562"/>
      <c r="MZX135" s="562"/>
      <c r="MZY135" s="562"/>
      <c r="MZZ135" s="562"/>
      <c r="NAA135" s="562"/>
      <c r="NAB135" s="562"/>
      <c r="NAC135" s="562"/>
      <c r="NAD135" s="562"/>
      <c r="NAE135" s="562"/>
      <c r="NAF135" s="562"/>
      <c r="NAG135" s="562"/>
      <c r="NAH135" s="562"/>
      <c r="NAI135" s="562"/>
      <c r="NAJ135" s="562"/>
      <c r="NAK135" s="562"/>
      <c r="NAL135" s="562"/>
      <c r="NAM135" s="562"/>
      <c r="NAN135" s="562"/>
      <c r="NAO135" s="562"/>
      <c r="NAP135" s="562"/>
      <c r="NAQ135" s="562"/>
      <c r="NAR135" s="562"/>
      <c r="NAS135" s="562"/>
      <c r="NAT135" s="562"/>
      <c r="NAU135" s="562"/>
      <c r="NAV135" s="562"/>
      <c r="NAW135" s="562"/>
      <c r="NAX135" s="562"/>
      <c r="NAY135" s="562"/>
      <c r="NAZ135" s="562"/>
      <c r="NBA135" s="562"/>
      <c r="NBB135" s="562"/>
      <c r="NBC135" s="562"/>
      <c r="NBD135" s="562"/>
      <c r="NBE135" s="562"/>
      <c r="NBF135" s="562"/>
      <c r="NBG135" s="562"/>
      <c r="NBH135" s="562"/>
      <c r="NBI135" s="562"/>
      <c r="NBJ135" s="562"/>
      <c r="NBK135" s="562"/>
      <c r="NBL135" s="562"/>
      <c r="NBM135" s="562"/>
      <c r="NBN135" s="562"/>
      <c r="NBO135" s="562"/>
      <c r="NBP135" s="562"/>
      <c r="NBQ135" s="562"/>
      <c r="NBR135" s="562"/>
      <c r="NBS135" s="562"/>
      <c r="NBT135" s="562"/>
      <c r="NBU135" s="562"/>
      <c r="NBV135" s="562"/>
      <c r="NBW135" s="562"/>
      <c r="NBX135" s="562"/>
      <c r="NBY135" s="562"/>
      <c r="NBZ135" s="562"/>
      <c r="NCA135" s="562"/>
      <c r="NCB135" s="562"/>
      <c r="NCC135" s="562"/>
      <c r="NCD135" s="562"/>
      <c r="NCE135" s="562"/>
      <c r="NCF135" s="562"/>
      <c r="NCG135" s="562"/>
      <c r="NCH135" s="562"/>
      <c r="NCI135" s="562"/>
      <c r="NCJ135" s="562"/>
      <c r="NCK135" s="562"/>
      <c r="NCL135" s="562"/>
      <c r="NCM135" s="562"/>
      <c r="NCN135" s="562"/>
      <c r="NCO135" s="562"/>
      <c r="NCP135" s="562"/>
      <c r="NCQ135" s="562"/>
      <c r="NCR135" s="562"/>
      <c r="NCS135" s="562"/>
      <c r="NCT135" s="562"/>
      <c r="NCU135" s="562"/>
      <c r="NCV135" s="562"/>
      <c r="NCW135" s="562"/>
      <c r="NCX135" s="562"/>
      <c r="NCY135" s="562"/>
      <c r="NCZ135" s="562"/>
      <c r="NDA135" s="562"/>
      <c r="NDB135" s="562"/>
      <c r="NDC135" s="562"/>
      <c r="NDD135" s="562"/>
      <c r="NDE135" s="562"/>
      <c r="NDF135" s="562"/>
      <c r="NDG135" s="562"/>
      <c r="NDH135" s="562"/>
      <c r="NDI135" s="562"/>
      <c r="NDJ135" s="562"/>
      <c r="NDK135" s="562"/>
      <c r="NDL135" s="562"/>
      <c r="NDM135" s="562"/>
      <c r="NDN135" s="562"/>
      <c r="NDO135" s="562"/>
      <c r="NDP135" s="562"/>
      <c r="NDQ135" s="562"/>
      <c r="NDR135" s="562"/>
      <c r="NDS135" s="562"/>
      <c r="NDT135" s="562"/>
      <c r="NDU135" s="562"/>
      <c r="NDV135" s="562"/>
      <c r="NDW135" s="562"/>
      <c r="NDX135" s="562"/>
      <c r="NDY135" s="562"/>
      <c r="NDZ135" s="562"/>
      <c r="NEA135" s="562"/>
      <c r="NEB135" s="562"/>
      <c r="NEC135" s="562"/>
      <c r="NED135" s="562"/>
      <c r="NEE135" s="562"/>
      <c r="NEF135" s="562"/>
      <c r="NEG135" s="562"/>
      <c r="NEH135" s="562"/>
      <c r="NEI135" s="562"/>
      <c r="NEJ135" s="562"/>
      <c r="NEK135" s="562"/>
      <c r="NEL135" s="562"/>
      <c r="NEM135" s="562"/>
      <c r="NEN135" s="562"/>
      <c r="NEO135" s="562"/>
      <c r="NEP135" s="562"/>
      <c r="NEQ135" s="562"/>
      <c r="NER135" s="562"/>
      <c r="NES135" s="562"/>
      <c r="NET135" s="562"/>
      <c r="NEU135" s="562"/>
      <c r="NEV135" s="562"/>
      <c r="NEW135" s="562"/>
      <c r="NEX135" s="562"/>
      <c r="NEY135" s="562"/>
      <c r="NEZ135" s="562"/>
      <c r="NFA135" s="562"/>
      <c r="NFB135" s="562"/>
      <c r="NFC135" s="562"/>
      <c r="NFD135" s="562"/>
      <c r="NFE135" s="562"/>
      <c r="NFF135" s="562"/>
      <c r="NFG135" s="562"/>
      <c r="NFH135" s="562"/>
      <c r="NFI135" s="562"/>
      <c r="NFJ135" s="562"/>
      <c r="NFK135" s="562"/>
      <c r="NFL135" s="562"/>
      <c r="NFM135" s="562"/>
      <c r="NFN135" s="562"/>
      <c r="NFO135" s="562"/>
      <c r="NFP135" s="562"/>
      <c r="NFQ135" s="562"/>
      <c r="NFR135" s="562"/>
      <c r="NFS135" s="562"/>
      <c r="NFT135" s="562"/>
      <c r="NFU135" s="562"/>
      <c r="NFV135" s="562"/>
      <c r="NFW135" s="562"/>
      <c r="NFX135" s="562"/>
      <c r="NFY135" s="562"/>
      <c r="NFZ135" s="562"/>
      <c r="NGA135" s="562"/>
      <c r="NGB135" s="562"/>
      <c r="NGC135" s="562"/>
      <c r="NGD135" s="562"/>
      <c r="NGE135" s="562"/>
      <c r="NGF135" s="562"/>
      <c r="NGG135" s="562"/>
      <c r="NGH135" s="562"/>
      <c r="NGI135" s="562"/>
      <c r="NGJ135" s="562"/>
      <c r="NGK135" s="562"/>
      <c r="NGL135" s="562"/>
      <c r="NGM135" s="562"/>
      <c r="NGN135" s="562"/>
      <c r="NGO135" s="562"/>
      <c r="NGP135" s="562"/>
      <c r="NGQ135" s="562"/>
      <c r="NGR135" s="562"/>
      <c r="NGS135" s="562"/>
      <c r="NGT135" s="562"/>
      <c r="NGU135" s="562"/>
      <c r="NGV135" s="562"/>
      <c r="NGW135" s="562"/>
      <c r="NGX135" s="562"/>
      <c r="NGY135" s="562"/>
      <c r="NGZ135" s="562"/>
      <c r="NHA135" s="562"/>
      <c r="NHB135" s="562"/>
      <c r="NHC135" s="562"/>
      <c r="NHD135" s="562"/>
      <c r="NHE135" s="562"/>
      <c r="NHF135" s="562"/>
      <c r="NHG135" s="562"/>
      <c r="NHH135" s="562"/>
      <c r="NHI135" s="562"/>
      <c r="NHJ135" s="562"/>
      <c r="NHK135" s="562"/>
      <c r="NHL135" s="562"/>
      <c r="NHM135" s="562"/>
      <c r="NHN135" s="562"/>
      <c r="NHO135" s="562"/>
      <c r="NHP135" s="562"/>
      <c r="NHQ135" s="562"/>
      <c r="NHR135" s="562"/>
      <c r="NHS135" s="562"/>
      <c r="NHT135" s="562"/>
      <c r="NHU135" s="562"/>
      <c r="NHV135" s="562"/>
      <c r="NHW135" s="562"/>
      <c r="NHX135" s="562"/>
      <c r="NHY135" s="562"/>
      <c r="NHZ135" s="562"/>
      <c r="NIA135" s="562"/>
      <c r="NIB135" s="562"/>
      <c r="NIC135" s="562"/>
      <c r="NID135" s="562"/>
      <c r="NIE135" s="562"/>
      <c r="NIF135" s="562"/>
      <c r="NIG135" s="562"/>
      <c r="NIH135" s="562"/>
      <c r="NII135" s="562"/>
      <c r="NIJ135" s="562"/>
      <c r="NIK135" s="562"/>
      <c r="NIL135" s="562"/>
      <c r="NIM135" s="562"/>
      <c r="NIN135" s="562"/>
      <c r="NIO135" s="562"/>
      <c r="NIP135" s="562"/>
      <c r="NIQ135" s="562"/>
      <c r="NIR135" s="562"/>
      <c r="NIS135" s="562"/>
      <c r="NIT135" s="562"/>
      <c r="NIU135" s="562"/>
      <c r="NIV135" s="562"/>
      <c r="NIW135" s="562"/>
      <c r="NIX135" s="562"/>
      <c r="NIY135" s="562"/>
      <c r="NIZ135" s="562"/>
      <c r="NJA135" s="562"/>
      <c r="NJB135" s="562"/>
      <c r="NJC135" s="562"/>
      <c r="NJD135" s="562"/>
      <c r="NJE135" s="562"/>
      <c r="NJF135" s="562"/>
      <c r="NJG135" s="562"/>
      <c r="NJH135" s="562"/>
      <c r="NJI135" s="562"/>
      <c r="NJJ135" s="562"/>
      <c r="NJK135" s="562"/>
      <c r="NJL135" s="562"/>
      <c r="NJM135" s="562"/>
      <c r="NJN135" s="562"/>
      <c r="NJO135" s="562"/>
      <c r="NJP135" s="562"/>
      <c r="NJQ135" s="562"/>
      <c r="NJR135" s="562"/>
      <c r="NJS135" s="562"/>
      <c r="NJT135" s="562"/>
      <c r="NJU135" s="562"/>
      <c r="NJV135" s="562"/>
      <c r="NJW135" s="562"/>
      <c r="NJX135" s="562"/>
      <c r="NJY135" s="562"/>
      <c r="NJZ135" s="562"/>
      <c r="NKA135" s="562"/>
      <c r="NKB135" s="562"/>
      <c r="NKC135" s="562"/>
      <c r="NKD135" s="562"/>
      <c r="NKE135" s="562"/>
      <c r="NKF135" s="562"/>
      <c r="NKG135" s="562"/>
      <c r="NKH135" s="562"/>
      <c r="NKI135" s="562"/>
      <c r="NKJ135" s="562"/>
      <c r="NKK135" s="562"/>
      <c r="NKL135" s="562"/>
      <c r="NKM135" s="562"/>
      <c r="NKN135" s="562"/>
      <c r="NKO135" s="562"/>
      <c r="NKP135" s="562"/>
      <c r="NKQ135" s="562"/>
      <c r="NKR135" s="562"/>
      <c r="NKS135" s="562"/>
      <c r="NKT135" s="562"/>
      <c r="NKU135" s="562"/>
      <c r="NKV135" s="562"/>
      <c r="NKW135" s="562"/>
      <c r="NKX135" s="562"/>
      <c r="NKY135" s="562"/>
      <c r="NKZ135" s="562"/>
      <c r="NLA135" s="562"/>
      <c r="NLB135" s="562"/>
      <c r="NLC135" s="562"/>
      <c r="NLD135" s="562"/>
      <c r="NLE135" s="562"/>
      <c r="NLF135" s="562"/>
      <c r="NLG135" s="562"/>
      <c r="NLH135" s="562"/>
      <c r="NLI135" s="562"/>
      <c r="NLJ135" s="562"/>
      <c r="NLK135" s="562"/>
      <c r="NLL135" s="562"/>
      <c r="NLM135" s="562"/>
      <c r="NLN135" s="562"/>
      <c r="NLO135" s="562"/>
      <c r="NLP135" s="562"/>
      <c r="NLQ135" s="562"/>
      <c r="NLR135" s="562"/>
      <c r="NLS135" s="562"/>
      <c r="NLT135" s="562"/>
      <c r="NLU135" s="562"/>
      <c r="NLV135" s="562"/>
      <c r="NLW135" s="562"/>
      <c r="NLX135" s="562"/>
      <c r="NLY135" s="562"/>
      <c r="NLZ135" s="562"/>
      <c r="NMA135" s="562"/>
      <c r="NMB135" s="562"/>
      <c r="NMC135" s="562"/>
      <c r="NMD135" s="562"/>
      <c r="NME135" s="562"/>
      <c r="NMF135" s="562"/>
      <c r="NMG135" s="562"/>
      <c r="NMH135" s="562"/>
      <c r="NMI135" s="562"/>
      <c r="NMJ135" s="562"/>
      <c r="NMK135" s="562"/>
      <c r="NML135" s="562"/>
      <c r="NMM135" s="562"/>
      <c r="NMN135" s="562"/>
      <c r="NMO135" s="562"/>
      <c r="NMP135" s="562"/>
      <c r="NMQ135" s="562"/>
      <c r="NMR135" s="562"/>
      <c r="NMS135" s="562"/>
      <c r="NMT135" s="562"/>
      <c r="NMU135" s="562"/>
      <c r="NMV135" s="562"/>
      <c r="NMW135" s="562"/>
      <c r="NMX135" s="562"/>
      <c r="NMY135" s="562"/>
      <c r="NMZ135" s="562"/>
      <c r="NNA135" s="562"/>
      <c r="NNB135" s="562"/>
      <c r="NNC135" s="562"/>
      <c r="NND135" s="562"/>
      <c r="NNE135" s="562"/>
      <c r="NNF135" s="562"/>
      <c r="NNG135" s="562"/>
      <c r="NNH135" s="562"/>
      <c r="NNI135" s="562"/>
      <c r="NNJ135" s="562"/>
      <c r="NNK135" s="562"/>
      <c r="NNL135" s="562"/>
      <c r="NNM135" s="562"/>
      <c r="NNN135" s="562"/>
      <c r="NNO135" s="562"/>
      <c r="NNP135" s="562"/>
      <c r="NNQ135" s="562"/>
      <c r="NNR135" s="562"/>
      <c r="NNS135" s="562"/>
      <c r="NNT135" s="562"/>
      <c r="NNU135" s="562"/>
      <c r="NNV135" s="562"/>
      <c r="NNW135" s="562"/>
      <c r="NNX135" s="562"/>
      <c r="NNY135" s="562"/>
      <c r="NNZ135" s="562"/>
      <c r="NOA135" s="562"/>
      <c r="NOB135" s="562"/>
      <c r="NOC135" s="562"/>
      <c r="NOD135" s="562"/>
      <c r="NOE135" s="562"/>
      <c r="NOF135" s="562"/>
      <c r="NOG135" s="562"/>
      <c r="NOH135" s="562"/>
      <c r="NOI135" s="562"/>
      <c r="NOJ135" s="562"/>
      <c r="NOK135" s="562"/>
      <c r="NOL135" s="562"/>
      <c r="NOM135" s="562"/>
      <c r="NON135" s="562"/>
      <c r="NOO135" s="562"/>
      <c r="NOP135" s="562"/>
      <c r="NOQ135" s="562"/>
      <c r="NOR135" s="562"/>
      <c r="NOS135" s="562"/>
      <c r="NOT135" s="562"/>
      <c r="NOU135" s="562"/>
      <c r="NOV135" s="562"/>
      <c r="NOW135" s="562"/>
      <c r="NOX135" s="562"/>
      <c r="NOY135" s="562"/>
      <c r="NOZ135" s="562"/>
      <c r="NPA135" s="562"/>
      <c r="NPB135" s="562"/>
      <c r="NPC135" s="562"/>
      <c r="NPD135" s="562"/>
      <c r="NPE135" s="562"/>
      <c r="NPF135" s="562"/>
      <c r="NPG135" s="562"/>
      <c r="NPH135" s="562"/>
      <c r="NPI135" s="562"/>
      <c r="NPJ135" s="562"/>
      <c r="NPK135" s="562"/>
      <c r="NPL135" s="562"/>
      <c r="NPM135" s="562"/>
      <c r="NPN135" s="562"/>
      <c r="NPO135" s="562"/>
      <c r="NPP135" s="562"/>
      <c r="NPQ135" s="562"/>
      <c r="NPR135" s="562"/>
      <c r="NPS135" s="562"/>
      <c r="NPT135" s="562"/>
      <c r="NPU135" s="562"/>
      <c r="NPV135" s="562"/>
      <c r="NPW135" s="562"/>
      <c r="NPX135" s="562"/>
      <c r="NPY135" s="562"/>
      <c r="NPZ135" s="562"/>
      <c r="NQA135" s="562"/>
      <c r="NQB135" s="562"/>
      <c r="NQC135" s="562"/>
      <c r="NQD135" s="562"/>
      <c r="NQE135" s="562"/>
      <c r="NQF135" s="562"/>
      <c r="NQG135" s="562"/>
      <c r="NQH135" s="562"/>
      <c r="NQI135" s="562"/>
      <c r="NQJ135" s="562"/>
      <c r="NQK135" s="562"/>
      <c r="NQL135" s="562"/>
      <c r="NQM135" s="562"/>
      <c r="NQN135" s="562"/>
      <c r="NQO135" s="562"/>
      <c r="NQP135" s="562"/>
      <c r="NQQ135" s="562"/>
      <c r="NQR135" s="562"/>
      <c r="NQS135" s="562"/>
      <c r="NQT135" s="562"/>
      <c r="NQU135" s="562"/>
      <c r="NQV135" s="562"/>
      <c r="NQW135" s="562"/>
      <c r="NQX135" s="562"/>
      <c r="NQY135" s="562"/>
      <c r="NQZ135" s="562"/>
      <c r="NRA135" s="562"/>
      <c r="NRB135" s="562"/>
      <c r="NRC135" s="562"/>
      <c r="NRD135" s="562"/>
      <c r="NRE135" s="562"/>
      <c r="NRF135" s="562"/>
      <c r="NRG135" s="562"/>
      <c r="NRH135" s="562"/>
      <c r="NRI135" s="562"/>
      <c r="NRJ135" s="562"/>
      <c r="NRK135" s="562"/>
      <c r="NRL135" s="562"/>
      <c r="NRM135" s="562"/>
      <c r="NRN135" s="562"/>
      <c r="NRO135" s="562"/>
      <c r="NRP135" s="562"/>
      <c r="NRQ135" s="562"/>
      <c r="NRR135" s="562"/>
      <c r="NRS135" s="562"/>
      <c r="NRT135" s="562"/>
      <c r="NRU135" s="562"/>
      <c r="NRV135" s="562"/>
      <c r="NRW135" s="562"/>
      <c r="NRX135" s="562"/>
      <c r="NRY135" s="562"/>
      <c r="NRZ135" s="562"/>
      <c r="NSA135" s="562"/>
      <c r="NSB135" s="562"/>
      <c r="NSC135" s="562"/>
      <c r="NSD135" s="562"/>
      <c r="NSE135" s="562"/>
      <c r="NSF135" s="562"/>
      <c r="NSG135" s="562"/>
      <c r="NSH135" s="562"/>
      <c r="NSI135" s="562"/>
      <c r="NSJ135" s="562"/>
      <c r="NSK135" s="562"/>
      <c r="NSL135" s="562"/>
      <c r="NSM135" s="562"/>
      <c r="NSN135" s="562"/>
      <c r="NSO135" s="562"/>
      <c r="NSP135" s="562"/>
      <c r="NSQ135" s="562"/>
      <c r="NSR135" s="562"/>
      <c r="NSS135" s="562"/>
      <c r="NST135" s="562"/>
      <c r="NSU135" s="562"/>
      <c r="NSV135" s="562"/>
      <c r="NSW135" s="562"/>
      <c r="NSX135" s="562"/>
      <c r="NSY135" s="562"/>
      <c r="NSZ135" s="562"/>
      <c r="NTA135" s="562"/>
      <c r="NTB135" s="562"/>
      <c r="NTC135" s="562"/>
      <c r="NTD135" s="562"/>
      <c r="NTE135" s="562"/>
      <c r="NTF135" s="562"/>
      <c r="NTG135" s="562"/>
      <c r="NTH135" s="562"/>
      <c r="NTI135" s="562"/>
      <c r="NTJ135" s="562"/>
      <c r="NTK135" s="562"/>
      <c r="NTL135" s="562"/>
      <c r="NTM135" s="562"/>
      <c r="NTN135" s="562"/>
      <c r="NTO135" s="562"/>
      <c r="NTP135" s="562"/>
      <c r="NTQ135" s="562"/>
      <c r="NTR135" s="562"/>
      <c r="NTS135" s="562"/>
      <c r="NTT135" s="562"/>
      <c r="NTU135" s="562"/>
      <c r="NTV135" s="562"/>
      <c r="NTW135" s="562"/>
      <c r="NTX135" s="562"/>
      <c r="NTY135" s="562"/>
      <c r="NTZ135" s="562"/>
      <c r="NUA135" s="562"/>
      <c r="NUB135" s="562"/>
      <c r="NUC135" s="562"/>
      <c r="NUD135" s="562"/>
      <c r="NUE135" s="562"/>
      <c r="NUF135" s="562"/>
      <c r="NUG135" s="562"/>
      <c r="NUH135" s="562"/>
      <c r="NUI135" s="562"/>
      <c r="NUJ135" s="562"/>
      <c r="NUK135" s="562"/>
      <c r="NUL135" s="562"/>
      <c r="NUM135" s="562"/>
      <c r="NUN135" s="562"/>
      <c r="NUO135" s="562"/>
      <c r="NUP135" s="562"/>
      <c r="NUQ135" s="562"/>
      <c r="NUR135" s="562"/>
      <c r="NUS135" s="562"/>
      <c r="NUT135" s="562"/>
      <c r="NUU135" s="562"/>
      <c r="NUV135" s="562"/>
      <c r="NUW135" s="562"/>
      <c r="NUX135" s="562"/>
      <c r="NUY135" s="562"/>
      <c r="NUZ135" s="562"/>
      <c r="NVA135" s="562"/>
      <c r="NVB135" s="562"/>
      <c r="NVC135" s="562"/>
      <c r="NVD135" s="562"/>
      <c r="NVE135" s="562"/>
      <c r="NVF135" s="562"/>
      <c r="NVG135" s="562"/>
      <c r="NVH135" s="562"/>
      <c r="NVI135" s="562"/>
      <c r="NVJ135" s="562"/>
      <c r="NVK135" s="562"/>
      <c r="NVL135" s="562"/>
      <c r="NVM135" s="562"/>
      <c r="NVN135" s="562"/>
      <c r="NVO135" s="562"/>
      <c r="NVP135" s="562"/>
      <c r="NVQ135" s="562"/>
      <c r="NVR135" s="562"/>
      <c r="NVS135" s="562"/>
      <c r="NVT135" s="562"/>
      <c r="NVU135" s="562"/>
      <c r="NVV135" s="562"/>
      <c r="NVW135" s="562"/>
      <c r="NVX135" s="562"/>
      <c r="NVY135" s="562"/>
      <c r="NVZ135" s="562"/>
      <c r="NWA135" s="562"/>
      <c r="NWB135" s="562"/>
      <c r="NWC135" s="562"/>
      <c r="NWD135" s="562"/>
      <c r="NWE135" s="562"/>
      <c r="NWF135" s="562"/>
      <c r="NWG135" s="562"/>
      <c r="NWH135" s="562"/>
      <c r="NWI135" s="562"/>
      <c r="NWJ135" s="562"/>
      <c r="NWK135" s="562"/>
      <c r="NWL135" s="562"/>
      <c r="NWM135" s="562"/>
      <c r="NWN135" s="562"/>
      <c r="NWO135" s="562"/>
      <c r="NWP135" s="562"/>
      <c r="NWQ135" s="562"/>
      <c r="NWR135" s="562"/>
      <c r="NWS135" s="562"/>
      <c r="NWT135" s="562"/>
      <c r="NWU135" s="562"/>
      <c r="NWV135" s="562"/>
      <c r="NWW135" s="562"/>
      <c r="NWX135" s="562"/>
      <c r="NWY135" s="562"/>
      <c r="NWZ135" s="562"/>
      <c r="NXA135" s="562"/>
      <c r="NXB135" s="562"/>
      <c r="NXC135" s="562"/>
      <c r="NXD135" s="562"/>
      <c r="NXE135" s="562"/>
      <c r="NXF135" s="562"/>
      <c r="NXG135" s="562"/>
      <c r="NXH135" s="562"/>
      <c r="NXI135" s="562"/>
      <c r="NXJ135" s="562"/>
      <c r="NXK135" s="562"/>
      <c r="NXL135" s="562"/>
      <c r="NXM135" s="562"/>
      <c r="NXN135" s="562"/>
      <c r="NXO135" s="562"/>
      <c r="NXP135" s="562"/>
      <c r="NXQ135" s="562"/>
      <c r="NXR135" s="562"/>
      <c r="NXS135" s="562"/>
      <c r="NXT135" s="562"/>
      <c r="NXU135" s="562"/>
      <c r="NXV135" s="562"/>
      <c r="NXW135" s="562"/>
      <c r="NXX135" s="562"/>
      <c r="NXY135" s="562"/>
      <c r="NXZ135" s="562"/>
      <c r="NYA135" s="562"/>
      <c r="NYB135" s="562"/>
      <c r="NYC135" s="562"/>
      <c r="NYD135" s="562"/>
      <c r="NYE135" s="562"/>
      <c r="NYF135" s="562"/>
      <c r="NYG135" s="562"/>
      <c r="NYH135" s="562"/>
      <c r="NYI135" s="562"/>
      <c r="NYJ135" s="562"/>
      <c r="NYK135" s="562"/>
      <c r="NYL135" s="562"/>
      <c r="NYM135" s="562"/>
      <c r="NYN135" s="562"/>
      <c r="NYO135" s="562"/>
      <c r="NYP135" s="562"/>
      <c r="NYQ135" s="562"/>
      <c r="NYR135" s="562"/>
      <c r="NYS135" s="562"/>
      <c r="NYT135" s="562"/>
      <c r="NYU135" s="562"/>
      <c r="NYV135" s="562"/>
      <c r="NYW135" s="562"/>
      <c r="NYX135" s="562"/>
      <c r="NYY135" s="562"/>
      <c r="NYZ135" s="562"/>
      <c r="NZA135" s="562"/>
      <c r="NZB135" s="562"/>
      <c r="NZC135" s="562"/>
      <c r="NZD135" s="562"/>
      <c r="NZE135" s="562"/>
      <c r="NZF135" s="562"/>
      <c r="NZG135" s="562"/>
      <c r="NZH135" s="562"/>
      <c r="NZI135" s="562"/>
      <c r="NZJ135" s="562"/>
      <c r="NZK135" s="562"/>
      <c r="NZL135" s="562"/>
      <c r="NZM135" s="562"/>
      <c r="NZN135" s="562"/>
      <c r="NZO135" s="562"/>
      <c r="NZP135" s="562"/>
      <c r="NZQ135" s="562"/>
      <c r="NZR135" s="562"/>
      <c r="NZS135" s="562"/>
      <c r="NZT135" s="562"/>
      <c r="NZU135" s="562"/>
      <c r="NZV135" s="562"/>
      <c r="NZW135" s="562"/>
      <c r="NZX135" s="562"/>
      <c r="NZY135" s="562"/>
      <c r="NZZ135" s="562"/>
      <c r="OAA135" s="562"/>
      <c r="OAB135" s="562"/>
      <c r="OAC135" s="562"/>
      <c r="OAD135" s="562"/>
      <c r="OAE135" s="562"/>
      <c r="OAF135" s="562"/>
      <c r="OAG135" s="562"/>
      <c r="OAH135" s="562"/>
      <c r="OAI135" s="562"/>
      <c r="OAJ135" s="562"/>
      <c r="OAK135" s="562"/>
      <c r="OAL135" s="562"/>
      <c r="OAM135" s="562"/>
      <c r="OAN135" s="562"/>
      <c r="OAO135" s="562"/>
      <c r="OAP135" s="562"/>
      <c r="OAQ135" s="562"/>
      <c r="OAR135" s="562"/>
      <c r="OAS135" s="562"/>
      <c r="OAT135" s="562"/>
      <c r="OAU135" s="562"/>
      <c r="OAV135" s="562"/>
      <c r="OAW135" s="562"/>
      <c r="OAX135" s="562"/>
      <c r="OAY135" s="562"/>
      <c r="OAZ135" s="562"/>
      <c r="OBA135" s="562"/>
      <c r="OBB135" s="562"/>
      <c r="OBC135" s="562"/>
      <c r="OBD135" s="562"/>
      <c r="OBE135" s="562"/>
      <c r="OBF135" s="562"/>
      <c r="OBG135" s="562"/>
      <c r="OBH135" s="562"/>
      <c r="OBI135" s="562"/>
      <c r="OBJ135" s="562"/>
      <c r="OBK135" s="562"/>
      <c r="OBL135" s="562"/>
      <c r="OBM135" s="562"/>
      <c r="OBN135" s="562"/>
      <c r="OBO135" s="562"/>
      <c r="OBP135" s="562"/>
      <c r="OBQ135" s="562"/>
      <c r="OBR135" s="562"/>
      <c r="OBS135" s="562"/>
      <c r="OBT135" s="562"/>
      <c r="OBU135" s="562"/>
      <c r="OBV135" s="562"/>
      <c r="OBW135" s="562"/>
      <c r="OBX135" s="562"/>
      <c r="OBY135" s="562"/>
      <c r="OBZ135" s="562"/>
      <c r="OCA135" s="562"/>
      <c r="OCB135" s="562"/>
      <c r="OCC135" s="562"/>
      <c r="OCD135" s="562"/>
      <c r="OCE135" s="562"/>
      <c r="OCF135" s="562"/>
      <c r="OCG135" s="562"/>
      <c r="OCH135" s="562"/>
      <c r="OCI135" s="562"/>
      <c r="OCJ135" s="562"/>
      <c r="OCK135" s="562"/>
      <c r="OCL135" s="562"/>
      <c r="OCM135" s="562"/>
      <c r="OCN135" s="562"/>
      <c r="OCO135" s="562"/>
      <c r="OCP135" s="562"/>
      <c r="OCQ135" s="562"/>
      <c r="OCR135" s="562"/>
      <c r="OCS135" s="562"/>
      <c r="OCT135" s="562"/>
      <c r="OCU135" s="562"/>
      <c r="OCV135" s="562"/>
      <c r="OCW135" s="562"/>
      <c r="OCX135" s="562"/>
      <c r="OCY135" s="562"/>
      <c r="OCZ135" s="562"/>
      <c r="ODA135" s="562"/>
      <c r="ODB135" s="562"/>
      <c r="ODC135" s="562"/>
      <c r="ODD135" s="562"/>
      <c r="ODE135" s="562"/>
      <c r="ODF135" s="562"/>
      <c r="ODG135" s="562"/>
      <c r="ODH135" s="562"/>
      <c r="ODI135" s="562"/>
      <c r="ODJ135" s="562"/>
      <c r="ODK135" s="562"/>
      <c r="ODL135" s="562"/>
      <c r="ODM135" s="562"/>
      <c r="ODN135" s="562"/>
      <c r="ODO135" s="562"/>
      <c r="ODP135" s="562"/>
      <c r="ODQ135" s="562"/>
      <c r="ODR135" s="562"/>
      <c r="ODS135" s="562"/>
      <c r="ODT135" s="562"/>
      <c r="ODU135" s="562"/>
      <c r="ODV135" s="562"/>
      <c r="ODW135" s="562"/>
      <c r="ODX135" s="562"/>
      <c r="ODY135" s="562"/>
      <c r="ODZ135" s="562"/>
      <c r="OEA135" s="562"/>
      <c r="OEB135" s="562"/>
      <c r="OEC135" s="562"/>
      <c r="OED135" s="562"/>
      <c r="OEE135" s="562"/>
      <c r="OEF135" s="562"/>
      <c r="OEG135" s="562"/>
      <c r="OEH135" s="562"/>
      <c r="OEI135" s="562"/>
      <c r="OEJ135" s="562"/>
      <c r="OEK135" s="562"/>
      <c r="OEL135" s="562"/>
      <c r="OEM135" s="562"/>
      <c r="OEN135" s="562"/>
      <c r="OEO135" s="562"/>
      <c r="OEP135" s="562"/>
      <c r="OEQ135" s="562"/>
      <c r="OER135" s="562"/>
      <c r="OES135" s="562"/>
      <c r="OET135" s="562"/>
      <c r="OEU135" s="562"/>
      <c r="OEV135" s="562"/>
      <c r="OEW135" s="562"/>
      <c r="OEX135" s="562"/>
      <c r="OEY135" s="562"/>
      <c r="OEZ135" s="562"/>
      <c r="OFA135" s="562"/>
      <c r="OFB135" s="562"/>
      <c r="OFC135" s="562"/>
      <c r="OFD135" s="562"/>
      <c r="OFE135" s="562"/>
      <c r="OFF135" s="562"/>
      <c r="OFG135" s="562"/>
      <c r="OFH135" s="562"/>
      <c r="OFI135" s="562"/>
      <c r="OFJ135" s="562"/>
      <c r="OFK135" s="562"/>
      <c r="OFL135" s="562"/>
      <c r="OFM135" s="562"/>
      <c r="OFN135" s="562"/>
      <c r="OFO135" s="562"/>
      <c r="OFP135" s="562"/>
      <c r="OFQ135" s="562"/>
      <c r="OFR135" s="562"/>
      <c r="OFS135" s="562"/>
      <c r="OFT135" s="562"/>
      <c r="OFU135" s="562"/>
      <c r="OFV135" s="562"/>
      <c r="OFW135" s="562"/>
      <c r="OFX135" s="562"/>
      <c r="OFY135" s="562"/>
      <c r="OFZ135" s="562"/>
      <c r="OGA135" s="562"/>
      <c r="OGB135" s="562"/>
      <c r="OGC135" s="562"/>
      <c r="OGD135" s="562"/>
      <c r="OGE135" s="562"/>
      <c r="OGF135" s="562"/>
      <c r="OGG135" s="562"/>
      <c r="OGH135" s="562"/>
      <c r="OGI135" s="562"/>
      <c r="OGJ135" s="562"/>
      <c r="OGK135" s="562"/>
      <c r="OGL135" s="562"/>
      <c r="OGM135" s="562"/>
      <c r="OGN135" s="562"/>
      <c r="OGO135" s="562"/>
      <c r="OGP135" s="562"/>
      <c r="OGQ135" s="562"/>
      <c r="OGR135" s="562"/>
      <c r="OGS135" s="562"/>
      <c r="OGT135" s="562"/>
      <c r="OGU135" s="562"/>
      <c r="OGV135" s="562"/>
      <c r="OGW135" s="562"/>
      <c r="OGX135" s="562"/>
      <c r="OGY135" s="562"/>
      <c r="OGZ135" s="562"/>
      <c r="OHA135" s="562"/>
      <c r="OHB135" s="562"/>
      <c r="OHC135" s="562"/>
      <c r="OHD135" s="562"/>
      <c r="OHE135" s="562"/>
      <c r="OHF135" s="562"/>
      <c r="OHG135" s="562"/>
      <c r="OHH135" s="562"/>
      <c r="OHI135" s="562"/>
      <c r="OHJ135" s="562"/>
      <c r="OHK135" s="562"/>
      <c r="OHL135" s="562"/>
      <c r="OHM135" s="562"/>
      <c r="OHN135" s="562"/>
      <c r="OHO135" s="562"/>
      <c r="OHP135" s="562"/>
      <c r="OHQ135" s="562"/>
      <c r="OHR135" s="562"/>
      <c r="OHS135" s="562"/>
      <c r="OHT135" s="562"/>
      <c r="OHU135" s="562"/>
      <c r="OHV135" s="562"/>
      <c r="OHW135" s="562"/>
      <c r="OHX135" s="562"/>
      <c r="OHY135" s="562"/>
      <c r="OHZ135" s="562"/>
      <c r="OIA135" s="562"/>
      <c r="OIB135" s="562"/>
      <c r="OIC135" s="562"/>
      <c r="OID135" s="562"/>
      <c r="OIE135" s="562"/>
      <c r="OIF135" s="562"/>
      <c r="OIG135" s="562"/>
      <c r="OIH135" s="562"/>
      <c r="OII135" s="562"/>
      <c r="OIJ135" s="562"/>
      <c r="OIK135" s="562"/>
      <c r="OIL135" s="562"/>
      <c r="OIM135" s="562"/>
      <c r="OIN135" s="562"/>
      <c r="OIO135" s="562"/>
      <c r="OIP135" s="562"/>
      <c r="OIQ135" s="562"/>
      <c r="OIR135" s="562"/>
      <c r="OIS135" s="562"/>
      <c r="OIT135" s="562"/>
      <c r="OIU135" s="562"/>
      <c r="OIV135" s="562"/>
      <c r="OIW135" s="562"/>
      <c r="OIX135" s="562"/>
      <c r="OIY135" s="562"/>
      <c r="OIZ135" s="562"/>
      <c r="OJA135" s="562"/>
      <c r="OJB135" s="562"/>
      <c r="OJC135" s="562"/>
      <c r="OJD135" s="562"/>
      <c r="OJE135" s="562"/>
      <c r="OJF135" s="562"/>
      <c r="OJG135" s="562"/>
      <c r="OJH135" s="562"/>
      <c r="OJI135" s="562"/>
      <c r="OJJ135" s="562"/>
      <c r="OJK135" s="562"/>
      <c r="OJL135" s="562"/>
      <c r="OJM135" s="562"/>
      <c r="OJN135" s="562"/>
      <c r="OJO135" s="562"/>
      <c r="OJP135" s="562"/>
      <c r="OJQ135" s="562"/>
      <c r="OJR135" s="562"/>
      <c r="OJS135" s="562"/>
      <c r="OJT135" s="562"/>
      <c r="OJU135" s="562"/>
      <c r="OJV135" s="562"/>
      <c r="OJW135" s="562"/>
      <c r="OJX135" s="562"/>
      <c r="OJY135" s="562"/>
      <c r="OJZ135" s="562"/>
      <c r="OKA135" s="562"/>
      <c r="OKB135" s="562"/>
      <c r="OKC135" s="562"/>
      <c r="OKD135" s="562"/>
      <c r="OKE135" s="562"/>
      <c r="OKF135" s="562"/>
      <c r="OKG135" s="562"/>
      <c r="OKH135" s="562"/>
      <c r="OKI135" s="562"/>
      <c r="OKJ135" s="562"/>
      <c r="OKK135" s="562"/>
      <c r="OKL135" s="562"/>
      <c r="OKM135" s="562"/>
      <c r="OKN135" s="562"/>
      <c r="OKO135" s="562"/>
      <c r="OKP135" s="562"/>
      <c r="OKQ135" s="562"/>
      <c r="OKR135" s="562"/>
      <c r="OKS135" s="562"/>
      <c r="OKT135" s="562"/>
      <c r="OKU135" s="562"/>
      <c r="OKV135" s="562"/>
      <c r="OKW135" s="562"/>
      <c r="OKX135" s="562"/>
      <c r="OKY135" s="562"/>
      <c r="OKZ135" s="562"/>
      <c r="OLA135" s="562"/>
      <c r="OLB135" s="562"/>
      <c r="OLC135" s="562"/>
      <c r="OLD135" s="562"/>
      <c r="OLE135" s="562"/>
      <c r="OLF135" s="562"/>
      <c r="OLG135" s="562"/>
      <c r="OLH135" s="562"/>
      <c r="OLI135" s="562"/>
      <c r="OLJ135" s="562"/>
      <c r="OLK135" s="562"/>
      <c r="OLL135" s="562"/>
      <c r="OLM135" s="562"/>
      <c r="OLN135" s="562"/>
      <c r="OLO135" s="562"/>
      <c r="OLP135" s="562"/>
      <c r="OLQ135" s="562"/>
      <c r="OLR135" s="562"/>
      <c r="OLS135" s="562"/>
      <c r="OLT135" s="562"/>
      <c r="OLU135" s="562"/>
      <c r="OLV135" s="562"/>
      <c r="OLW135" s="562"/>
      <c r="OLX135" s="562"/>
      <c r="OLY135" s="562"/>
      <c r="OLZ135" s="562"/>
      <c r="OMA135" s="562"/>
      <c r="OMB135" s="562"/>
      <c r="OMC135" s="562"/>
      <c r="OMD135" s="562"/>
      <c r="OME135" s="562"/>
      <c r="OMF135" s="562"/>
      <c r="OMG135" s="562"/>
      <c r="OMH135" s="562"/>
      <c r="OMI135" s="562"/>
      <c r="OMJ135" s="562"/>
      <c r="OMK135" s="562"/>
      <c r="OML135" s="562"/>
      <c r="OMM135" s="562"/>
      <c r="OMN135" s="562"/>
      <c r="OMO135" s="562"/>
      <c r="OMP135" s="562"/>
      <c r="OMQ135" s="562"/>
      <c r="OMR135" s="562"/>
      <c r="OMS135" s="562"/>
      <c r="OMT135" s="562"/>
      <c r="OMU135" s="562"/>
      <c r="OMV135" s="562"/>
      <c r="OMW135" s="562"/>
      <c r="OMX135" s="562"/>
      <c r="OMY135" s="562"/>
      <c r="OMZ135" s="562"/>
      <c r="ONA135" s="562"/>
      <c r="ONB135" s="562"/>
      <c r="ONC135" s="562"/>
      <c r="OND135" s="562"/>
      <c r="ONE135" s="562"/>
      <c r="ONF135" s="562"/>
      <c r="ONG135" s="562"/>
      <c r="ONH135" s="562"/>
      <c r="ONI135" s="562"/>
      <c r="ONJ135" s="562"/>
      <c r="ONK135" s="562"/>
      <c r="ONL135" s="562"/>
      <c r="ONM135" s="562"/>
      <c r="ONN135" s="562"/>
      <c r="ONO135" s="562"/>
      <c r="ONP135" s="562"/>
      <c r="ONQ135" s="562"/>
      <c r="ONR135" s="562"/>
      <c r="ONS135" s="562"/>
      <c r="ONT135" s="562"/>
      <c r="ONU135" s="562"/>
      <c r="ONV135" s="562"/>
      <c r="ONW135" s="562"/>
      <c r="ONX135" s="562"/>
      <c r="ONY135" s="562"/>
      <c r="ONZ135" s="562"/>
      <c r="OOA135" s="562"/>
      <c r="OOB135" s="562"/>
      <c r="OOC135" s="562"/>
      <c r="OOD135" s="562"/>
      <c r="OOE135" s="562"/>
      <c r="OOF135" s="562"/>
      <c r="OOG135" s="562"/>
      <c r="OOH135" s="562"/>
      <c r="OOI135" s="562"/>
      <c r="OOJ135" s="562"/>
      <c r="OOK135" s="562"/>
      <c r="OOL135" s="562"/>
      <c r="OOM135" s="562"/>
      <c r="OON135" s="562"/>
      <c r="OOO135" s="562"/>
      <c r="OOP135" s="562"/>
      <c r="OOQ135" s="562"/>
      <c r="OOR135" s="562"/>
      <c r="OOS135" s="562"/>
      <c r="OOT135" s="562"/>
      <c r="OOU135" s="562"/>
      <c r="OOV135" s="562"/>
      <c r="OOW135" s="562"/>
      <c r="OOX135" s="562"/>
      <c r="OOY135" s="562"/>
      <c r="OOZ135" s="562"/>
      <c r="OPA135" s="562"/>
      <c r="OPB135" s="562"/>
      <c r="OPC135" s="562"/>
      <c r="OPD135" s="562"/>
      <c r="OPE135" s="562"/>
      <c r="OPF135" s="562"/>
      <c r="OPG135" s="562"/>
      <c r="OPH135" s="562"/>
      <c r="OPI135" s="562"/>
      <c r="OPJ135" s="562"/>
      <c r="OPK135" s="562"/>
      <c r="OPL135" s="562"/>
      <c r="OPM135" s="562"/>
      <c r="OPN135" s="562"/>
      <c r="OPO135" s="562"/>
      <c r="OPP135" s="562"/>
      <c r="OPQ135" s="562"/>
      <c r="OPR135" s="562"/>
      <c r="OPS135" s="562"/>
      <c r="OPT135" s="562"/>
      <c r="OPU135" s="562"/>
      <c r="OPV135" s="562"/>
      <c r="OPW135" s="562"/>
      <c r="OPX135" s="562"/>
      <c r="OPY135" s="562"/>
      <c r="OPZ135" s="562"/>
      <c r="OQA135" s="562"/>
      <c r="OQB135" s="562"/>
      <c r="OQC135" s="562"/>
      <c r="OQD135" s="562"/>
      <c r="OQE135" s="562"/>
      <c r="OQF135" s="562"/>
      <c r="OQG135" s="562"/>
      <c r="OQH135" s="562"/>
      <c r="OQI135" s="562"/>
      <c r="OQJ135" s="562"/>
      <c r="OQK135" s="562"/>
      <c r="OQL135" s="562"/>
      <c r="OQM135" s="562"/>
      <c r="OQN135" s="562"/>
      <c r="OQO135" s="562"/>
      <c r="OQP135" s="562"/>
      <c r="OQQ135" s="562"/>
      <c r="OQR135" s="562"/>
      <c r="OQS135" s="562"/>
      <c r="OQT135" s="562"/>
      <c r="OQU135" s="562"/>
      <c r="OQV135" s="562"/>
      <c r="OQW135" s="562"/>
      <c r="OQX135" s="562"/>
      <c r="OQY135" s="562"/>
      <c r="OQZ135" s="562"/>
      <c r="ORA135" s="562"/>
      <c r="ORB135" s="562"/>
      <c r="ORC135" s="562"/>
      <c r="ORD135" s="562"/>
      <c r="ORE135" s="562"/>
      <c r="ORF135" s="562"/>
      <c r="ORG135" s="562"/>
      <c r="ORH135" s="562"/>
      <c r="ORI135" s="562"/>
      <c r="ORJ135" s="562"/>
      <c r="ORK135" s="562"/>
      <c r="ORL135" s="562"/>
      <c r="ORM135" s="562"/>
      <c r="ORN135" s="562"/>
      <c r="ORO135" s="562"/>
      <c r="ORP135" s="562"/>
      <c r="ORQ135" s="562"/>
      <c r="ORR135" s="562"/>
      <c r="ORS135" s="562"/>
      <c r="ORT135" s="562"/>
      <c r="ORU135" s="562"/>
      <c r="ORV135" s="562"/>
      <c r="ORW135" s="562"/>
      <c r="ORX135" s="562"/>
      <c r="ORY135" s="562"/>
      <c r="ORZ135" s="562"/>
      <c r="OSA135" s="562"/>
      <c r="OSB135" s="562"/>
      <c r="OSC135" s="562"/>
      <c r="OSD135" s="562"/>
      <c r="OSE135" s="562"/>
      <c r="OSF135" s="562"/>
      <c r="OSG135" s="562"/>
      <c r="OSH135" s="562"/>
      <c r="OSI135" s="562"/>
      <c r="OSJ135" s="562"/>
      <c r="OSK135" s="562"/>
      <c r="OSL135" s="562"/>
      <c r="OSM135" s="562"/>
      <c r="OSN135" s="562"/>
      <c r="OSO135" s="562"/>
      <c r="OSP135" s="562"/>
      <c r="OSQ135" s="562"/>
      <c r="OSR135" s="562"/>
      <c r="OSS135" s="562"/>
      <c r="OST135" s="562"/>
      <c r="OSU135" s="562"/>
      <c r="OSV135" s="562"/>
      <c r="OSW135" s="562"/>
      <c r="OSX135" s="562"/>
      <c r="OSY135" s="562"/>
      <c r="OSZ135" s="562"/>
      <c r="OTA135" s="562"/>
      <c r="OTB135" s="562"/>
      <c r="OTC135" s="562"/>
      <c r="OTD135" s="562"/>
      <c r="OTE135" s="562"/>
      <c r="OTF135" s="562"/>
      <c r="OTG135" s="562"/>
      <c r="OTH135" s="562"/>
      <c r="OTI135" s="562"/>
      <c r="OTJ135" s="562"/>
      <c r="OTK135" s="562"/>
      <c r="OTL135" s="562"/>
      <c r="OTM135" s="562"/>
      <c r="OTN135" s="562"/>
      <c r="OTO135" s="562"/>
      <c r="OTP135" s="562"/>
      <c r="OTQ135" s="562"/>
      <c r="OTR135" s="562"/>
      <c r="OTS135" s="562"/>
      <c r="OTT135" s="562"/>
      <c r="OTU135" s="562"/>
      <c r="OTV135" s="562"/>
      <c r="OTW135" s="562"/>
      <c r="OTX135" s="562"/>
      <c r="OTY135" s="562"/>
      <c r="OTZ135" s="562"/>
      <c r="OUA135" s="562"/>
      <c r="OUB135" s="562"/>
      <c r="OUC135" s="562"/>
      <c r="OUD135" s="562"/>
      <c r="OUE135" s="562"/>
      <c r="OUF135" s="562"/>
      <c r="OUG135" s="562"/>
      <c r="OUH135" s="562"/>
      <c r="OUI135" s="562"/>
      <c r="OUJ135" s="562"/>
      <c r="OUK135" s="562"/>
      <c r="OUL135" s="562"/>
      <c r="OUM135" s="562"/>
      <c r="OUN135" s="562"/>
      <c r="OUO135" s="562"/>
      <c r="OUP135" s="562"/>
      <c r="OUQ135" s="562"/>
      <c r="OUR135" s="562"/>
      <c r="OUS135" s="562"/>
      <c r="OUT135" s="562"/>
      <c r="OUU135" s="562"/>
      <c r="OUV135" s="562"/>
      <c r="OUW135" s="562"/>
      <c r="OUX135" s="562"/>
      <c r="OUY135" s="562"/>
      <c r="OUZ135" s="562"/>
      <c r="OVA135" s="562"/>
      <c r="OVB135" s="562"/>
      <c r="OVC135" s="562"/>
      <c r="OVD135" s="562"/>
      <c r="OVE135" s="562"/>
      <c r="OVF135" s="562"/>
      <c r="OVG135" s="562"/>
      <c r="OVH135" s="562"/>
      <c r="OVI135" s="562"/>
      <c r="OVJ135" s="562"/>
      <c r="OVK135" s="562"/>
      <c r="OVL135" s="562"/>
      <c r="OVM135" s="562"/>
      <c r="OVN135" s="562"/>
      <c r="OVO135" s="562"/>
      <c r="OVP135" s="562"/>
      <c r="OVQ135" s="562"/>
      <c r="OVR135" s="562"/>
      <c r="OVS135" s="562"/>
      <c r="OVT135" s="562"/>
      <c r="OVU135" s="562"/>
      <c r="OVV135" s="562"/>
      <c r="OVW135" s="562"/>
      <c r="OVX135" s="562"/>
      <c r="OVY135" s="562"/>
      <c r="OVZ135" s="562"/>
      <c r="OWA135" s="562"/>
      <c r="OWB135" s="562"/>
      <c r="OWC135" s="562"/>
      <c r="OWD135" s="562"/>
      <c r="OWE135" s="562"/>
      <c r="OWF135" s="562"/>
      <c r="OWG135" s="562"/>
      <c r="OWH135" s="562"/>
      <c r="OWI135" s="562"/>
      <c r="OWJ135" s="562"/>
      <c r="OWK135" s="562"/>
      <c r="OWL135" s="562"/>
      <c r="OWM135" s="562"/>
      <c r="OWN135" s="562"/>
      <c r="OWO135" s="562"/>
      <c r="OWP135" s="562"/>
      <c r="OWQ135" s="562"/>
      <c r="OWR135" s="562"/>
      <c r="OWS135" s="562"/>
      <c r="OWT135" s="562"/>
      <c r="OWU135" s="562"/>
      <c r="OWV135" s="562"/>
      <c r="OWW135" s="562"/>
      <c r="OWX135" s="562"/>
      <c r="OWY135" s="562"/>
      <c r="OWZ135" s="562"/>
      <c r="OXA135" s="562"/>
      <c r="OXB135" s="562"/>
      <c r="OXC135" s="562"/>
      <c r="OXD135" s="562"/>
      <c r="OXE135" s="562"/>
      <c r="OXF135" s="562"/>
      <c r="OXG135" s="562"/>
      <c r="OXH135" s="562"/>
      <c r="OXI135" s="562"/>
      <c r="OXJ135" s="562"/>
      <c r="OXK135" s="562"/>
      <c r="OXL135" s="562"/>
      <c r="OXM135" s="562"/>
      <c r="OXN135" s="562"/>
      <c r="OXO135" s="562"/>
      <c r="OXP135" s="562"/>
      <c r="OXQ135" s="562"/>
      <c r="OXR135" s="562"/>
      <c r="OXS135" s="562"/>
      <c r="OXT135" s="562"/>
      <c r="OXU135" s="562"/>
      <c r="OXV135" s="562"/>
      <c r="OXW135" s="562"/>
      <c r="OXX135" s="562"/>
      <c r="OXY135" s="562"/>
      <c r="OXZ135" s="562"/>
      <c r="OYA135" s="562"/>
      <c r="OYB135" s="562"/>
      <c r="OYC135" s="562"/>
      <c r="OYD135" s="562"/>
      <c r="OYE135" s="562"/>
      <c r="OYF135" s="562"/>
      <c r="OYG135" s="562"/>
      <c r="OYH135" s="562"/>
      <c r="OYI135" s="562"/>
      <c r="OYJ135" s="562"/>
      <c r="OYK135" s="562"/>
      <c r="OYL135" s="562"/>
      <c r="OYM135" s="562"/>
      <c r="OYN135" s="562"/>
      <c r="OYO135" s="562"/>
      <c r="OYP135" s="562"/>
      <c r="OYQ135" s="562"/>
      <c r="OYR135" s="562"/>
      <c r="OYS135" s="562"/>
      <c r="OYT135" s="562"/>
      <c r="OYU135" s="562"/>
      <c r="OYV135" s="562"/>
      <c r="OYW135" s="562"/>
      <c r="OYX135" s="562"/>
      <c r="OYY135" s="562"/>
      <c r="OYZ135" s="562"/>
      <c r="OZA135" s="562"/>
      <c r="OZB135" s="562"/>
      <c r="OZC135" s="562"/>
      <c r="OZD135" s="562"/>
      <c r="OZE135" s="562"/>
      <c r="OZF135" s="562"/>
      <c r="OZG135" s="562"/>
      <c r="OZH135" s="562"/>
      <c r="OZI135" s="562"/>
      <c r="OZJ135" s="562"/>
      <c r="OZK135" s="562"/>
      <c r="OZL135" s="562"/>
      <c r="OZM135" s="562"/>
      <c r="OZN135" s="562"/>
      <c r="OZO135" s="562"/>
      <c r="OZP135" s="562"/>
      <c r="OZQ135" s="562"/>
      <c r="OZR135" s="562"/>
      <c r="OZS135" s="562"/>
      <c r="OZT135" s="562"/>
      <c r="OZU135" s="562"/>
      <c r="OZV135" s="562"/>
      <c r="OZW135" s="562"/>
      <c r="OZX135" s="562"/>
      <c r="OZY135" s="562"/>
      <c r="OZZ135" s="562"/>
      <c r="PAA135" s="562"/>
      <c r="PAB135" s="562"/>
      <c r="PAC135" s="562"/>
      <c r="PAD135" s="562"/>
      <c r="PAE135" s="562"/>
      <c r="PAF135" s="562"/>
      <c r="PAG135" s="562"/>
      <c r="PAH135" s="562"/>
      <c r="PAI135" s="562"/>
      <c r="PAJ135" s="562"/>
      <c r="PAK135" s="562"/>
      <c r="PAL135" s="562"/>
      <c r="PAM135" s="562"/>
      <c r="PAN135" s="562"/>
      <c r="PAO135" s="562"/>
      <c r="PAP135" s="562"/>
      <c r="PAQ135" s="562"/>
      <c r="PAR135" s="562"/>
      <c r="PAS135" s="562"/>
      <c r="PAT135" s="562"/>
      <c r="PAU135" s="562"/>
      <c r="PAV135" s="562"/>
      <c r="PAW135" s="562"/>
      <c r="PAX135" s="562"/>
      <c r="PAY135" s="562"/>
      <c r="PAZ135" s="562"/>
      <c r="PBA135" s="562"/>
      <c r="PBB135" s="562"/>
      <c r="PBC135" s="562"/>
      <c r="PBD135" s="562"/>
      <c r="PBE135" s="562"/>
      <c r="PBF135" s="562"/>
      <c r="PBG135" s="562"/>
      <c r="PBH135" s="562"/>
      <c r="PBI135" s="562"/>
      <c r="PBJ135" s="562"/>
      <c r="PBK135" s="562"/>
      <c r="PBL135" s="562"/>
      <c r="PBM135" s="562"/>
      <c r="PBN135" s="562"/>
      <c r="PBO135" s="562"/>
      <c r="PBP135" s="562"/>
      <c r="PBQ135" s="562"/>
      <c r="PBR135" s="562"/>
      <c r="PBS135" s="562"/>
      <c r="PBT135" s="562"/>
      <c r="PBU135" s="562"/>
      <c r="PBV135" s="562"/>
      <c r="PBW135" s="562"/>
      <c r="PBX135" s="562"/>
      <c r="PBY135" s="562"/>
      <c r="PBZ135" s="562"/>
      <c r="PCA135" s="562"/>
      <c r="PCB135" s="562"/>
      <c r="PCC135" s="562"/>
      <c r="PCD135" s="562"/>
      <c r="PCE135" s="562"/>
      <c r="PCF135" s="562"/>
      <c r="PCG135" s="562"/>
      <c r="PCH135" s="562"/>
      <c r="PCI135" s="562"/>
      <c r="PCJ135" s="562"/>
      <c r="PCK135" s="562"/>
      <c r="PCL135" s="562"/>
      <c r="PCM135" s="562"/>
      <c r="PCN135" s="562"/>
      <c r="PCO135" s="562"/>
      <c r="PCP135" s="562"/>
      <c r="PCQ135" s="562"/>
      <c r="PCR135" s="562"/>
      <c r="PCS135" s="562"/>
      <c r="PCT135" s="562"/>
      <c r="PCU135" s="562"/>
      <c r="PCV135" s="562"/>
      <c r="PCW135" s="562"/>
      <c r="PCX135" s="562"/>
      <c r="PCY135" s="562"/>
      <c r="PCZ135" s="562"/>
      <c r="PDA135" s="562"/>
      <c r="PDB135" s="562"/>
      <c r="PDC135" s="562"/>
      <c r="PDD135" s="562"/>
      <c r="PDE135" s="562"/>
      <c r="PDF135" s="562"/>
      <c r="PDG135" s="562"/>
      <c r="PDH135" s="562"/>
      <c r="PDI135" s="562"/>
      <c r="PDJ135" s="562"/>
      <c r="PDK135" s="562"/>
      <c r="PDL135" s="562"/>
      <c r="PDM135" s="562"/>
      <c r="PDN135" s="562"/>
      <c r="PDO135" s="562"/>
      <c r="PDP135" s="562"/>
      <c r="PDQ135" s="562"/>
      <c r="PDR135" s="562"/>
      <c r="PDS135" s="562"/>
      <c r="PDT135" s="562"/>
      <c r="PDU135" s="562"/>
      <c r="PDV135" s="562"/>
      <c r="PDW135" s="562"/>
      <c r="PDX135" s="562"/>
      <c r="PDY135" s="562"/>
      <c r="PDZ135" s="562"/>
      <c r="PEA135" s="562"/>
      <c r="PEB135" s="562"/>
      <c r="PEC135" s="562"/>
      <c r="PED135" s="562"/>
      <c r="PEE135" s="562"/>
      <c r="PEF135" s="562"/>
      <c r="PEG135" s="562"/>
      <c r="PEH135" s="562"/>
      <c r="PEI135" s="562"/>
      <c r="PEJ135" s="562"/>
      <c r="PEK135" s="562"/>
      <c r="PEL135" s="562"/>
      <c r="PEM135" s="562"/>
      <c r="PEN135" s="562"/>
      <c r="PEO135" s="562"/>
      <c r="PEP135" s="562"/>
      <c r="PEQ135" s="562"/>
      <c r="PER135" s="562"/>
      <c r="PES135" s="562"/>
      <c r="PET135" s="562"/>
      <c r="PEU135" s="562"/>
      <c r="PEV135" s="562"/>
      <c r="PEW135" s="562"/>
      <c r="PEX135" s="562"/>
      <c r="PEY135" s="562"/>
      <c r="PEZ135" s="562"/>
      <c r="PFA135" s="562"/>
      <c r="PFB135" s="562"/>
      <c r="PFC135" s="562"/>
      <c r="PFD135" s="562"/>
      <c r="PFE135" s="562"/>
      <c r="PFF135" s="562"/>
      <c r="PFG135" s="562"/>
      <c r="PFH135" s="562"/>
      <c r="PFI135" s="562"/>
      <c r="PFJ135" s="562"/>
      <c r="PFK135" s="562"/>
      <c r="PFL135" s="562"/>
      <c r="PFM135" s="562"/>
      <c r="PFN135" s="562"/>
      <c r="PFO135" s="562"/>
      <c r="PFP135" s="562"/>
      <c r="PFQ135" s="562"/>
      <c r="PFR135" s="562"/>
      <c r="PFS135" s="562"/>
      <c r="PFT135" s="562"/>
      <c r="PFU135" s="562"/>
      <c r="PFV135" s="562"/>
      <c r="PFW135" s="562"/>
      <c r="PFX135" s="562"/>
      <c r="PFY135" s="562"/>
      <c r="PFZ135" s="562"/>
      <c r="PGA135" s="562"/>
      <c r="PGB135" s="562"/>
      <c r="PGC135" s="562"/>
      <c r="PGD135" s="562"/>
      <c r="PGE135" s="562"/>
      <c r="PGF135" s="562"/>
      <c r="PGG135" s="562"/>
      <c r="PGH135" s="562"/>
      <c r="PGI135" s="562"/>
      <c r="PGJ135" s="562"/>
      <c r="PGK135" s="562"/>
      <c r="PGL135" s="562"/>
      <c r="PGM135" s="562"/>
      <c r="PGN135" s="562"/>
      <c r="PGO135" s="562"/>
      <c r="PGP135" s="562"/>
      <c r="PGQ135" s="562"/>
      <c r="PGR135" s="562"/>
      <c r="PGS135" s="562"/>
      <c r="PGT135" s="562"/>
      <c r="PGU135" s="562"/>
      <c r="PGV135" s="562"/>
      <c r="PGW135" s="562"/>
      <c r="PGX135" s="562"/>
      <c r="PGY135" s="562"/>
      <c r="PGZ135" s="562"/>
      <c r="PHA135" s="562"/>
      <c r="PHB135" s="562"/>
      <c r="PHC135" s="562"/>
      <c r="PHD135" s="562"/>
      <c r="PHE135" s="562"/>
      <c r="PHF135" s="562"/>
      <c r="PHG135" s="562"/>
      <c r="PHH135" s="562"/>
      <c r="PHI135" s="562"/>
      <c r="PHJ135" s="562"/>
      <c r="PHK135" s="562"/>
      <c r="PHL135" s="562"/>
      <c r="PHM135" s="562"/>
      <c r="PHN135" s="562"/>
      <c r="PHO135" s="562"/>
      <c r="PHP135" s="562"/>
      <c r="PHQ135" s="562"/>
      <c r="PHR135" s="562"/>
      <c r="PHS135" s="562"/>
      <c r="PHT135" s="562"/>
      <c r="PHU135" s="562"/>
      <c r="PHV135" s="562"/>
      <c r="PHW135" s="562"/>
      <c r="PHX135" s="562"/>
      <c r="PHY135" s="562"/>
      <c r="PHZ135" s="562"/>
      <c r="PIA135" s="562"/>
      <c r="PIB135" s="562"/>
      <c r="PIC135" s="562"/>
      <c r="PID135" s="562"/>
      <c r="PIE135" s="562"/>
      <c r="PIF135" s="562"/>
      <c r="PIG135" s="562"/>
      <c r="PIH135" s="562"/>
      <c r="PII135" s="562"/>
      <c r="PIJ135" s="562"/>
      <c r="PIK135" s="562"/>
      <c r="PIL135" s="562"/>
      <c r="PIM135" s="562"/>
      <c r="PIN135" s="562"/>
      <c r="PIO135" s="562"/>
      <c r="PIP135" s="562"/>
      <c r="PIQ135" s="562"/>
      <c r="PIR135" s="562"/>
      <c r="PIS135" s="562"/>
      <c r="PIT135" s="562"/>
      <c r="PIU135" s="562"/>
      <c r="PIV135" s="562"/>
      <c r="PIW135" s="562"/>
      <c r="PIX135" s="562"/>
      <c r="PIY135" s="562"/>
      <c r="PIZ135" s="562"/>
      <c r="PJA135" s="562"/>
      <c r="PJB135" s="562"/>
      <c r="PJC135" s="562"/>
      <c r="PJD135" s="562"/>
      <c r="PJE135" s="562"/>
      <c r="PJF135" s="562"/>
      <c r="PJG135" s="562"/>
      <c r="PJH135" s="562"/>
      <c r="PJI135" s="562"/>
      <c r="PJJ135" s="562"/>
      <c r="PJK135" s="562"/>
      <c r="PJL135" s="562"/>
      <c r="PJM135" s="562"/>
      <c r="PJN135" s="562"/>
      <c r="PJO135" s="562"/>
      <c r="PJP135" s="562"/>
      <c r="PJQ135" s="562"/>
      <c r="PJR135" s="562"/>
      <c r="PJS135" s="562"/>
      <c r="PJT135" s="562"/>
      <c r="PJU135" s="562"/>
      <c r="PJV135" s="562"/>
      <c r="PJW135" s="562"/>
      <c r="PJX135" s="562"/>
      <c r="PJY135" s="562"/>
      <c r="PJZ135" s="562"/>
      <c r="PKA135" s="562"/>
      <c r="PKB135" s="562"/>
      <c r="PKC135" s="562"/>
      <c r="PKD135" s="562"/>
      <c r="PKE135" s="562"/>
      <c r="PKF135" s="562"/>
      <c r="PKG135" s="562"/>
      <c r="PKH135" s="562"/>
      <c r="PKI135" s="562"/>
      <c r="PKJ135" s="562"/>
      <c r="PKK135" s="562"/>
      <c r="PKL135" s="562"/>
      <c r="PKM135" s="562"/>
      <c r="PKN135" s="562"/>
      <c r="PKO135" s="562"/>
      <c r="PKP135" s="562"/>
      <c r="PKQ135" s="562"/>
      <c r="PKR135" s="562"/>
      <c r="PKS135" s="562"/>
      <c r="PKT135" s="562"/>
      <c r="PKU135" s="562"/>
      <c r="PKV135" s="562"/>
      <c r="PKW135" s="562"/>
      <c r="PKX135" s="562"/>
      <c r="PKY135" s="562"/>
      <c r="PKZ135" s="562"/>
      <c r="PLA135" s="562"/>
      <c r="PLB135" s="562"/>
      <c r="PLC135" s="562"/>
      <c r="PLD135" s="562"/>
      <c r="PLE135" s="562"/>
      <c r="PLF135" s="562"/>
      <c r="PLG135" s="562"/>
      <c r="PLH135" s="562"/>
      <c r="PLI135" s="562"/>
      <c r="PLJ135" s="562"/>
      <c r="PLK135" s="562"/>
      <c r="PLL135" s="562"/>
      <c r="PLM135" s="562"/>
      <c r="PLN135" s="562"/>
      <c r="PLO135" s="562"/>
      <c r="PLP135" s="562"/>
      <c r="PLQ135" s="562"/>
      <c r="PLR135" s="562"/>
      <c r="PLS135" s="562"/>
      <c r="PLT135" s="562"/>
      <c r="PLU135" s="562"/>
      <c r="PLV135" s="562"/>
      <c r="PLW135" s="562"/>
      <c r="PLX135" s="562"/>
      <c r="PLY135" s="562"/>
      <c r="PLZ135" s="562"/>
      <c r="PMA135" s="562"/>
      <c r="PMB135" s="562"/>
      <c r="PMC135" s="562"/>
      <c r="PMD135" s="562"/>
      <c r="PME135" s="562"/>
      <c r="PMF135" s="562"/>
      <c r="PMG135" s="562"/>
      <c r="PMH135" s="562"/>
      <c r="PMI135" s="562"/>
      <c r="PMJ135" s="562"/>
      <c r="PMK135" s="562"/>
      <c r="PML135" s="562"/>
      <c r="PMM135" s="562"/>
      <c r="PMN135" s="562"/>
      <c r="PMO135" s="562"/>
      <c r="PMP135" s="562"/>
      <c r="PMQ135" s="562"/>
      <c r="PMR135" s="562"/>
      <c r="PMS135" s="562"/>
      <c r="PMT135" s="562"/>
      <c r="PMU135" s="562"/>
      <c r="PMV135" s="562"/>
      <c r="PMW135" s="562"/>
      <c r="PMX135" s="562"/>
      <c r="PMY135" s="562"/>
      <c r="PMZ135" s="562"/>
      <c r="PNA135" s="562"/>
      <c r="PNB135" s="562"/>
      <c r="PNC135" s="562"/>
      <c r="PND135" s="562"/>
      <c r="PNE135" s="562"/>
      <c r="PNF135" s="562"/>
      <c r="PNG135" s="562"/>
      <c r="PNH135" s="562"/>
      <c r="PNI135" s="562"/>
      <c r="PNJ135" s="562"/>
      <c r="PNK135" s="562"/>
      <c r="PNL135" s="562"/>
      <c r="PNM135" s="562"/>
      <c r="PNN135" s="562"/>
      <c r="PNO135" s="562"/>
      <c r="PNP135" s="562"/>
      <c r="PNQ135" s="562"/>
      <c r="PNR135" s="562"/>
      <c r="PNS135" s="562"/>
      <c r="PNT135" s="562"/>
      <c r="PNU135" s="562"/>
      <c r="PNV135" s="562"/>
      <c r="PNW135" s="562"/>
      <c r="PNX135" s="562"/>
      <c r="PNY135" s="562"/>
      <c r="PNZ135" s="562"/>
      <c r="POA135" s="562"/>
      <c r="POB135" s="562"/>
      <c r="POC135" s="562"/>
      <c r="POD135" s="562"/>
      <c r="POE135" s="562"/>
      <c r="POF135" s="562"/>
      <c r="POG135" s="562"/>
      <c r="POH135" s="562"/>
      <c r="POI135" s="562"/>
      <c r="POJ135" s="562"/>
      <c r="POK135" s="562"/>
      <c r="POL135" s="562"/>
      <c r="POM135" s="562"/>
      <c r="PON135" s="562"/>
      <c r="POO135" s="562"/>
      <c r="POP135" s="562"/>
      <c r="POQ135" s="562"/>
      <c r="POR135" s="562"/>
      <c r="POS135" s="562"/>
      <c r="POT135" s="562"/>
      <c r="POU135" s="562"/>
      <c r="POV135" s="562"/>
      <c r="POW135" s="562"/>
      <c r="POX135" s="562"/>
      <c r="POY135" s="562"/>
      <c r="POZ135" s="562"/>
      <c r="PPA135" s="562"/>
      <c r="PPB135" s="562"/>
      <c r="PPC135" s="562"/>
      <c r="PPD135" s="562"/>
      <c r="PPE135" s="562"/>
      <c r="PPF135" s="562"/>
      <c r="PPG135" s="562"/>
      <c r="PPH135" s="562"/>
      <c r="PPI135" s="562"/>
      <c r="PPJ135" s="562"/>
      <c r="PPK135" s="562"/>
      <c r="PPL135" s="562"/>
      <c r="PPM135" s="562"/>
      <c r="PPN135" s="562"/>
      <c r="PPO135" s="562"/>
      <c r="PPP135" s="562"/>
      <c r="PPQ135" s="562"/>
      <c r="PPR135" s="562"/>
      <c r="PPS135" s="562"/>
      <c r="PPT135" s="562"/>
      <c r="PPU135" s="562"/>
      <c r="PPV135" s="562"/>
      <c r="PPW135" s="562"/>
      <c r="PPX135" s="562"/>
      <c r="PPY135" s="562"/>
      <c r="PPZ135" s="562"/>
      <c r="PQA135" s="562"/>
      <c r="PQB135" s="562"/>
      <c r="PQC135" s="562"/>
      <c r="PQD135" s="562"/>
      <c r="PQE135" s="562"/>
      <c r="PQF135" s="562"/>
      <c r="PQG135" s="562"/>
      <c r="PQH135" s="562"/>
      <c r="PQI135" s="562"/>
      <c r="PQJ135" s="562"/>
      <c r="PQK135" s="562"/>
      <c r="PQL135" s="562"/>
      <c r="PQM135" s="562"/>
      <c r="PQN135" s="562"/>
      <c r="PQO135" s="562"/>
      <c r="PQP135" s="562"/>
      <c r="PQQ135" s="562"/>
      <c r="PQR135" s="562"/>
      <c r="PQS135" s="562"/>
      <c r="PQT135" s="562"/>
      <c r="PQU135" s="562"/>
      <c r="PQV135" s="562"/>
      <c r="PQW135" s="562"/>
      <c r="PQX135" s="562"/>
      <c r="PQY135" s="562"/>
      <c r="PQZ135" s="562"/>
      <c r="PRA135" s="562"/>
      <c r="PRB135" s="562"/>
      <c r="PRC135" s="562"/>
      <c r="PRD135" s="562"/>
      <c r="PRE135" s="562"/>
      <c r="PRF135" s="562"/>
      <c r="PRG135" s="562"/>
      <c r="PRH135" s="562"/>
      <c r="PRI135" s="562"/>
      <c r="PRJ135" s="562"/>
      <c r="PRK135" s="562"/>
      <c r="PRL135" s="562"/>
      <c r="PRM135" s="562"/>
      <c r="PRN135" s="562"/>
      <c r="PRO135" s="562"/>
      <c r="PRP135" s="562"/>
      <c r="PRQ135" s="562"/>
      <c r="PRR135" s="562"/>
      <c r="PRS135" s="562"/>
      <c r="PRT135" s="562"/>
      <c r="PRU135" s="562"/>
      <c r="PRV135" s="562"/>
      <c r="PRW135" s="562"/>
      <c r="PRX135" s="562"/>
      <c r="PRY135" s="562"/>
      <c r="PRZ135" s="562"/>
      <c r="PSA135" s="562"/>
      <c r="PSB135" s="562"/>
      <c r="PSC135" s="562"/>
      <c r="PSD135" s="562"/>
      <c r="PSE135" s="562"/>
      <c r="PSF135" s="562"/>
      <c r="PSG135" s="562"/>
      <c r="PSH135" s="562"/>
      <c r="PSI135" s="562"/>
      <c r="PSJ135" s="562"/>
      <c r="PSK135" s="562"/>
      <c r="PSL135" s="562"/>
      <c r="PSM135" s="562"/>
      <c r="PSN135" s="562"/>
      <c r="PSO135" s="562"/>
      <c r="PSP135" s="562"/>
      <c r="PSQ135" s="562"/>
      <c r="PSR135" s="562"/>
      <c r="PSS135" s="562"/>
      <c r="PST135" s="562"/>
      <c r="PSU135" s="562"/>
      <c r="PSV135" s="562"/>
      <c r="PSW135" s="562"/>
      <c r="PSX135" s="562"/>
      <c r="PSY135" s="562"/>
      <c r="PSZ135" s="562"/>
      <c r="PTA135" s="562"/>
      <c r="PTB135" s="562"/>
      <c r="PTC135" s="562"/>
      <c r="PTD135" s="562"/>
      <c r="PTE135" s="562"/>
      <c r="PTF135" s="562"/>
      <c r="PTG135" s="562"/>
      <c r="PTH135" s="562"/>
      <c r="PTI135" s="562"/>
      <c r="PTJ135" s="562"/>
      <c r="PTK135" s="562"/>
      <c r="PTL135" s="562"/>
      <c r="PTM135" s="562"/>
      <c r="PTN135" s="562"/>
      <c r="PTO135" s="562"/>
      <c r="PTP135" s="562"/>
      <c r="PTQ135" s="562"/>
      <c r="PTR135" s="562"/>
      <c r="PTS135" s="562"/>
      <c r="PTT135" s="562"/>
      <c r="PTU135" s="562"/>
      <c r="PTV135" s="562"/>
      <c r="PTW135" s="562"/>
      <c r="PTX135" s="562"/>
      <c r="PTY135" s="562"/>
      <c r="PTZ135" s="562"/>
      <c r="PUA135" s="562"/>
      <c r="PUB135" s="562"/>
      <c r="PUC135" s="562"/>
      <c r="PUD135" s="562"/>
      <c r="PUE135" s="562"/>
      <c r="PUF135" s="562"/>
      <c r="PUG135" s="562"/>
      <c r="PUH135" s="562"/>
      <c r="PUI135" s="562"/>
      <c r="PUJ135" s="562"/>
      <c r="PUK135" s="562"/>
      <c r="PUL135" s="562"/>
      <c r="PUM135" s="562"/>
      <c r="PUN135" s="562"/>
      <c r="PUO135" s="562"/>
      <c r="PUP135" s="562"/>
      <c r="PUQ135" s="562"/>
      <c r="PUR135" s="562"/>
      <c r="PUS135" s="562"/>
      <c r="PUT135" s="562"/>
      <c r="PUU135" s="562"/>
      <c r="PUV135" s="562"/>
      <c r="PUW135" s="562"/>
      <c r="PUX135" s="562"/>
      <c r="PUY135" s="562"/>
      <c r="PUZ135" s="562"/>
      <c r="PVA135" s="562"/>
      <c r="PVB135" s="562"/>
      <c r="PVC135" s="562"/>
      <c r="PVD135" s="562"/>
      <c r="PVE135" s="562"/>
      <c r="PVF135" s="562"/>
      <c r="PVG135" s="562"/>
      <c r="PVH135" s="562"/>
      <c r="PVI135" s="562"/>
      <c r="PVJ135" s="562"/>
      <c r="PVK135" s="562"/>
      <c r="PVL135" s="562"/>
      <c r="PVM135" s="562"/>
      <c r="PVN135" s="562"/>
      <c r="PVO135" s="562"/>
      <c r="PVP135" s="562"/>
      <c r="PVQ135" s="562"/>
      <c r="PVR135" s="562"/>
      <c r="PVS135" s="562"/>
      <c r="PVT135" s="562"/>
      <c r="PVU135" s="562"/>
      <c r="PVV135" s="562"/>
      <c r="PVW135" s="562"/>
      <c r="PVX135" s="562"/>
      <c r="PVY135" s="562"/>
      <c r="PVZ135" s="562"/>
      <c r="PWA135" s="562"/>
      <c r="PWB135" s="562"/>
      <c r="PWC135" s="562"/>
      <c r="PWD135" s="562"/>
      <c r="PWE135" s="562"/>
      <c r="PWF135" s="562"/>
      <c r="PWG135" s="562"/>
      <c r="PWH135" s="562"/>
      <c r="PWI135" s="562"/>
      <c r="PWJ135" s="562"/>
      <c r="PWK135" s="562"/>
      <c r="PWL135" s="562"/>
      <c r="PWM135" s="562"/>
      <c r="PWN135" s="562"/>
      <c r="PWO135" s="562"/>
      <c r="PWP135" s="562"/>
      <c r="PWQ135" s="562"/>
      <c r="PWR135" s="562"/>
      <c r="PWS135" s="562"/>
      <c r="PWT135" s="562"/>
      <c r="PWU135" s="562"/>
      <c r="PWV135" s="562"/>
      <c r="PWW135" s="562"/>
      <c r="PWX135" s="562"/>
      <c r="PWY135" s="562"/>
      <c r="PWZ135" s="562"/>
      <c r="PXA135" s="562"/>
      <c r="PXB135" s="562"/>
      <c r="PXC135" s="562"/>
      <c r="PXD135" s="562"/>
      <c r="PXE135" s="562"/>
      <c r="PXF135" s="562"/>
      <c r="PXG135" s="562"/>
      <c r="PXH135" s="562"/>
      <c r="PXI135" s="562"/>
      <c r="PXJ135" s="562"/>
      <c r="PXK135" s="562"/>
      <c r="PXL135" s="562"/>
      <c r="PXM135" s="562"/>
      <c r="PXN135" s="562"/>
      <c r="PXO135" s="562"/>
      <c r="PXP135" s="562"/>
      <c r="PXQ135" s="562"/>
      <c r="PXR135" s="562"/>
      <c r="PXS135" s="562"/>
      <c r="PXT135" s="562"/>
      <c r="PXU135" s="562"/>
      <c r="PXV135" s="562"/>
      <c r="PXW135" s="562"/>
      <c r="PXX135" s="562"/>
      <c r="PXY135" s="562"/>
      <c r="PXZ135" s="562"/>
      <c r="PYA135" s="562"/>
      <c r="PYB135" s="562"/>
      <c r="PYC135" s="562"/>
      <c r="PYD135" s="562"/>
      <c r="PYE135" s="562"/>
      <c r="PYF135" s="562"/>
      <c r="PYG135" s="562"/>
      <c r="PYH135" s="562"/>
      <c r="PYI135" s="562"/>
      <c r="PYJ135" s="562"/>
      <c r="PYK135" s="562"/>
      <c r="PYL135" s="562"/>
      <c r="PYM135" s="562"/>
      <c r="PYN135" s="562"/>
      <c r="PYO135" s="562"/>
      <c r="PYP135" s="562"/>
      <c r="PYQ135" s="562"/>
      <c r="PYR135" s="562"/>
      <c r="PYS135" s="562"/>
      <c r="PYT135" s="562"/>
      <c r="PYU135" s="562"/>
      <c r="PYV135" s="562"/>
      <c r="PYW135" s="562"/>
      <c r="PYX135" s="562"/>
      <c r="PYY135" s="562"/>
      <c r="PYZ135" s="562"/>
      <c r="PZA135" s="562"/>
      <c r="PZB135" s="562"/>
      <c r="PZC135" s="562"/>
      <c r="PZD135" s="562"/>
      <c r="PZE135" s="562"/>
      <c r="PZF135" s="562"/>
      <c r="PZG135" s="562"/>
      <c r="PZH135" s="562"/>
      <c r="PZI135" s="562"/>
      <c r="PZJ135" s="562"/>
      <c r="PZK135" s="562"/>
      <c r="PZL135" s="562"/>
      <c r="PZM135" s="562"/>
      <c r="PZN135" s="562"/>
      <c r="PZO135" s="562"/>
      <c r="PZP135" s="562"/>
      <c r="PZQ135" s="562"/>
      <c r="PZR135" s="562"/>
      <c r="PZS135" s="562"/>
      <c r="PZT135" s="562"/>
      <c r="PZU135" s="562"/>
      <c r="PZV135" s="562"/>
      <c r="PZW135" s="562"/>
      <c r="PZX135" s="562"/>
      <c r="PZY135" s="562"/>
      <c r="PZZ135" s="562"/>
      <c r="QAA135" s="562"/>
      <c r="QAB135" s="562"/>
      <c r="QAC135" s="562"/>
      <c r="QAD135" s="562"/>
      <c r="QAE135" s="562"/>
      <c r="QAF135" s="562"/>
      <c r="QAG135" s="562"/>
      <c r="QAH135" s="562"/>
      <c r="QAI135" s="562"/>
      <c r="QAJ135" s="562"/>
      <c r="QAK135" s="562"/>
      <c r="QAL135" s="562"/>
      <c r="QAM135" s="562"/>
      <c r="QAN135" s="562"/>
      <c r="QAO135" s="562"/>
      <c r="QAP135" s="562"/>
      <c r="QAQ135" s="562"/>
      <c r="QAR135" s="562"/>
      <c r="QAS135" s="562"/>
      <c r="QAT135" s="562"/>
      <c r="QAU135" s="562"/>
      <c r="QAV135" s="562"/>
      <c r="QAW135" s="562"/>
      <c r="QAX135" s="562"/>
      <c r="QAY135" s="562"/>
      <c r="QAZ135" s="562"/>
      <c r="QBA135" s="562"/>
      <c r="QBB135" s="562"/>
      <c r="QBC135" s="562"/>
      <c r="QBD135" s="562"/>
      <c r="QBE135" s="562"/>
      <c r="QBF135" s="562"/>
      <c r="QBG135" s="562"/>
      <c r="QBH135" s="562"/>
      <c r="QBI135" s="562"/>
      <c r="QBJ135" s="562"/>
      <c r="QBK135" s="562"/>
      <c r="QBL135" s="562"/>
      <c r="QBM135" s="562"/>
      <c r="QBN135" s="562"/>
      <c r="QBO135" s="562"/>
      <c r="QBP135" s="562"/>
      <c r="QBQ135" s="562"/>
      <c r="QBR135" s="562"/>
      <c r="QBS135" s="562"/>
      <c r="QBT135" s="562"/>
      <c r="QBU135" s="562"/>
      <c r="QBV135" s="562"/>
      <c r="QBW135" s="562"/>
      <c r="QBX135" s="562"/>
      <c r="QBY135" s="562"/>
      <c r="QBZ135" s="562"/>
      <c r="QCA135" s="562"/>
      <c r="QCB135" s="562"/>
      <c r="QCC135" s="562"/>
      <c r="QCD135" s="562"/>
      <c r="QCE135" s="562"/>
      <c r="QCF135" s="562"/>
      <c r="QCG135" s="562"/>
      <c r="QCH135" s="562"/>
      <c r="QCI135" s="562"/>
      <c r="QCJ135" s="562"/>
      <c r="QCK135" s="562"/>
      <c r="QCL135" s="562"/>
      <c r="QCM135" s="562"/>
      <c r="QCN135" s="562"/>
      <c r="QCO135" s="562"/>
      <c r="QCP135" s="562"/>
      <c r="QCQ135" s="562"/>
      <c r="QCR135" s="562"/>
      <c r="QCS135" s="562"/>
      <c r="QCT135" s="562"/>
      <c r="QCU135" s="562"/>
      <c r="QCV135" s="562"/>
      <c r="QCW135" s="562"/>
      <c r="QCX135" s="562"/>
      <c r="QCY135" s="562"/>
      <c r="QCZ135" s="562"/>
      <c r="QDA135" s="562"/>
      <c r="QDB135" s="562"/>
      <c r="QDC135" s="562"/>
      <c r="QDD135" s="562"/>
      <c r="QDE135" s="562"/>
      <c r="QDF135" s="562"/>
      <c r="QDG135" s="562"/>
      <c r="QDH135" s="562"/>
      <c r="QDI135" s="562"/>
      <c r="QDJ135" s="562"/>
      <c r="QDK135" s="562"/>
      <c r="QDL135" s="562"/>
      <c r="QDM135" s="562"/>
      <c r="QDN135" s="562"/>
      <c r="QDO135" s="562"/>
      <c r="QDP135" s="562"/>
      <c r="QDQ135" s="562"/>
      <c r="QDR135" s="562"/>
      <c r="QDS135" s="562"/>
      <c r="QDT135" s="562"/>
      <c r="QDU135" s="562"/>
      <c r="QDV135" s="562"/>
      <c r="QDW135" s="562"/>
      <c r="QDX135" s="562"/>
      <c r="QDY135" s="562"/>
      <c r="QDZ135" s="562"/>
      <c r="QEA135" s="562"/>
      <c r="QEB135" s="562"/>
      <c r="QEC135" s="562"/>
      <c r="QED135" s="562"/>
      <c r="QEE135" s="562"/>
      <c r="QEF135" s="562"/>
      <c r="QEG135" s="562"/>
      <c r="QEH135" s="562"/>
      <c r="QEI135" s="562"/>
      <c r="QEJ135" s="562"/>
      <c r="QEK135" s="562"/>
      <c r="QEL135" s="562"/>
      <c r="QEM135" s="562"/>
      <c r="QEN135" s="562"/>
      <c r="QEO135" s="562"/>
      <c r="QEP135" s="562"/>
      <c r="QEQ135" s="562"/>
      <c r="QER135" s="562"/>
      <c r="QES135" s="562"/>
      <c r="QET135" s="562"/>
      <c r="QEU135" s="562"/>
      <c r="QEV135" s="562"/>
      <c r="QEW135" s="562"/>
      <c r="QEX135" s="562"/>
      <c r="QEY135" s="562"/>
      <c r="QEZ135" s="562"/>
      <c r="QFA135" s="562"/>
      <c r="QFB135" s="562"/>
      <c r="QFC135" s="562"/>
      <c r="QFD135" s="562"/>
      <c r="QFE135" s="562"/>
      <c r="QFF135" s="562"/>
      <c r="QFG135" s="562"/>
      <c r="QFH135" s="562"/>
      <c r="QFI135" s="562"/>
      <c r="QFJ135" s="562"/>
      <c r="QFK135" s="562"/>
      <c r="QFL135" s="562"/>
      <c r="QFM135" s="562"/>
      <c r="QFN135" s="562"/>
      <c r="QFO135" s="562"/>
      <c r="QFP135" s="562"/>
      <c r="QFQ135" s="562"/>
      <c r="QFR135" s="562"/>
      <c r="QFS135" s="562"/>
      <c r="QFT135" s="562"/>
      <c r="QFU135" s="562"/>
      <c r="QFV135" s="562"/>
      <c r="QFW135" s="562"/>
      <c r="QFX135" s="562"/>
      <c r="QFY135" s="562"/>
      <c r="QFZ135" s="562"/>
      <c r="QGA135" s="562"/>
      <c r="QGB135" s="562"/>
      <c r="QGC135" s="562"/>
      <c r="QGD135" s="562"/>
      <c r="QGE135" s="562"/>
      <c r="QGF135" s="562"/>
      <c r="QGG135" s="562"/>
      <c r="QGH135" s="562"/>
      <c r="QGI135" s="562"/>
      <c r="QGJ135" s="562"/>
      <c r="QGK135" s="562"/>
      <c r="QGL135" s="562"/>
      <c r="QGM135" s="562"/>
      <c r="QGN135" s="562"/>
      <c r="QGO135" s="562"/>
      <c r="QGP135" s="562"/>
      <c r="QGQ135" s="562"/>
      <c r="QGR135" s="562"/>
      <c r="QGS135" s="562"/>
      <c r="QGT135" s="562"/>
      <c r="QGU135" s="562"/>
      <c r="QGV135" s="562"/>
      <c r="QGW135" s="562"/>
      <c r="QGX135" s="562"/>
      <c r="QGY135" s="562"/>
      <c r="QGZ135" s="562"/>
      <c r="QHA135" s="562"/>
      <c r="QHB135" s="562"/>
      <c r="QHC135" s="562"/>
      <c r="QHD135" s="562"/>
      <c r="QHE135" s="562"/>
      <c r="QHF135" s="562"/>
      <c r="QHG135" s="562"/>
      <c r="QHH135" s="562"/>
      <c r="QHI135" s="562"/>
      <c r="QHJ135" s="562"/>
      <c r="QHK135" s="562"/>
      <c r="QHL135" s="562"/>
      <c r="QHM135" s="562"/>
      <c r="QHN135" s="562"/>
      <c r="QHO135" s="562"/>
      <c r="QHP135" s="562"/>
      <c r="QHQ135" s="562"/>
      <c r="QHR135" s="562"/>
      <c r="QHS135" s="562"/>
      <c r="QHT135" s="562"/>
      <c r="QHU135" s="562"/>
      <c r="QHV135" s="562"/>
      <c r="QHW135" s="562"/>
      <c r="QHX135" s="562"/>
      <c r="QHY135" s="562"/>
      <c r="QHZ135" s="562"/>
      <c r="QIA135" s="562"/>
      <c r="QIB135" s="562"/>
      <c r="QIC135" s="562"/>
      <c r="QID135" s="562"/>
      <c r="QIE135" s="562"/>
      <c r="QIF135" s="562"/>
      <c r="QIG135" s="562"/>
      <c r="QIH135" s="562"/>
      <c r="QII135" s="562"/>
      <c r="QIJ135" s="562"/>
      <c r="QIK135" s="562"/>
      <c r="QIL135" s="562"/>
      <c r="QIM135" s="562"/>
      <c r="QIN135" s="562"/>
      <c r="QIO135" s="562"/>
      <c r="QIP135" s="562"/>
      <c r="QIQ135" s="562"/>
      <c r="QIR135" s="562"/>
      <c r="QIS135" s="562"/>
      <c r="QIT135" s="562"/>
      <c r="QIU135" s="562"/>
      <c r="QIV135" s="562"/>
      <c r="QIW135" s="562"/>
      <c r="QIX135" s="562"/>
      <c r="QIY135" s="562"/>
      <c r="QIZ135" s="562"/>
      <c r="QJA135" s="562"/>
      <c r="QJB135" s="562"/>
      <c r="QJC135" s="562"/>
      <c r="QJD135" s="562"/>
      <c r="QJE135" s="562"/>
      <c r="QJF135" s="562"/>
      <c r="QJG135" s="562"/>
      <c r="QJH135" s="562"/>
      <c r="QJI135" s="562"/>
      <c r="QJJ135" s="562"/>
      <c r="QJK135" s="562"/>
      <c r="QJL135" s="562"/>
      <c r="QJM135" s="562"/>
      <c r="QJN135" s="562"/>
      <c r="QJO135" s="562"/>
      <c r="QJP135" s="562"/>
      <c r="QJQ135" s="562"/>
      <c r="QJR135" s="562"/>
      <c r="QJS135" s="562"/>
      <c r="QJT135" s="562"/>
      <c r="QJU135" s="562"/>
      <c r="QJV135" s="562"/>
      <c r="QJW135" s="562"/>
      <c r="QJX135" s="562"/>
      <c r="QJY135" s="562"/>
      <c r="QJZ135" s="562"/>
      <c r="QKA135" s="562"/>
      <c r="QKB135" s="562"/>
      <c r="QKC135" s="562"/>
      <c r="QKD135" s="562"/>
      <c r="QKE135" s="562"/>
      <c r="QKF135" s="562"/>
      <c r="QKG135" s="562"/>
      <c r="QKH135" s="562"/>
      <c r="QKI135" s="562"/>
      <c r="QKJ135" s="562"/>
      <c r="QKK135" s="562"/>
      <c r="QKL135" s="562"/>
      <c r="QKM135" s="562"/>
      <c r="QKN135" s="562"/>
      <c r="QKO135" s="562"/>
      <c r="QKP135" s="562"/>
      <c r="QKQ135" s="562"/>
      <c r="QKR135" s="562"/>
      <c r="QKS135" s="562"/>
      <c r="QKT135" s="562"/>
      <c r="QKU135" s="562"/>
      <c r="QKV135" s="562"/>
      <c r="QKW135" s="562"/>
      <c r="QKX135" s="562"/>
      <c r="QKY135" s="562"/>
      <c r="QKZ135" s="562"/>
      <c r="QLA135" s="562"/>
      <c r="QLB135" s="562"/>
      <c r="QLC135" s="562"/>
      <c r="QLD135" s="562"/>
      <c r="QLE135" s="562"/>
      <c r="QLF135" s="562"/>
      <c r="QLG135" s="562"/>
      <c r="QLH135" s="562"/>
      <c r="QLI135" s="562"/>
      <c r="QLJ135" s="562"/>
      <c r="QLK135" s="562"/>
      <c r="QLL135" s="562"/>
      <c r="QLM135" s="562"/>
      <c r="QLN135" s="562"/>
      <c r="QLO135" s="562"/>
      <c r="QLP135" s="562"/>
      <c r="QLQ135" s="562"/>
      <c r="QLR135" s="562"/>
      <c r="QLS135" s="562"/>
      <c r="QLT135" s="562"/>
      <c r="QLU135" s="562"/>
      <c r="QLV135" s="562"/>
      <c r="QLW135" s="562"/>
      <c r="QLX135" s="562"/>
      <c r="QLY135" s="562"/>
      <c r="QLZ135" s="562"/>
      <c r="QMA135" s="562"/>
      <c r="QMB135" s="562"/>
      <c r="QMC135" s="562"/>
      <c r="QMD135" s="562"/>
      <c r="QME135" s="562"/>
      <c r="QMF135" s="562"/>
      <c r="QMG135" s="562"/>
      <c r="QMH135" s="562"/>
      <c r="QMI135" s="562"/>
      <c r="QMJ135" s="562"/>
      <c r="QMK135" s="562"/>
      <c r="QML135" s="562"/>
      <c r="QMM135" s="562"/>
      <c r="QMN135" s="562"/>
      <c r="QMO135" s="562"/>
      <c r="QMP135" s="562"/>
      <c r="QMQ135" s="562"/>
      <c r="QMR135" s="562"/>
      <c r="QMS135" s="562"/>
      <c r="QMT135" s="562"/>
      <c r="QMU135" s="562"/>
      <c r="QMV135" s="562"/>
      <c r="QMW135" s="562"/>
      <c r="QMX135" s="562"/>
      <c r="QMY135" s="562"/>
      <c r="QMZ135" s="562"/>
      <c r="QNA135" s="562"/>
      <c r="QNB135" s="562"/>
      <c r="QNC135" s="562"/>
      <c r="QND135" s="562"/>
      <c r="QNE135" s="562"/>
      <c r="QNF135" s="562"/>
      <c r="QNG135" s="562"/>
      <c r="QNH135" s="562"/>
      <c r="QNI135" s="562"/>
      <c r="QNJ135" s="562"/>
      <c r="QNK135" s="562"/>
      <c r="QNL135" s="562"/>
      <c r="QNM135" s="562"/>
      <c r="QNN135" s="562"/>
      <c r="QNO135" s="562"/>
      <c r="QNP135" s="562"/>
      <c r="QNQ135" s="562"/>
      <c r="QNR135" s="562"/>
      <c r="QNS135" s="562"/>
      <c r="QNT135" s="562"/>
      <c r="QNU135" s="562"/>
      <c r="QNV135" s="562"/>
      <c r="QNW135" s="562"/>
      <c r="QNX135" s="562"/>
      <c r="QNY135" s="562"/>
      <c r="QNZ135" s="562"/>
      <c r="QOA135" s="562"/>
      <c r="QOB135" s="562"/>
      <c r="QOC135" s="562"/>
      <c r="QOD135" s="562"/>
      <c r="QOE135" s="562"/>
      <c r="QOF135" s="562"/>
      <c r="QOG135" s="562"/>
      <c r="QOH135" s="562"/>
      <c r="QOI135" s="562"/>
      <c r="QOJ135" s="562"/>
      <c r="QOK135" s="562"/>
      <c r="QOL135" s="562"/>
      <c r="QOM135" s="562"/>
      <c r="QON135" s="562"/>
      <c r="QOO135" s="562"/>
      <c r="QOP135" s="562"/>
      <c r="QOQ135" s="562"/>
      <c r="QOR135" s="562"/>
      <c r="QOS135" s="562"/>
      <c r="QOT135" s="562"/>
      <c r="QOU135" s="562"/>
      <c r="QOV135" s="562"/>
      <c r="QOW135" s="562"/>
      <c r="QOX135" s="562"/>
      <c r="QOY135" s="562"/>
      <c r="QOZ135" s="562"/>
      <c r="QPA135" s="562"/>
      <c r="QPB135" s="562"/>
      <c r="QPC135" s="562"/>
      <c r="QPD135" s="562"/>
      <c r="QPE135" s="562"/>
      <c r="QPF135" s="562"/>
      <c r="QPG135" s="562"/>
      <c r="QPH135" s="562"/>
      <c r="QPI135" s="562"/>
      <c r="QPJ135" s="562"/>
      <c r="QPK135" s="562"/>
      <c r="QPL135" s="562"/>
      <c r="QPM135" s="562"/>
      <c r="QPN135" s="562"/>
      <c r="QPO135" s="562"/>
      <c r="QPP135" s="562"/>
      <c r="QPQ135" s="562"/>
      <c r="QPR135" s="562"/>
      <c r="QPS135" s="562"/>
      <c r="QPT135" s="562"/>
      <c r="QPU135" s="562"/>
      <c r="QPV135" s="562"/>
      <c r="QPW135" s="562"/>
      <c r="QPX135" s="562"/>
      <c r="QPY135" s="562"/>
      <c r="QPZ135" s="562"/>
      <c r="QQA135" s="562"/>
      <c r="QQB135" s="562"/>
      <c r="QQC135" s="562"/>
      <c r="QQD135" s="562"/>
      <c r="QQE135" s="562"/>
      <c r="QQF135" s="562"/>
      <c r="QQG135" s="562"/>
      <c r="QQH135" s="562"/>
      <c r="QQI135" s="562"/>
      <c r="QQJ135" s="562"/>
      <c r="QQK135" s="562"/>
      <c r="QQL135" s="562"/>
      <c r="QQM135" s="562"/>
      <c r="QQN135" s="562"/>
      <c r="QQO135" s="562"/>
      <c r="QQP135" s="562"/>
      <c r="QQQ135" s="562"/>
      <c r="QQR135" s="562"/>
      <c r="QQS135" s="562"/>
      <c r="QQT135" s="562"/>
      <c r="QQU135" s="562"/>
      <c r="QQV135" s="562"/>
      <c r="QQW135" s="562"/>
      <c r="QQX135" s="562"/>
      <c r="QQY135" s="562"/>
      <c r="QQZ135" s="562"/>
      <c r="QRA135" s="562"/>
      <c r="QRB135" s="562"/>
      <c r="QRC135" s="562"/>
      <c r="QRD135" s="562"/>
      <c r="QRE135" s="562"/>
      <c r="QRF135" s="562"/>
      <c r="QRG135" s="562"/>
      <c r="QRH135" s="562"/>
      <c r="QRI135" s="562"/>
      <c r="QRJ135" s="562"/>
      <c r="QRK135" s="562"/>
      <c r="QRL135" s="562"/>
      <c r="QRM135" s="562"/>
      <c r="QRN135" s="562"/>
      <c r="QRO135" s="562"/>
      <c r="QRP135" s="562"/>
      <c r="QRQ135" s="562"/>
      <c r="QRR135" s="562"/>
      <c r="QRS135" s="562"/>
      <c r="QRT135" s="562"/>
      <c r="QRU135" s="562"/>
      <c r="QRV135" s="562"/>
      <c r="QRW135" s="562"/>
      <c r="QRX135" s="562"/>
      <c r="QRY135" s="562"/>
      <c r="QRZ135" s="562"/>
      <c r="QSA135" s="562"/>
      <c r="QSB135" s="562"/>
      <c r="QSC135" s="562"/>
      <c r="QSD135" s="562"/>
      <c r="QSE135" s="562"/>
      <c r="QSF135" s="562"/>
      <c r="QSG135" s="562"/>
      <c r="QSH135" s="562"/>
      <c r="QSI135" s="562"/>
      <c r="QSJ135" s="562"/>
      <c r="QSK135" s="562"/>
      <c r="QSL135" s="562"/>
      <c r="QSM135" s="562"/>
      <c r="QSN135" s="562"/>
      <c r="QSO135" s="562"/>
      <c r="QSP135" s="562"/>
      <c r="QSQ135" s="562"/>
      <c r="QSR135" s="562"/>
      <c r="QSS135" s="562"/>
      <c r="QST135" s="562"/>
      <c r="QSU135" s="562"/>
      <c r="QSV135" s="562"/>
      <c r="QSW135" s="562"/>
      <c r="QSX135" s="562"/>
      <c r="QSY135" s="562"/>
      <c r="QSZ135" s="562"/>
      <c r="QTA135" s="562"/>
      <c r="QTB135" s="562"/>
      <c r="QTC135" s="562"/>
      <c r="QTD135" s="562"/>
      <c r="QTE135" s="562"/>
      <c r="QTF135" s="562"/>
      <c r="QTG135" s="562"/>
      <c r="QTH135" s="562"/>
      <c r="QTI135" s="562"/>
      <c r="QTJ135" s="562"/>
      <c r="QTK135" s="562"/>
      <c r="QTL135" s="562"/>
      <c r="QTM135" s="562"/>
      <c r="QTN135" s="562"/>
      <c r="QTO135" s="562"/>
      <c r="QTP135" s="562"/>
      <c r="QTQ135" s="562"/>
      <c r="QTR135" s="562"/>
      <c r="QTS135" s="562"/>
      <c r="QTT135" s="562"/>
      <c r="QTU135" s="562"/>
      <c r="QTV135" s="562"/>
      <c r="QTW135" s="562"/>
      <c r="QTX135" s="562"/>
      <c r="QTY135" s="562"/>
      <c r="QTZ135" s="562"/>
      <c r="QUA135" s="562"/>
      <c r="QUB135" s="562"/>
      <c r="QUC135" s="562"/>
      <c r="QUD135" s="562"/>
      <c r="QUE135" s="562"/>
      <c r="QUF135" s="562"/>
      <c r="QUG135" s="562"/>
      <c r="QUH135" s="562"/>
      <c r="QUI135" s="562"/>
      <c r="QUJ135" s="562"/>
      <c r="QUK135" s="562"/>
      <c r="QUL135" s="562"/>
      <c r="QUM135" s="562"/>
      <c r="QUN135" s="562"/>
      <c r="QUO135" s="562"/>
      <c r="QUP135" s="562"/>
      <c r="QUQ135" s="562"/>
      <c r="QUR135" s="562"/>
      <c r="QUS135" s="562"/>
      <c r="QUT135" s="562"/>
      <c r="QUU135" s="562"/>
      <c r="QUV135" s="562"/>
      <c r="QUW135" s="562"/>
      <c r="QUX135" s="562"/>
      <c r="QUY135" s="562"/>
      <c r="QUZ135" s="562"/>
      <c r="QVA135" s="562"/>
      <c r="QVB135" s="562"/>
      <c r="QVC135" s="562"/>
      <c r="QVD135" s="562"/>
      <c r="QVE135" s="562"/>
      <c r="QVF135" s="562"/>
      <c r="QVG135" s="562"/>
      <c r="QVH135" s="562"/>
      <c r="QVI135" s="562"/>
      <c r="QVJ135" s="562"/>
      <c r="QVK135" s="562"/>
      <c r="QVL135" s="562"/>
      <c r="QVM135" s="562"/>
      <c r="QVN135" s="562"/>
      <c r="QVO135" s="562"/>
      <c r="QVP135" s="562"/>
      <c r="QVQ135" s="562"/>
      <c r="QVR135" s="562"/>
      <c r="QVS135" s="562"/>
      <c r="QVT135" s="562"/>
      <c r="QVU135" s="562"/>
      <c r="QVV135" s="562"/>
      <c r="QVW135" s="562"/>
      <c r="QVX135" s="562"/>
      <c r="QVY135" s="562"/>
      <c r="QVZ135" s="562"/>
      <c r="QWA135" s="562"/>
      <c r="QWB135" s="562"/>
      <c r="QWC135" s="562"/>
      <c r="QWD135" s="562"/>
      <c r="QWE135" s="562"/>
      <c r="QWF135" s="562"/>
      <c r="QWG135" s="562"/>
      <c r="QWH135" s="562"/>
      <c r="QWI135" s="562"/>
      <c r="QWJ135" s="562"/>
      <c r="QWK135" s="562"/>
      <c r="QWL135" s="562"/>
      <c r="QWM135" s="562"/>
      <c r="QWN135" s="562"/>
      <c r="QWO135" s="562"/>
      <c r="QWP135" s="562"/>
      <c r="QWQ135" s="562"/>
      <c r="QWR135" s="562"/>
      <c r="QWS135" s="562"/>
      <c r="QWT135" s="562"/>
      <c r="QWU135" s="562"/>
      <c r="QWV135" s="562"/>
      <c r="QWW135" s="562"/>
      <c r="QWX135" s="562"/>
      <c r="QWY135" s="562"/>
      <c r="QWZ135" s="562"/>
      <c r="QXA135" s="562"/>
      <c r="QXB135" s="562"/>
      <c r="QXC135" s="562"/>
      <c r="QXD135" s="562"/>
      <c r="QXE135" s="562"/>
      <c r="QXF135" s="562"/>
      <c r="QXG135" s="562"/>
      <c r="QXH135" s="562"/>
      <c r="QXI135" s="562"/>
      <c r="QXJ135" s="562"/>
      <c r="QXK135" s="562"/>
      <c r="QXL135" s="562"/>
      <c r="QXM135" s="562"/>
      <c r="QXN135" s="562"/>
      <c r="QXO135" s="562"/>
      <c r="QXP135" s="562"/>
      <c r="QXQ135" s="562"/>
      <c r="QXR135" s="562"/>
      <c r="QXS135" s="562"/>
      <c r="QXT135" s="562"/>
      <c r="QXU135" s="562"/>
      <c r="QXV135" s="562"/>
      <c r="QXW135" s="562"/>
      <c r="QXX135" s="562"/>
      <c r="QXY135" s="562"/>
      <c r="QXZ135" s="562"/>
      <c r="QYA135" s="562"/>
      <c r="QYB135" s="562"/>
      <c r="QYC135" s="562"/>
      <c r="QYD135" s="562"/>
      <c r="QYE135" s="562"/>
      <c r="QYF135" s="562"/>
      <c r="QYG135" s="562"/>
      <c r="QYH135" s="562"/>
      <c r="QYI135" s="562"/>
      <c r="QYJ135" s="562"/>
      <c r="QYK135" s="562"/>
      <c r="QYL135" s="562"/>
      <c r="QYM135" s="562"/>
      <c r="QYN135" s="562"/>
      <c r="QYO135" s="562"/>
      <c r="QYP135" s="562"/>
      <c r="QYQ135" s="562"/>
      <c r="QYR135" s="562"/>
      <c r="QYS135" s="562"/>
      <c r="QYT135" s="562"/>
      <c r="QYU135" s="562"/>
      <c r="QYV135" s="562"/>
      <c r="QYW135" s="562"/>
      <c r="QYX135" s="562"/>
      <c r="QYY135" s="562"/>
      <c r="QYZ135" s="562"/>
      <c r="QZA135" s="562"/>
      <c r="QZB135" s="562"/>
      <c r="QZC135" s="562"/>
      <c r="QZD135" s="562"/>
      <c r="QZE135" s="562"/>
      <c r="QZF135" s="562"/>
      <c r="QZG135" s="562"/>
      <c r="QZH135" s="562"/>
      <c r="QZI135" s="562"/>
      <c r="QZJ135" s="562"/>
      <c r="QZK135" s="562"/>
      <c r="QZL135" s="562"/>
      <c r="QZM135" s="562"/>
      <c r="QZN135" s="562"/>
      <c r="QZO135" s="562"/>
      <c r="QZP135" s="562"/>
      <c r="QZQ135" s="562"/>
      <c r="QZR135" s="562"/>
      <c r="QZS135" s="562"/>
      <c r="QZT135" s="562"/>
      <c r="QZU135" s="562"/>
      <c r="QZV135" s="562"/>
      <c r="QZW135" s="562"/>
      <c r="QZX135" s="562"/>
      <c r="QZY135" s="562"/>
      <c r="QZZ135" s="562"/>
      <c r="RAA135" s="562"/>
      <c r="RAB135" s="562"/>
      <c r="RAC135" s="562"/>
      <c r="RAD135" s="562"/>
      <c r="RAE135" s="562"/>
      <c r="RAF135" s="562"/>
      <c r="RAG135" s="562"/>
      <c r="RAH135" s="562"/>
      <c r="RAI135" s="562"/>
      <c r="RAJ135" s="562"/>
      <c r="RAK135" s="562"/>
      <c r="RAL135" s="562"/>
      <c r="RAM135" s="562"/>
      <c r="RAN135" s="562"/>
      <c r="RAO135" s="562"/>
      <c r="RAP135" s="562"/>
      <c r="RAQ135" s="562"/>
      <c r="RAR135" s="562"/>
      <c r="RAS135" s="562"/>
      <c r="RAT135" s="562"/>
      <c r="RAU135" s="562"/>
      <c r="RAV135" s="562"/>
      <c r="RAW135" s="562"/>
      <c r="RAX135" s="562"/>
      <c r="RAY135" s="562"/>
      <c r="RAZ135" s="562"/>
      <c r="RBA135" s="562"/>
      <c r="RBB135" s="562"/>
      <c r="RBC135" s="562"/>
      <c r="RBD135" s="562"/>
      <c r="RBE135" s="562"/>
      <c r="RBF135" s="562"/>
      <c r="RBG135" s="562"/>
      <c r="RBH135" s="562"/>
      <c r="RBI135" s="562"/>
      <c r="RBJ135" s="562"/>
      <c r="RBK135" s="562"/>
      <c r="RBL135" s="562"/>
      <c r="RBM135" s="562"/>
      <c r="RBN135" s="562"/>
      <c r="RBO135" s="562"/>
      <c r="RBP135" s="562"/>
      <c r="RBQ135" s="562"/>
      <c r="RBR135" s="562"/>
      <c r="RBS135" s="562"/>
      <c r="RBT135" s="562"/>
      <c r="RBU135" s="562"/>
      <c r="RBV135" s="562"/>
      <c r="RBW135" s="562"/>
      <c r="RBX135" s="562"/>
      <c r="RBY135" s="562"/>
      <c r="RBZ135" s="562"/>
      <c r="RCA135" s="562"/>
      <c r="RCB135" s="562"/>
      <c r="RCC135" s="562"/>
      <c r="RCD135" s="562"/>
      <c r="RCE135" s="562"/>
      <c r="RCF135" s="562"/>
      <c r="RCG135" s="562"/>
      <c r="RCH135" s="562"/>
      <c r="RCI135" s="562"/>
      <c r="RCJ135" s="562"/>
      <c r="RCK135" s="562"/>
      <c r="RCL135" s="562"/>
      <c r="RCM135" s="562"/>
      <c r="RCN135" s="562"/>
      <c r="RCO135" s="562"/>
      <c r="RCP135" s="562"/>
      <c r="RCQ135" s="562"/>
      <c r="RCR135" s="562"/>
      <c r="RCS135" s="562"/>
      <c r="RCT135" s="562"/>
      <c r="RCU135" s="562"/>
      <c r="RCV135" s="562"/>
      <c r="RCW135" s="562"/>
      <c r="RCX135" s="562"/>
      <c r="RCY135" s="562"/>
      <c r="RCZ135" s="562"/>
      <c r="RDA135" s="562"/>
      <c r="RDB135" s="562"/>
      <c r="RDC135" s="562"/>
      <c r="RDD135" s="562"/>
      <c r="RDE135" s="562"/>
      <c r="RDF135" s="562"/>
      <c r="RDG135" s="562"/>
      <c r="RDH135" s="562"/>
      <c r="RDI135" s="562"/>
      <c r="RDJ135" s="562"/>
      <c r="RDK135" s="562"/>
      <c r="RDL135" s="562"/>
      <c r="RDM135" s="562"/>
      <c r="RDN135" s="562"/>
      <c r="RDO135" s="562"/>
      <c r="RDP135" s="562"/>
      <c r="RDQ135" s="562"/>
      <c r="RDR135" s="562"/>
      <c r="RDS135" s="562"/>
      <c r="RDT135" s="562"/>
      <c r="RDU135" s="562"/>
      <c r="RDV135" s="562"/>
      <c r="RDW135" s="562"/>
      <c r="RDX135" s="562"/>
      <c r="RDY135" s="562"/>
      <c r="RDZ135" s="562"/>
      <c r="REA135" s="562"/>
      <c r="REB135" s="562"/>
      <c r="REC135" s="562"/>
      <c r="RED135" s="562"/>
      <c r="REE135" s="562"/>
      <c r="REF135" s="562"/>
      <c r="REG135" s="562"/>
      <c r="REH135" s="562"/>
      <c r="REI135" s="562"/>
      <c r="REJ135" s="562"/>
      <c r="REK135" s="562"/>
      <c r="REL135" s="562"/>
      <c r="REM135" s="562"/>
      <c r="REN135" s="562"/>
      <c r="REO135" s="562"/>
      <c r="REP135" s="562"/>
      <c r="REQ135" s="562"/>
      <c r="RER135" s="562"/>
      <c r="RES135" s="562"/>
      <c r="RET135" s="562"/>
      <c r="REU135" s="562"/>
      <c r="REV135" s="562"/>
      <c r="REW135" s="562"/>
      <c r="REX135" s="562"/>
      <c r="REY135" s="562"/>
      <c r="REZ135" s="562"/>
      <c r="RFA135" s="562"/>
      <c r="RFB135" s="562"/>
      <c r="RFC135" s="562"/>
      <c r="RFD135" s="562"/>
      <c r="RFE135" s="562"/>
      <c r="RFF135" s="562"/>
      <c r="RFG135" s="562"/>
      <c r="RFH135" s="562"/>
      <c r="RFI135" s="562"/>
      <c r="RFJ135" s="562"/>
      <c r="RFK135" s="562"/>
      <c r="RFL135" s="562"/>
      <c r="RFM135" s="562"/>
      <c r="RFN135" s="562"/>
      <c r="RFO135" s="562"/>
      <c r="RFP135" s="562"/>
      <c r="RFQ135" s="562"/>
      <c r="RFR135" s="562"/>
      <c r="RFS135" s="562"/>
      <c r="RFT135" s="562"/>
      <c r="RFU135" s="562"/>
      <c r="RFV135" s="562"/>
      <c r="RFW135" s="562"/>
      <c r="RFX135" s="562"/>
      <c r="RFY135" s="562"/>
      <c r="RFZ135" s="562"/>
      <c r="RGA135" s="562"/>
      <c r="RGB135" s="562"/>
      <c r="RGC135" s="562"/>
      <c r="RGD135" s="562"/>
      <c r="RGE135" s="562"/>
      <c r="RGF135" s="562"/>
      <c r="RGG135" s="562"/>
      <c r="RGH135" s="562"/>
      <c r="RGI135" s="562"/>
      <c r="RGJ135" s="562"/>
      <c r="RGK135" s="562"/>
      <c r="RGL135" s="562"/>
      <c r="RGM135" s="562"/>
      <c r="RGN135" s="562"/>
      <c r="RGO135" s="562"/>
      <c r="RGP135" s="562"/>
      <c r="RGQ135" s="562"/>
      <c r="RGR135" s="562"/>
      <c r="RGS135" s="562"/>
      <c r="RGT135" s="562"/>
      <c r="RGU135" s="562"/>
      <c r="RGV135" s="562"/>
      <c r="RGW135" s="562"/>
      <c r="RGX135" s="562"/>
      <c r="RGY135" s="562"/>
      <c r="RGZ135" s="562"/>
      <c r="RHA135" s="562"/>
      <c r="RHB135" s="562"/>
      <c r="RHC135" s="562"/>
      <c r="RHD135" s="562"/>
      <c r="RHE135" s="562"/>
      <c r="RHF135" s="562"/>
      <c r="RHG135" s="562"/>
      <c r="RHH135" s="562"/>
      <c r="RHI135" s="562"/>
      <c r="RHJ135" s="562"/>
      <c r="RHK135" s="562"/>
      <c r="RHL135" s="562"/>
      <c r="RHM135" s="562"/>
      <c r="RHN135" s="562"/>
      <c r="RHO135" s="562"/>
      <c r="RHP135" s="562"/>
      <c r="RHQ135" s="562"/>
      <c r="RHR135" s="562"/>
      <c r="RHS135" s="562"/>
      <c r="RHT135" s="562"/>
      <c r="RHU135" s="562"/>
      <c r="RHV135" s="562"/>
      <c r="RHW135" s="562"/>
      <c r="RHX135" s="562"/>
      <c r="RHY135" s="562"/>
      <c r="RHZ135" s="562"/>
      <c r="RIA135" s="562"/>
      <c r="RIB135" s="562"/>
      <c r="RIC135" s="562"/>
      <c r="RID135" s="562"/>
      <c r="RIE135" s="562"/>
      <c r="RIF135" s="562"/>
      <c r="RIG135" s="562"/>
      <c r="RIH135" s="562"/>
      <c r="RII135" s="562"/>
      <c r="RIJ135" s="562"/>
      <c r="RIK135" s="562"/>
      <c r="RIL135" s="562"/>
      <c r="RIM135" s="562"/>
      <c r="RIN135" s="562"/>
      <c r="RIO135" s="562"/>
      <c r="RIP135" s="562"/>
      <c r="RIQ135" s="562"/>
      <c r="RIR135" s="562"/>
      <c r="RIS135" s="562"/>
      <c r="RIT135" s="562"/>
      <c r="RIU135" s="562"/>
      <c r="RIV135" s="562"/>
      <c r="RIW135" s="562"/>
      <c r="RIX135" s="562"/>
      <c r="RIY135" s="562"/>
      <c r="RIZ135" s="562"/>
      <c r="RJA135" s="562"/>
      <c r="RJB135" s="562"/>
      <c r="RJC135" s="562"/>
      <c r="RJD135" s="562"/>
      <c r="RJE135" s="562"/>
      <c r="RJF135" s="562"/>
      <c r="RJG135" s="562"/>
      <c r="RJH135" s="562"/>
      <c r="RJI135" s="562"/>
      <c r="RJJ135" s="562"/>
      <c r="RJK135" s="562"/>
      <c r="RJL135" s="562"/>
      <c r="RJM135" s="562"/>
      <c r="RJN135" s="562"/>
      <c r="RJO135" s="562"/>
      <c r="RJP135" s="562"/>
      <c r="RJQ135" s="562"/>
      <c r="RJR135" s="562"/>
      <c r="RJS135" s="562"/>
      <c r="RJT135" s="562"/>
      <c r="RJU135" s="562"/>
      <c r="RJV135" s="562"/>
      <c r="RJW135" s="562"/>
      <c r="RJX135" s="562"/>
      <c r="RJY135" s="562"/>
      <c r="RJZ135" s="562"/>
      <c r="RKA135" s="562"/>
      <c r="RKB135" s="562"/>
      <c r="RKC135" s="562"/>
      <c r="RKD135" s="562"/>
      <c r="RKE135" s="562"/>
      <c r="RKF135" s="562"/>
      <c r="RKG135" s="562"/>
      <c r="RKH135" s="562"/>
      <c r="RKI135" s="562"/>
      <c r="RKJ135" s="562"/>
      <c r="RKK135" s="562"/>
      <c r="RKL135" s="562"/>
      <c r="RKM135" s="562"/>
      <c r="RKN135" s="562"/>
      <c r="RKO135" s="562"/>
      <c r="RKP135" s="562"/>
      <c r="RKQ135" s="562"/>
      <c r="RKR135" s="562"/>
      <c r="RKS135" s="562"/>
      <c r="RKT135" s="562"/>
      <c r="RKU135" s="562"/>
      <c r="RKV135" s="562"/>
      <c r="RKW135" s="562"/>
      <c r="RKX135" s="562"/>
      <c r="RKY135" s="562"/>
      <c r="RKZ135" s="562"/>
      <c r="RLA135" s="562"/>
      <c r="RLB135" s="562"/>
      <c r="RLC135" s="562"/>
      <c r="RLD135" s="562"/>
      <c r="RLE135" s="562"/>
      <c r="RLF135" s="562"/>
      <c r="RLG135" s="562"/>
      <c r="RLH135" s="562"/>
      <c r="RLI135" s="562"/>
      <c r="RLJ135" s="562"/>
      <c r="RLK135" s="562"/>
      <c r="RLL135" s="562"/>
      <c r="RLM135" s="562"/>
      <c r="RLN135" s="562"/>
      <c r="RLO135" s="562"/>
      <c r="RLP135" s="562"/>
      <c r="RLQ135" s="562"/>
      <c r="RLR135" s="562"/>
      <c r="RLS135" s="562"/>
      <c r="RLT135" s="562"/>
      <c r="RLU135" s="562"/>
      <c r="RLV135" s="562"/>
      <c r="RLW135" s="562"/>
      <c r="RLX135" s="562"/>
      <c r="RLY135" s="562"/>
      <c r="RLZ135" s="562"/>
      <c r="RMA135" s="562"/>
      <c r="RMB135" s="562"/>
      <c r="RMC135" s="562"/>
      <c r="RMD135" s="562"/>
      <c r="RME135" s="562"/>
      <c r="RMF135" s="562"/>
      <c r="RMG135" s="562"/>
      <c r="RMH135" s="562"/>
      <c r="RMI135" s="562"/>
      <c r="RMJ135" s="562"/>
      <c r="RMK135" s="562"/>
      <c r="RML135" s="562"/>
      <c r="RMM135" s="562"/>
      <c r="RMN135" s="562"/>
      <c r="RMO135" s="562"/>
      <c r="RMP135" s="562"/>
      <c r="RMQ135" s="562"/>
      <c r="RMR135" s="562"/>
      <c r="RMS135" s="562"/>
      <c r="RMT135" s="562"/>
      <c r="RMU135" s="562"/>
      <c r="RMV135" s="562"/>
      <c r="RMW135" s="562"/>
      <c r="RMX135" s="562"/>
      <c r="RMY135" s="562"/>
      <c r="RMZ135" s="562"/>
      <c r="RNA135" s="562"/>
      <c r="RNB135" s="562"/>
      <c r="RNC135" s="562"/>
      <c r="RND135" s="562"/>
      <c r="RNE135" s="562"/>
      <c r="RNF135" s="562"/>
      <c r="RNG135" s="562"/>
      <c r="RNH135" s="562"/>
      <c r="RNI135" s="562"/>
      <c r="RNJ135" s="562"/>
      <c r="RNK135" s="562"/>
      <c r="RNL135" s="562"/>
      <c r="RNM135" s="562"/>
      <c r="RNN135" s="562"/>
      <c r="RNO135" s="562"/>
      <c r="RNP135" s="562"/>
      <c r="RNQ135" s="562"/>
      <c r="RNR135" s="562"/>
      <c r="RNS135" s="562"/>
      <c r="RNT135" s="562"/>
      <c r="RNU135" s="562"/>
      <c r="RNV135" s="562"/>
      <c r="RNW135" s="562"/>
      <c r="RNX135" s="562"/>
      <c r="RNY135" s="562"/>
      <c r="RNZ135" s="562"/>
      <c r="ROA135" s="562"/>
      <c r="ROB135" s="562"/>
      <c r="ROC135" s="562"/>
      <c r="ROD135" s="562"/>
      <c r="ROE135" s="562"/>
      <c r="ROF135" s="562"/>
      <c r="ROG135" s="562"/>
      <c r="ROH135" s="562"/>
      <c r="ROI135" s="562"/>
      <c r="ROJ135" s="562"/>
      <c r="ROK135" s="562"/>
      <c r="ROL135" s="562"/>
      <c r="ROM135" s="562"/>
      <c r="RON135" s="562"/>
      <c r="ROO135" s="562"/>
      <c r="ROP135" s="562"/>
      <c r="ROQ135" s="562"/>
      <c r="ROR135" s="562"/>
      <c r="ROS135" s="562"/>
      <c r="ROT135" s="562"/>
      <c r="ROU135" s="562"/>
      <c r="ROV135" s="562"/>
      <c r="ROW135" s="562"/>
      <c r="ROX135" s="562"/>
      <c r="ROY135" s="562"/>
      <c r="ROZ135" s="562"/>
      <c r="RPA135" s="562"/>
      <c r="RPB135" s="562"/>
      <c r="RPC135" s="562"/>
      <c r="RPD135" s="562"/>
      <c r="RPE135" s="562"/>
      <c r="RPF135" s="562"/>
      <c r="RPG135" s="562"/>
      <c r="RPH135" s="562"/>
      <c r="RPI135" s="562"/>
      <c r="RPJ135" s="562"/>
      <c r="RPK135" s="562"/>
      <c r="RPL135" s="562"/>
      <c r="RPM135" s="562"/>
      <c r="RPN135" s="562"/>
      <c r="RPO135" s="562"/>
      <c r="RPP135" s="562"/>
      <c r="RPQ135" s="562"/>
      <c r="RPR135" s="562"/>
      <c r="RPS135" s="562"/>
      <c r="RPT135" s="562"/>
      <c r="RPU135" s="562"/>
      <c r="RPV135" s="562"/>
      <c r="RPW135" s="562"/>
      <c r="RPX135" s="562"/>
      <c r="RPY135" s="562"/>
      <c r="RPZ135" s="562"/>
      <c r="RQA135" s="562"/>
      <c r="RQB135" s="562"/>
      <c r="RQC135" s="562"/>
      <c r="RQD135" s="562"/>
      <c r="RQE135" s="562"/>
      <c r="RQF135" s="562"/>
      <c r="RQG135" s="562"/>
      <c r="RQH135" s="562"/>
      <c r="RQI135" s="562"/>
      <c r="RQJ135" s="562"/>
      <c r="RQK135" s="562"/>
      <c r="RQL135" s="562"/>
      <c r="RQM135" s="562"/>
      <c r="RQN135" s="562"/>
      <c r="RQO135" s="562"/>
      <c r="RQP135" s="562"/>
      <c r="RQQ135" s="562"/>
      <c r="RQR135" s="562"/>
      <c r="RQS135" s="562"/>
      <c r="RQT135" s="562"/>
      <c r="RQU135" s="562"/>
      <c r="RQV135" s="562"/>
      <c r="RQW135" s="562"/>
      <c r="RQX135" s="562"/>
      <c r="RQY135" s="562"/>
      <c r="RQZ135" s="562"/>
      <c r="RRA135" s="562"/>
      <c r="RRB135" s="562"/>
      <c r="RRC135" s="562"/>
      <c r="RRD135" s="562"/>
      <c r="RRE135" s="562"/>
      <c r="RRF135" s="562"/>
      <c r="RRG135" s="562"/>
      <c r="RRH135" s="562"/>
      <c r="RRI135" s="562"/>
      <c r="RRJ135" s="562"/>
      <c r="RRK135" s="562"/>
      <c r="RRL135" s="562"/>
      <c r="RRM135" s="562"/>
      <c r="RRN135" s="562"/>
      <c r="RRO135" s="562"/>
      <c r="RRP135" s="562"/>
      <c r="RRQ135" s="562"/>
      <c r="RRR135" s="562"/>
      <c r="RRS135" s="562"/>
      <c r="RRT135" s="562"/>
      <c r="RRU135" s="562"/>
      <c r="RRV135" s="562"/>
      <c r="RRW135" s="562"/>
      <c r="RRX135" s="562"/>
      <c r="RRY135" s="562"/>
      <c r="RRZ135" s="562"/>
      <c r="RSA135" s="562"/>
      <c r="RSB135" s="562"/>
      <c r="RSC135" s="562"/>
      <c r="RSD135" s="562"/>
      <c r="RSE135" s="562"/>
      <c r="RSF135" s="562"/>
      <c r="RSG135" s="562"/>
      <c r="RSH135" s="562"/>
      <c r="RSI135" s="562"/>
      <c r="RSJ135" s="562"/>
      <c r="RSK135" s="562"/>
      <c r="RSL135" s="562"/>
      <c r="RSM135" s="562"/>
      <c r="RSN135" s="562"/>
      <c r="RSO135" s="562"/>
      <c r="RSP135" s="562"/>
      <c r="RSQ135" s="562"/>
      <c r="RSR135" s="562"/>
      <c r="RSS135" s="562"/>
      <c r="RST135" s="562"/>
      <c r="RSU135" s="562"/>
      <c r="RSV135" s="562"/>
      <c r="RSW135" s="562"/>
      <c r="RSX135" s="562"/>
      <c r="RSY135" s="562"/>
      <c r="RSZ135" s="562"/>
      <c r="RTA135" s="562"/>
      <c r="RTB135" s="562"/>
      <c r="RTC135" s="562"/>
      <c r="RTD135" s="562"/>
      <c r="RTE135" s="562"/>
      <c r="RTF135" s="562"/>
      <c r="RTG135" s="562"/>
      <c r="RTH135" s="562"/>
      <c r="RTI135" s="562"/>
      <c r="RTJ135" s="562"/>
      <c r="RTK135" s="562"/>
      <c r="RTL135" s="562"/>
      <c r="RTM135" s="562"/>
      <c r="RTN135" s="562"/>
      <c r="RTO135" s="562"/>
      <c r="RTP135" s="562"/>
      <c r="RTQ135" s="562"/>
      <c r="RTR135" s="562"/>
      <c r="RTS135" s="562"/>
      <c r="RTT135" s="562"/>
      <c r="RTU135" s="562"/>
      <c r="RTV135" s="562"/>
      <c r="RTW135" s="562"/>
      <c r="RTX135" s="562"/>
      <c r="RTY135" s="562"/>
      <c r="RTZ135" s="562"/>
      <c r="RUA135" s="562"/>
      <c r="RUB135" s="562"/>
      <c r="RUC135" s="562"/>
      <c r="RUD135" s="562"/>
      <c r="RUE135" s="562"/>
      <c r="RUF135" s="562"/>
      <c r="RUG135" s="562"/>
      <c r="RUH135" s="562"/>
      <c r="RUI135" s="562"/>
      <c r="RUJ135" s="562"/>
      <c r="RUK135" s="562"/>
      <c r="RUL135" s="562"/>
      <c r="RUM135" s="562"/>
      <c r="RUN135" s="562"/>
      <c r="RUO135" s="562"/>
      <c r="RUP135" s="562"/>
      <c r="RUQ135" s="562"/>
      <c r="RUR135" s="562"/>
      <c r="RUS135" s="562"/>
      <c r="RUT135" s="562"/>
      <c r="RUU135" s="562"/>
      <c r="RUV135" s="562"/>
      <c r="RUW135" s="562"/>
      <c r="RUX135" s="562"/>
      <c r="RUY135" s="562"/>
      <c r="RUZ135" s="562"/>
      <c r="RVA135" s="562"/>
      <c r="RVB135" s="562"/>
      <c r="RVC135" s="562"/>
      <c r="RVD135" s="562"/>
      <c r="RVE135" s="562"/>
      <c r="RVF135" s="562"/>
      <c r="RVG135" s="562"/>
      <c r="RVH135" s="562"/>
      <c r="RVI135" s="562"/>
      <c r="RVJ135" s="562"/>
      <c r="RVK135" s="562"/>
      <c r="RVL135" s="562"/>
      <c r="RVM135" s="562"/>
      <c r="RVN135" s="562"/>
      <c r="RVO135" s="562"/>
      <c r="RVP135" s="562"/>
      <c r="RVQ135" s="562"/>
      <c r="RVR135" s="562"/>
      <c r="RVS135" s="562"/>
      <c r="RVT135" s="562"/>
      <c r="RVU135" s="562"/>
      <c r="RVV135" s="562"/>
      <c r="RVW135" s="562"/>
      <c r="RVX135" s="562"/>
      <c r="RVY135" s="562"/>
      <c r="RVZ135" s="562"/>
      <c r="RWA135" s="562"/>
      <c r="RWB135" s="562"/>
      <c r="RWC135" s="562"/>
      <c r="RWD135" s="562"/>
      <c r="RWE135" s="562"/>
      <c r="RWF135" s="562"/>
      <c r="RWG135" s="562"/>
      <c r="RWH135" s="562"/>
      <c r="RWI135" s="562"/>
      <c r="RWJ135" s="562"/>
      <c r="RWK135" s="562"/>
      <c r="RWL135" s="562"/>
      <c r="RWM135" s="562"/>
      <c r="RWN135" s="562"/>
      <c r="RWO135" s="562"/>
      <c r="RWP135" s="562"/>
      <c r="RWQ135" s="562"/>
      <c r="RWR135" s="562"/>
      <c r="RWS135" s="562"/>
      <c r="RWT135" s="562"/>
      <c r="RWU135" s="562"/>
      <c r="RWV135" s="562"/>
      <c r="RWW135" s="562"/>
      <c r="RWX135" s="562"/>
      <c r="RWY135" s="562"/>
      <c r="RWZ135" s="562"/>
      <c r="RXA135" s="562"/>
      <c r="RXB135" s="562"/>
      <c r="RXC135" s="562"/>
      <c r="RXD135" s="562"/>
      <c r="RXE135" s="562"/>
      <c r="RXF135" s="562"/>
      <c r="RXG135" s="562"/>
      <c r="RXH135" s="562"/>
      <c r="RXI135" s="562"/>
      <c r="RXJ135" s="562"/>
      <c r="RXK135" s="562"/>
      <c r="RXL135" s="562"/>
      <c r="RXM135" s="562"/>
      <c r="RXN135" s="562"/>
      <c r="RXO135" s="562"/>
      <c r="RXP135" s="562"/>
      <c r="RXQ135" s="562"/>
      <c r="RXR135" s="562"/>
      <c r="RXS135" s="562"/>
      <c r="RXT135" s="562"/>
      <c r="RXU135" s="562"/>
      <c r="RXV135" s="562"/>
      <c r="RXW135" s="562"/>
      <c r="RXX135" s="562"/>
      <c r="RXY135" s="562"/>
      <c r="RXZ135" s="562"/>
      <c r="RYA135" s="562"/>
      <c r="RYB135" s="562"/>
      <c r="RYC135" s="562"/>
      <c r="RYD135" s="562"/>
      <c r="RYE135" s="562"/>
      <c r="RYF135" s="562"/>
      <c r="RYG135" s="562"/>
      <c r="RYH135" s="562"/>
      <c r="RYI135" s="562"/>
      <c r="RYJ135" s="562"/>
      <c r="RYK135" s="562"/>
      <c r="RYL135" s="562"/>
      <c r="RYM135" s="562"/>
      <c r="RYN135" s="562"/>
      <c r="RYO135" s="562"/>
      <c r="RYP135" s="562"/>
      <c r="RYQ135" s="562"/>
      <c r="RYR135" s="562"/>
      <c r="RYS135" s="562"/>
      <c r="RYT135" s="562"/>
      <c r="RYU135" s="562"/>
      <c r="RYV135" s="562"/>
      <c r="RYW135" s="562"/>
      <c r="RYX135" s="562"/>
      <c r="RYY135" s="562"/>
      <c r="RYZ135" s="562"/>
      <c r="RZA135" s="562"/>
      <c r="RZB135" s="562"/>
      <c r="RZC135" s="562"/>
      <c r="RZD135" s="562"/>
      <c r="RZE135" s="562"/>
      <c r="RZF135" s="562"/>
      <c r="RZG135" s="562"/>
      <c r="RZH135" s="562"/>
      <c r="RZI135" s="562"/>
      <c r="RZJ135" s="562"/>
      <c r="RZK135" s="562"/>
      <c r="RZL135" s="562"/>
      <c r="RZM135" s="562"/>
      <c r="RZN135" s="562"/>
      <c r="RZO135" s="562"/>
      <c r="RZP135" s="562"/>
      <c r="RZQ135" s="562"/>
      <c r="RZR135" s="562"/>
      <c r="RZS135" s="562"/>
      <c r="RZT135" s="562"/>
      <c r="RZU135" s="562"/>
      <c r="RZV135" s="562"/>
      <c r="RZW135" s="562"/>
      <c r="RZX135" s="562"/>
      <c r="RZY135" s="562"/>
      <c r="RZZ135" s="562"/>
      <c r="SAA135" s="562"/>
      <c r="SAB135" s="562"/>
      <c r="SAC135" s="562"/>
      <c r="SAD135" s="562"/>
      <c r="SAE135" s="562"/>
      <c r="SAF135" s="562"/>
      <c r="SAG135" s="562"/>
      <c r="SAH135" s="562"/>
      <c r="SAI135" s="562"/>
      <c r="SAJ135" s="562"/>
      <c r="SAK135" s="562"/>
      <c r="SAL135" s="562"/>
      <c r="SAM135" s="562"/>
      <c r="SAN135" s="562"/>
      <c r="SAO135" s="562"/>
      <c r="SAP135" s="562"/>
      <c r="SAQ135" s="562"/>
      <c r="SAR135" s="562"/>
      <c r="SAS135" s="562"/>
      <c r="SAT135" s="562"/>
      <c r="SAU135" s="562"/>
      <c r="SAV135" s="562"/>
      <c r="SAW135" s="562"/>
      <c r="SAX135" s="562"/>
      <c r="SAY135" s="562"/>
      <c r="SAZ135" s="562"/>
      <c r="SBA135" s="562"/>
      <c r="SBB135" s="562"/>
      <c r="SBC135" s="562"/>
      <c r="SBD135" s="562"/>
      <c r="SBE135" s="562"/>
      <c r="SBF135" s="562"/>
      <c r="SBG135" s="562"/>
      <c r="SBH135" s="562"/>
      <c r="SBI135" s="562"/>
      <c r="SBJ135" s="562"/>
      <c r="SBK135" s="562"/>
      <c r="SBL135" s="562"/>
      <c r="SBM135" s="562"/>
      <c r="SBN135" s="562"/>
      <c r="SBO135" s="562"/>
      <c r="SBP135" s="562"/>
      <c r="SBQ135" s="562"/>
      <c r="SBR135" s="562"/>
      <c r="SBS135" s="562"/>
      <c r="SBT135" s="562"/>
      <c r="SBU135" s="562"/>
      <c r="SBV135" s="562"/>
      <c r="SBW135" s="562"/>
      <c r="SBX135" s="562"/>
      <c r="SBY135" s="562"/>
      <c r="SBZ135" s="562"/>
      <c r="SCA135" s="562"/>
      <c r="SCB135" s="562"/>
      <c r="SCC135" s="562"/>
      <c r="SCD135" s="562"/>
      <c r="SCE135" s="562"/>
      <c r="SCF135" s="562"/>
      <c r="SCG135" s="562"/>
      <c r="SCH135" s="562"/>
      <c r="SCI135" s="562"/>
      <c r="SCJ135" s="562"/>
      <c r="SCK135" s="562"/>
      <c r="SCL135" s="562"/>
      <c r="SCM135" s="562"/>
      <c r="SCN135" s="562"/>
      <c r="SCO135" s="562"/>
      <c r="SCP135" s="562"/>
      <c r="SCQ135" s="562"/>
      <c r="SCR135" s="562"/>
      <c r="SCS135" s="562"/>
      <c r="SCT135" s="562"/>
      <c r="SCU135" s="562"/>
      <c r="SCV135" s="562"/>
      <c r="SCW135" s="562"/>
      <c r="SCX135" s="562"/>
      <c r="SCY135" s="562"/>
      <c r="SCZ135" s="562"/>
      <c r="SDA135" s="562"/>
      <c r="SDB135" s="562"/>
      <c r="SDC135" s="562"/>
      <c r="SDD135" s="562"/>
      <c r="SDE135" s="562"/>
      <c r="SDF135" s="562"/>
      <c r="SDG135" s="562"/>
      <c r="SDH135" s="562"/>
      <c r="SDI135" s="562"/>
      <c r="SDJ135" s="562"/>
      <c r="SDK135" s="562"/>
      <c r="SDL135" s="562"/>
      <c r="SDM135" s="562"/>
      <c r="SDN135" s="562"/>
      <c r="SDO135" s="562"/>
      <c r="SDP135" s="562"/>
      <c r="SDQ135" s="562"/>
      <c r="SDR135" s="562"/>
      <c r="SDS135" s="562"/>
      <c r="SDT135" s="562"/>
      <c r="SDU135" s="562"/>
      <c r="SDV135" s="562"/>
      <c r="SDW135" s="562"/>
      <c r="SDX135" s="562"/>
      <c r="SDY135" s="562"/>
      <c r="SDZ135" s="562"/>
      <c r="SEA135" s="562"/>
      <c r="SEB135" s="562"/>
      <c r="SEC135" s="562"/>
      <c r="SED135" s="562"/>
      <c r="SEE135" s="562"/>
      <c r="SEF135" s="562"/>
      <c r="SEG135" s="562"/>
      <c r="SEH135" s="562"/>
      <c r="SEI135" s="562"/>
      <c r="SEJ135" s="562"/>
      <c r="SEK135" s="562"/>
      <c r="SEL135" s="562"/>
      <c r="SEM135" s="562"/>
      <c r="SEN135" s="562"/>
      <c r="SEO135" s="562"/>
      <c r="SEP135" s="562"/>
      <c r="SEQ135" s="562"/>
      <c r="SER135" s="562"/>
      <c r="SES135" s="562"/>
      <c r="SET135" s="562"/>
      <c r="SEU135" s="562"/>
      <c r="SEV135" s="562"/>
      <c r="SEW135" s="562"/>
      <c r="SEX135" s="562"/>
      <c r="SEY135" s="562"/>
      <c r="SEZ135" s="562"/>
      <c r="SFA135" s="562"/>
      <c r="SFB135" s="562"/>
      <c r="SFC135" s="562"/>
      <c r="SFD135" s="562"/>
      <c r="SFE135" s="562"/>
      <c r="SFF135" s="562"/>
      <c r="SFG135" s="562"/>
      <c r="SFH135" s="562"/>
      <c r="SFI135" s="562"/>
      <c r="SFJ135" s="562"/>
      <c r="SFK135" s="562"/>
      <c r="SFL135" s="562"/>
      <c r="SFM135" s="562"/>
      <c r="SFN135" s="562"/>
      <c r="SFO135" s="562"/>
      <c r="SFP135" s="562"/>
      <c r="SFQ135" s="562"/>
      <c r="SFR135" s="562"/>
      <c r="SFS135" s="562"/>
      <c r="SFT135" s="562"/>
      <c r="SFU135" s="562"/>
      <c r="SFV135" s="562"/>
      <c r="SFW135" s="562"/>
      <c r="SFX135" s="562"/>
      <c r="SFY135" s="562"/>
      <c r="SFZ135" s="562"/>
      <c r="SGA135" s="562"/>
      <c r="SGB135" s="562"/>
      <c r="SGC135" s="562"/>
      <c r="SGD135" s="562"/>
      <c r="SGE135" s="562"/>
      <c r="SGF135" s="562"/>
      <c r="SGG135" s="562"/>
      <c r="SGH135" s="562"/>
      <c r="SGI135" s="562"/>
      <c r="SGJ135" s="562"/>
      <c r="SGK135" s="562"/>
      <c r="SGL135" s="562"/>
      <c r="SGM135" s="562"/>
      <c r="SGN135" s="562"/>
      <c r="SGO135" s="562"/>
      <c r="SGP135" s="562"/>
      <c r="SGQ135" s="562"/>
      <c r="SGR135" s="562"/>
      <c r="SGS135" s="562"/>
      <c r="SGT135" s="562"/>
      <c r="SGU135" s="562"/>
      <c r="SGV135" s="562"/>
      <c r="SGW135" s="562"/>
      <c r="SGX135" s="562"/>
      <c r="SGY135" s="562"/>
      <c r="SGZ135" s="562"/>
      <c r="SHA135" s="562"/>
      <c r="SHB135" s="562"/>
      <c r="SHC135" s="562"/>
      <c r="SHD135" s="562"/>
      <c r="SHE135" s="562"/>
      <c r="SHF135" s="562"/>
      <c r="SHG135" s="562"/>
      <c r="SHH135" s="562"/>
      <c r="SHI135" s="562"/>
      <c r="SHJ135" s="562"/>
      <c r="SHK135" s="562"/>
      <c r="SHL135" s="562"/>
      <c r="SHM135" s="562"/>
      <c r="SHN135" s="562"/>
      <c r="SHO135" s="562"/>
      <c r="SHP135" s="562"/>
      <c r="SHQ135" s="562"/>
      <c r="SHR135" s="562"/>
      <c r="SHS135" s="562"/>
      <c r="SHT135" s="562"/>
      <c r="SHU135" s="562"/>
      <c r="SHV135" s="562"/>
      <c r="SHW135" s="562"/>
      <c r="SHX135" s="562"/>
      <c r="SHY135" s="562"/>
      <c r="SHZ135" s="562"/>
      <c r="SIA135" s="562"/>
      <c r="SIB135" s="562"/>
      <c r="SIC135" s="562"/>
      <c r="SID135" s="562"/>
      <c r="SIE135" s="562"/>
      <c r="SIF135" s="562"/>
      <c r="SIG135" s="562"/>
      <c r="SIH135" s="562"/>
      <c r="SII135" s="562"/>
      <c r="SIJ135" s="562"/>
      <c r="SIK135" s="562"/>
      <c r="SIL135" s="562"/>
      <c r="SIM135" s="562"/>
      <c r="SIN135" s="562"/>
      <c r="SIO135" s="562"/>
      <c r="SIP135" s="562"/>
      <c r="SIQ135" s="562"/>
      <c r="SIR135" s="562"/>
      <c r="SIS135" s="562"/>
      <c r="SIT135" s="562"/>
      <c r="SIU135" s="562"/>
      <c r="SIV135" s="562"/>
      <c r="SIW135" s="562"/>
      <c r="SIX135" s="562"/>
      <c r="SIY135" s="562"/>
      <c r="SIZ135" s="562"/>
      <c r="SJA135" s="562"/>
      <c r="SJB135" s="562"/>
      <c r="SJC135" s="562"/>
      <c r="SJD135" s="562"/>
      <c r="SJE135" s="562"/>
      <c r="SJF135" s="562"/>
      <c r="SJG135" s="562"/>
      <c r="SJH135" s="562"/>
      <c r="SJI135" s="562"/>
      <c r="SJJ135" s="562"/>
      <c r="SJK135" s="562"/>
      <c r="SJL135" s="562"/>
      <c r="SJM135" s="562"/>
      <c r="SJN135" s="562"/>
      <c r="SJO135" s="562"/>
      <c r="SJP135" s="562"/>
      <c r="SJQ135" s="562"/>
      <c r="SJR135" s="562"/>
      <c r="SJS135" s="562"/>
      <c r="SJT135" s="562"/>
      <c r="SJU135" s="562"/>
      <c r="SJV135" s="562"/>
      <c r="SJW135" s="562"/>
      <c r="SJX135" s="562"/>
      <c r="SJY135" s="562"/>
      <c r="SJZ135" s="562"/>
      <c r="SKA135" s="562"/>
      <c r="SKB135" s="562"/>
      <c r="SKC135" s="562"/>
      <c r="SKD135" s="562"/>
      <c r="SKE135" s="562"/>
      <c r="SKF135" s="562"/>
      <c r="SKG135" s="562"/>
      <c r="SKH135" s="562"/>
      <c r="SKI135" s="562"/>
      <c r="SKJ135" s="562"/>
      <c r="SKK135" s="562"/>
      <c r="SKL135" s="562"/>
      <c r="SKM135" s="562"/>
      <c r="SKN135" s="562"/>
      <c r="SKO135" s="562"/>
      <c r="SKP135" s="562"/>
      <c r="SKQ135" s="562"/>
      <c r="SKR135" s="562"/>
      <c r="SKS135" s="562"/>
      <c r="SKT135" s="562"/>
      <c r="SKU135" s="562"/>
      <c r="SKV135" s="562"/>
      <c r="SKW135" s="562"/>
      <c r="SKX135" s="562"/>
      <c r="SKY135" s="562"/>
      <c r="SKZ135" s="562"/>
      <c r="SLA135" s="562"/>
      <c r="SLB135" s="562"/>
      <c r="SLC135" s="562"/>
      <c r="SLD135" s="562"/>
      <c r="SLE135" s="562"/>
      <c r="SLF135" s="562"/>
      <c r="SLG135" s="562"/>
      <c r="SLH135" s="562"/>
      <c r="SLI135" s="562"/>
      <c r="SLJ135" s="562"/>
      <c r="SLK135" s="562"/>
      <c r="SLL135" s="562"/>
      <c r="SLM135" s="562"/>
      <c r="SLN135" s="562"/>
      <c r="SLO135" s="562"/>
      <c r="SLP135" s="562"/>
      <c r="SLQ135" s="562"/>
      <c r="SLR135" s="562"/>
      <c r="SLS135" s="562"/>
      <c r="SLT135" s="562"/>
      <c r="SLU135" s="562"/>
      <c r="SLV135" s="562"/>
      <c r="SLW135" s="562"/>
      <c r="SLX135" s="562"/>
      <c r="SLY135" s="562"/>
      <c r="SLZ135" s="562"/>
      <c r="SMA135" s="562"/>
      <c r="SMB135" s="562"/>
      <c r="SMC135" s="562"/>
      <c r="SMD135" s="562"/>
      <c r="SME135" s="562"/>
      <c r="SMF135" s="562"/>
      <c r="SMG135" s="562"/>
      <c r="SMH135" s="562"/>
      <c r="SMI135" s="562"/>
      <c r="SMJ135" s="562"/>
      <c r="SMK135" s="562"/>
      <c r="SML135" s="562"/>
      <c r="SMM135" s="562"/>
      <c r="SMN135" s="562"/>
      <c r="SMO135" s="562"/>
      <c r="SMP135" s="562"/>
      <c r="SMQ135" s="562"/>
      <c r="SMR135" s="562"/>
      <c r="SMS135" s="562"/>
      <c r="SMT135" s="562"/>
      <c r="SMU135" s="562"/>
      <c r="SMV135" s="562"/>
      <c r="SMW135" s="562"/>
      <c r="SMX135" s="562"/>
      <c r="SMY135" s="562"/>
      <c r="SMZ135" s="562"/>
      <c r="SNA135" s="562"/>
      <c r="SNB135" s="562"/>
      <c r="SNC135" s="562"/>
      <c r="SND135" s="562"/>
      <c r="SNE135" s="562"/>
      <c r="SNF135" s="562"/>
      <c r="SNG135" s="562"/>
      <c r="SNH135" s="562"/>
      <c r="SNI135" s="562"/>
      <c r="SNJ135" s="562"/>
      <c r="SNK135" s="562"/>
      <c r="SNL135" s="562"/>
      <c r="SNM135" s="562"/>
      <c r="SNN135" s="562"/>
      <c r="SNO135" s="562"/>
      <c r="SNP135" s="562"/>
      <c r="SNQ135" s="562"/>
      <c r="SNR135" s="562"/>
      <c r="SNS135" s="562"/>
      <c r="SNT135" s="562"/>
      <c r="SNU135" s="562"/>
      <c r="SNV135" s="562"/>
      <c r="SNW135" s="562"/>
      <c r="SNX135" s="562"/>
      <c r="SNY135" s="562"/>
      <c r="SNZ135" s="562"/>
      <c r="SOA135" s="562"/>
      <c r="SOB135" s="562"/>
      <c r="SOC135" s="562"/>
      <c r="SOD135" s="562"/>
      <c r="SOE135" s="562"/>
      <c r="SOF135" s="562"/>
      <c r="SOG135" s="562"/>
      <c r="SOH135" s="562"/>
      <c r="SOI135" s="562"/>
      <c r="SOJ135" s="562"/>
      <c r="SOK135" s="562"/>
      <c r="SOL135" s="562"/>
      <c r="SOM135" s="562"/>
      <c r="SON135" s="562"/>
      <c r="SOO135" s="562"/>
      <c r="SOP135" s="562"/>
      <c r="SOQ135" s="562"/>
      <c r="SOR135" s="562"/>
      <c r="SOS135" s="562"/>
      <c r="SOT135" s="562"/>
      <c r="SOU135" s="562"/>
      <c r="SOV135" s="562"/>
      <c r="SOW135" s="562"/>
      <c r="SOX135" s="562"/>
      <c r="SOY135" s="562"/>
      <c r="SOZ135" s="562"/>
      <c r="SPA135" s="562"/>
      <c r="SPB135" s="562"/>
      <c r="SPC135" s="562"/>
      <c r="SPD135" s="562"/>
      <c r="SPE135" s="562"/>
      <c r="SPF135" s="562"/>
      <c r="SPG135" s="562"/>
      <c r="SPH135" s="562"/>
      <c r="SPI135" s="562"/>
      <c r="SPJ135" s="562"/>
      <c r="SPK135" s="562"/>
      <c r="SPL135" s="562"/>
      <c r="SPM135" s="562"/>
      <c r="SPN135" s="562"/>
      <c r="SPO135" s="562"/>
      <c r="SPP135" s="562"/>
      <c r="SPQ135" s="562"/>
      <c r="SPR135" s="562"/>
      <c r="SPS135" s="562"/>
      <c r="SPT135" s="562"/>
      <c r="SPU135" s="562"/>
      <c r="SPV135" s="562"/>
      <c r="SPW135" s="562"/>
      <c r="SPX135" s="562"/>
      <c r="SPY135" s="562"/>
      <c r="SPZ135" s="562"/>
      <c r="SQA135" s="562"/>
      <c r="SQB135" s="562"/>
      <c r="SQC135" s="562"/>
      <c r="SQD135" s="562"/>
      <c r="SQE135" s="562"/>
      <c r="SQF135" s="562"/>
      <c r="SQG135" s="562"/>
      <c r="SQH135" s="562"/>
      <c r="SQI135" s="562"/>
      <c r="SQJ135" s="562"/>
      <c r="SQK135" s="562"/>
      <c r="SQL135" s="562"/>
      <c r="SQM135" s="562"/>
      <c r="SQN135" s="562"/>
      <c r="SQO135" s="562"/>
      <c r="SQP135" s="562"/>
      <c r="SQQ135" s="562"/>
      <c r="SQR135" s="562"/>
      <c r="SQS135" s="562"/>
      <c r="SQT135" s="562"/>
      <c r="SQU135" s="562"/>
      <c r="SQV135" s="562"/>
      <c r="SQW135" s="562"/>
      <c r="SQX135" s="562"/>
      <c r="SQY135" s="562"/>
      <c r="SQZ135" s="562"/>
      <c r="SRA135" s="562"/>
      <c r="SRB135" s="562"/>
      <c r="SRC135" s="562"/>
      <c r="SRD135" s="562"/>
      <c r="SRE135" s="562"/>
      <c r="SRF135" s="562"/>
      <c r="SRG135" s="562"/>
      <c r="SRH135" s="562"/>
      <c r="SRI135" s="562"/>
      <c r="SRJ135" s="562"/>
      <c r="SRK135" s="562"/>
      <c r="SRL135" s="562"/>
      <c r="SRM135" s="562"/>
      <c r="SRN135" s="562"/>
      <c r="SRO135" s="562"/>
      <c r="SRP135" s="562"/>
      <c r="SRQ135" s="562"/>
      <c r="SRR135" s="562"/>
      <c r="SRS135" s="562"/>
      <c r="SRT135" s="562"/>
      <c r="SRU135" s="562"/>
      <c r="SRV135" s="562"/>
      <c r="SRW135" s="562"/>
      <c r="SRX135" s="562"/>
      <c r="SRY135" s="562"/>
      <c r="SRZ135" s="562"/>
      <c r="SSA135" s="562"/>
      <c r="SSB135" s="562"/>
      <c r="SSC135" s="562"/>
      <c r="SSD135" s="562"/>
      <c r="SSE135" s="562"/>
      <c r="SSF135" s="562"/>
      <c r="SSG135" s="562"/>
      <c r="SSH135" s="562"/>
      <c r="SSI135" s="562"/>
      <c r="SSJ135" s="562"/>
      <c r="SSK135" s="562"/>
      <c r="SSL135" s="562"/>
      <c r="SSM135" s="562"/>
      <c r="SSN135" s="562"/>
      <c r="SSO135" s="562"/>
      <c r="SSP135" s="562"/>
      <c r="SSQ135" s="562"/>
      <c r="SSR135" s="562"/>
      <c r="SSS135" s="562"/>
      <c r="SST135" s="562"/>
      <c r="SSU135" s="562"/>
      <c r="SSV135" s="562"/>
      <c r="SSW135" s="562"/>
      <c r="SSX135" s="562"/>
      <c r="SSY135" s="562"/>
      <c r="SSZ135" s="562"/>
      <c r="STA135" s="562"/>
      <c r="STB135" s="562"/>
      <c r="STC135" s="562"/>
      <c r="STD135" s="562"/>
      <c r="STE135" s="562"/>
      <c r="STF135" s="562"/>
      <c r="STG135" s="562"/>
      <c r="STH135" s="562"/>
      <c r="STI135" s="562"/>
      <c r="STJ135" s="562"/>
      <c r="STK135" s="562"/>
      <c r="STL135" s="562"/>
      <c r="STM135" s="562"/>
      <c r="STN135" s="562"/>
      <c r="STO135" s="562"/>
      <c r="STP135" s="562"/>
      <c r="STQ135" s="562"/>
      <c r="STR135" s="562"/>
      <c r="STS135" s="562"/>
      <c r="STT135" s="562"/>
      <c r="STU135" s="562"/>
      <c r="STV135" s="562"/>
      <c r="STW135" s="562"/>
      <c r="STX135" s="562"/>
      <c r="STY135" s="562"/>
      <c r="STZ135" s="562"/>
      <c r="SUA135" s="562"/>
      <c r="SUB135" s="562"/>
      <c r="SUC135" s="562"/>
      <c r="SUD135" s="562"/>
      <c r="SUE135" s="562"/>
      <c r="SUF135" s="562"/>
      <c r="SUG135" s="562"/>
      <c r="SUH135" s="562"/>
      <c r="SUI135" s="562"/>
      <c r="SUJ135" s="562"/>
      <c r="SUK135" s="562"/>
      <c r="SUL135" s="562"/>
      <c r="SUM135" s="562"/>
      <c r="SUN135" s="562"/>
      <c r="SUO135" s="562"/>
      <c r="SUP135" s="562"/>
      <c r="SUQ135" s="562"/>
      <c r="SUR135" s="562"/>
      <c r="SUS135" s="562"/>
      <c r="SUT135" s="562"/>
      <c r="SUU135" s="562"/>
      <c r="SUV135" s="562"/>
      <c r="SUW135" s="562"/>
      <c r="SUX135" s="562"/>
      <c r="SUY135" s="562"/>
      <c r="SUZ135" s="562"/>
      <c r="SVA135" s="562"/>
      <c r="SVB135" s="562"/>
      <c r="SVC135" s="562"/>
      <c r="SVD135" s="562"/>
      <c r="SVE135" s="562"/>
      <c r="SVF135" s="562"/>
      <c r="SVG135" s="562"/>
      <c r="SVH135" s="562"/>
      <c r="SVI135" s="562"/>
      <c r="SVJ135" s="562"/>
      <c r="SVK135" s="562"/>
      <c r="SVL135" s="562"/>
      <c r="SVM135" s="562"/>
      <c r="SVN135" s="562"/>
      <c r="SVO135" s="562"/>
      <c r="SVP135" s="562"/>
      <c r="SVQ135" s="562"/>
      <c r="SVR135" s="562"/>
      <c r="SVS135" s="562"/>
      <c r="SVT135" s="562"/>
      <c r="SVU135" s="562"/>
      <c r="SVV135" s="562"/>
      <c r="SVW135" s="562"/>
      <c r="SVX135" s="562"/>
      <c r="SVY135" s="562"/>
      <c r="SVZ135" s="562"/>
      <c r="SWA135" s="562"/>
      <c r="SWB135" s="562"/>
      <c r="SWC135" s="562"/>
      <c r="SWD135" s="562"/>
      <c r="SWE135" s="562"/>
      <c r="SWF135" s="562"/>
      <c r="SWG135" s="562"/>
      <c r="SWH135" s="562"/>
      <c r="SWI135" s="562"/>
      <c r="SWJ135" s="562"/>
      <c r="SWK135" s="562"/>
      <c r="SWL135" s="562"/>
      <c r="SWM135" s="562"/>
      <c r="SWN135" s="562"/>
      <c r="SWO135" s="562"/>
      <c r="SWP135" s="562"/>
      <c r="SWQ135" s="562"/>
      <c r="SWR135" s="562"/>
      <c r="SWS135" s="562"/>
      <c r="SWT135" s="562"/>
      <c r="SWU135" s="562"/>
      <c r="SWV135" s="562"/>
      <c r="SWW135" s="562"/>
      <c r="SWX135" s="562"/>
      <c r="SWY135" s="562"/>
      <c r="SWZ135" s="562"/>
      <c r="SXA135" s="562"/>
      <c r="SXB135" s="562"/>
      <c r="SXC135" s="562"/>
      <c r="SXD135" s="562"/>
      <c r="SXE135" s="562"/>
      <c r="SXF135" s="562"/>
      <c r="SXG135" s="562"/>
      <c r="SXH135" s="562"/>
      <c r="SXI135" s="562"/>
      <c r="SXJ135" s="562"/>
      <c r="SXK135" s="562"/>
      <c r="SXL135" s="562"/>
      <c r="SXM135" s="562"/>
      <c r="SXN135" s="562"/>
      <c r="SXO135" s="562"/>
      <c r="SXP135" s="562"/>
      <c r="SXQ135" s="562"/>
      <c r="SXR135" s="562"/>
      <c r="SXS135" s="562"/>
      <c r="SXT135" s="562"/>
      <c r="SXU135" s="562"/>
      <c r="SXV135" s="562"/>
      <c r="SXW135" s="562"/>
      <c r="SXX135" s="562"/>
      <c r="SXY135" s="562"/>
      <c r="SXZ135" s="562"/>
      <c r="SYA135" s="562"/>
      <c r="SYB135" s="562"/>
      <c r="SYC135" s="562"/>
      <c r="SYD135" s="562"/>
      <c r="SYE135" s="562"/>
      <c r="SYF135" s="562"/>
      <c r="SYG135" s="562"/>
      <c r="SYH135" s="562"/>
      <c r="SYI135" s="562"/>
      <c r="SYJ135" s="562"/>
      <c r="SYK135" s="562"/>
      <c r="SYL135" s="562"/>
      <c r="SYM135" s="562"/>
      <c r="SYN135" s="562"/>
      <c r="SYO135" s="562"/>
      <c r="SYP135" s="562"/>
      <c r="SYQ135" s="562"/>
      <c r="SYR135" s="562"/>
      <c r="SYS135" s="562"/>
      <c r="SYT135" s="562"/>
      <c r="SYU135" s="562"/>
      <c r="SYV135" s="562"/>
      <c r="SYW135" s="562"/>
      <c r="SYX135" s="562"/>
      <c r="SYY135" s="562"/>
      <c r="SYZ135" s="562"/>
      <c r="SZA135" s="562"/>
      <c r="SZB135" s="562"/>
      <c r="SZC135" s="562"/>
      <c r="SZD135" s="562"/>
      <c r="SZE135" s="562"/>
      <c r="SZF135" s="562"/>
      <c r="SZG135" s="562"/>
      <c r="SZH135" s="562"/>
      <c r="SZI135" s="562"/>
      <c r="SZJ135" s="562"/>
      <c r="SZK135" s="562"/>
      <c r="SZL135" s="562"/>
      <c r="SZM135" s="562"/>
      <c r="SZN135" s="562"/>
      <c r="SZO135" s="562"/>
      <c r="SZP135" s="562"/>
      <c r="SZQ135" s="562"/>
      <c r="SZR135" s="562"/>
      <c r="SZS135" s="562"/>
      <c r="SZT135" s="562"/>
      <c r="SZU135" s="562"/>
      <c r="SZV135" s="562"/>
      <c r="SZW135" s="562"/>
      <c r="SZX135" s="562"/>
      <c r="SZY135" s="562"/>
      <c r="SZZ135" s="562"/>
      <c r="TAA135" s="562"/>
      <c r="TAB135" s="562"/>
      <c r="TAC135" s="562"/>
      <c r="TAD135" s="562"/>
      <c r="TAE135" s="562"/>
      <c r="TAF135" s="562"/>
      <c r="TAG135" s="562"/>
      <c r="TAH135" s="562"/>
      <c r="TAI135" s="562"/>
      <c r="TAJ135" s="562"/>
      <c r="TAK135" s="562"/>
      <c r="TAL135" s="562"/>
      <c r="TAM135" s="562"/>
      <c r="TAN135" s="562"/>
      <c r="TAO135" s="562"/>
      <c r="TAP135" s="562"/>
      <c r="TAQ135" s="562"/>
      <c r="TAR135" s="562"/>
      <c r="TAS135" s="562"/>
      <c r="TAT135" s="562"/>
      <c r="TAU135" s="562"/>
      <c r="TAV135" s="562"/>
      <c r="TAW135" s="562"/>
      <c r="TAX135" s="562"/>
      <c r="TAY135" s="562"/>
      <c r="TAZ135" s="562"/>
      <c r="TBA135" s="562"/>
      <c r="TBB135" s="562"/>
      <c r="TBC135" s="562"/>
      <c r="TBD135" s="562"/>
      <c r="TBE135" s="562"/>
      <c r="TBF135" s="562"/>
      <c r="TBG135" s="562"/>
      <c r="TBH135" s="562"/>
      <c r="TBI135" s="562"/>
      <c r="TBJ135" s="562"/>
      <c r="TBK135" s="562"/>
      <c r="TBL135" s="562"/>
      <c r="TBM135" s="562"/>
      <c r="TBN135" s="562"/>
      <c r="TBO135" s="562"/>
      <c r="TBP135" s="562"/>
      <c r="TBQ135" s="562"/>
      <c r="TBR135" s="562"/>
      <c r="TBS135" s="562"/>
      <c r="TBT135" s="562"/>
      <c r="TBU135" s="562"/>
      <c r="TBV135" s="562"/>
      <c r="TBW135" s="562"/>
      <c r="TBX135" s="562"/>
      <c r="TBY135" s="562"/>
      <c r="TBZ135" s="562"/>
      <c r="TCA135" s="562"/>
      <c r="TCB135" s="562"/>
      <c r="TCC135" s="562"/>
      <c r="TCD135" s="562"/>
      <c r="TCE135" s="562"/>
      <c r="TCF135" s="562"/>
      <c r="TCG135" s="562"/>
      <c r="TCH135" s="562"/>
      <c r="TCI135" s="562"/>
      <c r="TCJ135" s="562"/>
      <c r="TCK135" s="562"/>
      <c r="TCL135" s="562"/>
      <c r="TCM135" s="562"/>
      <c r="TCN135" s="562"/>
      <c r="TCO135" s="562"/>
      <c r="TCP135" s="562"/>
      <c r="TCQ135" s="562"/>
      <c r="TCR135" s="562"/>
      <c r="TCS135" s="562"/>
      <c r="TCT135" s="562"/>
      <c r="TCU135" s="562"/>
      <c r="TCV135" s="562"/>
      <c r="TCW135" s="562"/>
      <c r="TCX135" s="562"/>
      <c r="TCY135" s="562"/>
      <c r="TCZ135" s="562"/>
      <c r="TDA135" s="562"/>
      <c r="TDB135" s="562"/>
      <c r="TDC135" s="562"/>
      <c r="TDD135" s="562"/>
      <c r="TDE135" s="562"/>
      <c r="TDF135" s="562"/>
      <c r="TDG135" s="562"/>
      <c r="TDH135" s="562"/>
      <c r="TDI135" s="562"/>
      <c r="TDJ135" s="562"/>
      <c r="TDK135" s="562"/>
      <c r="TDL135" s="562"/>
      <c r="TDM135" s="562"/>
      <c r="TDN135" s="562"/>
      <c r="TDO135" s="562"/>
      <c r="TDP135" s="562"/>
      <c r="TDQ135" s="562"/>
      <c r="TDR135" s="562"/>
      <c r="TDS135" s="562"/>
      <c r="TDT135" s="562"/>
      <c r="TDU135" s="562"/>
      <c r="TDV135" s="562"/>
      <c r="TDW135" s="562"/>
      <c r="TDX135" s="562"/>
      <c r="TDY135" s="562"/>
      <c r="TDZ135" s="562"/>
      <c r="TEA135" s="562"/>
      <c r="TEB135" s="562"/>
      <c r="TEC135" s="562"/>
      <c r="TED135" s="562"/>
      <c r="TEE135" s="562"/>
      <c r="TEF135" s="562"/>
      <c r="TEG135" s="562"/>
      <c r="TEH135" s="562"/>
      <c r="TEI135" s="562"/>
      <c r="TEJ135" s="562"/>
      <c r="TEK135" s="562"/>
      <c r="TEL135" s="562"/>
      <c r="TEM135" s="562"/>
      <c r="TEN135" s="562"/>
      <c r="TEO135" s="562"/>
      <c r="TEP135" s="562"/>
      <c r="TEQ135" s="562"/>
      <c r="TER135" s="562"/>
      <c r="TES135" s="562"/>
      <c r="TET135" s="562"/>
      <c r="TEU135" s="562"/>
      <c r="TEV135" s="562"/>
      <c r="TEW135" s="562"/>
      <c r="TEX135" s="562"/>
      <c r="TEY135" s="562"/>
      <c r="TEZ135" s="562"/>
      <c r="TFA135" s="562"/>
      <c r="TFB135" s="562"/>
      <c r="TFC135" s="562"/>
      <c r="TFD135" s="562"/>
      <c r="TFE135" s="562"/>
      <c r="TFF135" s="562"/>
      <c r="TFG135" s="562"/>
      <c r="TFH135" s="562"/>
      <c r="TFI135" s="562"/>
      <c r="TFJ135" s="562"/>
      <c r="TFK135" s="562"/>
      <c r="TFL135" s="562"/>
      <c r="TFM135" s="562"/>
      <c r="TFN135" s="562"/>
      <c r="TFO135" s="562"/>
      <c r="TFP135" s="562"/>
      <c r="TFQ135" s="562"/>
      <c r="TFR135" s="562"/>
      <c r="TFS135" s="562"/>
      <c r="TFT135" s="562"/>
      <c r="TFU135" s="562"/>
      <c r="TFV135" s="562"/>
      <c r="TFW135" s="562"/>
      <c r="TFX135" s="562"/>
      <c r="TFY135" s="562"/>
      <c r="TFZ135" s="562"/>
      <c r="TGA135" s="562"/>
      <c r="TGB135" s="562"/>
      <c r="TGC135" s="562"/>
      <c r="TGD135" s="562"/>
      <c r="TGE135" s="562"/>
      <c r="TGF135" s="562"/>
      <c r="TGG135" s="562"/>
      <c r="TGH135" s="562"/>
      <c r="TGI135" s="562"/>
      <c r="TGJ135" s="562"/>
      <c r="TGK135" s="562"/>
      <c r="TGL135" s="562"/>
      <c r="TGM135" s="562"/>
      <c r="TGN135" s="562"/>
      <c r="TGO135" s="562"/>
      <c r="TGP135" s="562"/>
      <c r="TGQ135" s="562"/>
      <c r="TGR135" s="562"/>
      <c r="TGS135" s="562"/>
      <c r="TGT135" s="562"/>
      <c r="TGU135" s="562"/>
      <c r="TGV135" s="562"/>
      <c r="TGW135" s="562"/>
      <c r="TGX135" s="562"/>
      <c r="TGY135" s="562"/>
      <c r="TGZ135" s="562"/>
      <c r="THA135" s="562"/>
      <c r="THB135" s="562"/>
      <c r="THC135" s="562"/>
      <c r="THD135" s="562"/>
      <c r="THE135" s="562"/>
      <c r="THF135" s="562"/>
      <c r="THG135" s="562"/>
      <c r="THH135" s="562"/>
      <c r="THI135" s="562"/>
      <c r="THJ135" s="562"/>
      <c r="THK135" s="562"/>
      <c r="THL135" s="562"/>
      <c r="THM135" s="562"/>
      <c r="THN135" s="562"/>
      <c r="THO135" s="562"/>
      <c r="THP135" s="562"/>
      <c r="THQ135" s="562"/>
      <c r="THR135" s="562"/>
      <c r="THS135" s="562"/>
      <c r="THT135" s="562"/>
      <c r="THU135" s="562"/>
      <c r="THV135" s="562"/>
      <c r="THW135" s="562"/>
      <c r="THX135" s="562"/>
      <c r="THY135" s="562"/>
      <c r="THZ135" s="562"/>
      <c r="TIA135" s="562"/>
      <c r="TIB135" s="562"/>
      <c r="TIC135" s="562"/>
      <c r="TID135" s="562"/>
      <c r="TIE135" s="562"/>
      <c r="TIF135" s="562"/>
      <c r="TIG135" s="562"/>
      <c r="TIH135" s="562"/>
      <c r="TII135" s="562"/>
      <c r="TIJ135" s="562"/>
      <c r="TIK135" s="562"/>
      <c r="TIL135" s="562"/>
      <c r="TIM135" s="562"/>
      <c r="TIN135" s="562"/>
      <c r="TIO135" s="562"/>
      <c r="TIP135" s="562"/>
      <c r="TIQ135" s="562"/>
      <c r="TIR135" s="562"/>
      <c r="TIS135" s="562"/>
      <c r="TIT135" s="562"/>
      <c r="TIU135" s="562"/>
      <c r="TIV135" s="562"/>
      <c r="TIW135" s="562"/>
      <c r="TIX135" s="562"/>
      <c r="TIY135" s="562"/>
      <c r="TIZ135" s="562"/>
      <c r="TJA135" s="562"/>
      <c r="TJB135" s="562"/>
      <c r="TJC135" s="562"/>
      <c r="TJD135" s="562"/>
      <c r="TJE135" s="562"/>
      <c r="TJF135" s="562"/>
      <c r="TJG135" s="562"/>
      <c r="TJH135" s="562"/>
      <c r="TJI135" s="562"/>
      <c r="TJJ135" s="562"/>
      <c r="TJK135" s="562"/>
      <c r="TJL135" s="562"/>
      <c r="TJM135" s="562"/>
      <c r="TJN135" s="562"/>
      <c r="TJO135" s="562"/>
      <c r="TJP135" s="562"/>
      <c r="TJQ135" s="562"/>
      <c r="TJR135" s="562"/>
      <c r="TJS135" s="562"/>
      <c r="TJT135" s="562"/>
      <c r="TJU135" s="562"/>
      <c r="TJV135" s="562"/>
      <c r="TJW135" s="562"/>
      <c r="TJX135" s="562"/>
      <c r="TJY135" s="562"/>
      <c r="TJZ135" s="562"/>
      <c r="TKA135" s="562"/>
      <c r="TKB135" s="562"/>
      <c r="TKC135" s="562"/>
      <c r="TKD135" s="562"/>
      <c r="TKE135" s="562"/>
      <c r="TKF135" s="562"/>
      <c r="TKG135" s="562"/>
      <c r="TKH135" s="562"/>
      <c r="TKI135" s="562"/>
      <c r="TKJ135" s="562"/>
      <c r="TKK135" s="562"/>
      <c r="TKL135" s="562"/>
      <c r="TKM135" s="562"/>
      <c r="TKN135" s="562"/>
      <c r="TKO135" s="562"/>
      <c r="TKP135" s="562"/>
      <c r="TKQ135" s="562"/>
      <c r="TKR135" s="562"/>
      <c r="TKS135" s="562"/>
      <c r="TKT135" s="562"/>
      <c r="TKU135" s="562"/>
      <c r="TKV135" s="562"/>
      <c r="TKW135" s="562"/>
      <c r="TKX135" s="562"/>
      <c r="TKY135" s="562"/>
      <c r="TKZ135" s="562"/>
      <c r="TLA135" s="562"/>
      <c r="TLB135" s="562"/>
      <c r="TLC135" s="562"/>
      <c r="TLD135" s="562"/>
      <c r="TLE135" s="562"/>
      <c r="TLF135" s="562"/>
      <c r="TLG135" s="562"/>
      <c r="TLH135" s="562"/>
      <c r="TLI135" s="562"/>
      <c r="TLJ135" s="562"/>
      <c r="TLK135" s="562"/>
      <c r="TLL135" s="562"/>
      <c r="TLM135" s="562"/>
      <c r="TLN135" s="562"/>
      <c r="TLO135" s="562"/>
      <c r="TLP135" s="562"/>
      <c r="TLQ135" s="562"/>
      <c r="TLR135" s="562"/>
      <c r="TLS135" s="562"/>
      <c r="TLT135" s="562"/>
      <c r="TLU135" s="562"/>
      <c r="TLV135" s="562"/>
      <c r="TLW135" s="562"/>
      <c r="TLX135" s="562"/>
      <c r="TLY135" s="562"/>
      <c r="TLZ135" s="562"/>
      <c r="TMA135" s="562"/>
      <c r="TMB135" s="562"/>
      <c r="TMC135" s="562"/>
      <c r="TMD135" s="562"/>
      <c r="TME135" s="562"/>
      <c r="TMF135" s="562"/>
      <c r="TMG135" s="562"/>
      <c r="TMH135" s="562"/>
      <c r="TMI135" s="562"/>
      <c r="TMJ135" s="562"/>
      <c r="TMK135" s="562"/>
      <c r="TML135" s="562"/>
      <c r="TMM135" s="562"/>
      <c r="TMN135" s="562"/>
      <c r="TMO135" s="562"/>
      <c r="TMP135" s="562"/>
      <c r="TMQ135" s="562"/>
      <c r="TMR135" s="562"/>
      <c r="TMS135" s="562"/>
      <c r="TMT135" s="562"/>
      <c r="TMU135" s="562"/>
      <c r="TMV135" s="562"/>
      <c r="TMW135" s="562"/>
      <c r="TMX135" s="562"/>
      <c r="TMY135" s="562"/>
      <c r="TMZ135" s="562"/>
      <c r="TNA135" s="562"/>
      <c r="TNB135" s="562"/>
      <c r="TNC135" s="562"/>
      <c r="TND135" s="562"/>
      <c r="TNE135" s="562"/>
      <c r="TNF135" s="562"/>
      <c r="TNG135" s="562"/>
      <c r="TNH135" s="562"/>
      <c r="TNI135" s="562"/>
      <c r="TNJ135" s="562"/>
      <c r="TNK135" s="562"/>
      <c r="TNL135" s="562"/>
      <c r="TNM135" s="562"/>
      <c r="TNN135" s="562"/>
      <c r="TNO135" s="562"/>
      <c r="TNP135" s="562"/>
      <c r="TNQ135" s="562"/>
      <c r="TNR135" s="562"/>
      <c r="TNS135" s="562"/>
      <c r="TNT135" s="562"/>
      <c r="TNU135" s="562"/>
      <c r="TNV135" s="562"/>
      <c r="TNW135" s="562"/>
      <c r="TNX135" s="562"/>
      <c r="TNY135" s="562"/>
      <c r="TNZ135" s="562"/>
      <c r="TOA135" s="562"/>
      <c r="TOB135" s="562"/>
      <c r="TOC135" s="562"/>
      <c r="TOD135" s="562"/>
      <c r="TOE135" s="562"/>
      <c r="TOF135" s="562"/>
      <c r="TOG135" s="562"/>
      <c r="TOH135" s="562"/>
      <c r="TOI135" s="562"/>
      <c r="TOJ135" s="562"/>
      <c r="TOK135" s="562"/>
      <c r="TOL135" s="562"/>
      <c r="TOM135" s="562"/>
      <c r="TON135" s="562"/>
      <c r="TOO135" s="562"/>
      <c r="TOP135" s="562"/>
      <c r="TOQ135" s="562"/>
      <c r="TOR135" s="562"/>
      <c r="TOS135" s="562"/>
      <c r="TOT135" s="562"/>
      <c r="TOU135" s="562"/>
      <c r="TOV135" s="562"/>
      <c r="TOW135" s="562"/>
      <c r="TOX135" s="562"/>
      <c r="TOY135" s="562"/>
      <c r="TOZ135" s="562"/>
      <c r="TPA135" s="562"/>
      <c r="TPB135" s="562"/>
      <c r="TPC135" s="562"/>
      <c r="TPD135" s="562"/>
      <c r="TPE135" s="562"/>
      <c r="TPF135" s="562"/>
      <c r="TPG135" s="562"/>
      <c r="TPH135" s="562"/>
      <c r="TPI135" s="562"/>
      <c r="TPJ135" s="562"/>
      <c r="TPK135" s="562"/>
      <c r="TPL135" s="562"/>
      <c r="TPM135" s="562"/>
      <c r="TPN135" s="562"/>
      <c r="TPO135" s="562"/>
      <c r="TPP135" s="562"/>
      <c r="TPQ135" s="562"/>
      <c r="TPR135" s="562"/>
      <c r="TPS135" s="562"/>
      <c r="TPT135" s="562"/>
      <c r="TPU135" s="562"/>
      <c r="TPV135" s="562"/>
      <c r="TPW135" s="562"/>
      <c r="TPX135" s="562"/>
      <c r="TPY135" s="562"/>
      <c r="TPZ135" s="562"/>
      <c r="TQA135" s="562"/>
      <c r="TQB135" s="562"/>
      <c r="TQC135" s="562"/>
      <c r="TQD135" s="562"/>
      <c r="TQE135" s="562"/>
      <c r="TQF135" s="562"/>
      <c r="TQG135" s="562"/>
      <c r="TQH135" s="562"/>
      <c r="TQI135" s="562"/>
      <c r="TQJ135" s="562"/>
      <c r="TQK135" s="562"/>
      <c r="TQL135" s="562"/>
      <c r="TQM135" s="562"/>
      <c r="TQN135" s="562"/>
      <c r="TQO135" s="562"/>
      <c r="TQP135" s="562"/>
      <c r="TQQ135" s="562"/>
      <c r="TQR135" s="562"/>
      <c r="TQS135" s="562"/>
      <c r="TQT135" s="562"/>
      <c r="TQU135" s="562"/>
      <c r="TQV135" s="562"/>
      <c r="TQW135" s="562"/>
      <c r="TQX135" s="562"/>
      <c r="TQY135" s="562"/>
      <c r="TQZ135" s="562"/>
      <c r="TRA135" s="562"/>
      <c r="TRB135" s="562"/>
      <c r="TRC135" s="562"/>
      <c r="TRD135" s="562"/>
      <c r="TRE135" s="562"/>
      <c r="TRF135" s="562"/>
      <c r="TRG135" s="562"/>
      <c r="TRH135" s="562"/>
      <c r="TRI135" s="562"/>
      <c r="TRJ135" s="562"/>
      <c r="TRK135" s="562"/>
      <c r="TRL135" s="562"/>
      <c r="TRM135" s="562"/>
      <c r="TRN135" s="562"/>
      <c r="TRO135" s="562"/>
      <c r="TRP135" s="562"/>
      <c r="TRQ135" s="562"/>
      <c r="TRR135" s="562"/>
      <c r="TRS135" s="562"/>
      <c r="TRT135" s="562"/>
      <c r="TRU135" s="562"/>
      <c r="TRV135" s="562"/>
      <c r="TRW135" s="562"/>
      <c r="TRX135" s="562"/>
      <c r="TRY135" s="562"/>
      <c r="TRZ135" s="562"/>
      <c r="TSA135" s="562"/>
      <c r="TSB135" s="562"/>
      <c r="TSC135" s="562"/>
      <c r="TSD135" s="562"/>
      <c r="TSE135" s="562"/>
      <c r="TSF135" s="562"/>
      <c r="TSG135" s="562"/>
      <c r="TSH135" s="562"/>
      <c r="TSI135" s="562"/>
      <c r="TSJ135" s="562"/>
      <c r="TSK135" s="562"/>
      <c r="TSL135" s="562"/>
      <c r="TSM135" s="562"/>
      <c r="TSN135" s="562"/>
      <c r="TSO135" s="562"/>
      <c r="TSP135" s="562"/>
      <c r="TSQ135" s="562"/>
      <c r="TSR135" s="562"/>
      <c r="TSS135" s="562"/>
      <c r="TST135" s="562"/>
      <c r="TSU135" s="562"/>
      <c r="TSV135" s="562"/>
      <c r="TSW135" s="562"/>
      <c r="TSX135" s="562"/>
      <c r="TSY135" s="562"/>
      <c r="TSZ135" s="562"/>
      <c r="TTA135" s="562"/>
      <c r="TTB135" s="562"/>
      <c r="TTC135" s="562"/>
      <c r="TTD135" s="562"/>
      <c r="TTE135" s="562"/>
      <c r="TTF135" s="562"/>
      <c r="TTG135" s="562"/>
      <c r="TTH135" s="562"/>
      <c r="TTI135" s="562"/>
      <c r="TTJ135" s="562"/>
      <c r="TTK135" s="562"/>
      <c r="TTL135" s="562"/>
      <c r="TTM135" s="562"/>
      <c r="TTN135" s="562"/>
      <c r="TTO135" s="562"/>
      <c r="TTP135" s="562"/>
      <c r="TTQ135" s="562"/>
      <c r="TTR135" s="562"/>
      <c r="TTS135" s="562"/>
      <c r="TTT135" s="562"/>
      <c r="TTU135" s="562"/>
      <c r="TTV135" s="562"/>
      <c r="TTW135" s="562"/>
      <c r="TTX135" s="562"/>
      <c r="TTY135" s="562"/>
      <c r="TTZ135" s="562"/>
      <c r="TUA135" s="562"/>
      <c r="TUB135" s="562"/>
      <c r="TUC135" s="562"/>
      <c r="TUD135" s="562"/>
      <c r="TUE135" s="562"/>
      <c r="TUF135" s="562"/>
      <c r="TUG135" s="562"/>
      <c r="TUH135" s="562"/>
      <c r="TUI135" s="562"/>
      <c r="TUJ135" s="562"/>
      <c r="TUK135" s="562"/>
      <c r="TUL135" s="562"/>
      <c r="TUM135" s="562"/>
      <c r="TUN135" s="562"/>
      <c r="TUO135" s="562"/>
      <c r="TUP135" s="562"/>
      <c r="TUQ135" s="562"/>
      <c r="TUR135" s="562"/>
      <c r="TUS135" s="562"/>
      <c r="TUT135" s="562"/>
      <c r="TUU135" s="562"/>
      <c r="TUV135" s="562"/>
      <c r="TUW135" s="562"/>
      <c r="TUX135" s="562"/>
      <c r="TUY135" s="562"/>
      <c r="TUZ135" s="562"/>
      <c r="TVA135" s="562"/>
      <c r="TVB135" s="562"/>
      <c r="TVC135" s="562"/>
      <c r="TVD135" s="562"/>
      <c r="TVE135" s="562"/>
      <c r="TVF135" s="562"/>
      <c r="TVG135" s="562"/>
      <c r="TVH135" s="562"/>
      <c r="TVI135" s="562"/>
      <c r="TVJ135" s="562"/>
      <c r="TVK135" s="562"/>
      <c r="TVL135" s="562"/>
      <c r="TVM135" s="562"/>
      <c r="TVN135" s="562"/>
      <c r="TVO135" s="562"/>
      <c r="TVP135" s="562"/>
      <c r="TVQ135" s="562"/>
      <c r="TVR135" s="562"/>
      <c r="TVS135" s="562"/>
      <c r="TVT135" s="562"/>
      <c r="TVU135" s="562"/>
      <c r="TVV135" s="562"/>
      <c r="TVW135" s="562"/>
      <c r="TVX135" s="562"/>
      <c r="TVY135" s="562"/>
      <c r="TVZ135" s="562"/>
      <c r="TWA135" s="562"/>
      <c r="TWB135" s="562"/>
      <c r="TWC135" s="562"/>
      <c r="TWD135" s="562"/>
      <c r="TWE135" s="562"/>
      <c r="TWF135" s="562"/>
      <c r="TWG135" s="562"/>
      <c r="TWH135" s="562"/>
      <c r="TWI135" s="562"/>
      <c r="TWJ135" s="562"/>
      <c r="TWK135" s="562"/>
      <c r="TWL135" s="562"/>
      <c r="TWM135" s="562"/>
      <c r="TWN135" s="562"/>
      <c r="TWO135" s="562"/>
      <c r="TWP135" s="562"/>
      <c r="TWQ135" s="562"/>
      <c r="TWR135" s="562"/>
      <c r="TWS135" s="562"/>
      <c r="TWT135" s="562"/>
      <c r="TWU135" s="562"/>
      <c r="TWV135" s="562"/>
      <c r="TWW135" s="562"/>
      <c r="TWX135" s="562"/>
      <c r="TWY135" s="562"/>
      <c r="TWZ135" s="562"/>
      <c r="TXA135" s="562"/>
      <c r="TXB135" s="562"/>
      <c r="TXC135" s="562"/>
      <c r="TXD135" s="562"/>
      <c r="TXE135" s="562"/>
      <c r="TXF135" s="562"/>
      <c r="TXG135" s="562"/>
      <c r="TXH135" s="562"/>
      <c r="TXI135" s="562"/>
      <c r="TXJ135" s="562"/>
      <c r="TXK135" s="562"/>
      <c r="TXL135" s="562"/>
      <c r="TXM135" s="562"/>
      <c r="TXN135" s="562"/>
      <c r="TXO135" s="562"/>
      <c r="TXP135" s="562"/>
      <c r="TXQ135" s="562"/>
      <c r="TXR135" s="562"/>
      <c r="TXS135" s="562"/>
      <c r="TXT135" s="562"/>
      <c r="TXU135" s="562"/>
      <c r="TXV135" s="562"/>
      <c r="TXW135" s="562"/>
      <c r="TXX135" s="562"/>
      <c r="TXY135" s="562"/>
      <c r="TXZ135" s="562"/>
      <c r="TYA135" s="562"/>
      <c r="TYB135" s="562"/>
      <c r="TYC135" s="562"/>
      <c r="TYD135" s="562"/>
      <c r="TYE135" s="562"/>
      <c r="TYF135" s="562"/>
      <c r="TYG135" s="562"/>
      <c r="TYH135" s="562"/>
      <c r="TYI135" s="562"/>
      <c r="TYJ135" s="562"/>
      <c r="TYK135" s="562"/>
      <c r="TYL135" s="562"/>
      <c r="TYM135" s="562"/>
      <c r="TYN135" s="562"/>
      <c r="TYO135" s="562"/>
      <c r="TYP135" s="562"/>
      <c r="TYQ135" s="562"/>
      <c r="TYR135" s="562"/>
      <c r="TYS135" s="562"/>
      <c r="TYT135" s="562"/>
      <c r="TYU135" s="562"/>
      <c r="TYV135" s="562"/>
      <c r="TYW135" s="562"/>
      <c r="TYX135" s="562"/>
      <c r="TYY135" s="562"/>
      <c r="TYZ135" s="562"/>
      <c r="TZA135" s="562"/>
      <c r="TZB135" s="562"/>
      <c r="TZC135" s="562"/>
      <c r="TZD135" s="562"/>
      <c r="TZE135" s="562"/>
      <c r="TZF135" s="562"/>
      <c r="TZG135" s="562"/>
      <c r="TZH135" s="562"/>
      <c r="TZI135" s="562"/>
      <c r="TZJ135" s="562"/>
      <c r="TZK135" s="562"/>
      <c r="TZL135" s="562"/>
      <c r="TZM135" s="562"/>
      <c r="TZN135" s="562"/>
      <c r="TZO135" s="562"/>
      <c r="TZP135" s="562"/>
      <c r="TZQ135" s="562"/>
      <c r="TZR135" s="562"/>
      <c r="TZS135" s="562"/>
      <c r="TZT135" s="562"/>
      <c r="TZU135" s="562"/>
      <c r="TZV135" s="562"/>
      <c r="TZW135" s="562"/>
      <c r="TZX135" s="562"/>
      <c r="TZY135" s="562"/>
      <c r="TZZ135" s="562"/>
      <c r="UAA135" s="562"/>
      <c r="UAB135" s="562"/>
      <c r="UAC135" s="562"/>
      <c r="UAD135" s="562"/>
      <c r="UAE135" s="562"/>
      <c r="UAF135" s="562"/>
      <c r="UAG135" s="562"/>
      <c r="UAH135" s="562"/>
      <c r="UAI135" s="562"/>
      <c r="UAJ135" s="562"/>
      <c r="UAK135" s="562"/>
      <c r="UAL135" s="562"/>
      <c r="UAM135" s="562"/>
      <c r="UAN135" s="562"/>
      <c r="UAO135" s="562"/>
      <c r="UAP135" s="562"/>
      <c r="UAQ135" s="562"/>
      <c r="UAR135" s="562"/>
      <c r="UAS135" s="562"/>
      <c r="UAT135" s="562"/>
      <c r="UAU135" s="562"/>
      <c r="UAV135" s="562"/>
      <c r="UAW135" s="562"/>
      <c r="UAX135" s="562"/>
      <c r="UAY135" s="562"/>
      <c r="UAZ135" s="562"/>
      <c r="UBA135" s="562"/>
      <c r="UBB135" s="562"/>
      <c r="UBC135" s="562"/>
      <c r="UBD135" s="562"/>
      <c r="UBE135" s="562"/>
      <c r="UBF135" s="562"/>
      <c r="UBG135" s="562"/>
      <c r="UBH135" s="562"/>
      <c r="UBI135" s="562"/>
      <c r="UBJ135" s="562"/>
      <c r="UBK135" s="562"/>
      <c r="UBL135" s="562"/>
      <c r="UBM135" s="562"/>
      <c r="UBN135" s="562"/>
      <c r="UBO135" s="562"/>
      <c r="UBP135" s="562"/>
      <c r="UBQ135" s="562"/>
      <c r="UBR135" s="562"/>
      <c r="UBS135" s="562"/>
      <c r="UBT135" s="562"/>
      <c r="UBU135" s="562"/>
      <c r="UBV135" s="562"/>
      <c r="UBW135" s="562"/>
      <c r="UBX135" s="562"/>
      <c r="UBY135" s="562"/>
      <c r="UBZ135" s="562"/>
      <c r="UCA135" s="562"/>
      <c r="UCB135" s="562"/>
      <c r="UCC135" s="562"/>
      <c r="UCD135" s="562"/>
      <c r="UCE135" s="562"/>
      <c r="UCF135" s="562"/>
      <c r="UCG135" s="562"/>
      <c r="UCH135" s="562"/>
      <c r="UCI135" s="562"/>
      <c r="UCJ135" s="562"/>
      <c r="UCK135" s="562"/>
      <c r="UCL135" s="562"/>
      <c r="UCM135" s="562"/>
      <c r="UCN135" s="562"/>
      <c r="UCO135" s="562"/>
      <c r="UCP135" s="562"/>
      <c r="UCQ135" s="562"/>
      <c r="UCR135" s="562"/>
      <c r="UCS135" s="562"/>
      <c r="UCT135" s="562"/>
      <c r="UCU135" s="562"/>
      <c r="UCV135" s="562"/>
      <c r="UCW135" s="562"/>
      <c r="UCX135" s="562"/>
      <c r="UCY135" s="562"/>
      <c r="UCZ135" s="562"/>
      <c r="UDA135" s="562"/>
      <c r="UDB135" s="562"/>
      <c r="UDC135" s="562"/>
      <c r="UDD135" s="562"/>
      <c r="UDE135" s="562"/>
      <c r="UDF135" s="562"/>
      <c r="UDG135" s="562"/>
      <c r="UDH135" s="562"/>
      <c r="UDI135" s="562"/>
      <c r="UDJ135" s="562"/>
      <c r="UDK135" s="562"/>
      <c r="UDL135" s="562"/>
      <c r="UDM135" s="562"/>
      <c r="UDN135" s="562"/>
      <c r="UDO135" s="562"/>
      <c r="UDP135" s="562"/>
      <c r="UDQ135" s="562"/>
      <c r="UDR135" s="562"/>
      <c r="UDS135" s="562"/>
      <c r="UDT135" s="562"/>
      <c r="UDU135" s="562"/>
      <c r="UDV135" s="562"/>
      <c r="UDW135" s="562"/>
      <c r="UDX135" s="562"/>
      <c r="UDY135" s="562"/>
      <c r="UDZ135" s="562"/>
      <c r="UEA135" s="562"/>
      <c r="UEB135" s="562"/>
      <c r="UEC135" s="562"/>
      <c r="UED135" s="562"/>
      <c r="UEE135" s="562"/>
      <c r="UEF135" s="562"/>
      <c r="UEG135" s="562"/>
      <c r="UEH135" s="562"/>
      <c r="UEI135" s="562"/>
      <c r="UEJ135" s="562"/>
      <c r="UEK135" s="562"/>
      <c r="UEL135" s="562"/>
      <c r="UEM135" s="562"/>
      <c r="UEN135" s="562"/>
      <c r="UEO135" s="562"/>
      <c r="UEP135" s="562"/>
      <c r="UEQ135" s="562"/>
      <c r="UER135" s="562"/>
      <c r="UES135" s="562"/>
      <c r="UET135" s="562"/>
      <c r="UEU135" s="562"/>
      <c r="UEV135" s="562"/>
      <c r="UEW135" s="562"/>
      <c r="UEX135" s="562"/>
      <c r="UEY135" s="562"/>
      <c r="UEZ135" s="562"/>
      <c r="UFA135" s="562"/>
      <c r="UFB135" s="562"/>
      <c r="UFC135" s="562"/>
      <c r="UFD135" s="562"/>
      <c r="UFE135" s="562"/>
      <c r="UFF135" s="562"/>
      <c r="UFG135" s="562"/>
      <c r="UFH135" s="562"/>
      <c r="UFI135" s="562"/>
      <c r="UFJ135" s="562"/>
      <c r="UFK135" s="562"/>
      <c r="UFL135" s="562"/>
      <c r="UFM135" s="562"/>
      <c r="UFN135" s="562"/>
      <c r="UFO135" s="562"/>
      <c r="UFP135" s="562"/>
      <c r="UFQ135" s="562"/>
      <c r="UFR135" s="562"/>
      <c r="UFS135" s="562"/>
      <c r="UFT135" s="562"/>
      <c r="UFU135" s="562"/>
      <c r="UFV135" s="562"/>
      <c r="UFW135" s="562"/>
      <c r="UFX135" s="562"/>
      <c r="UFY135" s="562"/>
      <c r="UFZ135" s="562"/>
      <c r="UGA135" s="562"/>
      <c r="UGB135" s="562"/>
      <c r="UGC135" s="562"/>
      <c r="UGD135" s="562"/>
      <c r="UGE135" s="562"/>
      <c r="UGF135" s="562"/>
      <c r="UGG135" s="562"/>
      <c r="UGH135" s="562"/>
      <c r="UGI135" s="562"/>
      <c r="UGJ135" s="562"/>
      <c r="UGK135" s="562"/>
      <c r="UGL135" s="562"/>
      <c r="UGM135" s="562"/>
      <c r="UGN135" s="562"/>
      <c r="UGO135" s="562"/>
      <c r="UGP135" s="562"/>
      <c r="UGQ135" s="562"/>
      <c r="UGR135" s="562"/>
      <c r="UGS135" s="562"/>
      <c r="UGT135" s="562"/>
      <c r="UGU135" s="562"/>
      <c r="UGV135" s="562"/>
      <c r="UGW135" s="562"/>
      <c r="UGX135" s="562"/>
      <c r="UGY135" s="562"/>
      <c r="UGZ135" s="562"/>
      <c r="UHA135" s="562"/>
      <c r="UHB135" s="562"/>
      <c r="UHC135" s="562"/>
      <c r="UHD135" s="562"/>
      <c r="UHE135" s="562"/>
      <c r="UHF135" s="562"/>
      <c r="UHG135" s="562"/>
      <c r="UHH135" s="562"/>
      <c r="UHI135" s="562"/>
      <c r="UHJ135" s="562"/>
      <c r="UHK135" s="562"/>
      <c r="UHL135" s="562"/>
      <c r="UHM135" s="562"/>
      <c r="UHN135" s="562"/>
      <c r="UHO135" s="562"/>
      <c r="UHP135" s="562"/>
      <c r="UHQ135" s="562"/>
      <c r="UHR135" s="562"/>
      <c r="UHS135" s="562"/>
      <c r="UHT135" s="562"/>
      <c r="UHU135" s="562"/>
      <c r="UHV135" s="562"/>
      <c r="UHW135" s="562"/>
      <c r="UHX135" s="562"/>
      <c r="UHY135" s="562"/>
      <c r="UHZ135" s="562"/>
      <c r="UIA135" s="562"/>
      <c r="UIB135" s="562"/>
      <c r="UIC135" s="562"/>
      <c r="UID135" s="562"/>
      <c r="UIE135" s="562"/>
      <c r="UIF135" s="562"/>
      <c r="UIG135" s="562"/>
      <c r="UIH135" s="562"/>
      <c r="UII135" s="562"/>
      <c r="UIJ135" s="562"/>
      <c r="UIK135" s="562"/>
      <c r="UIL135" s="562"/>
      <c r="UIM135" s="562"/>
      <c r="UIN135" s="562"/>
      <c r="UIO135" s="562"/>
      <c r="UIP135" s="562"/>
      <c r="UIQ135" s="562"/>
      <c r="UIR135" s="562"/>
      <c r="UIS135" s="562"/>
      <c r="UIT135" s="562"/>
      <c r="UIU135" s="562"/>
      <c r="UIV135" s="562"/>
      <c r="UIW135" s="562"/>
      <c r="UIX135" s="562"/>
      <c r="UIY135" s="562"/>
      <c r="UIZ135" s="562"/>
      <c r="UJA135" s="562"/>
      <c r="UJB135" s="562"/>
      <c r="UJC135" s="562"/>
      <c r="UJD135" s="562"/>
      <c r="UJE135" s="562"/>
      <c r="UJF135" s="562"/>
      <c r="UJG135" s="562"/>
      <c r="UJH135" s="562"/>
      <c r="UJI135" s="562"/>
      <c r="UJJ135" s="562"/>
      <c r="UJK135" s="562"/>
      <c r="UJL135" s="562"/>
      <c r="UJM135" s="562"/>
      <c r="UJN135" s="562"/>
      <c r="UJO135" s="562"/>
      <c r="UJP135" s="562"/>
      <c r="UJQ135" s="562"/>
      <c r="UJR135" s="562"/>
      <c r="UJS135" s="562"/>
      <c r="UJT135" s="562"/>
      <c r="UJU135" s="562"/>
      <c r="UJV135" s="562"/>
      <c r="UJW135" s="562"/>
      <c r="UJX135" s="562"/>
      <c r="UJY135" s="562"/>
      <c r="UJZ135" s="562"/>
      <c r="UKA135" s="562"/>
      <c r="UKB135" s="562"/>
      <c r="UKC135" s="562"/>
      <c r="UKD135" s="562"/>
      <c r="UKE135" s="562"/>
      <c r="UKF135" s="562"/>
      <c r="UKG135" s="562"/>
      <c r="UKH135" s="562"/>
      <c r="UKI135" s="562"/>
      <c r="UKJ135" s="562"/>
      <c r="UKK135" s="562"/>
      <c r="UKL135" s="562"/>
      <c r="UKM135" s="562"/>
      <c r="UKN135" s="562"/>
      <c r="UKO135" s="562"/>
      <c r="UKP135" s="562"/>
      <c r="UKQ135" s="562"/>
      <c r="UKR135" s="562"/>
      <c r="UKS135" s="562"/>
      <c r="UKT135" s="562"/>
      <c r="UKU135" s="562"/>
      <c r="UKV135" s="562"/>
      <c r="UKW135" s="562"/>
      <c r="UKX135" s="562"/>
      <c r="UKY135" s="562"/>
      <c r="UKZ135" s="562"/>
      <c r="ULA135" s="562"/>
      <c r="ULB135" s="562"/>
      <c r="ULC135" s="562"/>
      <c r="ULD135" s="562"/>
      <c r="ULE135" s="562"/>
      <c r="ULF135" s="562"/>
      <c r="ULG135" s="562"/>
      <c r="ULH135" s="562"/>
      <c r="ULI135" s="562"/>
      <c r="ULJ135" s="562"/>
      <c r="ULK135" s="562"/>
      <c r="ULL135" s="562"/>
      <c r="ULM135" s="562"/>
      <c r="ULN135" s="562"/>
      <c r="ULO135" s="562"/>
      <c r="ULP135" s="562"/>
      <c r="ULQ135" s="562"/>
      <c r="ULR135" s="562"/>
      <c r="ULS135" s="562"/>
      <c r="ULT135" s="562"/>
      <c r="ULU135" s="562"/>
      <c r="ULV135" s="562"/>
      <c r="ULW135" s="562"/>
      <c r="ULX135" s="562"/>
      <c r="ULY135" s="562"/>
      <c r="ULZ135" s="562"/>
      <c r="UMA135" s="562"/>
      <c r="UMB135" s="562"/>
      <c r="UMC135" s="562"/>
      <c r="UMD135" s="562"/>
      <c r="UME135" s="562"/>
      <c r="UMF135" s="562"/>
      <c r="UMG135" s="562"/>
      <c r="UMH135" s="562"/>
      <c r="UMI135" s="562"/>
      <c r="UMJ135" s="562"/>
      <c r="UMK135" s="562"/>
      <c r="UML135" s="562"/>
      <c r="UMM135" s="562"/>
      <c r="UMN135" s="562"/>
      <c r="UMO135" s="562"/>
      <c r="UMP135" s="562"/>
      <c r="UMQ135" s="562"/>
      <c r="UMR135" s="562"/>
      <c r="UMS135" s="562"/>
      <c r="UMT135" s="562"/>
      <c r="UMU135" s="562"/>
      <c r="UMV135" s="562"/>
      <c r="UMW135" s="562"/>
      <c r="UMX135" s="562"/>
      <c r="UMY135" s="562"/>
      <c r="UMZ135" s="562"/>
      <c r="UNA135" s="562"/>
      <c r="UNB135" s="562"/>
      <c r="UNC135" s="562"/>
      <c r="UND135" s="562"/>
      <c r="UNE135" s="562"/>
      <c r="UNF135" s="562"/>
      <c r="UNG135" s="562"/>
      <c r="UNH135" s="562"/>
      <c r="UNI135" s="562"/>
      <c r="UNJ135" s="562"/>
      <c r="UNK135" s="562"/>
      <c r="UNL135" s="562"/>
      <c r="UNM135" s="562"/>
      <c r="UNN135" s="562"/>
      <c r="UNO135" s="562"/>
      <c r="UNP135" s="562"/>
      <c r="UNQ135" s="562"/>
      <c r="UNR135" s="562"/>
      <c r="UNS135" s="562"/>
      <c r="UNT135" s="562"/>
      <c r="UNU135" s="562"/>
      <c r="UNV135" s="562"/>
      <c r="UNW135" s="562"/>
      <c r="UNX135" s="562"/>
      <c r="UNY135" s="562"/>
      <c r="UNZ135" s="562"/>
      <c r="UOA135" s="562"/>
      <c r="UOB135" s="562"/>
      <c r="UOC135" s="562"/>
      <c r="UOD135" s="562"/>
      <c r="UOE135" s="562"/>
      <c r="UOF135" s="562"/>
      <c r="UOG135" s="562"/>
      <c r="UOH135" s="562"/>
      <c r="UOI135" s="562"/>
      <c r="UOJ135" s="562"/>
      <c r="UOK135" s="562"/>
      <c r="UOL135" s="562"/>
      <c r="UOM135" s="562"/>
      <c r="UON135" s="562"/>
      <c r="UOO135" s="562"/>
      <c r="UOP135" s="562"/>
      <c r="UOQ135" s="562"/>
      <c r="UOR135" s="562"/>
      <c r="UOS135" s="562"/>
      <c r="UOT135" s="562"/>
      <c r="UOU135" s="562"/>
      <c r="UOV135" s="562"/>
      <c r="UOW135" s="562"/>
      <c r="UOX135" s="562"/>
      <c r="UOY135" s="562"/>
      <c r="UOZ135" s="562"/>
      <c r="UPA135" s="562"/>
      <c r="UPB135" s="562"/>
      <c r="UPC135" s="562"/>
      <c r="UPD135" s="562"/>
      <c r="UPE135" s="562"/>
      <c r="UPF135" s="562"/>
      <c r="UPG135" s="562"/>
      <c r="UPH135" s="562"/>
      <c r="UPI135" s="562"/>
      <c r="UPJ135" s="562"/>
      <c r="UPK135" s="562"/>
      <c r="UPL135" s="562"/>
      <c r="UPM135" s="562"/>
      <c r="UPN135" s="562"/>
      <c r="UPO135" s="562"/>
      <c r="UPP135" s="562"/>
      <c r="UPQ135" s="562"/>
      <c r="UPR135" s="562"/>
      <c r="UPS135" s="562"/>
      <c r="UPT135" s="562"/>
      <c r="UPU135" s="562"/>
      <c r="UPV135" s="562"/>
      <c r="UPW135" s="562"/>
      <c r="UPX135" s="562"/>
      <c r="UPY135" s="562"/>
      <c r="UPZ135" s="562"/>
      <c r="UQA135" s="562"/>
      <c r="UQB135" s="562"/>
      <c r="UQC135" s="562"/>
      <c r="UQD135" s="562"/>
      <c r="UQE135" s="562"/>
      <c r="UQF135" s="562"/>
      <c r="UQG135" s="562"/>
      <c r="UQH135" s="562"/>
      <c r="UQI135" s="562"/>
      <c r="UQJ135" s="562"/>
      <c r="UQK135" s="562"/>
      <c r="UQL135" s="562"/>
      <c r="UQM135" s="562"/>
      <c r="UQN135" s="562"/>
      <c r="UQO135" s="562"/>
      <c r="UQP135" s="562"/>
      <c r="UQQ135" s="562"/>
      <c r="UQR135" s="562"/>
      <c r="UQS135" s="562"/>
      <c r="UQT135" s="562"/>
      <c r="UQU135" s="562"/>
      <c r="UQV135" s="562"/>
      <c r="UQW135" s="562"/>
      <c r="UQX135" s="562"/>
      <c r="UQY135" s="562"/>
      <c r="UQZ135" s="562"/>
      <c r="URA135" s="562"/>
      <c r="URB135" s="562"/>
      <c r="URC135" s="562"/>
      <c r="URD135" s="562"/>
      <c r="URE135" s="562"/>
      <c r="URF135" s="562"/>
      <c r="URG135" s="562"/>
      <c r="URH135" s="562"/>
      <c r="URI135" s="562"/>
      <c r="URJ135" s="562"/>
      <c r="URK135" s="562"/>
      <c r="URL135" s="562"/>
      <c r="URM135" s="562"/>
      <c r="URN135" s="562"/>
      <c r="URO135" s="562"/>
      <c r="URP135" s="562"/>
      <c r="URQ135" s="562"/>
      <c r="URR135" s="562"/>
      <c r="URS135" s="562"/>
      <c r="URT135" s="562"/>
      <c r="URU135" s="562"/>
      <c r="URV135" s="562"/>
      <c r="URW135" s="562"/>
      <c r="URX135" s="562"/>
      <c r="URY135" s="562"/>
      <c r="URZ135" s="562"/>
      <c r="USA135" s="562"/>
      <c r="USB135" s="562"/>
      <c r="USC135" s="562"/>
      <c r="USD135" s="562"/>
      <c r="USE135" s="562"/>
      <c r="USF135" s="562"/>
      <c r="USG135" s="562"/>
      <c r="USH135" s="562"/>
      <c r="USI135" s="562"/>
      <c r="USJ135" s="562"/>
      <c r="USK135" s="562"/>
      <c r="USL135" s="562"/>
      <c r="USM135" s="562"/>
      <c r="USN135" s="562"/>
      <c r="USO135" s="562"/>
      <c r="USP135" s="562"/>
      <c r="USQ135" s="562"/>
      <c r="USR135" s="562"/>
      <c r="USS135" s="562"/>
      <c r="UST135" s="562"/>
      <c r="USU135" s="562"/>
      <c r="USV135" s="562"/>
      <c r="USW135" s="562"/>
      <c r="USX135" s="562"/>
      <c r="USY135" s="562"/>
      <c r="USZ135" s="562"/>
      <c r="UTA135" s="562"/>
      <c r="UTB135" s="562"/>
      <c r="UTC135" s="562"/>
      <c r="UTD135" s="562"/>
      <c r="UTE135" s="562"/>
      <c r="UTF135" s="562"/>
      <c r="UTG135" s="562"/>
      <c r="UTH135" s="562"/>
      <c r="UTI135" s="562"/>
      <c r="UTJ135" s="562"/>
      <c r="UTK135" s="562"/>
      <c r="UTL135" s="562"/>
      <c r="UTM135" s="562"/>
      <c r="UTN135" s="562"/>
      <c r="UTO135" s="562"/>
      <c r="UTP135" s="562"/>
      <c r="UTQ135" s="562"/>
      <c r="UTR135" s="562"/>
      <c r="UTS135" s="562"/>
      <c r="UTT135" s="562"/>
      <c r="UTU135" s="562"/>
      <c r="UTV135" s="562"/>
      <c r="UTW135" s="562"/>
      <c r="UTX135" s="562"/>
      <c r="UTY135" s="562"/>
      <c r="UTZ135" s="562"/>
      <c r="UUA135" s="562"/>
      <c r="UUB135" s="562"/>
      <c r="UUC135" s="562"/>
      <c r="UUD135" s="562"/>
      <c r="UUE135" s="562"/>
      <c r="UUF135" s="562"/>
      <c r="UUG135" s="562"/>
      <c r="UUH135" s="562"/>
      <c r="UUI135" s="562"/>
      <c r="UUJ135" s="562"/>
      <c r="UUK135" s="562"/>
      <c r="UUL135" s="562"/>
      <c r="UUM135" s="562"/>
      <c r="UUN135" s="562"/>
      <c r="UUO135" s="562"/>
      <c r="UUP135" s="562"/>
      <c r="UUQ135" s="562"/>
      <c r="UUR135" s="562"/>
      <c r="UUS135" s="562"/>
      <c r="UUT135" s="562"/>
      <c r="UUU135" s="562"/>
      <c r="UUV135" s="562"/>
      <c r="UUW135" s="562"/>
      <c r="UUX135" s="562"/>
      <c r="UUY135" s="562"/>
      <c r="UUZ135" s="562"/>
      <c r="UVA135" s="562"/>
      <c r="UVB135" s="562"/>
      <c r="UVC135" s="562"/>
      <c r="UVD135" s="562"/>
      <c r="UVE135" s="562"/>
      <c r="UVF135" s="562"/>
      <c r="UVG135" s="562"/>
      <c r="UVH135" s="562"/>
      <c r="UVI135" s="562"/>
      <c r="UVJ135" s="562"/>
      <c r="UVK135" s="562"/>
      <c r="UVL135" s="562"/>
      <c r="UVM135" s="562"/>
      <c r="UVN135" s="562"/>
      <c r="UVO135" s="562"/>
      <c r="UVP135" s="562"/>
      <c r="UVQ135" s="562"/>
      <c r="UVR135" s="562"/>
      <c r="UVS135" s="562"/>
      <c r="UVT135" s="562"/>
      <c r="UVU135" s="562"/>
      <c r="UVV135" s="562"/>
      <c r="UVW135" s="562"/>
      <c r="UVX135" s="562"/>
      <c r="UVY135" s="562"/>
      <c r="UVZ135" s="562"/>
      <c r="UWA135" s="562"/>
      <c r="UWB135" s="562"/>
      <c r="UWC135" s="562"/>
      <c r="UWD135" s="562"/>
      <c r="UWE135" s="562"/>
      <c r="UWF135" s="562"/>
      <c r="UWG135" s="562"/>
      <c r="UWH135" s="562"/>
      <c r="UWI135" s="562"/>
      <c r="UWJ135" s="562"/>
      <c r="UWK135" s="562"/>
      <c r="UWL135" s="562"/>
      <c r="UWM135" s="562"/>
      <c r="UWN135" s="562"/>
      <c r="UWO135" s="562"/>
      <c r="UWP135" s="562"/>
      <c r="UWQ135" s="562"/>
      <c r="UWR135" s="562"/>
      <c r="UWS135" s="562"/>
      <c r="UWT135" s="562"/>
      <c r="UWU135" s="562"/>
      <c r="UWV135" s="562"/>
      <c r="UWW135" s="562"/>
      <c r="UWX135" s="562"/>
      <c r="UWY135" s="562"/>
      <c r="UWZ135" s="562"/>
      <c r="UXA135" s="562"/>
      <c r="UXB135" s="562"/>
      <c r="UXC135" s="562"/>
      <c r="UXD135" s="562"/>
      <c r="UXE135" s="562"/>
      <c r="UXF135" s="562"/>
      <c r="UXG135" s="562"/>
      <c r="UXH135" s="562"/>
      <c r="UXI135" s="562"/>
      <c r="UXJ135" s="562"/>
      <c r="UXK135" s="562"/>
      <c r="UXL135" s="562"/>
      <c r="UXM135" s="562"/>
      <c r="UXN135" s="562"/>
      <c r="UXO135" s="562"/>
      <c r="UXP135" s="562"/>
      <c r="UXQ135" s="562"/>
      <c r="UXR135" s="562"/>
      <c r="UXS135" s="562"/>
      <c r="UXT135" s="562"/>
      <c r="UXU135" s="562"/>
      <c r="UXV135" s="562"/>
      <c r="UXW135" s="562"/>
      <c r="UXX135" s="562"/>
      <c r="UXY135" s="562"/>
      <c r="UXZ135" s="562"/>
      <c r="UYA135" s="562"/>
      <c r="UYB135" s="562"/>
      <c r="UYC135" s="562"/>
      <c r="UYD135" s="562"/>
      <c r="UYE135" s="562"/>
      <c r="UYF135" s="562"/>
      <c r="UYG135" s="562"/>
      <c r="UYH135" s="562"/>
      <c r="UYI135" s="562"/>
      <c r="UYJ135" s="562"/>
      <c r="UYK135" s="562"/>
      <c r="UYL135" s="562"/>
      <c r="UYM135" s="562"/>
      <c r="UYN135" s="562"/>
      <c r="UYO135" s="562"/>
      <c r="UYP135" s="562"/>
      <c r="UYQ135" s="562"/>
      <c r="UYR135" s="562"/>
      <c r="UYS135" s="562"/>
      <c r="UYT135" s="562"/>
      <c r="UYU135" s="562"/>
      <c r="UYV135" s="562"/>
      <c r="UYW135" s="562"/>
      <c r="UYX135" s="562"/>
      <c r="UYY135" s="562"/>
      <c r="UYZ135" s="562"/>
      <c r="UZA135" s="562"/>
      <c r="UZB135" s="562"/>
      <c r="UZC135" s="562"/>
      <c r="UZD135" s="562"/>
      <c r="UZE135" s="562"/>
      <c r="UZF135" s="562"/>
      <c r="UZG135" s="562"/>
      <c r="UZH135" s="562"/>
      <c r="UZI135" s="562"/>
      <c r="UZJ135" s="562"/>
      <c r="UZK135" s="562"/>
      <c r="UZL135" s="562"/>
      <c r="UZM135" s="562"/>
      <c r="UZN135" s="562"/>
      <c r="UZO135" s="562"/>
      <c r="UZP135" s="562"/>
      <c r="UZQ135" s="562"/>
      <c r="UZR135" s="562"/>
      <c r="UZS135" s="562"/>
      <c r="UZT135" s="562"/>
      <c r="UZU135" s="562"/>
      <c r="UZV135" s="562"/>
      <c r="UZW135" s="562"/>
      <c r="UZX135" s="562"/>
      <c r="UZY135" s="562"/>
      <c r="UZZ135" s="562"/>
      <c r="VAA135" s="562"/>
      <c r="VAB135" s="562"/>
      <c r="VAC135" s="562"/>
      <c r="VAD135" s="562"/>
      <c r="VAE135" s="562"/>
      <c r="VAF135" s="562"/>
      <c r="VAG135" s="562"/>
      <c r="VAH135" s="562"/>
      <c r="VAI135" s="562"/>
      <c r="VAJ135" s="562"/>
      <c r="VAK135" s="562"/>
      <c r="VAL135" s="562"/>
      <c r="VAM135" s="562"/>
      <c r="VAN135" s="562"/>
      <c r="VAO135" s="562"/>
      <c r="VAP135" s="562"/>
      <c r="VAQ135" s="562"/>
      <c r="VAR135" s="562"/>
      <c r="VAS135" s="562"/>
      <c r="VAT135" s="562"/>
      <c r="VAU135" s="562"/>
      <c r="VAV135" s="562"/>
      <c r="VAW135" s="562"/>
      <c r="VAX135" s="562"/>
      <c r="VAY135" s="562"/>
      <c r="VAZ135" s="562"/>
      <c r="VBA135" s="562"/>
      <c r="VBB135" s="562"/>
      <c r="VBC135" s="562"/>
      <c r="VBD135" s="562"/>
      <c r="VBE135" s="562"/>
      <c r="VBF135" s="562"/>
      <c r="VBG135" s="562"/>
      <c r="VBH135" s="562"/>
      <c r="VBI135" s="562"/>
      <c r="VBJ135" s="562"/>
      <c r="VBK135" s="562"/>
      <c r="VBL135" s="562"/>
      <c r="VBM135" s="562"/>
      <c r="VBN135" s="562"/>
      <c r="VBO135" s="562"/>
      <c r="VBP135" s="562"/>
      <c r="VBQ135" s="562"/>
      <c r="VBR135" s="562"/>
      <c r="VBS135" s="562"/>
      <c r="VBT135" s="562"/>
      <c r="VBU135" s="562"/>
      <c r="VBV135" s="562"/>
      <c r="VBW135" s="562"/>
      <c r="VBX135" s="562"/>
      <c r="VBY135" s="562"/>
      <c r="VBZ135" s="562"/>
      <c r="VCA135" s="562"/>
      <c r="VCB135" s="562"/>
      <c r="VCC135" s="562"/>
      <c r="VCD135" s="562"/>
      <c r="VCE135" s="562"/>
      <c r="VCF135" s="562"/>
      <c r="VCG135" s="562"/>
      <c r="VCH135" s="562"/>
      <c r="VCI135" s="562"/>
      <c r="VCJ135" s="562"/>
      <c r="VCK135" s="562"/>
      <c r="VCL135" s="562"/>
      <c r="VCM135" s="562"/>
      <c r="VCN135" s="562"/>
      <c r="VCO135" s="562"/>
      <c r="VCP135" s="562"/>
      <c r="VCQ135" s="562"/>
      <c r="VCR135" s="562"/>
      <c r="VCS135" s="562"/>
      <c r="VCT135" s="562"/>
      <c r="VCU135" s="562"/>
      <c r="VCV135" s="562"/>
      <c r="VCW135" s="562"/>
      <c r="VCX135" s="562"/>
      <c r="VCY135" s="562"/>
      <c r="VCZ135" s="562"/>
      <c r="VDA135" s="562"/>
      <c r="VDB135" s="562"/>
      <c r="VDC135" s="562"/>
      <c r="VDD135" s="562"/>
      <c r="VDE135" s="562"/>
      <c r="VDF135" s="562"/>
      <c r="VDG135" s="562"/>
      <c r="VDH135" s="562"/>
      <c r="VDI135" s="562"/>
      <c r="VDJ135" s="562"/>
      <c r="VDK135" s="562"/>
      <c r="VDL135" s="562"/>
      <c r="VDM135" s="562"/>
      <c r="VDN135" s="562"/>
      <c r="VDO135" s="562"/>
      <c r="VDP135" s="562"/>
      <c r="VDQ135" s="562"/>
      <c r="VDR135" s="562"/>
      <c r="VDS135" s="562"/>
      <c r="VDT135" s="562"/>
      <c r="VDU135" s="562"/>
      <c r="VDV135" s="562"/>
      <c r="VDW135" s="562"/>
      <c r="VDX135" s="562"/>
      <c r="VDY135" s="562"/>
      <c r="VDZ135" s="562"/>
      <c r="VEA135" s="562"/>
      <c r="VEB135" s="562"/>
      <c r="VEC135" s="562"/>
      <c r="VED135" s="562"/>
      <c r="VEE135" s="562"/>
      <c r="VEF135" s="562"/>
      <c r="VEG135" s="562"/>
      <c r="VEH135" s="562"/>
      <c r="VEI135" s="562"/>
      <c r="VEJ135" s="562"/>
      <c r="VEK135" s="562"/>
      <c r="VEL135" s="562"/>
      <c r="VEM135" s="562"/>
      <c r="VEN135" s="562"/>
      <c r="VEO135" s="562"/>
      <c r="VEP135" s="562"/>
      <c r="VEQ135" s="562"/>
      <c r="VER135" s="562"/>
      <c r="VES135" s="562"/>
      <c r="VET135" s="562"/>
      <c r="VEU135" s="562"/>
      <c r="VEV135" s="562"/>
      <c r="VEW135" s="562"/>
      <c r="VEX135" s="562"/>
      <c r="VEY135" s="562"/>
      <c r="VEZ135" s="562"/>
      <c r="VFA135" s="562"/>
      <c r="VFB135" s="562"/>
      <c r="VFC135" s="562"/>
      <c r="VFD135" s="562"/>
      <c r="VFE135" s="562"/>
      <c r="VFF135" s="562"/>
      <c r="VFG135" s="562"/>
      <c r="VFH135" s="562"/>
      <c r="VFI135" s="562"/>
      <c r="VFJ135" s="562"/>
      <c r="VFK135" s="562"/>
      <c r="VFL135" s="562"/>
      <c r="VFM135" s="562"/>
      <c r="VFN135" s="562"/>
      <c r="VFO135" s="562"/>
      <c r="VFP135" s="562"/>
      <c r="VFQ135" s="562"/>
      <c r="VFR135" s="562"/>
      <c r="VFS135" s="562"/>
      <c r="VFT135" s="562"/>
      <c r="VFU135" s="562"/>
      <c r="VFV135" s="562"/>
      <c r="VFW135" s="562"/>
      <c r="VFX135" s="562"/>
      <c r="VFY135" s="562"/>
      <c r="VFZ135" s="562"/>
      <c r="VGA135" s="562"/>
      <c r="VGB135" s="562"/>
      <c r="VGC135" s="562"/>
      <c r="VGD135" s="562"/>
      <c r="VGE135" s="562"/>
      <c r="VGF135" s="562"/>
      <c r="VGG135" s="562"/>
      <c r="VGH135" s="562"/>
      <c r="VGI135" s="562"/>
      <c r="VGJ135" s="562"/>
      <c r="VGK135" s="562"/>
      <c r="VGL135" s="562"/>
      <c r="VGM135" s="562"/>
      <c r="VGN135" s="562"/>
      <c r="VGO135" s="562"/>
      <c r="VGP135" s="562"/>
      <c r="VGQ135" s="562"/>
      <c r="VGR135" s="562"/>
      <c r="VGS135" s="562"/>
      <c r="VGT135" s="562"/>
      <c r="VGU135" s="562"/>
      <c r="VGV135" s="562"/>
      <c r="VGW135" s="562"/>
      <c r="VGX135" s="562"/>
      <c r="VGY135" s="562"/>
      <c r="VGZ135" s="562"/>
      <c r="VHA135" s="562"/>
      <c r="VHB135" s="562"/>
      <c r="VHC135" s="562"/>
      <c r="VHD135" s="562"/>
      <c r="VHE135" s="562"/>
      <c r="VHF135" s="562"/>
      <c r="VHG135" s="562"/>
      <c r="VHH135" s="562"/>
      <c r="VHI135" s="562"/>
      <c r="VHJ135" s="562"/>
      <c r="VHK135" s="562"/>
      <c r="VHL135" s="562"/>
      <c r="VHM135" s="562"/>
      <c r="VHN135" s="562"/>
      <c r="VHO135" s="562"/>
      <c r="VHP135" s="562"/>
      <c r="VHQ135" s="562"/>
      <c r="VHR135" s="562"/>
      <c r="VHS135" s="562"/>
      <c r="VHT135" s="562"/>
      <c r="VHU135" s="562"/>
      <c r="VHV135" s="562"/>
      <c r="VHW135" s="562"/>
      <c r="VHX135" s="562"/>
      <c r="VHY135" s="562"/>
      <c r="VHZ135" s="562"/>
      <c r="VIA135" s="562"/>
      <c r="VIB135" s="562"/>
      <c r="VIC135" s="562"/>
      <c r="VID135" s="562"/>
      <c r="VIE135" s="562"/>
      <c r="VIF135" s="562"/>
      <c r="VIG135" s="562"/>
      <c r="VIH135" s="562"/>
      <c r="VII135" s="562"/>
      <c r="VIJ135" s="562"/>
      <c r="VIK135" s="562"/>
      <c r="VIL135" s="562"/>
      <c r="VIM135" s="562"/>
      <c r="VIN135" s="562"/>
      <c r="VIO135" s="562"/>
      <c r="VIP135" s="562"/>
      <c r="VIQ135" s="562"/>
      <c r="VIR135" s="562"/>
      <c r="VIS135" s="562"/>
      <c r="VIT135" s="562"/>
      <c r="VIU135" s="562"/>
      <c r="VIV135" s="562"/>
      <c r="VIW135" s="562"/>
      <c r="VIX135" s="562"/>
      <c r="VIY135" s="562"/>
      <c r="VIZ135" s="562"/>
      <c r="VJA135" s="562"/>
      <c r="VJB135" s="562"/>
      <c r="VJC135" s="562"/>
      <c r="VJD135" s="562"/>
      <c r="VJE135" s="562"/>
      <c r="VJF135" s="562"/>
      <c r="VJG135" s="562"/>
      <c r="VJH135" s="562"/>
      <c r="VJI135" s="562"/>
      <c r="VJJ135" s="562"/>
      <c r="VJK135" s="562"/>
      <c r="VJL135" s="562"/>
      <c r="VJM135" s="562"/>
      <c r="VJN135" s="562"/>
      <c r="VJO135" s="562"/>
      <c r="VJP135" s="562"/>
      <c r="VJQ135" s="562"/>
      <c r="VJR135" s="562"/>
      <c r="VJS135" s="562"/>
      <c r="VJT135" s="562"/>
      <c r="VJU135" s="562"/>
      <c r="VJV135" s="562"/>
      <c r="VJW135" s="562"/>
      <c r="VJX135" s="562"/>
      <c r="VJY135" s="562"/>
      <c r="VJZ135" s="562"/>
      <c r="VKA135" s="562"/>
      <c r="VKB135" s="562"/>
      <c r="VKC135" s="562"/>
      <c r="VKD135" s="562"/>
      <c r="VKE135" s="562"/>
      <c r="VKF135" s="562"/>
      <c r="VKG135" s="562"/>
      <c r="VKH135" s="562"/>
      <c r="VKI135" s="562"/>
      <c r="VKJ135" s="562"/>
      <c r="VKK135" s="562"/>
      <c r="VKL135" s="562"/>
      <c r="VKM135" s="562"/>
      <c r="VKN135" s="562"/>
      <c r="VKO135" s="562"/>
      <c r="VKP135" s="562"/>
      <c r="VKQ135" s="562"/>
      <c r="VKR135" s="562"/>
      <c r="VKS135" s="562"/>
      <c r="VKT135" s="562"/>
      <c r="VKU135" s="562"/>
      <c r="VKV135" s="562"/>
      <c r="VKW135" s="562"/>
      <c r="VKX135" s="562"/>
      <c r="VKY135" s="562"/>
      <c r="VKZ135" s="562"/>
      <c r="VLA135" s="562"/>
      <c r="VLB135" s="562"/>
      <c r="VLC135" s="562"/>
      <c r="VLD135" s="562"/>
      <c r="VLE135" s="562"/>
      <c r="VLF135" s="562"/>
      <c r="VLG135" s="562"/>
      <c r="VLH135" s="562"/>
      <c r="VLI135" s="562"/>
      <c r="VLJ135" s="562"/>
      <c r="VLK135" s="562"/>
      <c r="VLL135" s="562"/>
      <c r="VLM135" s="562"/>
      <c r="VLN135" s="562"/>
      <c r="VLO135" s="562"/>
      <c r="VLP135" s="562"/>
      <c r="VLQ135" s="562"/>
      <c r="VLR135" s="562"/>
      <c r="VLS135" s="562"/>
      <c r="VLT135" s="562"/>
      <c r="VLU135" s="562"/>
      <c r="VLV135" s="562"/>
      <c r="VLW135" s="562"/>
      <c r="VLX135" s="562"/>
      <c r="VLY135" s="562"/>
      <c r="VLZ135" s="562"/>
      <c r="VMA135" s="562"/>
      <c r="VMB135" s="562"/>
      <c r="VMC135" s="562"/>
      <c r="VMD135" s="562"/>
      <c r="VME135" s="562"/>
      <c r="VMF135" s="562"/>
      <c r="VMG135" s="562"/>
      <c r="VMH135" s="562"/>
      <c r="VMI135" s="562"/>
      <c r="VMJ135" s="562"/>
      <c r="VMK135" s="562"/>
      <c r="VML135" s="562"/>
      <c r="VMM135" s="562"/>
      <c r="VMN135" s="562"/>
      <c r="VMO135" s="562"/>
      <c r="VMP135" s="562"/>
      <c r="VMQ135" s="562"/>
      <c r="VMR135" s="562"/>
      <c r="VMS135" s="562"/>
      <c r="VMT135" s="562"/>
      <c r="VMU135" s="562"/>
      <c r="VMV135" s="562"/>
      <c r="VMW135" s="562"/>
      <c r="VMX135" s="562"/>
      <c r="VMY135" s="562"/>
      <c r="VMZ135" s="562"/>
      <c r="VNA135" s="562"/>
      <c r="VNB135" s="562"/>
      <c r="VNC135" s="562"/>
      <c r="VND135" s="562"/>
      <c r="VNE135" s="562"/>
      <c r="VNF135" s="562"/>
      <c r="VNG135" s="562"/>
      <c r="VNH135" s="562"/>
      <c r="VNI135" s="562"/>
      <c r="VNJ135" s="562"/>
      <c r="VNK135" s="562"/>
      <c r="VNL135" s="562"/>
      <c r="VNM135" s="562"/>
      <c r="VNN135" s="562"/>
      <c r="VNO135" s="562"/>
      <c r="VNP135" s="562"/>
      <c r="VNQ135" s="562"/>
      <c r="VNR135" s="562"/>
      <c r="VNS135" s="562"/>
      <c r="VNT135" s="562"/>
      <c r="VNU135" s="562"/>
      <c r="VNV135" s="562"/>
      <c r="VNW135" s="562"/>
      <c r="VNX135" s="562"/>
      <c r="VNY135" s="562"/>
      <c r="VNZ135" s="562"/>
      <c r="VOA135" s="562"/>
      <c r="VOB135" s="562"/>
      <c r="VOC135" s="562"/>
      <c r="VOD135" s="562"/>
      <c r="VOE135" s="562"/>
      <c r="VOF135" s="562"/>
      <c r="VOG135" s="562"/>
      <c r="VOH135" s="562"/>
      <c r="VOI135" s="562"/>
      <c r="VOJ135" s="562"/>
      <c r="VOK135" s="562"/>
      <c r="VOL135" s="562"/>
      <c r="VOM135" s="562"/>
      <c r="VON135" s="562"/>
      <c r="VOO135" s="562"/>
      <c r="VOP135" s="562"/>
      <c r="VOQ135" s="562"/>
      <c r="VOR135" s="562"/>
      <c r="VOS135" s="562"/>
      <c r="VOT135" s="562"/>
      <c r="VOU135" s="562"/>
      <c r="VOV135" s="562"/>
      <c r="VOW135" s="562"/>
      <c r="VOX135" s="562"/>
      <c r="VOY135" s="562"/>
      <c r="VOZ135" s="562"/>
      <c r="VPA135" s="562"/>
      <c r="VPB135" s="562"/>
      <c r="VPC135" s="562"/>
      <c r="VPD135" s="562"/>
      <c r="VPE135" s="562"/>
      <c r="VPF135" s="562"/>
      <c r="VPG135" s="562"/>
      <c r="VPH135" s="562"/>
      <c r="VPI135" s="562"/>
      <c r="VPJ135" s="562"/>
      <c r="VPK135" s="562"/>
      <c r="VPL135" s="562"/>
      <c r="VPM135" s="562"/>
      <c r="VPN135" s="562"/>
      <c r="VPO135" s="562"/>
      <c r="VPP135" s="562"/>
      <c r="VPQ135" s="562"/>
      <c r="VPR135" s="562"/>
      <c r="VPS135" s="562"/>
      <c r="VPT135" s="562"/>
      <c r="VPU135" s="562"/>
      <c r="VPV135" s="562"/>
      <c r="VPW135" s="562"/>
      <c r="VPX135" s="562"/>
      <c r="VPY135" s="562"/>
      <c r="VPZ135" s="562"/>
      <c r="VQA135" s="562"/>
      <c r="VQB135" s="562"/>
      <c r="VQC135" s="562"/>
      <c r="VQD135" s="562"/>
      <c r="VQE135" s="562"/>
      <c r="VQF135" s="562"/>
      <c r="VQG135" s="562"/>
      <c r="VQH135" s="562"/>
      <c r="VQI135" s="562"/>
      <c r="VQJ135" s="562"/>
      <c r="VQK135" s="562"/>
      <c r="VQL135" s="562"/>
      <c r="VQM135" s="562"/>
      <c r="VQN135" s="562"/>
      <c r="VQO135" s="562"/>
      <c r="VQP135" s="562"/>
      <c r="VQQ135" s="562"/>
      <c r="VQR135" s="562"/>
      <c r="VQS135" s="562"/>
      <c r="VQT135" s="562"/>
      <c r="VQU135" s="562"/>
      <c r="VQV135" s="562"/>
      <c r="VQW135" s="562"/>
      <c r="VQX135" s="562"/>
      <c r="VQY135" s="562"/>
      <c r="VQZ135" s="562"/>
      <c r="VRA135" s="562"/>
      <c r="VRB135" s="562"/>
      <c r="VRC135" s="562"/>
      <c r="VRD135" s="562"/>
      <c r="VRE135" s="562"/>
      <c r="VRF135" s="562"/>
      <c r="VRG135" s="562"/>
      <c r="VRH135" s="562"/>
      <c r="VRI135" s="562"/>
      <c r="VRJ135" s="562"/>
      <c r="VRK135" s="562"/>
      <c r="VRL135" s="562"/>
      <c r="VRM135" s="562"/>
      <c r="VRN135" s="562"/>
      <c r="VRO135" s="562"/>
      <c r="VRP135" s="562"/>
      <c r="VRQ135" s="562"/>
      <c r="VRR135" s="562"/>
      <c r="VRS135" s="562"/>
      <c r="VRT135" s="562"/>
      <c r="VRU135" s="562"/>
      <c r="VRV135" s="562"/>
      <c r="VRW135" s="562"/>
      <c r="VRX135" s="562"/>
      <c r="VRY135" s="562"/>
      <c r="VRZ135" s="562"/>
      <c r="VSA135" s="562"/>
      <c r="VSB135" s="562"/>
      <c r="VSC135" s="562"/>
      <c r="VSD135" s="562"/>
      <c r="VSE135" s="562"/>
      <c r="VSF135" s="562"/>
      <c r="VSG135" s="562"/>
      <c r="VSH135" s="562"/>
      <c r="VSI135" s="562"/>
      <c r="VSJ135" s="562"/>
      <c r="VSK135" s="562"/>
      <c r="VSL135" s="562"/>
      <c r="VSM135" s="562"/>
      <c r="VSN135" s="562"/>
      <c r="VSO135" s="562"/>
      <c r="VSP135" s="562"/>
      <c r="VSQ135" s="562"/>
      <c r="VSR135" s="562"/>
      <c r="VSS135" s="562"/>
      <c r="VST135" s="562"/>
      <c r="VSU135" s="562"/>
      <c r="VSV135" s="562"/>
      <c r="VSW135" s="562"/>
      <c r="VSX135" s="562"/>
      <c r="VSY135" s="562"/>
      <c r="VSZ135" s="562"/>
      <c r="VTA135" s="562"/>
      <c r="VTB135" s="562"/>
      <c r="VTC135" s="562"/>
      <c r="VTD135" s="562"/>
      <c r="VTE135" s="562"/>
      <c r="VTF135" s="562"/>
      <c r="VTG135" s="562"/>
      <c r="VTH135" s="562"/>
      <c r="VTI135" s="562"/>
      <c r="VTJ135" s="562"/>
      <c r="VTK135" s="562"/>
      <c r="VTL135" s="562"/>
      <c r="VTM135" s="562"/>
      <c r="VTN135" s="562"/>
      <c r="VTO135" s="562"/>
      <c r="VTP135" s="562"/>
      <c r="VTQ135" s="562"/>
      <c r="VTR135" s="562"/>
      <c r="VTS135" s="562"/>
      <c r="VTT135" s="562"/>
      <c r="VTU135" s="562"/>
      <c r="VTV135" s="562"/>
      <c r="VTW135" s="562"/>
      <c r="VTX135" s="562"/>
      <c r="VTY135" s="562"/>
      <c r="VTZ135" s="562"/>
      <c r="VUA135" s="562"/>
      <c r="VUB135" s="562"/>
      <c r="VUC135" s="562"/>
      <c r="VUD135" s="562"/>
      <c r="VUE135" s="562"/>
      <c r="VUF135" s="562"/>
      <c r="VUG135" s="562"/>
      <c r="VUH135" s="562"/>
      <c r="VUI135" s="562"/>
      <c r="VUJ135" s="562"/>
      <c r="VUK135" s="562"/>
      <c r="VUL135" s="562"/>
      <c r="VUM135" s="562"/>
      <c r="VUN135" s="562"/>
      <c r="VUO135" s="562"/>
      <c r="VUP135" s="562"/>
      <c r="VUQ135" s="562"/>
      <c r="VUR135" s="562"/>
      <c r="VUS135" s="562"/>
      <c r="VUT135" s="562"/>
      <c r="VUU135" s="562"/>
      <c r="VUV135" s="562"/>
      <c r="VUW135" s="562"/>
      <c r="VUX135" s="562"/>
      <c r="VUY135" s="562"/>
      <c r="VUZ135" s="562"/>
      <c r="VVA135" s="562"/>
      <c r="VVB135" s="562"/>
      <c r="VVC135" s="562"/>
      <c r="VVD135" s="562"/>
      <c r="VVE135" s="562"/>
      <c r="VVF135" s="562"/>
      <c r="VVG135" s="562"/>
      <c r="VVH135" s="562"/>
      <c r="VVI135" s="562"/>
      <c r="VVJ135" s="562"/>
      <c r="VVK135" s="562"/>
      <c r="VVL135" s="562"/>
      <c r="VVM135" s="562"/>
      <c r="VVN135" s="562"/>
      <c r="VVO135" s="562"/>
      <c r="VVP135" s="562"/>
      <c r="VVQ135" s="562"/>
      <c r="VVR135" s="562"/>
      <c r="VVS135" s="562"/>
      <c r="VVT135" s="562"/>
      <c r="VVU135" s="562"/>
      <c r="VVV135" s="562"/>
      <c r="VVW135" s="562"/>
      <c r="VVX135" s="562"/>
      <c r="VVY135" s="562"/>
      <c r="VVZ135" s="562"/>
      <c r="VWA135" s="562"/>
      <c r="VWB135" s="562"/>
      <c r="VWC135" s="562"/>
      <c r="VWD135" s="562"/>
      <c r="VWE135" s="562"/>
      <c r="VWF135" s="562"/>
      <c r="VWG135" s="562"/>
      <c r="VWH135" s="562"/>
      <c r="VWI135" s="562"/>
      <c r="VWJ135" s="562"/>
      <c r="VWK135" s="562"/>
      <c r="VWL135" s="562"/>
      <c r="VWM135" s="562"/>
      <c r="VWN135" s="562"/>
      <c r="VWO135" s="562"/>
      <c r="VWP135" s="562"/>
      <c r="VWQ135" s="562"/>
      <c r="VWR135" s="562"/>
      <c r="VWS135" s="562"/>
      <c r="VWT135" s="562"/>
      <c r="VWU135" s="562"/>
      <c r="VWV135" s="562"/>
      <c r="VWW135" s="562"/>
      <c r="VWX135" s="562"/>
      <c r="VWY135" s="562"/>
      <c r="VWZ135" s="562"/>
      <c r="VXA135" s="562"/>
      <c r="VXB135" s="562"/>
      <c r="VXC135" s="562"/>
      <c r="VXD135" s="562"/>
      <c r="VXE135" s="562"/>
      <c r="VXF135" s="562"/>
      <c r="VXG135" s="562"/>
      <c r="VXH135" s="562"/>
      <c r="VXI135" s="562"/>
      <c r="VXJ135" s="562"/>
      <c r="VXK135" s="562"/>
      <c r="VXL135" s="562"/>
      <c r="VXM135" s="562"/>
      <c r="VXN135" s="562"/>
      <c r="VXO135" s="562"/>
      <c r="VXP135" s="562"/>
      <c r="VXQ135" s="562"/>
      <c r="VXR135" s="562"/>
      <c r="VXS135" s="562"/>
      <c r="VXT135" s="562"/>
      <c r="VXU135" s="562"/>
      <c r="VXV135" s="562"/>
      <c r="VXW135" s="562"/>
      <c r="VXX135" s="562"/>
      <c r="VXY135" s="562"/>
      <c r="VXZ135" s="562"/>
      <c r="VYA135" s="562"/>
      <c r="VYB135" s="562"/>
      <c r="VYC135" s="562"/>
      <c r="VYD135" s="562"/>
      <c r="VYE135" s="562"/>
      <c r="VYF135" s="562"/>
      <c r="VYG135" s="562"/>
      <c r="VYH135" s="562"/>
      <c r="VYI135" s="562"/>
      <c r="VYJ135" s="562"/>
      <c r="VYK135" s="562"/>
      <c r="VYL135" s="562"/>
      <c r="VYM135" s="562"/>
      <c r="VYN135" s="562"/>
      <c r="VYO135" s="562"/>
      <c r="VYP135" s="562"/>
      <c r="VYQ135" s="562"/>
      <c r="VYR135" s="562"/>
      <c r="VYS135" s="562"/>
      <c r="VYT135" s="562"/>
      <c r="VYU135" s="562"/>
      <c r="VYV135" s="562"/>
      <c r="VYW135" s="562"/>
      <c r="VYX135" s="562"/>
      <c r="VYY135" s="562"/>
      <c r="VYZ135" s="562"/>
      <c r="VZA135" s="562"/>
      <c r="VZB135" s="562"/>
      <c r="VZC135" s="562"/>
      <c r="VZD135" s="562"/>
      <c r="VZE135" s="562"/>
      <c r="VZF135" s="562"/>
      <c r="VZG135" s="562"/>
      <c r="VZH135" s="562"/>
      <c r="VZI135" s="562"/>
      <c r="VZJ135" s="562"/>
      <c r="VZK135" s="562"/>
      <c r="VZL135" s="562"/>
      <c r="VZM135" s="562"/>
      <c r="VZN135" s="562"/>
      <c r="VZO135" s="562"/>
      <c r="VZP135" s="562"/>
      <c r="VZQ135" s="562"/>
      <c r="VZR135" s="562"/>
      <c r="VZS135" s="562"/>
      <c r="VZT135" s="562"/>
      <c r="VZU135" s="562"/>
      <c r="VZV135" s="562"/>
      <c r="VZW135" s="562"/>
      <c r="VZX135" s="562"/>
      <c r="VZY135" s="562"/>
      <c r="VZZ135" s="562"/>
      <c r="WAA135" s="562"/>
      <c r="WAB135" s="562"/>
      <c r="WAC135" s="562"/>
      <c r="WAD135" s="562"/>
      <c r="WAE135" s="562"/>
      <c r="WAF135" s="562"/>
      <c r="WAG135" s="562"/>
      <c r="WAH135" s="562"/>
      <c r="WAI135" s="562"/>
      <c r="WAJ135" s="562"/>
      <c r="WAK135" s="562"/>
      <c r="WAL135" s="562"/>
      <c r="WAM135" s="562"/>
      <c r="WAN135" s="562"/>
      <c r="WAO135" s="562"/>
      <c r="WAP135" s="562"/>
      <c r="WAQ135" s="562"/>
      <c r="WAR135" s="562"/>
      <c r="WAS135" s="562"/>
      <c r="WAT135" s="562"/>
      <c r="WAU135" s="562"/>
      <c r="WAV135" s="562"/>
      <c r="WAW135" s="562"/>
      <c r="WAX135" s="562"/>
      <c r="WAY135" s="562"/>
      <c r="WAZ135" s="562"/>
      <c r="WBA135" s="562"/>
      <c r="WBB135" s="562"/>
      <c r="WBC135" s="562"/>
      <c r="WBD135" s="562"/>
      <c r="WBE135" s="562"/>
      <c r="WBF135" s="562"/>
      <c r="WBG135" s="562"/>
      <c r="WBH135" s="562"/>
      <c r="WBI135" s="562"/>
      <c r="WBJ135" s="562"/>
      <c r="WBK135" s="562"/>
      <c r="WBL135" s="562"/>
      <c r="WBM135" s="562"/>
      <c r="WBN135" s="562"/>
      <c r="WBO135" s="562"/>
      <c r="WBP135" s="562"/>
      <c r="WBQ135" s="562"/>
      <c r="WBR135" s="562"/>
      <c r="WBS135" s="562"/>
      <c r="WBT135" s="562"/>
      <c r="WBU135" s="562"/>
      <c r="WBV135" s="562"/>
      <c r="WBW135" s="562"/>
      <c r="WBX135" s="562"/>
      <c r="WBY135" s="562"/>
      <c r="WBZ135" s="562"/>
      <c r="WCA135" s="562"/>
      <c r="WCB135" s="562"/>
      <c r="WCC135" s="562"/>
      <c r="WCD135" s="562"/>
      <c r="WCE135" s="562"/>
      <c r="WCF135" s="562"/>
      <c r="WCG135" s="562"/>
      <c r="WCH135" s="562"/>
      <c r="WCI135" s="562"/>
      <c r="WCJ135" s="562"/>
      <c r="WCK135" s="562"/>
      <c r="WCL135" s="562"/>
      <c r="WCM135" s="562"/>
      <c r="WCN135" s="562"/>
      <c r="WCO135" s="562"/>
      <c r="WCP135" s="562"/>
      <c r="WCQ135" s="562"/>
      <c r="WCR135" s="562"/>
      <c r="WCS135" s="562"/>
      <c r="WCT135" s="562"/>
      <c r="WCU135" s="562"/>
      <c r="WCV135" s="562"/>
      <c r="WCW135" s="562"/>
      <c r="WCX135" s="562"/>
      <c r="WCY135" s="562"/>
      <c r="WCZ135" s="562"/>
      <c r="WDA135" s="562"/>
      <c r="WDB135" s="562"/>
      <c r="WDC135" s="562"/>
      <c r="WDD135" s="562"/>
      <c r="WDE135" s="562"/>
      <c r="WDF135" s="562"/>
      <c r="WDG135" s="562"/>
      <c r="WDH135" s="562"/>
      <c r="WDI135" s="562"/>
      <c r="WDJ135" s="562"/>
      <c r="WDK135" s="562"/>
      <c r="WDL135" s="562"/>
      <c r="WDM135" s="562"/>
      <c r="WDN135" s="562"/>
      <c r="WDO135" s="562"/>
      <c r="WDP135" s="562"/>
      <c r="WDQ135" s="562"/>
      <c r="WDR135" s="562"/>
      <c r="WDS135" s="562"/>
      <c r="WDT135" s="562"/>
      <c r="WDU135" s="562"/>
      <c r="WDV135" s="562"/>
      <c r="WDW135" s="562"/>
      <c r="WDX135" s="562"/>
      <c r="WDY135" s="562"/>
      <c r="WDZ135" s="562"/>
      <c r="WEA135" s="562"/>
      <c r="WEB135" s="562"/>
      <c r="WEC135" s="562"/>
      <c r="WED135" s="562"/>
      <c r="WEE135" s="562"/>
      <c r="WEF135" s="562"/>
      <c r="WEG135" s="562"/>
      <c r="WEH135" s="562"/>
      <c r="WEI135" s="562"/>
      <c r="WEJ135" s="562"/>
      <c r="WEK135" s="562"/>
      <c r="WEL135" s="562"/>
      <c r="WEM135" s="562"/>
      <c r="WEN135" s="562"/>
      <c r="WEO135" s="562"/>
      <c r="WEP135" s="562"/>
      <c r="WEQ135" s="562"/>
      <c r="WER135" s="562"/>
      <c r="WES135" s="562"/>
      <c r="WET135" s="562"/>
      <c r="WEU135" s="562"/>
      <c r="WEV135" s="562"/>
      <c r="WEW135" s="562"/>
      <c r="WEX135" s="562"/>
      <c r="WEY135" s="562"/>
      <c r="WEZ135" s="562"/>
      <c r="WFA135" s="562"/>
      <c r="WFB135" s="562"/>
      <c r="WFC135" s="562"/>
      <c r="WFD135" s="562"/>
      <c r="WFE135" s="562"/>
      <c r="WFF135" s="562"/>
      <c r="WFG135" s="562"/>
      <c r="WFH135" s="562"/>
      <c r="WFI135" s="562"/>
      <c r="WFJ135" s="562"/>
      <c r="WFK135" s="562"/>
      <c r="WFL135" s="562"/>
      <c r="WFM135" s="562"/>
      <c r="WFN135" s="562"/>
      <c r="WFO135" s="562"/>
      <c r="WFP135" s="562"/>
      <c r="WFQ135" s="562"/>
      <c r="WFR135" s="562"/>
      <c r="WFS135" s="562"/>
      <c r="WFT135" s="562"/>
      <c r="WFU135" s="562"/>
      <c r="WFV135" s="562"/>
      <c r="WFW135" s="562"/>
      <c r="WFX135" s="562"/>
      <c r="WFY135" s="562"/>
      <c r="WFZ135" s="562"/>
      <c r="WGA135" s="562"/>
      <c r="WGB135" s="562"/>
      <c r="WGC135" s="562"/>
      <c r="WGD135" s="562"/>
      <c r="WGE135" s="562"/>
      <c r="WGF135" s="562"/>
      <c r="WGG135" s="562"/>
      <c r="WGH135" s="562"/>
      <c r="WGI135" s="562"/>
      <c r="WGJ135" s="562"/>
      <c r="WGK135" s="562"/>
      <c r="WGL135" s="562"/>
      <c r="WGM135" s="562"/>
      <c r="WGN135" s="562"/>
      <c r="WGO135" s="562"/>
      <c r="WGP135" s="562"/>
      <c r="WGQ135" s="562"/>
      <c r="WGR135" s="562"/>
      <c r="WGS135" s="562"/>
      <c r="WGT135" s="562"/>
      <c r="WGU135" s="562"/>
      <c r="WGV135" s="562"/>
      <c r="WGW135" s="562"/>
      <c r="WGX135" s="562"/>
      <c r="WGY135" s="562"/>
      <c r="WGZ135" s="562"/>
      <c r="WHA135" s="562"/>
      <c r="WHB135" s="562"/>
      <c r="WHC135" s="562"/>
      <c r="WHD135" s="562"/>
      <c r="WHE135" s="562"/>
      <c r="WHF135" s="562"/>
      <c r="WHG135" s="562"/>
      <c r="WHH135" s="562"/>
      <c r="WHI135" s="562"/>
      <c r="WHJ135" s="562"/>
      <c r="WHK135" s="562"/>
      <c r="WHL135" s="562"/>
      <c r="WHM135" s="562"/>
      <c r="WHN135" s="562"/>
      <c r="WHO135" s="562"/>
      <c r="WHP135" s="562"/>
      <c r="WHQ135" s="562"/>
      <c r="WHR135" s="562"/>
      <c r="WHS135" s="562"/>
      <c r="WHT135" s="562"/>
      <c r="WHU135" s="562"/>
      <c r="WHV135" s="562"/>
      <c r="WHW135" s="562"/>
      <c r="WHX135" s="562"/>
      <c r="WHY135" s="562"/>
      <c r="WHZ135" s="562"/>
      <c r="WIA135" s="562"/>
      <c r="WIB135" s="562"/>
      <c r="WIC135" s="562"/>
      <c r="WID135" s="562"/>
      <c r="WIE135" s="562"/>
      <c r="WIF135" s="562"/>
      <c r="WIG135" s="562"/>
      <c r="WIH135" s="562"/>
      <c r="WII135" s="562"/>
      <c r="WIJ135" s="562"/>
      <c r="WIK135" s="562"/>
      <c r="WIL135" s="562"/>
      <c r="WIM135" s="562"/>
      <c r="WIN135" s="562"/>
      <c r="WIO135" s="562"/>
      <c r="WIP135" s="562"/>
      <c r="WIQ135" s="562"/>
      <c r="WIR135" s="562"/>
      <c r="WIS135" s="562"/>
      <c r="WIT135" s="562"/>
      <c r="WIU135" s="562"/>
      <c r="WIV135" s="562"/>
      <c r="WIW135" s="562"/>
      <c r="WIX135" s="562"/>
      <c r="WIY135" s="562"/>
      <c r="WIZ135" s="562"/>
      <c r="WJA135" s="562"/>
      <c r="WJB135" s="562"/>
      <c r="WJC135" s="562"/>
      <c r="WJD135" s="562"/>
      <c r="WJE135" s="562"/>
      <c r="WJF135" s="562"/>
      <c r="WJG135" s="562"/>
      <c r="WJH135" s="562"/>
      <c r="WJI135" s="562"/>
      <c r="WJJ135" s="562"/>
      <c r="WJK135" s="562"/>
      <c r="WJL135" s="562"/>
      <c r="WJM135" s="562"/>
      <c r="WJN135" s="562"/>
      <c r="WJO135" s="562"/>
      <c r="WJP135" s="562"/>
      <c r="WJQ135" s="562"/>
      <c r="WJR135" s="562"/>
      <c r="WJS135" s="562"/>
      <c r="WJT135" s="562"/>
      <c r="WJU135" s="562"/>
      <c r="WJV135" s="562"/>
      <c r="WJW135" s="562"/>
      <c r="WJX135" s="562"/>
      <c r="WJY135" s="562"/>
      <c r="WJZ135" s="562"/>
      <c r="WKA135" s="562"/>
      <c r="WKB135" s="562"/>
      <c r="WKC135" s="562"/>
      <c r="WKD135" s="562"/>
      <c r="WKE135" s="562"/>
      <c r="WKF135" s="562"/>
      <c r="WKG135" s="562"/>
      <c r="WKH135" s="562"/>
      <c r="WKI135" s="562"/>
      <c r="WKJ135" s="562"/>
      <c r="WKK135" s="562"/>
      <c r="WKL135" s="562"/>
      <c r="WKM135" s="562"/>
      <c r="WKN135" s="562"/>
      <c r="WKO135" s="562"/>
      <c r="WKP135" s="562"/>
      <c r="WKQ135" s="562"/>
      <c r="WKR135" s="562"/>
      <c r="WKS135" s="562"/>
      <c r="WKT135" s="562"/>
      <c r="WKU135" s="562"/>
      <c r="WKV135" s="562"/>
      <c r="WKW135" s="562"/>
      <c r="WKX135" s="562"/>
      <c r="WKY135" s="562"/>
      <c r="WKZ135" s="562"/>
      <c r="WLA135" s="562"/>
      <c r="WLB135" s="562"/>
      <c r="WLC135" s="562"/>
      <c r="WLD135" s="562"/>
      <c r="WLE135" s="562"/>
      <c r="WLF135" s="562"/>
      <c r="WLG135" s="562"/>
      <c r="WLH135" s="562"/>
      <c r="WLI135" s="562"/>
      <c r="WLJ135" s="562"/>
      <c r="WLK135" s="562"/>
      <c r="WLL135" s="562"/>
      <c r="WLM135" s="562"/>
      <c r="WLN135" s="562"/>
      <c r="WLO135" s="562"/>
      <c r="WLP135" s="562"/>
      <c r="WLQ135" s="562"/>
      <c r="WLR135" s="562"/>
      <c r="WLS135" s="562"/>
      <c r="WLT135" s="562"/>
      <c r="WLU135" s="562"/>
      <c r="WLV135" s="562"/>
      <c r="WLW135" s="562"/>
      <c r="WLX135" s="562"/>
      <c r="WLY135" s="562"/>
      <c r="WLZ135" s="562"/>
      <c r="WMA135" s="562"/>
      <c r="WMB135" s="562"/>
      <c r="WMC135" s="562"/>
      <c r="WMD135" s="562"/>
      <c r="WME135" s="562"/>
      <c r="WMF135" s="562"/>
      <c r="WMG135" s="562"/>
      <c r="WMH135" s="562"/>
      <c r="WMI135" s="562"/>
      <c r="WMJ135" s="562"/>
      <c r="WMK135" s="562"/>
      <c r="WML135" s="562"/>
      <c r="WMM135" s="562"/>
      <c r="WMN135" s="562"/>
      <c r="WMO135" s="562"/>
      <c r="WMP135" s="562"/>
      <c r="WMQ135" s="562"/>
      <c r="WMR135" s="562"/>
      <c r="WMS135" s="562"/>
      <c r="WMT135" s="562"/>
      <c r="WMU135" s="562"/>
      <c r="WMV135" s="562"/>
      <c r="WMW135" s="562"/>
      <c r="WMX135" s="562"/>
      <c r="WMY135" s="562"/>
      <c r="WMZ135" s="562"/>
      <c r="WNA135" s="562"/>
      <c r="WNB135" s="562"/>
      <c r="WNC135" s="562"/>
      <c r="WND135" s="562"/>
      <c r="WNE135" s="562"/>
      <c r="WNF135" s="562"/>
      <c r="WNG135" s="562"/>
      <c r="WNH135" s="562"/>
      <c r="WNI135" s="562"/>
      <c r="WNJ135" s="562"/>
      <c r="WNK135" s="562"/>
      <c r="WNL135" s="562"/>
      <c r="WNM135" s="562"/>
      <c r="WNN135" s="562"/>
      <c r="WNO135" s="562"/>
      <c r="WNP135" s="562"/>
      <c r="WNQ135" s="562"/>
      <c r="WNR135" s="562"/>
      <c r="WNS135" s="562"/>
      <c r="WNT135" s="562"/>
      <c r="WNU135" s="562"/>
      <c r="WNV135" s="562"/>
      <c r="WNW135" s="562"/>
      <c r="WNX135" s="562"/>
      <c r="WNY135" s="562"/>
      <c r="WNZ135" s="562"/>
      <c r="WOA135" s="562"/>
      <c r="WOB135" s="562"/>
      <c r="WOC135" s="562"/>
      <c r="WOD135" s="562"/>
      <c r="WOE135" s="562"/>
      <c r="WOF135" s="562"/>
      <c r="WOG135" s="562"/>
      <c r="WOH135" s="562"/>
      <c r="WOI135" s="562"/>
      <c r="WOJ135" s="562"/>
      <c r="WOK135" s="562"/>
      <c r="WOL135" s="562"/>
      <c r="WOM135" s="562"/>
      <c r="WON135" s="562"/>
      <c r="WOO135" s="562"/>
      <c r="WOP135" s="562"/>
      <c r="WOQ135" s="562"/>
      <c r="WOR135" s="562"/>
      <c r="WOS135" s="562"/>
      <c r="WOT135" s="562"/>
      <c r="WOU135" s="562"/>
      <c r="WOV135" s="562"/>
      <c r="WOW135" s="562"/>
      <c r="WOX135" s="562"/>
      <c r="WOY135" s="562"/>
      <c r="WOZ135" s="562"/>
      <c r="WPA135" s="562"/>
      <c r="WPB135" s="562"/>
      <c r="WPC135" s="562"/>
      <c r="WPD135" s="562"/>
      <c r="WPE135" s="562"/>
      <c r="WPF135" s="562"/>
      <c r="WPG135" s="562"/>
      <c r="WPH135" s="562"/>
      <c r="WPI135" s="562"/>
      <c r="WPJ135" s="562"/>
      <c r="WPK135" s="562"/>
      <c r="WPL135" s="562"/>
      <c r="WPM135" s="562"/>
      <c r="WPN135" s="562"/>
      <c r="WPO135" s="562"/>
      <c r="WPP135" s="562"/>
      <c r="WPQ135" s="562"/>
      <c r="WPR135" s="562"/>
      <c r="WPS135" s="562"/>
      <c r="WPT135" s="562"/>
      <c r="WPU135" s="562"/>
      <c r="WPV135" s="562"/>
      <c r="WPW135" s="562"/>
      <c r="WPX135" s="562"/>
      <c r="WPY135" s="562"/>
      <c r="WPZ135" s="562"/>
      <c r="WQA135" s="562"/>
      <c r="WQB135" s="562"/>
      <c r="WQC135" s="562"/>
      <c r="WQD135" s="562"/>
      <c r="WQE135" s="562"/>
      <c r="WQF135" s="562"/>
      <c r="WQG135" s="562"/>
      <c r="WQH135" s="562"/>
      <c r="WQI135" s="562"/>
      <c r="WQJ135" s="562"/>
      <c r="WQK135" s="562"/>
      <c r="WQL135" s="562"/>
      <c r="WQM135" s="562"/>
      <c r="WQN135" s="562"/>
      <c r="WQO135" s="562"/>
      <c r="WQP135" s="562"/>
      <c r="WQQ135" s="562"/>
      <c r="WQR135" s="562"/>
      <c r="WQS135" s="562"/>
      <c r="WQT135" s="562"/>
      <c r="WQU135" s="562"/>
      <c r="WQV135" s="562"/>
      <c r="WQW135" s="562"/>
      <c r="WQX135" s="562"/>
      <c r="WQY135" s="562"/>
      <c r="WQZ135" s="562"/>
      <c r="WRA135" s="562"/>
      <c r="WRB135" s="562"/>
      <c r="WRC135" s="562"/>
      <c r="WRD135" s="562"/>
      <c r="WRE135" s="562"/>
      <c r="WRF135" s="562"/>
      <c r="WRG135" s="562"/>
      <c r="WRH135" s="562"/>
      <c r="WRI135" s="562"/>
      <c r="WRJ135" s="562"/>
      <c r="WRK135" s="562"/>
      <c r="WRL135" s="562"/>
      <c r="WRM135" s="562"/>
      <c r="WRN135" s="562"/>
      <c r="WRO135" s="562"/>
      <c r="WRP135" s="562"/>
      <c r="WRQ135" s="562"/>
      <c r="WRR135" s="562"/>
      <c r="WRS135" s="562"/>
      <c r="WRT135" s="562"/>
      <c r="WRU135" s="562"/>
      <c r="WRV135" s="562"/>
      <c r="WRW135" s="562"/>
      <c r="WRX135" s="562"/>
      <c r="WRY135" s="562"/>
      <c r="WRZ135" s="562"/>
      <c r="WSA135" s="562"/>
      <c r="WSB135" s="562"/>
      <c r="WSC135" s="562"/>
      <c r="WSD135" s="562"/>
      <c r="WSE135" s="562"/>
      <c r="WSF135" s="562"/>
      <c r="WSG135" s="562"/>
      <c r="WSH135" s="562"/>
      <c r="WSI135" s="562"/>
      <c r="WSJ135" s="562"/>
      <c r="WSK135" s="562"/>
      <c r="WSL135" s="562"/>
      <c r="WSM135" s="562"/>
      <c r="WSN135" s="562"/>
      <c r="WSO135" s="562"/>
      <c r="WSP135" s="562"/>
      <c r="WSQ135" s="562"/>
      <c r="WSR135" s="562"/>
      <c r="WSS135" s="562"/>
      <c r="WST135" s="562"/>
      <c r="WSU135" s="562"/>
      <c r="WSV135" s="562"/>
      <c r="WSW135" s="562"/>
      <c r="WSX135" s="562"/>
      <c r="WSY135" s="562"/>
      <c r="WSZ135" s="562"/>
      <c r="WTA135" s="562"/>
      <c r="WTB135" s="562"/>
      <c r="WTC135" s="562"/>
      <c r="WTD135" s="562"/>
      <c r="WTE135" s="562"/>
      <c r="WTF135" s="562"/>
      <c r="WTG135" s="562"/>
      <c r="WTH135" s="562"/>
      <c r="WTI135" s="562"/>
      <c r="WTJ135" s="562"/>
      <c r="WTK135" s="562"/>
      <c r="WTL135" s="562"/>
      <c r="WTM135" s="562"/>
      <c r="WTN135" s="562"/>
      <c r="WTO135" s="562"/>
      <c r="WTP135" s="562"/>
      <c r="WTQ135" s="562"/>
      <c r="WTR135" s="562"/>
      <c r="WTS135" s="562"/>
      <c r="WTT135" s="562"/>
      <c r="WTU135" s="562"/>
      <c r="WTV135" s="562"/>
      <c r="WTW135" s="562"/>
      <c r="WTX135" s="562"/>
      <c r="WTY135" s="562"/>
      <c r="WTZ135" s="562"/>
      <c r="WUA135" s="562"/>
      <c r="WUB135" s="562"/>
      <c r="WUC135" s="562"/>
      <c r="WUD135" s="562"/>
      <c r="WUE135" s="562"/>
      <c r="WUF135" s="562"/>
      <c r="WUG135" s="562"/>
      <c r="WUH135" s="562"/>
      <c r="WUI135" s="562"/>
      <c r="WUJ135" s="562"/>
      <c r="WUK135" s="562"/>
      <c r="WUL135" s="562"/>
      <c r="WUM135" s="562"/>
      <c r="WUN135" s="562"/>
      <c r="WUO135" s="562"/>
      <c r="WUP135" s="562"/>
      <c r="WUQ135" s="562"/>
      <c r="WUR135" s="562"/>
      <c r="WUS135" s="562"/>
      <c r="WUT135" s="562"/>
      <c r="WUU135" s="562"/>
      <c r="WUV135" s="562"/>
      <c r="WUW135" s="562"/>
      <c r="WUX135" s="562"/>
      <c r="WUY135" s="562"/>
      <c r="WUZ135" s="562"/>
      <c r="WVA135" s="562"/>
      <c r="WVB135" s="562"/>
      <c r="WVC135" s="562"/>
      <c r="WVD135" s="562"/>
      <c r="WVE135" s="562"/>
      <c r="WVF135" s="562"/>
      <c r="WVG135" s="562"/>
      <c r="WVH135" s="562"/>
      <c r="WVI135" s="562"/>
      <c r="WVJ135" s="562"/>
      <c r="WVK135" s="562"/>
      <c r="WVL135" s="562"/>
      <c r="WVM135" s="562"/>
      <c r="WVN135" s="562"/>
      <c r="WVO135" s="562"/>
      <c r="WVP135" s="562"/>
      <c r="WVQ135" s="562"/>
      <c r="WVR135" s="562"/>
      <c r="WVS135" s="562"/>
      <c r="WVT135" s="562"/>
      <c r="WVU135" s="562"/>
      <c r="WVV135" s="562"/>
      <c r="WVW135" s="562"/>
      <c r="WVX135" s="562"/>
      <c r="WVY135" s="562"/>
      <c r="WVZ135" s="562"/>
      <c r="WWA135" s="562"/>
      <c r="WWB135" s="562"/>
      <c r="WWC135" s="562"/>
      <c r="WWD135" s="562"/>
      <c r="WWE135" s="562"/>
      <c r="WWF135" s="562"/>
      <c r="WWG135" s="562"/>
      <c r="WWH135" s="562"/>
      <c r="WWI135" s="562"/>
      <c r="WWJ135" s="562"/>
      <c r="WWK135" s="562"/>
      <c r="WWL135" s="562"/>
      <c r="WWM135" s="562"/>
      <c r="WWN135" s="562"/>
      <c r="WWO135" s="562"/>
      <c r="WWP135" s="562"/>
      <c r="WWQ135" s="562"/>
      <c r="WWR135" s="562"/>
      <c r="WWS135" s="562"/>
      <c r="WWT135" s="562"/>
      <c r="WWU135" s="562"/>
      <c r="WWV135" s="562"/>
      <c r="WWW135" s="562"/>
      <c r="WWX135" s="562"/>
      <c r="WWY135" s="562"/>
      <c r="WWZ135" s="562"/>
      <c r="WXA135" s="562"/>
      <c r="WXB135" s="562"/>
      <c r="WXC135" s="562"/>
      <c r="WXD135" s="562"/>
      <c r="WXE135" s="562"/>
      <c r="WXF135" s="562"/>
      <c r="WXG135" s="562"/>
      <c r="WXH135" s="562"/>
      <c r="WXI135" s="562"/>
      <c r="WXJ135" s="562"/>
      <c r="WXK135" s="562"/>
      <c r="WXL135" s="562"/>
      <c r="WXM135" s="562"/>
      <c r="WXN135" s="562"/>
      <c r="WXO135" s="562"/>
      <c r="WXP135" s="562"/>
      <c r="WXQ135" s="562"/>
      <c r="WXR135" s="562"/>
      <c r="WXS135" s="562"/>
      <c r="WXT135" s="562"/>
      <c r="WXU135" s="562"/>
      <c r="WXV135" s="562"/>
      <c r="WXW135" s="562"/>
      <c r="WXX135" s="562"/>
      <c r="WXY135" s="562"/>
      <c r="WXZ135" s="562"/>
      <c r="WYA135" s="562"/>
      <c r="WYB135" s="562"/>
      <c r="WYC135" s="562"/>
      <c r="WYD135" s="562"/>
      <c r="WYE135" s="562"/>
      <c r="WYF135" s="562"/>
      <c r="WYG135" s="562"/>
      <c r="WYH135" s="562"/>
      <c r="WYI135" s="562"/>
      <c r="WYJ135" s="562"/>
      <c r="WYK135" s="562"/>
      <c r="WYL135" s="562"/>
      <c r="WYM135" s="562"/>
      <c r="WYN135" s="562"/>
      <c r="WYO135" s="562"/>
      <c r="WYP135" s="562"/>
      <c r="WYQ135" s="562"/>
      <c r="WYR135" s="562"/>
      <c r="WYS135" s="562"/>
      <c r="WYT135" s="562"/>
      <c r="WYU135" s="562"/>
      <c r="WYV135" s="562"/>
      <c r="WYW135" s="562"/>
      <c r="WYX135" s="562"/>
      <c r="WYY135" s="562"/>
      <c r="WYZ135" s="562"/>
      <c r="WZA135" s="562"/>
      <c r="WZB135" s="562"/>
      <c r="WZC135" s="562"/>
      <c r="WZD135" s="562"/>
      <c r="WZE135" s="562"/>
      <c r="WZF135" s="562"/>
      <c r="WZG135" s="562"/>
      <c r="WZH135" s="562"/>
      <c r="WZI135" s="562"/>
      <c r="WZJ135" s="562"/>
      <c r="WZK135" s="562"/>
      <c r="WZL135" s="562"/>
      <c r="WZM135" s="562"/>
      <c r="WZN135" s="562"/>
      <c r="WZO135" s="562"/>
      <c r="WZP135" s="562"/>
      <c r="WZQ135" s="562"/>
      <c r="WZR135" s="562"/>
      <c r="WZS135" s="562"/>
      <c r="WZT135" s="562"/>
      <c r="WZU135" s="562"/>
      <c r="WZV135" s="562"/>
      <c r="WZW135" s="562"/>
      <c r="WZX135" s="562"/>
      <c r="WZY135" s="562"/>
      <c r="WZZ135" s="562"/>
      <c r="XAA135" s="562"/>
      <c r="XAB135" s="562"/>
      <c r="XAC135" s="562"/>
      <c r="XAD135" s="562"/>
      <c r="XAE135" s="562"/>
      <c r="XAF135" s="562"/>
      <c r="XAG135" s="562"/>
      <c r="XAH135" s="562"/>
      <c r="XAI135" s="562"/>
      <c r="XAJ135" s="562"/>
      <c r="XAK135" s="562"/>
      <c r="XAL135" s="562"/>
      <c r="XAM135" s="562"/>
      <c r="XAN135" s="562"/>
      <c r="XAO135" s="562"/>
      <c r="XAP135" s="562"/>
      <c r="XAQ135" s="562"/>
      <c r="XAR135" s="562"/>
      <c r="XAS135" s="562"/>
      <c r="XAT135" s="562"/>
      <c r="XAU135" s="562"/>
      <c r="XAV135" s="562"/>
      <c r="XAW135" s="562"/>
      <c r="XAX135" s="562"/>
      <c r="XAY135" s="562"/>
      <c r="XAZ135" s="562"/>
      <c r="XBA135" s="562"/>
      <c r="XBB135" s="562"/>
      <c r="XBC135" s="562"/>
      <c r="XBD135" s="562"/>
      <c r="XBE135" s="562"/>
      <c r="XBF135" s="562"/>
      <c r="XBG135" s="562"/>
      <c r="XBH135" s="562"/>
      <c r="XBI135" s="562"/>
      <c r="XBJ135" s="562"/>
      <c r="XBK135" s="562"/>
      <c r="XBL135" s="562"/>
      <c r="XBM135" s="562"/>
      <c r="XBN135" s="562"/>
      <c r="XBO135" s="562"/>
      <c r="XBP135" s="562"/>
      <c r="XBQ135" s="562"/>
      <c r="XBR135" s="562"/>
      <c r="XBS135" s="562"/>
      <c r="XBT135" s="562"/>
      <c r="XBU135" s="562"/>
      <c r="XBV135" s="562"/>
      <c r="XBW135" s="562"/>
      <c r="XBX135" s="562"/>
      <c r="XBY135" s="562"/>
      <c r="XBZ135" s="562"/>
      <c r="XCA135" s="562"/>
      <c r="XCB135" s="562"/>
      <c r="XCC135" s="562"/>
      <c r="XCD135" s="562"/>
      <c r="XCE135" s="562"/>
      <c r="XCF135" s="562"/>
      <c r="XCG135" s="562"/>
      <c r="XCH135" s="562"/>
      <c r="XCI135" s="562"/>
      <c r="XCJ135" s="562"/>
      <c r="XCK135" s="562"/>
      <c r="XCL135" s="562"/>
      <c r="XCM135" s="562"/>
      <c r="XCN135" s="562"/>
      <c r="XCO135" s="562"/>
      <c r="XCP135" s="562"/>
      <c r="XCQ135" s="562"/>
      <c r="XCR135" s="562"/>
      <c r="XCS135" s="562"/>
      <c r="XCT135" s="562"/>
      <c r="XCU135" s="562"/>
      <c r="XCV135" s="562"/>
      <c r="XCW135" s="562"/>
      <c r="XCX135" s="562"/>
      <c r="XCY135" s="562"/>
      <c r="XCZ135" s="562"/>
      <c r="XDA135" s="562"/>
      <c r="XDB135" s="562"/>
      <c r="XDC135" s="562"/>
      <c r="XDD135" s="562"/>
      <c r="XDE135" s="562"/>
      <c r="XDF135" s="562"/>
      <c r="XDG135" s="562"/>
      <c r="XDH135" s="562"/>
      <c r="XDI135" s="562"/>
      <c r="XDJ135" s="562"/>
      <c r="XDK135" s="562"/>
      <c r="XDL135" s="562"/>
      <c r="XDM135" s="562"/>
      <c r="XDN135" s="562"/>
      <c r="XDO135" s="562"/>
      <c r="XDP135" s="562"/>
      <c r="XDQ135" s="562"/>
      <c r="XDR135" s="562"/>
      <c r="XDS135" s="562"/>
      <c r="XDT135" s="562"/>
      <c r="XDU135" s="562"/>
    </row>
    <row r="136" spans="1:16349">
      <c r="W136" s="534"/>
      <c r="X136" s="534"/>
      <c r="Y136" s="534"/>
      <c r="Z136" s="534"/>
      <c r="AA136" s="534"/>
      <c r="AB136" s="534"/>
      <c r="AC136" s="534"/>
      <c r="AD136" s="534"/>
      <c r="AE136" s="534"/>
      <c r="AF136" s="615"/>
    </row>
    <row r="137" spans="1:16349">
      <c r="L137" s="615"/>
      <c r="M137" s="615">
        <f t="shared" ref="M137:U137" si="59">W133-M133</f>
        <v>175</v>
      </c>
      <c r="N137" s="615">
        <f t="shared" si="59"/>
        <v>175</v>
      </c>
      <c r="O137" s="615">
        <f t="shared" si="59"/>
        <v>175</v>
      </c>
      <c r="P137" s="615">
        <f t="shared" si="59"/>
        <v>175</v>
      </c>
      <c r="Q137" s="615">
        <f t="shared" si="59"/>
        <v>175</v>
      </c>
      <c r="R137" s="615">
        <f t="shared" si="59"/>
        <v>175</v>
      </c>
      <c r="S137" s="615">
        <f t="shared" si="59"/>
        <v>175</v>
      </c>
      <c r="T137" s="615">
        <f t="shared" si="59"/>
        <v>175</v>
      </c>
      <c r="U137" s="615">
        <f t="shared" si="59"/>
        <v>175</v>
      </c>
      <c r="V137" s="615"/>
      <c r="W137" s="615"/>
      <c r="X137" s="615"/>
      <c r="AD137" s="627"/>
      <c r="AE137" s="627">
        <f>AE93/7.05</f>
        <v>310.84680851063825</v>
      </c>
      <c r="AF137" s="627">
        <f>AE133/7.05</f>
        <v>299.26950354609926</v>
      </c>
      <c r="AG137" s="616">
        <f>AF137/AE137-1</f>
        <v>-3.7244406722428347E-2</v>
      </c>
      <c r="AH137" s="616"/>
      <c r="AI137" s="616"/>
      <c r="AJ137" s="616"/>
      <c r="AK137" s="616"/>
    </row>
    <row r="138" spans="1:16349">
      <c r="V138" s="615"/>
      <c r="W138" s="615"/>
      <c r="X138" s="615"/>
      <c r="AE138" s="627">
        <f>AE94/7.05</f>
        <v>325.89929078014188</v>
      </c>
      <c r="AF138" s="627">
        <f t="shared" ref="AF138:AF139" si="60">AE134/7.05</f>
        <v>318.90354609929079</v>
      </c>
      <c r="AG138" s="616">
        <f t="shared" ref="AG138:AG139" si="61">AF138/AE138-1</f>
        <v>-2.1465970865123918E-2</v>
      </c>
      <c r="AH138" s="616"/>
      <c r="AI138" s="616"/>
      <c r="AJ138" s="616"/>
      <c r="AK138" s="616"/>
      <c r="AM138" s="616">
        <f>AL133/AL93-1</f>
        <v>-2.6345457225425695E-2</v>
      </c>
    </row>
    <row r="139" spans="1:16349">
      <c r="V139" s="615"/>
      <c r="W139" s="615"/>
      <c r="X139" s="615"/>
      <c r="AE139" s="627">
        <f t="shared" ref="AE139" si="62">AE95/7.05</f>
        <v>334.27234042553192</v>
      </c>
      <c r="AF139" s="627">
        <f t="shared" si="60"/>
        <v>327.05531914893612</v>
      </c>
      <c r="AG139" s="616">
        <f t="shared" si="61"/>
        <v>-2.1590243654047048E-2</v>
      </c>
      <c r="AH139" s="616"/>
      <c r="AI139" s="616"/>
      <c r="AJ139" s="616"/>
      <c r="AK139" s="616"/>
      <c r="AM139" s="616">
        <f t="shared" ref="AM139:AM140" si="63">AL134/AL94-1</f>
        <v>-1.1377214865988416E-2</v>
      </c>
    </row>
    <row r="140" spans="1:16349">
      <c r="AM140" s="616">
        <f t="shared" si="63"/>
        <v>-1.1747185916688219E-2</v>
      </c>
    </row>
    <row r="141" spans="1:16349">
      <c r="AE141" s="615"/>
    </row>
    <row r="142" spans="1:16349">
      <c r="AF142" s="627">
        <v>360</v>
      </c>
      <c r="AG142" s="533" t="s">
        <v>202</v>
      </c>
    </row>
    <row r="143" spans="1:16349">
      <c r="AF143" s="616">
        <f>(AF142-AF137)/AF142</f>
        <v>0.16869582348305762</v>
      </c>
      <c r="AM143" s="615"/>
    </row>
    <row r="144" spans="1:16349">
      <c r="AM144" s="615"/>
    </row>
    <row r="145" spans="31:39">
      <c r="AM145" s="615"/>
    </row>
    <row r="147" spans="31:39">
      <c r="AE147" s="628">
        <f>12*46</f>
        <v>552</v>
      </c>
      <c r="AF147" s="628" t="s">
        <v>203</v>
      </c>
    </row>
    <row r="148" spans="31:39">
      <c r="AE148" s="628">
        <f>9*48</f>
        <v>432</v>
      </c>
      <c r="AF148" s="628" t="s">
        <v>204</v>
      </c>
    </row>
  </sheetData>
  <autoFilter ref="A10:V131" xr:uid="{8C4940E8-067F-4860-8846-BB3D7A445575}"/>
  <phoneticPr fontId="3" type="noConversion"/>
  <pageMargins left="0.7" right="0.7" top="0.75" bottom="0.75" header="0.3" footer="0.3"/>
  <pageSetup paperSize="9"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9C583-80E1-43FD-BC61-474CF9F441E4}">
  <dimension ref="C2:J9"/>
  <sheetViews>
    <sheetView workbookViewId="0">
      <selection activeCell="L2" sqref="L2:L9"/>
    </sheetView>
  </sheetViews>
  <sheetFormatPr defaultColWidth="8.58203125" defaultRowHeight="14"/>
  <cols>
    <col min="1" max="2" width="8.58203125" style="629"/>
    <col min="3" max="3" width="38.33203125" style="629" bestFit="1" customWidth="1"/>
    <col min="4" max="4" width="8.58203125" style="643"/>
    <col min="5" max="5" width="20.08203125" style="643" customWidth="1"/>
    <col min="6" max="6" width="16.33203125" style="634" customWidth="1"/>
    <col min="7" max="7" width="10.33203125" style="634" customWidth="1"/>
    <col min="8" max="8" width="12.33203125" style="629" customWidth="1"/>
    <col min="9" max="9" width="11.08203125" style="629" customWidth="1"/>
    <col min="10" max="10" width="8.58203125" style="634"/>
    <col min="11" max="16384" width="8.58203125" style="629"/>
  </cols>
  <sheetData>
    <row r="2" spans="3:10" ht="28">
      <c r="C2" s="641" t="s">
        <v>205</v>
      </c>
      <c r="D2" s="641" t="s">
        <v>206</v>
      </c>
      <c r="E2" s="641" t="s">
        <v>207</v>
      </c>
      <c r="F2" s="630" t="s">
        <v>17</v>
      </c>
      <c r="G2" s="631" t="s">
        <v>18</v>
      </c>
      <c r="H2" s="631">
        <v>70000</v>
      </c>
      <c r="I2" s="631">
        <v>89000</v>
      </c>
      <c r="J2" s="638"/>
    </row>
    <row r="3" spans="3:10">
      <c r="C3" s="632" t="s">
        <v>146</v>
      </c>
      <c r="D3" s="632" t="s">
        <v>39</v>
      </c>
      <c r="E3" s="635" t="s">
        <v>147</v>
      </c>
      <c r="F3" s="633">
        <v>16.399999999999999</v>
      </c>
      <c r="G3" s="637">
        <v>17.36</v>
      </c>
      <c r="H3" s="639">
        <v>1861.63</v>
      </c>
      <c r="I3" s="639">
        <v>2191.4699999999998</v>
      </c>
      <c r="J3" s="638"/>
    </row>
    <row r="4" spans="3:10">
      <c r="C4" s="632" t="s">
        <v>146</v>
      </c>
      <c r="D4" s="632" t="s">
        <v>25</v>
      </c>
      <c r="E4" s="635" t="s">
        <v>200</v>
      </c>
      <c r="F4" s="633">
        <v>16.399999999999999</v>
      </c>
      <c r="G4" s="637">
        <v>17.36</v>
      </c>
      <c r="H4" s="639">
        <v>1967.75</v>
      </c>
      <c r="I4" s="639">
        <v>2297.59</v>
      </c>
      <c r="J4" s="638"/>
    </row>
    <row r="5" spans="3:10">
      <c r="C5" s="632" t="s">
        <v>146</v>
      </c>
      <c r="D5" s="632" t="s">
        <v>22</v>
      </c>
      <c r="E5" s="635" t="s">
        <v>201</v>
      </c>
      <c r="F5" s="633">
        <v>16.399999999999999</v>
      </c>
      <c r="G5" s="637">
        <v>17.36</v>
      </c>
      <c r="H5" s="639">
        <v>2026.78</v>
      </c>
      <c r="I5" s="639">
        <v>2356.62</v>
      </c>
      <c r="J5" s="638"/>
    </row>
    <row r="6" spans="3:10">
      <c r="C6" s="636"/>
      <c r="D6" s="642"/>
      <c r="E6" s="642"/>
      <c r="F6" s="638"/>
      <c r="G6" s="638"/>
      <c r="H6" s="640"/>
      <c r="I6" s="640"/>
      <c r="J6" s="638"/>
    </row>
    <row r="7" spans="3:10">
      <c r="C7" s="644" t="s">
        <v>146</v>
      </c>
      <c r="D7" s="644" t="s">
        <v>39</v>
      </c>
      <c r="E7" s="645" t="s">
        <v>147</v>
      </c>
      <c r="F7" s="638">
        <v>17.5</v>
      </c>
      <c r="G7" s="638">
        <v>17.5</v>
      </c>
      <c r="H7" s="640">
        <v>1777.3470000000002</v>
      </c>
      <c r="I7" s="640">
        <v>2109.85</v>
      </c>
      <c r="J7" s="646">
        <f>I7/I3-1</f>
        <v>-3.7244406722428236E-2</v>
      </c>
    </row>
    <row r="8" spans="3:10">
      <c r="C8" s="644" t="s">
        <v>146</v>
      </c>
      <c r="D8" s="644" t="s">
        <v>25</v>
      </c>
      <c r="E8" s="645" t="s">
        <v>200</v>
      </c>
      <c r="F8" s="638">
        <v>17.5</v>
      </c>
      <c r="G8" s="638">
        <v>17.5</v>
      </c>
      <c r="H8" s="640">
        <v>1915.7710000000002</v>
      </c>
      <c r="I8" s="640">
        <v>2248.27</v>
      </c>
      <c r="J8" s="646">
        <f t="shared" ref="J8:J9" si="0">I8/I4-1</f>
        <v>-2.1465970865123918E-2</v>
      </c>
    </row>
    <row r="9" spans="3:10">
      <c r="C9" s="644" t="s">
        <v>146</v>
      </c>
      <c r="D9" s="644" t="s">
        <v>22</v>
      </c>
      <c r="E9" s="645" t="s">
        <v>201</v>
      </c>
      <c r="F9" s="638">
        <v>17.5</v>
      </c>
      <c r="G9" s="638">
        <v>17.5</v>
      </c>
      <c r="H9" s="640">
        <v>1973.24</v>
      </c>
      <c r="I9" s="640">
        <v>2305.7399999999998</v>
      </c>
      <c r="J9" s="646">
        <f t="shared" si="0"/>
        <v>-2.1590243654046937E-2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04D2-2D7E-4D15-A0F1-F6735A9B1850}">
  <dimension ref="B2:K11"/>
  <sheetViews>
    <sheetView workbookViewId="0">
      <selection activeCell="B1" sqref="B1"/>
    </sheetView>
  </sheetViews>
  <sheetFormatPr defaultColWidth="8.33203125" defaultRowHeight="14"/>
  <cols>
    <col min="1" max="1" width="3.33203125" style="456" customWidth="1"/>
    <col min="2" max="2" width="8.33203125" style="456"/>
    <col min="3" max="3" width="56" style="456" customWidth="1"/>
    <col min="4" max="4" width="23.08203125" style="456" bestFit="1" customWidth="1"/>
    <col min="5" max="5" width="11.33203125" style="457" customWidth="1"/>
    <col min="6" max="6" width="13.33203125" style="457" customWidth="1"/>
    <col min="7" max="7" width="14" style="457" customWidth="1"/>
    <col min="8" max="8" width="15.33203125" style="456" customWidth="1"/>
    <col min="9" max="9" width="19" style="456" customWidth="1"/>
    <col min="10" max="10" width="10.33203125" style="457" customWidth="1"/>
    <col min="11" max="11" width="26.33203125" style="456" customWidth="1"/>
    <col min="12" max="16384" width="8.33203125" style="456"/>
  </cols>
  <sheetData>
    <row r="2" spans="2:11" ht="14.5">
      <c r="B2" s="186"/>
      <c r="C2" s="186"/>
      <c r="D2" s="186"/>
      <c r="E2" s="458"/>
      <c r="F2" s="458"/>
      <c r="G2" s="468">
        <v>7.17</v>
      </c>
      <c r="H2" s="186"/>
      <c r="I2" s="186"/>
      <c r="J2" s="458"/>
    </row>
    <row r="3" spans="2:11" ht="14.5">
      <c r="B3" s="449" t="s">
        <v>208</v>
      </c>
      <c r="C3" s="449" t="s">
        <v>205</v>
      </c>
      <c r="D3" s="449" t="s">
        <v>209</v>
      </c>
      <c r="E3" s="448" t="s">
        <v>210</v>
      </c>
      <c r="F3" s="448">
        <v>80000</v>
      </c>
      <c r="G3" s="448">
        <v>80000</v>
      </c>
      <c r="H3" s="448" t="s">
        <v>211</v>
      </c>
      <c r="I3" s="448" t="s">
        <v>212</v>
      </c>
      <c r="J3" s="458"/>
    </row>
    <row r="4" spans="2:11" ht="14.5">
      <c r="B4" s="455" t="s">
        <v>213</v>
      </c>
      <c r="C4" s="463" t="s">
        <v>62</v>
      </c>
      <c r="D4" s="464" t="s">
        <v>214</v>
      </c>
      <c r="E4" s="465">
        <v>18.21</v>
      </c>
      <c r="F4" s="465">
        <v>2264.96</v>
      </c>
      <c r="G4" s="470">
        <f>F4/$G$2</f>
        <v>315.8940027894003</v>
      </c>
      <c r="H4" s="466">
        <v>9</v>
      </c>
      <c r="I4" s="467" t="s">
        <v>215</v>
      </c>
      <c r="J4" s="458"/>
    </row>
    <row r="5" spans="2:11" ht="14.5">
      <c r="B5" s="451" t="s">
        <v>213</v>
      </c>
      <c r="C5" s="452" t="s">
        <v>216</v>
      </c>
      <c r="D5" s="452" t="s">
        <v>217</v>
      </c>
      <c r="E5" s="454">
        <v>17.48</v>
      </c>
      <c r="F5" s="454">
        <f>F6</f>
        <v>2174.31</v>
      </c>
      <c r="G5" s="461">
        <f>F5/$G$2</f>
        <v>303.25104602510459</v>
      </c>
      <c r="H5" s="450">
        <v>7.2</v>
      </c>
      <c r="I5" s="453" t="s">
        <v>215</v>
      </c>
      <c r="J5" s="459">
        <f>F5/F4-1</f>
        <v>-4.0022781859282319E-2</v>
      </c>
    </row>
    <row r="6" spans="2:11" ht="14.5">
      <c r="B6" s="451" t="s">
        <v>213</v>
      </c>
      <c r="C6" s="452" t="s">
        <v>216</v>
      </c>
      <c r="D6" s="452" t="s">
        <v>214</v>
      </c>
      <c r="E6" s="454">
        <v>17.48</v>
      </c>
      <c r="F6" s="454">
        <v>2174.31</v>
      </c>
      <c r="G6" s="461">
        <f>F6/$G$2</f>
        <v>303.25104602510459</v>
      </c>
      <c r="H6" s="450">
        <v>9</v>
      </c>
      <c r="I6" s="453" t="s">
        <v>215</v>
      </c>
      <c r="J6" s="458"/>
    </row>
    <row r="7" spans="2:11" ht="14.5">
      <c r="B7" s="451" t="s">
        <v>213</v>
      </c>
      <c r="C7" s="452" t="s">
        <v>216</v>
      </c>
      <c r="D7" s="452" t="s">
        <v>218</v>
      </c>
      <c r="E7" s="454">
        <v>17.48</v>
      </c>
      <c r="F7" s="454">
        <f>F5+57.6</f>
        <v>2231.91</v>
      </c>
      <c r="G7" s="461">
        <f>F7/$G$2</f>
        <v>311.28451882845189</v>
      </c>
      <c r="H7" s="450">
        <v>5.49</v>
      </c>
      <c r="I7" s="453" t="s">
        <v>219</v>
      </c>
      <c r="J7" s="458"/>
    </row>
    <row r="8" spans="2:11" ht="8.9" customHeight="1">
      <c r="B8" s="186"/>
      <c r="C8" s="186"/>
      <c r="D8" s="186"/>
      <c r="E8" s="460"/>
      <c r="F8" s="460"/>
      <c r="G8" s="462"/>
      <c r="H8" s="186"/>
      <c r="I8" s="186"/>
      <c r="J8" s="458"/>
    </row>
    <row r="9" spans="2:11" ht="14.5">
      <c r="B9" s="451" t="s">
        <v>220</v>
      </c>
      <c r="C9" s="452" t="s">
        <v>221</v>
      </c>
      <c r="D9" s="452" t="s">
        <v>217</v>
      </c>
      <c r="E9" s="454">
        <v>14</v>
      </c>
      <c r="F9" s="454">
        <f>F10+20</f>
        <v>1960</v>
      </c>
      <c r="G9" s="461">
        <f>F9/$G$2</f>
        <v>273.36122733612274</v>
      </c>
      <c r="H9" s="450">
        <v>5.6</v>
      </c>
      <c r="I9" s="453" t="s">
        <v>222</v>
      </c>
      <c r="J9" s="459">
        <f>F9/F5-1</f>
        <v>-9.8564602103655807E-2</v>
      </c>
    </row>
    <row r="10" spans="2:11" ht="14.5">
      <c r="B10" s="451" t="s">
        <v>220</v>
      </c>
      <c r="C10" s="452" t="s">
        <v>221</v>
      </c>
      <c r="D10" s="452" t="s">
        <v>214</v>
      </c>
      <c r="E10" s="454">
        <v>14</v>
      </c>
      <c r="F10" s="454">
        <v>1940</v>
      </c>
      <c r="G10" s="461">
        <f>F10/$G$2</f>
        <v>270.5718270571827</v>
      </c>
      <c r="H10" s="450">
        <v>9</v>
      </c>
      <c r="I10" s="453" t="s">
        <v>223</v>
      </c>
      <c r="J10" s="459">
        <f t="shared" ref="J10:J11" si="0">F10/F6-1</f>
        <v>-0.10776292249035324</v>
      </c>
    </row>
    <row r="11" spans="2:11" ht="14.5">
      <c r="B11" s="451" t="s">
        <v>220</v>
      </c>
      <c r="C11" s="452" t="s">
        <v>221</v>
      </c>
      <c r="D11" s="452" t="s">
        <v>218</v>
      </c>
      <c r="E11" s="454">
        <v>14</v>
      </c>
      <c r="F11" s="454">
        <f>F10+57.6</f>
        <v>1997.6</v>
      </c>
      <c r="G11" s="461">
        <f>F11/$G$2</f>
        <v>278.60529986052995</v>
      </c>
      <c r="H11" s="450">
        <f>16*305/1000</f>
        <v>4.88</v>
      </c>
      <c r="I11" s="453" t="s">
        <v>224</v>
      </c>
      <c r="J11" s="459">
        <f t="shared" si="0"/>
        <v>-0.10498183170468345</v>
      </c>
      <c r="K11" s="469" t="s">
        <v>225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40E8-067F-4860-8846-BB3D7A445575}">
  <sheetPr filterMode="1">
    <tabColor rgb="FFFFFFFF"/>
    <pageSetUpPr fitToPage="1"/>
  </sheetPr>
  <dimension ref="A1:BK140"/>
  <sheetViews>
    <sheetView tabSelected="1" zoomScaleNormal="100" workbookViewId="0">
      <pane xSplit="41" ySplit="8" topLeftCell="AP106" activePane="bottomRight" state="frozen"/>
      <selection pane="topRight" activeCell="AP1" sqref="AP1"/>
      <selection pane="bottomLeft" activeCell="A9" sqref="A9"/>
      <selection pane="bottomRight" activeCell="D126" sqref="D126"/>
    </sheetView>
  </sheetViews>
  <sheetFormatPr defaultColWidth="18.33203125" defaultRowHeight="14"/>
  <cols>
    <col min="1" max="1" width="58" style="8" customWidth="1"/>
    <col min="2" max="2" width="14.33203125" style="293" customWidth="1"/>
    <col min="3" max="3" width="12.33203125" style="8" customWidth="1"/>
    <col min="4" max="4" width="20.33203125" style="8" customWidth="1"/>
    <col min="5" max="5" width="14.33203125" style="8" bestFit="1" customWidth="1"/>
    <col min="6" max="6" width="26.08203125" style="8" customWidth="1"/>
    <col min="7" max="7" width="22.33203125" style="9" hidden="1" customWidth="1"/>
    <col min="8" max="8" width="19.08203125" style="8" hidden="1" customWidth="1"/>
    <col min="9" max="9" width="14.33203125" style="9" hidden="1" customWidth="1"/>
    <col min="10" max="10" width="26.33203125" style="9" customWidth="1"/>
    <col min="11" max="11" width="8.33203125" style="10" customWidth="1"/>
    <col min="12" max="41" width="11" style="10" hidden="1" customWidth="1"/>
    <col min="42" max="44" width="10.33203125" style="10" bestFit="1" customWidth="1"/>
    <col min="45" max="47" width="10.33203125" style="10" customWidth="1"/>
    <col min="48" max="48" width="11.33203125" style="10" customWidth="1"/>
    <col min="49" max="51" width="9.33203125" style="10" customWidth="1"/>
    <col min="52" max="52" width="14.08203125" style="10" customWidth="1"/>
    <col min="53" max="63" width="14.08203125" style="9" customWidth="1"/>
    <col min="64" max="16384" width="18.33203125" style="9"/>
  </cols>
  <sheetData>
    <row r="1" spans="1:63">
      <c r="A1" s="312" t="s">
        <v>0</v>
      </c>
      <c r="B1" s="58"/>
      <c r="D1" s="414" t="s">
        <v>226</v>
      </c>
      <c r="E1" s="415"/>
      <c r="F1" s="415"/>
    </row>
    <row r="2" spans="1:63">
      <c r="A2" s="7" t="s">
        <v>1</v>
      </c>
      <c r="B2" s="58"/>
      <c r="C2" s="7"/>
      <c r="D2" s="139" t="s">
        <v>227</v>
      </c>
    </row>
    <row r="3" spans="1:63">
      <c r="A3" s="7" t="s">
        <v>228</v>
      </c>
      <c r="B3" s="58"/>
      <c r="C3" s="7"/>
      <c r="D3" s="125" t="s">
        <v>4</v>
      </c>
    </row>
    <row r="4" spans="1:63">
      <c r="A4" s="11" t="s">
        <v>229</v>
      </c>
      <c r="B4" s="286"/>
      <c r="C4" s="11"/>
    </row>
    <row r="5" spans="1:63">
      <c r="A5" s="12" t="s">
        <v>5</v>
      </c>
      <c r="B5" s="292"/>
      <c r="C5" s="7"/>
    </row>
    <row r="6" spans="1:63">
      <c r="A6" s="219" t="s">
        <v>230</v>
      </c>
      <c r="B6" s="287"/>
      <c r="C6" s="7"/>
      <c r="AW6" s="127"/>
    </row>
    <row r="7" spans="1:63">
      <c r="AW7" s="127"/>
      <c r="AZ7" s="214"/>
      <c r="BA7" s="214"/>
      <c r="BB7" s="214"/>
      <c r="BC7" s="214"/>
      <c r="BD7" s="214"/>
      <c r="BE7" s="214"/>
      <c r="BF7" s="214"/>
      <c r="BG7" s="214"/>
      <c r="BH7" s="214"/>
      <c r="BI7" s="214"/>
      <c r="BJ7" s="214"/>
    </row>
    <row r="8" spans="1:63">
      <c r="A8" s="61" t="s">
        <v>8</v>
      </c>
      <c r="B8" s="288" t="s">
        <v>9</v>
      </c>
      <c r="C8" s="62" t="s">
        <v>10</v>
      </c>
      <c r="D8" s="62" t="s">
        <v>11</v>
      </c>
      <c r="E8" s="62" t="s">
        <v>12</v>
      </c>
      <c r="F8" s="62" t="s">
        <v>13</v>
      </c>
      <c r="G8" s="63" t="s">
        <v>14</v>
      </c>
      <c r="H8" s="283" t="s">
        <v>15</v>
      </c>
      <c r="I8" s="63" t="s">
        <v>16</v>
      </c>
      <c r="J8" s="64" t="s">
        <v>17</v>
      </c>
      <c r="K8" s="63" t="s">
        <v>18</v>
      </c>
      <c r="L8" s="63">
        <v>40000</v>
      </c>
      <c r="M8" s="63">
        <v>41000</v>
      </c>
      <c r="N8" s="63">
        <v>42000</v>
      </c>
      <c r="O8" s="63">
        <v>43000</v>
      </c>
      <c r="P8" s="63">
        <v>44000</v>
      </c>
      <c r="Q8" s="63">
        <v>45000</v>
      </c>
      <c r="R8" s="63">
        <v>46000</v>
      </c>
      <c r="S8" s="63">
        <v>47000</v>
      </c>
      <c r="T8" s="63">
        <v>48000</v>
      </c>
      <c r="U8" s="63">
        <v>49000</v>
      </c>
      <c r="V8" s="63">
        <v>50000</v>
      </c>
      <c r="W8" s="63">
        <v>51000</v>
      </c>
      <c r="X8" s="63">
        <v>52000</v>
      </c>
      <c r="Y8" s="63">
        <v>53000</v>
      </c>
      <c r="Z8" s="63">
        <v>54000</v>
      </c>
      <c r="AA8" s="63">
        <v>55000</v>
      </c>
      <c r="AB8" s="63">
        <v>56000</v>
      </c>
      <c r="AC8" s="63">
        <v>57000</v>
      </c>
      <c r="AD8" s="63">
        <v>58000</v>
      </c>
      <c r="AE8" s="63">
        <v>59000</v>
      </c>
      <c r="AF8" s="63">
        <v>60000</v>
      </c>
      <c r="AG8" s="63">
        <v>61000</v>
      </c>
      <c r="AH8" s="63">
        <v>62000</v>
      </c>
      <c r="AI8" s="63">
        <v>63000</v>
      </c>
      <c r="AJ8" s="63">
        <v>64000</v>
      </c>
      <c r="AK8" s="63">
        <v>65000</v>
      </c>
      <c r="AL8" s="63">
        <v>66000</v>
      </c>
      <c r="AM8" s="63">
        <v>67000</v>
      </c>
      <c r="AN8" s="63">
        <v>68000</v>
      </c>
      <c r="AO8" s="63">
        <v>69000</v>
      </c>
      <c r="AP8" s="63">
        <v>70000</v>
      </c>
      <c r="AQ8" s="63">
        <v>71000</v>
      </c>
      <c r="AR8" s="63">
        <v>72000</v>
      </c>
      <c r="AS8" s="63">
        <v>73000</v>
      </c>
      <c r="AT8" s="63">
        <v>74000</v>
      </c>
      <c r="AU8" s="63">
        <v>75000</v>
      </c>
      <c r="AV8" s="63">
        <v>76000</v>
      </c>
      <c r="AW8" s="63">
        <v>77000</v>
      </c>
      <c r="AX8" s="63">
        <v>78000</v>
      </c>
      <c r="AY8" s="63">
        <v>79000</v>
      </c>
      <c r="AZ8" s="63">
        <v>80000</v>
      </c>
      <c r="BA8" s="63">
        <f>AZ8+1000</f>
        <v>81000</v>
      </c>
      <c r="BB8" s="63">
        <f t="shared" ref="BB8:BK8" si="0">BA8+1000</f>
        <v>82000</v>
      </c>
      <c r="BC8" s="63">
        <f t="shared" si="0"/>
        <v>83000</v>
      </c>
      <c r="BD8" s="63">
        <f t="shared" si="0"/>
        <v>84000</v>
      </c>
      <c r="BE8" s="63">
        <f t="shared" si="0"/>
        <v>85000</v>
      </c>
      <c r="BF8" s="63">
        <f t="shared" si="0"/>
        <v>86000</v>
      </c>
      <c r="BG8" s="63">
        <f t="shared" si="0"/>
        <v>87000</v>
      </c>
      <c r="BH8" s="63">
        <f t="shared" si="0"/>
        <v>88000</v>
      </c>
      <c r="BI8" s="63">
        <f t="shared" si="0"/>
        <v>89000</v>
      </c>
      <c r="BJ8" s="63">
        <f t="shared" si="0"/>
        <v>90000</v>
      </c>
      <c r="BK8" s="63">
        <f t="shared" si="0"/>
        <v>91000</v>
      </c>
    </row>
    <row r="9" spans="1:63" s="18" customFormat="1" hidden="1">
      <c r="A9" s="13" t="s">
        <v>19</v>
      </c>
      <c r="B9" s="294"/>
      <c r="C9" s="14" t="s">
        <v>20</v>
      </c>
      <c r="D9" s="14" t="s">
        <v>21</v>
      </c>
      <c r="E9" s="14" t="s">
        <v>22</v>
      </c>
      <c r="F9" s="14" t="s">
        <v>23</v>
      </c>
      <c r="H9" s="110"/>
      <c r="I9" s="15">
        <v>6.4</v>
      </c>
      <c r="J9" s="16">
        <v>16.399999999999999</v>
      </c>
      <c r="K9" s="17">
        <f>AP9-AO9</f>
        <v>17.539999999999964</v>
      </c>
      <c r="L9" s="17">
        <v>1600.58</v>
      </c>
      <c r="M9" s="17">
        <v>1618.11</v>
      </c>
      <c r="N9" s="17">
        <v>1635.65</v>
      </c>
      <c r="O9" s="17">
        <v>1653.18</v>
      </c>
      <c r="P9" s="17">
        <v>1670.72</v>
      </c>
      <c r="Q9" s="17">
        <v>1688.26</v>
      </c>
      <c r="R9" s="17">
        <v>1705.79</v>
      </c>
      <c r="S9" s="17">
        <v>1723.33</v>
      </c>
      <c r="T9" s="17">
        <v>1740.86</v>
      </c>
      <c r="U9" s="17">
        <v>1758.4</v>
      </c>
      <c r="V9" s="17">
        <v>1775.94</v>
      </c>
      <c r="W9" s="17">
        <v>1793.47</v>
      </c>
      <c r="X9" s="17">
        <v>1811.01</v>
      </c>
      <c r="Y9" s="17">
        <v>1828.54</v>
      </c>
      <c r="Z9" s="17">
        <v>1846.08</v>
      </c>
      <c r="AA9" s="17">
        <v>1863.62</v>
      </c>
      <c r="AB9" s="17">
        <v>1881.15</v>
      </c>
      <c r="AC9" s="17">
        <v>1898.69</v>
      </c>
      <c r="AD9" s="17">
        <v>1916.22</v>
      </c>
      <c r="AE9" s="17">
        <v>1933.76</v>
      </c>
      <c r="AF9" s="17">
        <v>1951.3</v>
      </c>
      <c r="AG9" s="17">
        <v>1968.83</v>
      </c>
      <c r="AH9" s="17">
        <v>1986.37</v>
      </c>
      <c r="AI9" s="17">
        <v>2003.9</v>
      </c>
      <c r="AJ9" s="17">
        <v>2021.44</v>
      </c>
      <c r="AK9" s="17">
        <v>2038.98</v>
      </c>
      <c r="AL9" s="17">
        <v>2056.5100000000002</v>
      </c>
      <c r="AM9" s="17">
        <v>2074.0500000000002</v>
      </c>
      <c r="AN9" s="17">
        <v>2091.58</v>
      </c>
      <c r="AO9" s="17">
        <v>2109.12</v>
      </c>
      <c r="AP9" s="17">
        <v>2126.66</v>
      </c>
      <c r="AQ9" s="17">
        <v>2144.19</v>
      </c>
      <c r="AR9" s="17">
        <v>2161.73</v>
      </c>
      <c r="AS9" s="17">
        <v>2179.2600000000002</v>
      </c>
      <c r="AT9" s="17">
        <v>2196.8000000000002</v>
      </c>
      <c r="AU9" s="17">
        <v>2214.34</v>
      </c>
      <c r="AV9" s="17">
        <v>2231.87</v>
      </c>
      <c r="AW9" s="17">
        <v>2249.41</v>
      </c>
      <c r="AX9" s="17">
        <v>2266.94</v>
      </c>
      <c r="AY9" s="17">
        <v>2284.48</v>
      </c>
      <c r="AZ9" s="17">
        <v>2302.02</v>
      </c>
      <c r="BA9" s="17">
        <f>ROUND(AZ9+$K9,2)</f>
        <v>2319.56</v>
      </c>
      <c r="BB9" s="17">
        <f t="shared" ref="BB9:BK9" si="1">ROUND(BA9+$K9,2)</f>
        <v>2337.1</v>
      </c>
      <c r="BC9" s="17">
        <f t="shared" si="1"/>
        <v>2354.64</v>
      </c>
      <c r="BD9" s="17">
        <f t="shared" si="1"/>
        <v>2372.1799999999998</v>
      </c>
      <c r="BE9" s="17">
        <f t="shared" si="1"/>
        <v>2389.7199999999998</v>
      </c>
      <c r="BF9" s="17">
        <f t="shared" si="1"/>
        <v>2407.2600000000002</v>
      </c>
      <c r="BG9" s="17">
        <f t="shared" si="1"/>
        <v>2424.8000000000002</v>
      </c>
      <c r="BH9" s="17">
        <f t="shared" si="1"/>
        <v>2442.34</v>
      </c>
      <c r="BI9" s="17">
        <f t="shared" si="1"/>
        <v>2459.88</v>
      </c>
      <c r="BJ9" s="17">
        <f t="shared" si="1"/>
        <v>2477.42</v>
      </c>
      <c r="BK9" s="17">
        <f t="shared" si="1"/>
        <v>2494.96</v>
      </c>
    </row>
    <row r="10" spans="1:63" s="18" customFormat="1" hidden="1">
      <c r="A10" s="13" t="s">
        <v>24</v>
      </c>
      <c r="B10" s="294"/>
      <c r="C10" s="14" t="s">
        <v>20</v>
      </c>
      <c r="D10" s="14" t="s">
        <v>21</v>
      </c>
      <c r="E10" s="14" t="s">
        <v>25</v>
      </c>
      <c r="F10" s="14" t="s">
        <v>23</v>
      </c>
      <c r="H10" s="110"/>
      <c r="I10" s="15">
        <v>6.4</v>
      </c>
      <c r="J10" s="16">
        <v>16.399999999999999</v>
      </c>
      <c r="K10" s="17">
        <f t="shared" ref="K10:K96" si="2">AP10-AO10</f>
        <v>17.599999999999909</v>
      </c>
      <c r="L10" s="17">
        <v>1551.36</v>
      </c>
      <c r="M10" s="17">
        <v>1568.96</v>
      </c>
      <c r="N10" s="17">
        <v>1586.56</v>
      </c>
      <c r="O10" s="17">
        <v>1604.16</v>
      </c>
      <c r="P10" s="17">
        <v>1621.76</v>
      </c>
      <c r="Q10" s="17">
        <v>1639.36</v>
      </c>
      <c r="R10" s="17">
        <v>1656.96</v>
      </c>
      <c r="S10" s="17">
        <v>1674.56</v>
      </c>
      <c r="T10" s="17">
        <v>1692.16</v>
      </c>
      <c r="U10" s="17">
        <v>1709.76</v>
      </c>
      <c r="V10" s="17">
        <v>1727.36</v>
      </c>
      <c r="W10" s="17">
        <v>1744.96</v>
      </c>
      <c r="X10" s="17">
        <v>1762.56</v>
      </c>
      <c r="Y10" s="17">
        <v>1780.16</v>
      </c>
      <c r="Z10" s="17">
        <v>1797.76</v>
      </c>
      <c r="AA10" s="17">
        <v>1815.36</v>
      </c>
      <c r="AB10" s="17">
        <v>1832.96</v>
      </c>
      <c r="AC10" s="17">
        <v>1850.56</v>
      </c>
      <c r="AD10" s="17">
        <v>1868.16</v>
      </c>
      <c r="AE10" s="17">
        <v>1885.76</v>
      </c>
      <c r="AF10" s="17">
        <v>1903.36</v>
      </c>
      <c r="AG10" s="17">
        <v>1920.96</v>
      </c>
      <c r="AH10" s="17">
        <v>1938.56</v>
      </c>
      <c r="AI10" s="17">
        <v>1956.16</v>
      </c>
      <c r="AJ10" s="17">
        <v>1973.76</v>
      </c>
      <c r="AK10" s="17">
        <v>1991.36</v>
      </c>
      <c r="AL10" s="17">
        <v>2008.96</v>
      </c>
      <c r="AM10" s="17">
        <v>2026.56</v>
      </c>
      <c r="AN10" s="17">
        <v>2044.16</v>
      </c>
      <c r="AO10" s="17">
        <v>2061.7600000000002</v>
      </c>
      <c r="AP10" s="17">
        <v>2079.36</v>
      </c>
      <c r="AQ10" s="17">
        <v>2096.96</v>
      </c>
      <c r="AR10" s="17">
        <v>2114.56</v>
      </c>
      <c r="AS10" s="17">
        <v>2132.16</v>
      </c>
      <c r="AT10" s="17">
        <v>2149.7600000000002</v>
      </c>
      <c r="AU10" s="17">
        <v>2167.36</v>
      </c>
      <c r="AV10" s="17">
        <v>2184.96</v>
      </c>
      <c r="AW10" s="17">
        <v>2202.56</v>
      </c>
      <c r="AX10" s="17">
        <v>2220.16</v>
      </c>
      <c r="AY10" s="17">
        <v>2237.7600000000002</v>
      </c>
      <c r="AZ10" s="17">
        <v>2255.36</v>
      </c>
      <c r="BA10" s="17">
        <f t="shared" ref="BA10:BK23" si="3">ROUND(AZ10+$K10,2)</f>
        <v>2272.96</v>
      </c>
      <c r="BB10" s="17">
        <f t="shared" si="3"/>
        <v>2290.56</v>
      </c>
      <c r="BC10" s="17">
        <f t="shared" si="3"/>
        <v>2308.16</v>
      </c>
      <c r="BD10" s="17">
        <f t="shared" si="3"/>
        <v>2325.7600000000002</v>
      </c>
      <c r="BE10" s="17">
        <f t="shared" si="3"/>
        <v>2343.36</v>
      </c>
      <c r="BF10" s="17">
        <f t="shared" si="3"/>
        <v>2360.96</v>
      </c>
      <c r="BG10" s="17">
        <f t="shared" si="3"/>
        <v>2378.56</v>
      </c>
      <c r="BH10" s="17">
        <f t="shared" si="3"/>
        <v>2396.16</v>
      </c>
      <c r="BI10" s="17">
        <f t="shared" si="3"/>
        <v>2413.7600000000002</v>
      </c>
      <c r="BJ10" s="17">
        <f t="shared" si="3"/>
        <v>2431.36</v>
      </c>
      <c r="BK10" s="17">
        <f t="shared" si="3"/>
        <v>2448.96</v>
      </c>
    </row>
    <row r="11" spans="1:63" s="18" customFormat="1" hidden="1">
      <c r="A11" s="14" t="s">
        <v>26</v>
      </c>
      <c r="B11" s="54"/>
      <c r="C11" s="14" t="s">
        <v>20</v>
      </c>
      <c r="D11" s="14" t="s">
        <v>21</v>
      </c>
      <c r="E11" s="14" t="s">
        <v>27</v>
      </c>
      <c r="F11" s="14" t="s">
        <v>23</v>
      </c>
      <c r="H11" s="110"/>
      <c r="I11" s="15">
        <v>6.4</v>
      </c>
      <c r="J11" s="18">
        <v>16.399999999999999</v>
      </c>
      <c r="K11" s="17">
        <f t="shared" si="2"/>
        <v>16.769999999999982</v>
      </c>
      <c r="L11" s="17">
        <v>1699.14</v>
      </c>
      <c r="M11" s="17">
        <v>1715.9</v>
      </c>
      <c r="N11" s="17">
        <v>1732.67</v>
      </c>
      <c r="O11" s="17">
        <v>1749.44</v>
      </c>
      <c r="P11" s="17">
        <v>1766.21</v>
      </c>
      <c r="Q11" s="17">
        <v>1782.98</v>
      </c>
      <c r="R11" s="17">
        <v>1799.74</v>
      </c>
      <c r="S11" s="17">
        <v>1816.51</v>
      </c>
      <c r="T11" s="17">
        <v>1833.28</v>
      </c>
      <c r="U11" s="17">
        <v>1850.05</v>
      </c>
      <c r="V11" s="17">
        <v>1866.82</v>
      </c>
      <c r="W11" s="17">
        <v>1883.58</v>
      </c>
      <c r="X11" s="17">
        <v>1900.35</v>
      </c>
      <c r="Y11" s="17">
        <v>1917.12</v>
      </c>
      <c r="Z11" s="17">
        <v>1933.89</v>
      </c>
      <c r="AA11" s="17">
        <v>1950.66</v>
      </c>
      <c r="AB11" s="17">
        <v>1967.42</v>
      </c>
      <c r="AC11" s="17">
        <v>1984.19</v>
      </c>
      <c r="AD11" s="17">
        <v>2000.96</v>
      </c>
      <c r="AE11" s="17">
        <v>2017.73</v>
      </c>
      <c r="AF11" s="17">
        <v>2034.5</v>
      </c>
      <c r="AG11" s="17">
        <v>2051.2600000000002</v>
      </c>
      <c r="AH11" s="17">
        <v>2068.0300000000002</v>
      </c>
      <c r="AI11" s="17">
        <v>2084.8000000000002</v>
      </c>
      <c r="AJ11" s="17">
        <v>2101.5700000000002</v>
      </c>
      <c r="AK11" s="17">
        <v>2118.34</v>
      </c>
      <c r="AL11" s="17">
        <v>2135.1</v>
      </c>
      <c r="AM11" s="17">
        <v>2151.87</v>
      </c>
      <c r="AN11" s="17">
        <v>2168.64</v>
      </c>
      <c r="AO11" s="17">
        <v>2185.41</v>
      </c>
      <c r="AP11" s="17">
        <v>2202.1799999999998</v>
      </c>
      <c r="AQ11" s="17">
        <v>2218.94</v>
      </c>
      <c r="AR11" s="17">
        <v>2235.71</v>
      </c>
      <c r="AS11" s="17">
        <v>2252.48</v>
      </c>
      <c r="AT11" s="17">
        <v>2269.25</v>
      </c>
      <c r="AU11" s="17">
        <v>2286.02</v>
      </c>
      <c r="AV11" s="17">
        <v>2302.7800000000002</v>
      </c>
      <c r="AW11" s="17">
        <v>2319.5500000000002</v>
      </c>
      <c r="AX11" s="17">
        <v>2336.3200000000002</v>
      </c>
      <c r="AY11" s="17">
        <v>2353.09</v>
      </c>
      <c r="AZ11" s="17">
        <v>2369.86</v>
      </c>
      <c r="BA11" s="17">
        <f t="shared" si="3"/>
        <v>2386.63</v>
      </c>
      <c r="BB11" s="17">
        <f t="shared" si="3"/>
        <v>2403.4</v>
      </c>
      <c r="BC11" s="17">
        <f t="shared" si="3"/>
        <v>2420.17</v>
      </c>
      <c r="BD11" s="17">
        <f t="shared" si="3"/>
        <v>2436.94</v>
      </c>
      <c r="BE11" s="17">
        <f t="shared" si="3"/>
        <v>2453.71</v>
      </c>
      <c r="BF11" s="17">
        <f t="shared" si="3"/>
        <v>2470.48</v>
      </c>
      <c r="BG11" s="17">
        <f t="shared" si="3"/>
        <v>2487.25</v>
      </c>
      <c r="BH11" s="17">
        <f t="shared" si="3"/>
        <v>2504.02</v>
      </c>
      <c r="BI11" s="17">
        <f t="shared" si="3"/>
        <v>2520.79</v>
      </c>
      <c r="BJ11" s="17">
        <f t="shared" si="3"/>
        <v>2537.56</v>
      </c>
      <c r="BK11" s="17">
        <f t="shared" si="3"/>
        <v>2554.33</v>
      </c>
    </row>
    <row r="12" spans="1:63" ht="15" hidden="1">
      <c r="A12" s="8" t="s">
        <v>28</v>
      </c>
      <c r="C12" s="14" t="s">
        <v>29</v>
      </c>
      <c r="D12" s="14" t="s">
        <v>30</v>
      </c>
      <c r="E12" s="57" t="s">
        <v>231</v>
      </c>
      <c r="F12" s="47" t="s">
        <v>32</v>
      </c>
      <c r="G12" s="35"/>
      <c r="H12" s="60"/>
      <c r="I12" s="9" t="s">
        <v>33</v>
      </c>
      <c r="J12" s="9" t="s">
        <v>33</v>
      </c>
      <c r="K12" s="17">
        <v>16.420000000000002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>
        <v>2030.68</v>
      </c>
      <c r="AQ12" s="17">
        <f t="shared" ref="AQ12:BK12" si="4">AP12+$K12</f>
        <v>2047.1000000000001</v>
      </c>
      <c r="AR12" s="17">
        <f t="shared" si="4"/>
        <v>2063.52</v>
      </c>
      <c r="AS12" s="17">
        <f t="shared" si="4"/>
        <v>2079.94</v>
      </c>
      <c r="AT12" s="17">
        <f t="shared" si="4"/>
        <v>2096.36</v>
      </c>
      <c r="AU12" s="17">
        <f t="shared" si="4"/>
        <v>2112.7800000000002</v>
      </c>
      <c r="AV12" s="17">
        <f t="shared" si="4"/>
        <v>2129.2000000000003</v>
      </c>
      <c r="AW12" s="17">
        <f t="shared" si="4"/>
        <v>2145.6200000000003</v>
      </c>
      <c r="AX12" s="17">
        <f t="shared" si="4"/>
        <v>2162.0400000000004</v>
      </c>
      <c r="AY12" s="17">
        <f t="shared" si="4"/>
        <v>2178.4600000000005</v>
      </c>
      <c r="AZ12" s="17">
        <f t="shared" si="4"/>
        <v>2194.8800000000006</v>
      </c>
      <c r="BA12" s="17">
        <f t="shared" si="4"/>
        <v>2211.3000000000006</v>
      </c>
      <c r="BB12" s="17">
        <f t="shared" si="4"/>
        <v>2227.7200000000007</v>
      </c>
      <c r="BC12" s="17">
        <f t="shared" si="4"/>
        <v>2244.1400000000008</v>
      </c>
      <c r="BD12" s="17">
        <f t="shared" si="4"/>
        <v>2260.5600000000009</v>
      </c>
      <c r="BE12" s="17">
        <f t="shared" si="4"/>
        <v>2276.9800000000009</v>
      </c>
      <c r="BF12" s="17">
        <f t="shared" si="4"/>
        <v>2293.400000000001</v>
      </c>
      <c r="BG12" s="17">
        <f t="shared" si="4"/>
        <v>2309.8200000000011</v>
      </c>
      <c r="BH12" s="17">
        <f t="shared" si="4"/>
        <v>2326.2400000000011</v>
      </c>
      <c r="BI12" s="17">
        <f t="shared" si="4"/>
        <v>2342.6600000000012</v>
      </c>
      <c r="BJ12" s="17">
        <f t="shared" si="4"/>
        <v>2359.0800000000013</v>
      </c>
      <c r="BK12" s="17">
        <f t="shared" si="4"/>
        <v>2375.5000000000014</v>
      </c>
    </row>
    <row r="13" spans="1:63" hidden="1">
      <c r="A13" s="8" t="s">
        <v>34</v>
      </c>
      <c r="C13" s="14" t="s">
        <v>29</v>
      </c>
      <c r="D13" s="8" t="s">
        <v>35</v>
      </c>
      <c r="E13" s="57" t="s">
        <v>231</v>
      </c>
      <c r="F13" s="8" t="s">
        <v>32</v>
      </c>
      <c r="H13" s="139"/>
      <c r="I13" s="9" t="s">
        <v>33</v>
      </c>
      <c r="J13" s="9" t="s">
        <v>33</v>
      </c>
      <c r="K13" s="17">
        <v>20.51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>
        <v>3018.37</v>
      </c>
      <c r="AQ13" s="17">
        <f t="shared" ref="AQ13:BK13" si="5">AP13+$K13</f>
        <v>3038.88</v>
      </c>
      <c r="AR13" s="17">
        <f t="shared" si="5"/>
        <v>3059.3900000000003</v>
      </c>
      <c r="AS13" s="17">
        <f t="shared" si="5"/>
        <v>3079.9000000000005</v>
      </c>
      <c r="AT13" s="17">
        <f t="shared" si="5"/>
        <v>3100.4100000000008</v>
      </c>
      <c r="AU13" s="17">
        <f t="shared" si="5"/>
        <v>3120.920000000001</v>
      </c>
      <c r="AV13" s="17">
        <f t="shared" si="5"/>
        <v>3141.4300000000012</v>
      </c>
      <c r="AW13" s="17">
        <f t="shared" si="5"/>
        <v>3161.9400000000014</v>
      </c>
      <c r="AX13" s="17">
        <f t="shared" si="5"/>
        <v>3182.4500000000016</v>
      </c>
      <c r="AY13" s="17">
        <f t="shared" si="5"/>
        <v>3202.9600000000019</v>
      </c>
      <c r="AZ13" s="17">
        <f t="shared" si="5"/>
        <v>3223.4700000000021</v>
      </c>
      <c r="BA13" s="17">
        <f t="shared" si="5"/>
        <v>3243.9800000000023</v>
      </c>
      <c r="BB13" s="17">
        <f t="shared" si="5"/>
        <v>3264.4900000000025</v>
      </c>
      <c r="BC13" s="17">
        <f t="shared" si="5"/>
        <v>3285.0000000000027</v>
      </c>
      <c r="BD13" s="17">
        <f t="shared" si="5"/>
        <v>3305.5100000000029</v>
      </c>
      <c r="BE13" s="17">
        <f t="shared" si="5"/>
        <v>3326.0200000000032</v>
      </c>
      <c r="BF13" s="17">
        <f t="shared" si="5"/>
        <v>3346.5300000000034</v>
      </c>
      <c r="BG13" s="17">
        <f t="shared" si="5"/>
        <v>3367.0400000000036</v>
      </c>
      <c r="BH13" s="17">
        <f t="shared" si="5"/>
        <v>3387.5500000000038</v>
      </c>
      <c r="BI13" s="17">
        <f t="shared" si="5"/>
        <v>3408.060000000004</v>
      </c>
      <c r="BJ13" s="17">
        <f t="shared" si="5"/>
        <v>3428.5700000000043</v>
      </c>
      <c r="BK13" s="17">
        <f t="shared" si="5"/>
        <v>3449.0800000000045</v>
      </c>
    </row>
    <row r="14" spans="1:63" s="18" customFormat="1" hidden="1">
      <c r="A14" s="14" t="s">
        <v>36</v>
      </c>
      <c r="B14" s="54"/>
      <c r="C14" s="14" t="s">
        <v>20</v>
      </c>
      <c r="D14" s="14" t="s">
        <v>21</v>
      </c>
      <c r="E14" s="14" t="s">
        <v>27</v>
      </c>
      <c r="F14" s="14" t="s">
        <v>23</v>
      </c>
      <c r="H14" s="110"/>
      <c r="I14" s="15">
        <v>6.4</v>
      </c>
      <c r="J14" s="18">
        <v>16.399999999999999</v>
      </c>
      <c r="K14" s="17">
        <f t="shared" si="2"/>
        <v>16.760000000000218</v>
      </c>
      <c r="L14" s="17">
        <v>1681.34</v>
      </c>
      <c r="M14" s="17">
        <v>1698.11</v>
      </c>
      <c r="N14" s="17">
        <v>1714.88</v>
      </c>
      <c r="O14" s="17">
        <v>1731.65</v>
      </c>
      <c r="P14" s="17">
        <v>1748.42</v>
      </c>
      <c r="Q14" s="17">
        <v>1765.18</v>
      </c>
      <c r="R14" s="17">
        <v>1781.95</v>
      </c>
      <c r="S14" s="17">
        <v>1798.72</v>
      </c>
      <c r="T14" s="17">
        <v>1815.49</v>
      </c>
      <c r="U14" s="17">
        <v>1832.26</v>
      </c>
      <c r="V14" s="17">
        <v>1849.02</v>
      </c>
      <c r="W14" s="17">
        <v>1865.79</v>
      </c>
      <c r="X14" s="17">
        <v>1882.56</v>
      </c>
      <c r="Y14" s="17">
        <v>1899.33</v>
      </c>
      <c r="Z14" s="17">
        <v>1916.1</v>
      </c>
      <c r="AA14" s="17">
        <v>1932.86</v>
      </c>
      <c r="AB14" s="17">
        <v>1949.63</v>
      </c>
      <c r="AC14" s="17">
        <v>1966.4</v>
      </c>
      <c r="AD14" s="17">
        <v>1983.17</v>
      </c>
      <c r="AE14" s="17">
        <v>1999.94</v>
      </c>
      <c r="AF14" s="17">
        <v>2016.7</v>
      </c>
      <c r="AG14" s="17">
        <v>2033.47</v>
      </c>
      <c r="AH14" s="17">
        <v>2050.2399999999998</v>
      </c>
      <c r="AI14" s="17">
        <v>2067.0100000000002</v>
      </c>
      <c r="AJ14" s="17">
        <v>2083.7800000000002</v>
      </c>
      <c r="AK14" s="17">
        <v>2100.54</v>
      </c>
      <c r="AL14" s="17">
        <v>2117.31</v>
      </c>
      <c r="AM14" s="17">
        <v>2134.08</v>
      </c>
      <c r="AN14" s="17">
        <v>2150.85</v>
      </c>
      <c r="AO14" s="17">
        <v>2167.62</v>
      </c>
      <c r="AP14" s="17">
        <v>2184.38</v>
      </c>
      <c r="AQ14" s="17">
        <v>2201.15</v>
      </c>
      <c r="AR14" s="17">
        <v>2217.92</v>
      </c>
      <c r="AS14" s="17">
        <v>2234.69</v>
      </c>
      <c r="AT14" s="17">
        <v>2251.46</v>
      </c>
      <c r="AU14" s="17">
        <v>2268.2199999999998</v>
      </c>
      <c r="AV14" s="17">
        <v>2284.9899999999998</v>
      </c>
      <c r="AW14" s="17">
        <v>2301.7600000000002</v>
      </c>
      <c r="AX14" s="17">
        <v>2318.5300000000002</v>
      </c>
      <c r="AY14" s="17">
        <v>2335.3000000000002</v>
      </c>
      <c r="AZ14" s="17">
        <v>2352.06</v>
      </c>
      <c r="BA14" s="17">
        <f t="shared" si="3"/>
        <v>2368.8200000000002</v>
      </c>
      <c r="BB14" s="17">
        <f t="shared" si="3"/>
        <v>2385.58</v>
      </c>
      <c r="BC14" s="17">
        <f t="shared" si="3"/>
        <v>2402.34</v>
      </c>
      <c r="BD14" s="17">
        <f t="shared" si="3"/>
        <v>2419.1</v>
      </c>
      <c r="BE14" s="17">
        <f t="shared" si="3"/>
        <v>2435.86</v>
      </c>
      <c r="BF14" s="17">
        <f t="shared" si="3"/>
        <v>2452.62</v>
      </c>
      <c r="BG14" s="17">
        <f t="shared" si="3"/>
        <v>2469.38</v>
      </c>
      <c r="BH14" s="17">
        <f t="shared" si="3"/>
        <v>2486.14</v>
      </c>
      <c r="BI14" s="17">
        <f t="shared" si="3"/>
        <v>2502.9</v>
      </c>
      <c r="BJ14" s="17">
        <f t="shared" si="3"/>
        <v>2519.66</v>
      </c>
      <c r="BK14" s="17">
        <f t="shared" si="3"/>
        <v>2536.42</v>
      </c>
    </row>
    <row r="15" spans="1:63" s="18" customFormat="1" hidden="1">
      <c r="A15" s="14" t="s">
        <v>37</v>
      </c>
      <c r="B15" s="54"/>
      <c r="C15" s="14" t="s">
        <v>20</v>
      </c>
      <c r="D15" s="14" t="s">
        <v>21</v>
      </c>
      <c r="E15" s="14" t="s">
        <v>31</v>
      </c>
      <c r="F15" s="14" t="s">
        <v>23</v>
      </c>
      <c r="H15" s="110"/>
      <c r="I15" s="15">
        <v>6.4</v>
      </c>
      <c r="J15" s="126">
        <v>15</v>
      </c>
      <c r="K15" s="17">
        <v>15.81</v>
      </c>
      <c r="L15" s="17">
        <v>1245.74</v>
      </c>
      <c r="M15" s="17">
        <f>L15+$K15</f>
        <v>1261.55</v>
      </c>
      <c r="N15" s="17">
        <f t="shared" ref="N15:AZ15" si="6">M15+$K15</f>
        <v>1277.3599999999999</v>
      </c>
      <c r="O15" s="17">
        <f t="shared" si="6"/>
        <v>1293.1699999999998</v>
      </c>
      <c r="P15" s="17">
        <f t="shared" si="6"/>
        <v>1308.9799999999998</v>
      </c>
      <c r="Q15" s="17">
        <f t="shared" si="6"/>
        <v>1324.7899999999997</v>
      </c>
      <c r="R15" s="17">
        <f t="shared" si="6"/>
        <v>1340.5999999999997</v>
      </c>
      <c r="S15" s="17">
        <f t="shared" si="6"/>
        <v>1356.4099999999996</v>
      </c>
      <c r="T15" s="17">
        <f t="shared" si="6"/>
        <v>1372.2199999999996</v>
      </c>
      <c r="U15" s="17">
        <f t="shared" si="6"/>
        <v>1388.0299999999995</v>
      </c>
      <c r="V15" s="17">
        <f t="shared" si="6"/>
        <v>1403.8399999999995</v>
      </c>
      <c r="W15" s="17">
        <f t="shared" si="6"/>
        <v>1419.6499999999994</v>
      </c>
      <c r="X15" s="17">
        <f t="shared" si="6"/>
        <v>1435.4599999999994</v>
      </c>
      <c r="Y15" s="17">
        <f t="shared" si="6"/>
        <v>1451.2699999999993</v>
      </c>
      <c r="Z15" s="17">
        <f t="shared" si="6"/>
        <v>1467.0799999999992</v>
      </c>
      <c r="AA15" s="17">
        <f t="shared" si="6"/>
        <v>1482.8899999999992</v>
      </c>
      <c r="AB15" s="17">
        <f t="shared" si="6"/>
        <v>1498.6999999999991</v>
      </c>
      <c r="AC15" s="17">
        <f t="shared" si="6"/>
        <v>1514.5099999999991</v>
      </c>
      <c r="AD15" s="17">
        <f t="shared" si="6"/>
        <v>1530.319999999999</v>
      </c>
      <c r="AE15" s="17">
        <f t="shared" si="6"/>
        <v>1546.129999999999</v>
      </c>
      <c r="AF15" s="17">
        <f t="shared" si="6"/>
        <v>1561.9399999999989</v>
      </c>
      <c r="AG15" s="17">
        <f t="shared" si="6"/>
        <v>1577.7499999999989</v>
      </c>
      <c r="AH15" s="17">
        <f t="shared" si="6"/>
        <v>1593.5599999999988</v>
      </c>
      <c r="AI15" s="17">
        <f t="shared" si="6"/>
        <v>1609.3699999999988</v>
      </c>
      <c r="AJ15" s="17">
        <f t="shared" si="6"/>
        <v>1625.1799999999987</v>
      </c>
      <c r="AK15" s="17">
        <f t="shared" si="6"/>
        <v>1640.9899999999986</v>
      </c>
      <c r="AL15" s="17">
        <f t="shared" si="6"/>
        <v>1656.7999999999986</v>
      </c>
      <c r="AM15" s="17">
        <f t="shared" si="6"/>
        <v>1672.6099999999985</v>
      </c>
      <c r="AN15" s="17">
        <f t="shared" si="6"/>
        <v>1688.4199999999985</v>
      </c>
      <c r="AO15" s="17">
        <f t="shared" si="6"/>
        <v>1704.2299999999984</v>
      </c>
      <c r="AP15" s="17">
        <f t="shared" si="6"/>
        <v>1720.0399999999984</v>
      </c>
      <c r="AQ15" s="17">
        <f t="shared" si="6"/>
        <v>1735.8499999999983</v>
      </c>
      <c r="AR15" s="17">
        <f t="shared" si="6"/>
        <v>1751.6599999999983</v>
      </c>
      <c r="AS15" s="17">
        <f t="shared" si="6"/>
        <v>1767.4699999999982</v>
      </c>
      <c r="AT15" s="17">
        <f t="shared" si="6"/>
        <v>1783.2799999999982</v>
      </c>
      <c r="AU15" s="17">
        <f t="shared" si="6"/>
        <v>1799.0899999999981</v>
      </c>
      <c r="AV15" s="17">
        <f t="shared" si="6"/>
        <v>1814.899999999998</v>
      </c>
      <c r="AW15" s="17">
        <f t="shared" si="6"/>
        <v>1830.709999999998</v>
      </c>
      <c r="AX15" s="17">
        <f t="shared" si="6"/>
        <v>1846.5199999999979</v>
      </c>
      <c r="AY15" s="17">
        <f t="shared" si="6"/>
        <v>1862.3299999999979</v>
      </c>
      <c r="AZ15" s="17">
        <f t="shared" si="6"/>
        <v>1878.1399999999978</v>
      </c>
      <c r="BA15" s="17">
        <f t="shared" si="3"/>
        <v>1893.95</v>
      </c>
      <c r="BB15" s="17">
        <f t="shared" si="3"/>
        <v>1909.76</v>
      </c>
      <c r="BC15" s="17">
        <f t="shared" si="3"/>
        <v>1925.57</v>
      </c>
      <c r="BD15" s="17">
        <f t="shared" si="3"/>
        <v>1941.38</v>
      </c>
      <c r="BE15" s="17">
        <f t="shared" si="3"/>
        <v>1957.19</v>
      </c>
      <c r="BF15" s="17">
        <f t="shared" si="3"/>
        <v>1973</v>
      </c>
      <c r="BG15" s="17">
        <f t="shared" si="3"/>
        <v>1988.81</v>
      </c>
      <c r="BH15" s="17">
        <f t="shared" si="3"/>
        <v>2004.62</v>
      </c>
      <c r="BI15" s="17">
        <f t="shared" si="3"/>
        <v>2020.43</v>
      </c>
      <c r="BJ15" s="17">
        <f t="shared" si="3"/>
        <v>2036.24</v>
      </c>
      <c r="BK15" s="17">
        <f t="shared" si="3"/>
        <v>2052.0500000000002</v>
      </c>
    </row>
    <row r="16" spans="1:63" s="18" customFormat="1" hidden="1">
      <c r="A16" s="167" t="s">
        <v>38</v>
      </c>
      <c r="B16" s="295"/>
      <c r="C16" s="167" t="s">
        <v>20</v>
      </c>
      <c r="D16" s="167" t="s">
        <v>21</v>
      </c>
      <c r="E16" s="167" t="s">
        <v>39</v>
      </c>
      <c r="F16" s="167" t="s">
        <v>23</v>
      </c>
      <c r="G16" s="169"/>
      <c r="H16" s="313"/>
      <c r="I16" s="168">
        <v>6.4</v>
      </c>
      <c r="J16" s="170">
        <v>15</v>
      </c>
      <c r="K16" s="166">
        <f>AP16-AO16</f>
        <v>15.809999999999945</v>
      </c>
      <c r="L16" s="166">
        <v>1311.3</v>
      </c>
      <c r="M16" s="166">
        <v>1327.1</v>
      </c>
      <c r="N16" s="166">
        <v>1342.91</v>
      </c>
      <c r="O16" s="166">
        <v>1358.72</v>
      </c>
      <c r="P16" s="166">
        <v>1374.53</v>
      </c>
      <c r="Q16" s="166">
        <v>1390.34</v>
      </c>
      <c r="R16" s="166">
        <v>1406.14</v>
      </c>
      <c r="S16" s="166">
        <v>1421.95</v>
      </c>
      <c r="T16" s="166">
        <v>1437.76</v>
      </c>
      <c r="U16" s="166">
        <v>1453.57</v>
      </c>
      <c r="V16" s="166">
        <v>1469.38</v>
      </c>
      <c r="W16" s="166">
        <v>1485.18</v>
      </c>
      <c r="X16" s="166">
        <v>1500.99</v>
      </c>
      <c r="Y16" s="166">
        <v>1516.8</v>
      </c>
      <c r="Z16" s="166">
        <v>1532.61</v>
      </c>
      <c r="AA16" s="166">
        <v>1548.42</v>
      </c>
      <c r="AB16" s="166">
        <v>1564.22</v>
      </c>
      <c r="AC16" s="166">
        <v>1580.03</v>
      </c>
      <c r="AD16" s="166">
        <v>1595.84</v>
      </c>
      <c r="AE16" s="166">
        <v>1611.65</v>
      </c>
      <c r="AF16" s="166">
        <v>1627.46</v>
      </c>
      <c r="AG16" s="166">
        <v>1643.26</v>
      </c>
      <c r="AH16" s="166">
        <v>1659.07</v>
      </c>
      <c r="AI16" s="166">
        <v>1674.88</v>
      </c>
      <c r="AJ16" s="166">
        <v>1690.69</v>
      </c>
      <c r="AK16" s="166">
        <v>1706.5</v>
      </c>
      <c r="AL16" s="166">
        <v>1722.3</v>
      </c>
      <c r="AM16" s="166">
        <v>1738.11</v>
      </c>
      <c r="AN16" s="166">
        <v>1753.92</v>
      </c>
      <c r="AO16" s="166">
        <v>1769.73</v>
      </c>
      <c r="AP16" s="166">
        <v>1785.54</v>
      </c>
      <c r="AQ16" s="166">
        <v>1801.34</v>
      </c>
      <c r="AR16" s="166">
        <v>1817.15</v>
      </c>
      <c r="AS16" s="166">
        <v>1832.96</v>
      </c>
      <c r="AT16" s="166">
        <v>1848.77</v>
      </c>
      <c r="AU16" s="166">
        <v>1864.58</v>
      </c>
      <c r="AV16" s="166">
        <v>1880.38</v>
      </c>
      <c r="AW16" s="166">
        <v>1896.19</v>
      </c>
      <c r="AX16" s="166">
        <v>1912</v>
      </c>
      <c r="AY16" s="166">
        <v>1927.81</v>
      </c>
      <c r="AZ16" s="166">
        <v>1943.62</v>
      </c>
      <c r="BA16" s="166">
        <f t="shared" si="3"/>
        <v>1959.43</v>
      </c>
      <c r="BB16" s="166">
        <f t="shared" si="3"/>
        <v>1975.24</v>
      </c>
      <c r="BC16" s="166">
        <f t="shared" si="3"/>
        <v>1991.05</v>
      </c>
      <c r="BD16" s="166">
        <f t="shared" si="3"/>
        <v>2006.86</v>
      </c>
      <c r="BE16" s="166">
        <f t="shared" si="3"/>
        <v>2022.67</v>
      </c>
      <c r="BF16" s="166">
        <f t="shared" si="3"/>
        <v>2038.48</v>
      </c>
      <c r="BG16" s="166">
        <f t="shared" si="3"/>
        <v>2054.29</v>
      </c>
      <c r="BH16" s="166">
        <f t="shared" si="3"/>
        <v>2070.1</v>
      </c>
      <c r="BI16" s="166">
        <f t="shared" si="3"/>
        <v>2085.91</v>
      </c>
      <c r="BJ16" s="166">
        <f t="shared" si="3"/>
        <v>2101.7199999999998</v>
      </c>
      <c r="BK16" s="166">
        <f t="shared" si="3"/>
        <v>2117.5300000000002</v>
      </c>
    </row>
    <row r="17" spans="1:63" s="35" customFormat="1" hidden="1">
      <c r="A17" s="57" t="s">
        <v>38</v>
      </c>
      <c r="B17" s="124"/>
      <c r="C17" s="57" t="s">
        <v>20</v>
      </c>
      <c r="D17" s="57" t="s">
        <v>21</v>
      </c>
      <c r="E17" s="57" t="s">
        <v>39</v>
      </c>
      <c r="F17" s="57" t="s">
        <v>23</v>
      </c>
      <c r="G17" s="124" t="s">
        <v>40</v>
      </c>
      <c r="H17" s="60"/>
      <c r="I17" s="44">
        <v>6.4</v>
      </c>
      <c r="J17" s="124">
        <v>15</v>
      </c>
      <c r="K17" s="17">
        <v>14.45</v>
      </c>
      <c r="L17" s="17">
        <f t="shared" ref="L17:AN17" si="7">M17-$K17</f>
        <v>1209.1999999999987</v>
      </c>
      <c r="M17" s="17">
        <f t="shared" si="7"/>
        <v>1223.6499999999987</v>
      </c>
      <c r="N17" s="17">
        <f t="shared" si="7"/>
        <v>1238.0999999999988</v>
      </c>
      <c r="O17" s="17">
        <f t="shared" si="7"/>
        <v>1252.5499999999988</v>
      </c>
      <c r="P17" s="17">
        <f t="shared" si="7"/>
        <v>1266.9999999999989</v>
      </c>
      <c r="Q17" s="17">
        <f t="shared" si="7"/>
        <v>1281.4499999999989</v>
      </c>
      <c r="R17" s="17">
        <f t="shared" si="7"/>
        <v>1295.899999999999</v>
      </c>
      <c r="S17" s="17">
        <f t="shared" si="7"/>
        <v>1310.349999999999</v>
      </c>
      <c r="T17" s="17">
        <f t="shared" si="7"/>
        <v>1324.799999999999</v>
      </c>
      <c r="U17" s="17">
        <f t="shared" si="7"/>
        <v>1339.2499999999991</v>
      </c>
      <c r="V17" s="17">
        <f t="shared" si="7"/>
        <v>1353.6999999999991</v>
      </c>
      <c r="W17" s="17">
        <f t="shared" si="7"/>
        <v>1368.1499999999992</v>
      </c>
      <c r="X17" s="17">
        <f t="shared" si="7"/>
        <v>1382.5999999999992</v>
      </c>
      <c r="Y17" s="17">
        <f t="shared" si="7"/>
        <v>1397.0499999999993</v>
      </c>
      <c r="Z17" s="17">
        <f t="shared" si="7"/>
        <v>1411.4999999999993</v>
      </c>
      <c r="AA17" s="17">
        <f t="shared" si="7"/>
        <v>1425.9499999999994</v>
      </c>
      <c r="AB17" s="17">
        <f t="shared" si="7"/>
        <v>1440.3999999999994</v>
      </c>
      <c r="AC17" s="17">
        <f t="shared" si="7"/>
        <v>1454.8499999999995</v>
      </c>
      <c r="AD17" s="17">
        <f t="shared" si="7"/>
        <v>1469.2999999999995</v>
      </c>
      <c r="AE17" s="17">
        <f t="shared" si="7"/>
        <v>1483.7499999999995</v>
      </c>
      <c r="AF17" s="17">
        <f t="shared" si="7"/>
        <v>1498.1999999999996</v>
      </c>
      <c r="AG17" s="17">
        <f t="shared" si="7"/>
        <v>1512.6499999999996</v>
      </c>
      <c r="AH17" s="17">
        <f t="shared" si="7"/>
        <v>1527.0999999999997</v>
      </c>
      <c r="AI17" s="17">
        <f t="shared" si="7"/>
        <v>1541.5499999999997</v>
      </c>
      <c r="AJ17" s="17">
        <f t="shared" si="7"/>
        <v>1555.9999999999998</v>
      </c>
      <c r="AK17" s="17">
        <f t="shared" si="7"/>
        <v>1570.4499999999998</v>
      </c>
      <c r="AL17" s="17">
        <f t="shared" si="7"/>
        <v>1584.8999999999999</v>
      </c>
      <c r="AM17" s="17">
        <f t="shared" si="7"/>
        <v>1599.35</v>
      </c>
      <c r="AN17" s="17">
        <f t="shared" si="7"/>
        <v>1613.8</v>
      </c>
      <c r="AO17" s="17">
        <f>AP17-$K17</f>
        <v>1628.25</v>
      </c>
      <c r="AP17" s="17">
        <v>1642.7</v>
      </c>
      <c r="AQ17" s="17">
        <f>AP17+$K17</f>
        <v>1657.15</v>
      </c>
      <c r="AR17" s="17">
        <f t="shared" ref="AR17:AZ17" si="8">AQ17+$K17</f>
        <v>1671.6000000000001</v>
      </c>
      <c r="AS17" s="17">
        <f t="shared" si="8"/>
        <v>1686.0500000000002</v>
      </c>
      <c r="AT17" s="17">
        <f t="shared" si="8"/>
        <v>1700.5000000000002</v>
      </c>
      <c r="AU17" s="17">
        <f t="shared" si="8"/>
        <v>1714.9500000000003</v>
      </c>
      <c r="AV17" s="17">
        <f t="shared" si="8"/>
        <v>1729.4000000000003</v>
      </c>
      <c r="AW17" s="17">
        <f t="shared" si="8"/>
        <v>1743.8500000000004</v>
      </c>
      <c r="AX17" s="17">
        <f t="shared" si="8"/>
        <v>1758.3000000000004</v>
      </c>
      <c r="AY17" s="17">
        <f t="shared" si="8"/>
        <v>1772.7500000000005</v>
      </c>
      <c r="AZ17" s="17">
        <f t="shared" si="8"/>
        <v>1787.2000000000005</v>
      </c>
      <c r="BA17" s="17">
        <f t="shared" si="3"/>
        <v>1801.65</v>
      </c>
      <c r="BB17" s="17">
        <f t="shared" si="3"/>
        <v>1816.1</v>
      </c>
      <c r="BC17" s="17">
        <f t="shared" si="3"/>
        <v>1830.55</v>
      </c>
      <c r="BD17" s="17">
        <f t="shared" si="3"/>
        <v>1845</v>
      </c>
      <c r="BE17" s="17">
        <f t="shared" si="3"/>
        <v>1859.45</v>
      </c>
      <c r="BF17" s="17">
        <f t="shared" si="3"/>
        <v>1873.9</v>
      </c>
      <c r="BG17" s="17">
        <f t="shared" si="3"/>
        <v>1888.35</v>
      </c>
      <c r="BH17" s="17">
        <f t="shared" si="3"/>
        <v>1902.8</v>
      </c>
      <c r="BI17" s="17">
        <f t="shared" si="3"/>
        <v>1917.25</v>
      </c>
      <c r="BJ17" s="17">
        <f t="shared" si="3"/>
        <v>1931.7</v>
      </c>
      <c r="BK17" s="17">
        <f t="shared" si="3"/>
        <v>1946.15</v>
      </c>
    </row>
    <row r="18" spans="1:63" s="18" customFormat="1" hidden="1">
      <c r="A18" s="14" t="s">
        <v>41</v>
      </c>
      <c r="B18" s="54"/>
      <c r="C18" s="14" t="s">
        <v>20</v>
      </c>
      <c r="D18" s="14" t="s">
        <v>42</v>
      </c>
      <c r="E18" s="14" t="s">
        <v>31</v>
      </c>
      <c r="F18" s="14" t="s">
        <v>23</v>
      </c>
      <c r="H18" s="110"/>
      <c r="I18" s="15">
        <v>6.4</v>
      </c>
      <c r="J18" s="18">
        <v>20</v>
      </c>
      <c r="K18" s="17">
        <f t="shared" si="2"/>
        <v>26.369999999999891</v>
      </c>
      <c r="L18" s="17">
        <v>1955.84</v>
      </c>
      <c r="M18" s="17">
        <v>1982.21</v>
      </c>
      <c r="N18" s="17">
        <v>2008.58</v>
      </c>
      <c r="O18" s="17">
        <v>2034.94</v>
      </c>
      <c r="P18" s="17">
        <v>2061.31</v>
      </c>
      <c r="Q18" s="17">
        <v>2087.6799999999998</v>
      </c>
      <c r="R18" s="17">
        <v>2114.0500000000002</v>
      </c>
      <c r="S18" s="17">
        <v>2140.42</v>
      </c>
      <c r="T18" s="17">
        <v>2166.7800000000002</v>
      </c>
      <c r="U18" s="17">
        <v>2193.15</v>
      </c>
      <c r="V18" s="17">
        <v>2219.52</v>
      </c>
      <c r="W18" s="17">
        <v>2245.89</v>
      </c>
      <c r="X18" s="17">
        <v>2272.2600000000002</v>
      </c>
      <c r="Y18" s="17">
        <v>2298.62</v>
      </c>
      <c r="Z18" s="17">
        <v>2324.9899999999998</v>
      </c>
      <c r="AA18" s="17">
        <v>2351.36</v>
      </c>
      <c r="AB18" s="17">
        <v>2377.73</v>
      </c>
      <c r="AC18" s="17">
        <v>2404.1</v>
      </c>
      <c r="AD18" s="17">
        <v>2430.46</v>
      </c>
      <c r="AE18" s="17">
        <v>2456.83</v>
      </c>
      <c r="AF18" s="17">
        <v>2483.1999999999998</v>
      </c>
      <c r="AG18" s="17">
        <v>2509.5700000000002</v>
      </c>
      <c r="AH18" s="17">
        <v>2535.94</v>
      </c>
      <c r="AI18" s="17">
        <v>2562.3000000000002</v>
      </c>
      <c r="AJ18" s="17">
        <v>2588.67</v>
      </c>
      <c r="AK18" s="17">
        <v>2615.04</v>
      </c>
      <c r="AL18" s="17">
        <v>2641.41</v>
      </c>
      <c r="AM18" s="17">
        <v>2667.78</v>
      </c>
      <c r="AN18" s="17">
        <v>2694.14</v>
      </c>
      <c r="AO18" s="17">
        <v>2720.51</v>
      </c>
      <c r="AP18" s="17">
        <v>2746.88</v>
      </c>
      <c r="AQ18" s="17">
        <v>2773.25</v>
      </c>
      <c r="AR18" s="17">
        <v>2799.62</v>
      </c>
      <c r="AS18" s="17">
        <v>2825.98</v>
      </c>
      <c r="AT18" s="17">
        <v>2852.35</v>
      </c>
      <c r="AU18" s="17">
        <v>2878.72</v>
      </c>
      <c r="AV18" s="17">
        <v>2905.09</v>
      </c>
      <c r="AW18" s="17">
        <v>2931.46</v>
      </c>
      <c r="AX18" s="17">
        <v>2957.82</v>
      </c>
      <c r="AY18" s="17">
        <v>2984.19</v>
      </c>
      <c r="AZ18" s="17">
        <v>3010.56</v>
      </c>
      <c r="BA18" s="17">
        <f t="shared" si="3"/>
        <v>3036.93</v>
      </c>
      <c r="BB18" s="17">
        <f t="shared" si="3"/>
        <v>3063.3</v>
      </c>
      <c r="BC18" s="17">
        <f t="shared" si="3"/>
        <v>3089.67</v>
      </c>
      <c r="BD18" s="17">
        <f t="shared" si="3"/>
        <v>3116.04</v>
      </c>
      <c r="BE18" s="17">
        <f t="shared" si="3"/>
        <v>3142.41</v>
      </c>
      <c r="BF18" s="17">
        <f t="shared" si="3"/>
        <v>3168.78</v>
      </c>
      <c r="BG18" s="17">
        <f t="shared" si="3"/>
        <v>3195.15</v>
      </c>
      <c r="BH18" s="17">
        <f t="shared" si="3"/>
        <v>3221.52</v>
      </c>
      <c r="BI18" s="17">
        <f t="shared" si="3"/>
        <v>3247.89</v>
      </c>
      <c r="BJ18" s="17">
        <f t="shared" si="3"/>
        <v>3274.26</v>
      </c>
      <c r="BK18" s="17">
        <f t="shared" si="3"/>
        <v>3300.63</v>
      </c>
    </row>
    <row r="19" spans="1:63" s="18" customFormat="1" hidden="1">
      <c r="A19" s="14" t="s">
        <v>43</v>
      </c>
      <c r="B19" s="54"/>
      <c r="C19" s="14" t="s">
        <v>20</v>
      </c>
      <c r="D19" s="14" t="s">
        <v>42</v>
      </c>
      <c r="E19" s="14" t="s">
        <v>39</v>
      </c>
      <c r="F19" s="14" t="s">
        <v>23</v>
      </c>
      <c r="H19" s="110"/>
      <c r="I19" s="15">
        <v>6.4</v>
      </c>
      <c r="J19" s="18">
        <v>20</v>
      </c>
      <c r="K19" s="17">
        <f t="shared" si="2"/>
        <v>28.159999999999854</v>
      </c>
      <c r="L19" s="17">
        <v>2016.38</v>
      </c>
      <c r="M19" s="17">
        <v>2044.54</v>
      </c>
      <c r="N19" s="17">
        <v>2072.6999999999998</v>
      </c>
      <c r="O19" s="17">
        <v>2100.86</v>
      </c>
      <c r="P19" s="17">
        <v>2129.02</v>
      </c>
      <c r="Q19" s="17">
        <v>2157.1799999999998</v>
      </c>
      <c r="R19" s="17">
        <v>2185.34</v>
      </c>
      <c r="S19" s="17">
        <v>2213.5</v>
      </c>
      <c r="T19" s="17">
        <v>2241.66</v>
      </c>
      <c r="U19" s="17">
        <v>2269.8200000000002</v>
      </c>
      <c r="V19" s="17">
        <v>2297.98</v>
      </c>
      <c r="W19" s="17">
        <v>2326.14</v>
      </c>
      <c r="X19" s="17">
        <v>2354.3000000000002</v>
      </c>
      <c r="Y19" s="17">
        <v>2382.46</v>
      </c>
      <c r="Z19" s="17">
        <v>2410.62</v>
      </c>
      <c r="AA19" s="17">
        <v>2438.7800000000002</v>
      </c>
      <c r="AB19" s="17">
        <v>2466.94</v>
      </c>
      <c r="AC19" s="17">
        <v>2495.1</v>
      </c>
      <c r="AD19" s="17">
        <v>2523.2600000000002</v>
      </c>
      <c r="AE19" s="17">
        <v>2551.42</v>
      </c>
      <c r="AF19" s="17">
        <v>2579.58</v>
      </c>
      <c r="AG19" s="17">
        <v>2607.7399999999998</v>
      </c>
      <c r="AH19" s="17">
        <v>2635.9</v>
      </c>
      <c r="AI19" s="17">
        <v>2664.06</v>
      </c>
      <c r="AJ19" s="17">
        <v>2692.22</v>
      </c>
      <c r="AK19" s="17">
        <v>2720.38</v>
      </c>
      <c r="AL19" s="17">
        <v>2748.54</v>
      </c>
      <c r="AM19" s="17">
        <v>2776.7</v>
      </c>
      <c r="AN19" s="17">
        <v>2804.86</v>
      </c>
      <c r="AO19" s="17">
        <v>2833.02</v>
      </c>
      <c r="AP19" s="17">
        <v>2861.18</v>
      </c>
      <c r="AQ19" s="17">
        <v>2889.34</v>
      </c>
      <c r="AR19" s="17">
        <v>2917.5</v>
      </c>
      <c r="AS19" s="17">
        <v>2945.66</v>
      </c>
      <c r="AT19" s="17">
        <v>2973.82</v>
      </c>
      <c r="AU19" s="17">
        <v>3001.98</v>
      </c>
      <c r="AV19" s="17">
        <v>3030.14</v>
      </c>
      <c r="AW19" s="17">
        <v>3058.3</v>
      </c>
      <c r="AX19" s="17">
        <v>3086.46</v>
      </c>
      <c r="AY19" s="17">
        <v>3114.62</v>
      </c>
      <c r="AZ19" s="17">
        <v>3142.78</v>
      </c>
      <c r="BA19" s="17">
        <f t="shared" si="3"/>
        <v>3170.94</v>
      </c>
      <c r="BB19" s="17">
        <f t="shared" si="3"/>
        <v>3199.1</v>
      </c>
      <c r="BC19" s="17">
        <f t="shared" si="3"/>
        <v>3227.26</v>
      </c>
      <c r="BD19" s="17">
        <f t="shared" si="3"/>
        <v>3255.42</v>
      </c>
      <c r="BE19" s="17">
        <f t="shared" si="3"/>
        <v>3283.58</v>
      </c>
      <c r="BF19" s="17">
        <f t="shared" si="3"/>
        <v>3311.74</v>
      </c>
      <c r="BG19" s="17">
        <f t="shared" si="3"/>
        <v>3339.9</v>
      </c>
      <c r="BH19" s="17">
        <f t="shared" si="3"/>
        <v>3368.06</v>
      </c>
      <c r="BI19" s="17">
        <f t="shared" si="3"/>
        <v>3396.22</v>
      </c>
      <c r="BJ19" s="17">
        <f t="shared" si="3"/>
        <v>3424.38</v>
      </c>
      <c r="BK19" s="17">
        <f t="shared" si="3"/>
        <v>3452.54</v>
      </c>
    </row>
    <row r="20" spans="1:63" s="18" customFormat="1" hidden="1">
      <c r="A20" s="19" t="s">
        <v>232</v>
      </c>
      <c r="B20" s="296"/>
      <c r="C20" s="19" t="s">
        <v>51</v>
      </c>
      <c r="D20" s="19" t="s">
        <v>42</v>
      </c>
      <c r="E20" s="19" t="s">
        <v>39</v>
      </c>
      <c r="F20" s="19" t="s">
        <v>23</v>
      </c>
      <c r="G20" s="21"/>
      <c r="H20" s="314"/>
      <c r="I20" s="20">
        <v>6.4</v>
      </c>
      <c r="J20" s="21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17">
        <f t="shared" si="3"/>
        <v>0</v>
      </c>
      <c r="BB20" s="17">
        <f t="shared" si="3"/>
        <v>0</v>
      </c>
      <c r="BC20" s="17">
        <f t="shared" si="3"/>
        <v>0</v>
      </c>
      <c r="BD20" s="17">
        <f t="shared" si="3"/>
        <v>0</v>
      </c>
      <c r="BE20" s="17">
        <f t="shared" si="3"/>
        <v>0</v>
      </c>
      <c r="BF20" s="17">
        <f t="shared" si="3"/>
        <v>0</v>
      </c>
      <c r="BG20" s="17">
        <f t="shared" si="3"/>
        <v>0</v>
      </c>
      <c r="BH20" s="17">
        <f t="shared" si="3"/>
        <v>0</v>
      </c>
      <c r="BI20" s="17">
        <f t="shared" si="3"/>
        <v>0</v>
      </c>
      <c r="BJ20" s="17">
        <f t="shared" si="3"/>
        <v>0</v>
      </c>
      <c r="BK20" s="17">
        <f t="shared" si="3"/>
        <v>0</v>
      </c>
    </row>
    <row r="21" spans="1:63" s="18" customFormat="1" hidden="1">
      <c r="A21" s="14" t="s">
        <v>44</v>
      </c>
      <c r="B21" s="54"/>
      <c r="C21" s="14" t="s">
        <v>20</v>
      </c>
      <c r="D21" s="14" t="s">
        <v>45</v>
      </c>
      <c r="E21" s="14" t="s">
        <v>31</v>
      </c>
      <c r="F21" s="14" t="s">
        <v>23</v>
      </c>
      <c r="H21" s="110"/>
      <c r="I21" s="15">
        <v>6.4</v>
      </c>
      <c r="J21" s="18">
        <v>13.6</v>
      </c>
      <c r="K21" s="17">
        <f t="shared" si="2"/>
        <v>13.310000000000173</v>
      </c>
      <c r="L21" s="17">
        <v>804.8</v>
      </c>
      <c r="M21" s="17">
        <v>818.11</v>
      </c>
      <c r="N21" s="17">
        <v>831.42</v>
      </c>
      <c r="O21" s="17">
        <v>844.74</v>
      </c>
      <c r="P21" s="17">
        <v>858.05</v>
      </c>
      <c r="Q21" s="17">
        <v>871.36</v>
      </c>
      <c r="R21" s="17">
        <v>884.67</v>
      </c>
      <c r="S21" s="17">
        <v>897.98</v>
      </c>
      <c r="T21" s="17">
        <v>911.3</v>
      </c>
      <c r="U21" s="17">
        <v>924.61</v>
      </c>
      <c r="V21" s="17">
        <v>937.92</v>
      </c>
      <c r="W21" s="17">
        <v>951.23</v>
      </c>
      <c r="X21" s="17">
        <v>964.54</v>
      </c>
      <c r="Y21" s="17">
        <v>977.86</v>
      </c>
      <c r="Z21" s="17">
        <v>991.17</v>
      </c>
      <c r="AA21" s="17">
        <v>1004.48</v>
      </c>
      <c r="AB21" s="17">
        <v>1017.79</v>
      </c>
      <c r="AC21" s="17">
        <v>1031.0999999999999</v>
      </c>
      <c r="AD21" s="17">
        <v>1044.42</v>
      </c>
      <c r="AE21" s="17">
        <v>1057.73</v>
      </c>
      <c r="AF21" s="17">
        <v>1071.04</v>
      </c>
      <c r="AG21" s="17">
        <v>1084.3499999999999</v>
      </c>
      <c r="AH21" s="17">
        <v>1097.6600000000001</v>
      </c>
      <c r="AI21" s="17">
        <v>1110.98</v>
      </c>
      <c r="AJ21" s="17">
        <v>1124.29</v>
      </c>
      <c r="AK21" s="17">
        <v>1137.5999999999999</v>
      </c>
      <c r="AL21" s="17">
        <v>1150.9100000000001</v>
      </c>
      <c r="AM21" s="17">
        <v>1164.22</v>
      </c>
      <c r="AN21" s="17">
        <v>1177.54</v>
      </c>
      <c r="AO21" s="17">
        <v>1190.8499999999999</v>
      </c>
      <c r="AP21" s="17">
        <v>1204.1600000000001</v>
      </c>
      <c r="AQ21" s="17">
        <v>1217.47</v>
      </c>
      <c r="AR21" s="17">
        <v>1230.78</v>
      </c>
      <c r="AS21" s="17">
        <v>1244.0999999999999</v>
      </c>
      <c r="AT21" s="17">
        <v>1257.4100000000001</v>
      </c>
      <c r="AU21" s="17">
        <v>1270.72</v>
      </c>
      <c r="AV21" s="17">
        <v>1284.03</v>
      </c>
      <c r="AW21" s="17">
        <v>1297.3399999999999</v>
      </c>
      <c r="AX21" s="17">
        <v>1310.6600000000001</v>
      </c>
      <c r="AY21" s="17">
        <v>1323.97</v>
      </c>
      <c r="AZ21" s="17">
        <v>1337.28</v>
      </c>
      <c r="BA21" s="17">
        <f t="shared" si="3"/>
        <v>1350.59</v>
      </c>
      <c r="BB21" s="17">
        <f t="shared" si="3"/>
        <v>1363.9</v>
      </c>
      <c r="BC21" s="17">
        <f t="shared" si="3"/>
        <v>1377.21</v>
      </c>
      <c r="BD21" s="17">
        <f t="shared" si="3"/>
        <v>1390.52</v>
      </c>
      <c r="BE21" s="17">
        <f t="shared" si="3"/>
        <v>1403.83</v>
      </c>
      <c r="BF21" s="17">
        <f t="shared" si="3"/>
        <v>1417.14</v>
      </c>
      <c r="BG21" s="17">
        <f t="shared" si="3"/>
        <v>1430.45</v>
      </c>
      <c r="BH21" s="17">
        <f t="shared" si="3"/>
        <v>1443.76</v>
      </c>
      <c r="BI21" s="17">
        <f t="shared" si="3"/>
        <v>1457.07</v>
      </c>
      <c r="BJ21" s="17">
        <f t="shared" si="3"/>
        <v>1470.38</v>
      </c>
      <c r="BK21" s="17">
        <f t="shared" si="3"/>
        <v>1483.69</v>
      </c>
    </row>
    <row r="22" spans="1:63" s="18" customFormat="1" hidden="1">
      <c r="A22" s="14" t="s">
        <v>44</v>
      </c>
      <c r="B22" s="54"/>
      <c r="C22" s="14" t="s">
        <v>20</v>
      </c>
      <c r="D22" s="14" t="s">
        <v>45</v>
      </c>
      <c r="E22" s="14" t="s">
        <v>31</v>
      </c>
      <c r="F22" s="14" t="s">
        <v>46</v>
      </c>
      <c r="H22" s="110"/>
      <c r="I22" s="15">
        <v>6.4</v>
      </c>
      <c r="J22" s="18">
        <v>13.6</v>
      </c>
      <c r="K22" s="17">
        <f t="shared" si="2"/>
        <v>13.309999999999945</v>
      </c>
      <c r="L22" s="17">
        <v>830.4</v>
      </c>
      <c r="M22" s="17">
        <v>843.71</v>
      </c>
      <c r="N22" s="17">
        <v>857.02</v>
      </c>
      <c r="O22" s="17">
        <v>870.34</v>
      </c>
      <c r="P22" s="17">
        <v>883.65</v>
      </c>
      <c r="Q22" s="17">
        <v>896.96</v>
      </c>
      <c r="R22" s="17">
        <v>910.27</v>
      </c>
      <c r="S22" s="17">
        <v>923.58</v>
      </c>
      <c r="T22" s="17">
        <v>936.9</v>
      </c>
      <c r="U22" s="17">
        <v>950.21</v>
      </c>
      <c r="V22" s="17">
        <v>963.52</v>
      </c>
      <c r="W22" s="17">
        <v>976.83</v>
      </c>
      <c r="X22" s="17">
        <v>990.14</v>
      </c>
      <c r="Y22" s="17">
        <v>1003.46</v>
      </c>
      <c r="Z22" s="17">
        <v>1016.77</v>
      </c>
      <c r="AA22" s="17">
        <v>1030.08</v>
      </c>
      <c r="AB22" s="17">
        <v>1043.3900000000001</v>
      </c>
      <c r="AC22" s="17">
        <v>1056.7</v>
      </c>
      <c r="AD22" s="17">
        <v>1070.02</v>
      </c>
      <c r="AE22" s="17">
        <v>1083.33</v>
      </c>
      <c r="AF22" s="17">
        <v>1096.6400000000001</v>
      </c>
      <c r="AG22" s="17">
        <v>1109.95</v>
      </c>
      <c r="AH22" s="17">
        <v>1123.26</v>
      </c>
      <c r="AI22" s="17">
        <v>1136.58</v>
      </c>
      <c r="AJ22" s="17">
        <v>1149.8900000000001</v>
      </c>
      <c r="AK22" s="17">
        <v>1163.2</v>
      </c>
      <c r="AL22" s="17">
        <v>1176.51</v>
      </c>
      <c r="AM22" s="17">
        <v>1189.82</v>
      </c>
      <c r="AN22" s="17">
        <v>1203.1400000000001</v>
      </c>
      <c r="AO22" s="17">
        <v>1216.45</v>
      </c>
      <c r="AP22" s="17">
        <v>1229.76</v>
      </c>
      <c r="AQ22" s="17">
        <v>1243.07</v>
      </c>
      <c r="AR22" s="17">
        <v>1256.3800000000001</v>
      </c>
      <c r="AS22" s="17">
        <v>1269.7</v>
      </c>
      <c r="AT22" s="17">
        <v>1283.01</v>
      </c>
      <c r="AU22" s="17">
        <v>1296.32</v>
      </c>
      <c r="AV22" s="17">
        <v>1309.6300000000001</v>
      </c>
      <c r="AW22" s="17">
        <v>1322.94</v>
      </c>
      <c r="AX22" s="17">
        <v>1336.26</v>
      </c>
      <c r="AY22" s="17">
        <v>1349.57</v>
      </c>
      <c r="AZ22" s="17">
        <v>1362.88</v>
      </c>
      <c r="BA22" s="17">
        <f t="shared" si="3"/>
        <v>1376.19</v>
      </c>
      <c r="BB22" s="17">
        <f t="shared" si="3"/>
        <v>1389.5</v>
      </c>
      <c r="BC22" s="17">
        <f t="shared" si="3"/>
        <v>1402.81</v>
      </c>
      <c r="BD22" s="17">
        <f t="shared" si="3"/>
        <v>1416.12</v>
      </c>
      <c r="BE22" s="17">
        <f t="shared" si="3"/>
        <v>1429.43</v>
      </c>
      <c r="BF22" s="17">
        <f t="shared" si="3"/>
        <v>1442.74</v>
      </c>
      <c r="BG22" s="17">
        <f t="shared" si="3"/>
        <v>1456.05</v>
      </c>
      <c r="BH22" s="17">
        <f t="shared" si="3"/>
        <v>1469.36</v>
      </c>
      <c r="BI22" s="17">
        <f t="shared" si="3"/>
        <v>1482.67</v>
      </c>
      <c r="BJ22" s="17">
        <f t="shared" si="3"/>
        <v>1495.98</v>
      </c>
      <c r="BK22" s="17">
        <f t="shared" si="3"/>
        <v>1509.29</v>
      </c>
    </row>
    <row r="23" spans="1:63" s="18" customFormat="1" hidden="1">
      <c r="A23" s="14" t="s">
        <v>47</v>
      </c>
      <c r="B23" s="54"/>
      <c r="C23" s="14" t="s">
        <v>20</v>
      </c>
      <c r="D23" s="14" t="s">
        <v>45</v>
      </c>
      <c r="E23" s="14" t="s">
        <v>39</v>
      </c>
      <c r="F23" s="14" t="s">
        <v>23</v>
      </c>
      <c r="H23" s="110"/>
      <c r="I23" s="15">
        <v>6.4</v>
      </c>
      <c r="J23" s="18">
        <v>13.6</v>
      </c>
      <c r="K23" s="17">
        <f>AP23-AO23</f>
        <v>13.309999999999945</v>
      </c>
      <c r="L23" s="17">
        <v>861.06</v>
      </c>
      <c r="M23" s="17">
        <v>874.43</v>
      </c>
      <c r="N23" s="17">
        <v>887.81</v>
      </c>
      <c r="O23" s="17">
        <v>901.18</v>
      </c>
      <c r="P23" s="17">
        <v>914.56</v>
      </c>
      <c r="Q23" s="17">
        <v>927.87</v>
      </c>
      <c r="R23" s="17">
        <v>941.25</v>
      </c>
      <c r="S23" s="17">
        <v>954.62</v>
      </c>
      <c r="T23" s="17">
        <v>968.06</v>
      </c>
      <c r="U23" s="17">
        <v>981.44</v>
      </c>
      <c r="V23" s="17">
        <v>994.75</v>
      </c>
      <c r="W23" s="17">
        <v>1008.13</v>
      </c>
      <c r="X23" s="17">
        <v>1021.5</v>
      </c>
      <c r="Y23" s="17">
        <v>1034.8800000000001</v>
      </c>
      <c r="Z23" s="17">
        <v>1048.26</v>
      </c>
      <c r="AA23" s="17">
        <v>1061.57</v>
      </c>
      <c r="AB23" s="17">
        <v>1074.94</v>
      </c>
      <c r="AC23" s="17">
        <v>1088.32</v>
      </c>
      <c r="AD23" s="17">
        <v>1101.7</v>
      </c>
      <c r="AE23" s="17">
        <v>1115.07</v>
      </c>
      <c r="AF23" s="17">
        <v>1128.45</v>
      </c>
      <c r="AG23" s="17">
        <v>1141.82</v>
      </c>
      <c r="AH23" s="17">
        <v>1155.2</v>
      </c>
      <c r="AI23" s="17">
        <v>1168.58</v>
      </c>
      <c r="AJ23" s="17">
        <v>1181.95</v>
      </c>
      <c r="AK23" s="17">
        <v>1195.26</v>
      </c>
      <c r="AL23" s="17">
        <v>1208.6400000000001</v>
      </c>
      <c r="AM23" s="17">
        <v>1222.02</v>
      </c>
      <c r="AN23" s="17">
        <v>1235.3900000000001</v>
      </c>
      <c r="AO23" s="17">
        <v>1248.77</v>
      </c>
      <c r="AP23" s="17">
        <v>1262.08</v>
      </c>
      <c r="AQ23" s="17">
        <v>1275.3900000000001</v>
      </c>
      <c r="AR23" s="17">
        <v>1288.77</v>
      </c>
      <c r="AS23" s="17">
        <v>1302.08</v>
      </c>
      <c r="AT23" s="17">
        <v>1315.39</v>
      </c>
      <c r="AU23" s="17">
        <v>1328.7</v>
      </c>
      <c r="AV23" s="17">
        <v>1342.02</v>
      </c>
      <c r="AW23" s="17">
        <v>1355.33</v>
      </c>
      <c r="AX23" s="17">
        <v>1368.64</v>
      </c>
      <c r="AY23" s="17">
        <v>1381.95</v>
      </c>
      <c r="AZ23" s="17">
        <v>1395.26</v>
      </c>
      <c r="BA23" s="17">
        <f t="shared" si="3"/>
        <v>1408.57</v>
      </c>
      <c r="BB23" s="17">
        <f t="shared" si="3"/>
        <v>1421.88</v>
      </c>
      <c r="BC23" s="17">
        <f t="shared" si="3"/>
        <v>1435.19</v>
      </c>
      <c r="BD23" s="17">
        <f t="shared" si="3"/>
        <v>1448.5</v>
      </c>
      <c r="BE23" s="17">
        <f t="shared" si="3"/>
        <v>1461.81</v>
      </c>
      <c r="BF23" s="17">
        <f t="shared" si="3"/>
        <v>1475.12</v>
      </c>
      <c r="BG23" s="17">
        <f t="shared" si="3"/>
        <v>1488.43</v>
      </c>
      <c r="BH23" s="17">
        <f t="shared" si="3"/>
        <v>1501.74</v>
      </c>
      <c r="BI23" s="17">
        <f t="shared" si="3"/>
        <v>1515.05</v>
      </c>
      <c r="BJ23" s="17">
        <f t="shared" si="3"/>
        <v>1528.36</v>
      </c>
      <c r="BK23" s="17">
        <f t="shared" si="3"/>
        <v>1541.67</v>
      </c>
    </row>
    <row r="24" spans="1:63" s="18" customFormat="1" hidden="1">
      <c r="A24" s="14" t="s">
        <v>47</v>
      </c>
      <c r="B24" s="54"/>
      <c r="C24" s="14" t="s">
        <v>20</v>
      </c>
      <c r="D24" s="14" t="s">
        <v>45</v>
      </c>
      <c r="E24" s="14" t="s">
        <v>25</v>
      </c>
      <c r="F24" s="14" t="s">
        <v>23</v>
      </c>
      <c r="H24" s="110"/>
      <c r="I24" s="15">
        <v>6.4</v>
      </c>
      <c r="J24" s="18">
        <v>13.6</v>
      </c>
      <c r="K24" s="17">
        <f t="shared" si="2"/>
        <v>13.690000000000055</v>
      </c>
      <c r="L24" s="17">
        <v>1017.02</v>
      </c>
      <c r="M24" s="17">
        <v>1030.72</v>
      </c>
      <c r="N24" s="17">
        <v>1044.42</v>
      </c>
      <c r="O24" s="17">
        <v>1058.1099999999999</v>
      </c>
      <c r="P24" s="17">
        <v>1071.81</v>
      </c>
      <c r="Q24" s="17">
        <v>1085.5</v>
      </c>
      <c r="R24" s="17">
        <v>1099.2</v>
      </c>
      <c r="S24" s="17">
        <v>1112.9000000000001</v>
      </c>
      <c r="T24" s="17">
        <v>1126.5899999999999</v>
      </c>
      <c r="U24" s="17">
        <v>1140.29</v>
      </c>
      <c r="V24" s="17">
        <v>1153.98</v>
      </c>
      <c r="W24" s="17">
        <v>1167.68</v>
      </c>
      <c r="X24" s="17">
        <v>1181.3800000000001</v>
      </c>
      <c r="Y24" s="17">
        <v>1195.07</v>
      </c>
      <c r="Z24" s="17">
        <v>1208.77</v>
      </c>
      <c r="AA24" s="17">
        <v>1222.46</v>
      </c>
      <c r="AB24" s="17">
        <v>1236.1600000000001</v>
      </c>
      <c r="AC24" s="17">
        <v>1249.8599999999999</v>
      </c>
      <c r="AD24" s="17">
        <v>1263.55</v>
      </c>
      <c r="AE24" s="17">
        <v>1277.25</v>
      </c>
      <c r="AF24" s="17">
        <v>1290.94</v>
      </c>
      <c r="AG24" s="17">
        <v>1304.6400000000001</v>
      </c>
      <c r="AH24" s="17">
        <v>1318.34</v>
      </c>
      <c r="AI24" s="17">
        <v>1332.03</v>
      </c>
      <c r="AJ24" s="17">
        <v>1345.73</v>
      </c>
      <c r="AK24" s="17">
        <v>1359.42</v>
      </c>
      <c r="AL24" s="17">
        <v>1373.12</v>
      </c>
      <c r="AM24" s="17">
        <v>1386.82</v>
      </c>
      <c r="AN24" s="17">
        <v>1400.51</v>
      </c>
      <c r="AO24" s="17">
        <v>1414.21</v>
      </c>
      <c r="AP24" s="17">
        <v>1427.9</v>
      </c>
      <c r="AQ24" s="17">
        <v>1441.6</v>
      </c>
      <c r="AR24" s="17">
        <v>1455.3</v>
      </c>
      <c r="AS24" s="17">
        <v>1468.99</v>
      </c>
      <c r="AT24" s="17">
        <v>1482.69</v>
      </c>
      <c r="AU24" s="17">
        <v>1496.38</v>
      </c>
      <c r="AV24" s="17">
        <v>1510.08</v>
      </c>
      <c r="AW24" s="17">
        <v>1523.78</v>
      </c>
      <c r="AX24" s="17">
        <v>1537.47</v>
      </c>
      <c r="AY24" s="17">
        <v>1551.17</v>
      </c>
      <c r="AZ24" s="17">
        <v>1564.86</v>
      </c>
      <c r="BA24" s="17">
        <f t="shared" ref="BA24:BK24" si="9">ROUND(AZ24+$K24,2)</f>
        <v>1578.55</v>
      </c>
      <c r="BB24" s="17">
        <f t="shared" si="9"/>
        <v>1592.24</v>
      </c>
      <c r="BC24" s="17">
        <f t="shared" si="9"/>
        <v>1605.93</v>
      </c>
      <c r="BD24" s="17">
        <f t="shared" si="9"/>
        <v>1619.62</v>
      </c>
      <c r="BE24" s="17">
        <f t="shared" si="9"/>
        <v>1633.31</v>
      </c>
      <c r="BF24" s="17">
        <f t="shared" si="9"/>
        <v>1647</v>
      </c>
      <c r="BG24" s="17">
        <f t="shared" si="9"/>
        <v>1660.69</v>
      </c>
      <c r="BH24" s="17">
        <f t="shared" si="9"/>
        <v>1674.38</v>
      </c>
      <c r="BI24" s="17">
        <f t="shared" si="9"/>
        <v>1688.07</v>
      </c>
      <c r="BJ24" s="17">
        <f t="shared" si="9"/>
        <v>1701.76</v>
      </c>
      <c r="BK24" s="17">
        <f t="shared" si="9"/>
        <v>1715.45</v>
      </c>
    </row>
    <row r="25" spans="1:63" s="18" customFormat="1" hidden="1">
      <c r="A25" s="14" t="s">
        <v>47</v>
      </c>
      <c r="B25" s="54"/>
      <c r="C25" s="14" t="s">
        <v>20</v>
      </c>
      <c r="D25" s="14" t="s">
        <v>45</v>
      </c>
      <c r="E25" s="14" t="s">
        <v>48</v>
      </c>
      <c r="F25" s="14" t="s">
        <v>23</v>
      </c>
      <c r="H25" s="110"/>
      <c r="I25" s="15">
        <v>6.4</v>
      </c>
      <c r="J25" s="18">
        <v>13.6</v>
      </c>
      <c r="K25" s="17">
        <f t="shared" si="2"/>
        <v>14.200000000000045</v>
      </c>
      <c r="L25" s="17">
        <v>1052.54</v>
      </c>
      <c r="M25" s="17">
        <v>1066.75</v>
      </c>
      <c r="N25" s="17">
        <v>1080.96</v>
      </c>
      <c r="O25" s="17">
        <v>1095.17</v>
      </c>
      <c r="P25" s="17">
        <v>1109.3800000000001</v>
      </c>
      <c r="Q25" s="17">
        <v>1123.58</v>
      </c>
      <c r="R25" s="17">
        <v>1137.79</v>
      </c>
      <c r="S25" s="17">
        <v>1152</v>
      </c>
      <c r="T25" s="17">
        <v>1166.21</v>
      </c>
      <c r="U25" s="17">
        <v>1180.42</v>
      </c>
      <c r="V25" s="17">
        <v>1194.6199999999999</v>
      </c>
      <c r="W25" s="17">
        <v>1208.83</v>
      </c>
      <c r="X25" s="17">
        <v>1223.04</v>
      </c>
      <c r="Y25" s="17">
        <v>1237.25</v>
      </c>
      <c r="Z25" s="17">
        <v>1251.46</v>
      </c>
      <c r="AA25" s="17">
        <v>1265.6600000000001</v>
      </c>
      <c r="AB25" s="17">
        <v>1279.8699999999999</v>
      </c>
      <c r="AC25" s="17">
        <v>1294.08</v>
      </c>
      <c r="AD25" s="17">
        <v>1308.29</v>
      </c>
      <c r="AE25" s="17">
        <v>1322.5</v>
      </c>
      <c r="AF25" s="17">
        <v>1336.7</v>
      </c>
      <c r="AG25" s="17">
        <v>1350.91</v>
      </c>
      <c r="AH25" s="17">
        <v>1365.12</v>
      </c>
      <c r="AI25" s="17">
        <v>1379.33</v>
      </c>
      <c r="AJ25" s="17">
        <v>1393.54</v>
      </c>
      <c r="AK25" s="17">
        <v>1407.74</v>
      </c>
      <c r="AL25" s="17">
        <v>1421.95</v>
      </c>
      <c r="AM25" s="17">
        <v>1436.16</v>
      </c>
      <c r="AN25" s="17">
        <v>1450.37</v>
      </c>
      <c r="AO25" s="17">
        <v>1464.58</v>
      </c>
      <c r="AP25" s="17">
        <v>1478.78</v>
      </c>
      <c r="AQ25" s="17">
        <v>1492.99</v>
      </c>
      <c r="AR25" s="17">
        <v>1507.2</v>
      </c>
      <c r="AS25" s="17">
        <v>1521.41</v>
      </c>
      <c r="AT25" s="17">
        <v>1535.62</v>
      </c>
      <c r="AU25" s="17">
        <v>1549.82</v>
      </c>
      <c r="AV25" s="17">
        <v>1564.03</v>
      </c>
      <c r="AW25" s="17">
        <v>1578.24</v>
      </c>
      <c r="AX25" s="17">
        <v>1592.45</v>
      </c>
      <c r="AY25" s="17">
        <v>1606.66</v>
      </c>
      <c r="AZ25" s="17">
        <v>1620.86</v>
      </c>
      <c r="BA25" s="17">
        <f t="shared" ref="BA25:BK25" si="10">ROUND(AZ25+$K25,2)</f>
        <v>1635.06</v>
      </c>
      <c r="BB25" s="17">
        <f t="shared" si="10"/>
        <v>1649.26</v>
      </c>
      <c r="BC25" s="17">
        <f t="shared" si="10"/>
        <v>1663.46</v>
      </c>
      <c r="BD25" s="17">
        <f t="shared" si="10"/>
        <v>1677.66</v>
      </c>
      <c r="BE25" s="17">
        <f t="shared" si="10"/>
        <v>1691.86</v>
      </c>
      <c r="BF25" s="17">
        <f t="shared" si="10"/>
        <v>1706.06</v>
      </c>
      <c r="BG25" s="17">
        <f t="shared" si="10"/>
        <v>1720.26</v>
      </c>
      <c r="BH25" s="17">
        <f t="shared" si="10"/>
        <v>1734.46</v>
      </c>
      <c r="BI25" s="17">
        <f t="shared" si="10"/>
        <v>1748.66</v>
      </c>
      <c r="BJ25" s="17">
        <f t="shared" si="10"/>
        <v>1762.86</v>
      </c>
      <c r="BK25" s="17">
        <f t="shared" si="10"/>
        <v>1777.06</v>
      </c>
    </row>
    <row r="26" spans="1:63" s="18" customFormat="1" hidden="1">
      <c r="A26" s="14" t="s">
        <v>49</v>
      </c>
      <c r="B26" s="54"/>
      <c r="C26" s="14" t="s">
        <v>20</v>
      </c>
      <c r="D26" s="14" t="s">
        <v>45</v>
      </c>
      <c r="E26" s="14" t="s">
        <v>27</v>
      </c>
      <c r="F26" s="14" t="s">
        <v>23</v>
      </c>
      <c r="H26" s="110"/>
      <c r="I26" s="15">
        <v>6.4</v>
      </c>
      <c r="J26" s="18">
        <v>13.6</v>
      </c>
      <c r="K26" s="17">
        <f t="shared" si="2"/>
        <v>13.309999999999945</v>
      </c>
      <c r="L26" s="17">
        <v>861.06</v>
      </c>
      <c r="M26" s="17">
        <v>874.43</v>
      </c>
      <c r="N26" s="17">
        <v>887.81</v>
      </c>
      <c r="O26" s="17">
        <v>901.18</v>
      </c>
      <c r="P26" s="17">
        <v>914.56</v>
      </c>
      <c r="Q26" s="17">
        <v>927.87</v>
      </c>
      <c r="R26" s="17">
        <v>941.25</v>
      </c>
      <c r="S26" s="17">
        <v>954.62</v>
      </c>
      <c r="T26" s="17">
        <v>968.06</v>
      </c>
      <c r="U26" s="17">
        <v>981.44</v>
      </c>
      <c r="V26" s="17">
        <v>994.75</v>
      </c>
      <c r="W26" s="17">
        <v>1008.13</v>
      </c>
      <c r="X26" s="17">
        <v>1021.5</v>
      </c>
      <c r="Y26" s="17">
        <v>1034.8800000000001</v>
      </c>
      <c r="Z26" s="17">
        <v>1048.26</v>
      </c>
      <c r="AA26" s="17">
        <v>1061.57</v>
      </c>
      <c r="AB26" s="17">
        <v>1074.94</v>
      </c>
      <c r="AC26" s="17">
        <v>1088.32</v>
      </c>
      <c r="AD26" s="17">
        <v>1101.7</v>
      </c>
      <c r="AE26" s="17">
        <v>1115.07</v>
      </c>
      <c r="AF26" s="17">
        <v>1128.45</v>
      </c>
      <c r="AG26" s="17">
        <v>1141.82</v>
      </c>
      <c r="AH26" s="17">
        <v>1155.2</v>
      </c>
      <c r="AI26" s="17">
        <v>1168.58</v>
      </c>
      <c r="AJ26" s="17">
        <v>1181.95</v>
      </c>
      <c r="AK26" s="17">
        <v>1195.26</v>
      </c>
      <c r="AL26" s="17">
        <v>1208.6400000000001</v>
      </c>
      <c r="AM26" s="17">
        <v>1222.02</v>
      </c>
      <c r="AN26" s="17">
        <v>1235.3900000000001</v>
      </c>
      <c r="AO26" s="17">
        <v>1248.77</v>
      </c>
      <c r="AP26" s="17">
        <v>1262.08</v>
      </c>
      <c r="AQ26" s="17">
        <v>1275.3900000000001</v>
      </c>
      <c r="AR26" s="17">
        <v>1288.77</v>
      </c>
      <c r="AS26" s="17">
        <v>1302.08</v>
      </c>
      <c r="AT26" s="17">
        <v>1315.39</v>
      </c>
      <c r="AU26" s="17">
        <v>1328.7</v>
      </c>
      <c r="AV26" s="17">
        <v>1342.02</v>
      </c>
      <c r="AW26" s="17">
        <v>1355.33</v>
      </c>
      <c r="AX26" s="17">
        <v>1368.64</v>
      </c>
      <c r="AY26" s="17">
        <v>1381.95</v>
      </c>
      <c r="AZ26" s="17">
        <v>1395.26</v>
      </c>
      <c r="BA26" s="17">
        <f t="shared" ref="BA26:BK26" si="11">ROUND(AZ26+$K26,2)</f>
        <v>1408.57</v>
      </c>
      <c r="BB26" s="17">
        <f t="shared" si="11"/>
        <v>1421.88</v>
      </c>
      <c r="BC26" s="17">
        <f t="shared" si="11"/>
        <v>1435.19</v>
      </c>
      <c r="BD26" s="17">
        <f t="shared" si="11"/>
        <v>1448.5</v>
      </c>
      <c r="BE26" s="17">
        <f t="shared" si="11"/>
        <v>1461.81</v>
      </c>
      <c r="BF26" s="17">
        <f t="shared" si="11"/>
        <v>1475.12</v>
      </c>
      <c r="BG26" s="17">
        <f t="shared" si="11"/>
        <v>1488.43</v>
      </c>
      <c r="BH26" s="17">
        <f t="shared" si="11"/>
        <v>1501.74</v>
      </c>
      <c r="BI26" s="17">
        <f t="shared" si="11"/>
        <v>1515.05</v>
      </c>
      <c r="BJ26" s="17">
        <f t="shared" si="11"/>
        <v>1528.36</v>
      </c>
      <c r="BK26" s="17">
        <f t="shared" si="11"/>
        <v>1541.67</v>
      </c>
    </row>
    <row r="27" spans="1:63" s="18" customFormat="1" hidden="1">
      <c r="A27" s="14" t="s">
        <v>50</v>
      </c>
      <c r="B27" s="54"/>
      <c r="C27" s="14" t="s">
        <v>51</v>
      </c>
      <c r="D27" s="14" t="s">
        <v>45</v>
      </c>
      <c r="E27" s="14" t="s">
        <v>39</v>
      </c>
      <c r="F27" s="14" t="s">
        <v>23</v>
      </c>
      <c r="H27" s="110"/>
      <c r="I27" s="15">
        <v>6.4</v>
      </c>
      <c r="J27" s="18">
        <v>14.4</v>
      </c>
      <c r="K27" s="17">
        <f t="shared" si="2"/>
        <v>14.980000000000018</v>
      </c>
      <c r="L27" s="17">
        <v>980.8</v>
      </c>
      <c r="M27" s="17">
        <v>995.78</v>
      </c>
      <c r="N27" s="17">
        <v>1010.75</v>
      </c>
      <c r="O27" s="17">
        <v>1025.73</v>
      </c>
      <c r="P27" s="17">
        <v>1040.7</v>
      </c>
      <c r="Q27" s="17">
        <v>1055.68</v>
      </c>
      <c r="R27" s="17">
        <v>1070.6600000000001</v>
      </c>
      <c r="S27" s="17">
        <v>1085.6300000000001</v>
      </c>
      <c r="T27" s="17">
        <v>1100.6099999999999</v>
      </c>
      <c r="U27" s="17">
        <v>1115.58</v>
      </c>
      <c r="V27" s="17">
        <v>1130.56</v>
      </c>
      <c r="W27" s="17">
        <v>1145.54</v>
      </c>
      <c r="X27" s="17">
        <v>1160.51</v>
      </c>
      <c r="Y27" s="17">
        <v>1175.49</v>
      </c>
      <c r="Z27" s="17">
        <v>1190.46</v>
      </c>
      <c r="AA27" s="17">
        <v>1205.44</v>
      </c>
      <c r="AB27" s="17">
        <v>1220.42</v>
      </c>
      <c r="AC27" s="17">
        <v>1235.3900000000001</v>
      </c>
      <c r="AD27" s="17">
        <v>1250.3699999999999</v>
      </c>
      <c r="AE27" s="17">
        <v>1265.3399999999999</v>
      </c>
      <c r="AF27" s="17">
        <v>1280.32</v>
      </c>
      <c r="AG27" s="17">
        <v>1295.3</v>
      </c>
      <c r="AH27" s="17">
        <v>1310.27</v>
      </c>
      <c r="AI27" s="17">
        <v>1325.25</v>
      </c>
      <c r="AJ27" s="17">
        <v>1340.22</v>
      </c>
      <c r="AK27" s="17">
        <v>1355.2</v>
      </c>
      <c r="AL27" s="17">
        <v>1370.18</v>
      </c>
      <c r="AM27" s="17">
        <v>1385.15</v>
      </c>
      <c r="AN27" s="17">
        <v>1400.13</v>
      </c>
      <c r="AO27" s="17">
        <v>1415.1</v>
      </c>
      <c r="AP27" s="17">
        <v>1430.08</v>
      </c>
      <c r="AQ27" s="17">
        <v>1445.06</v>
      </c>
      <c r="AR27" s="17">
        <v>1460.03</v>
      </c>
      <c r="AS27" s="17">
        <v>1475.01</v>
      </c>
      <c r="AT27" s="17">
        <v>1489.98</v>
      </c>
      <c r="AU27" s="17">
        <v>1504.96</v>
      </c>
      <c r="AV27" s="17">
        <v>1519.94</v>
      </c>
      <c r="AW27" s="17">
        <v>1534.91</v>
      </c>
      <c r="AX27" s="17">
        <v>1549.89</v>
      </c>
      <c r="AY27" s="17">
        <v>1564.86</v>
      </c>
      <c r="AZ27" s="17">
        <v>1579.84</v>
      </c>
      <c r="BA27" s="17">
        <f t="shared" ref="BA27:BK27" si="12">ROUND(AZ27+$K27,2)</f>
        <v>1594.82</v>
      </c>
      <c r="BB27" s="17">
        <f t="shared" si="12"/>
        <v>1609.8</v>
      </c>
      <c r="BC27" s="17">
        <f t="shared" si="12"/>
        <v>1624.78</v>
      </c>
      <c r="BD27" s="17">
        <f t="shared" si="12"/>
        <v>1639.76</v>
      </c>
      <c r="BE27" s="17">
        <f t="shared" si="12"/>
        <v>1654.74</v>
      </c>
      <c r="BF27" s="17">
        <f t="shared" si="12"/>
        <v>1669.72</v>
      </c>
      <c r="BG27" s="17">
        <f t="shared" si="12"/>
        <v>1684.7</v>
      </c>
      <c r="BH27" s="17">
        <f t="shared" si="12"/>
        <v>1699.68</v>
      </c>
      <c r="BI27" s="17">
        <f t="shared" si="12"/>
        <v>1714.66</v>
      </c>
      <c r="BJ27" s="17">
        <f t="shared" si="12"/>
        <v>1729.64</v>
      </c>
      <c r="BK27" s="17">
        <f t="shared" si="12"/>
        <v>1744.62</v>
      </c>
    </row>
    <row r="28" spans="1:63" s="18" customFormat="1" hidden="1">
      <c r="A28" s="14" t="s">
        <v>50</v>
      </c>
      <c r="B28" s="54"/>
      <c r="C28" s="14" t="s">
        <v>51</v>
      </c>
      <c r="D28" s="14" t="s">
        <v>45</v>
      </c>
      <c r="E28" s="14" t="s">
        <v>22</v>
      </c>
      <c r="F28" s="14" t="s">
        <v>23</v>
      </c>
      <c r="H28" s="110"/>
      <c r="I28" s="15">
        <v>6.4</v>
      </c>
      <c r="J28" s="18">
        <v>14.4</v>
      </c>
      <c r="K28" s="17">
        <f t="shared" si="2"/>
        <v>14.980000000000018</v>
      </c>
      <c r="L28" s="17">
        <v>1080.45</v>
      </c>
      <c r="M28" s="17">
        <v>1095.42</v>
      </c>
      <c r="N28" s="17">
        <v>1110.4000000000001</v>
      </c>
      <c r="O28" s="17">
        <v>1125.3800000000001</v>
      </c>
      <c r="P28" s="17">
        <v>1140.3499999999999</v>
      </c>
      <c r="Q28" s="17">
        <v>1155.33</v>
      </c>
      <c r="R28" s="17">
        <v>1170.3</v>
      </c>
      <c r="S28" s="17">
        <v>1185.28</v>
      </c>
      <c r="T28" s="17">
        <v>1200.26</v>
      </c>
      <c r="U28" s="17">
        <v>1215.23</v>
      </c>
      <c r="V28" s="17">
        <v>1230.21</v>
      </c>
      <c r="W28" s="17">
        <v>1245.18</v>
      </c>
      <c r="X28" s="17">
        <v>1260.1600000000001</v>
      </c>
      <c r="Y28" s="17">
        <v>1275.1400000000001</v>
      </c>
      <c r="Z28" s="17">
        <v>1290.1099999999999</v>
      </c>
      <c r="AA28" s="17">
        <v>1305.0899999999999</v>
      </c>
      <c r="AB28" s="17">
        <v>1320.06</v>
      </c>
      <c r="AC28" s="17">
        <v>1335.04</v>
      </c>
      <c r="AD28" s="17">
        <v>1350.02</v>
      </c>
      <c r="AE28" s="17">
        <v>1364.99</v>
      </c>
      <c r="AF28" s="17">
        <v>1379.97</v>
      </c>
      <c r="AG28" s="17">
        <v>1394.94</v>
      </c>
      <c r="AH28" s="17">
        <v>1409.92</v>
      </c>
      <c r="AI28" s="17">
        <v>1424.9</v>
      </c>
      <c r="AJ28" s="17">
        <v>1439.87</v>
      </c>
      <c r="AK28" s="17">
        <v>1454.85</v>
      </c>
      <c r="AL28" s="17">
        <v>1469.82</v>
      </c>
      <c r="AM28" s="17">
        <v>1484.8</v>
      </c>
      <c r="AN28" s="17">
        <v>1499.78</v>
      </c>
      <c r="AO28" s="17">
        <v>1514.75</v>
      </c>
      <c r="AP28" s="17">
        <v>1529.73</v>
      </c>
      <c r="AQ28" s="17">
        <v>1544.7</v>
      </c>
      <c r="AR28" s="17">
        <v>1559.68</v>
      </c>
      <c r="AS28" s="17">
        <v>1574.66</v>
      </c>
      <c r="AT28" s="17">
        <v>1589.63</v>
      </c>
      <c r="AU28" s="17">
        <v>1604.61</v>
      </c>
      <c r="AV28" s="17">
        <v>1619.58</v>
      </c>
      <c r="AW28" s="17">
        <v>1634.56</v>
      </c>
      <c r="AX28" s="17">
        <v>1649.54</v>
      </c>
      <c r="AY28" s="17">
        <v>1664.51</v>
      </c>
      <c r="AZ28" s="17">
        <v>1679.49</v>
      </c>
      <c r="BA28" s="17">
        <f t="shared" ref="BA28:BK28" si="13">ROUND(AZ28+$K28,2)</f>
        <v>1694.47</v>
      </c>
      <c r="BB28" s="17">
        <f t="shared" si="13"/>
        <v>1709.45</v>
      </c>
      <c r="BC28" s="17">
        <f t="shared" si="13"/>
        <v>1724.43</v>
      </c>
      <c r="BD28" s="17">
        <f t="shared" si="13"/>
        <v>1739.41</v>
      </c>
      <c r="BE28" s="17">
        <f t="shared" si="13"/>
        <v>1754.39</v>
      </c>
      <c r="BF28" s="17">
        <f t="shared" si="13"/>
        <v>1769.37</v>
      </c>
      <c r="BG28" s="17">
        <f t="shared" si="13"/>
        <v>1784.35</v>
      </c>
      <c r="BH28" s="17">
        <f t="shared" si="13"/>
        <v>1799.33</v>
      </c>
      <c r="BI28" s="17">
        <f t="shared" si="13"/>
        <v>1814.31</v>
      </c>
      <c r="BJ28" s="17">
        <f t="shared" si="13"/>
        <v>1829.29</v>
      </c>
      <c r="BK28" s="17">
        <f t="shared" si="13"/>
        <v>1844.27</v>
      </c>
    </row>
    <row r="29" spans="1:63" s="18" customFormat="1" hidden="1">
      <c r="A29" s="14" t="s">
        <v>52</v>
      </c>
      <c r="B29" s="54"/>
      <c r="C29" s="14" t="s">
        <v>51</v>
      </c>
      <c r="D29" s="14" t="s">
        <v>42</v>
      </c>
      <c r="E29" s="14" t="s">
        <v>39</v>
      </c>
      <c r="F29" s="14" t="s">
        <v>23</v>
      </c>
      <c r="H29" s="110"/>
      <c r="I29" s="15">
        <v>6.4</v>
      </c>
      <c r="J29" s="18">
        <v>20</v>
      </c>
      <c r="K29" s="17">
        <f t="shared" si="2"/>
        <v>32.960000000000036</v>
      </c>
      <c r="L29" s="17">
        <v>2113.34</v>
      </c>
      <c r="M29" s="17">
        <v>2146.3000000000002</v>
      </c>
      <c r="N29" s="17">
        <v>2179.2600000000002</v>
      </c>
      <c r="O29" s="17">
        <v>2212.2199999999998</v>
      </c>
      <c r="P29" s="17">
        <v>2245.1799999999998</v>
      </c>
      <c r="Q29" s="17">
        <v>2278.14</v>
      </c>
      <c r="R29" s="17">
        <v>2311.1</v>
      </c>
      <c r="S29" s="17">
        <v>2344.06</v>
      </c>
      <c r="T29" s="17">
        <v>2377.02</v>
      </c>
      <c r="U29" s="17">
        <v>2409.98</v>
      </c>
      <c r="V29" s="17">
        <v>2442.94</v>
      </c>
      <c r="W29" s="17">
        <v>2475.9</v>
      </c>
      <c r="X29" s="17">
        <v>2508.86</v>
      </c>
      <c r="Y29" s="17">
        <v>2541.8200000000002</v>
      </c>
      <c r="Z29" s="17">
        <v>2574.7800000000002</v>
      </c>
      <c r="AA29" s="17">
        <v>2607.7399999999998</v>
      </c>
      <c r="AB29" s="17">
        <v>2640.7</v>
      </c>
      <c r="AC29" s="17">
        <v>2673.66</v>
      </c>
      <c r="AD29" s="17">
        <v>2706.62</v>
      </c>
      <c r="AE29" s="17">
        <v>2739.58</v>
      </c>
      <c r="AF29" s="17">
        <v>2772.54</v>
      </c>
      <c r="AG29" s="17">
        <v>2805.5</v>
      </c>
      <c r="AH29" s="17">
        <v>2838.46</v>
      </c>
      <c r="AI29" s="17">
        <v>2871.42</v>
      </c>
      <c r="AJ29" s="17">
        <v>2904.38</v>
      </c>
      <c r="AK29" s="17">
        <v>2937.34</v>
      </c>
      <c r="AL29" s="17">
        <v>2970.3</v>
      </c>
      <c r="AM29" s="17">
        <v>3003.26</v>
      </c>
      <c r="AN29" s="17">
        <v>3036.22</v>
      </c>
      <c r="AO29" s="17">
        <v>3069.18</v>
      </c>
      <c r="AP29" s="17">
        <v>3102.14</v>
      </c>
      <c r="AQ29" s="17">
        <v>3135.1</v>
      </c>
      <c r="AR29" s="17">
        <v>3168.06</v>
      </c>
      <c r="AS29" s="17">
        <v>3201.02</v>
      </c>
      <c r="AT29" s="17">
        <v>3233.98</v>
      </c>
      <c r="AU29" s="17">
        <v>3266.94</v>
      </c>
      <c r="AV29" s="17">
        <v>3299.9</v>
      </c>
      <c r="AW29" s="17">
        <v>3332.86</v>
      </c>
      <c r="AX29" s="17">
        <v>3365.82</v>
      </c>
      <c r="AY29" s="17">
        <v>3398.78</v>
      </c>
      <c r="AZ29" s="17">
        <v>3431.74</v>
      </c>
      <c r="BA29" s="17">
        <f t="shared" ref="BA29:BK29" si="14">ROUND(AZ29+$K29,2)</f>
        <v>3464.7</v>
      </c>
      <c r="BB29" s="17">
        <f t="shared" si="14"/>
        <v>3497.66</v>
      </c>
      <c r="BC29" s="17">
        <f t="shared" si="14"/>
        <v>3530.62</v>
      </c>
      <c r="BD29" s="17">
        <f t="shared" si="14"/>
        <v>3563.58</v>
      </c>
      <c r="BE29" s="17">
        <f t="shared" si="14"/>
        <v>3596.54</v>
      </c>
      <c r="BF29" s="17">
        <f t="shared" si="14"/>
        <v>3629.5</v>
      </c>
      <c r="BG29" s="17">
        <f t="shared" si="14"/>
        <v>3662.46</v>
      </c>
      <c r="BH29" s="17">
        <f t="shared" si="14"/>
        <v>3695.42</v>
      </c>
      <c r="BI29" s="17">
        <f t="shared" si="14"/>
        <v>3728.38</v>
      </c>
      <c r="BJ29" s="17">
        <f t="shared" si="14"/>
        <v>3761.34</v>
      </c>
      <c r="BK29" s="17">
        <f t="shared" si="14"/>
        <v>3794.3</v>
      </c>
    </row>
    <row r="30" spans="1:63" s="18" customFormat="1" hidden="1">
      <c r="A30" s="23" t="s">
        <v>53</v>
      </c>
      <c r="B30" s="297">
        <v>23</v>
      </c>
      <c r="C30" s="23" t="s">
        <v>54</v>
      </c>
      <c r="D30" s="23" t="s">
        <v>21</v>
      </c>
      <c r="E30" s="23" t="s">
        <v>25</v>
      </c>
      <c r="F30" s="23" t="s">
        <v>23</v>
      </c>
      <c r="G30" s="289"/>
      <c r="H30" s="315"/>
      <c r="I30" s="15">
        <v>6.4</v>
      </c>
      <c r="J30" s="18">
        <v>17.5</v>
      </c>
      <c r="K30" s="17">
        <f t="shared" si="2"/>
        <v>17.659999999999854</v>
      </c>
      <c r="L30" s="17">
        <v>1664.7</v>
      </c>
      <c r="M30" s="17">
        <v>1682.37</v>
      </c>
      <c r="N30" s="17">
        <v>1700.03</v>
      </c>
      <c r="O30" s="17">
        <v>1717.7</v>
      </c>
      <c r="P30" s="17">
        <v>1735.36</v>
      </c>
      <c r="Q30" s="17">
        <v>1753.02</v>
      </c>
      <c r="R30" s="17">
        <v>1770.69</v>
      </c>
      <c r="S30" s="17">
        <v>1788.35</v>
      </c>
      <c r="T30" s="17">
        <v>1806.02</v>
      </c>
      <c r="U30" s="17">
        <v>1823.68</v>
      </c>
      <c r="V30" s="17">
        <v>1841.34</v>
      </c>
      <c r="W30" s="17">
        <v>1859.01</v>
      </c>
      <c r="X30" s="17">
        <v>1876.67</v>
      </c>
      <c r="Y30" s="17">
        <v>1894.34</v>
      </c>
      <c r="Z30" s="17">
        <v>1912</v>
      </c>
      <c r="AA30" s="17">
        <v>1929.66</v>
      </c>
      <c r="AB30" s="17">
        <v>1947.33</v>
      </c>
      <c r="AC30" s="17">
        <v>1964.99</v>
      </c>
      <c r="AD30" s="17">
        <v>1982.66</v>
      </c>
      <c r="AE30" s="17">
        <v>2000.32</v>
      </c>
      <c r="AF30" s="17">
        <v>2017.98</v>
      </c>
      <c r="AG30" s="17">
        <v>2035.65</v>
      </c>
      <c r="AH30" s="17">
        <v>2053.31</v>
      </c>
      <c r="AI30" s="17">
        <v>2070.98</v>
      </c>
      <c r="AJ30" s="17">
        <v>2088.64</v>
      </c>
      <c r="AK30" s="17">
        <v>2106.3000000000002</v>
      </c>
      <c r="AL30" s="17">
        <v>2123.9699999999998</v>
      </c>
      <c r="AM30" s="17">
        <v>2141.63</v>
      </c>
      <c r="AN30" s="17">
        <v>2159.3000000000002</v>
      </c>
      <c r="AO30" s="17">
        <v>2176.96</v>
      </c>
      <c r="AP30" s="17">
        <v>2194.62</v>
      </c>
      <c r="AQ30" s="17">
        <v>2212.29</v>
      </c>
      <c r="AR30" s="17">
        <v>2229.9499999999998</v>
      </c>
      <c r="AS30" s="17">
        <v>2247.62</v>
      </c>
      <c r="AT30" s="17">
        <v>2265.2800000000002</v>
      </c>
      <c r="AU30" s="17">
        <v>2282.94</v>
      </c>
      <c r="AV30" s="17">
        <v>2300.61</v>
      </c>
      <c r="AW30" s="17">
        <v>2318.27</v>
      </c>
      <c r="AX30" s="17">
        <v>2335.94</v>
      </c>
      <c r="AY30" s="17">
        <v>2353.6</v>
      </c>
      <c r="AZ30" s="17">
        <v>2371.2600000000002</v>
      </c>
      <c r="BA30" s="17">
        <f>ROUND(AZ30+$K30,2)</f>
        <v>2388.92</v>
      </c>
      <c r="BB30" s="17">
        <f t="shared" ref="BB30:BK30" si="15">ROUND(BA30+$K30,2)</f>
        <v>2406.58</v>
      </c>
      <c r="BC30" s="17">
        <f t="shared" si="15"/>
        <v>2424.2399999999998</v>
      </c>
      <c r="BD30" s="17">
        <f t="shared" si="15"/>
        <v>2441.9</v>
      </c>
      <c r="BE30" s="17">
        <f t="shared" si="15"/>
        <v>2459.56</v>
      </c>
      <c r="BF30" s="17">
        <f t="shared" si="15"/>
        <v>2477.2199999999998</v>
      </c>
      <c r="BG30" s="17">
        <f t="shared" si="15"/>
        <v>2494.88</v>
      </c>
      <c r="BH30" s="17">
        <f t="shared" si="15"/>
        <v>2512.54</v>
      </c>
      <c r="BI30" s="17">
        <f t="shared" si="15"/>
        <v>2530.1999999999998</v>
      </c>
      <c r="BJ30" s="17">
        <f t="shared" si="15"/>
        <v>2547.86</v>
      </c>
      <c r="BK30" s="17">
        <f t="shared" si="15"/>
        <v>2565.52</v>
      </c>
    </row>
    <row r="31" spans="1:63" s="18" customFormat="1" hidden="1">
      <c r="A31" s="23" t="s">
        <v>233</v>
      </c>
      <c r="B31" s="297"/>
      <c r="C31" s="23" t="s">
        <v>54</v>
      </c>
      <c r="D31" s="23" t="s">
        <v>21</v>
      </c>
      <c r="E31" s="23" t="s">
        <v>25</v>
      </c>
      <c r="F31" s="23" t="s">
        <v>23</v>
      </c>
      <c r="G31" s="289"/>
      <c r="H31" s="315"/>
      <c r="I31" s="15">
        <v>6.4</v>
      </c>
      <c r="J31" s="18">
        <v>17.5</v>
      </c>
      <c r="K31" s="17">
        <f t="shared" ref="K31" si="16">AP31-AO31</f>
        <v>17.659999999999854</v>
      </c>
      <c r="L31" s="17">
        <f>L30+57.6</f>
        <v>1722.3</v>
      </c>
      <c r="M31" s="17">
        <f t="shared" ref="M31:AY31" si="17">M30+57.6</f>
        <v>1739.9699999999998</v>
      </c>
      <c r="N31" s="17">
        <f t="shared" si="17"/>
        <v>1757.6299999999999</v>
      </c>
      <c r="O31" s="17">
        <f t="shared" si="17"/>
        <v>1775.3</v>
      </c>
      <c r="P31" s="17">
        <f t="shared" si="17"/>
        <v>1792.9599999999998</v>
      </c>
      <c r="Q31" s="17">
        <f t="shared" si="17"/>
        <v>1810.62</v>
      </c>
      <c r="R31" s="17">
        <f t="shared" si="17"/>
        <v>1828.29</v>
      </c>
      <c r="S31" s="17">
        <f t="shared" si="17"/>
        <v>1845.9499999999998</v>
      </c>
      <c r="T31" s="17">
        <f t="shared" si="17"/>
        <v>1863.62</v>
      </c>
      <c r="U31" s="17">
        <f t="shared" si="17"/>
        <v>1881.28</v>
      </c>
      <c r="V31" s="17">
        <f t="shared" si="17"/>
        <v>1898.9399999999998</v>
      </c>
      <c r="W31" s="17">
        <f t="shared" si="17"/>
        <v>1916.61</v>
      </c>
      <c r="X31" s="17">
        <f t="shared" si="17"/>
        <v>1934.27</v>
      </c>
      <c r="Y31" s="17">
        <f t="shared" si="17"/>
        <v>1951.9399999999998</v>
      </c>
      <c r="Z31" s="17">
        <f t="shared" si="17"/>
        <v>1969.6</v>
      </c>
      <c r="AA31" s="17">
        <f t="shared" si="17"/>
        <v>1987.26</v>
      </c>
      <c r="AB31" s="17">
        <f t="shared" si="17"/>
        <v>2004.9299999999998</v>
      </c>
      <c r="AC31" s="17">
        <f t="shared" si="17"/>
        <v>2022.59</v>
      </c>
      <c r="AD31" s="17">
        <f t="shared" si="17"/>
        <v>2040.26</v>
      </c>
      <c r="AE31" s="17">
        <f t="shared" si="17"/>
        <v>2057.92</v>
      </c>
      <c r="AF31" s="17">
        <f t="shared" si="17"/>
        <v>2075.58</v>
      </c>
      <c r="AG31" s="17">
        <f t="shared" si="17"/>
        <v>2093.25</v>
      </c>
      <c r="AH31" s="17">
        <f t="shared" si="17"/>
        <v>2110.91</v>
      </c>
      <c r="AI31" s="17">
        <f t="shared" si="17"/>
        <v>2128.58</v>
      </c>
      <c r="AJ31" s="17">
        <f t="shared" si="17"/>
        <v>2146.2399999999998</v>
      </c>
      <c r="AK31" s="17">
        <f t="shared" si="17"/>
        <v>2163.9</v>
      </c>
      <c r="AL31" s="17">
        <f t="shared" si="17"/>
        <v>2181.5699999999997</v>
      </c>
      <c r="AM31" s="17">
        <f t="shared" si="17"/>
        <v>2199.23</v>
      </c>
      <c r="AN31" s="17">
        <f t="shared" si="17"/>
        <v>2216.9</v>
      </c>
      <c r="AO31" s="17">
        <f t="shared" si="17"/>
        <v>2234.56</v>
      </c>
      <c r="AP31" s="17">
        <f t="shared" si="17"/>
        <v>2252.2199999999998</v>
      </c>
      <c r="AQ31" s="17">
        <f t="shared" si="17"/>
        <v>2269.89</v>
      </c>
      <c r="AR31" s="17">
        <f t="shared" si="17"/>
        <v>2287.5499999999997</v>
      </c>
      <c r="AS31" s="17">
        <f t="shared" si="17"/>
        <v>2305.2199999999998</v>
      </c>
      <c r="AT31" s="17">
        <f t="shared" si="17"/>
        <v>2322.88</v>
      </c>
      <c r="AU31" s="17">
        <f t="shared" si="17"/>
        <v>2340.54</v>
      </c>
      <c r="AV31" s="17">
        <f t="shared" si="17"/>
        <v>2358.21</v>
      </c>
      <c r="AW31" s="17">
        <f t="shared" si="17"/>
        <v>2375.87</v>
      </c>
      <c r="AX31" s="17">
        <f t="shared" si="17"/>
        <v>2393.54</v>
      </c>
      <c r="AY31" s="17">
        <f t="shared" si="17"/>
        <v>2411.1999999999998</v>
      </c>
      <c r="AZ31" s="17">
        <f>AZ30+57.6</f>
        <v>2428.86</v>
      </c>
      <c r="BA31" s="17">
        <f t="shared" ref="BA31:BK31" si="18">BA30+57.6</f>
        <v>2446.52</v>
      </c>
      <c r="BB31" s="17">
        <f t="shared" si="18"/>
        <v>2464.1799999999998</v>
      </c>
      <c r="BC31" s="17">
        <f t="shared" si="18"/>
        <v>2481.8399999999997</v>
      </c>
      <c r="BD31" s="17">
        <f t="shared" si="18"/>
        <v>2499.5</v>
      </c>
      <c r="BE31" s="17">
        <f t="shared" si="18"/>
        <v>2517.16</v>
      </c>
      <c r="BF31" s="17">
        <f t="shared" si="18"/>
        <v>2534.8199999999997</v>
      </c>
      <c r="BG31" s="17">
        <f t="shared" si="18"/>
        <v>2552.48</v>
      </c>
      <c r="BH31" s="17">
        <f t="shared" si="18"/>
        <v>2570.14</v>
      </c>
      <c r="BI31" s="17">
        <f t="shared" si="18"/>
        <v>2587.7999999999997</v>
      </c>
      <c r="BJ31" s="17">
        <f t="shared" si="18"/>
        <v>2605.46</v>
      </c>
      <c r="BK31" s="17">
        <f t="shared" si="18"/>
        <v>2623.12</v>
      </c>
    </row>
    <row r="32" spans="1:63" s="18" customFormat="1" hidden="1">
      <c r="A32" s="24" t="s">
        <v>67</v>
      </c>
      <c r="B32" s="244"/>
      <c r="C32" s="24" t="s">
        <v>54</v>
      </c>
      <c r="D32" s="24" t="s">
        <v>21</v>
      </c>
      <c r="E32" s="24" t="s">
        <v>25</v>
      </c>
      <c r="F32" s="24" t="s">
        <v>68</v>
      </c>
      <c r="G32" s="335"/>
      <c r="H32" s="110"/>
      <c r="I32" s="15">
        <v>6.4</v>
      </c>
      <c r="J32" s="18">
        <v>35</v>
      </c>
      <c r="K32" s="17">
        <f t="shared" si="2"/>
        <v>36.740000000000691</v>
      </c>
      <c r="L32" s="17">
        <v>3425.73</v>
      </c>
      <c r="M32" s="17">
        <v>3462.46</v>
      </c>
      <c r="N32" s="17">
        <v>3499.2</v>
      </c>
      <c r="O32" s="17">
        <v>3535.94</v>
      </c>
      <c r="P32" s="17">
        <v>3572.67</v>
      </c>
      <c r="Q32" s="17">
        <v>3609.41</v>
      </c>
      <c r="R32" s="17">
        <v>3646.14</v>
      </c>
      <c r="S32" s="17">
        <v>3682.88</v>
      </c>
      <c r="T32" s="17">
        <v>3719.62</v>
      </c>
      <c r="U32" s="17">
        <v>3756.35</v>
      </c>
      <c r="V32" s="17">
        <v>3793.09</v>
      </c>
      <c r="W32" s="17">
        <v>3829.82</v>
      </c>
      <c r="X32" s="17">
        <v>3866.56</v>
      </c>
      <c r="Y32" s="17">
        <v>3903.3</v>
      </c>
      <c r="Z32" s="17">
        <v>3940.03</v>
      </c>
      <c r="AA32" s="17">
        <v>3976.77</v>
      </c>
      <c r="AB32" s="17">
        <v>4013.5</v>
      </c>
      <c r="AC32" s="17">
        <v>4050.24</v>
      </c>
      <c r="AD32" s="17">
        <v>4086.98</v>
      </c>
      <c r="AE32" s="17">
        <v>4123.71</v>
      </c>
      <c r="AF32" s="17">
        <v>4160.45</v>
      </c>
      <c r="AG32" s="17">
        <v>4197.18</v>
      </c>
      <c r="AH32" s="17">
        <v>4233.92</v>
      </c>
      <c r="AI32" s="17">
        <v>4270.66</v>
      </c>
      <c r="AJ32" s="17">
        <v>4307.3900000000003</v>
      </c>
      <c r="AK32" s="17">
        <v>4344.13</v>
      </c>
      <c r="AL32" s="17">
        <v>4380.8599999999997</v>
      </c>
      <c r="AM32" s="17">
        <v>4417.6000000000004</v>
      </c>
      <c r="AN32" s="17">
        <v>4454.34</v>
      </c>
      <c r="AO32" s="17">
        <v>4491.07</v>
      </c>
      <c r="AP32" s="17">
        <v>4527.8100000000004</v>
      </c>
      <c r="AQ32" s="17">
        <v>4564.54</v>
      </c>
      <c r="AR32" s="17">
        <v>4601.28</v>
      </c>
      <c r="AS32" s="17">
        <v>4638.0200000000004</v>
      </c>
      <c r="AT32" s="17">
        <v>4674.75</v>
      </c>
      <c r="AU32" s="17">
        <v>4711.49</v>
      </c>
      <c r="AV32" s="17">
        <v>4748.22</v>
      </c>
      <c r="AW32" s="17">
        <v>4784.96</v>
      </c>
      <c r="AX32" s="17">
        <v>4821.7</v>
      </c>
      <c r="AY32" s="17">
        <v>4858.43</v>
      </c>
      <c r="AZ32" s="17">
        <v>4895.17</v>
      </c>
      <c r="BA32" s="17">
        <f t="shared" ref="BA32:BK32" si="19">ROUND(AZ32+$K32,2)</f>
        <v>4931.91</v>
      </c>
      <c r="BB32" s="17">
        <f t="shared" si="19"/>
        <v>4968.6499999999996</v>
      </c>
      <c r="BC32" s="17">
        <f t="shared" si="19"/>
        <v>5005.3900000000003</v>
      </c>
      <c r="BD32" s="17">
        <f t="shared" si="19"/>
        <v>5042.13</v>
      </c>
      <c r="BE32" s="17">
        <f t="shared" si="19"/>
        <v>5078.87</v>
      </c>
      <c r="BF32" s="17">
        <f t="shared" si="19"/>
        <v>5115.6099999999997</v>
      </c>
      <c r="BG32" s="17">
        <f t="shared" si="19"/>
        <v>5152.3500000000004</v>
      </c>
      <c r="BH32" s="17">
        <f t="shared" si="19"/>
        <v>5189.09</v>
      </c>
      <c r="BI32" s="17">
        <f t="shared" si="19"/>
        <v>5225.83</v>
      </c>
      <c r="BJ32" s="17">
        <f t="shared" si="19"/>
        <v>5262.57</v>
      </c>
      <c r="BK32" s="17">
        <f t="shared" si="19"/>
        <v>5299.31</v>
      </c>
    </row>
    <row r="33" spans="1:63" s="18" customFormat="1" hidden="1">
      <c r="A33" s="57" t="s">
        <v>234</v>
      </c>
      <c r="B33" s="124"/>
      <c r="C33" s="14" t="s">
        <v>54</v>
      </c>
      <c r="D33" s="14" t="s">
        <v>21</v>
      </c>
      <c r="E33" s="14" t="s">
        <v>27</v>
      </c>
      <c r="F33" s="14" t="s">
        <v>57</v>
      </c>
      <c r="H33" s="110"/>
      <c r="I33" s="15">
        <v>6.4</v>
      </c>
      <c r="J33" s="18">
        <v>17.8</v>
      </c>
      <c r="K33" s="17">
        <f t="shared" si="2"/>
        <v>18.210000000000036</v>
      </c>
      <c r="L33" s="17">
        <f>ROUND(L34*1.02,2)</f>
        <v>1536.43</v>
      </c>
      <c r="M33" s="17">
        <f t="shared" ref="M33:AZ33" si="20">ROUND(M34*1.02,2)</f>
        <v>1554.64</v>
      </c>
      <c r="N33" s="17">
        <f t="shared" si="20"/>
        <v>1572.86</v>
      </c>
      <c r="O33" s="17">
        <f t="shared" si="20"/>
        <v>1591.07</v>
      </c>
      <c r="P33" s="17">
        <f t="shared" si="20"/>
        <v>1609.28</v>
      </c>
      <c r="Q33" s="17">
        <f t="shared" si="20"/>
        <v>1627.49</v>
      </c>
      <c r="R33" s="17">
        <f t="shared" si="20"/>
        <v>1645.71</v>
      </c>
      <c r="S33" s="17">
        <f t="shared" si="20"/>
        <v>1663.93</v>
      </c>
      <c r="T33" s="17">
        <f t="shared" si="20"/>
        <v>1682.13</v>
      </c>
      <c r="U33" s="17">
        <f t="shared" si="20"/>
        <v>1700.35</v>
      </c>
      <c r="V33" s="17">
        <f t="shared" si="20"/>
        <v>1718.56</v>
      </c>
      <c r="W33" s="17">
        <f t="shared" si="20"/>
        <v>1736.77</v>
      </c>
      <c r="X33" s="17">
        <f t="shared" si="20"/>
        <v>1754.99</v>
      </c>
      <c r="Y33" s="17">
        <f t="shared" si="20"/>
        <v>1773.2</v>
      </c>
      <c r="Z33" s="17">
        <f t="shared" si="20"/>
        <v>1791.42</v>
      </c>
      <c r="AA33" s="17">
        <f t="shared" si="20"/>
        <v>1809.62</v>
      </c>
      <c r="AB33" s="17">
        <f t="shared" si="20"/>
        <v>1827.84</v>
      </c>
      <c r="AC33" s="17">
        <f t="shared" si="20"/>
        <v>1846.06</v>
      </c>
      <c r="AD33" s="17">
        <f t="shared" si="20"/>
        <v>1864.26</v>
      </c>
      <c r="AE33" s="17">
        <f t="shared" si="20"/>
        <v>1882.48</v>
      </c>
      <c r="AF33" s="17">
        <f t="shared" si="20"/>
        <v>1900.69</v>
      </c>
      <c r="AG33" s="17">
        <f t="shared" si="20"/>
        <v>1918.91</v>
      </c>
      <c r="AH33" s="17">
        <f t="shared" si="20"/>
        <v>1937.12</v>
      </c>
      <c r="AI33" s="17">
        <f t="shared" si="20"/>
        <v>1955.33</v>
      </c>
      <c r="AJ33" s="17">
        <f t="shared" si="20"/>
        <v>1973.55</v>
      </c>
      <c r="AK33" s="17">
        <f t="shared" si="20"/>
        <v>1991.75</v>
      </c>
      <c r="AL33" s="17">
        <f t="shared" si="20"/>
        <v>2009.97</v>
      </c>
      <c r="AM33" s="17">
        <f t="shared" si="20"/>
        <v>2028.19</v>
      </c>
      <c r="AN33" s="17">
        <f t="shared" si="20"/>
        <v>2046.4</v>
      </c>
      <c r="AO33" s="17">
        <f t="shared" si="20"/>
        <v>2064.61</v>
      </c>
      <c r="AP33" s="17">
        <f t="shared" si="20"/>
        <v>2082.8200000000002</v>
      </c>
      <c r="AQ33" s="17">
        <f t="shared" si="20"/>
        <v>2101.04</v>
      </c>
      <c r="AR33" s="17">
        <f t="shared" si="20"/>
        <v>2119.25</v>
      </c>
      <c r="AS33" s="17">
        <f t="shared" si="20"/>
        <v>2137.46</v>
      </c>
      <c r="AT33" s="17">
        <f t="shared" si="20"/>
        <v>2155.6799999999998</v>
      </c>
      <c r="AU33" s="17">
        <f t="shared" si="20"/>
        <v>2173.89</v>
      </c>
      <c r="AV33" s="17">
        <f t="shared" si="20"/>
        <v>2192.1</v>
      </c>
      <c r="AW33" s="17">
        <f t="shared" si="20"/>
        <v>2210.3200000000002</v>
      </c>
      <c r="AX33" s="17">
        <f t="shared" si="20"/>
        <v>2228.5300000000002</v>
      </c>
      <c r="AY33" s="17">
        <f t="shared" si="20"/>
        <v>2246.7399999999998</v>
      </c>
      <c r="AZ33" s="17">
        <f t="shared" si="20"/>
        <v>2264.9499999999998</v>
      </c>
      <c r="BA33" s="17">
        <f t="shared" ref="BA33:BK33" si="21">ROUND(AZ33+$K33,2)</f>
        <v>2283.16</v>
      </c>
      <c r="BB33" s="17">
        <f t="shared" si="21"/>
        <v>2301.37</v>
      </c>
      <c r="BC33" s="17">
        <f t="shared" si="21"/>
        <v>2319.58</v>
      </c>
      <c r="BD33" s="17">
        <f t="shared" si="21"/>
        <v>2337.79</v>
      </c>
      <c r="BE33" s="17">
        <f t="shared" si="21"/>
        <v>2356</v>
      </c>
      <c r="BF33" s="17">
        <f t="shared" si="21"/>
        <v>2374.21</v>
      </c>
      <c r="BG33" s="17">
        <f t="shared" si="21"/>
        <v>2392.42</v>
      </c>
      <c r="BH33" s="17">
        <f t="shared" si="21"/>
        <v>2410.63</v>
      </c>
      <c r="BI33" s="17">
        <f t="shared" si="21"/>
        <v>2428.84</v>
      </c>
      <c r="BJ33" s="17">
        <f t="shared" si="21"/>
        <v>2447.0500000000002</v>
      </c>
      <c r="BK33" s="17">
        <f t="shared" si="21"/>
        <v>2465.2600000000002</v>
      </c>
    </row>
    <row r="34" spans="1:63" s="18" customFormat="1" hidden="1">
      <c r="A34" s="14" t="s">
        <v>235</v>
      </c>
      <c r="B34" s="54"/>
      <c r="C34" s="14" t="s">
        <v>54</v>
      </c>
      <c r="D34" s="14" t="s">
        <v>21</v>
      </c>
      <c r="E34" s="14" t="s">
        <v>39</v>
      </c>
      <c r="F34" s="14" t="s">
        <v>57</v>
      </c>
      <c r="H34" s="284" t="s">
        <v>63</v>
      </c>
      <c r="I34" s="15">
        <v>6.4</v>
      </c>
      <c r="J34" s="18">
        <v>17.5</v>
      </c>
      <c r="K34" s="17">
        <f t="shared" si="2"/>
        <v>17.849999999999909</v>
      </c>
      <c r="L34" s="17">
        <v>1506.3</v>
      </c>
      <c r="M34" s="17">
        <v>1524.16</v>
      </c>
      <c r="N34" s="17">
        <v>1542.02</v>
      </c>
      <c r="O34" s="17">
        <v>1559.87</v>
      </c>
      <c r="P34" s="17">
        <v>1577.73</v>
      </c>
      <c r="Q34" s="17">
        <v>1595.58</v>
      </c>
      <c r="R34" s="17">
        <v>1613.44</v>
      </c>
      <c r="S34" s="17">
        <v>1631.3</v>
      </c>
      <c r="T34" s="17">
        <v>1649.15</v>
      </c>
      <c r="U34" s="17">
        <v>1667.01</v>
      </c>
      <c r="V34" s="17">
        <v>1684.86</v>
      </c>
      <c r="W34" s="17">
        <v>1702.72</v>
      </c>
      <c r="X34" s="17">
        <v>1720.58</v>
      </c>
      <c r="Y34" s="17">
        <v>1738.43</v>
      </c>
      <c r="Z34" s="17">
        <v>1756.29</v>
      </c>
      <c r="AA34" s="17">
        <v>1774.14</v>
      </c>
      <c r="AB34" s="17">
        <v>1792</v>
      </c>
      <c r="AC34" s="17">
        <v>1809.86</v>
      </c>
      <c r="AD34" s="17">
        <v>1827.71</v>
      </c>
      <c r="AE34" s="17">
        <v>1845.57</v>
      </c>
      <c r="AF34" s="17">
        <v>1863.42</v>
      </c>
      <c r="AG34" s="17">
        <v>1881.28</v>
      </c>
      <c r="AH34" s="17">
        <v>1899.14</v>
      </c>
      <c r="AI34" s="17">
        <v>1916.99</v>
      </c>
      <c r="AJ34" s="17">
        <v>1934.85</v>
      </c>
      <c r="AK34" s="17">
        <v>1952.7</v>
      </c>
      <c r="AL34" s="17">
        <v>1970.56</v>
      </c>
      <c r="AM34" s="17">
        <v>1988.42</v>
      </c>
      <c r="AN34" s="17">
        <v>2006.27</v>
      </c>
      <c r="AO34" s="17">
        <v>2024.13</v>
      </c>
      <c r="AP34" s="342">
        <v>2041.98</v>
      </c>
      <c r="AQ34" s="17">
        <v>2059.84</v>
      </c>
      <c r="AR34" s="17">
        <v>2077.6999999999998</v>
      </c>
      <c r="AS34" s="17">
        <v>2095.5500000000002</v>
      </c>
      <c r="AT34" s="17">
        <v>2113.41</v>
      </c>
      <c r="AU34" s="17">
        <v>2131.2600000000002</v>
      </c>
      <c r="AV34" s="17">
        <v>2149.12</v>
      </c>
      <c r="AW34" s="17">
        <v>2166.98</v>
      </c>
      <c r="AX34" s="17">
        <v>2184.83</v>
      </c>
      <c r="AY34" s="17">
        <v>2202.69</v>
      </c>
      <c r="AZ34" s="17">
        <v>2220.54</v>
      </c>
      <c r="BA34" s="17">
        <f t="shared" ref="BA34:BK34" si="22">ROUND(AZ34+$K34,2)</f>
        <v>2238.39</v>
      </c>
      <c r="BB34" s="17">
        <f t="shared" si="22"/>
        <v>2256.2399999999998</v>
      </c>
      <c r="BC34" s="17">
        <f t="shared" si="22"/>
        <v>2274.09</v>
      </c>
      <c r="BD34" s="17">
        <f t="shared" si="22"/>
        <v>2291.94</v>
      </c>
      <c r="BE34" s="17">
        <f t="shared" si="22"/>
        <v>2309.79</v>
      </c>
      <c r="BF34" s="17">
        <f t="shared" si="22"/>
        <v>2327.64</v>
      </c>
      <c r="BG34" s="17">
        <f t="shared" si="22"/>
        <v>2345.4899999999998</v>
      </c>
      <c r="BH34" s="17">
        <f t="shared" si="22"/>
        <v>2363.34</v>
      </c>
      <c r="BI34" s="17">
        <f t="shared" si="22"/>
        <v>2381.19</v>
      </c>
      <c r="BJ34" s="17">
        <f t="shared" si="22"/>
        <v>2399.04</v>
      </c>
      <c r="BK34" s="17">
        <f t="shared" si="22"/>
        <v>2416.89</v>
      </c>
    </row>
    <row r="35" spans="1:63" s="18" customFormat="1" hidden="1">
      <c r="A35" s="14" t="s">
        <v>64</v>
      </c>
      <c r="B35" s="54"/>
      <c r="C35" s="14" t="s">
        <v>54</v>
      </c>
      <c r="D35" s="14" t="s">
        <v>21</v>
      </c>
      <c r="E35" s="14" t="s">
        <v>39</v>
      </c>
      <c r="F35" s="14" t="s">
        <v>65</v>
      </c>
      <c r="H35" s="284" t="s">
        <v>66</v>
      </c>
      <c r="I35" s="15">
        <v>6.4</v>
      </c>
      <c r="J35" s="18">
        <v>17.5</v>
      </c>
      <c r="K35" s="17">
        <f t="shared" ref="K35" si="23">AP35-AO35</f>
        <v>17.849999999999909</v>
      </c>
      <c r="L35" s="17">
        <f t="shared" ref="L35:AO35" si="24">L34+57.6</f>
        <v>1563.8999999999999</v>
      </c>
      <c r="M35" s="17">
        <f t="shared" si="24"/>
        <v>1581.76</v>
      </c>
      <c r="N35" s="17">
        <f t="shared" si="24"/>
        <v>1599.62</v>
      </c>
      <c r="O35" s="17">
        <f t="shared" si="24"/>
        <v>1617.4699999999998</v>
      </c>
      <c r="P35" s="17">
        <f t="shared" si="24"/>
        <v>1635.33</v>
      </c>
      <c r="Q35" s="17">
        <f t="shared" si="24"/>
        <v>1653.1799999999998</v>
      </c>
      <c r="R35" s="17">
        <f t="shared" si="24"/>
        <v>1671.04</v>
      </c>
      <c r="S35" s="17">
        <f t="shared" si="24"/>
        <v>1688.8999999999999</v>
      </c>
      <c r="T35" s="17">
        <f t="shared" si="24"/>
        <v>1706.75</v>
      </c>
      <c r="U35" s="17">
        <f t="shared" si="24"/>
        <v>1724.61</v>
      </c>
      <c r="V35" s="17">
        <f t="shared" si="24"/>
        <v>1742.4599999999998</v>
      </c>
      <c r="W35" s="17">
        <f t="shared" si="24"/>
        <v>1760.32</v>
      </c>
      <c r="X35" s="17">
        <f t="shared" si="24"/>
        <v>1778.1799999999998</v>
      </c>
      <c r="Y35" s="17">
        <f t="shared" si="24"/>
        <v>1796.03</v>
      </c>
      <c r="Z35" s="17">
        <f t="shared" si="24"/>
        <v>1813.8899999999999</v>
      </c>
      <c r="AA35" s="17">
        <f t="shared" si="24"/>
        <v>1831.74</v>
      </c>
      <c r="AB35" s="17">
        <f t="shared" si="24"/>
        <v>1849.6</v>
      </c>
      <c r="AC35" s="17">
        <f t="shared" si="24"/>
        <v>1867.4599999999998</v>
      </c>
      <c r="AD35" s="17">
        <f t="shared" si="24"/>
        <v>1885.31</v>
      </c>
      <c r="AE35" s="17">
        <f t="shared" si="24"/>
        <v>1903.1699999999998</v>
      </c>
      <c r="AF35" s="17">
        <f t="shared" si="24"/>
        <v>1921.02</v>
      </c>
      <c r="AG35" s="17">
        <f t="shared" si="24"/>
        <v>1938.8799999999999</v>
      </c>
      <c r="AH35" s="17">
        <f t="shared" si="24"/>
        <v>1956.74</v>
      </c>
      <c r="AI35" s="17">
        <f t="shared" si="24"/>
        <v>1974.59</v>
      </c>
      <c r="AJ35" s="17">
        <f t="shared" si="24"/>
        <v>1992.4499999999998</v>
      </c>
      <c r="AK35" s="17">
        <f t="shared" si="24"/>
        <v>2010.3</v>
      </c>
      <c r="AL35" s="17">
        <f t="shared" si="24"/>
        <v>2028.1599999999999</v>
      </c>
      <c r="AM35" s="17">
        <f t="shared" si="24"/>
        <v>2046.02</v>
      </c>
      <c r="AN35" s="17">
        <f t="shared" si="24"/>
        <v>2063.87</v>
      </c>
      <c r="AO35" s="17">
        <f t="shared" si="24"/>
        <v>2081.73</v>
      </c>
      <c r="AP35" s="17">
        <f>AP34+57.6</f>
        <v>2099.58</v>
      </c>
      <c r="AQ35" s="17">
        <f>AQ34+57.6</f>
        <v>2117.44</v>
      </c>
      <c r="AR35" s="17">
        <f t="shared" ref="AR35:BK35" si="25">AR34+57.6</f>
        <v>2135.2999999999997</v>
      </c>
      <c r="AS35" s="17">
        <f t="shared" si="25"/>
        <v>2153.15</v>
      </c>
      <c r="AT35" s="17">
        <f t="shared" si="25"/>
        <v>2171.0099999999998</v>
      </c>
      <c r="AU35" s="17">
        <f t="shared" si="25"/>
        <v>2188.86</v>
      </c>
      <c r="AV35" s="17">
        <f t="shared" si="25"/>
        <v>2206.7199999999998</v>
      </c>
      <c r="AW35" s="17">
        <f t="shared" si="25"/>
        <v>2224.58</v>
      </c>
      <c r="AX35" s="17">
        <f t="shared" si="25"/>
        <v>2242.4299999999998</v>
      </c>
      <c r="AY35" s="17">
        <f t="shared" si="25"/>
        <v>2260.29</v>
      </c>
      <c r="AZ35" s="17">
        <f t="shared" si="25"/>
        <v>2278.14</v>
      </c>
      <c r="BA35" s="17">
        <f t="shared" si="25"/>
        <v>2295.9899999999998</v>
      </c>
      <c r="BB35" s="17">
        <f t="shared" si="25"/>
        <v>2313.8399999999997</v>
      </c>
      <c r="BC35" s="17">
        <f t="shared" si="25"/>
        <v>2331.69</v>
      </c>
      <c r="BD35" s="17">
        <f t="shared" si="25"/>
        <v>2349.54</v>
      </c>
      <c r="BE35" s="17">
        <f t="shared" si="25"/>
        <v>2367.39</v>
      </c>
      <c r="BF35" s="17">
        <f t="shared" si="25"/>
        <v>2385.2399999999998</v>
      </c>
      <c r="BG35" s="17">
        <f t="shared" si="25"/>
        <v>2403.0899999999997</v>
      </c>
      <c r="BH35" s="17">
        <f t="shared" si="25"/>
        <v>2420.94</v>
      </c>
      <c r="BI35" s="17">
        <f t="shared" si="25"/>
        <v>2438.79</v>
      </c>
      <c r="BJ35" s="17">
        <f t="shared" si="25"/>
        <v>2456.64</v>
      </c>
      <c r="BK35" s="17">
        <f t="shared" si="25"/>
        <v>2474.4899999999998</v>
      </c>
    </row>
    <row r="36" spans="1:63" s="18" customFormat="1" hidden="1">
      <c r="A36" s="14" t="s">
        <v>67</v>
      </c>
      <c r="B36" s="54"/>
      <c r="C36" s="14" t="s">
        <v>54</v>
      </c>
      <c r="D36" s="14" t="s">
        <v>21</v>
      </c>
      <c r="E36" s="14" t="s">
        <v>39</v>
      </c>
      <c r="F36" s="14" t="s">
        <v>68</v>
      </c>
      <c r="H36" s="284" t="s">
        <v>69</v>
      </c>
      <c r="I36" s="15">
        <v>6.4</v>
      </c>
      <c r="J36" s="18">
        <v>35</v>
      </c>
      <c r="K36" s="17">
        <f t="shared" si="2"/>
        <v>36.930000000000291</v>
      </c>
      <c r="L36" s="17">
        <v>3118.08</v>
      </c>
      <c r="M36" s="17">
        <v>3155.01</v>
      </c>
      <c r="N36" s="17">
        <v>3192</v>
      </c>
      <c r="O36" s="17">
        <v>3228.93</v>
      </c>
      <c r="P36" s="17">
        <v>3265.92</v>
      </c>
      <c r="Q36" s="17">
        <v>3302.85</v>
      </c>
      <c r="R36" s="17">
        <v>3339.84</v>
      </c>
      <c r="S36" s="17">
        <v>3376.77</v>
      </c>
      <c r="T36" s="17">
        <v>3413.76</v>
      </c>
      <c r="U36" s="17">
        <v>3450.69</v>
      </c>
      <c r="V36" s="17">
        <v>3487.68</v>
      </c>
      <c r="W36" s="17">
        <v>3524.61</v>
      </c>
      <c r="X36" s="17">
        <v>3561.6</v>
      </c>
      <c r="Y36" s="17">
        <v>3598.53</v>
      </c>
      <c r="Z36" s="17">
        <v>3635.52</v>
      </c>
      <c r="AA36" s="17">
        <v>3672.45</v>
      </c>
      <c r="AB36" s="17">
        <v>3709.44</v>
      </c>
      <c r="AC36" s="17">
        <v>3746.43</v>
      </c>
      <c r="AD36" s="17">
        <v>3783.36</v>
      </c>
      <c r="AE36" s="17">
        <v>3820.35</v>
      </c>
      <c r="AF36" s="17">
        <v>3857.28</v>
      </c>
      <c r="AG36" s="17">
        <v>3894.27</v>
      </c>
      <c r="AH36" s="17">
        <v>3931.2</v>
      </c>
      <c r="AI36" s="17">
        <v>3968.19</v>
      </c>
      <c r="AJ36" s="17">
        <v>4005.12</v>
      </c>
      <c r="AK36" s="17">
        <v>4042.11</v>
      </c>
      <c r="AL36" s="17">
        <v>4079.04</v>
      </c>
      <c r="AM36" s="17">
        <v>4116.03</v>
      </c>
      <c r="AN36" s="17">
        <v>4152.96</v>
      </c>
      <c r="AO36" s="17">
        <v>4189.95</v>
      </c>
      <c r="AP36" s="17">
        <v>4226.88</v>
      </c>
      <c r="AQ36" s="17">
        <v>4263.87</v>
      </c>
      <c r="AR36" s="17">
        <v>4300.8</v>
      </c>
      <c r="AS36" s="17">
        <v>4337.79</v>
      </c>
      <c r="AT36" s="17">
        <v>4374.78</v>
      </c>
      <c r="AU36" s="17">
        <v>4411.71</v>
      </c>
      <c r="AV36" s="17">
        <v>4448.7</v>
      </c>
      <c r="AW36" s="17">
        <v>4485.63</v>
      </c>
      <c r="AX36" s="17">
        <v>4522.62</v>
      </c>
      <c r="AY36" s="17">
        <v>4559.55</v>
      </c>
      <c r="AZ36" s="17">
        <v>4596.54</v>
      </c>
      <c r="BA36" s="17">
        <f t="shared" ref="BA36:BK36" si="26">ROUND(AZ36+$K36,2)</f>
        <v>4633.47</v>
      </c>
      <c r="BB36" s="17">
        <f t="shared" si="26"/>
        <v>4670.3999999999996</v>
      </c>
      <c r="BC36" s="17">
        <f t="shared" si="26"/>
        <v>4707.33</v>
      </c>
      <c r="BD36" s="17">
        <f t="shared" si="26"/>
        <v>4744.26</v>
      </c>
      <c r="BE36" s="17">
        <f t="shared" si="26"/>
        <v>4781.1899999999996</v>
      </c>
      <c r="BF36" s="17">
        <f t="shared" si="26"/>
        <v>4818.12</v>
      </c>
      <c r="BG36" s="17">
        <f t="shared" si="26"/>
        <v>4855.05</v>
      </c>
      <c r="BH36" s="17">
        <f t="shared" si="26"/>
        <v>4891.9799999999996</v>
      </c>
      <c r="BI36" s="17">
        <f t="shared" si="26"/>
        <v>4928.91</v>
      </c>
      <c r="BJ36" s="17">
        <f t="shared" si="26"/>
        <v>4965.84</v>
      </c>
      <c r="BK36" s="17">
        <f t="shared" si="26"/>
        <v>5002.7700000000004</v>
      </c>
    </row>
    <row r="37" spans="1:63" s="29" customFormat="1" hidden="1">
      <c r="A37" s="27" t="s">
        <v>70</v>
      </c>
      <c r="C37" s="27" t="s">
        <v>54</v>
      </c>
      <c r="D37" s="27" t="s">
        <v>71</v>
      </c>
      <c r="E37" s="27" t="s">
        <v>39</v>
      </c>
      <c r="F37" s="27" t="s">
        <v>57</v>
      </c>
      <c r="H37" s="27"/>
      <c r="I37" s="28">
        <v>6.4</v>
      </c>
      <c r="J37" s="29">
        <v>17.5</v>
      </c>
      <c r="K37" s="17">
        <f>AP37-AO37</f>
        <v>18.050000000000182</v>
      </c>
      <c r="L37" s="17">
        <v>1521.34</v>
      </c>
      <c r="M37" s="17">
        <v>1539.39</v>
      </c>
      <c r="N37" s="17">
        <v>1557.44</v>
      </c>
      <c r="O37" s="17">
        <v>1575.49</v>
      </c>
      <c r="P37" s="17">
        <v>1593.54</v>
      </c>
      <c r="Q37" s="17">
        <v>1611.52</v>
      </c>
      <c r="R37" s="17">
        <v>1629.57</v>
      </c>
      <c r="S37" s="17">
        <v>1647.62</v>
      </c>
      <c r="T37" s="17">
        <v>1665.66</v>
      </c>
      <c r="U37" s="17">
        <v>1683.65</v>
      </c>
      <c r="V37" s="17">
        <v>1701.7</v>
      </c>
      <c r="W37" s="17">
        <v>1719.74</v>
      </c>
      <c r="X37" s="17">
        <v>1737.79</v>
      </c>
      <c r="Y37" s="17">
        <v>1755.84</v>
      </c>
      <c r="Z37" s="17">
        <v>1773.82</v>
      </c>
      <c r="AA37" s="17">
        <v>1791.87</v>
      </c>
      <c r="AB37" s="17">
        <v>1809.92</v>
      </c>
      <c r="AC37" s="17">
        <v>1827.97</v>
      </c>
      <c r="AD37" s="17">
        <v>1846.02</v>
      </c>
      <c r="AE37" s="17">
        <v>1864</v>
      </c>
      <c r="AF37" s="17">
        <v>1882.05</v>
      </c>
      <c r="AG37" s="17">
        <v>1900.1</v>
      </c>
      <c r="AH37" s="17">
        <v>1918.14</v>
      </c>
      <c r="AI37" s="17">
        <v>1936.19</v>
      </c>
      <c r="AJ37" s="17">
        <v>1954.18</v>
      </c>
      <c r="AK37" s="17">
        <v>1972.22</v>
      </c>
      <c r="AL37" s="17">
        <v>1990.27</v>
      </c>
      <c r="AM37" s="17">
        <v>2008.32</v>
      </c>
      <c r="AN37" s="17">
        <v>2026.3</v>
      </c>
      <c r="AO37" s="17">
        <v>2044.35</v>
      </c>
      <c r="AP37" s="17">
        <v>2062.4</v>
      </c>
      <c r="AQ37" s="17">
        <v>2080.4499999999998</v>
      </c>
      <c r="AR37" s="17">
        <v>2098.5</v>
      </c>
      <c r="AS37" s="17">
        <v>2116.48</v>
      </c>
      <c r="AT37" s="17">
        <v>2134.5300000000002</v>
      </c>
      <c r="AU37" s="17">
        <v>2152.58</v>
      </c>
      <c r="AV37" s="17">
        <v>2170.62</v>
      </c>
      <c r="AW37" s="17">
        <v>2188.67</v>
      </c>
      <c r="AX37" s="17">
        <v>2206.66</v>
      </c>
      <c r="AY37" s="17">
        <v>2224.6999999999998</v>
      </c>
      <c r="AZ37" s="17">
        <v>2242.75</v>
      </c>
      <c r="BA37" s="17">
        <f t="shared" ref="BA37:BK37" si="27">ROUND(AZ37+$K37,2)</f>
        <v>2260.8000000000002</v>
      </c>
      <c r="BB37" s="17">
        <f t="shared" si="27"/>
        <v>2278.85</v>
      </c>
      <c r="BC37" s="17">
        <f t="shared" si="27"/>
        <v>2296.9</v>
      </c>
      <c r="BD37" s="17">
        <f t="shared" si="27"/>
        <v>2314.9499999999998</v>
      </c>
      <c r="BE37" s="17">
        <f t="shared" si="27"/>
        <v>2333</v>
      </c>
      <c r="BF37" s="17">
        <f t="shared" si="27"/>
        <v>2351.0500000000002</v>
      </c>
      <c r="BG37" s="17">
        <f t="shared" si="27"/>
        <v>2369.1</v>
      </c>
      <c r="BH37" s="17">
        <f t="shared" si="27"/>
        <v>2387.15</v>
      </c>
      <c r="BI37" s="17">
        <f t="shared" si="27"/>
        <v>2405.1999999999998</v>
      </c>
      <c r="BJ37" s="17">
        <f t="shared" si="27"/>
        <v>2423.25</v>
      </c>
      <c r="BK37" s="17">
        <f t="shared" si="27"/>
        <v>2441.3000000000002</v>
      </c>
    </row>
    <row r="38" spans="1:63" s="18" customFormat="1" hidden="1">
      <c r="A38" s="14" t="s">
        <v>72</v>
      </c>
      <c r="B38" s="54"/>
      <c r="C38" s="14" t="s">
        <v>54</v>
      </c>
      <c r="D38" s="14" t="s">
        <v>21</v>
      </c>
      <c r="E38" s="14" t="s">
        <v>31</v>
      </c>
      <c r="F38" s="14" t="s">
        <v>23</v>
      </c>
      <c r="H38" s="110"/>
      <c r="I38" s="15">
        <v>6.4</v>
      </c>
      <c r="J38" s="18">
        <v>17.5</v>
      </c>
      <c r="K38" s="17">
        <f t="shared" si="2"/>
        <v>17.849999999999909</v>
      </c>
      <c r="L38" s="17">
        <v>1400.83</v>
      </c>
      <c r="M38" s="17">
        <v>1418.69</v>
      </c>
      <c r="N38" s="17">
        <v>1436.54</v>
      </c>
      <c r="O38" s="17">
        <v>1454.4</v>
      </c>
      <c r="P38" s="17">
        <v>1472.26</v>
      </c>
      <c r="Q38" s="17">
        <v>1490.11</v>
      </c>
      <c r="R38" s="17">
        <v>1507.97</v>
      </c>
      <c r="S38" s="17">
        <v>1525.82</v>
      </c>
      <c r="T38" s="17">
        <v>1543.68</v>
      </c>
      <c r="U38" s="17">
        <v>1561.54</v>
      </c>
      <c r="V38" s="17">
        <v>1579.39</v>
      </c>
      <c r="W38" s="17">
        <v>1597.25</v>
      </c>
      <c r="X38" s="17">
        <v>1615.1</v>
      </c>
      <c r="Y38" s="17">
        <v>1632.96</v>
      </c>
      <c r="Z38" s="17">
        <v>1650.82</v>
      </c>
      <c r="AA38" s="17">
        <v>1668.67</v>
      </c>
      <c r="AB38" s="17">
        <v>1686.53</v>
      </c>
      <c r="AC38" s="17">
        <v>1704.38</v>
      </c>
      <c r="AD38" s="17">
        <v>1722.24</v>
      </c>
      <c r="AE38" s="17">
        <v>1740.1</v>
      </c>
      <c r="AF38" s="17">
        <v>1757.95</v>
      </c>
      <c r="AG38" s="17">
        <v>1775.81</v>
      </c>
      <c r="AH38" s="17">
        <v>1793.66</v>
      </c>
      <c r="AI38" s="17">
        <v>1811.52</v>
      </c>
      <c r="AJ38" s="17">
        <v>1829.38</v>
      </c>
      <c r="AK38" s="17">
        <v>1847.23</v>
      </c>
      <c r="AL38" s="17">
        <v>1865.09</v>
      </c>
      <c r="AM38" s="17">
        <v>1882.94</v>
      </c>
      <c r="AN38" s="17">
        <v>1900.8</v>
      </c>
      <c r="AO38" s="17">
        <v>1918.66</v>
      </c>
      <c r="AP38" s="17">
        <v>1936.51</v>
      </c>
      <c r="AQ38" s="17">
        <v>1954.37</v>
      </c>
      <c r="AR38" s="17">
        <v>1972.22</v>
      </c>
      <c r="AS38" s="17">
        <v>1990.08</v>
      </c>
      <c r="AT38" s="17">
        <v>2007.94</v>
      </c>
      <c r="AU38" s="17">
        <v>2025.79</v>
      </c>
      <c r="AV38" s="17">
        <v>2043.65</v>
      </c>
      <c r="AW38" s="17">
        <v>2061.5</v>
      </c>
      <c r="AX38" s="17">
        <v>2079.36</v>
      </c>
      <c r="AY38" s="17">
        <v>2097.2199999999998</v>
      </c>
      <c r="AZ38" s="17">
        <v>2115.0700000000002</v>
      </c>
      <c r="BA38" s="17">
        <f t="shared" ref="BA38:BK38" si="28">ROUND(AZ38+$K38,2)</f>
        <v>2132.92</v>
      </c>
      <c r="BB38" s="17">
        <f t="shared" si="28"/>
        <v>2150.77</v>
      </c>
      <c r="BC38" s="17">
        <f t="shared" si="28"/>
        <v>2168.62</v>
      </c>
      <c r="BD38" s="17">
        <f t="shared" si="28"/>
        <v>2186.4699999999998</v>
      </c>
      <c r="BE38" s="17">
        <f t="shared" si="28"/>
        <v>2204.3200000000002</v>
      </c>
      <c r="BF38" s="17">
        <f t="shared" si="28"/>
        <v>2222.17</v>
      </c>
      <c r="BG38" s="17">
        <f t="shared" si="28"/>
        <v>2240.02</v>
      </c>
      <c r="BH38" s="17">
        <f t="shared" si="28"/>
        <v>2257.87</v>
      </c>
      <c r="BI38" s="17">
        <f t="shared" si="28"/>
        <v>2275.7199999999998</v>
      </c>
      <c r="BJ38" s="17">
        <f t="shared" si="28"/>
        <v>2293.5700000000002</v>
      </c>
      <c r="BK38" s="17">
        <f t="shared" si="28"/>
        <v>2311.42</v>
      </c>
    </row>
    <row r="39" spans="1:63" s="18" customFormat="1" hidden="1">
      <c r="A39" s="14" t="s">
        <v>73</v>
      </c>
      <c r="B39" s="54"/>
      <c r="C39" s="14" t="s">
        <v>54</v>
      </c>
      <c r="D39" s="14" t="s">
        <v>21</v>
      </c>
      <c r="E39" s="14" t="s">
        <v>27</v>
      </c>
      <c r="F39" s="14" t="s">
        <v>23</v>
      </c>
      <c r="H39" s="110"/>
      <c r="I39" s="15">
        <v>6.4</v>
      </c>
      <c r="J39" s="18">
        <v>17.5</v>
      </c>
      <c r="K39" s="17">
        <f t="shared" si="2"/>
        <v>19.579999999999927</v>
      </c>
      <c r="L39" s="17">
        <v>2534.7199999999998</v>
      </c>
      <c r="M39" s="17">
        <v>2554.3000000000002</v>
      </c>
      <c r="N39" s="17">
        <v>2573.89</v>
      </c>
      <c r="O39" s="17">
        <v>2593.4699999999998</v>
      </c>
      <c r="P39" s="17">
        <v>2613.06</v>
      </c>
      <c r="Q39" s="17">
        <v>2632.64</v>
      </c>
      <c r="R39" s="17">
        <v>2652.22</v>
      </c>
      <c r="S39" s="17">
        <v>2671.81</v>
      </c>
      <c r="T39" s="17">
        <v>2691.39</v>
      </c>
      <c r="U39" s="17">
        <v>2710.98</v>
      </c>
      <c r="V39" s="17">
        <v>2730.56</v>
      </c>
      <c r="W39" s="17">
        <v>2750.14</v>
      </c>
      <c r="X39" s="17">
        <v>2769.73</v>
      </c>
      <c r="Y39" s="17">
        <v>2789.31</v>
      </c>
      <c r="Z39" s="17">
        <v>2808.9</v>
      </c>
      <c r="AA39" s="17">
        <v>2828.48</v>
      </c>
      <c r="AB39" s="17">
        <v>2848.06</v>
      </c>
      <c r="AC39" s="17">
        <v>2867.65</v>
      </c>
      <c r="AD39" s="17">
        <v>2887.23</v>
      </c>
      <c r="AE39" s="17">
        <v>2906.82</v>
      </c>
      <c r="AF39" s="17">
        <v>2926.4</v>
      </c>
      <c r="AG39" s="17">
        <v>2945.98</v>
      </c>
      <c r="AH39" s="17">
        <v>2965.57</v>
      </c>
      <c r="AI39" s="17">
        <v>2985.15</v>
      </c>
      <c r="AJ39" s="17">
        <v>3004.74</v>
      </c>
      <c r="AK39" s="17">
        <v>3024.32</v>
      </c>
      <c r="AL39" s="17">
        <v>3043.9</v>
      </c>
      <c r="AM39" s="17">
        <v>3063.49</v>
      </c>
      <c r="AN39" s="17">
        <v>3083.07</v>
      </c>
      <c r="AO39" s="17">
        <v>3102.66</v>
      </c>
      <c r="AP39" s="17">
        <v>3122.24</v>
      </c>
      <c r="AQ39" s="17">
        <v>3141.82</v>
      </c>
      <c r="AR39" s="17">
        <v>3161.41</v>
      </c>
      <c r="AS39" s="17">
        <v>3180.99</v>
      </c>
      <c r="AT39" s="17">
        <v>3200.58</v>
      </c>
      <c r="AU39" s="17">
        <v>3220.16</v>
      </c>
      <c r="AV39" s="17">
        <v>3239.74</v>
      </c>
      <c r="AW39" s="17">
        <v>3259.33</v>
      </c>
      <c r="AX39" s="17">
        <v>3278.91</v>
      </c>
      <c r="AY39" s="17">
        <v>3298.5</v>
      </c>
      <c r="AZ39" s="17">
        <v>3318.08</v>
      </c>
      <c r="BA39" s="17">
        <f t="shared" ref="BA39:BK39" si="29">ROUND(AZ39+$K39,2)</f>
        <v>3337.66</v>
      </c>
      <c r="BB39" s="17">
        <f t="shared" si="29"/>
        <v>3357.24</v>
      </c>
      <c r="BC39" s="17">
        <f t="shared" si="29"/>
        <v>3376.82</v>
      </c>
      <c r="BD39" s="17">
        <f t="shared" si="29"/>
        <v>3396.4</v>
      </c>
      <c r="BE39" s="17">
        <f t="shared" si="29"/>
        <v>3415.98</v>
      </c>
      <c r="BF39" s="17">
        <f t="shared" si="29"/>
        <v>3435.56</v>
      </c>
      <c r="BG39" s="17">
        <f t="shared" si="29"/>
        <v>3455.14</v>
      </c>
      <c r="BH39" s="17">
        <f t="shared" si="29"/>
        <v>3474.72</v>
      </c>
      <c r="BI39" s="17">
        <f t="shared" si="29"/>
        <v>3494.3</v>
      </c>
      <c r="BJ39" s="17">
        <f t="shared" si="29"/>
        <v>3513.88</v>
      </c>
      <c r="BK39" s="17">
        <f t="shared" si="29"/>
        <v>3533.46</v>
      </c>
    </row>
    <row r="40" spans="1:63" s="18" customFormat="1" hidden="1">
      <c r="A40" s="14" t="s">
        <v>76</v>
      </c>
      <c r="B40" s="54"/>
      <c r="C40" s="14" t="s">
        <v>54</v>
      </c>
      <c r="D40" s="14" t="s">
        <v>77</v>
      </c>
      <c r="E40" s="14" t="s">
        <v>39</v>
      </c>
      <c r="F40" s="14" t="s">
        <v>23</v>
      </c>
      <c r="H40" s="110"/>
      <c r="I40" s="15">
        <v>6.4</v>
      </c>
      <c r="J40" s="18">
        <v>17.2</v>
      </c>
      <c r="K40" s="17">
        <f t="shared" si="2"/>
        <v>20.289999999999964</v>
      </c>
      <c r="L40" s="17">
        <v>1807.23</v>
      </c>
      <c r="M40" s="17">
        <v>1827.52</v>
      </c>
      <c r="N40" s="17">
        <v>1847.81</v>
      </c>
      <c r="O40" s="17">
        <v>1868.1</v>
      </c>
      <c r="P40" s="17">
        <v>1888.38</v>
      </c>
      <c r="Q40" s="17">
        <v>1908.67</v>
      </c>
      <c r="R40" s="17">
        <v>1928.96</v>
      </c>
      <c r="S40" s="17">
        <v>1949.25</v>
      </c>
      <c r="T40" s="17">
        <v>1969.54</v>
      </c>
      <c r="U40" s="17">
        <v>1989.82</v>
      </c>
      <c r="V40" s="17">
        <v>2010.11</v>
      </c>
      <c r="W40" s="17">
        <v>2030.4</v>
      </c>
      <c r="X40" s="17">
        <v>2050.69</v>
      </c>
      <c r="Y40" s="17">
        <v>2070.98</v>
      </c>
      <c r="Z40" s="17">
        <v>2091.2600000000002</v>
      </c>
      <c r="AA40" s="17">
        <v>2111.5500000000002</v>
      </c>
      <c r="AB40" s="17">
        <v>2131.84</v>
      </c>
      <c r="AC40" s="17">
        <v>2152.13</v>
      </c>
      <c r="AD40" s="17">
        <v>2172.42</v>
      </c>
      <c r="AE40" s="17">
        <v>2192.6999999999998</v>
      </c>
      <c r="AF40" s="17">
        <v>2212.9899999999998</v>
      </c>
      <c r="AG40" s="17">
        <v>2233.2800000000002</v>
      </c>
      <c r="AH40" s="17">
        <v>2253.5700000000002</v>
      </c>
      <c r="AI40" s="17">
        <v>2273.86</v>
      </c>
      <c r="AJ40" s="17">
        <v>2294.14</v>
      </c>
      <c r="AK40" s="17">
        <v>2314.4299999999998</v>
      </c>
      <c r="AL40" s="17">
        <v>2334.7199999999998</v>
      </c>
      <c r="AM40" s="17">
        <v>2355.0100000000002</v>
      </c>
      <c r="AN40" s="17">
        <v>2375.3000000000002</v>
      </c>
      <c r="AO40" s="17">
        <v>2395.58</v>
      </c>
      <c r="AP40" s="17">
        <v>2415.87</v>
      </c>
      <c r="AQ40" s="17">
        <v>2436.16</v>
      </c>
      <c r="AR40" s="17">
        <v>2456.4499999999998</v>
      </c>
      <c r="AS40" s="17">
        <v>2476.7399999999998</v>
      </c>
      <c r="AT40" s="17">
        <v>2497.02</v>
      </c>
      <c r="AU40" s="17">
        <v>2517.31</v>
      </c>
      <c r="AV40" s="17">
        <v>2537.6</v>
      </c>
      <c r="AW40" s="17">
        <v>2557.89</v>
      </c>
      <c r="AX40" s="17">
        <v>2578.1799999999998</v>
      </c>
      <c r="AY40" s="17">
        <v>2598.46</v>
      </c>
      <c r="AZ40" s="17">
        <v>2618.75</v>
      </c>
      <c r="BA40" s="17">
        <f t="shared" ref="BA40:BK40" si="30">ROUND(AZ40+$K40,2)</f>
        <v>2639.04</v>
      </c>
      <c r="BB40" s="17">
        <f t="shared" si="30"/>
        <v>2659.33</v>
      </c>
      <c r="BC40" s="17">
        <f t="shared" si="30"/>
        <v>2679.62</v>
      </c>
      <c r="BD40" s="17">
        <f t="shared" si="30"/>
        <v>2699.91</v>
      </c>
      <c r="BE40" s="17">
        <f t="shared" si="30"/>
        <v>2720.2</v>
      </c>
      <c r="BF40" s="17">
        <f t="shared" si="30"/>
        <v>2740.49</v>
      </c>
      <c r="BG40" s="17">
        <f t="shared" si="30"/>
        <v>2760.78</v>
      </c>
      <c r="BH40" s="17">
        <f t="shared" si="30"/>
        <v>2781.07</v>
      </c>
      <c r="BI40" s="17">
        <f t="shared" si="30"/>
        <v>2801.36</v>
      </c>
      <c r="BJ40" s="17">
        <f t="shared" si="30"/>
        <v>2821.65</v>
      </c>
      <c r="BK40" s="17">
        <f t="shared" si="30"/>
        <v>2841.94</v>
      </c>
    </row>
    <row r="41" spans="1:63" s="217" customFormat="1" hidden="1">
      <c r="A41" s="215" t="s">
        <v>78</v>
      </c>
      <c r="B41" s="298"/>
      <c r="C41" s="215" t="s">
        <v>79</v>
      </c>
      <c r="D41" s="215" t="s">
        <v>45</v>
      </c>
      <c r="E41" s="215" t="s">
        <v>27</v>
      </c>
      <c r="F41" s="215" t="s">
        <v>57</v>
      </c>
      <c r="H41" s="316"/>
      <c r="I41" s="216">
        <v>6.4</v>
      </c>
      <c r="J41" s="217">
        <v>16.3</v>
      </c>
      <c r="K41" s="306">
        <f t="shared" si="2"/>
        <v>17.220000000000027</v>
      </c>
      <c r="L41" s="306">
        <v>1129.5999999999999</v>
      </c>
      <c r="M41" s="306">
        <v>1146.82</v>
      </c>
      <c r="N41" s="306">
        <v>1164.03</v>
      </c>
      <c r="O41" s="306">
        <v>1181.25</v>
      </c>
      <c r="P41" s="306">
        <v>1198.46</v>
      </c>
      <c r="Q41" s="306">
        <v>1215.68</v>
      </c>
      <c r="R41" s="306">
        <v>1232.9000000000001</v>
      </c>
      <c r="S41" s="306">
        <v>1250.1099999999999</v>
      </c>
      <c r="T41" s="306">
        <v>1267.33</v>
      </c>
      <c r="U41" s="306">
        <v>1284.54</v>
      </c>
      <c r="V41" s="306">
        <v>1301.76</v>
      </c>
      <c r="W41" s="306">
        <v>1318.98</v>
      </c>
      <c r="X41" s="306">
        <v>1336.19</v>
      </c>
      <c r="Y41" s="306">
        <v>1353.41</v>
      </c>
      <c r="Z41" s="306">
        <v>1370.62</v>
      </c>
      <c r="AA41" s="306">
        <v>1387.84</v>
      </c>
      <c r="AB41" s="306">
        <v>1405.06</v>
      </c>
      <c r="AC41" s="306">
        <v>1422.27</v>
      </c>
      <c r="AD41" s="306">
        <v>1439.49</v>
      </c>
      <c r="AE41" s="306">
        <v>1456.7</v>
      </c>
      <c r="AF41" s="306">
        <v>1473.92</v>
      </c>
      <c r="AG41" s="306">
        <v>1491.14</v>
      </c>
      <c r="AH41" s="306">
        <v>1508.35</v>
      </c>
      <c r="AI41" s="306">
        <v>1525.57</v>
      </c>
      <c r="AJ41" s="306">
        <v>1542.78</v>
      </c>
      <c r="AK41" s="306">
        <v>1560</v>
      </c>
      <c r="AL41" s="306">
        <v>1577.22</v>
      </c>
      <c r="AM41" s="306">
        <v>1594.43</v>
      </c>
      <c r="AN41" s="306">
        <v>1611.65</v>
      </c>
      <c r="AO41" s="306">
        <v>1628.86</v>
      </c>
      <c r="AP41" s="306">
        <v>1646.08</v>
      </c>
      <c r="AQ41" s="306">
        <v>1663.3</v>
      </c>
      <c r="AR41" s="306">
        <v>1680.51</v>
      </c>
      <c r="AS41" s="306">
        <v>1697.73</v>
      </c>
      <c r="AT41" s="306">
        <v>1714.94</v>
      </c>
      <c r="AU41" s="306">
        <v>1732.16</v>
      </c>
      <c r="AV41" s="306">
        <v>1749.38</v>
      </c>
      <c r="AW41" s="306">
        <v>1766.59</v>
      </c>
      <c r="AX41" s="306">
        <v>1783.81</v>
      </c>
      <c r="AY41" s="306">
        <v>1801.02</v>
      </c>
      <c r="AZ41" s="306">
        <v>1818.24</v>
      </c>
      <c r="BA41" s="306">
        <f t="shared" ref="BA41:BK41" si="31">ROUND(AZ41+$K41,2)</f>
        <v>1835.46</v>
      </c>
      <c r="BB41" s="306">
        <f t="shared" si="31"/>
        <v>1852.68</v>
      </c>
      <c r="BC41" s="306">
        <f t="shared" si="31"/>
        <v>1869.9</v>
      </c>
      <c r="BD41" s="306">
        <f t="shared" si="31"/>
        <v>1887.12</v>
      </c>
      <c r="BE41" s="306">
        <f t="shared" si="31"/>
        <v>1904.34</v>
      </c>
      <c r="BF41" s="306">
        <f t="shared" si="31"/>
        <v>1921.56</v>
      </c>
      <c r="BG41" s="306">
        <f t="shared" si="31"/>
        <v>1938.78</v>
      </c>
      <c r="BH41" s="306">
        <f t="shared" si="31"/>
        <v>1956</v>
      </c>
      <c r="BI41" s="306">
        <f t="shared" si="31"/>
        <v>1973.22</v>
      </c>
      <c r="BJ41" s="306">
        <f t="shared" si="31"/>
        <v>1990.44</v>
      </c>
      <c r="BK41" s="306">
        <f t="shared" si="31"/>
        <v>2007.66</v>
      </c>
    </row>
    <row r="42" spans="1:63" hidden="1">
      <c r="A42" s="8" t="s">
        <v>78</v>
      </c>
      <c r="C42" s="8" t="s">
        <v>79</v>
      </c>
      <c r="D42" s="8" t="s">
        <v>45</v>
      </c>
      <c r="E42" s="8" t="s">
        <v>27</v>
      </c>
      <c r="F42" s="8" t="s">
        <v>57</v>
      </c>
      <c r="H42" s="284" t="s">
        <v>80</v>
      </c>
      <c r="I42" s="304">
        <v>6.4</v>
      </c>
      <c r="J42" s="9">
        <v>17.8</v>
      </c>
      <c r="K42" s="17">
        <f>AQ42-AP42</f>
        <v>15.850000000000136</v>
      </c>
      <c r="L42" s="17">
        <f>ROUND(L48*1.04,2)</f>
        <v>1108.0999999999999</v>
      </c>
      <c r="M42" s="17">
        <f t="shared" ref="M42:BK42" si="32">ROUND(M48*1.04,2)</f>
        <v>1123.95</v>
      </c>
      <c r="N42" s="17">
        <f t="shared" si="32"/>
        <v>1139.8</v>
      </c>
      <c r="O42" s="17">
        <f t="shared" si="32"/>
        <v>1155.6500000000001</v>
      </c>
      <c r="P42" s="17">
        <f t="shared" si="32"/>
        <v>1171.5</v>
      </c>
      <c r="Q42" s="17">
        <f t="shared" si="32"/>
        <v>1187.3499999999999</v>
      </c>
      <c r="R42" s="17">
        <f t="shared" si="32"/>
        <v>1203.2</v>
      </c>
      <c r="S42" s="17">
        <f t="shared" si="32"/>
        <v>1219.05</v>
      </c>
      <c r="T42" s="17">
        <f t="shared" si="32"/>
        <v>1234.9000000000001</v>
      </c>
      <c r="U42" s="17">
        <f t="shared" si="32"/>
        <v>1250.75</v>
      </c>
      <c r="V42" s="17">
        <f t="shared" si="32"/>
        <v>1266.5999999999999</v>
      </c>
      <c r="W42" s="17">
        <f t="shared" si="32"/>
        <v>1282.44</v>
      </c>
      <c r="X42" s="17">
        <f t="shared" si="32"/>
        <v>1298.29</v>
      </c>
      <c r="Y42" s="17">
        <f t="shared" si="32"/>
        <v>1314.14</v>
      </c>
      <c r="Z42" s="17">
        <f t="shared" si="32"/>
        <v>1329.99</v>
      </c>
      <c r="AA42" s="17">
        <f t="shared" si="32"/>
        <v>1345.84</v>
      </c>
      <c r="AB42" s="17">
        <f t="shared" si="32"/>
        <v>1361.69</v>
      </c>
      <c r="AC42" s="17">
        <f t="shared" si="32"/>
        <v>1377.54</v>
      </c>
      <c r="AD42" s="17">
        <f t="shared" si="32"/>
        <v>1393.39</v>
      </c>
      <c r="AE42" s="17">
        <f t="shared" si="32"/>
        <v>1409.24</v>
      </c>
      <c r="AF42" s="17">
        <f t="shared" si="32"/>
        <v>1425.09</v>
      </c>
      <c r="AG42" s="17">
        <f t="shared" si="32"/>
        <v>1440.94</v>
      </c>
      <c r="AH42" s="17">
        <f t="shared" si="32"/>
        <v>1456.79</v>
      </c>
      <c r="AI42" s="17">
        <f t="shared" si="32"/>
        <v>1472.64</v>
      </c>
      <c r="AJ42" s="17">
        <f t="shared" si="32"/>
        <v>1488.49</v>
      </c>
      <c r="AK42" s="17">
        <f t="shared" si="32"/>
        <v>1504.34</v>
      </c>
      <c r="AL42" s="17">
        <f t="shared" si="32"/>
        <v>1520.19</v>
      </c>
      <c r="AM42" s="17">
        <f t="shared" si="32"/>
        <v>1536.04</v>
      </c>
      <c r="AN42" s="17">
        <f t="shared" si="32"/>
        <v>1551.89</v>
      </c>
      <c r="AO42" s="17">
        <f t="shared" si="32"/>
        <v>1567.74</v>
      </c>
      <c r="AP42" s="17">
        <f t="shared" si="32"/>
        <v>1583.59</v>
      </c>
      <c r="AQ42" s="17">
        <f t="shared" si="32"/>
        <v>1599.44</v>
      </c>
      <c r="AR42" s="17">
        <f t="shared" si="32"/>
        <v>1615.29</v>
      </c>
      <c r="AS42" s="17">
        <f t="shared" si="32"/>
        <v>1631.14</v>
      </c>
      <c r="AT42" s="17">
        <f t="shared" si="32"/>
        <v>1646.99</v>
      </c>
      <c r="AU42" s="17">
        <f t="shared" si="32"/>
        <v>1662.84</v>
      </c>
      <c r="AV42" s="17">
        <f t="shared" si="32"/>
        <v>1678.68</v>
      </c>
      <c r="AW42" s="17">
        <f t="shared" si="32"/>
        <v>1694.53</v>
      </c>
      <c r="AX42" s="17">
        <f t="shared" si="32"/>
        <v>1710.38</v>
      </c>
      <c r="AY42" s="17">
        <f t="shared" si="32"/>
        <v>1726.23</v>
      </c>
      <c r="AZ42" s="17">
        <f t="shared" si="32"/>
        <v>1742.08</v>
      </c>
      <c r="BA42" s="17">
        <f t="shared" si="32"/>
        <v>1757.93</v>
      </c>
      <c r="BB42" s="17">
        <f t="shared" si="32"/>
        <v>1773.78</v>
      </c>
      <c r="BC42" s="17">
        <f t="shared" si="32"/>
        <v>1789.63</v>
      </c>
      <c r="BD42" s="17">
        <f t="shared" si="32"/>
        <v>1805.48</v>
      </c>
      <c r="BE42" s="17">
        <f t="shared" si="32"/>
        <v>1821.33</v>
      </c>
      <c r="BF42" s="17">
        <f t="shared" si="32"/>
        <v>1837.18</v>
      </c>
      <c r="BG42" s="17">
        <f t="shared" si="32"/>
        <v>1853.03</v>
      </c>
      <c r="BH42" s="17">
        <f t="shared" si="32"/>
        <v>1868.88</v>
      </c>
      <c r="BI42" s="17">
        <f t="shared" si="32"/>
        <v>1884.73</v>
      </c>
      <c r="BJ42" s="17">
        <f t="shared" si="32"/>
        <v>1900.58</v>
      </c>
      <c r="BK42" s="17">
        <f t="shared" si="32"/>
        <v>1916.43</v>
      </c>
    </row>
    <row r="43" spans="1:63" s="18" customFormat="1" hidden="1">
      <c r="A43" s="14" t="s">
        <v>81</v>
      </c>
      <c r="B43" s="54"/>
      <c r="C43" s="14" t="s">
        <v>79</v>
      </c>
      <c r="D43" s="14" t="s">
        <v>45</v>
      </c>
      <c r="E43" s="14" t="s">
        <v>82</v>
      </c>
      <c r="F43" s="14" t="s">
        <v>23</v>
      </c>
      <c r="H43" s="110"/>
      <c r="I43" s="15">
        <v>6.4</v>
      </c>
      <c r="J43" s="25">
        <v>9.4</v>
      </c>
      <c r="K43" s="17">
        <f t="shared" si="2"/>
        <v>9.9200000000000728</v>
      </c>
      <c r="L43" s="17">
        <v>879.68</v>
      </c>
      <c r="M43" s="17">
        <v>889.6</v>
      </c>
      <c r="N43" s="17">
        <v>899.52</v>
      </c>
      <c r="O43" s="17">
        <v>909.44</v>
      </c>
      <c r="P43" s="17">
        <v>919.36</v>
      </c>
      <c r="Q43" s="17">
        <v>929.28</v>
      </c>
      <c r="R43" s="17">
        <v>939.2</v>
      </c>
      <c r="S43" s="17">
        <v>949.12</v>
      </c>
      <c r="T43" s="17">
        <v>959.04</v>
      </c>
      <c r="U43" s="17">
        <v>968.96</v>
      </c>
      <c r="V43" s="17">
        <v>978.88</v>
      </c>
      <c r="W43" s="17">
        <v>988.8</v>
      </c>
      <c r="X43" s="17">
        <v>998.72</v>
      </c>
      <c r="Y43" s="17">
        <v>1008.64</v>
      </c>
      <c r="Z43" s="17">
        <v>1018.56</v>
      </c>
      <c r="AA43" s="17">
        <v>1028.48</v>
      </c>
      <c r="AB43" s="17">
        <v>1038.4000000000001</v>
      </c>
      <c r="AC43" s="17">
        <v>1048.32</v>
      </c>
      <c r="AD43" s="17">
        <v>1058.24</v>
      </c>
      <c r="AE43" s="17">
        <v>1068.1600000000001</v>
      </c>
      <c r="AF43" s="17">
        <v>1078.08</v>
      </c>
      <c r="AG43" s="17">
        <v>1088</v>
      </c>
      <c r="AH43" s="17">
        <v>1097.92</v>
      </c>
      <c r="AI43" s="17">
        <v>1107.8399999999999</v>
      </c>
      <c r="AJ43" s="17">
        <v>1117.76</v>
      </c>
      <c r="AK43" s="17">
        <v>1127.68</v>
      </c>
      <c r="AL43" s="17">
        <v>1137.5999999999999</v>
      </c>
      <c r="AM43" s="17">
        <v>1147.52</v>
      </c>
      <c r="AN43" s="17">
        <v>1157.44</v>
      </c>
      <c r="AO43" s="17">
        <v>1167.3599999999999</v>
      </c>
      <c r="AP43" s="17">
        <v>1177.28</v>
      </c>
      <c r="AQ43" s="17">
        <v>1187.2</v>
      </c>
      <c r="AR43" s="17">
        <v>1197.1199999999999</v>
      </c>
      <c r="AS43" s="17">
        <v>1207.04</v>
      </c>
      <c r="AT43" s="17">
        <v>1216.96</v>
      </c>
      <c r="AU43" s="17">
        <v>1226.8800000000001</v>
      </c>
      <c r="AV43" s="17">
        <v>1236.8</v>
      </c>
      <c r="AW43" s="17">
        <v>1246.72</v>
      </c>
      <c r="AX43" s="17">
        <v>1256.6400000000001</v>
      </c>
      <c r="AY43" s="17">
        <v>1266.56</v>
      </c>
      <c r="AZ43" s="17">
        <v>1276.48</v>
      </c>
      <c r="BA43" s="17">
        <f t="shared" ref="BA43:BK43" si="33">ROUND(AZ43+$K43,2)</f>
        <v>1286.4000000000001</v>
      </c>
      <c r="BB43" s="17">
        <f t="shared" si="33"/>
        <v>1296.32</v>
      </c>
      <c r="BC43" s="17">
        <f t="shared" si="33"/>
        <v>1306.24</v>
      </c>
      <c r="BD43" s="17">
        <f t="shared" si="33"/>
        <v>1316.16</v>
      </c>
      <c r="BE43" s="17">
        <f t="shared" si="33"/>
        <v>1326.08</v>
      </c>
      <c r="BF43" s="17">
        <f t="shared" si="33"/>
        <v>1336</v>
      </c>
      <c r="BG43" s="17">
        <f t="shared" si="33"/>
        <v>1345.92</v>
      </c>
      <c r="BH43" s="17">
        <f t="shared" si="33"/>
        <v>1355.84</v>
      </c>
      <c r="BI43" s="17">
        <f t="shared" si="33"/>
        <v>1365.76</v>
      </c>
      <c r="BJ43" s="17">
        <f t="shared" si="33"/>
        <v>1375.68</v>
      </c>
      <c r="BK43" s="17">
        <f t="shared" si="33"/>
        <v>1385.6</v>
      </c>
    </row>
    <row r="44" spans="1:63" s="18" customFormat="1" hidden="1">
      <c r="A44" s="23" t="s">
        <v>83</v>
      </c>
      <c r="B44" s="297"/>
      <c r="C44" s="23" t="s">
        <v>79</v>
      </c>
      <c r="D44" s="23" t="s">
        <v>45</v>
      </c>
      <c r="E44" s="23" t="s">
        <v>25</v>
      </c>
      <c r="F44" s="23" t="s">
        <v>23</v>
      </c>
      <c r="G44" s="289"/>
      <c r="H44" s="315"/>
      <c r="I44" s="15">
        <v>6.4</v>
      </c>
      <c r="J44" s="18">
        <v>31.6</v>
      </c>
      <c r="K44" s="17">
        <f t="shared" si="2"/>
        <v>34.619999999999891</v>
      </c>
      <c r="L44" s="17">
        <v>2492.0300000000002</v>
      </c>
      <c r="M44" s="17">
        <v>2526.66</v>
      </c>
      <c r="N44" s="17">
        <v>2561.2800000000002</v>
      </c>
      <c r="O44" s="17">
        <v>2595.9</v>
      </c>
      <c r="P44" s="17">
        <v>2630.53</v>
      </c>
      <c r="Q44" s="17">
        <v>2665.15</v>
      </c>
      <c r="R44" s="17">
        <v>2699.78</v>
      </c>
      <c r="S44" s="17">
        <v>2734.4</v>
      </c>
      <c r="T44" s="17">
        <v>2769.02</v>
      </c>
      <c r="U44" s="17">
        <v>2803.65</v>
      </c>
      <c r="V44" s="17">
        <v>2838.27</v>
      </c>
      <c r="W44" s="17">
        <v>2872.9</v>
      </c>
      <c r="X44" s="17">
        <v>2907.52</v>
      </c>
      <c r="Y44" s="17">
        <v>2942.14</v>
      </c>
      <c r="Z44" s="17">
        <v>2976.77</v>
      </c>
      <c r="AA44" s="17">
        <v>3011.39</v>
      </c>
      <c r="AB44" s="17">
        <v>3046.02</v>
      </c>
      <c r="AC44" s="17">
        <v>3080.64</v>
      </c>
      <c r="AD44" s="17">
        <v>3115.26</v>
      </c>
      <c r="AE44" s="17">
        <v>3149.89</v>
      </c>
      <c r="AF44" s="17">
        <v>3184.51</v>
      </c>
      <c r="AG44" s="17">
        <v>3219.14</v>
      </c>
      <c r="AH44" s="17">
        <v>3253.76</v>
      </c>
      <c r="AI44" s="17">
        <v>3288.38</v>
      </c>
      <c r="AJ44" s="17">
        <v>3323.01</v>
      </c>
      <c r="AK44" s="17">
        <v>3357.63</v>
      </c>
      <c r="AL44" s="17">
        <v>3392.26</v>
      </c>
      <c r="AM44" s="17">
        <v>3426.88</v>
      </c>
      <c r="AN44" s="17">
        <v>3461.5</v>
      </c>
      <c r="AO44" s="17">
        <v>3496.13</v>
      </c>
      <c r="AP44" s="17">
        <v>3530.75</v>
      </c>
      <c r="AQ44" s="17">
        <v>3565.38</v>
      </c>
      <c r="AR44" s="17">
        <v>3600</v>
      </c>
      <c r="AS44" s="17">
        <v>3634.62</v>
      </c>
      <c r="AT44" s="17">
        <v>3669.25</v>
      </c>
      <c r="AU44" s="17">
        <v>3703.87</v>
      </c>
      <c r="AV44" s="17">
        <v>3738.5</v>
      </c>
      <c r="AW44" s="17">
        <v>3773.12</v>
      </c>
      <c r="AX44" s="17">
        <v>3807.74</v>
      </c>
      <c r="AY44" s="17">
        <v>3842.37</v>
      </c>
      <c r="AZ44" s="17">
        <v>3876.99</v>
      </c>
      <c r="BA44" s="17">
        <f t="shared" ref="BA44:BK44" si="34">ROUND(AZ44+$K44,2)</f>
        <v>3911.61</v>
      </c>
      <c r="BB44" s="17">
        <f t="shared" si="34"/>
        <v>3946.23</v>
      </c>
      <c r="BC44" s="17">
        <f t="shared" si="34"/>
        <v>3980.85</v>
      </c>
      <c r="BD44" s="17">
        <f t="shared" si="34"/>
        <v>4015.47</v>
      </c>
      <c r="BE44" s="17">
        <f t="shared" si="34"/>
        <v>4050.09</v>
      </c>
      <c r="BF44" s="17">
        <f t="shared" si="34"/>
        <v>4084.71</v>
      </c>
      <c r="BG44" s="17">
        <f t="shared" si="34"/>
        <v>4119.33</v>
      </c>
      <c r="BH44" s="17">
        <f t="shared" si="34"/>
        <v>4153.95</v>
      </c>
      <c r="BI44" s="17">
        <f t="shared" si="34"/>
        <v>4188.57</v>
      </c>
      <c r="BJ44" s="17">
        <f t="shared" si="34"/>
        <v>4223.1899999999996</v>
      </c>
      <c r="BK44" s="17">
        <f t="shared" si="34"/>
        <v>4257.8100000000004</v>
      </c>
    </row>
    <row r="45" spans="1:63" s="18" customFormat="1" hidden="1">
      <c r="A45" s="14" t="s">
        <v>84</v>
      </c>
      <c r="B45" s="54"/>
      <c r="C45" s="14" t="s">
        <v>79</v>
      </c>
      <c r="D45" s="14" t="s">
        <v>45</v>
      </c>
      <c r="E45" s="14" t="s">
        <v>31</v>
      </c>
      <c r="F45" s="14" t="s">
        <v>23</v>
      </c>
      <c r="H45" s="110"/>
      <c r="I45" s="15">
        <v>6.4</v>
      </c>
      <c r="J45" s="18">
        <v>31.6</v>
      </c>
      <c r="K45" s="17">
        <f t="shared" si="2"/>
        <v>32.190000000000055</v>
      </c>
      <c r="L45" s="17">
        <v>2317.63</v>
      </c>
      <c r="M45" s="17">
        <v>2349.8200000000002</v>
      </c>
      <c r="N45" s="17">
        <v>2382.02</v>
      </c>
      <c r="O45" s="17">
        <v>2414.21</v>
      </c>
      <c r="P45" s="17">
        <v>2446.4</v>
      </c>
      <c r="Q45" s="17">
        <v>2478.59</v>
      </c>
      <c r="R45" s="17">
        <v>2510.7800000000002</v>
      </c>
      <c r="S45" s="17">
        <v>2542.98</v>
      </c>
      <c r="T45" s="17">
        <v>2575.17</v>
      </c>
      <c r="U45" s="17">
        <v>2607.36</v>
      </c>
      <c r="V45" s="17">
        <v>2639.55</v>
      </c>
      <c r="W45" s="17">
        <v>2671.74</v>
      </c>
      <c r="X45" s="17">
        <v>2703.94</v>
      </c>
      <c r="Y45" s="17">
        <v>2736.13</v>
      </c>
      <c r="Z45" s="17">
        <v>2768.32</v>
      </c>
      <c r="AA45" s="17">
        <v>2800.51</v>
      </c>
      <c r="AB45" s="17">
        <v>2832.7</v>
      </c>
      <c r="AC45" s="17">
        <v>2864.9</v>
      </c>
      <c r="AD45" s="17">
        <v>2897.09</v>
      </c>
      <c r="AE45" s="17">
        <v>2929.28</v>
      </c>
      <c r="AF45" s="17">
        <v>2961.47</v>
      </c>
      <c r="AG45" s="17">
        <v>2993.66</v>
      </c>
      <c r="AH45" s="17">
        <v>3025.86</v>
      </c>
      <c r="AI45" s="17">
        <v>3058.05</v>
      </c>
      <c r="AJ45" s="17">
        <v>3090.24</v>
      </c>
      <c r="AK45" s="17">
        <v>3122.43</v>
      </c>
      <c r="AL45" s="17">
        <v>3154.62</v>
      </c>
      <c r="AM45" s="17">
        <v>3186.82</v>
      </c>
      <c r="AN45" s="17">
        <v>3219.01</v>
      </c>
      <c r="AO45" s="17">
        <v>3251.2</v>
      </c>
      <c r="AP45" s="17">
        <v>3283.39</v>
      </c>
      <c r="AQ45" s="17">
        <v>3315.58</v>
      </c>
      <c r="AR45" s="17">
        <v>3347.78</v>
      </c>
      <c r="AS45" s="17">
        <v>3379.97</v>
      </c>
      <c r="AT45" s="17">
        <v>3412.16</v>
      </c>
      <c r="AU45" s="17">
        <v>3444.35</v>
      </c>
      <c r="AV45" s="17">
        <v>3476.54</v>
      </c>
      <c r="AW45" s="17">
        <v>3508.74</v>
      </c>
      <c r="AX45" s="17">
        <v>3540.93</v>
      </c>
      <c r="AY45" s="17">
        <v>3573.12</v>
      </c>
      <c r="AZ45" s="17">
        <v>3605.31</v>
      </c>
      <c r="BA45" s="17">
        <f t="shared" ref="BA45:BK45" si="35">ROUND(AZ45+$K45,2)</f>
        <v>3637.5</v>
      </c>
      <c r="BB45" s="17">
        <f t="shared" si="35"/>
        <v>3669.69</v>
      </c>
      <c r="BC45" s="17">
        <f t="shared" si="35"/>
        <v>3701.88</v>
      </c>
      <c r="BD45" s="17">
        <f t="shared" si="35"/>
        <v>3734.07</v>
      </c>
      <c r="BE45" s="17">
        <f t="shared" si="35"/>
        <v>3766.26</v>
      </c>
      <c r="BF45" s="17">
        <f t="shared" si="35"/>
        <v>3798.45</v>
      </c>
      <c r="BG45" s="17">
        <f t="shared" si="35"/>
        <v>3830.64</v>
      </c>
      <c r="BH45" s="17">
        <f t="shared" si="35"/>
        <v>3862.83</v>
      </c>
      <c r="BI45" s="17">
        <f t="shared" si="35"/>
        <v>3895.02</v>
      </c>
      <c r="BJ45" s="17">
        <f t="shared" si="35"/>
        <v>3927.21</v>
      </c>
      <c r="BK45" s="17">
        <f t="shared" si="35"/>
        <v>3959.4</v>
      </c>
    </row>
    <row r="46" spans="1:63" s="18" customFormat="1" hidden="1">
      <c r="A46" s="14" t="s">
        <v>85</v>
      </c>
      <c r="B46" s="54"/>
      <c r="C46" s="14" t="s">
        <v>79</v>
      </c>
      <c r="D46" s="14" t="s">
        <v>45</v>
      </c>
      <c r="E46" s="14" t="s">
        <v>31</v>
      </c>
      <c r="F46" s="14" t="s">
        <v>23</v>
      </c>
      <c r="H46" s="110"/>
      <c r="I46" s="15">
        <v>6.4</v>
      </c>
      <c r="J46" s="25">
        <v>15.8</v>
      </c>
      <c r="K46" s="17">
        <f t="shared" si="2"/>
        <v>16.579999999999927</v>
      </c>
      <c r="L46" s="17">
        <v>1018.05</v>
      </c>
      <c r="M46" s="17">
        <v>1034.6199999999999</v>
      </c>
      <c r="N46" s="17">
        <v>1051.2</v>
      </c>
      <c r="O46" s="17">
        <v>1067.78</v>
      </c>
      <c r="P46" s="17">
        <v>1084.3499999999999</v>
      </c>
      <c r="Q46" s="17">
        <v>1100.93</v>
      </c>
      <c r="R46" s="17">
        <v>1117.5</v>
      </c>
      <c r="S46" s="17">
        <v>1134.08</v>
      </c>
      <c r="T46" s="17">
        <v>1150.6600000000001</v>
      </c>
      <c r="U46" s="17">
        <v>1167.23</v>
      </c>
      <c r="V46" s="17">
        <v>1183.81</v>
      </c>
      <c r="W46" s="17">
        <v>1200.3800000000001</v>
      </c>
      <c r="X46" s="17">
        <v>1216.96</v>
      </c>
      <c r="Y46" s="17">
        <v>1233.54</v>
      </c>
      <c r="Z46" s="17">
        <v>1250.1099999999999</v>
      </c>
      <c r="AA46" s="17">
        <v>1266.69</v>
      </c>
      <c r="AB46" s="17">
        <v>1283.26</v>
      </c>
      <c r="AC46" s="17">
        <v>1299.8399999999999</v>
      </c>
      <c r="AD46" s="17">
        <v>1316.42</v>
      </c>
      <c r="AE46" s="17">
        <v>1332.99</v>
      </c>
      <c r="AF46" s="17">
        <v>1349.57</v>
      </c>
      <c r="AG46" s="17">
        <v>1366.14</v>
      </c>
      <c r="AH46" s="17">
        <v>1382.72</v>
      </c>
      <c r="AI46" s="17">
        <v>1399.3</v>
      </c>
      <c r="AJ46" s="17">
        <v>1415.87</v>
      </c>
      <c r="AK46" s="17">
        <v>1432.45</v>
      </c>
      <c r="AL46" s="17">
        <v>1449.02</v>
      </c>
      <c r="AM46" s="17">
        <v>1465.6</v>
      </c>
      <c r="AN46" s="17">
        <v>1482.18</v>
      </c>
      <c r="AO46" s="17">
        <v>1498.75</v>
      </c>
      <c r="AP46" s="17">
        <v>1515.33</v>
      </c>
      <c r="AQ46" s="17">
        <v>1531.9</v>
      </c>
      <c r="AR46" s="17">
        <v>1548.48</v>
      </c>
      <c r="AS46" s="17">
        <v>1565.06</v>
      </c>
      <c r="AT46" s="17">
        <v>1581.63</v>
      </c>
      <c r="AU46" s="17">
        <v>1598.21</v>
      </c>
      <c r="AV46" s="17">
        <v>1614.78</v>
      </c>
      <c r="AW46" s="17">
        <v>1631.36</v>
      </c>
      <c r="AX46" s="17">
        <v>1647.94</v>
      </c>
      <c r="AY46" s="17">
        <v>1664.51</v>
      </c>
      <c r="AZ46" s="17">
        <v>1681.09</v>
      </c>
      <c r="BA46" s="17">
        <f t="shared" ref="BA46:BK46" si="36">ROUND(AZ46+$K46,2)</f>
        <v>1697.67</v>
      </c>
      <c r="BB46" s="17">
        <f t="shared" si="36"/>
        <v>1714.25</v>
      </c>
      <c r="BC46" s="17">
        <f t="shared" si="36"/>
        <v>1730.83</v>
      </c>
      <c r="BD46" s="17">
        <f t="shared" si="36"/>
        <v>1747.41</v>
      </c>
      <c r="BE46" s="17">
        <f t="shared" si="36"/>
        <v>1763.99</v>
      </c>
      <c r="BF46" s="17">
        <f t="shared" si="36"/>
        <v>1780.57</v>
      </c>
      <c r="BG46" s="17">
        <f t="shared" si="36"/>
        <v>1797.15</v>
      </c>
      <c r="BH46" s="17">
        <f t="shared" si="36"/>
        <v>1813.73</v>
      </c>
      <c r="BI46" s="17">
        <f t="shared" si="36"/>
        <v>1830.31</v>
      </c>
      <c r="BJ46" s="17">
        <f t="shared" si="36"/>
        <v>1846.89</v>
      </c>
      <c r="BK46" s="17">
        <f t="shared" si="36"/>
        <v>1863.47</v>
      </c>
    </row>
    <row r="47" spans="1:63" s="217" customFormat="1" hidden="1">
      <c r="A47" s="215" t="s">
        <v>86</v>
      </c>
      <c r="B47" s="298"/>
      <c r="C47" s="215" t="s">
        <v>79</v>
      </c>
      <c r="D47" s="215" t="s">
        <v>45</v>
      </c>
      <c r="E47" s="215" t="s">
        <v>39</v>
      </c>
      <c r="F47" s="215" t="s">
        <v>23</v>
      </c>
      <c r="H47" s="316"/>
      <c r="I47" s="216">
        <v>6.4</v>
      </c>
      <c r="J47" s="217">
        <v>15.8</v>
      </c>
      <c r="K47" s="306">
        <f t="shared" si="2"/>
        <v>16.569999999999936</v>
      </c>
      <c r="L47" s="306">
        <v>1061.82</v>
      </c>
      <c r="M47" s="306">
        <v>1078.4000000000001</v>
      </c>
      <c r="N47" s="306">
        <v>1094.98</v>
      </c>
      <c r="O47" s="306">
        <v>1111.55</v>
      </c>
      <c r="P47" s="306">
        <v>1128.1300000000001</v>
      </c>
      <c r="Q47" s="306">
        <v>1144.7</v>
      </c>
      <c r="R47" s="306">
        <v>1161.28</v>
      </c>
      <c r="S47" s="306">
        <v>1177.8599999999999</v>
      </c>
      <c r="T47" s="306">
        <v>1194.43</v>
      </c>
      <c r="U47" s="306">
        <v>1211.01</v>
      </c>
      <c r="V47" s="306">
        <v>1227.58</v>
      </c>
      <c r="W47" s="306">
        <v>1244.1600000000001</v>
      </c>
      <c r="X47" s="306">
        <v>1260.74</v>
      </c>
      <c r="Y47" s="306">
        <v>1277.31</v>
      </c>
      <c r="Z47" s="306">
        <v>1293.8900000000001</v>
      </c>
      <c r="AA47" s="306">
        <v>1310.46</v>
      </c>
      <c r="AB47" s="306">
        <v>1327.04</v>
      </c>
      <c r="AC47" s="306">
        <v>1343.62</v>
      </c>
      <c r="AD47" s="306">
        <v>1360.19</v>
      </c>
      <c r="AE47" s="306">
        <v>1376.77</v>
      </c>
      <c r="AF47" s="306">
        <v>1393.34</v>
      </c>
      <c r="AG47" s="306">
        <v>1409.92</v>
      </c>
      <c r="AH47" s="306">
        <v>1426.5</v>
      </c>
      <c r="AI47" s="306">
        <v>1443.07</v>
      </c>
      <c r="AJ47" s="306">
        <v>1459.65</v>
      </c>
      <c r="AK47" s="306">
        <v>1476.22</v>
      </c>
      <c r="AL47" s="306">
        <v>1492.8</v>
      </c>
      <c r="AM47" s="306">
        <v>1509.38</v>
      </c>
      <c r="AN47" s="306">
        <v>1525.95</v>
      </c>
      <c r="AO47" s="306">
        <v>1542.53</v>
      </c>
      <c r="AP47" s="306">
        <v>1559.1</v>
      </c>
      <c r="AQ47" s="306">
        <v>1575.68</v>
      </c>
      <c r="AR47" s="306">
        <v>1592.26</v>
      </c>
      <c r="AS47" s="306">
        <v>1608.83</v>
      </c>
      <c r="AT47" s="306">
        <v>1625.41</v>
      </c>
      <c r="AU47" s="306">
        <v>1641.98</v>
      </c>
      <c r="AV47" s="306">
        <v>1658.56</v>
      </c>
      <c r="AW47" s="306">
        <v>1675.14</v>
      </c>
      <c r="AX47" s="306">
        <v>1691.71</v>
      </c>
      <c r="AY47" s="306">
        <v>1708.29</v>
      </c>
      <c r="AZ47" s="306">
        <v>1724.86</v>
      </c>
      <c r="BA47" s="306">
        <f t="shared" ref="BA47:BK47" si="37">ROUND(AZ47+$K47,2)</f>
        <v>1741.43</v>
      </c>
      <c r="BB47" s="306">
        <f t="shared" si="37"/>
        <v>1758</v>
      </c>
      <c r="BC47" s="306">
        <f t="shared" si="37"/>
        <v>1774.57</v>
      </c>
      <c r="BD47" s="306">
        <f t="shared" si="37"/>
        <v>1791.14</v>
      </c>
      <c r="BE47" s="306">
        <f t="shared" si="37"/>
        <v>1807.71</v>
      </c>
      <c r="BF47" s="306">
        <f t="shared" si="37"/>
        <v>1824.28</v>
      </c>
      <c r="BG47" s="306">
        <f t="shared" si="37"/>
        <v>1840.85</v>
      </c>
      <c r="BH47" s="306">
        <f t="shared" si="37"/>
        <v>1857.42</v>
      </c>
      <c r="BI47" s="306">
        <f t="shared" si="37"/>
        <v>1873.99</v>
      </c>
      <c r="BJ47" s="306">
        <f t="shared" si="37"/>
        <v>1890.56</v>
      </c>
      <c r="BK47" s="306">
        <f t="shared" si="37"/>
        <v>1907.13</v>
      </c>
    </row>
    <row r="48" spans="1:63" hidden="1">
      <c r="A48" s="8" t="s">
        <v>86</v>
      </c>
      <c r="C48" s="8" t="s">
        <v>79</v>
      </c>
      <c r="D48" s="8" t="s">
        <v>45</v>
      </c>
      <c r="E48" s="8" t="s">
        <v>39</v>
      </c>
      <c r="F48" s="8" t="s">
        <v>23</v>
      </c>
      <c r="G48" s="284" t="s">
        <v>87</v>
      </c>
      <c r="H48" s="139"/>
      <c r="I48" s="304">
        <v>6.4</v>
      </c>
      <c r="J48" s="9">
        <v>15.8</v>
      </c>
      <c r="K48" s="17">
        <v>15.24</v>
      </c>
      <c r="L48" s="17">
        <f t="shared" ref="L48:AN48" si="38">M48-$K48</f>
        <v>1065.4799999999998</v>
      </c>
      <c r="M48" s="17">
        <f t="shared" si="38"/>
        <v>1080.7199999999998</v>
      </c>
      <c r="N48" s="17">
        <f t="shared" si="38"/>
        <v>1095.9599999999998</v>
      </c>
      <c r="O48" s="17">
        <f t="shared" si="38"/>
        <v>1111.1999999999998</v>
      </c>
      <c r="P48" s="17">
        <f t="shared" si="38"/>
        <v>1126.4399999999998</v>
      </c>
      <c r="Q48" s="17">
        <f t="shared" si="38"/>
        <v>1141.6799999999998</v>
      </c>
      <c r="R48" s="17">
        <f t="shared" si="38"/>
        <v>1156.9199999999998</v>
      </c>
      <c r="S48" s="17">
        <f t="shared" si="38"/>
        <v>1172.1599999999999</v>
      </c>
      <c r="T48" s="17">
        <f t="shared" si="38"/>
        <v>1187.3999999999999</v>
      </c>
      <c r="U48" s="17">
        <f t="shared" si="38"/>
        <v>1202.6399999999999</v>
      </c>
      <c r="V48" s="17">
        <f t="shared" si="38"/>
        <v>1217.8799999999999</v>
      </c>
      <c r="W48" s="17">
        <f t="shared" si="38"/>
        <v>1233.1199999999999</v>
      </c>
      <c r="X48" s="17">
        <f t="shared" si="38"/>
        <v>1248.3599999999999</v>
      </c>
      <c r="Y48" s="17">
        <f t="shared" si="38"/>
        <v>1263.5999999999999</v>
      </c>
      <c r="Z48" s="17">
        <f t="shared" si="38"/>
        <v>1278.8399999999999</v>
      </c>
      <c r="AA48" s="17">
        <f t="shared" si="38"/>
        <v>1294.08</v>
      </c>
      <c r="AB48" s="17">
        <f t="shared" si="38"/>
        <v>1309.32</v>
      </c>
      <c r="AC48" s="17">
        <f t="shared" si="38"/>
        <v>1324.56</v>
      </c>
      <c r="AD48" s="17">
        <f t="shared" si="38"/>
        <v>1339.8</v>
      </c>
      <c r="AE48" s="17">
        <f t="shared" si="38"/>
        <v>1355.04</v>
      </c>
      <c r="AF48" s="17">
        <f t="shared" si="38"/>
        <v>1370.28</v>
      </c>
      <c r="AG48" s="17">
        <f t="shared" si="38"/>
        <v>1385.52</v>
      </c>
      <c r="AH48" s="17">
        <f t="shared" si="38"/>
        <v>1400.76</v>
      </c>
      <c r="AI48" s="17">
        <f t="shared" si="38"/>
        <v>1416</v>
      </c>
      <c r="AJ48" s="17">
        <f t="shared" si="38"/>
        <v>1431.24</v>
      </c>
      <c r="AK48" s="17">
        <f t="shared" si="38"/>
        <v>1446.48</v>
      </c>
      <c r="AL48" s="17">
        <f t="shared" si="38"/>
        <v>1461.72</v>
      </c>
      <c r="AM48" s="17">
        <f t="shared" si="38"/>
        <v>1476.96</v>
      </c>
      <c r="AN48" s="17">
        <f t="shared" si="38"/>
        <v>1492.2</v>
      </c>
      <c r="AO48" s="17">
        <f>AP48-$K48</f>
        <v>1507.44</v>
      </c>
      <c r="AP48" s="17">
        <v>1522.68</v>
      </c>
      <c r="AQ48" s="17">
        <f>AP48+$K48</f>
        <v>1537.92</v>
      </c>
      <c r="AR48" s="17">
        <f t="shared" ref="AR48:BK48" si="39">AQ48+$K48</f>
        <v>1553.16</v>
      </c>
      <c r="AS48" s="17">
        <f t="shared" si="39"/>
        <v>1568.4</v>
      </c>
      <c r="AT48" s="17">
        <f t="shared" si="39"/>
        <v>1583.64</v>
      </c>
      <c r="AU48" s="17">
        <f t="shared" si="39"/>
        <v>1598.88</v>
      </c>
      <c r="AV48" s="17">
        <f t="shared" si="39"/>
        <v>1614.1200000000001</v>
      </c>
      <c r="AW48" s="17">
        <f t="shared" si="39"/>
        <v>1629.3600000000001</v>
      </c>
      <c r="AX48" s="17">
        <f t="shared" si="39"/>
        <v>1644.6000000000001</v>
      </c>
      <c r="AY48" s="17">
        <f t="shared" si="39"/>
        <v>1659.8400000000001</v>
      </c>
      <c r="AZ48" s="17">
        <f t="shared" si="39"/>
        <v>1675.0800000000002</v>
      </c>
      <c r="BA48" s="17">
        <f t="shared" si="39"/>
        <v>1690.3200000000002</v>
      </c>
      <c r="BB48" s="17">
        <f t="shared" si="39"/>
        <v>1705.5600000000002</v>
      </c>
      <c r="BC48" s="17">
        <f t="shared" si="39"/>
        <v>1720.8000000000002</v>
      </c>
      <c r="BD48" s="17">
        <f t="shared" si="39"/>
        <v>1736.0400000000002</v>
      </c>
      <c r="BE48" s="17">
        <f t="shared" si="39"/>
        <v>1751.2800000000002</v>
      </c>
      <c r="BF48" s="17">
        <f t="shared" si="39"/>
        <v>1766.5200000000002</v>
      </c>
      <c r="BG48" s="17">
        <f t="shared" si="39"/>
        <v>1781.7600000000002</v>
      </c>
      <c r="BH48" s="17">
        <f t="shared" si="39"/>
        <v>1797.0000000000002</v>
      </c>
      <c r="BI48" s="17">
        <f t="shared" si="39"/>
        <v>1812.2400000000002</v>
      </c>
      <c r="BJ48" s="17">
        <f t="shared" si="39"/>
        <v>1827.4800000000002</v>
      </c>
      <c r="BK48" s="17">
        <f t="shared" si="39"/>
        <v>1842.7200000000003</v>
      </c>
    </row>
    <row r="49" spans="1:63" s="18" customFormat="1" hidden="1">
      <c r="A49" s="23" t="s">
        <v>86</v>
      </c>
      <c r="B49" s="297"/>
      <c r="C49" s="23" t="s">
        <v>79</v>
      </c>
      <c r="D49" s="23" t="s">
        <v>45</v>
      </c>
      <c r="E49" s="23" t="s">
        <v>25</v>
      </c>
      <c r="F49" s="23" t="s">
        <v>23</v>
      </c>
      <c r="G49" s="289" t="s">
        <v>40</v>
      </c>
      <c r="H49" s="315"/>
      <c r="I49" s="15">
        <v>6.4</v>
      </c>
      <c r="J49" s="18">
        <v>15.8</v>
      </c>
      <c r="K49" s="17">
        <f t="shared" si="2"/>
        <v>17.279999999999973</v>
      </c>
      <c r="L49" s="17">
        <v>1198.08</v>
      </c>
      <c r="M49" s="17">
        <v>1215.3599999999999</v>
      </c>
      <c r="N49" s="17">
        <v>1232.6400000000001</v>
      </c>
      <c r="O49" s="17">
        <v>1249.92</v>
      </c>
      <c r="P49" s="17">
        <v>1267.2</v>
      </c>
      <c r="Q49" s="17">
        <v>1284.48</v>
      </c>
      <c r="R49" s="17">
        <v>1301.76</v>
      </c>
      <c r="S49" s="17">
        <v>1319.04</v>
      </c>
      <c r="T49" s="17">
        <v>1336.32</v>
      </c>
      <c r="U49" s="17">
        <v>1353.6</v>
      </c>
      <c r="V49" s="17">
        <v>1370.88</v>
      </c>
      <c r="W49" s="17">
        <v>1388.16</v>
      </c>
      <c r="X49" s="17">
        <v>1405.44</v>
      </c>
      <c r="Y49" s="17">
        <v>1422.72</v>
      </c>
      <c r="Z49" s="17">
        <v>1440</v>
      </c>
      <c r="AA49" s="17">
        <v>1457.28</v>
      </c>
      <c r="AB49" s="17">
        <v>1474.56</v>
      </c>
      <c r="AC49" s="17">
        <v>1491.84</v>
      </c>
      <c r="AD49" s="17">
        <v>1509.12</v>
      </c>
      <c r="AE49" s="17">
        <v>1526.4</v>
      </c>
      <c r="AF49" s="17">
        <v>1543.68</v>
      </c>
      <c r="AG49" s="17">
        <v>1560.96</v>
      </c>
      <c r="AH49" s="17">
        <v>1578.24</v>
      </c>
      <c r="AI49" s="17">
        <v>1595.52</v>
      </c>
      <c r="AJ49" s="17">
        <v>1612.8</v>
      </c>
      <c r="AK49" s="17">
        <v>1630.08</v>
      </c>
      <c r="AL49" s="17">
        <v>1647.36</v>
      </c>
      <c r="AM49" s="17">
        <v>1664.64</v>
      </c>
      <c r="AN49" s="17">
        <v>1681.92</v>
      </c>
      <c r="AO49" s="17">
        <v>1699.2</v>
      </c>
      <c r="AP49" s="17">
        <v>1716.48</v>
      </c>
      <c r="AQ49" s="17">
        <v>1733.76</v>
      </c>
      <c r="AR49" s="17">
        <v>1751.04</v>
      </c>
      <c r="AS49" s="17">
        <v>1768.32</v>
      </c>
      <c r="AT49" s="17">
        <v>1785.6</v>
      </c>
      <c r="AU49" s="17">
        <v>1802.88</v>
      </c>
      <c r="AV49" s="17">
        <v>1820.16</v>
      </c>
      <c r="AW49" s="17">
        <v>1837.44</v>
      </c>
      <c r="AX49" s="17">
        <v>1854.72</v>
      </c>
      <c r="AY49" s="17">
        <v>1872</v>
      </c>
      <c r="AZ49" s="17">
        <v>1889.28</v>
      </c>
      <c r="BA49" s="17">
        <f t="shared" ref="BA49:BK49" si="40">ROUND(AZ49+$K49,2)</f>
        <v>1906.56</v>
      </c>
      <c r="BB49" s="17">
        <f t="shared" si="40"/>
        <v>1923.84</v>
      </c>
      <c r="BC49" s="17">
        <f t="shared" si="40"/>
        <v>1941.12</v>
      </c>
      <c r="BD49" s="17">
        <f t="shared" si="40"/>
        <v>1958.4</v>
      </c>
      <c r="BE49" s="17">
        <f t="shared" si="40"/>
        <v>1975.68</v>
      </c>
      <c r="BF49" s="17">
        <f t="shared" si="40"/>
        <v>1992.96</v>
      </c>
      <c r="BG49" s="17">
        <f t="shared" si="40"/>
        <v>2010.24</v>
      </c>
      <c r="BH49" s="17">
        <f t="shared" si="40"/>
        <v>2027.52</v>
      </c>
      <c r="BI49" s="17">
        <f t="shared" si="40"/>
        <v>2044.8</v>
      </c>
      <c r="BJ49" s="17">
        <f t="shared" si="40"/>
        <v>2062.08</v>
      </c>
      <c r="BK49" s="17">
        <f t="shared" si="40"/>
        <v>2079.36</v>
      </c>
    </row>
    <row r="50" spans="1:63" s="18" customFormat="1" hidden="1">
      <c r="A50" s="23" t="s">
        <v>86</v>
      </c>
      <c r="B50" s="297"/>
      <c r="C50" s="23" t="s">
        <v>79</v>
      </c>
      <c r="D50" s="23" t="s">
        <v>45</v>
      </c>
      <c r="E50" s="23" t="s">
        <v>22</v>
      </c>
      <c r="F50" s="23" t="s">
        <v>23</v>
      </c>
      <c r="G50" s="289"/>
      <c r="H50" s="315"/>
      <c r="I50" s="15">
        <v>6.4</v>
      </c>
      <c r="J50" s="18">
        <v>15.8</v>
      </c>
      <c r="K50" s="17">
        <f t="shared" si="2"/>
        <v>17.920000000000073</v>
      </c>
      <c r="L50" s="17">
        <v>1234.05</v>
      </c>
      <c r="M50" s="17">
        <v>1251.97</v>
      </c>
      <c r="N50" s="17">
        <v>1269.8900000000001</v>
      </c>
      <c r="O50" s="17">
        <v>1287.81</v>
      </c>
      <c r="P50" s="17">
        <v>1305.73</v>
      </c>
      <c r="Q50" s="17">
        <v>1323.65</v>
      </c>
      <c r="R50" s="17">
        <v>1341.57</v>
      </c>
      <c r="S50" s="17">
        <v>1359.49</v>
      </c>
      <c r="T50" s="17">
        <v>1377.41</v>
      </c>
      <c r="U50" s="17">
        <v>1395.33</v>
      </c>
      <c r="V50" s="17">
        <v>1413.25</v>
      </c>
      <c r="W50" s="17">
        <v>1431.17</v>
      </c>
      <c r="X50" s="17">
        <v>1449.09</v>
      </c>
      <c r="Y50" s="17">
        <v>1467.01</v>
      </c>
      <c r="Z50" s="17">
        <v>1484.93</v>
      </c>
      <c r="AA50" s="17">
        <v>1502.85</v>
      </c>
      <c r="AB50" s="17">
        <v>1520.77</v>
      </c>
      <c r="AC50" s="17">
        <v>1538.69</v>
      </c>
      <c r="AD50" s="17">
        <v>1556.61</v>
      </c>
      <c r="AE50" s="17">
        <v>1574.53</v>
      </c>
      <c r="AF50" s="17">
        <v>1592.45</v>
      </c>
      <c r="AG50" s="17">
        <v>1610.37</v>
      </c>
      <c r="AH50" s="17">
        <v>1628.29</v>
      </c>
      <c r="AI50" s="17">
        <v>1646.21</v>
      </c>
      <c r="AJ50" s="17">
        <v>1664.13</v>
      </c>
      <c r="AK50" s="17">
        <v>1682.05</v>
      </c>
      <c r="AL50" s="17">
        <v>1699.97</v>
      </c>
      <c r="AM50" s="17">
        <v>1717.89</v>
      </c>
      <c r="AN50" s="17">
        <v>1735.81</v>
      </c>
      <c r="AO50" s="17">
        <v>1753.73</v>
      </c>
      <c r="AP50" s="17">
        <v>1771.65</v>
      </c>
      <c r="AQ50" s="17">
        <v>1789.57</v>
      </c>
      <c r="AR50" s="17">
        <v>1807.49</v>
      </c>
      <c r="AS50" s="17">
        <v>1825.41</v>
      </c>
      <c r="AT50" s="17">
        <v>1843.33</v>
      </c>
      <c r="AU50" s="17">
        <v>1861.25</v>
      </c>
      <c r="AV50" s="17">
        <v>1879.17</v>
      </c>
      <c r="AW50" s="17">
        <v>1897.09</v>
      </c>
      <c r="AX50" s="17">
        <v>1915.01</v>
      </c>
      <c r="AY50" s="17">
        <v>1932.93</v>
      </c>
      <c r="AZ50" s="17">
        <v>1950.85</v>
      </c>
      <c r="BA50" s="17">
        <f t="shared" ref="BA50:BK50" si="41">ROUND(AZ50+$K50,2)</f>
        <v>1968.77</v>
      </c>
      <c r="BB50" s="17">
        <f t="shared" si="41"/>
        <v>1986.69</v>
      </c>
      <c r="BC50" s="17">
        <f t="shared" si="41"/>
        <v>2004.61</v>
      </c>
      <c r="BD50" s="17">
        <f t="shared" si="41"/>
        <v>2022.53</v>
      </c>
      <c r="BE50" s="17">
        <f t="shared" si="41"/>
        <v>2040.45</v>
      </c>
      <c r="BF50" s="17">
        <f t="shared" si="41"/>
        <v>2058.37</v>
      </c>
      <c r="BG50" s="17">
        <f t="shared" si="41"/>
        <v>2076.29</v>
      </c>
      <c r="BH50" s="17">
        <f t="shared" si="41"/>
        <v>2094.21</v>
      </c>
      <c r="BI50" s="17">
        <f t="shared" si="41"/>
        <v>2112.13</v>
      </c>
      <c r="BJ50" s="17">
        <f t="shared" si="41"/>
        <v>2130.0500000000002</v>
      </c>
      <c r="BK50" s="17">
        <f t="shared" si="41"/>
        <v>2147.9699999999998</v>
      </c>
    </row>
    <row r="51" spans="1:63" s="18" customFormat="1" hidden="1">
      <c r="A51" s="24" t="s">
        <v>89</v>
      </c>
      <c r="B51" s="244"/>
      <c r="C51" s="24" t="s">
        <v>79</v>
      </c>
      <c r="D51" s="24" t="s">
        <v>90</v>
      </c>
      <c r="E51" s="24" t="s">
        <v>31</v>
      </c>
      <c r="F51" s="24" t="s">
        <v>91</v>
      </c>
      <c r="G51" s="335"/>
      <c r="H51" s="110"/>
      <c r="I51" s="15">
        <v>6.4</v>
      </c>
      <c r="J51" s="18">
        <v>14.5</v>
      </c>
      <c r="K51" s="17">
        <f t="shared" si="2"/>
        <v>17.279999999999973</v>
      </c>
      <c r="L51" s="17">
        <v>969.79</v>
      </c>
      <c r="M51" s="17">
        <v>987.07</v>
      </c>
      <c r="N51" s="17">
        <v>1004.35</v>
      </c>
      <c r="O51" s="17">
        <v>1021.63</v>
      </c>
      <c r="P51" s="17">
        <v>1038.9100000000001</v>
      </c>
      <c r="Q51" s="17">
        <v>1056.19</v>
      </c>
      <c r="R51" s="17">
        <v>1073.47</v>
      </c>
      <c r="S51" s="17">
        <v>1090.75</v>
      </c>
      <c r="T51" s="17">
        <v>1108.03</v>
      </c>
      <c r="U51" s="17">
        <v>1125.31</v>
      </c>
      <c r="V51" s="17">
        <v>1142.5899999999999</v>
      </c>
      <c r="W51" s="17">
        <v>1159.8699999999999</v>
      </c>
      <c r="X51" s="17">
        <v>1177.1500000000001</v>
      </c>
      <c r="Y51" s="17">
        <v>1194.43</v>
      </c>
      <c r="Z51" s="17">
        <v>1211.71</v>
      </c>
      <c r="AA51" s="17">
        <v>1228.99</v>
      </c>
      <c r="AB51" s="17">
        <v>1246.27</v>
      </c>
      <c r="AC51" s="17">
        <v>1263.55</v>
      </c>
      <c r="AD51" s="17">
        <v>1280.83</v>
      </c>
      <c r="AE51" s="17">
        <v>1298.1099999999999</v>
      </c>
      <c r="AF51" s="17">
        <v>1315.39</v>
      </c>
      <c r="AG51" s="17">
        <v>1332.67</v>
      </c>
      <c r="AH51" s="17">
        <v>1349.95</v>
      </c>
      <c r="AI51" s="17">
        <v>1367.23</v>
      </c>
      <c r="AJ51" s="17">
        <v>1384.51</v>
      </c>
      <c r="AK51" s="17">
        <v>1401.79</v>
      </c>
      <c r="AL51" s="17">
        <v>1419.07</v>
      </c>
      <c r="AM51" s="17">
        <v>1436.35</v>
      </c>
      <c r="AN51" s="17">
        <v>1453.63</v>
      </c>
      <c r="AO51" s="17">
        <v>1470.91</v>
      </c>
      <c r="AP51" s="17">
        <v>1488.19</v>
      </c>
      <c r="AQ51" s="17">
        <v>1505.47</v>
      </c>
      <c r="AR51" s="17">
        <v>1522.75</v>
      </c>
      <c r="AS51" s="17">
        <v>1540.03</v>
      </c>
      <c r="AT51" s="17">
        <v>1557.31</v>
      </c>
      <c r="AU51" s="17">
        <v>1574.59</v>
      </c>
      <c r="AV51" s="17">
        <v>1591.87</v>
      </c>
      <c r="AW51" s="17">
        <v>1609.15</v>
      </c>
      <c r="AX51" s="17">
        <v>1626.43</v>
      </c>
      <c r="AY51" s="17">
        <v>1643.71</v>
      </c>
      <c r="AZ51" s="17">
        <v>1660.99</v>
      </c>
      <c r="BA51" s="17">
        <f t="shared" ref="BA51:BK51" si="42">ROUND(AZ51+$K51,2)</f>
        <v>1678.27</v>
      </c>
      <c r="BB51" s="17">
        <f t="shared" si="42"/>
        <v>1695.55</v>
      </c>
      <c r="BC51" s="17">
        <f t="shared" si="42"/>
        <v>1712.83</v>
      </c>
      <c r="BD51" s="17">
        <f t="shared" si="42"/>
        <v>1730.11</v>
      </c>
      <c r="BE51" s="17">
        <f t="shared" si="42"/>
        <v>1747.39</v>
      </c>
      <c r="BF51" s="17">
        <f t="shared" si="42"/>
        <v>1764.67</v>
      </c>
      <c r="BG51" s="17">
        <f t="shared" si="42"/>
        <v>1781.95</v>
      </c>
      <c r="BH51" s="17">
        <f t="shared" si="42"/>
        <v>1799.23</v>
      </c>
      <c r="BI51" s="17">
        <f t="shared" si="42"/>
        <v>1816.51</v>
      </c>
      <c r="BJ51" s="17">
        <f t="shared" si="42"/>
        <v>1833.79</v>
      </c>
      <c r="BK51" s="17">
        <f t="shared" si="42"/>
        <v>1851.07</v>
      </c>
    </row>
    <row r="52" spans="1:63" s="18" customFormat="1" hidden="1">
      <c r="A52" s="14" t="s">
        <v>92</v>
      </c>
      <c r="B52" s="54"/>
      <c r="C52" s="14" t="s">
        <v>79</v>
      </c>
      <c r="D52" s="14" t="s">
        <v>90</v>
      </c>
      <c r="E52" s="14" t="s">
        <v>39</v>
      </c>
      <c r="F52" s="14" t="s">
        <v>91</v>
      </c>
      <c r="H52" s="110"/>
      <c r="I52" s="15">
        <v>6.4</v>
      </c>
      <c r="J52" s="18">
        <v>14.5</v>
      </c>
      <c r="K52" s="17">
        <f t="shared" si="2"/>
        <v>17.019999999999982</v>
      </c>
      <c r="L52" s="17">
        <v>1010.88</v>
      </c>
      <c r="M52" s="17">
        <v>1027.9000000000001</v>
      </c>
      <c r="N52" s="17">
        <v>1044.93</v>
      </c>
      <c r="O52" s="17">
        <v>1061.95</v>
      </c>
      <c r="P52" s="17">
        <v>1078.98</v>
      </c>
      <c r="Q52" s="17">
        <v>1096</v>
      </c>
      <c r="R52" s="17">
        <v>1113.02</v>
      </c>
      <c r="S52" s="17">
        <v>1130.05</v>
      </c>
      <c r="T52" s="17">
        <v>1147.07</v>
      </c>
      <c r="U52" s="17">
        <v>1164.0999999999999</v>
      </c>
      <c r="V52" s="17">
        <v>1181.1199999999999</v>
      </c>
      <c r="W52" s="17">
        <v>1198.1400000000001</v>
      </c>
      <c r="X52" s="17">
        <v>1215.17</v>
      </c>
      <c r="Y52" s="17">
        <v>1232.19</v>
      </c>
      <c r="Z52" s="17">
        <v>1249.22</v>
      </c>
      <c r="AA52" s="17">
        <v>1266.24</v>
      </c>
      <c r="AB52" s="17">
        <v>1283.26</v>
      </c>
      <c r="AC52" s="17">
        <v>1300.29</v>
      </c>
      <c r="AD52" s="17">
        <v>1317.31</v>
      </c>
      <c r="AE52" s="17">
        <v>1334.34</v>
      </c>
      <c r="AF52" s="17">
        <v>1351.36</v>
      </c>
      <c r="AG52" s="17">
        <v>1368.38</v>
      </c>
      <c r="AH52" s="17">
        <v>1385.41</v>
      </c>
      <c r="AI52" s="17">
        <v>1402.43</v>
      </c>
      <c r="AJ52" s="17">
        <v>1419.46</v>
      </c>
      <c r="AK52" s="17">
        <v>1436.48</v>
      </c>
      <c r="AL52" s="17">
        <v>1453.5</v>
      </c>
      <c r="AM52" s="17">
        <v>1470.53</v>
      </c>
      <c r="AN52" s="17">
        <v>1487.55</v>
      </c>
      <c r="AO52" s="17">
        <v>1504.58</v>
      </c>
      <c r="AP52" s="17">
        <v>1521.6</v>
      </c>
      <c r="AQ52" s="17">
        <v>1538.62</v>
      </c>
      <c r="AR52" s="17">
        <v>1555.65</v>
      </c>
      <c r="AS52" s="17">
        <v>1572.67</v>
      </c>
      <c r="AT52" s="17">
        <v>1589.7</v>
      </c>
      <c r="AU52" s="17">
        <v>1606.72</v>
      </c>
      <c r="AV52" s="17">
        <v>1623.74</v>
      </c>
      <c r="AW52" s="17">
        <v>1640.77</v>
      </c>
      <c r="AX52" s="17">
        <v>1657.79</v>
      </c>
      <c r="AY52" s="17">
        <v>1674.82</v>
      </c>
      <c r="AZ52" s="17">
        <v>1691.84</v>
      </c>
      <c r="BA52" s="17">
        <f t="shared" ref="BA52:BK52" si="43">ROUND(AZ52+$K52,2)</f>
        <v>1708.86</v>
      </c>
      <c r="BB52" s="17">
        <f t="shared" si="43"/>
        <v>1725.88</v>
      </c>
      <c r="BC52" s="17">
        <f t="shared" si="43"/>
        <v>1742.9</v>
      </c>
      <c r="BD52" s="17">
        <f t="shared" si="43"/>
        <v>1759.92</v>
      </c>
      <c r="BE52" s="17">
        <f t="shared" si="43"/>
        <v>1776.94</v>
      </c>
      <c r="BF52" s="17">
        <f t="shared" si="43"/>
        <v>1793.96</v>
      </c>
      <c r="BG52" s="17">
        <f t="shared" si="43"/>
        <v>1810.98</v>
      </c>
      <c r="BH52" s="17">
        <f t="shared" si="43"/>
        <v>1828</v>
      </c>
      <c r="BI52" s="17">
        <f t="shared" si="43"/>
        <v>1845.02</v>
      </c>
      <c r="BJ52" s="17">
        <f t="shared" si="43"/>
        <v>1862.04</v>
      </c>
      <c r="BK52" s="17">
        <f t="shared" si="43"/>
        <v>1879.06</v>
      </c>
    </row>
    <row r="53" spans="1:63" s="18" customFormat="1" hidden="1">
      <c r="A53" s="14" t="s">
        <v>93</v>
      </c>
      <c r="B53" s="54"/>
      <c r="C53" s="14" t="s">
        <v>79</v>
      </c>
      <c r="D53" s="14" t="s">
        <v>90</v>
      </c>
      <c r="E53" s="14" t="s">
        <v>39</v>
      </c>
      <c r="F53" s="14" t="s">
        <v>91</v>
      </c>
      <c r="H53" s="110"/>
      <c r="I53" s="15">
        <v>6.4</v>
      </c>
      <c r="J53" s="18">
        <v>15.2</v>
      </c>
      <c r="K53" s="17">
        <f t="shared" si="2"/>
        <v>17.210000000000036</v>
      </c>
      <c r="L53" s="17">
        <v>1026.3</v>
      </c>
      <c r="M53" s="17">
        <v>1043.52</v>
      </c>
      <c r="N53" s="17">
        <v>1060.74</v>
      </c>
      <c r="O53" s="17">
        <v>1077.95</v>
      </c>
      <c r="P53" s="17">
        <v>1095.17</v>
      </c>
      <c r="Q53" s="17">
        <v>1112.3800000000001</v>
      </c>
      <c r="R53" s="17">
        <v>1129.5999999999999</v>
      </c>
      <c r="S53" s="17">
        <v>1146.82</v>
      </c>
      <c r="T53" s="17">
        <v>1164.03</v>
      </c>
      <c r="U53" s="17">
        <v>1181.25</v>
      </c>
      <c r="V53" s="17">
        <v>1198.46</v>
      </c>
      <c r="W53" s="17">
        <v>1215.68</v>
      </c>
      <c r="X53" s="17">
        <v>1232.9000000000001</v>
      </c>
      <c r="Y53" s="17">
        <v>1250.1099999999999</v>
      </c>
      <c r="Z53" s="17">
        <v>1267.33</v>
      </c>
      <c r="AA53" s="17">
        <v>1284.54</v>
      </c>
      <c r="AB53" s="17">
        <v>1301.76</v>
      </c>
      <c r="AC53" s="17">
        <v>1318.98</v>
      </c>
      <c r="AD53" s="17">
        <v>1336.19</v>
      </c>
      <c r="AE53" s="17">
        <v>1353.41</v>
      </c>
      <c r="AF53" s="17">
        <v>1370.62</v>
      </c>
      <c r="AG53" s="17">
        <v>1387.84</v>
      </c>
      <c r="AH53" s="17">
        <v>1405.06</v>
      </c>
      <c r="AI53" s="17">
        <v>1422.27</v>
      </c>
      <c r="AJ53" s="17">
        <v>1439.49</v>
      </c>
      <c r="AK53" s="17">
        <v>1456.7</v>
      </c>
      <c r="AL53" s="17">
        <v>1473.92</v>
      </c>
      <c r="AM53" s="17">
        <v>1491.14</v>
      </c>
      <c r="AN53" s="17">
        <v>1508.35</v>
      </c>
      <c r="AO53" s="17">
        <v>1525.57</v>
      </c>
      <c r="AP53" s="17">
        <v>1542.78</v>
      </c>
      <c r="AQ53" s="17">
        <v>1560</v>
      </c>
      <c r="AR53" s="17">
        <v>1577.22</v>
      </c>
      <c r="AS53" s="17">
        <v>1594.43</v>
      </c>
      <c r="AT53" s="17">
        <v>1611.65</v>
      </c>
      <c r="AU53" s="17">
        <v>1628.86</v>
      </c>
      <c r="AV53" s="17">
        <v>1646.08</v>
      </c>
      <c r="AW53" s="17">
        <v>1663.3</v>
      </c>
      <c r="AX53" s="17">
        <v>1680.51</v>
      </c>
      <c r="AY53" s="17">
        <v>1697.73</v>
      </c>
      <c r="AZ53" s="17">
        <v>1714.94</v>
      </c>
      <c r="BA53" s="17">
        <f t="shared" ref="BA53:BK53" si="44">ROUND(AZ53+$K53,2)</f>
        <v>1732.15</v>
      </c>
      <c r="BB53" s="17">
        <f t="shared" si="44"/>
        <v>1749.36</v>
      </c>
      <c r="BC53" s="17">
        <f t="shared" si="44"/>
        <v>1766.57</v>
      </c>
      <c r="BD53" s="17">
        <f t="shared" si="44"/>
        <v>1783.78</v>
      </c>
      <c r="BE53" s="17">
        <f t="shared" si="44"/>
        <v>1800.99</v>
      </c>
      <c r="BF53" s="17">
        <f t="shared" si="44"/>
        <v>1818.2</v>
      </c>
      <c r="BG53" s="17">
        <f t="shared" si="44"/>
        <v>1835.41</v>
      </c>
      <c r="BH53" s="17">
        <f t="shared" si="44"/>
        <v>1852.62</v>
      </c>
      <c r="BI53" s="17">
        <f t="shared" si="44"/>
        <v>1869.83</v>
      </c>
      <c r="BJ53" s="17">
        <f t="shared" si="44"/>
        <v>1887.04</v>
      </c>
      <c r="BK53" s="17">
        <f t="shared" si="44"/>
        <v>1904.25</v>
      </c>
    </row>
    <row r="54" spans="1:63" s="18" customFormat="1" hidden="1">
      <c r="A54" s="23" t="s">
        <v>94</v>
      </c>
      <c r="B54" s="297"/>
      <c r="C54" s="23" t="s">
        <v>79</v>
      </c>
      <c r="D54" s="23" t="s">
        <v>90</v>
      </c>
      <c r="E54" s="23" t="s">
        <v>95</v>
      </c>
      <c r="F54" s="23" t="s">
        <v>96</v>
      </c>
      <c r="G54" s="289"/>
      <c r="H54" s="315"/>
      <c r="I54" s="15">
        <v>6.4</v>
      </c>
      <c r="J54" s="25">
        <v>15.2</v>
      </c>
      <c r="K54" s="17">
        <f t="shared" si="2"/>
        <v>18.179999999999836</v>
      </c>
      <c r="L54" s="17">
        <v>1033.54</v>
      </c>
      <c r="M54" s="17">
        <v>1051.71</v>
      </c>
      <c r="N54" s="17">
        <v>1069.8900000000001</v>
      </c>
      <c r="O54" s="17">
        <v>1088.06</v>
      </c>
      <c r="P54" s="17">
        <v>1106.24</v>
      </c>
      <c r="Q54" s="17">
        <v>1124.42</v>
      </c>
      <c r="R54" s="17">
        <v>1142.5899999999999</v>
      </c>
      <c r="S54" s="17">
        <v>1160.77</v>
      </c>
      <c r="T54" s="17">
        <v>1178.94</v>
      </c>
      <c r="U54" s="17">
        <v>1197.1199999999999</v>
      </c>
      <c r="V54" s="17">
        <v>1215.3</v>
      </c>
      <c r="W54" s="17">
        <v>1233.47</v>
      </c>
      <c r="X54" s="17">
        <v>1251.6500000000001</v>
      </c>
      <c r="Y54" s="17">
        <v>1269.82</v>
      </c>
      <c r="Z54" s="17">
        <v>1288</v>
      </c>
      <c r="AA54" s="17">
        <v>1306.18</v>
      </c>
      <c r="AB54" s="17">
        <v>1324.35</v>
      </c>
      <c r="AC54" s="17">
        <v>1342.53</v>
      </c>
      <c r="AD54" s="17">
        <v>1360.7</v>
      </c>
      <c r="AE54" s="17">
        <v>1378.88</v>
      </c>
      <c r="AF54" s="17">
        <v>1397.06</v>
      </c>
      <c r="AG54" s="17">
        <v>1415.23</v>
      </c>
      <c r="AH54" s="17">
        <v>1433.41</v>
      </c>
      <c r="AI54" s="17">
        <v>1451.58</v>
      </c>
      <c r="AJ54" s="17">
        <v>1469.76</v>
      </c>
      <c r="AK54" s="17">
        <v>1487.94</v>
      </c>
      <c r="AL54" s="17">
        <v>1506.11</v>
      </c>
      <c r="AM54" s="17">
        <v>1524.29</v>
      </c>
      <c r="AN54" s="17">
        <v>1542.46</v>
      </c>
      <c r="AO54" s="17">
        <v>1560.64</v>
      </c>
      <c r="AP54" s="17">
        <v>1578.82</v>
      </c>
      <c r="AQ54" s="17">
        <v>1596.99</v>
      </c>
      <c r="AR54" s="17">
        <v>1615.17</v>
      </c>
      <c r="AS54" s="17">
        <v>1633.34</v>
      </c>
      <c r="AT54" s="17">
        <v>1651.52</v>
      </c>
      <c r="AU54" s="17">
        <v>1669.7</v>
      </c>
      <c r="AV54" s="17">
        <v>1687.87</v>
      </c>
      <c r="AW54" s="17">
        <v>1706.05</v>
      </c>
      <c r="AX54" s="17">
        <v>1724.22</v>
      </c>
      <c r="AY54" s="17">
        <v>1742.4</v>
      </c>
      <c r="AZ54" s="17">
        <v>1760.58</v>
      </c>
      <c r="BA54" s="17">
        <f t="shared" ref="BA54:BK54" si="45">ROUND(AZ54+$K54,2)</f>
        <v>1778.76</v>
      </c>
      <c r="BB54" s="17">
        <f t="shared" si="45"/>
        <v>1796.94</v>
      </c>
      <c r="BC54" s="17">
        <f t="shared" si="45"/>
        <v>1815.12</v>
      </c>
      <c r="BD54" s="17">
        <f t="shared" si="45"/>
        <v>1833.3</v>
      </c>
      <c r="BE54" s="17">
        <f t="shared" si="45"/>
        <v>1851.48</v>
      </c>
      <c r="BF54" s="17">
        <f t="shared" si="45"/>
        <v>1869.66</v>
      </c>
      <c r="BG54" s="17">
        <f t="shared" si="45"/>
        <v>1887.84</v>
      </c>
      <c r="BH54" s="17">
        <f t="shared" si="45"/>
        <v>1906.02</v>
      </c>
      <c r="BI54" s="17">
        <f t="shared" si="45"/>
        <v>1924.2</v>
      </c>
      <c r="BJ54" s="17">
        <f t="shared" si="45"/>
        <v>1942.38</v>
      </c>
      <c r="BK54" s="17">
        <f t="shared" si="45"/>
        <v>1960.56</v>
      </c>
    </row>
    <row r="55" spans="1:63" s="18" customFormat="1" hidden="1">
      <c r="A55" s="23" t="s">
        <v>94</v>
      </c>
      <c r="B55" s="297"/>
      <c r="C55" s="23" t="s">
        <v>79</v>
      </c>
      <c r="D55" s="23" t="s">
        <v>90</v>
      </c>
      <c r="E55" s="23" t="s">
        <v>97</v>
      </c>
      <c r="F55" s="23" t="s">
        <v>96</v>
      </c>
      <c r="G55" s="289"/>
      <c r="H55" s="315"/>
      <c r="I55" s="15">
        <v>6.4</v>
      </c>
      <c r="J55" s="25">
        <v>15.2</v>
      </c>
      <c r="K55" s="17">
        <f t="shared" si="2"/>
        <v>18.179999999999836</v>
      </c>
      <c r="L55" s="17">
        <v>1033.54</v>
      </c>
      <c r="M55" s="17">
        <v>1051.71</v>
      </c>
      <c r="N55" s="17">
        <v>1069.8900000000001</v>
      </c>
      <c r="O55" s="17">
        <v>1088.06</v>
      </c>
      <c r="P55" s="17">
        <v>1106.24</v>
      </c>
      <c r="Q55" s="17">
        <v>1124.42</v>
      </c>
      <c r="R55" s="17">
        <v>1142.5899999999999</v>
      </c>
      <c r="S55" s="17">
        <v>1160.77</v>
      </c>
      <c r="T55" s="17">
        <v>1178.94</v>
      </c>
      <c r="U55" s="17">
        <v>1197.1199999999999</v>
      </c>
      <c r="V55" s="17">
        <v>1215.3</v>
      </c>
      <c r="W55" s="17">
        <v>1233.47</v>
      </c>
      <c r="X55" s="17">
        <v>1251.6500000000001</v>
      </c>
      <c r="Y55" s="17">
        <v>1269.82</v>
      </c>
      <c r="Z55" s="17">
        <v>1288</v>
      </c>
      <c r="AA55" s="17">
        <v>1306.18</v>
      </c>
      <c r="AB55" s="17">
        <v>1324.35</v>
      </c>
      <c r="AC55" s="17">
        <v>1342.53</v>
      </c>
      <c r="AD55" s="17">
        <v>1360.7</v>
      </c>
      <c r="AE55" s="17">
        <v>1378.88</v>
      </c>
      <c r="AF55" s="17">
        <v>1397.06</v>
      </c>
      <c r="AG55" s="17">
        <v>1415.23</v>
      </c>
      <c r="AH55" s="17">
        <v>1433.41</v>
      </c>
      <c r="AI55" s="17">
        <v>1451.58</v>
      </c>
      <c r="AJ55" s="17">
        <v>1469.76</v>
      </c>
      <c r="AK55" s="17">
        <v>1487.94</v>
      </c>
      <c r="AL55" s="17">
        <v>1506.11</v>
      </c>
      <c r="AM55" s="17">
        <v>1524.29</v>
      </c>
      <c r="AN55" s="17">
        <v>1542.46</v>
      </c>
      <c r="AO55" s="17">
        <v>1560.64</v>
      </c>
      <c r="AP55" s="17">
        <v>1578.82</v>
      </c>
      <c r="AQ55" s="17">
        <v>1596.99</v>
      </c>
      <c r="AR55" s="17">
        <v>1615.17</v>
      </c>
      <c r="AS55" s="17">
        <v>1633.34</v>
      </c>
      <c r="AT55" s="17">
        <v>1651.52</v>
      </c>
      <c r="AU55" s="17">
        <v>1669.7</v>
      </c>
      <c r="AV55" s="17">
        <v>1687.87</v>
      </c>
      <c r="AW55" s="17">
        <v>1706.05</v>
      </c>
      <c r="AX55" s="17">
        <v>1724.22</v>
      </c>
      <c r="AY55" s="17">
        <v>1742.4</v>
      </c>
      <c r="AZ55" s="17">
        <v>1760.58</v>
      </c>
      <c r="BA55" s="17">
        <f t="shared" ref="BA55:BK55" si="46">ROUND(AZ55+$K55,2)</f>
        <v>1778.76</v>
      </c>
      <c r="BB55" s="17">
        <f t="shared" si="46"/>
        <v>1796.94</v>
      </c>
      <c r="BC55" s="17">
        <f t="shared" si="46"/>
        <v>1815.12</v>
      </c>
      <c r="BD55" s="17">
        <f t="shared" si="46"/>
        <v>1833.3</v>
      </c>
      <c r="BE55" s="17">
        <f t="shared" si="46"/>
        <v>1851.48</v>
      </c>
      <c r="BF55" s="17">
        <f t="shared" si="46"/>
        <v>1869.66</v>
      </c>
      <c r="BG55" s="17">
        <f t="shared" si="46"/>
        <v>1887.84</v>
      </c>
      <c r="BH55" s="17">
        <f t="shared" si="46"/>
        <v>1906.02</v>
      </c>
      <c r="BI55" s="17">
        <f t="shared" si="46"/>
        <v>1924.2</v>
      </c>
      <c r="BJ55" s="17">
        <f t="shared" si="46"/>
        <v>1942.38</v>
      </c>
      <c r="BK55" s="17">
        <f t="shared" si="46"/>
        <v>1960.56</v>
      </c>
    </row>
    <row r="56" spans="1:63" s="18" customFormat="1" hidden="1">
      <c r="A56" s="23" t="s">
        <v>98</v>
      </c>
      <c r="B56" s="297"/>
      <c r="C56" s="23" t="s">
        <v>79</v>
      </c>
      <c r="D56" s="23" t="s">
        <v>90</v>
      </c>
      <c r="E56" s="23" t="s">
        <v>95</v>
      </c>
      <c r="F56" s="23" t="s">
        <v>96</v>
      </c>
      <c r="G56" s="289"/>
      <c r="H56" s="315"/>
      <c r="I56" s="15">
        <v>6.4</v>
      </c>
      <c r="J56" s="25">
        <v>30.4</v>
      </c>
      <c r="K56" s="17">
        <f t="shared" si="2"/>
        <v>38.650000000000091</v>
      </c>
      <c r="L56" s="17">
        <v>2211.9</v>
      </c>
      <c r="M56" s="17">
        <v>2250.56</v>
      </c>
      <c r="N56" s="17">
        <v>2289.2199999999998</v>
      </c>
      <c r="O56" s="17">
        <v>2327.87</v>
      </c>
      <c r="P56" s="17">
        <v>2366.5300000000002</v>
      </c>
      <c r="Q56" s="17">
        <v>2405.1799999999998</v>
      </c>
      <c r="R56" s="17">
        <v>2443.84</v>
      </c>
      <c r="S56" s="17">
        <v>2482.5</v>
      </c>
      <c r="T56" s="17">
        <v>2521.15</v>
      </c>
      <c r="U56" s="17">
        <v>2559.81</v>
      </c>
      <c r="V56" s="17">
        <v>2598.46</v>
      </c>
      <c r="W56" s="17">
        <v>2637.12</v>
      </c>
      <c r="X56" s="17">
        <v>2675.78</v>
      </c>
      <c r="Y56" s="17">
        <v>2714.43</v>
      </c>
      <c r="Z56" s="17">
        <v>2753.09</v>
      </c>
      <c r="AA56" s="17">
        <v>2791.74</v>
      </c>
      <c r="AB56" s="17">
        <v>2830.4</v>
      </c>
      <c r="AC56" s="17">
        <v>2869.06</v>
      </c>
      <c r="AD56" s="17">
        <v>2907.71</v>
      </c>
      <c r="AE56" s="17">
        <v>2946.37</v>
      </c>
      <c r="AF56" s="17">
        <v>2985.02</v>
      </c>
      <c r="AG56" s="17">
        <v>3023.68</v>
      </c>
      <c r="AH56" s="17">
        <v>3062.34</v>
      </c>
      <c r="AI56" s="17">
        <v>3100.99</v>
      </c>
      <c r="AJ56" s="17">
        <v>3139.65</v>
      </c>
      <c r="AK56" s="17">
        <v>3178.3</v>
      </c>
      <c r="AL56" s="17">
        <v>3216.96</v>
      </c>
      <c r="AM56" s="17">
        <v>3255.62</v>
      </c>
      <c r="AN56" s="17">
        <v>3294.27</v>
      </c>
      <c r="AO56" s="17">
        <v>3332.93</v>
      </c>
      <c r="AP56" s="17">
        <v>3371.58</v>
      </c>
      <c r="AQ56" s="17">
        <v>3410.24</v>
      </c>
      <c r="AR56" s="17">
        <v>3448.9</v>
      </c>
      <c r="AS56" s="17">
        <v>3487.55</v>
      </c>
      <c r="AT56" s="17">
        <v>3526.21</v>
      </c>
      <c r="AU56" s="17">
        <v>3564.86</v>
      </c>
      <c r="AV56" s="17">
        <v>3603.52</v>
      </c>
      <c r="AW56" s="17">
        <v>3642.18</v>
      </c>
      <c r="AX56" s="17">
        <v>3680.83</v>
      </c>
      <c r="AY56" s="17">
        <v>3719.49</v>
      </c>
      <c r="AZ56" s="17">
        <v>3758.14</v>
      </c>
      <c r="BA56" s="17">
        <f t="shared" ref="BA56:BK56" si="47">ROUND(AZ56+$K56,2)</f>
        <v>3796.79</v>
      </c>
      <c r="BB56" s="17">
        <f t="shared" si="47"/>
        <v>3835.44</v>
      </c>
      <c r="BC56" s="17">
        <f t="shared" si="47"/>
        <v>3874.09</v>
      </c>
      <c r="BD56" s="17">
        <f t="shared" si="47"/>
        <v>3912.74</v>
      </c>
      <c r="BE56" s="17">
        <f t="shared" si="47"/>
        <v>3951.39</v>
      </c>
      <c r="BF56" s="17">
        <f t="shared" si="47"/>
        <v>3990.04</v>
      </c>
      <c r="BG56" s="17">
        <f t="shared" si="47"/>
        <v>4028.69</v>
      </c>
      <c r="BH56" s="17">
        <f t="shared" si="47"/>
        <v>4067.34</v>
      </c>
      <c r="BI56" s="17">
        <f t="shared" si="47"/>
        <v>4105.99</v>
      </c>
      <c r="BJ56" s="17">
        <f t="shared" si="47"/>
        <v>4144.6400000000003</v>
      </c>
      <c r="BK56" s="17">
        <f t="shared" si="47"/>
        <v>4183.29</v>
      </c>
    </row>
    <row r="57" spans="1:63" s="18" customFormat="1" hidden="1">
      <c r="A57" s="26" t="s">
        <v>99</v>
      </c>
      <c r="B57" s="230"/>
      <c r="C57" s="14" t="s">
        <v>79</v>
      </c>
      <c r="D57" s="14" t="s">
        <v>100</v>
      </c>
      <c r="E57" s="14" t="s">
        <v>101</v>
      </c>
      <c r="F57" s="14" t="s">
        <v>23</v>
      </c>
      <c r="H57" s="110"/>
      <c r="I57" s="15">
        <v>6.4</v>
      </c>
      <c r="J57" s="25"/>
      <c r="K57" s="17">
        <f t="shared" si="2"/>
        <v>44.090000000000146</v>
      </c>
      <c r="L57" s="17">
        <v>4301.95</v>
      </c>
      <c r="M57" s="17">
        <v>4346.05</v>
      </c>
      <c r="N57" s="17">
        <v>4390.1400000000003</v>
      </c>
      <c r="O57" s="17">
        <v>4434.24</v>
      </c>
      <c r="P57" s="17">
        <v>4478.34</v>
      </c>
      <c r="Q57" s="17">
        <v>4522.43</v>
      </c>
      <c r="R57" s="17">
        <v>4566.53</v>
      </c>
      <c r="S57" s="17">
        <v>4610.62</v>
      </c>
      <c r="T57" s="17">
        <v>4654.72</v>
      </c>
      <c r="U57" s="17">
        <v>4698.82</v>
      </c>
      <c r="V57" s="17">
        <v>4742.91</v>
      </c>
      <c r="W57" s="17">
        <v>4787.01</v>
      </c>
      <c r="X57" s="17">
        <v>4831.1000000000004</v>
      </c>
      <c r="Y57" s="17">
        <v>4875.2</v>
      </c>
      <c r="Z57" s="17">
        <v>4919.3</v>
      </c>
      <c r="AA57" s="17">
        <v>4963.3900000000003</v>
      </c>
      <c r="AB57" s="17">
        <v>5007.49</v>
      </c>
      <c r="AC57" s="17">
        <v>5051.58</v>
      </c>
      <c r="AD57" s="17">
        <v>5095.68</v>
      </c>
      <c r="AE57" s="17">
        <v>5139.78</v>
      </c>
      <c r="AF57" s="17">
        <v>5183.87</v>
      </c>
      <c r="AG57" s="17">
        <v>5227.97</v>
      </c>
      <c r="AH57" s="17">
        <v>5272.06</v>
      </c>
      <c r="AI57" s="17">
        <v>5316.16</v>
      </c>
      <c r="AJ57" s="17">
        <v>5360.26</v>
      </c>
      <c r="AK57" s="17">
        <v>5404.35</v>
      </c>
      <c r="AL57" s="17">
        <v>5448.45</v>
      </c>
      <c r="AM57" s="17">
        <v>5492.54</v>
      </c>
      <c r="AN57" s="17">
        <v>5536.64</v>
      </c>
      <c r="AO57" s="17">
        <v>5580.74</v>
      </c>
      <c r="AP57" s="17">
        <v>5624.83</v>
      </c>
      <c r="AQ57" s="17">
        <v>5668.93</v>
      </c>
      <c r="AR57" s="17">
        <v>5713.02</v>
      </c>
      <c r="AS57" s="17">
        <v>5757.12</v>
      </c>
      <c r="AT57" s="17">
        <v>5801.22</v>
      </c>
      <c r="AU57" s="17">
        <v>5845.31</v>
      </c>
      <c r="AV57" s="17">
        <v>5889.41</v>
      </c>
      <c r="AW57" s="17">
        <v>5933.5</v>
      </c>
      <c r="AX57" s="17">
        <v>5977.6</v>
      </c>
      <c r="AY57" s="17">
        <v>6021.7</v>
      </c>
      <c r="AZ57" s="17">
        <v>6065.79</v>
      </c>
      <c r="BA57" s="17">
        <f t="shared" ref="BA57:BK57" si="48">ROUND(AZ57+$K57,2)</f>
        <v>6109.88</v>
      </c>
      <c r="BB57" s="17">
        <f t="shared" si="48"/>
        <v>6153.97</v>
      </c>
      <c r="BC57" s="17">
        <f t="shared" si="48"/>
        <v>6198.06</v>
      </c>
      <c r="BD57" s="17">
        <f t="shared" si="48"/>
        <v>6242.15</v>
      </c>
      <c r="BE57" s="17">
        <f t="shared" si="48"/>
        <v>6286.24</v>
      </c>
      <c r="BF57" s="17">
        <f t="shared" si="48"/>
        <v>6330.33</v>
      </c>
      <c r="BG57" s="17">
        <f t="shared" si="48"/>
        <v>6374.42</v>
      </c>
      <c r="BH57" s="17">
        <f t="shared" si="48"/>
        <v>6418.51</v>
      </c>
      <c r="BI57" s="17">
        <f t="shared" si="48"/>
        <v>6462.6</v>
      </c>
      <c r="BJ57" s="17">
        <f t="shared" si="48"/>
        <v>6506.69</v>
      </c>
      <c r="BK57" s="17">
        <f t="shared" si="48"/>
        <v>6550.78</v>
      </c>
    </row>
    <row r="58" spans="1:63" s="18" customFormat="1" hidden="1">
      <c r="A58" s="14" t="s">
        <v>102</v>
      </c>
      <c r="C58" s="14" t="s">
        <v>103</v>
      </c>
      <c r="D58" s="14" t="s">
        <v>104</v>
      </c>
      <c r="E58" s="14" t="s">
        <v>39</v>
      </c>
      <c r="F58" s="14" t="s">
        <v>23</v>
      </c>
      <c r="H58" s="110" t="s">
        <v>105</v>
      </c>
      <c r="I58" s="15">
        <v>6.4</v>
      </c>
      <c r="J58" s="18">
        <v>35.6</v>
      </c>
      <c r="K58" s="17">
        <f t="shared" si="2"/>
        <v>35.650000000000546</v>
      </c>
      <c r="L58" s="17">
        <v>3273.73</v>
      </c>
      <c r="M58" s="17">
        <v>3309.38</v>
      </c>
      <c r="N58" s="17">
        <v>3344.96</v>
      </c>
      <c r="O58" s="17">
        <v>3380.61</v>
      </c>
      <c r="P58" s="17">
        <v>3416.26</v>
      </c>
      <c r="Q58" s="17">
        <v>3451.9</v>
      </c>
      <c r="R58" s="17">
        <v>3487.55</v>
      </c>
      <c r="S58" s="17">
        <v>3523.2</v>
      </c>
      <c r="T58" s="17">
        <v>3558.78</v>
      </c>
      <c r="U58" s="17">
        <v>3594.43</v>
      </c>
      <c r="V58" s="17">
        <v>3630.08</v>
      </c>
      <c r="W58" s="17">
        <v>3665.73</v>
      </c>
      <c r="X58" s="17">
        <v>3701.38</v>
      </c>
      <c r="Y58" s="17">
        <v>3737.02</v>
      </c>
      <c r="Z58" s="17">
        <v>3772.61</v>
      </c>
      <c r="AA58" s="17">
        <v>3808.26</v>
      </c>
      <c r="AB58" s="17">
        <v>3843.9</v>
      </c>
      <c r="AC58" s="17">
        <v>3879.55</v>
      </c>
      <c r="AD58" s="17">
        <v>3915.2</v>
      </c>
      <c r="AE58" s="17">
        <v>3950.85</v>
      </c>
      <c r="AF58" s="17">
        <v>3986.43</v>
      </c>
      <c r="AG58" s="17">
        <v>4022.08</v>
      </c>
      <c r="AH58" s="17">
        <v>4057.73</v>
      </c>
      <c r="AI58" s="17">
        <v>4093.38</v>
      </c>
      <c r="AJ58" s="17">
        <v>4129.0200000000004</v>
      </c>
      <c r="AK58" s="17">
        <v>4164.67</v>
      </c>
      <c r="AL58" s="17">
        <v>4200.26</v>
      </c>
      <c r="AM58" s="17">
        <v>4235.8999999999996</v>
      </c>
      <c r="AN58" s="17">
        <v>4271.55</v>
      </c>
      <c r="AO58" s="17">
        <v>4307.2</v>
      </c>
      <c r="AP58" s="17">
        <v>4342.8500000000004</v>
      </c>
      <c r="AQ58" s="17">
        <v>4378.5</v>
      </c>
      <c r="AR58" s="17">
        <v>4414.08</v>
      </c>
      <c r="AS58" s="17">
        <v>4449.7299999999996</v>
      </c>
      <c r="AT58" s="17">
        <v>4485.38</v>
      </c>
      <c r="AU58" s="17">
        <v>4521.0200000000004</v>
      </c>
      <c r="AV58" s="17">
        <v>4556.67</v>
      </c>
      <c r="AW58" s="17">
        <v>4592.26</v>
      </c>
      <c r="AX58" s="17">
        <v>4627.8999999999996</v>
      </c>
      <c r="AY58" s="17">
        <v>4663.55</v>
      </c>
      <c r="AZ58" s="17">
        <v>4699.2</v>
      </c>
      <c r="BA58" s="17">
        <f t="shared" ref="BA58:BK58" si="49">ROUND(AZ58+$K58,2)</f>
        <v>4734.8500000000004</v>
      </c>
      <c r="BB58" s="17">
        <f t="shared" si="49"/>
        <v>4770.5</v>
      </c>
      <c r="BC58" s="17">
        <f t="shared" si="49"/>
        <v>4806.1499999999996</v>
      </c>
      <c r="BD58" s="17">
        <f t="shared" si="49"/>
        <v>4841.8</v>
      </c>
      <c r="BE58" s="17">
        <f t="shared" si="49"/>
        <v>4877.45</v>
      </c>
      <c r="BF58" s="17">
        <f t="shared" si="49"/>
        <v>4913.1000000000004</v>
      </c>
      <c r="BG58" s="17">
        <f t="shared" si="49"/>
        <v>4948.75</v>
      </c>
      <c r="BH58" s="17">
        <f t="shared" si="49"/>
        <v>4984.3999999999996</v>
      </c>
      <c r="BI58" s="17">
        <f t="shared" si="49"/>
        <v>5020.05</v>
      </c>
      <c r="BJ58" s="17">
        <f t="shared" si="49"/>
        <v>5055.7</v>
      </c>
      <c r="BK58" s="17">
        <f t="shared" si="49"/>
        <v>5091.3500000000004</v>
      </c>
    </row>
    <row r="59" spans="1:63" s="18" customFormat="1" hidden="1">
      <c r="A59" s="23" t="s">
        <v>102</v>
      </c>
      <c r="B59" s="289"/>
      <c r="C59" s="23" t="s">
        <v>103</v>
      </c>
      <c r="D59" s="23" t="s">
        <v>104</v>
      </c>
      <c r="E59" s="23" t="s">
        <v>106</v>
      </c>
      <c r="F59" s="23" t="s">
        <v>23</v>
      </c>
      <c r="G59" s="289"/>
      <c r="H59" s="315"/>
      <c r="I59" s="15">
        <v>6.4</v>
      </c>
      <c r="J59" s="25">
        <v>35.6</v>
      </c>
      <c r="K59" s="17">
        <f t="shared" si="2"/>
        <v>35.970000000000255</v>
      </c>
      <c r="L59" s="17">
        <v>3550.72</v>
      </c>
      <c r="M59" s="17">
        <v>3586.69</v>
      </c>
      <c r="N59" s="17">
        <v>3622.66</v>
      </c>
      <c r="O59" s="17">
        <v>3658.62</v>
      </c>
      <c r="P59" s="17">
        <v>3694.59</v>
      </c>
      <c r="Q59" s="17">
        <v>3730.56</v>
      </c>
      <c r="R59" s="17">
        <v>3766.53</v>
      </c>
      <c r="S59" s="17">
        <v>3802.5</v>
      </c>
      <c r="T59" s="17">
        <v>3838.46</v>
      </c>
      <c r="U59" s="17">
        <v>3874.43</v>
      </c>
      <c r="V59" s="17">
        <v>3910.4</v>
      </c>
      <c r="W59" s="17">
        <v>3946.37</v>
      </c>
      <c r="X59" s="17">
        <v>3982.34</v>
      </c>
      <c r="Y59" s="17">
        <v>4018.3</v>
      </c>
      <c r="Z59" s="17">
        <v>4054.27</v>
      </c>
      <c r="AA59" s="17">
        <v>4090.24</v>
      </c>
      <c r="AB59" s="17">
        <v>4126.21</v>
      </c>
      <c r="AC59" s="17">
        <v>4162.18</v>
      </c>
      <c r="AD59" s="17">
        <v>4198.1400000000003</v>
      </c>
      <c r="AE59" s="17">
        <v>4234.1099999999997</v>
      </c>
      <c r="AF59" s="17">
        <v>4270.08</v>
      </c>
      <c r="AG59" s="17">
        <v>4306.05</v>
      </c>
      <c r="AH59" s="17">
        <v>4342.0200000000004</v>
      </c>
      <c r="AI59" s="17">
        <v>4377.9799999999996</v>
      </c>
      <c r="AJ59" s="17">
        <v>4413.95</v>
      </c>
      <c r="AK59" s="17">
        <v>4449.92</v>
      </c>
      <c r="AL59" s="17">
        <v>4485.8900000000003</v>
      </c>
      <c r="AM59" s="17">
        <v>4521.8599999999997</v>
      </c>
      <c r="AN59" s="17">
        <v>4557.82</v>
      </c>
      <c r="AO59" s="17">
        <v>4593.79</v>
      </c>
      <c r="AP59" s="17">
        <v>4629.76</v>
      </c>
      <c r="AQ59" s="17">
        <v>4665.7299999999996</v>
      </c>
      <c r="AR59" s="17">
        <v>4701.7</v>
      </c>
      <c r="AS59" s="17">
        <v>4737.66</v>
      </c>
      <c r="AT59" s="17">
        <v>4773.63</v>
      </c>
      <c r="AU59" s="17">
        <v>4809.6000000000004</v>
      </c>
      <c r="AV59" s="17">
        <v>4845.57</v>
      </c>
      <c r="AW59" s="17">
        <v>4881.54</v>
      </c>
      <c r="AX59" s="17">
        <v>4917.5</v>
      </c>
      <c r="AY59" s="17">
        <v>4953.47</v>
      </c>
      <c r="AZ59" s="17">
        <v>4989.4399999999996</v>
      </c>
      <c r="BA59" s="17">
        <f t="shared" ref="BA59:BK59" si="50">ROUND(AZ59+$K59,2)</f>
        <v>5025.41</v>
      </c>
      <c r="BB59" s="17">
        <f t="shared" si="50"/>
        <v>5061.38</v>
      </c>
      <c r="BC59" s="17">
        <f t="shared" si="50"/>
        <v>5097.3500000000004</v>
      </c>
      <c r="BD59" s="17">
        <f t="shared" si="50"/>
        <v>5133.32</v>
      </c>
      <c r="BE59" s="17">
        <f t="shared" si="50"/>
        <v>5169.29</v>
      </c>
      <c r="BF59" s="17">
        <f t="shared" si="50"/>
        <v>5205.26</v>
      </c>
      <c r="BG59" s="17">
        <f t="shared" si="50"/>
        <v>5241.2299999999996</v>
      </c>
      <c r="BH59" s="17">
        <f t="shared" si="50"/>
        <v>5277.2</v>
      </c>
      <c r="BI59" s="17">
        <f t="shared" si="50"/>
        <v>5313.17</v>
      </c>
      <c r="BJ59" s="17">
        <f t="shared" si="50"/>
        <v>5349.14</v>
      </c>
      <c r="BK59" s="17">
        <f t="shared" si="50"/>
        <v>5385.11</v>
      </c>
    </row>
    <row r="60" spans="1:63" s="18" customFormat="1" hidden="1">
      <c r="A60" s="14" t="s">
        <v>102</v>
      </c>
      <c r="C60" s="14" t="s">
        <v>103</v>
      </c>
      <c r="D60" s="14" t="s">
        <v>104</v>
      </c>
      <c r="E60" s="14" t="s">
        <v>101</v>
      </c>
      <c r="F60" s="14" t="s">
        <v>23</v>
      </c>
      <c r="H60" s="110"/>
      <c r="I60" s="15">
        <v>6.4</v>
      </c>
      <c r="J60" s="18">
        <v>35.6</v>
      </c>
      <c r="K60" s="17">
        <f t="shared" si="2"/>
        <v>37.119999999999891</v>
      </c>
      <c r="L60" s="17">
        <v>3657.28</v>
      </c>
      <c r="M60" s="17">
        <v>3694.4</v>
      </c>
      <c r="N60" s="17">
        <v>3731.52</v>
      </c>
      <c r="O60" s="17">
        <v>3768.64</v>
      </c>
      <c r="P60" s="17">
        <v>3805.76</v>
      </c>
      <c r="Q60" s="17">
        <v>3842.88</v>
      </c>
      <c r="R60" s="17">
        <v>3880</v>
      </c>
      <c r="S60" s="17">
        <v>3917.12</v>
      </c>
      <c r="T60" s="17">
        <v>3954.24</v>
      </c>
      <c r="U60" s="17">
        <v>3991.36</v>
      </c>
      <c r="V60" s="17">
        <v>4028.48</v>
      </c>
      <c r="W60" s="17">
        <v>4065.6</v>
      </c>
      <c r="X60" s="17">
        <v>4102.72</v>
      </c>
      <c r="Y60" s="17">
        <v>4139.84</v>
      </c>
      <c r="Z60" s="17">
        <v>4176.96</v>
      </c>
      <c r="AA60" s="17">
        <v>4214.08</v>
      </c>
      <c r="AB60" s="17">
        <v>4251.2</v>
      </c>
      <c r="AC60" s="17">
        <v>4288.32</v>
      </c>
      <c r="AD60" s="17">
        <v>4325.4399999999996</v>
      </c>
      <c r="AE60" s="17">
        <v>4362.5600000000004</v>
      </c>
      <c r="AF60" s="17">
        <v>4399.68</v>
      </c>
      <c r="AG60" s="17">
        <v>4436.8</v>
      </c>
      <c r="AH60" s="17">
        <v>4473.92</v>
      </c>
      <c r="AI60" s="17">
        <v>4511.04</v>
      </c>
      <c r="AJ60" s="17">
        <v>4548.16</v>
      </c>
      <c r="AK60" s="17">
        <v>4585.28</v>
      </c>
      <c r="AL60" s="17">
        <v>4622.3999999999996</v>
      </c>
      <c r="AM60" s="17">
        <v>4659.5200000000004</v>
      </c>
      <c r="AN60" s="17">
        <v>4696.6400000000003</v>
      </c>
      <c r="AO60" s="17">
        <v>4733.76</v>
      </c>
      <c r="AP60" s="17">
        <v>4770.88</v>
      </c>
      <c r="AQ60" s="17">
        <v>4808</v>
      </c>
      <c r="AR60" s="17">
        <v>4845.12</v>
      </c>
      <c r="AS60" s="17">
        <v>4882.24</v>
      </c>
      <c r="AT60" s="17">
        <v>4919.3599999999997</v>
      </c>
      <c r="AU60" s="17">
        <v>4956.4799999999996</v>
      </c>
      <c r="AV60" s="17">
        <v>4993.6000000000004</v>
      </c>
      <c r="AW60" s="17">
        <v>5030.72</v>
      </c>
      <c r="AX60" s="17">
        <v>5067.84</v>
      </c>
      <c r="AY60" s="17">
        <v>5104.96</v>
      </c>
      <c r="AZ60" s="17">
        <v>5142.08</v>
      </c>
      <c r="BA60" s="17">
        <f t="shared" ref="BA60:BK60" si="51">ROUND(AZ60+$K60,2)</f>
        <v>5179.2</v>
      </c>
      <c r="BB60" s="17">
        <f t="shared" si="51"/>
        <v>5216.32</v>
      </c>
      <c r="BC60" s="17">
        <f t="shared" si="51"/>
        <v>5253.44</v>
      </c>
      <c r="BD60" s="17">
        <f t="shared" si="51"/>
        <v>5290.56</v>
      </c>
      <c r="BE60" s="17">
        <f t="shared" si="51"/>
        <v>5327.68</v>
      </c>
      <c r="BF60" s="17">
        <f t="shared" si="51"/>
        <v>5364.8</v>
      </c>
      <c r="BG60" s="17">
        <f t="shared" si="51"/>
        <v>5401.92</v>
      </c>
      <c r="BH60" s="17">
        <f t="shared" si="51"/>
        <v>5439.04</v>
      </c>
      <c r="BI60" s="17">
        <f t="shared" si="51"/>
        <v>5476.16</v>
      </c>
      <c r="BJ60" s="17">
        <f t="shared" si="51"/>
        <v>5513.28</v>
      </c>
      <c r="BK60" s="17">
        <f t="shared" si="51"/>
        <v>5550.4</v>
      </c>
    </row>
    <row r="61" spans="1:63" s="35" customFormat="1" hidden="1">
      <c r="A61" s="57" t="s">
        <v>236</v>
      </c>
      <c r="B61" s="18"/>
      <c r="C61" s="57" t="s">
        <v>103</v>
      </c>
      <c r="D61" s="57" t="s">
        <v>104</v>
      </c>
      <c r="E61" s="57" t="s">
        <v>39</v>
      </c>
      <c r="F61" s="57" t="s">
        <v>23</v>
      </c>
      <c r="H61" s="60" t="s">
        <v>109</v>
      </c>
      <c r="I61" s="44">
        <v>6.4</v>
      </c>
      <c r="J61" s="35">
        <v>17.8</v>
      </c>
      <c r="K61" s="392">
        <f t="shared" si="2"/>
        <v>17.210000000000036</v>
      </c>
      <c r="L61" s="392">
        <v>1581.5</v>
      </c>
      <c r="M61" s="392">
        <v>1598.72</v>
      </c>
      <c r="N61" s="392">
        <v>1615.94</v>
      </c>
      <c r="O61" s="392">
        <v>1633.15</v>
      </c>
      <c r="P61" s="392">
        <v>1650.37</v>
      </c>
      <c r="Q61" s="392">
        <v>1667.58</v>
      </c>
      <c r="R61" s="392">
        <v>1684.8</v>
      </c>
      <c r="S61" s="392">
        <v>1702.02</v>
      </c>
      <c r="T61" s="392">
        <v>1719.23</v>
      </c>
      <c r="U61" s="392">
        <v>1736.45</v>
      </c>
      <c r="V61" s="392">
        <v>1753.66</v>
      </c>
      <c r="W61" s="392">
        <v>1770.88</v>
      </c>
      <c r="X61" s="392">
        <v>1788.1</v>
      </c>
      <c r="Y61" s="392">
        <v>1805.31</v>
      </c>
      <c r="Z61" s="392">
        <v>1822.53</v>
      </c>
      <c r="AA61" s="392">
        <v>1839.74</v>
      </c>
      <c r="AB61" s="392">
        <v>1856.96</v>
      </c>
      <c r="AC61" s="392">
        <v>1874.18</v>
      </c>
      <c r="AD61" s="392">
        <v>1891.39</v>
      </c>
      <c r="AE61" s="392">
        <v>1908.61</v>
      </c>
      <c r="AF61" s="392">
        <v>1925.82</v>
      </c>
      <c r="AG61" s="392">
        <v>1943.04</v>
      </c>
      <c r="AH61" s="392">
        <v>1960.26</v>
      </c>
      <c r="AI61" s="392">
        <v>1977.47</v>
      </c>
      <c r="AJ61" s="392">
        <v>1994.69</v>
      </c>
      <c r="AK61" s="392">
        <v>2011.9</v>
      </c>
      <c r="AL61" s="392">
        <v>2029.12</v>
      </c>
      <c r="AM61" s="392">
        <v>2046.34</v>
      </c>
      <c r="AN61" s="392">
        <v>2063.5500000000002</v>
      </c>
      <c r="AO61" s="392">
        <v>2080.77</v>
      </c>
      <c r="AP61" s="392">
        <v>2097.98</v>
      </c>
      <c r="AQ61" s="392">
        <v>2115.1999999999998</v>
      </c>
      <c r="AR61" s="392">
        <v>2132.42</v>
      </c>
      <c r="AS61" s="392">
        <v>2149.63</v>
      </c>
      <c r="AT61" s="392">
        <v>2166.85</v>
      </c>
      <c r="AU61" s="392">
        <v>2184.06</v>
      </c>
      <c r="AV61" s="392">
        <v>2201.2800000000002</v>
      </c>
      <c r="AW61" s="392">
        <v>2218.5</v>
      </c>
      <c r="AX61" s="392">
        <v>2235.71</v>
      </c>
      <c r="AY61" s="392">
        <v>2252.9299999999998</v>
      </c>
      <c r="AZ61" s="392">
        <v>2270.14</v>
      </c>
      <c r="BA61" s="392">
        <f t="shared" ref="BA61:BK61" si="52">ROUND(AZ61+$K61,2)</f>
        <v>2287.35</v>
      </c>
      <c r="BB61" s="392">
        <f t="shared" si="52"/>
        <v>2304.56</v>
      </c>
      <c r="BC61" s="392">
        <f t="shared" si="52"/>
        <v>2321.77</v>
      </c>
      <c r="BD61" s="392">
        <f t="shared" si="52"/>
        <v>2338.98</v>
      </c>
      <c r="BE61" s="392">
        <f t="shared" si="52"/>
        <v>2356.19</v>
      </c>
      <c r="BF61" s="392">
        <f t="shared" si="52"/>
        <v>2373.4</v>
      </c>
      <c r="BG61" s="392">
        <f t="shared" si="52"/>
        <v>2390.61</v>
      </c>
      <c r="BH61" s="392">
        <f t="shared" si="52"/>
        <v>2407.8200000000002</v>
      </c>
      <c r="BI61" s="392">
        <f t="shared" si="52"/>
        <v>2425.0300000000002</v>
      </c>
      <c r="BJ61" s="392">
        <f t="shared" si="52"/>
        <v>2442.2399999999998</v>
      </c>
      <c r="BK61" s="392">
        <f t="shared" si="52"/>
        <v>2459.4499999999998</v>
      </c>
    </row>
    <row r="62" spans="1:63" s="18" customFormat="1" hidden="1">
      <c r="A62" s="14" t="s">
        <v>108</v>
      </c>
      <c r="B62" s="18">
        <v>23</v>
      </c>
      <c r="C62" s="14" t="s">
        <v>103</v>
      </c>
      <c r="D62" s="14" t="s">
        <v>104</v>
      </c>
      <c r="E62" s="14" t="s">
        <v>106</v>
      </c>
      <c r="F62" s="14" t="s">
        <v>23</v>
      </c>
      <c r="H62" s="284" t="s">
        <v>110</v>
      </c>
      <c r="I62" s="15">
        <v>6.4</v>
      </c>
      <c r="J62" s="18">
        <v>17.8</v>
      </c>
      <c r="K62" s="17">
        <f t="shared" si="2"/>
        <v>17.090000000000146</v>
      </c>
      <c r="L62" s="17">
        <v>1690.88</v>
      </c>
      <c r="M62" s="17">
        <v>1707.97</v>
      </c>
      <c r="N62" s="17">
        <v>1725.06</v>
      </c>
      <c r="O62" s="17">
        <v>1742.14</v>
      </c>
      <c r="P62" s="17">
        <v>1759.23</v>
      </c>
      <c r="Q62" s="17">
        <v>1776.32</v>
      </c>
      <c r="R62" s="17">
        <v>1793.41</v>
      </c>
      <c r="S62" s="17">
        <v>1810.5</v>
      </c>
      <c r="T62" s="17">
        <v>1827.58</v>
      </c>
      <c r="U62" s="17">
        <v>1844.67</v>
      </c>
      <c r="V62" s="17">
        <v>1861.76</v>
      </c>
      <c r="W62" s="17">
        <v>1878.85</v>
      </c>
      <c r="X62" s="17">
        <v>1895.94</v>
      </c>
      <c r="Y62" s="17">
        <v>1913.02</v>
      </c>
      <c r="Z62" s="17">
        <v>1930.11</v>
      </c>
      <c r="AA62" s="17">
        <v>1947.2</v>
      </c>
      <c r="AB62" s="17">
        <v>1964.29</v>
      </c>
      <c r="AC62" s="17">
        <v>1981.38</v>
      </c>
      <c r="AD62" s="17">
        <v>1998.46</v>
      </c>
      <c r="AE62" s="17">
        <v>2015.55</v>
      </c>
      <c r="AF62" s="17">
        <v>2032.64</v>
      </c>
      <c r="AG62" s="17">
        <v>2049.73</v>
      </c>
      <c r="AH62" s="17">
        <v>2066.8200000000002</v>
      </c>
      <c r="AI62" s="17">
        <v>2083.9</v>
      </c>
      <c r="AJ62" s="17">
        <v>2100.9899999999998</v>
      </c>
      <c r="AK62" s="17">
        <v>2118.08</v>
      </c>
      <c r="AL62" s="17">
        <v>2135.17</v>
      </c>
      <c r="AM62" s="17">
        <v>2152.2600000000002</v>
      </c>
      <c r="AN62" s="17">
        <v>2169.34</v>
      </c>
      <c r="AO62" s="17">
        <v>2186.4299999999998</v>
      </c>
      <c r="AP62" s="17">
        <v>2203.52</v>
      </c>
      <c r="AQ62" s="17">
        <v>2220.61</v>
      </c>
      <c r="AR62" s="17">
        <v>2237.6999999999998</v>
      </c>
      <c r="AS62" s="17">
        <v>2254.7800000000002</v>
      </c>
      <c r="AT62" s="17">
        <v>2271.87</v>
      </c>
      <c r="AU62" s="17">
        <v>2288.96</v>
      </c>
      <c r="AV62" s="17">
        <v>2306.0500000000002</v>
      </c>
      <c r="AW62" s="17">
        <v>2323.14</v>
      </c>
      <c r="AX62" s="17">
        <v>2340.2199999999998</v>
      </c>
      <c r="AY62" s="17">
        <v>2357.31</v>
      </c>
      <c r="AZ62" s="17">
        <v>2374.4</v>
      </c>
      <c r="BA62" s="17">
        <f t="shared" ref="BA62:BK62" si="53">ROUND(AZ62+$K62,2)</f>
        <v>2391.4899999999998</v>
      </c>
      <c r="BB62" s="17">
        <f t="shared" si="53"/>
        <v>2408.58</v>
      </c>
      <c r="BC62" s="17">
        <f t="shared" si="53"/>
        <v>2425.67</v>
      </c>
      <c r="BD62" s="17">
        <f t="shared" si="53"/>
        <v>2442.7600000000002</v>
      </c>
      <c r="BE62" s="17">
        <f t="shared" si="53"/>
        <v>2459.85</v>
      </c>
      <c r="BF62" s="17">
        <f t="shared" si="53"/>
        <v>2476.94</v>
      </c>
      <c r="BG62" s="17">
        <f t="shared" si="53"/>
        <v>2494.0300000000002</v>
      </c>
      <c r="BH62" s="17">
        <f t="shared" si="53"/>
        <v>2511.12</v>
      </c>
      <c r="BI62" s="17">
        <f t="shared" si="53"/>
        <v>2528.21</v>
      </c>
      <c r="BJ62" s="17">
        <f t="shared" si="53"/>
        <v>2545.3000000000002</v>
      </c>
      <c r="BK62" s="17">
        <f t="shared" si="53"/>
        <v>2562.39</v>
      </c>
    </row>
    <row r="63" spans="1:63" s="18" customFormat="1" hidden="1">
      <c r="A63" s="14" t="s">
        <v>108</v>
      </c>
      <c r="B63" s="18">
        <v>23</v>
      </c>
      <c r="C63" s="14" t="s">
        <v>103</v>
      </c>
      <c r="D63" s="14" t="s">
        <v>104</v>
      </c>
      <c r="E63" s="14" t="s">
        <v>101</v>
      </c>
      <c r="F63" s="14" t="s">
        <v>23</v>
      </c>
      <c r="H63" s="284" t="s">
        <v>111</v>
      </c>
      <c r="I63" s="15">
        <v>6.4</v>
      </c>
      <c r="J63" s="18">
        <v>17.8</v>
      </c>
      <c r="K63" s="17">
        <f t="shared" si="2"/>
        <v>17.660000000000309</v>
      </c>
      <c r="L63" s="17">
        <v>1741.63</v>
      </c>
      <c r="M63" s="17">
        <v>1759.3</v>
      </c>
      <c r="N63" s="17">
        <v>1776.96</v>
      </c>
      <c r="O63" s="17">
        <v>1794.62</v>
      </c>
      <c r="P63" s="17">
        <v>1812.29</v>
      </c>
      <c r="Q63" s="17">
        <v>1829.95</v>
      </c>
      <c r="R63" s="17">
        <v>1847.62</v>
      </c>
      <c r="S63" s="17">
        <v>1865.28</v>
      </c>
      <c r="T63" s="17">
        <v>1882.94</v>
      </c>
      <c r="U63" s="17">
        <v>1900.61</v>
      </c>
      <c r="V63" s="17">
        <v>1918.27</v>
      </c>
      <c r="W63" s="17">
        <v>1935.94</v>
      </c>
      <c r="X63" s="17">
        <v>1953.6</v>
      </c>
      <c r="Y63" s="17">
        <v>1971.26</v>
      </c>
      <c r="Z63" s="17">
        <v>1988.93</v>
      </c>
      <c r="AA63" s="17">
        <v>2006.59</v>
      </c>
      <c r="AB63" s="17">
        <v>2024.26</v>
      </c>
      <c r="AC63" s="17">
        <v>2041.92</v>
      </c>
      <c r="AD63" s="17">
        <v>2059.58</v>
      </c>
      <c r="AE63" s="17">
        <v>2077.25</v>
      </c>
      <c r="AF63" s="17">
        <v>2094.91</v>
      </c>
      <c r="AG63" s="17">
        <v>2112.58</v>
      </c>
      <c r="AH63" s="17">
        <v>2130.2399999999998</v>
      </c>
      <c r="AI63" s="17">
        <v>2147.9</v>
      </c>
      <c r="AJ63" s="17">
        <v>2165.5700000000002</v>
      </c>
      <c r="AK63" s="17">
        <v>2183.23</v>
      </c>
      <c r="AL63" s="17">
        <v>2200.9</v>
      </c>
      <c r="AM63" s="17">
        <v>2218.56</v>
      </c>
      <c r="AN63" s="17">
        <v>2236.2199999999998</v>
      </c>
      <c r="AO63" s="17">
        <v>2253.89</v>
      </c>
      <c r="AP63" s="17">
        <v>2271.5500000000002</v>
      </c>
      <c r="AQ63" s="17">
        <v>2289.2199999999998</v>
      </c>
      <c r="AR63" s="17">
        <v>2306.88</v>
      </c>
      <c r="AS63" s="17">
        <v>2324.54</v>
      </c>
      <c r="AT63" s="17">
        <v>2342.21</v>
      </c>
      <c r="AU63" s="17">
        <v>2359.87</v>
      </c>
      <c r="AV63" s="17">
        <v>2377.54</v>
      </c>
      <c r="AW63" s="17">
        <v>2395.1999999999998</v>
      </c>
      <c r="AX63" s="17">
        <v>2412.86</v>
      </c>
      <c r="AY63" s="17">
        <v>2430.5300000000002</v>
      </c>
      <c r="AZ63" s="17">
        <v>2448.19</v>
      </c>
      <c r="BA63" s="17">
        <f t="shared" ref="BA63:BK63" si="54">ROUND(AZ63+$K63,2)</f>
        <v>2465.85</v>
      </c>
      <c r="BB63" s="17">
        <f t="shared" si="54"/>
        <v>2483.5100000000002</v>
      </c>
      <c r="BC63" s="17">
        <f t="shared" si="54"/>
        <v>2501.17</v>
      </c>
      <c r="BD63" s="17">
        <f t="shared" si="54"/>
        <v>2518.83</v>
      </c>
      <c r="BE63" s="17">
        <f t="shared" si="54"/>
        <v>2536.4899999999998</v>
      </c>
      <c r="BF63" s="17">
        <f t="shared" si="54"/>
        <v>2554.15</v>
      </c>
      <c r="BG63" s="17">
        <f t="shared" si="54"/>
        <v>2571.81</v>
      </c>
      <c r="BH63" s="17">
        <f t="shared" si="54"/>
        <v>2589.4699999999998</v>
      </c>
      <c r="BI63" s="17">
        <f t="shared" si="54"/>
        <v>2607.13</v>
      </c>
      <c r="BJ63" s="17">
        <f t="shared" si="54"/>
        <v>2624.79</v>
      </c>
      <c r="BK63" s="17">
        <f t="shared" si="54"/>
        <v>2642.45</v>
      </c>
    </row>
    <row r="64" spans="1:63" s="124" customFormat="1" hidden="1">
      <c r="A64" s="57" t="s">
        <v>112</v>
      </c>
      <c r="C64" s="60" t="s">
        <v>103</v>
      </c>
      <c r="D64" s="60" t="s">
        <v>113</v>
      </c>
      <c r="E64" s="60" t="s">
        <v>39</v>
      </c>
      <c r="F64" s="60" t="s">
        <v>23</v>
      </c>
      <c r="I64" s="182">
        <v>6.4</v>
      </c>
      <c r="J64" s="124">
        <v>17.8</v>
      </c>
      <c r="K64" s="17">
        <v>17.559999999999999</v>
      </c>
      <c r="L64" s="17">
        <f t="shared" ref="L64:AN64" si="55">M64-$K64</f>
        <v>1613.1500000000015</v>
      </c>
      <c r="M64" s="17">
        <f t="shared" si="55"/>
        <v>1630.7100000000014</v>
      </c>
      <c r="N64" s="17">
        <f t="shared" si="55"/>
        <v>1648.2700000000013</v>
      </c>
      <c r="O64" s="17">
        <f t="shared" si="55"/>
        <v>1665.8300000000013</v>
      </c>
      <c r="P64" s="17">
        <f t="shared" si="55"/>
        <v>1683.3900000000012</v>
      </c>
      <c r="Q64" s="17">
        <f t="shared" si="55"/>
        <v>1700.9500000000012</v>
      </c>
      <c r="R64" s="17">
        <f t="shared" si="55"/>
        <v>1718.5100000000011</v>
      </c>
      <c r="S64" s="17">
        <f t="shared" si="55"/>
        <v>1736.0700000000011</v>
      </c>
      <c r="T64" s="17">
        <f t="shared" si="55"/>
        <v>1753.630000000001</v>
      </c>
      <c r="U64" s="17">
        <f t="shared" si="55"/>
        <v>1771.190000000001</v>
      </c>
      <c r="V64" s="17">
        <f t="shared" si="55"/>
        <v>1788.7500000000009</v>
      </c>
      <c r="W64" s="17">
        <f t="shared" si="55"/>
        <v>1806.3100000000009</v>
      </c>
      <c r="X64" s="17">
        <f t="shared" si="55"/>
        <v>1823.8700000000008</v>
      </c>
      <c r="Y64" s="17">
        <f t="shared" si="55"/>
        <v>1841.4300000000007</v>
      </c>
      <c r="Z64" s="17">
        <f t="shared" si="55"/>
        <v>1858.9900000000007</v>
      </c>
      <c r="AA64" s="17">
        <f t="shared" si="55"/>
        <v>1876.5500000000006</v>
      </c>
      <c r="AB64" s="17">
        <f t="shared" si="55"/>
        <v>1894.1100000000006</v>
      </c>
      <c r="AC64" s="17">
        <f t="shared" si="55"/>
        <v>1911.6700000000005</v>
      </c>
      <c r="AD64" s="17">
        <f t="shared" si="55"/>
        <v>1929.2300000000005</v>
      </c>
      <c r="AE64" s="17">
        <f t="shared" si="55"/>
        <v>1946.7900000000004</v>
      </c>
      <c r="AF64" s="17">
        <f t="shared" si="55"/>
        <v>1964.3500000000004</v>
      </c>
      <c r="AG64" s="17">
        <f t="shared" si="55"/>
        <v>1981.9100000000003</v>
      </c>
      <c r="AH64" s="17">
        <f t="shared" si="55"/>
        <v>1999.4700000000003</v>
      </c>
      <c r="AI64" s="17">
        <f t="shared" si="55"/>
        <v>2017.0300000000002</v>
      </c>
      <c r="AJ64" s="17">
        <f t="shared" si="55"/>
        <v>2034.5900000000001</v>
      </c>
      <c r="AK64" s="17">
        <f t="shared" si="55"/>
        <v>2052.15</v>
      </c>
      <c r="AL64" s="17">
        <f t="shared" si="55"/>
        <v>2069.71</v>
      </c>
      <c r="AM64" s="17">
        <f t="shared" si="55"/>
        <v>2087.27</v>
      </c>
      <c r="AN64" s="17">
        <f t="shared" si="55"/>
        <v>2104.83</v>
      </c>
      <c r="AO64" s="17">
        <f>AP64-$K64</f>
        <v>2122.39</v>
      </c>
      <c r="AP64" s="17">
        <v>2139.9499999999998</v>
      </c>
      <c r="AQ64" s="17">
        <f>AP64+$K64</f>
        <v>2157.5099999999998</v>
      </c>
      <c r="AR64" s="17">
        <f t="shared" ref="AR64:AZ64" si="56">AQ64+$K64</f>
        <v>2175.0699999999997</v>
      </c>
      <c r="AS64" s="17">
        <f t="shared" si="56"/>
        <v>2192.6299999999997</v>
      </c>
      <c r="AT64" s="17">
        <f t="shared" si="56"/>
        <v>2210.1899999999996</v>
      </c>
      <c r="AU64" s="17">
        <f t="shared" si="56"/>
        <v>2227.7499999999995</v>
      </c>
      <c r="AV64" s="17">
        <f t="shared" si="56"/>
        <v>2245.3099999999995</v>
      </c>
      <c r="AW64" s="17">
        <f t="shared" si="56"/>
        <v>2262.8699999999994</v>
      </c>
      <c r="AX64" s="17">
        <f t="shared" si="56"/>
        <v>2280.4299999999994</v>
      </c>
      <c r="AY64" s="17">
        <f t="shared" si="56"/>
        <v>2297.9899999999993</v>
      </c>
      <c r="AZ64" s="17">
        <f t="shared" si="56"/>
        <v>2315.5499999999993</v>
      </c>
      <c r="BA64" s="17">
        <f t="shared" ref="BA64:BK64" si="57">ROUND(AZ64+$K64,2)</f>
        <v>2333.11</v>
      </c>
      <c r="BB64" s="17">
        <f t="shared" si="57"/>
        <v>2350.67</v>
      </c>
      <c r="BC64" s="17">
        <f t="shared" si="57"/>
        <v>2368.23</v>
      </c>
      <c r="BD64" s="17">
        <f t="shared" si="57"/>
        <v>2385.79</v>
      </c>
      <c r="BE64" s="17">
        <f t="shared" si="57"/>
        <v>2403.35</v>
      </c>
      <c r="BF64" s="17">
        <f t="shared" si="57"/>
        <v>2420.91</v>
      </c>
      <c r="BG64" s="17">
        <f t="shared" si="57"/>
        <v>2438.4699999999998</v>
      </c>
      <c r="BH64" s="17">
        <f t="shared" si="57"/>
        <v>2456.0300000000002</v>
      </c>
      <c r="BI64" s="17">
        <f t="shared" si="57"/>
        <v>2473.59</v>
      </c>
      <c r="BJ64" s="17">
        <f t="shared" si="57"/>
        <v>2491.15</v>
      </c>
      <c r="BK64" s="17">
        <f t="shared" si="57"/>
        <v>2508.71</v>
      </c>
    </row>
    <row r="65" spans="1:63" s="311" customFormat="1" hidden="1">
      <c r="A65" s="307" t="s">
        <v>237</v>
      </c>
      <c r="B65" s="308"/>
      <c r="C65" s="307" t="s">
        <v>103</v>
      </c>
      <c r="D65" s="307" t="s">
        <v>113</v>
      </c>
      <c r="E65" s="307" t="s">
        <v>115</v>
      </c>
      <c r="F65" s="307" t="s">
        <v>57</v>
      </c>
      <c r="G65" s="336"/>
      <c r="H65" s="309"/>
      <c r="I65" s="310">
        <v>6.9</v>
      </c>
      <c r="J65" s="311">
        <v>17.8</v>
      </c>
      <c r="K65" s="173">
        <f>AP65-AO65</f>
        <v>18.5600000000004</v>
      </c>
      <c r="L65" s="173">
        <v>1709.2</v>
      </c>
      <c r="M65" s="173">
        <v>1727.76</v>
      </c>
      <c r="N65" s="173">
        <v>1746.32</v>
      </c>
      <c r="O65" s="173">
        <v>1764.88</v>
      </c>
      <c r="P65" s="173">
        <v>1783.44</v>
      </c>
      <c r="Q65" s="173">
        <v>1802</v>
      </c>
      <c r="R65" s="173">
        <v>1820.57</v>
      </c>
      <c r="S65" s="173">
        <v>1839.13</v>
      </c>
      <c r="T65" s="173">
        <v>1857.69</v>
      </c>
      <c r="U65" s="173">
        <v>1876.25</v>
      </c>
      <c r="V65" s="173">
        <v>1894.81</v>
      </c>
      <c r="W65" s="173">
        <v>1913.37</v>
      </c>
      <c r="X65" s="173">
        <v>1931.93</v>
      </c>
      <c r="Y65" s="173">
        <v>1950.49</v>
      </c>
      <c r="Z65" s="173">
        <v>1969.05</v>
      </c>
      <c r="AA65" s="173">
        <v>1987.61</v>
      </c>
      <c r="AB65" s="173">
        <v>2006.18</v>
      </c>
      <c r="AC65" s="173">
        <v>2024.74</v>
      </c>
      <c r="AD65" s="173">
        <v>2043.3</v>
      </c>
      <c r="AE65" s="173">
        <v>2061.86</v>
      </c>
      <c r="AF65" s="173">
        <v>2080.42</v>
      </c>
      <c r="AG65" s="173">
        <v>2098.98</v>
      </c>
      <c r="AH65" s="173">
        <v>2117.54</v>
      </c>
      <c r="AI65" s="173">
        <v>2136.1</v>
      </c>
      <c r="AJ65" s="173">
        <v>2154.66</v>
      </c>
      <c r="AK65" s="173">
        <v>2173.2199999999998</v>
      </c>
      <c r="AL65" s="173">
        <v>2191.79</v>
      </c>
      <c r="AM65" s="173">
        <v>2210.35</v>
      </c>
      <c r="AN65" s="173">
        <v>2228.91</v>
      </c>
      <c r="AO65" s="173">
        <v>2247.4699999999998</v>
      </c>
      <c r="AP65" s="173">
        <v>2266.0300000000002</v>
      </c>
      <c r="AQ65" s="173">
        <v>2284.59</v>
      </c>
      <c r="AR65" s="173">
        <v>2303.15</v>
      </c>
      <c r="AS65" s="173">
        <v>2321.71</v>
      </c>
      <c r="AT65" s="173">
        <v>2340.27</v>
      </c>
      <c r="AU65" s="173">
        <v>2358.83</v>
      </c>
      <c r="AV65" s="173">
        <v>2377.4</v>
      </c>
      <c r="AW65" s="173">
        <v>2395.96</v>
      </c>
      <c r="AX65" s="173">
        <v>2414.52</v>
      </c>
      <c r="AY65" s="173">
        <v>2433.08</v>
      </c>
      <c r="AZ65" s="173">
        <v>2451.64</v>
      </c>
      <c r="BA65" s="173">
        <f t="shared" ref="BA65:BK65" si="58">ROUND(AZ65+$K65,2)</f>
        <v>2470.1999999999998</v>
      </c>
      <c r="BB65" s="173">
        <f t="shared" si="58"/>
        <v>2488.7600000000002</v>
      </c>
      <c r="BC65" s="173">
        <f t="shared" si="58"/>
        <v>2507.3200000000002</v>
      </c>
      <c r="BD65" s="173">
        <f t="shared" si="58"/>
        <v>2525.88</v>
      </c>
      <c r="BE65" s="173">
        <f t="shared" si="58"/>
        <v>2544.44</v>
      </c>
      <c r="BF65" s="173">
        <f t="shared" si="58"/>
        <v>2563</v>
      </c>
      <c r="BG65" s="173">
        <f t="shared" si="58"/>
        <v>2581.56</v>
      </c>
      <c r="BH65" s="173">
        <f t="shared" si="58"/>
        <v>2600.12</v>
      </c>
      <c r="BI65" s="173">
        <f t="shared" si="58"/>
        <v>2618.6799999999998</v>
      </c>
      <c r="BJ65" s="173">
        <f t="shared" si="58"/>
        <v>2637.24</v>
      </c>
      <c r="BK65" s="173">
        <f t="shared" si="58"/>
        <v>2655.8</v>
      </c>
    </row>
    <row r="66" spans="1:63" s="18" customFormat="1" hidden="1">
      <c r="A66" s="14" t="s">
        <v>114</v>
      </c>
      <c r="B66" s="54"/>
      <c r="C66" s="14" t="s">
        <v>103</v>
      </c>
      <c r="D66" s="14" t="s">
        <v>113</v>
      </c>
      <c r="E66" s="14" t="s">
        <v>115</v>
      </c>
      <c r="F66" s="14" t="s">
        <v>57</v>
      </c>
      <c r="H66" s="110" t="s">
        <v>116</v>
      </c>
      <c r="I66" s="15">
        <v>6.9</v>
      </c>
      <c r="J66" s="18">
        <v>17.8</v>
      </c>
      <c r="K66" s="17">
        <f>ROUND(K62*1.02,2)</f>
        <v>17.43</v>
      </c>
      <c r="L66" s="17">
        <f t="shared" ref="L66:BK66" si="59">ROUND(L62*1.02,2)</f>
        <v>1724.7</v>
      </c>
      <c r="M66" s="17">
        <f t="shared" si="59"/>
        <v>1742.13</v>
      </c>
      <c r="N66" s="17">
        <f t="shared" si="59"/>
        <v>1759.56</v>
      </c>
      <c r="O66" s="17">
        <f t="shared" si="59"/>
        <v>1776.98</v>
      </c>
      <c r="P66" s="17">
        <f t="shared" si="59"/>
        <v>1794.41</v>
      </c>
      <c r="Q66" s="17">
        <f t="shared" si="59"/>
        <v>1811.85</v>
      </c>
      <c r="R66" s="17">
        <f t="shared" si="59"/>
        <v>1829.28</v>
      </c>
      <c r="S66" s="17">
        <f t="shared" si="59"/>
        <v>1846.71</v>
      </c>
      <c r="T66" s="17">
        <f t="shared" si="59"/>
        <v>1864.13</v>
      </c>
      <c r="U66" s="17">
        <f t="shared" si="59"/>
        <v>1881.56</v>
      </c>
      <c r="V66" s="17">
        <f t="shared" si="59"/>
        <v>1899</v>
      </c>
      <c r="W66" s="17">
        <f t="shared" si="59"/>
        <v>1916.43</v>
      </c>
      <c r="X66" s="17">
        <f t="shared" si="59"/>
        <v>1933.86</v>
      </c>
      <c r="Y66" s="17">
        <f t="shared" si="59"/>
        <v>1951.28</v>
      </c>
      <c r="Z66" s="17">
        <f t="shared" si="59"/>
        <v>1968.71</v>
      </c>
      <c r="AA66" s="17">
        <f t="shared" si="59"/>
        <v>1986.14</v>
      </c>
      <c r="AB66" s="17">
        <f t="shared" si="59"/>
        <v>2003.58</v>
      </c>
      <c r="AC66" s="17">
        <f t="shared" si="59"/>
        <v>2021.01</v>
      </c>
      <c r="AD66" s="17">
        <f t="shared" si="59"/>
        <v>2038.43</v>
      </c>
      <c r="AE66" s="17">
        <f t="shared" si="59"/>
        <v>2055.86</v>
      </c>
      <c r="AF66" s="17">
        <f t="shared" si="59"/>
        <v>2073.29</v>
      </c>
      <c r="AG66" s="17">
        <f t="shared" si="59"/>
        <v>2090.7199999999998</v>
      </c>
      <c r="AH66" s="17">
        <f t="shared" si="59"/>
        <v>2108.16</v>
      </c>
      <c r="AI66" s="17">
        <f t="shared" si="59"/>
        <v>2125.58</v>
      </c>
      <c r="AJ66" s="17">
        <f t="shared" si="59"/>
        <v>2143.0100000000002</v>
      </c>
      <c r="AK66" s="17">
        <f t="shared" si="59"/>
        <v>2160.44</v>
      </c>
      <c r="AL66" s="17">
        <f t="shared" si="59"/>
        <v>2177.87</v>
      </c>
      <c r="AM66" s="17">
        <f t="shared" si="59"/>
        <v>2195.31</v>
      </c>
      <c r="AN66" s="17">
        <f t="shared" si="59"/>
        <v>2212.73</v>
      </c>
      <c r="AO66" s="17">
        <f t="shared" si="59"/>
        <v>2230.16</v>
      </c>
      <c r="AP66" s="17">
        <f t="shared" si="59"/>
        <v>2247.59</v>
      </c>
      <c r="AQ66" s="17">
        <f t="shared" si="59"/>
        <v>2265.02</v>
      </c>
      <c r="AR66" s="17">
        <f t="shared" si="59"/>
        <v>2282.4499999999998</v>
      </c>
      <c r="AS66" s="17">
        <f t="shared" si="59"/>
        <v>2299.88</v>
      </c>
      <c r="AT66" s="17">
        <f t="shared" si="59"/>
        <v>2317.31</v>
      </c>
      <c r="AU66" s="17">
        <f t="shared" si="59"/>
        <v>2334.7399999999998</v>
      </c>
      <c r="AV66" s="17">
        <f t="shared" si="59"/>
        <v>2352.17</v>
      </c>
      <c r="AW66" s="17">
        <f t="shared" si="59"/>
        <v>2369.6</v>
      </c>
      <c r="AX66" s="17">
        <f t="shared" si="59"/>
        <v>2387.02</v>
      </c>
      <c r="AY66" s="17">
        <f t="shared" si="59"/>
        <v>2404.46</v>
      </c>
      <c r="AZ66" s="17">
        <f t="shared" si="59"/>
        <v>2421.89</v>
      </c>
      <c r="BA66" s="17">
        <f t="shared" si="59"/>
        <v>2439.3200000000002</v>
      </c>
      <c r="BB66" s="17">
        <f t="shared" si="59"/>
        <v>2456.75</v>
      </c>
      <c r="BC66" s="17">
        <f t="shared" si="59"/>
        <v>2474.1799999999998</v>
      </c>
      <c r="BD66" s="17">
        <f t="shared" si="59"/>
        <v>2491.62</v>
      </c>
      <c r="BE66" s="17">
        <f t="shared" si="59"/>
        <v>2509.0500000000002</v>
      </c>
      <c r="BF66" s="17">
        <f t="shared" si="59"/>
        <v>2526.48</v>
      </c>
      <c r="BG66" s="17">
        <f t="shared" si="59"/>
        <v>2543.91</v>
      </c>
      <c r="BH66" s="17">
        <f t="shared" si="59"/>
        <v>2561.34</v>
      </c>
      <c r="BI66" s="17">
        <f t="shared" si="59"/>
        <v>2578.77</v>
      </c>
      <c r="BJ66" s="17">
        <f t="shared" si="59"/>
        <v>2596.21</v>
      </c>
      <c r="BK66" s="17">
        <f t="shared" si="59"/>
        <v>2613.64</v>
      </c>
    </row>
    <row r="67" spans="1:63" s="18" customFormat="1" hidden="1">
      <c r="A67" s="14" t="s">
        <v>238</v>
      </c>
      <c r="B67" s="54"/>
      <c r="C67" s="14" t="s">
        <v>103</v>
      </c>
      <c r="D67" s="14" t="s">
        <v>113</v>
      </c>
      <c r="E67" s="14" t="s">
        <v>115</v>
      </c>
      <c r="F67" s="14" t="s">
        <v>57</v>
      </c>
      <c r="H67" s="110"/>
      <c r="I67" s="262"/>
      <c r="K67" s="17">
        <v>17.600000000000001</v>
      </c>
      <c r="L67" s="17">
        <v>1746.61</v>
      </c>
      <c r="M67" s="17">
        <v>1764.2099999999998</v>
      </c>
      <c r="N67" s="17">
        <v>1781.8099999999997</v>
      </c>
      <c r="O67" s="17">
        <v>1799.4099999999996</v>
      </c>
      <c r="P67" s="17">
        <v>1817.0099999999995</v>
      </c>
      <c r="Q67" s="17">
        <v>1834.6099999999994</v>
      </c>
      <c r="R67" s="17">
        <v>1852.2099999999994</v>
      </c>
      <c r="S67" s="17">
        <v>1869.8099999999993</v>
      </c>
      <c r="T67" s="17">
        <v>1887.4099999999992</v>
      </c>
      <c r="U67" s="17">
        <v>1905.0099999999991</v>
      </c>
      <c r="V67" s="17">
        <v>1922.609999999999</v>
      </c>
      <c r="W67" s="17">
        <v>1940.2099999999989</v>
      </c>
      <c r="X67" s="17">
        <v>1957.8099999999988</v>
      </c>
      <c r="Y67" s="17">
        <v>1975.4099999999987</v>
      </c>
      <c r="Z67" s="17">
        <v>1993.0099999999986</v>
      </c>
      <c r="AA67" s="17">
        <v>2010.6099999999985</v>
      </c>
      <c r="AB67" s="17">
        <v>2028.2099999999984</v>
      </c>
      <c r="AC67" s="17">
        <v>2045.8099999999984</v>
      </c>
      <c r="AD67" s="17">
        <v>2063.4099999999985</v>
      </c>
      <c r="AE67" s="17">
        <v>2081.0099999999984</v>
      </c>
      <c r="AF67" s="17">
        <v>2098.6099999999983</v>
      </c>
      <c r="AG67" s="17">
        <v>2116.2099999999982</v>
      </c>
      <c r="AH67" s="17">
        <v>2133.8099999999981</v>
      </c>
      <c r="AI67" s="17">
        <v>2151.409999999998</v>
      </c>
      <c r="AJ67" s="17">
        <v>2169.0099999999979</v>
      </c>
      <c r="AK67" s="17">
        <v>2186.6099999999979</v>
      </c>
      <c r="AL67" s="17">
        <v>2204.2099999999978</v>
      </c>
      <c r="AM67" s="17">
        <v>2221.8099999999977</v>
      </c>
      <c r="AN67" s="17">
        <v>2239.4099999999976</v>
      </c>
      <c r="AO67" s="17">
        <v>2257.0099999999975</v>
      </c>
      <c r="AP67" s="17">
        <v>2274.6099999999974</v>
      </c>
      <c r="AQ67" s="17">
        <v>2292.2099999999973</v>
      </c>
      <c r="AR67" s="17">
        <v>2309.8099999999972</v>
      </c>
      <c r="AS67" s="17">
        <v>2327.4099999999971</v>
      </c>
      <c r="AT67" s="17">
        <v>2345.009999999997</v>
      </c>
      <c r="AU67" s="17">
        <v>2362.6099999999969</v>
      </c>
      <c r="AV67" s="17">
        <v>2380.2099999999969</v>
      </c>
      <c r="AW67" s="17">
        <v>2397.8099999999968</v>
      </c>
      <c r="AX67" s="17">
        <v>2415.4099999999967</v>
      </c>
      <c r="AY67" s="17">
        <v>2433.0099999999966</v>
      </c>
      <c r="AZ67" s="17">
        <v>2450.6099999999965</v>
      </c>
      <c r="BA67" s="17">
        <f t="shared" ref="BA67:BK67" si="60">ROUND(AZ67+$K67,2)</f>
        <v>2468.21</v>
      </c>
      <c r="BB67" s="17">
        <f t="shared" si="60"/>
        <v>2485.81</v>
      </c>
      <c r="BC67" s="17">
        <f t="shared" si="60"/>
        <v>2503.41</v>
      </c>
      <c r="BD67" s="17">
        <f t="shared" si="60"/>
        <v>2521.0100000000002</v>
      </c>
      <c r="BE67" s="17">
        <f t="shared" si="60"/>
        <v>2538.61</v>
      </c>
      <c r="BF67" s="17">
        <f t="shared" si="60"/>
        <v>2556.21</v>
      </c>
      <c r="BG67" s="17">
        <f t="shared" si="60"/>
        <v>2573.81</v>
      </c>
      <c r="BH67" s="17">
        <f t="shared" si="60"/>
        <v>2591.41</v>
      </c>
      <c r="BI67" s="17">
        <f t="shared" si="60"/>
        <v>2609.0100000000002</v>
      </c>
      <c r="BJ67" s="17">
        <f t="shared" si="60"/>
        <v>2626.61</v>
      </c>
      <c r="BK67" s="17">
        <f t="shared" si="60"/>
        <v>2644.21</v>
      </c>
    </row>
    <row r="68" spans="1:63" s="399" customFormat="1" hidden="1">
      <c r="A68" s="402" t="s">
        <v>239</v>
      </c>
      <c r="B68" s="403"/>
      <c r="C68" s="402" t="s">
        <v>103</v>
      </c>
      <c r="D68" s="402" t="s">
        <v>21</v>
      </c>
      <c r="E68" s="402" t="s">
        <v>25</v>
      </c>
      <c r="F68" s="402" t="s">
        <v>23</v>
      </c>
      <c r="G68" s="404"/>
      <c r="H68" s="405"/>
      <c r="I68" s="401">
        <v>6.4</v>
      </c>
      <c r="J68" s="404">
        <v>37.799999999999997</v>
      </c>
      <c r="K68" s="306">
        <f t="shared" si="2"/>
        <v>40.960000000000036</v>
      </c>
      <c r="L68" s="306">
        <v>3829.38</v>
      </c>
      <c r="M68" s="306">
        <v>3870.34</v>
      </c>
      <c r="N68" s="306">
        <v>3911.3</v>
      </c>
      <c r="O68" s="306">
        <v>3952.26</v>
      </c>
      <c r="P68" s="306">
        <v>3993.22</v>
      </c>
      <c r="Q68" s="306">
        <v>4034.18</v>
      </c>
      <c r="R68" s="306">
        <v>4075.14</v>
      </c>
      <c r="S68" s="306">
        <v>4116.1000000000004</v>
      </c>
      <c r="T68" s="306">
        <v>4157.0600000000004</v>
      </c>
      <c r="U68" s="306">
        <v>4198.0200000000004</v>
      </c>
      <c r="V68" s="306">
        <v>4238.9799999999996</v>
      </c>
      <c r="W68" s="306">
        <v>4279.9399999999996</v>
      </c>
      <c r="X68" s="306">
        <v>4320.8999999999996</v>
      </c>
      <c r="Y68" s="306">
        <v>4361.8599999999997</v>
      </c>
      <c r="Z68" s="306">
        <v>4402.82</v>
      </c>
      <c r="AA68" s="306">
        <v>4443.78</v>
      </c>
      <c r="AB68" s="306">
        <v>4484.74</v>
      </c>
      <c r="AC68" s="306">
        <v>4525.7</v>
      </c>
      <c r="AD68" s="306">
        <v>4566.66</v>
      </c>
      <c r="AE68" s="306">
        <v>4607.62</v>
      </c>
      <c r="AF68" s="306">
        <v>4648.58</v>
      </c>
      <c r="AG68" s="306">
        <v>4689.54</v>
      </c>
      <c r="AH68" s="306">
        <v>4730.5</v>
      </c>
      <c r="AI68" s="306">
        <v>4771.46</v>
      </c>
      <c r="AJ68" s="306">
        <v>4812.42</v>
      </c>
      <c r="AK68" s="306">
        <v>4853.38</v>
      </c>
      <c r="AL68" s="306">
        <v>4894.34</v>
      </c>
      <c r="AM68" s="306">
        <v>4935.3</v>
      </c>
      <c r="AN68" s="306">
        <v>4976.26</v>
      </c>
      <c r="AO68" s="306">
        <v>5017.22</v>
      </c>
      <c r="AP68" s="306">
        <v>5058.18</v>
      </c>
      <c r="AQ68" s="306">
        <v>5099.1400000000003</v>
      </c>
      <c r="AR68" s="306">
        <v>5140.1000000000004</v>
      </c>
      <c r="AS68" s="306">
        <v>5181.0600000000004</v>
      </c>
      <c r="AT68" s="306">
        <v>5222.0200000000004</v>
      </c>
      <c r="AU68" s="306">
        <v>5262.98</v>
      </c>
      <c r="AV68" s="306">
        <v>5303.94</v>
      </c>
      <c r="AW68" s="306">
        <v>5344.9</v>
      </c>
      <c r="AX68" s="306">
        <v>5385.86</v>
      </c>
      <c r="AY68" s="306">
        <v>5426.82</v>
      </c>
      <c r="AZ68" s="306">
        <v>5467.78</v>
      </c>
      <c r="BA68" s="306">
        <f t="shared" ref="BA68:BK68" si="61">ROUND(AZ68+$K68,2)</f>
        <v>5508.74</v>
      </c>
      <c r="BB68" s="306">
        <f t="shared" si="61"/>
        <v>5549.7</v>
      </c>
      <c r="BC68" s="306">
        <f t="shared" si="61"/>
        <v>5590.66</v>
      </c>
      <c r="BD68" s="306">
        <f t="shared" si="61"/>
        <v>5631.62</v>
      </c>
      <c r="BE68" s="306">
        <f t="shared" si="61"/>
        <v>5672.58</v>
      </c>
      <c r="BF68" s="306">
        <f t="shared" si="61"/>
        <v>5713.54</v>
      </c>
      <c r="BG68" s="306">
        <f t="shared" si="61"/>
        <v>5754.5</v>
      </c>
      <c r="BH68" s="306">
        <f t="shared" si="61"/>
        <v>5795.46</v>
      </c>
      <c r="BI68" s="306">
        <f t="shared" si="61"/>
        <v>5836.42</v>
      </c>
      <c r="BJ68" s="306">
        <f t="shared" si="61"/>
        <v>5877.38</v>
      </c>
      <c r="BK68" s="306">
        <f t="shared" si="61"/>
        <v>5918.34</v>
      </c>
    </row>
    <row r="69" spans="1:63" s="399" customFormat="1" hidden="1">
      <c r="A69" s="397" t="s">
        <v>240</v>
      </c>
      <c r="B69" s="398"/>
      <c r="C69" s="397" t="s">
        <v>103</v>
      </c>
      <c r="D69" s="397" t="s">
        <v>21</v>
      </c>
      <c r="E69" s="397" t="s">
        <v>39</v>
      </c>
      <c r="F69" s="397" t="s">
        <v>23</v>
      </c>
      <c r="H69" s="400"/>
      <c r="I69" s="401">
        <v>6.4</v>
      </c>
      <c r="J69" s="399">
        <v>18.899999999999999</v>
      </c>
      <c r="K69" s="306">
        <f t="shared" si="2"/>
        <v>19.460000000000036</v>
      </c>
      <c r="L69" s="306">
        <v>1726.08</v>
      </c>
      <c r="M69" s="306">
        <v>1745.54</v>
      </c>
      <c r="N69" s="306">
        <v>1764.99</v>
      </c>
      <c r="O69" s="306">
        <v>1784.45</v>
      </c>
      <c r="P69" s="306">
        <v>1803.9</v>
      </c>
      <c r="Q69" s="306">
        <v>1823.36</v>
      </c>
      <c r="R69" s="306">
        <v>1842.82</v>
      </c>
      <c r="S69" s="306">
        <v>1862.27</v>
      </c>
      <c r="T69" s="306">
        <v>1881.73</v>
      </c>
      <c r="U69" s="306">
        <v>1901.18</v>
      </c>
      <c r="V69" s="306">
        <v>1920.64</v>
      </c>
      <c r="W69" s="306">
        <v>1940.1</v>
      </c>
      <c r="X69" s="306">
        <v>1959.55</v>
      </c>
      <c r="Y69" s="306">
        <v>1979.01</v>
      </c>
      <c r="Z69" s="306">
        <v>1998.46</v>
      </c>
      <c r="AA69" s="306">
        <v>2017.92</v>
      </c>
      <c r="AB69" s="306">
        <v>2037.38</v>
      </c>
      <c r="AC69" s="306">
        <v>2056.83</v>
      </c>
      <c r="AD69" s="306">
        <v>2076.29</v>
      </c>
      <c r="AE69" s="306">
        <v>2095.7399999999998</v>
      </c>
      <c r="AF69" s="306">
        <v>2115.1999999999998</v>
      </c>
      <c r="AG69" s="306">
        <v>2134.66</v>
      </c>
      <c r="AH69" s="306">
        <v>2154.11</v>
      </c>
      <c r="AI69" s="306">
        <v>2173.5700000000002</v>
      </c>
      <c r="AJ69" s="306">
        <v>2193.02</v>
      </c>
      <c r="AK69" s="306">
        <v>2212.48</v>
      </c>
      <c r="AL69" s="306">
        <v>2231.94</v>
      </c>
      <c r="AM69" s="306">
        <v>2251.39</v>
      </c>
      <c r="AN69" s="306">
        <v>2270.85</v>
      </c>
      <c r="AO69" s="306">
        <v>2290.3000000000002</v>
      </c>
      <c r="AP69" s="306">
        <v>2309.7600000000002</v>
      </c>
      <c r="AQ69" s="306">
        <v>2329.2199999999998</v>
      </c>
      <c r="AR69" s="306">
        <v>2348.67</v>
      </c>
      <c r="AS69" s="306">
        <v>2368.13</v>
      </c>
      <c r="AT69" s="306">
        <v>2387.58</v>
      </c>
      <c r="AU69" s="306">
        <v>2407.04</v>
      </c>
      <c r="AV69" s="306">
        <v>2426.5</v>
      </c>
      <c r="AW69" s="306">
        <v>2445.9499999999998</v>
      </c>
      <c r="AX69" s="306">
        <v>2465.41</v>
      </c>
      <c r="AY69" s="306">
        <v>2484.86</v>
      </c>
      <c r="AZ69" s="306">
        <v>2504.3200000000002</v>
      </c>
      <c r="BA69" s="306">
        <f t="shared" ref="BA69:BK69" si="62">ROUND(AZ69+$K69,2)</f>
        <v>2523.7800000000002</v>
      </c>
      <c r="BB69" s="306">
        <f t="shared" si="62"/>
        <v>2543.2399999999998</v>
      </c>
      <c r="BC69" s="306">
        <f t="shared" si="62"/>
        <v>2562.6999999999998</v>
      </c>
      <c r="BD69" s="306">
        <f t="shared" si="62"/>
        <v>2582.16</v>
      </c>
      <c r="BE69" s="306">
        <f t="shared" si="62"/>
        <v>2601.62</v>
      </c>
      <c r="BF69" s="306">
        <f t="shared" si="62"/>
        <v>2621.08</v>
      </c>
      <c r="BG69" s="306">
        <f t="shared" si="62"/>
        <v>2640.54</v>
      </c>
      <c r="BH69" s="306">
        <f t="shared" si="62"/>
        <v>2660</v>
      </c>
      <c r="BI69" s="306">
        <f t="shared" si="62"/>
        <v>2679.46</v>
      </c>
      <c r="BJ69" s="306">
        <f t="shared" si="62"/>
        <v>2698.92</v>
      </c>
      <c r="BK69" s="306">
        <f t="shared" si="62"/>
        <v>2718.38</v>
      </c>
    </row>
    <row r="70" spans="1:63" s="399" customFormat="1" hidden="1">
      <c r="A70" s="397" t="s">
        <v>240</v>
      </c>
      <c r="B70" s="398"/>
      <c r="C70" s="397" t="s">
        <v>103</v>
      </c>
      <c r="D70" s="397" t="s">
        <v>21</v>
      </c>
      <c r="E70" s="397" t="s">
        <v>25</v>
      </c>
      <c r="F70" s="397" t="s">
        <v>23</v>
      </c>
      <c r="H70" s="400"/>
      <c r="I70" s="401">
        <v>6.4</v>
      </c>
      <c r="J70" s="399">
        <v>18.899999999999999</v>
      </c>
      <c r="K70" s="306">
        <f t="shared" si="2"/>
        <v>19.590000000000146</v>
      </c>
      <c r="L70" s="306">
        <v>1823.49</v>
      </c>
      <c r="M70" s="306">
        <v>1843.07</v>
      </c>
      <c r="N70" s="306">
        <v>1862.66</v>
      </c>
      <c r="O70" s="306">
        <v>1882.24</v>
      </c>
      <c r="P70" s="306">
        <v>1901.82</v>
      </c>
      <c r="Q70" s="306">
        <v>1921.41</v>
      </c>
      <c r="R70" s="306">
        <v>1940.99</v>
      </c>
      <c r="S70" s="306">
        <v>1960.58</v>
      </c>
      <c r="T70" s="306">
        <v>1980.16</v>
      </c>
      <c r="U70" s="306">
        <v>1999.74</v>
      </c>
      <c r="V70" s="306">
        <v>2019.33</v>
      </c>
      <c r="W70" s="306">
        <v>2038.91</v>
      </c>
      <c r="X70" s="306">
        <v>2058.5</v>
      </c>
      <c r="Y70" s="306">
        <v>2078.08</v>
      </c>
      <c r="Z70" s="306">
        <v>2097.66</v>
      </c>
      <c r="AA70" s="306">
        <v>2117.25</v>
      </c>
      <c r="AB70" s="306">
        <v>2136.83</v>
      </c>
      <c r="AC70" s="306">
        <v>2156.42</v>
      </c>
      <c r="AD70" s="306">
        <v>2176</v>
      </c>
      <c r="AE70" s="306">
        <v>2195.58</v>
      </c>
      <c r="AF70" s="306">
        <v>2215.17</v>
      </c>
      <c r="AG70" s="306">
        <v>2234.75</v>
      </c>
      <c r="AH70" s="306">
        <v>2254.34</v>
      </c>
      <c r="AI70" s="306">
        <v>2273.92</v>
      </c>
      <c r="AJ70" s="306">
        <v>2293.5</v>
      </c>
      <c r="AK70" s="306">
        <v>2313.09</v>
      </c>
      <c r="AL70" s="306">
        <v>2332.67</v>
      </c>
      <c r="AM70" s="306">
        <v>2352.2600000000002</v>
      </c>
      <c r="AN70" s="306">
        <v>2371.84</v>
      </c>
      <c r="AO70" s="306">
        <v>2391.42</v>
      </c>
      <c r="AP70" s="306">
        <v>2411.0100000000002</v>
      </c>
      <c r="AQ70" s="306">
        <v>2430.59</v>
      </c>
      <c r="AR70" s="306">
        <v>2450.1799999999998</v>
      </c>
      <c r="AS70" s="306">
        <v>2469.7600000000002</v>
      </c>
      <c r="AT70" s="306">
        <v>2489.34</v>
      </c>
      <c r="AU70" s="306">
        <v>2508.9299999999998</v>
      </c>
      <c r="AV70" s="306">
        <v>2528.5100000000002</v>
      </c>
      <c r="AW70" s="306">
        <v>2548.1</v>
      </c>
      <c r="AX70" s="306">
        <v>2567.6799999999998</v>
      </c>
      <c r="AY70" s="306">
        <v>2587.2600000000002</v>
      </c>
      <c r="AZ70" s="306">
        <v>2606.85</v>
      </c>
      <c r="BA70" s="306">
        <f t="shared" ref="BA70:BK70" si="63">ROUND(AZ70+$K70,2)</f>
        <v>2626.44</v>
      </c>
      <c r="BB70" s="306">
        <f t="shared" si="63"/>
        <v>2646.03</v>
      </c>
      <c r="BC70" s="306">
        <f t="shared" si="63"/>
        <v>2665.62</v>
      </c>
      <c r="BD70" s="306">
        <f t="shared" si="63"/>
        <v>2685.21</v>
      </c>
      <c r="BE70" s="306">
        <f t="shared" si="63"/>
        <v>2704.8</v>
      </c>
      <c r="BF70" s="306">
        <f t="shared" si="63"/>
        <v>2724.39</v>
      </c>
      <c r="BG70" s="306">
        <f t="shared" si="63"/>
        <v>2743.98</v>
      </c>
      <c r="BH70" s="306">
        <f t="shared" si="63"/>
        <v>2763.57</v>
      </c>
      <c r="BI70" s="306">
        <f t="shared" si="63"/>
        <v>2783.16</v>
      </c>
      <c r="BJ70" s="306">
        <f t="shared" si="63"/>
        <v>2802.75</v>
      </c>
      <c r="BK70" s="306">
        <f t="shared" si="63"/>
        <v>2822.34</v>
      </c>
    </row>
    <row r="71" spans="1:63" s="399" customFormat="1" hidden="1">
      <c r="A71" s="397" t="s">
        <v>241</v>
      </c>
      <c r="B71" s="398">
        <v>23</v>
      </c>
      <c r="C71" s="397" t="s">
        <v>103</v>
      </c>
      <c r="D71" s="397" t="s">
        <v>21</v>
      </c>
      <c r="E71" s="397" t="s">
        <v>25</v>
      </c>
      <c r="F71" s="397" t="s">
        <v>23</v>
      </c>
      <c r="H71" s="400"/>
      <c r="I71" s="401">
        <v>6.4</v>
      </c>
      <c r="J71" s="399">
        <v>18.899999999999999</v>
      </c>
      <c r="K71" s="306">
        <v>19.2</v>
      </c>
      <c r="L71" s="306">
        <f t="shared" ref="L71:AN71" si="64">M71-19.2</f>
        <v>1786.7900000000022</v>
      </c>
      <c r="M71" s="306">
        <f t="shared" si="64"/>
        <v>1805.9900000000023</v>
      </c>
      <c r="N71" s="306">
        <f t="shared" si="64"/>
        <v>1825.1900000000023</v>
      </c>
      <c r="O71" s="306">
        <f t="shared" si="64"/>
        <v>1844.3900000000024</v>
      </c>
      <c r="P71" s="306">
        <f t="shared" si="64"/>
        <v>1863.5900000000024</v>
      </c>
      <c r="Q71" s="306">
        <f t="shared" si="64"/>
        <v>1882.7900000000025</v>
      </c>
      <c r="R71" s="306">
        <f t="shared" si="64"/>
        <v>1901.9900000000025</v>
      </c>
      <c r="S71" s="306">
        <f t="shared" si="64"/>
        <v>1921.1900000000026</v>
      </c>
      <c r="T71" s="306">
        <f t="shared" si="64"/>
        <v>1940.3900000000026</v>
      </c>
      <c r="U71" s="306">
        <f t="shared" si="64"/>
        <v>1959.5900000000026</v>
      </c>
      <c r="V71" s="306">
        <f t="shared" si="64"/>
        <v>1978.7900000000027</v>
      </c>
      <c r="W71" s="306">
        <f t="shared" si="64"/>
        <v>1997.9900000000027</v>
      </c>
      <c r="X71" s="306">
        <f t="shared" si="64"/>
        <v>2017.1900000000028</v>
      </c>
      <c r="Y71" s="306">
        <f t="shared" si="64"/>
        <v>2036.3900000000028</v>
      </c>
      <c r="Z71" s="306">
        <f t="shared" si="64"/>
        <v>2055.5900000000029</v>
      </c>
      <c r="AA71" s="306">
        <f t="shared" si="64"/>
        <v>2074.7900000000027</v>
      </c>
      <c r="AB71" s="306">
        <f t="shared" si="64"/>
        <v>2093.9900000000025</v>
      </c>
      <c r="AC71" s="306">
        <f t="shared" si="64"/>
        <v>2113.1900000000023</v>
      </c>
      <c r="AD71" s="306">
        <f t="shared" si="64"/>
        <v>2132.3900000000021</v>
      </c>
      <c r="AE71" s="306">
        <f t="shared" si="64"/>
        <v>2151.590000000002</v>
      </c>
      <c r="AF71" s="306">
        <f t="shared" si="64"/>
        <v>2170.7900000000018</v>
      </c>
      <c r="AG71" s="306">
        <f t="shared" si="64"/>
        <v>2189.9900000000016</v>
      </c>
      <c r="AH71" s="306">
        <f t="shared" si="64"/>
        <v>2209.1900000000014</v>
      </c>
      <c r="AI71" s="306">
        <f t="shared" si="64"/>
        <v>2228.3900000000012</v>
      </c>
      <c r="AJ71" s="306">
        <f t="shared" si="64"/>
        <v>2247.5900000000011</v>
      </c>
      <c r="AK71" s="306">
        <f t="shared" si="64"/>
        <v>2266.7900000000009</v>
      </c>
      <c r="AL71" s="306">
        <f t="shared" si="64"/>
        <v>2285.9900000000007</v>
      </c>
      <c r="AM71" s="306">
        <f t="shared" si="64"/>
        <v>2305.1900000000005</v>
      </c>
      <c r="AN71" s="306">
        <f t="shared" si="64"/>
        <v>2324.3900000000003</v>
      </c>
      <c r="AO71" s="306">
        <f>AP71-19.2</f>
        <v>2343.59</v>
      </c>
      <c r="AP71" s="306">
        <f>ROUND(AP70*0.98,2)</f>
        <v>2362.79</v>
      </c>
      <c r="AQ71" s="306">
        <f t="shared" ref="AQ71:BK71" si="65">ROUND(AQ70*0.98,2)</f>
        <v>2381.98</v>
      </c>
      <c r="AR71" s="306">
        <f t="shared" si="65"/>
        <v>2401.1799999999998</v>
      </c>
      <c r="AS71" s="306">
        <f t="shared" si="65"/>
        <v>2420.36</v>
      </c>
      <c r="AT71" s="306">
        <f t="shared" si="65"/>
        <v>2439.5500000000002</v>
      </c>
      <c r="AU71" s="306">
        <f t="shared" si="65"/>
        <v>2458.75</v>
      </c>
      <c r="AV71" s="306">
        <f t="shared" si="65"/>
        <v>2477.94</v>
      </c>
      <c r="AW71" s="306">
        <f t="shared" si="65"/>
        <v>2497.14</v>
      </c>
      <c r="AX71" s="306">
        <f t="shared" si="65"/>
        <v>2516.33</v>
      </c>
      <c r="AY71" s="306">
        <f t="shared" si="65"/>
        <v>2535.5100000000002</v>
      </c>
      <c r="AZ71" s="306">
        <f t="shared" si="65"/>
        <v>2554.71</v>
      </c>
      <c r="BA71" s="306">
        <f t="shared" si="65"/>
        <v>2573.91</v>
      </c>
      <c r="BB71" s="306">
        <f t="shared" si="65"/>
        <v>2593.11</v>
      </c>
      <c r="BC71" s="306">
        <f t="shared" si="65"/>
        <v>2612.31</v>
      </c>
      <c r="BD71" s="306">
        <f t="shared" si="65"/>
        <v>2631.51</v>
      </c>
      <c r="BE71" s="306">
        <f t="shared" si="65"/>
        <v>2650.7</v>
      </c>
      <c r="BF71" s="306">
        <f t="shared" si="65"/>
        <v>2669.9</v>
      </c>
      <c r="BG71" s="306">
        <f t="shared" si="65"/>
        <v>2689.1</v>
      </c>
      <c r="BH71" s="306">
        <f t="shared" si="65"/>
        <v>2708.3</v>
      </c>
      <c r="BI71" s="306">
        <f t="shared" si="65"/>
        <v>2727.5</v>
      </c>
      <c r="BJ71" s="306">
        <f t="shared" si="65"/>
        <v>2746.7</v>
      </c>
      <c r="BK71" s="306">
        <f t="shared" si="65"/>
        <v>2765.89</v>
      </c>
    </row>
    <row r="72" spans="1:63" s="399" customFormat="1" hidden="1">
      <c r="A72" s="397" t="s">
        <v>241</v>
      </c>
      <c r="B72" s="398">
        <v>23</v>
      </c>
      <c r="C72" s="397" t="s">
        <v>103</v>
      </c>
      <c r="D72" s="397" t="s">
        <v>21</v>
      </c>
      <c r="E72" s="397" t="s">
        <v>22</v>
      </c>
      <c r="F72" s="397" t="s">
        <v>23</v>
      </c>
      <c r="H72" s="400"/>
      <c r="I72" s="401">
        <v>6.4</v>
      </c>
      <c r="J72" s="399">
        <v>18.899999999999999</v>
      </c>
      <c r="K72" s="306">
        <f t="shared" si="2"/>
        <v>20.090000000000146</v>
      </c>
      <c r="L72" s="306">
        <v>1878.27</v>
      </c>
      <c r="M72" s="306">
        <v>1898.37</v>
      </c>
      <c r="N72" s="306">
        <v>1918.46</v>
      </c>
      <c r="O72" s="306">
        <v>1938.56</v>
      </c>
      <c r="P72" s="306">
        <v>1958.66</v>
      </c>
      <c r="Q72" s="306">
        <v>1978.75</v>
      </c>
      <c r="R72" s="306">
        <v>1998.85</v>
      </c>
      <c r="S72" s="306">
        <v>2018.94</v>
      </c>
      <c r="T72" s="306">
        <v>2039.04</v>
      </c>
      <c r="U72" s="306">
        <v>2059.14</v>
      </c>
      <c r="V72" s="306">
        <v>2079.23</v>
      </c>
      <c r="W72" s="306">
        <v>2099.33</v>
      </c>
      <c r="X72" s="306">
        <v>2119.42</v>
      </c>
      <c r="Y72" s="306">
        <v>2139.52</v>
      </c>
      <c r="Z72" s="306">
        <v>2159.62</v>
      </c>
      <c r="AA72" s="306">
        <v>2179.71</v>
      </c>
      <c r="AB72" s="306">
        <v>2199.81</v>
      </c>
      <c r="AC72" s="306">
        <v>2219.9</v>
      </c>
      <c r="AD72" s="306">
        <v>2240</v>
      </c>
      <c r="AE72" s="306">
        <v>2260.1</v>
      </c>
      <c r="AF72" s="306">
        <v>2280.19</v>
      </c>
      <c r="AG72" s="306">
        <v>2300.29</v>
      </c>
      <c r="AH72" s="306">
        <v>2320.38</v>
      </c>
      <c r="AI72" s="306">
        <v>2340.48</v>
      </c>
      <c r="AJ72" s="306">
        <v>2360.58</v>
      </c>
      <c r="AK72" s="306">
        <v>2380.67</v>
      </c>
      <c r="AL72" s="306">
        <v>2400.77</v>
      </c>
      <c r="AM72" s="306">
        <v>2420.86</v>
      </c>
      <c r="AN72" s="306">
        <v>2440.96</v>
      </c>
      <c r="AO72" s="306">
        <v>2461.06</v>
      </c>
      <c r="AP72" s="306">
        <v>2481.15</v>
      </c>
      <c r="AQ72" s="306">
        <v>2501.25</v>
      </c>
      <c r="AR72" s="306">
        <v>2521.34</v>
      </c>
      <c r="AS72" s="306">
        <v>2541.44</v>
      </c>
      <c r="AT72" s="306">
        <v>2561.54</v>
      </c>
      <c r="AU72" s="306">
        <v>2581.63</v>
      </c>
      <c r="AV72" s="306">
        <v>2601.73</v>
      </c>
      <c r="AW72" s="306">
        <v>2621.82</v>
      </c>
      <c r="AX72" s="306">
        <v>2641.92</v>
      </c>
      <c r="AY72" s="306">
        <v>2662.02</v>
      </c>
      <c r="AZ72" s="306">
        <v>2682.11</v>
      </c>
      <c r="BA72" s="306">
        <f t="shared" ref="BA72:BK72" si="66">ROUND(AZ72+$K72,2)</f>
        <v>2702.2</v>
      </c>
      <c r="BB72" s="306">
        <f t="shared" si="66"/>
        <v>2722.29</v>
      </c>
      <c r="BC72" s="306">
        <f t="shared" si="66"/>
        <v>2742.38</v>
      </c>
      <c r="BD72" s="306">
        <f t="shared" si="66"/>
        <v>2762.47</v>
      </c>
      <c r="BE72" s="306">
        <f t="shared" si="66"/>
        <v>2782.56</v>
      </c>
      <c r="BF72" s="306">
        <f t="shared" si="66"/>
        <v>2802.65</v>
      </c>
      <c r="BG72" s="306">
        <f t="shared" si="66"/>
        <v>2822.74</v>
      </c>
      <c r="BH72" s="306">
        <f t="shared" si="66"/>
        <v>2842.83</v>
      </c>
      <c r="BI72" s="306">
        <f t="shared" si="66"/>
        <v>2862.92</v>
      </c>
      <c r="BJ72" s="306">
        <f t="shared" si="66"/>
        <v>2883.01</v>
      </c>
      <c r="BK72" s="306">
        <f t="shared" si="66"/>
        <v>2903.1</v>
      </c>
    </row>
    <row r="73" spans="1:63" s="399" customFormat="1" hidden="1">
      <c r="A73" s="397" t="s">
        <v>239</v>
      </c>
      <c r="B73" s="398"/>
      <c r="C73" s="397" t="s">
        <v>103</v>
      </c>
      <c r="D73" s="397" t="s">
        <v>21</v>
      </c>
      <c r="E73" s="397" t="s">
        <v>39</v>
      </c>
      <c r="F73" s="397" t="s">
        <v>23</v>
      </c>
      <c r="H73" s="400"/>
      <c r="I73" s="401">
        <v>6.4</v>
      </c>
      <c r="J73" s="399">
        <v>18.899999999999999</v>
      </c>
      <c r="K73" s="306">
        <f t="shared" si="2"/>
        <v>40.25</v>
      </c>
      <c r="L73" s="306">
        <v>3572.99</v>
      </c>
      <c r="M73" s="306">
        <v>3613.25</v>
      </c>
      <c r="N73" s="306">
        <v>3653.5</v>
      </c>
      <c r="O73" s="306">
        <v>3693.76</v>
      </c>
      <c r="P73" s="306">
        <v>3734.02</v>
      </c>
      <c r="Q73" s="306">
        <v>3774.27</v>
      </c>
      <c r="R73" s="306">
        <v>3814.53</v>
      </c>
      <c r="S73" s="306">
        <v>3854.78</v>
      </c>
      <c r="T73" s="306">
        <v>3895.04</v>
      </c>
      <c r="U73" s="306">
        <v>3935.3</v>
      </c>
      <c r="V73" s="306">
        <v>3975.55</v>
      </c>
      <c r="W73" s="306">
        <v>4015.81</v>
      </c>
      <c r="X73" s="306">
        <v>4056.06</v>
      </c>
      <c r="Y73" s="306">
        <v>4096.32</v>
      </c>
      <c r="Z73" s="306">
        <v>4136.58</v>
      </c>
      <c r="AA73" s="306">
        <v>4176.83</v>
      </c>
      <c r="AB73" s="306">
        <v>4217.09</v>
      </c>
      <c r="AC73" s="306">
        <v>4257.34</v>
      </c>
      <c r="AD73" s="306">
        <v>4297.6000000000004</v>
      </c>
      <c r="AE73" s="306">
        <v>4337.8599999999997</v>
      </c>
      <c r="AF73" s="306">
        <v>4378.1099999999997</v>
      </c>
      <c r="AG73" s="306">
        <v>4418.37</v>
      </c>
      <c r="AH73" s="306">
        <v>4458.62</v>
      </c>
      <c r="AI73" s="306">
        <v>4498.88</v>
      </c>
      <c r="AJ73" s="306">
        <v>4539.1400000000003</v>
      </c>
      <c r="AK73" s="306">
        <v>4579.3900000000003</v>
      </c>
      <c r="AL73" s="306">
        <v>4619.6499999999996</v>
      </c>
      <c r="AM73" s="306">
        <v>4659.8999999999996</v>
      </c>
      <c r="AN73" s="306">
        <v>4700.16</v>
      </c>
      <c r="AO73" s="306">
        <v>4740.42</v>
      </c>
      <c r="AP73" s="306">
        <v>4780.67</v>
      </c>
      <c r="AQ73" s="306">
        <v>4820.93</v>
      </c>
      <c r="AR73" s="306">
        <v>4861.18</v>
      </c>
      <c r="AS73" s="306">
        <v>4901.4399999999996</v>
      </c>
      <c r="AT73" s="306">
        <v>4941.7</v>
      </c>
      <c r="AU73" s="306">
        <v>4981.95</v>
      </c>
      <c r="AV73" s="306">
        <v>5022.21</v>
      </c>
      <c r="AW73" s="306">
        <v>5062.46</v>
      </c>
      <c r="AX73" s="306">
        <v>5102.72</v>
      </c>
      <c r="AY73" s="306">
        <v>5142.9799999999996</v>
      </c>
      <c r="AZ73" s="306">
        <v>5183.2299999999996</v>
      </c>
      <c r="BA73" s="306">
        <f t="shared" ref="BA73:BK73" si="67">ROUND(AZ73+$K73,2)</f>
        <v>5223.4799999999996</v>
      </c>
      <c r="BB73" s="306">
        <f t="shared" si="67"/>
        <v>5263.73</v>
      </c>
      <c r="BC73" s="306">
        <f t="shared" si="67"/>
        <v>5303.98</v>
      </c>
      <c r="BD73" s="306">
        <f t="shared" si="67"/>
        <v>5344.23</v>
      </c>
      <c r="BE73" s="306">
        <f t="shared" si="67"/>
        <v>5384.48</v>
      </c>
      <c r="BF73" s="306">
        <f t="shared" si="67"/>
        <v>5424.73</v>
      </c>
      <c r="BG73" s="306">
        <f t="shared" si="67"/>
        <v>5464.98</v>
      </c>
      <c r="BH73" s="306">
        <f t="shared" si="67"/>
        <v>5505.23</v>
      </c>
      <c r="BI73" s="306">
        <f t="shared" si="67"/>
        <v>5545.48</v>
      </c>
      <c r="BJ73" s="306">
        <f t="shared" si="67"/>
        <v>5585.73</v>
      </c>
      <c r="BK73" s="306">
        <f t="shared" si="67"/>
        <v>5625.98</v>
      </c>
    </row>
    <row r="74" spans="1:63" s="399" customFormat="1" hidden="1">
      <c r="A74" s="397" t="s">
        <v>242</v>
      </c>
      <c r="B74" s="398"/>
      <c r="C74" s="397" t="s">
        <v>103</v>
      </c>
      <c r="D74" s="397" t="s">
        <v>21</v>
      </c>
      <c r="E74" s="397" t="s">
        <v>25</v>
      </c>
      <c r="F74" s="397" t="s">
        <v>23</v>
      </c>
      <c r="H74" s="400"/>
      <c r="I74" s="401">
        <v>6.4</v>
      </c>
      <c r="J74" s="399">
        <v>18.899999999999999</v>
      </c>
      <c r="K74" s="306">
        <f t="shared" si="2"/>
        <v>19.519999999999982</v>
      </c>
      <c r="L74" s="306">
        <v>1844.1</v>
      </c>
      <c r="M74" s="306">
        <v>1863.62</v>
      </c>
      <c r="N74" s="306">
        <v>1883.14</v>
      </c>
      <c r="O74" s="306">
        <v>1902.66</v>
      </c>
      <c r="P74" s="306">
        <v>1922.18</v>
      </c>
      <c r="Q74" s="306">
        <v>1941.7</v>
      </c>
      <c r="R74" s="306">
        <v>1961.22</v>
      </c>
      <c r="S74" s="306">
        <v>1980.74</v>
      </c>
      <c r="T74" s="306">
        <v>2000.26</v>
      </c>
      <c r="U74" s="306">
        <v>2019.78</v>
      </c>
      <c r="V74" s="306">
        <v>2039.3</v>
      </c>
      <c r="W74" s="306">
        <v>2058.8200000000002</v>
      </c>
      <c r="X74" s="306">
        <v>2078.34</v>
      </c>
      <c r="Y74" s="306">
        <v>2097.86</v>
      </c>
      <c r="Z74" s="306">
        <v>2117.38</v>
      </c>
      <c r="AA74" s="306">
        <v>2136.9</v>
      </c>
      <c r="AB74" s="306">
        <v>2156.42</v>
      </c>
      <c r="AC74" s="306">
        <v>2175.94</v>
      </c>
      <c r="AD74" s="306">
        <v>2195.46</v>
      </c>
      <c r="AE74" s="306">
        <v>2214.98</v>
      </c>
      <c r="AF74" s="306">
        <v>2234.5</v>
      </c>
      <c r="AG74" s="306">
        <v>2254.02</v>
      </c>
      <c r="AH74" s="306">
        <v>2273.54</v>
      </c>
      <c r="AI74" s="306">
        <v>2293.06</v>
      </c>
      <c r="AJ74" s="306">
        <v>2312.58</v>
      </c>
      <c r="AK74" s="306">
        <v>2332.1</v>
      </c>
      <c r="AL74" s="306">
        <v>2351.62</v>
      </c>
      <c r="AM74" s="306">
        <v>2371.14</v>
      </c>
      <c r="AN74" s="306">
        <v>2390.66</v>
      </c>
      <c r="AO74" s="306">
        <v>2410.1799999999998</v>
      </c>
      <c r="AP74" s="306">
        <v>2429.6999999999998</v>
      </c>
      <c r="AQ74" s="306">
        <v>2449.2199999999998</v>
      </c>
      <c r="AR74" s="306">
        <v>2468.7399999999998</v>
      </c>
      <c r="AS74" s="306">
        <v>2488.2600000000002</v>
      </c>
      <c r="AT74" s="306">
        <v>2507.7800000000002</v>
      </c>
      <c r="AU74" s="306">
        <v>2527.3000000000002</v>
      </c>
      <c r="AV74" s="306">
        <v>2546.8200000000002</v>
      </c>
      <c r="AW74" s="306">
        <v>2566.34</v>
      </c>
      <c r="AX74" s="306">
        <v>2585.86</v>
      </c>
      <c r="AY74" s="306">
        <v>2605.38</v>
      </c>
      <c r="AZ74" s="306">
        <v>2624.9</v>
      </c>
      <c r="BA74" s="306">
        <f t="shared" ref="BA74:BK74" si="68">ROUND(AZ74+$K74,2)</f>
        <v>2644.42</v>
      </c>
      <c r="BB74" s="306">
        <f t="shared" si="68"/>
        <v>2663.94</v>
      </c>
      <c r="BC74" s="306">
        <f t="shared" si="68"/>
        <v>2683.46</v>
      </c>
      <c r="BD74" s="306">
        <f t="shared" si="68"/>
        <v>2702.98</v>
      </c>
      <c r="BE74" s="306">
        <f t="shared" si="68"/>
        <v>2722.5</v>
      </c>
      <c r="BF74" s="306">
        <f t="shared" si="68"/>
        <v>2742.02</v>
      </c>
      <c r="BG74" s="306">
        <f t="shared" si="68"/>
        <v>2761.54</v>
      </c>
      <c r="BH74" s="306">
        <f t="shared" si="68"/>
        <v>2781.06</v>
      </c>
      <c r="BI74" s="306">
        <f t="shared" si="68"/>
        <v>2800.58</v>
      </c>
      <c r="BJ74" s="306">
        <f t="shared" si="68"/>
        <v>2820.1</v>
      </c>
      <c r="BK74" s="306">
        <f t="shared" si="68"/>
        <v>2839.62</v>
      </c>
    </row>
    <row r="75" spans="1:63" s="406" customFormat="1" hidden="1">
      <c r="A75" s="410" t="s">
        <v>243</v>
      </c>
      <c r="B75" s="411"/>
      <c r="C75" s="410" t="s">
        <v>103</v>
      </c>
      <c r="D75" s="410" t="s">
        <v>21</v>
      </c>
      <c r="E75" s="410" t="s">
        <v>25</v>
      </c>
      <c r="F75" s="410" t="s">
        <v>23</v>
      </c>
      <c r="H75" s="407"/>
      <c r="I75" s="408"/>
      <c r="K75" s="409">
        <f t="shared" ref="K75:L81" si="69">ROUND(K68*0.91,2)</f>
        <v>37.270000000000003</v>
      </c>
      <c r="L75" s="409">
        <f t="shared" si="69"/>
        <v>3484.74</v>
      </c>
      <c r="M75" s="409">
        <f>ROUND(L75+$K75,2)</f>
        <v>3522.01</v>
      </c>
      <c r="N75" s="409">
        <f t="shared" ref="N75:BK80" si="70">ROUND(M75+$K75,2)</f>
        <v>3559.28</v>
      </c>
      <c r="O75" s="409">
        <f t="shared" si="70"/>
        <v>3596.55</v>
      </c>
      <c r="P75" s="409">
        <f t="shared" si="70"/>
        <v>3633.82</v>
      </c>
      <c r="Q75" s="409">
        <f t="shared" si="70"/>
        <v>3671.09</v>
      </c>
      <c r="R75" s="409">
        <f t="shared" si="70"/>
        <v>3708.36</v>
      </c>
      <c r="S75" s="409">
        <f t="shared" si="70"/>
        <v>3745.63</v>
      </c>
      <c r="T75" s="409">
        <f t="shared" si="70"/>
        <v>3782.9</v>
      </c>
      <c r="U75" s="409">
        <f t="shared" si="70"/>
        <v>3820.17</v>
      </c>
      <c r="V75" s="409">
        <f t="shared" si="70"/>
        <v>3857.44</v>
      </c>
      <c r="W75" s="409">
        <f t="shared" si="70"/>
        <v>3894.71</v>
      </c>
      <c r="X75" s="409">
        <f t="shared" si="70"/>
        <v>3931.98</v>
      </c>
      <c r="Y75" s="409">
        <f t="shared" si="70"/>
        <v>3969.25</v>
      </c>
      <c r="Z75" s="409">
        <f t="shared" si="70"/>
        <v>4006.52</v>
      </c>
      <c r="AA75" s="409">
        <f t="shared" si="70"/>
        <v>4043.79</v>
      </c>
      <c r="AB75" s="409">
        <f t="shared" si="70"/>
        <v>4081.06</v>
      </c>
      <c r="AC75" s="409">
        <f t="shared" si="70"/>
        <v>4118.33</v>
      </c>
      <c r="AD75" s="409">
        <f t="shared" si="70"/>
        <v>4155.6000000000004</v>
      </c>
      <c r="AE75" s="409">
        <f t="shared" si="70"/>
        <v>4192.87</v>
      </c>
      <c r="AF75" s="409">
        <f t="shared" si="70"/>
        <v>4230.1400000000003</v>
      </c>
      <c r="AG75" s="409">
        <f t="shared" si="70"/>
        <v>4267.41</v>
      </c>
      <c r="AH75" s="409">
        <f t="shared" si="70"/>
        <v>4304.68</v>
      </c>
      <c r="AI75" s="409">
        <f t="shared" si="70"/>
        <v>4341.95</v>
      </c>
      <c r="AJ75" s="409">
        <f t="shared" si="70"/>
        <v>4379.22</v>
      </c>
      <c r="AK75" s="409">
        <f t="shared" si="70"/>
        <v>4416.49</v>
      </c>
      <c r="AL75" s="409">
        <f t="shared" si="70"/>
        <v>4453.76</v>
      </c>
      <c r="AM75" s="409">
        <f t="shared" si="70"/>
        <v>4491.03</v>
      </c>
      <c r="AN75" s="409">
        <f t="shared" si="70"/>
        <v>4528.3</v>
      </c>
      <c r="AO75" s="409">
        <f t="shared" si="70"/>
        <v>4565.57</v>
      </c>
      <c r="AP75" s="409">
        <f t="shared" si="70"/>
        <v>4602.84</v>
      </c>
      <c r="AQ75" s="409">
        <f t="shared" si="70"/>
        <v>4640.1099999999997</v>
      </c>
      <c r="AR75" s="409">
        <f t="shared" si="70"/>
        <v>4677.38</v>
      </c>
      <c r="AS75" s="409">
        <f t="shared" si="70"/>
        <v>4714.6499999999996</v>
      </c>
      <c r="AT75" s="409">
        <f t="shared" si="70"/>
        <v>4751.92</v>
      </c>
      <c r="AU75" s="409">
        <f t="shared" si="70"/>
        <v>4789.1899999999996</v>
      </c>
      <c r="AV75" s="409">
        <f t="shared" si="70"/>
        <v>4826.46</v>
      </c>
      <c r="AW75" s="409">
        <f t="shared" si="70"/>
        <v>4863.7299999999996</v>
      </c>
      <c r="AX75" s="409">
        <f t="shared" si="70"/>
        <v>4901</v>
      </c>
      <c r="AY75" s="409">
        <f t="shared" si="70"/>
        <v>4938.2700000000004</v>
      </c>
      <c r="AZ75" s="409">
        <f t="shared" si="70"/>
        <v>4975.54</v>
      </c>
      <c r="BA75" s="409">
        <f t="shared" si="70"/>
        <v>5012.8100000000004</v>
      </c>
      <c r="BB75" s="409">
        <f t="shared" si="70"/>
        <v>5050.08</v>
      </c>
      <c r="BC75" s="409">
        <f t="shared" si="70"/>
        <v>5087.3500000000004</v>
      </c>
      <c r="BD75" s="409">
        <f t="shared" si="70"/>
        <v>5124.62</v>
      </c>
      <c r="BE75" s="409">
        <f t="shared" si="70"/>
        <v>5161.8900000000003</v>
      </c>
      <c r="BF75" s="409">
        <f t="shared" si="70"/>
        <v>5199.16</v>
      </c>
      <c r="BG75" s="409">
        <f t="shared" si="70"/>
        <v>5236.43</v>
      </c>
      <c r="BH75" s="409">
        <f t="shared" si="70"/>
        <v>5273.7</v>
      </c>
      <c r="BI75" s="409">
        <f t="shared" si="70"/>
        <v>5310.97</v>
      </c>
      <c r="BJ75" s="409">
        <f t="shared" si="70"/>
        <v>5348.24</v>
      </c>
      <c r="BK75" s="409">
        <f t="shared" si="70"/>
        <v>5385.51</v>
      </c>
    </row>
    <row r="76" spans="1:63" s="406" customFormat="1" hidden="1">
      <c r="A76" s="412" t="s">
        <v>120</v>
      </c>
      <c r="B76" s="413"/>
      <c r="C76" s="412" t="s">
        <v>103</v>
      </c>
      <c r="D76" s="412" t="s">
        <v>21</v>
      </c>
      <c r="E76" s="412" t="s">
        <v>39</v>
      </c>
      <c r="F76" s="412" t="s">
        <v>23</v>
      </c>
      <c r="H76" s="407"/>
      <c r="I76" s="408"/>
      <c r="K76" s="409">
        <f t="shared" si="69"/>
        <v>17.71</v>
      </c>
      <c r="L76" s="409">
        <f t="shared" si="69"/>
        <v>1570.73</v>
      </c>
      <c r="M76" s="409">
        <f t="shared" ref="M76:AB81" si="71">ROUND(L76+$K76,2)</f>
        <v>1588.44</v>
      </c>
      <c r="N76" s="409">
        <f t="shared" si="71"/>
        <v>1606.15</v>
      </c>
      <c r="O76" s="409">
        <f t="shared" si="71"/>
        <v>1623.86</v>
      </c>
      <c r="P76" s="409">
        <f t="shared" si="71"/>
        <v>1641.57</v>
      </c>
      <c r="Q76" s="409">
        <f t="shared" si="71"/>
        <v>1659.28</v>
      </c>
      <c r="R76" s="409">
        <f t="shared" si="71"/>
        <v>1676.99</v>
      </c>
      <c r="S76" s="409">
        <f t="shared" si="71"/>
        <v>1694.7</v>
      </c>
      <c r="T76" s="409">
        <f t="shared" si="71"/>
        <v>1712.41</v>
      </c>
      <c r="U76" s="409">
        <f t="shared" si="71"/>
        <v>1730.12</v>
      </c>
      <c r="V76" s="409">
        <f t="shared" si="71"/>
        <v>1747.83</v>
      </c>
      <c r="W76" s="409">
        <f t="shared" si="71"/>
        <v>1765.54</v>
      </c>
      <c r="X76" s="409">
        <f t="shared" si="71"/>
        <v>1783.25</v>
      </c>
      <c r="Y76" s="409">
        <f t="shared" si="71"/>
        <v>1800.96</v>
      </c>
      <c r="Z76" s="409">
        <f t="shared" si="71"/>
        <v>1818.67</v>
      </c>
      <c r="AA76" s="409">
        <f t="shared" si="71"/>
        <v>1836.38</v>
      </c>
      <c r="AB76" s="409">
        <f t="shared" si="71"/>
        <v>1854.09</v>
      </c>
      <c r="AC76" s="409">
        <f t="shared" si="70"/>
        <v>1871.8</v>
      </c>
      <c r="AD76" s="409">
        <f t="shared" si="70"/>
        <v>1889.51</v>
      </c>
      <c r="AE76" s="409">
        <f t="shared" si="70"/>
        <v>1907.22</v>
      </c>
      <c r="AF76" s="409">
        <f t="shared" si="70"/>
        <v>1924.93</v>
      </c>
      <c r="AG76" s="409">
        <f t="shared" si="70"/>
        <v>1942.64</v>
      </c>
      <c r="AH76" s="409">
        <f t="shared" si="70"/>
        <v>1960.35</v>
      </c>
      <c r="AI76" s="409">
        <f t="shared" si="70"/>
        <v>1978.06</v>
      </c>
      <c r="AJ76" s="409">
        <f t="shared" si="70"/>
        <v>1995.77</v>
      </c>
      <c r="AK76" s="409">
        <f t="shared" si="70"/>
        <v>2013.48</v>
      </c>
      <c r="AL76" s="409">
        <f t="shared" si="70"/>
        <v>2031.19</v>
      </c>
      <c r="AM76" s="409">
        <f t="shared" si="70"/>
        <v>2048.9</v>
      </c>
      <c r="AN76" s="409">
        <f t="shared" si="70"/>
        <v>2066.61</v>
      </c>
      <c r="AO76" s="409">
        <f t="shared" si="70"/>
        <v>2084.3200000000002</v>
      </c>
      <c r="AP76" s="409">
        <f t="shared" si="70"/>
        <v>2102.0300000000002</v>
      </c>
      <c r="AQ76" s="409">
        <f t="shared" si="70"/>
        <v>2119.7399999999998</v>
      </c>
      <c r="AR76" s="409">
        <f t="shared" si="70"/>
        <v>2137.4499999999998</v>
      </c>
      <c r="AS76" s="409">
        <f t="shared" si="70"/>
        <v>2155.16</v>
      </c>
      <c r="AT76" s="409">
        <f t="shared" si="70"/>
        <v>2172.87</v>
      </c>
      <c r="AU76" s="409">
        <f t="shared" si="70"/>
        <v>2190.58</v>
      </c>
      <c r="AV76" s="409">
        <f t="shared" si="70"/>
        <v>2208.29</v>
      </c>
      <c r="AW76" s="409">
        <f t="shared" si="70"/>
        <v>2226</v>
      </c>
      <c r="AX76" s="409">
        <f t="shared" si="70"/>
        <v>2243.71</v>
      </c>
      <c r="AY76" s="409">
        <f t="shared" si="70"/>
        <v>2261.42</v>
      </c>
      <c r="AZ76" s="409">
        <f t="shared" si="70"/>
        <v>2279.13</v>
      </c>
      <c r="BA76" s="409">
        <f t="shared" si="70"/>
        <v>2296.84</v>
      </c>
      <c r="BB76" s="409">
        <f t="shared" si="70"/>
        <v>2314.5500000000002</v>
      </c>
      <c r="BC76" s="409">
        <f t="shared" si="70"/>
        <v>2332.2600000000002</v>
      </c>
      <c r="BD76" s="409">
        <f t="shared" si="70"/>
        <v>2349.9699999999998</v>
      </c>
      <c r="BE76" s="409">
        <f t="shared" si="70"/>
        <v>2367.6799999999998</v>
      </c>
      <c r="BF76" s="409">
        <f t="shared" si="70"/>
        <v>2385.39</v>
      </c>
      <c r="BG76" s="409">
        <f t="shared" si="70"/>
        <v>2403.1</v>
      </c>
      <c r="BH76" s="409">
        <f t="shared" si="70"/>
        <v>2420.81</v>
      </c>
      <c r="BI76" s="409">
        <f t="shared" si="70"/>
        <v>2438.52</v>
      </c>
      <c r="BJ76" s="409">
        <f t="shared" si="70"/>
        <v>2456.23</v>
      </c>
      <c r="BK76" s="409">
        <f t="shared" si="70"/>
        <v>2473.94</v>
      </c>
    </row>
    <row r="77" spans="1:63" s="406" customFormat="1" hidden="1">
      <c r="A77" s="412" t="s">
        <v>120</v>
      </c>
      <c r="B77" s="413"/>
      <c r="C77" s="412" t="s">
        <v>103</v>
      </c>
      <c r="D77" s="412" t="s">
        <v>21</v>
      </c>
      <c r="E77" s="412" t="s">
        <v>25</v>
      </c>
      <c r="F77" s="412" t="s">
        <v>23</v>
      </c>
      <c r="H77" s="407"/>
      <c r="I77" s="408"/>
      <c r="K77" s="409">
        <f t="shared" si="69"/>
        <v>17.829999999999998</v>
      </c>
      <c r="L77" s="409">
        <f t="shared" si="69"/>
        <v>1659.38</v>
      </c>
      <c r="M77" s="409">
        <f t="shared" si="71"/>
        <v>1677.21</v>
      </c>
      <c r="N77" s="409">
        <f t="shared" si="70"/>
        <v>1695.04</v>
      </c>
      <c r="O77" s="409">
        <f t="shared" si="70"/>
        <v>1712.87</v>
      </c>
      <c r="P77" s="409">
        <f t="shared" si="70"/>
        <v>1730.7</v>
      </c>
      <c r="Q77" s="409">
        <f t="shared" si="70"/>
        <v>1748.53</v>
      </c>
      <c r="R77" s="409">
        <f t="shared" si="70"/>
        <v>1766.36</v>
      </c>
      <c r="S77" s="409">
        <f t="shared" si="70"/>
        <v>1784.19</v>
      </c>
      <c r="T77" s="409">
        <f t="shared" si="70"/>
        <v>1802.02</v>
      </c>
      <c r="U77" s="409">
        <f t="shared" si="70"/>
        <v>1819.85</v>
      </c>
      <c r="V77" s="409">
        <f t="shared" si="70"/>
        <v>1837.68</v>
      </c>
      <c r="W77" s="409">
        <f t="shared" si="70"/>
        <v>1855.51</v>
      </c>
      <c r="X77" s="409">
        <f t="shared" si="70"/>
        <v>1873.34</v>
      </c>
      <c r="Y77" s="409">
        <f t="shared" si="70"/>
        <v>1891.17</v>
      </c>
      <c r="Z77" s="409">
        <f t="shared" si="70"/>
        <v>1909</v>
      </c>
      <c r="AA77" s="409">
        <f t="shared" si="70"/>
        <v>1926.83</v>
      </c>
      <c r="AB77" s="409">
        <f t="shared" si="70"/>
        <v>1944.66</v>
      </c>
      <c r="AC77" s="409">
        <f t="shared" si="70"/>
        <v>1962.49</v>
      </c>
      <c r="AD77" s="409">
        <f t="shared" si="70"/>
        <v>1980.32</v>
      </c>
      <c r="AE77" s="409">
        <f t="shared" si="70"/>
        <v>1998.15</v>
      </c>
      <c r="AF77" s="409">
        <f t="shared" si="70"/>
        <v>2015.98</v>
      </c>
      <c r="AG77" s="409">
        <f t="shared" si="70"/>
        <v>2033.81</v>
      </c>
      <c r="AH77" s="409">
        <f t="shared" si="70"/>
        <v>2051.64</v>
      </c>
      <c r="AI77" s="409">
        <f t="shared" si="70"/>
        <v>2069.4699999999998</v>
      </c>
      <c r="AJ77" s="409">
        <f t="shared" si="70"/>
        <v>2087.3000000000002</v>
      </c>
      <c r="AK77" s="409">
        <f t="shared" si="70"/>
        <v>2105.13</v>
      </c>
      <c r="AL77" s="409">
        <f t="shared" si="70"/>
        <v>2122.96</v>
      </c>
      <c r="AM77" s="409">
        <f t="shared" si="70"/>
        <v>2140.79</v>
      </c>
      <c r="AN77" s="409">
        <f t="shared" si="70"/>
        <v>2158.62</v>
      </c>
      <c r="AO77" s="409">
        <f t="shared" si="70"/>
        <v>2176.4499999999998</v>
      </c>
      <c r="AP77" s="409">
        <f t="shared" si="70"/>
        <v>2194.2800000000002</v>
      </c>
      <c r="AQ77" s="409">
        <f t="shared" si="70"/>
        <v>2212.11</v>
      </c>
      <c r="AR77" s="409">
        <f t="shared" si="70"/>
        <v>2229.94</v>
      </c>
      <c r="AS77" s="409">
        <f t="shared" si="70"/>
        <v>2247.77</v>
      </c>
      <c r="AT77" s="409">
        <f t="shared" si="70"/>
        <v>2265.6</v>
      </c>
      <c r="AU77" s="409">
        <f t="shared" si="70"/>
        <v>2283.4299999999998</v>
      </c>
      <c r="AV77" s="409">
        <f t="shared" si="70"/>
        <v>2301.2600000000002</v>
      </c>
      <c r="AW77" s="409">
        <f t="shared" si="70"/>
        <v>2319.09</v>
      </c>
      <c r="AX77" s="409">
        <f t="shared" si="70"/>
        <v>2336.92</v>
      </c>
      <c r="AY77" s="409">
        <f t="shared" si="70"/>
        <v>2354.75</v>
      </c>
      <c r="AZ77" s="409">
        <f t="shared" si="70"/>
        <v>2372.58</v>
      </c>
      <c r="BA77" s="409">
        <f t="shared" si="70"/>
        <v>2390.41</v>
      </c>
      <c r="BB77" s="409">
        <f t="shared" si="70"/>
        <v>2408.2399999999998</v>
      </c>
      <c r="BC77" s="409">
        <f t="shared" si="70"/>
        <v>2426.0700000000002</v>
      </c>
      <c r="BD77" s="409">
        <f t="shared" si="70"/>
        <v>2443.9</v>
      </c>
      <c r="BE77" s="409">
        <f t="shared" si="70"/>
        <v>2461.73</v>
      </c>
      <c r="BF77" s="409">
        <f t="shared" si="70"/>
        <v>2479.56</v>
      </c>
      <c r="BG77" s="409">
        <f t="shared" si="70"/>
        <v>2497.39</v>
      </c>
      <c r="BH77" s="409">
        <f t="shared" si="70"/>
        <v>2515.2199999999998</v>
      </c>
      <c r="BI77" s="409">
        <f t="shared" si="70"/>
        <v>2533.0500000000002</v>
      </c>
      <c r="BJ77" s="409">
        <f t="shared" si="70"/>
        <v>2550.88</v>
      </c>
      <c r="BK77" s="409">
        <f t="shared" si="70"/>
        <v>2568.71</v>
      </c>
    </row>
    <row r="78" spans="1:63" s="406" customFormat="1" hidden="1">
      <c r="A78" s="412" t="s">
        <v>120</v>
      </c>
      <c r="B78" s="413">
        <v>23</v>
      </c>
      <c r="C78" s="412" t="s">
        <v>103</v>
      </c>
      <c r="D78" s="412" t="s">
        <v>21</v>
      </c>
      <c r="E78" s="412" t="s">
        <v>25</v>
      </c>
      <c r="F78" s="412" t="s">
        <v>23</v>
      </c>
      <c r="H78" s="407"/>
      <c r="I78" s="408"/>
      <c r="K78" s="409">
        <f t="shared" si="69"/>
        <v>17.47</v>
      </c>
      <c r="L78" s="409">
        <f t="shared" si="69"/>
        <v>1625.98</v>
      </c>
      <c r="M78" s="409">
        <f t="shared" si="71"/>
        <v>1643.45</v>
      </c>
      <c r="N78" s="409">
        <f t="shared" si="70"/>
        <v>1660.92</v>
      </c>
      <c r="O78" s="409">
        <f t="shared" si="70"/>
        <v>1678.39</v>
      </c>
      <c r="P78" s="409">
        <f t="shared" si="70"/>
        <v>1695.86</v>
      </c>
      <c r="Q78" s="409">
        <f t="shared" si="70"/>
        <v>1713.33</v>
      </c>
      <c r="R78" s="409">
        <f t="shared" si="70"/>
        <v>1730.8</v>
      </c>
      <c r="S78" s="409">
        <f t="shared" si="70"/>
        <v>1748.27</v>
      </c>
      <c r="T78" s="409">
        <f t="shared" si="70"/>
        <v>1765.74</v>
      </c>
      <c r="U78" s="409">
        <f t="shared" si="70"/>
        <v>1783.21</v>
      </c>
      <c r="V78" s="409">
        <f t="shared" si="70"/>
        <v>1800.68</v>
      </c>
      <c r="W78" s="409">
        <f t="shared" si="70"/>
        <v>1818.15</v>
      </c>
      <c r="X78" s="409">
        <f t="shared" si="70"/>
        <v>1835.62</v>
      </c>
      <c r="Y78" s="409">
        <f t="shared" si="70"/>
        <v>1853.09</v>
      </c>
      <c r="Z78" s="409">
        <f t="shared" si="70"/>
        <v>1870.56</v>
      </c>
      <c r="AA78" s="409">
        <f t="shared" si="70"/>
        <v>1888.03</v>
      </c>
      <c r="AB78" s="409">
        <f t="shared" si="70"/>
        <v>1905.5</v>
      </c>
      <c r="AC78" s="409">
        <f t="shared" si="70"/>
        <v>1922.97</v>
      </c>
      <c r="AD78" s="409">
        <f t="shared" si="70"/>
        <v>1940.44</v>
      </c>
      <c r="AE78" s="409">
        <f t="shared" si="70"/>
        <v>1957.91</v>
      </c>
      <c r="AF78" s="409">
        <f t="shared" si="70"/>
        <v>1975.38</v>
      </c>
      <c r="AG78" s="409">
        <f t="shared" si="70"/>
        <v>1992.85</v>
      </c>
      <c r="AH78" s="409">
        <f t="shared" si="70"/>
        <v>2010.32</v>
      </c>
      <c r="AI78" s="409">
        <f t="shared" si="70"/>
        <v>2027.79</v>
      </c>
      <c r="AJ78" s="409">
        <f t="shared" si="70"/>
        <v>2045.26</v>
      </c>
      <c r="AK78" s="409">
        <f t="shared" si="70"/>
        <v>2062.73</v>
      </c>
      <c r="AL78" s="409">
        <f t="shared" si="70"/>
        <v>2080.1999999999998</v>
      </c>
      <c r="AM78" s="409">
        <f t="shared" si="70"/>
        <v>2097.67</v>
      </c>
      <c r="AN78" s="409">
        <f t="shared" si="70"/>
        <v>2115.14</v>
      </c>
      <c r="AO78" s="409">
        <f t="shared" si="70"/>
        <v>2132.61</v>
      </c>
      <c r="AP78" s="409">
        <f t="shared" si="70"/>
        <v>2150.08</v>
      </c>
      <c r="AQ78" s="409">
        <f t="shared" si="70"/>
        <v>2167.5500000000002</v>
      </c>
      <c r="AR78" s="409">
        <f t="shared" si="70"/>
        <v>2185.02</v>
      </c>
      <c r="AS78" s="409">
        <f t="shared" si="70"/>
        <v>2202.4899999999998</v>
      </c>
      <c r="AT78" s="409">
        <f t="shared" si="70"/>
        <v>2219.96</v>
      </c>
      <c r="AU78" s="409">
        <f t="shared" si="70"/>
        <v>2237.4299999999998</v>
      </c>
      <c r="AV78" s="409">
        <f t="shared" si="70"/>
        <v>2254.9</v>
      </c>
      <c r="AW78" s="409">
        <f t="shared" si="70"/>
        <v>2272.37</v>
      </c>
      <c r="AX78" s="409">
        <f t="shared" si="70"/>
        <v>2289.84</v>
      </c>
      <c r="AY78" s="409">
        <f t="shared" si="70"/>
        <v>2307.31</v>
      </c>
      <c r="AZ78" s="409">
        <f t="shared" si="70"/>
        <v>2324.7800000000002</v>
      </c>
      <c r="BA78" s="409">
        <f t="shared" si="70"/>
        <v>2342.25</v>
      </c>
      <c r="BB78" s="409">
        <f t="shared" si="70"/>
        <v>2359.7199999999998</v>
      </c>
      <c r="BC78" s="409">
        <f t="shared" si="70"/>
        <v>2377.19</v>
      </c>
      <c r="BD78" s="409">
        <f t="shared" si="70"/>
        <v>2394.66</v>
      </c>
      <c r="BE78" s="409">
        <f t="shared" si="70"/>
        <v>2412.13</v>
      </c>
      <c r="BF78" s="409">
        <f t="shared" si="70"/>
        <v>2429.6</v>
      </c>
      <c r="BG78" s="409">
        <f t="shared" si="70"/>
        <v>2447.0700000000002</v>
      </c>
      <c r="BH78" s="409">
        <f t="shared" si="70"/>
        <v>2464.54</v>
      </c>
      <c r="BI78" s="409">
        <f t="shared" si="70"/>
        <v>2482.0100000000002</v>
      </c>
      <c r="BJ78" s="409">
        <f t="shared" si="70"/>
        <v>2499.48</v>
      </c>
      <c r="BK78" s="409">
        <f t="shared" si="70"/>
        <v>2516.9499999999998</v>
      </c>
    </row>
    <row r="79" spans="1:63" s="406" customFormat="1" hidden="1">
      <c r="A79" s="412" t="s">
        <v>120</v>
      </c>
      <c r="B79" s="413">
        <v>23</v>
      </c>
      <c r="C79" s="412" t="s">
        <v>103</v>
      </c>
      <c r="D79" s="412" t="s">
        <v>21</v>
      </c>
      <c r="E79" s="412" t="s">
        <v>22</v>
      </c>
      <c r="F79" s="412" t="s">
        <v>23</v>
      </c>
      <c r="H79" s="407"/>
      <c r="I79" s="408"/>
      <c r="K79" s="409">
        <f t="shared" si="69"/>
        <v>18.28</v>
      </c>
      <c r="L79" s="409">
        <f t="shared" si="69"/>
        <v>1709.23</v>
      </c>
      <c r="M79" s="409">
        <f t="shared" si="71"/>
        <v>1727.51</v>
      </c>
      <c r="N79" s="409">
        <f t="shared" si="70"/>
        <v>1745.79</v>
      </c>
      <c r="O79" s="409">
        <f t="shared" si="70"/>
        <v>1764.07</v>
      </c>
      <c r="P79" s="409">
        <f t="shared" si="70"/>
        <v>1782.35</v>
      </c>
      <c r="Q79" s="409">
        <f t="shared" si="70"/>
        <v>1800.63</v>
      </c>
      <c r="R79" s="409">
        <f t="shared" si="70"/>
        <v>1818.91</v>
      </c>
      <c r="S79" s="409">
        <f t="shared" si="70"/>
        <v>1837.19</v>
      </c>
      <c r="T79" s="409">
        <f t="shared" si="70"/>
        <v>1855.47</v>
      </c>
      <c r="U79" s="409">
        <f t="shared" si="70"/>
        <v>1873.75</v>
      </c>
      <c r="V79" s="409">
        <f t="shared" si="70"/>
        <v>1892.03</v>
      </c>
      <c r="W79" s="409">
        <f t="shared" si="70"/>
        <v>1910.31</v>
      </c>
      <c r="X79" s="409">
        <f t="shared" si="70"/>
        <v>1928.59</v>
      </c>
      <c r="Y79" s="409">
        <f t="shared" si="70"/>
        <v>1946.87</v>
      </c>
      <c r="Z79" s="409">
        <f t="shared" si="70"/>
        <v>1965.15</v>
      </c>
      <c r="AA79" s="409">
        <f t="shared" si="70"/>
        <v>1983.43</v>
      </c>
      <c r="AB79" s="409">
        <f t="shared" si="70"/>
        <v>2001.71</v>
      </c>
      <c r="AC79" s="409">
        <f t="shared" si="70"/>
        <v>2019.99</v>
      </c>
      <c r="AD79" s="409">
        <f t="shared" si="70"/>
        <v>2038.27</v>
      </c>
      <c r="AE79" s="409">
        <f t="shared" si="70"/>
        <v>2056.5500000000002</v>
      </c>
      <c r="AF79" s="409">
        <f t="shared" si="70"/>
        <v>2074.83</v>
      </c>
      <c r="AG79" s="409">
        <f t="shared" si="70"/>
        <v>2093.11</v>
      </c>
      <c r="AH79" s="409">
        <f t="shared" si="70"/>
        <v>2111.39</v>
      </c>
      <c r="AI79" s="409">
        <f t="shared" si="70"/>
        <v>2129.67</v>
      </c>
      <c r="AJ79" s="409">
        <f t="shared" si="70"/>
        <v>2147.9499999999998</v>
      </c>
      <c r="AK79" s="409">
        <f t="shared" si="70"/>
        <v>2166.23</v>
      </c>
      <c r="AL79" s="409">
        <f t="shared" si="70"/>
        <v>2184.5100000000002</v>
      </c>
      <c r="AM79" s="409">
        <f t="shared" si="70"/>
        <v>2202.79</v>
      </c>
      <c r="AN79" s="409">
        <f t="shared" si="70"/>
        <v>2221.0700000000002</v>
      </c>
      <c r="AO79" s="409">
        <f t="shared" si="70"/>
        <v>2239.35</v>
      </c>
      <c r="AP79" s="409">
        <f t="shared" si="70"/>
        <v>2257.63</v>
      </c>
      <c r="AQ79" s="409">
        <f t="shared" si="70"/>
        <v>2275.91</v>
      </c>
      <c r="AR79" s="409">
        <f t="shared" si="70"/>
        <v>2294.19</v>
      </c>
      <c r="AS79" s="409">
        <f t="shared" si="70"/>
        <v>2312.4699999999998</v>
      </c>
      <c r="AT79" s="409">
        <f t="shared" si="70"/>
        <v>2330.75</v>
      </c>
      <c r="AU79" s="409">
        <f t="shared" si="70"/>
        <v>2349.0300000000002</v>
      </c>
      <c r="AV79" s="409">
        <f t="shared" si="70"/>
        <v>2367.31</v>
      </c>
      <c r="AW79" s="409">
        <f t="shared" si="70"/>
        <v>2385.59</v>
      </c>
      <c r="AX79" s="409">
        <f t="shared" si="70"/>
        <v>2403.87</v>
      </c>
      <c r="AY79" s="409">
        <f t="shared" si="70"/>
        <v>2422.15</v>
      </c>
      <c r="AZ79" s="409">
        <f t="shared" si="70"/>
        <v>2440.4299999999998</v>
      </c>
      <c r="BA79" s="409">
        <f t="shared" si="70"/>
        <v>2458.71</v>
      </c>
      <c r="BB79" s="409">
        <f t="shared" si="70"/>
        <v>2476.9899999999998</v>
      </c>
      <c r="BC79" s="409">
        <f t="shared" si="70"/>
        <v>2495.27</v>
      </c>
      <c r="BD79" s="409">
        <f t="shared" si="70"/>
        <v>2513.5500000000002</v>
      </c>
      <c r="BE79" s="409">
        <f t="shared" si="70"/>
        <v>2531.83</v>
      </c>
      <c r="BF79" s="409">
        <f t="shared" si="70"/>
        <v>2550.11</v>
      </c>
      <c r="BG79" s="409">
        <f t="shared" si="70"/>
        <v>2568.39</v>
      </c>
      <c r="BH79" s="409">
        <f t="shared" si="70"/>
        <v>2586.67</v>
      </c>
      <c r="BI79" s="409">
        <f t="shared" si="70"/>
        <v>2604.9499999999998</v>
      </c>
      <c r="BJ79" s="409">
        <f t="shared" si="70"/>
        <v>2623.23</v>
      </c>
      <c r="BK79" s="409">
        <f t="shared" si="70"/>
        <v>2641.51</v>
      </c>
    </row>
    <row r="80" spans="1:63" s="406" customFormat="1" hidden="1">
      <c r="A80" s="412" t="s">
        <v>118</v>
      </c>
      <c r="B80" s="413"/>
      <c r="C80" s="412" t="s">
        <v>103</v>
      </c>
      <c r="D80" s="412" t="s">
        <v>21</v>
      </c>
      <c r="E80" s="412" t="s">
        <v>39</v>
      </c>
      <c r="F80" s="412" t="s">
        <v>23</v>
      </c>
      <c r="H80" s="407"/>
      <c r="I80" s="408"/>
      <c r="K80" s="409">
        <f t="shared" si="69"/>
        <v>36.630000000000003</v>
      </c>
      <c r="L80" s="409">
        <f t="shared" si="69"/>
        <v>3251.42</v>
      </c>
      <c r="M80" s="409">
        <f t="shared" si="71"/>
        <v>3288.05</v>
      </c>
      <c r="N80" s="409">
        <f t="shared" si="70"/>
        <v>3324.68</v>
      </c>
      <c r="O80" s="409">
        <f t="shared" si="70"/>
        <v>3361.31</v>
      </c>
      <c r="P80" s="409">
        <f t="shared" si="70"/>
        <v>3397.94</v>
      </c>
      <c r="Q80" s="409">
        <f t="shared" si="70"/>
        <v>3434.57</v>
      </c>
      <c r="R80" s="409">
        <f t="shared" si="70"/>
        <v>3471.2</v>
      </c>
      <c r="S80" s="409">
        <f t="shared" si="70"/>
        <v>3507.83</v>
      </c>
      <c r="T80" s="409">
        <f t="shared" si="70"/>
        <v>3544.46</v>
      </c>
      <c r="U80" s="409">
        <f t="shared" si="70"/>
        <v>3581.09</v>
      </c>
      <c r="V80" s="409">
        <f t="shared" si="70"/>
        <v>3617.72</v>
      </c>
      <c r="W80" s="409">
        <f t="shared" si="70"/>
        <v>3654.35</v>
      </c>
      <c r="X80" s="409">
        <f t="shared" si="70"/>
        <v>3690.98</v>
      </c>
      <c r="Y80" s="409">
        <f t="shared" si="70"/>
        <v>3727.61</v>
      </c>
      <c r="Z80" s="409">
        <f t="shared" si="70"/>
        <v>3764.24</v>
      </c>
      <c r="AA80" s="409">
        <f t="shared" si="70"/>
        <v>3800.87</v>
      </c>
      <c r="AB80" s="409">
        <f t="shared" si="70"/>
        <v>3837.5</v>
      </c>
      <c r="AC80" s="409">
        <f t="shared" si="70"/>
        <v>3874.13</v>
      </c>
      <c r="AD80" s="409">
        <f t="shared" si="70"/>
        <v>3910.76</v>
      </c>
      <c r="AE80" s="409">
        <f t="shared" si="70"/>
        <v>3947.39</v>
      </c>
      <c r="AF80" s="409">
        <f t="shared" si="70"/>
        <v>3984.02</v>
      </c>
      <c r="AG80" s="409">
        <f t="shared" si="70"/>
        <v>4020.65</v>
      </c>
      <c r="AH80" s="409">
        <f t="shared" ref="N80:BK81" si="72">ROUND(AG80+$K80,2)</f>
        <v>4057.28</v>
      </c>
      <c r="AI80" s="409">
        <f t="shared" si="72"/>
        <v>4093.91</v>
      </c>
      <c r="AJ80" s="409">
        <f t="shared" si="72"/>
        <v>4130.54</v>
      </c>
      <c r="AK80" s="409">
        <f t="shared" si="72"/>
        <v>4167.17</v>
      </c>
      <c r="AL80" s="409">
        <f t="shared" si="72"/>
        <v>4203.8</v>
      </c>
      <c r="AM80" s="409">
        <f t="shared" si="72"/>
        <v>4240.43</v>
      </c>
      <c r="AN80" s="409">
        <f t="shared" si="72"/>
        <v>4277.0600000000004</v>
      </c>
      <c r="AO80" s="409">
        <f t="shared" si="72"/>
        <v>4313.6899999999996</v>
      </c>
      <c r="AP80" s="409">
        <f t="shared" si="72"/>
        <v>4350.32</v>
      </c>
      <c r="AQ80" s="409">
        <f t="shared" si="72"/>
        <v>4386.95</v>
      </c>
      <c r="AR80" s="409">
        <f t="shared" si="72"/>
        <v>4423.58</v>
      </c>
      <c r="AS80" s="409">
        <f t="shared" si="72"/>
        <v>4460.21</v>
      </c>
      <c r="AT80" s="409">
        <f t="shared" si="72"/>
        <v>4496.84</v>
      </c>
      <c r="AU80" s="409">
        <f t="shared" si="72"/>
        <v>4533.47</v>
      </c>
      <c r="AV80" s="409">
        <f t="shared" si="72"/>
        <v>4570.1000000000004</v>
      </c>
      <c r="AW80" s="409">
        <f t="shared" si="72"/>
        <v>4606.7299999999996</v>
      </c>
      <c r="AX80" s="409">
        <f t="shared" si="72"/>
        <v>4643.3599999999997</v>
      </c>
      <c r="AY80" s="409">
        <f t="shared" si="72"/>
        <v>4679.99</v>
      </c>
      <c r="AZ80" s="409">
        <f t="shared" si="72"/>
        <v>4716.62</v>
      </c>
      <c r="BA80" s="409">
        <f t="shared" si="72"/>
        <v>4753.25</v>
      </c>
      <c r="BB80" s="409">
        <f t="shared" si="72"/>
        <v>4789.88</v>
      </c>
      <c r="BC80" s="409">
        <f t="shared" si="72"/>
        <v>4826.51</v>
      </c>
      <c r="BD80" s="409">
        <f t="shared" si="72"/>
        <v>4863.1400000000003</v>
      </c>
      <c r="BE80" s="409">
        <f t="shared" si="72"/>
        <v>4899.7700000000004</v>
      </c>
      <c r="BF80" s="409">
        <f t="shared" si="72"/>
        <v>4936.3999999999996</v>
      </c>
      <c r="BG80" s="409">
        <f t="shared" si="72"/>
        <v>4973.03</v>
      </c>
      <c r="BH80" s="409">
        <f t="shared" si="72"/>
        <v>5009.66</v>
      </c>
      <c r="BI80" s="409">
        <f t="shared" si="72"/>
        <v>5046.29</v>
      </c>
      <c r="BJ80" s="409">
        <f t="shared" si="72"/>
        <v>5082.92</v>
      </c>
      <c r="BK80" s="409">
        <f t="shared" si="72"/>
        <v>5119.55</v>
      </c>
    </row>
    <row r="81" spans="1:63" s="406" customFormat="1" hidden="1">
      <c r="A81" s="412" t="s">
        <v>121</v>
      </c>
      <c r="B81" s="413"/>
      <c r="C81" s="412" t="s">
        <v>103</v>
      </c>
      <c r="D81" s="412" t="s">
        <v>21</v>
      </c>
      <c r="E81" s="412" t="s">
        <v>25</v>
      </c>
      <c r="F81" s="412" t="s">
        <v>23</v>
      </c>
      <c r="H81" s="407"/>
      <c r="I81" s="408"/>
      <c r="K81" s="409">
        <f t="shared" si="69"/>
        <v>17.760000000000002</v>
      </c>
      <c r="L81" s="409">
        <f t="shared" si="69"/>
        <v>1678.13</v>
      </c>
      <c r="M81" s="409">
        <f t="shared" si="71"/>
        <v>1695.89</v>
      </c>
      <c r="N81" s="409">
        <f t="shared" si="72"/>
        <v>1713.65</v>
      </c>
      <c r="O81" s="409">
        <f t="shared" si="72"/>
        <v>1731.41</v>
      </c>
      <c r="P81" s="409">
        <f t="shared" si="72"/>
        <v>1749.17</v>
      </c>
      <c r="Q81" s="409">
        <f t="shared" si="72"/>
        <v>1766.93</v>
      </c>
      <c r="R81" s="409">
        <f t="shared" si="72"/>
        <v>1784.69</v>
      </c>
      <c r="S81" s="409">
        <f t="shared" si="72"/>
        <v>1802.45</v>
      </c>
      <c r="T81" s="409">
        <f t="shared" si="72"/>
        <v>1820.21</v>
      </c>
      <c r="U81" s="409">
        <f t="shared" si="72"/>
        <v>1837.97</v>
      </c>
      <c r="V81" s="409">
        <f t="shared" si="72"/>
        <v>1855.73</v>
      </c>
      <c r="W81" s="409">
        <f t="shared" si="72"/>
        <v>1873.49</v>
      </c>
      <c r="X81" s="409">
        <f t="shared" si="72"/>
        <v>1891.25</v>
      </c>
      <c r="Y81" s="409">
        <f t="shared" si="72"/>
        <v>1909.01</v>
      </c>
      <c r="Z81" s="409">
        <f t="shared" si="72"/>
        <v>1926.77</v>
      </c>
      <c r="AA81" s="409">
        <f t="shared" si="72"/>
        <v>1944.53</v>
      </c>
      <c r="AB81" s="409">
        <f t="shared" si="72"/>
        <v>1962.29</v>
      </c>
      <c r="AC81" s="409">
        <f t="shared" si="72"/>
        <v>1980.05</v>
      </c>
      <c r="AD81" s="409">
        <f t="shared" si="72"/>
        <v>1997.81</v>
      </c>
      <c r="AE81" s="409">
        <f t="shared" si="72"/>
        <v>2015.57</v>
      </c>
      <c r="AF81" s="409">
        <f t="shared" si="72"/>
        <v>2033.33</v>
      </c>
      <c r="AG81" s="409">
        <f t="shared" si="72"/>
        <v>2051.09</v>
      </c>
      <c r="AH81" s="409">
        <f t="shared" si="72"/>
        <v>2068.85</v>
      </c>
      <c r="AI81" s="409">
        <f t="shared" si="72"/>
        <v>2086.61</v>
      </c>
      <c r="AJ81" s="409">
        <f t="shared" si="72"/>
        <v>2104.37</v>
      </c>
      <c r="AK81" s="409">
        <f t="shared" si="72"/>
        <v>2122.13</v>
      </c>
      <c r="AL81" s="409">
        <f t="shared" si="72"/>
        <v>2139.89</v>
      </c>
      <c r="AM81" s="409">
        <f t="shared" si="72"/>
        <v>2157.65</v>
      </c>
      <c r="AN81" s="409">
        <f t="shared" si="72"/>
        <v>2175.41</v>
      </c>
      <c r="AO81" s="409">
        <f t="shared" si="72"/>
        <v>2193.17</v>
      </c>
      <c r="AP81" s="409">
        <f t="shared" si="72"/>
        <v>2210.9299999999998</v>
      </c>
      <c r="AQ81" s="409">
        <f t="shared" si="72"/>
        <v>2228.69</v>
      </c>
      <c r="AR81" s="409">
        <f t="shared" si="72"/>
        <v>2246.4499999999998</v>
      </c>
      <c r="AS81" s="409">
        <f t="shared" si="72"/>
        <v>2264.21</v>
      </c>
      <c r="AT81" s="409">
        <f t="shared" si="72"/>
        <v>2281.9699999999998</v>
      </c>
      <c r="AU81" s="409">
        <f t="shared" si="72"/>
        <v>2299.73</v>
      </c>
      <c r="AV81" s="409">
        <f t="shared" si="72"/>
        <v>2317.4899999999998</v>
      </c>
      <c r="AW81" s="409">
        <f t="shared" si="72"/>
        <v>2335.25</v>
      </c>
      <c r="AX81" s="409">
        <f t="shared" si="72"/>
        <v>2353.0100000000002</v>
      </c>
      <c r="AY81" s="409">
        <f t="shared" si="72"/>
        <v>2370.77</v>
      </c>
      <c r="AZ81" s="409">
        <f t="shared" si="72"/>
        <v>2388.5300000000002</v>
      </c>
      <c r="BA81" s="409">
        <f t="shared" si="72"/>
        <v>2406.29</v>
      </c>
      <c r="BB81" s="409">
        <f t="shared" si="72"/>
        <v>2424.0500000000002</v>
      </c>
      <c r="BC81" s="409">
        <f t="shared" si="72"/>
        <v>2441.81</v>
      </c>
      <c r="BD81" s="409">
        <f t="shared" si="72"/>
        <v>2459.5700000000002</v>
      </c>
      <c r="BE81" s="409">
        <f t="shared" si="72"/>
        <v>2477.33</v>
      </c>
      <c r="BF81" s="409">
        <f t="shared" si="72"/>
        <v>2495.09</v>
      </c>
      <c r="BG81" s="409">
        <f t="shared" si="72"/>
        <v>2512.85</v>
      </c>
      <c r="BH81" s="409">
        <f t="shared" si="72"/>
        <v>2530.61</v>
      </c>
      <c r="BI81" s="409">
        <f t="shared" si="72"/>
        <v>2548.37</v>
      </c>
      <c r="BJ81" s="409">
        <f t="shared" si="72"/>
        <v>2566.13</v>
      </c>
      <c r="BK81" s="409">
        <f t="shared" si="72"/>
        <v>2583.89</v>
      </c>
    </row>
    <row r="82" spans="1:63" s="422" customFormat="1" hidden="1">
      <c r="A82" s="416" t="s">
        <v>244</v>
      </c>
      <c r="B82" s="417">
        <v>23</v>
      </c>
      <c r="C82" s="418" t="s">
        <v>103</v>
      </c>
      <c r="D82" s="418" t="s">
        <v>21</v>
      </c>
      <c r="E82" s="418" t="s">
        <v>25</v>
      </c>
      <c r="F82" s="418" t="s">
        <v>23</v>
      </c>
      <c r="G82" s="419"/>
      <c r="H82" s="420"/>
      <c r="I82" s="421">
        <v>6.4</v>
      </c>
      <c r="J82" s="422">
        <v>18.899999999999999</v>
      </c>
      <c r="K82" s="423">
        <v>19.59</v>
      </c>
      <c r="L82" s="423">
        <v>1884.99</v>
      </c>
      <c r="M82" s="423">
        <v>1904.58</v>
      </c>
      <c r="N82" s="423">
        <v>1924.17</v>
      </c>
      <c r="O82" s="423">
        <v>1943.76</v>
      </c>
      <c r="P82" s="423">
        <v>1963.35</v>
      </c>
      <c r="Q82" s="423">
        <v>1982.94</v>
      </c>
      <c r="R82" s="423">
        <v>2002.53</v>
      </c>
      <c r="S82" s="423">
        <v>2022.12</v>
      </c>
      <c r="T82" s="423">
        <v>2041.71</v>
      </c>
      <c r="U82" s="423">
        <v>2061.3000000000002</v>
      </c>
      <c r="V82" s="423">
        <v>2080.89</v>
      </c>
      <c r="W82" s="423">
        <v>2100.48</v>
      </c>
      <c r="X82" s="423">
        <v>2120.0700000000002</v>
      </c>
      <c r="Y82" s="423">
        <v>2139.66</v>
      </c>
      <c r="Z82" s="423">
        <v>2159.25</v>
      </c>
      <c r="AA82" s="423">
        <v>2178.84</v>
      </c>
      <c r="AB82" s="423">
        <v>2198.4299999999998</v>
      </c>
      <c r="AC82" s="423">
        <v>2218.02</v>
      </c>
      <c r="AD82" s="423">
        <v>2237.61</v>
      </c>
      <c r="AE82" s="423">
        <v>2257.1999999999998</v>
      </c>
      <c r="AF82" s="423">
        <v>2276.79</v>
      </c>
      <c r="AG82" s="423">
        <v>2296.38</v>
      </c>
      <c r="AH82" s="423">
        <v>2315.9699999999998</v>
      </c>
      <c r="AI82" s="423">
        <v>2335.56</v>
      </c>
      <c r="AJ82" s="423">
        <v>2355.15</v>
      </c>
      <c r="AK82" s="423">
        <v>2374.7399999999998</v>
      </c>
      <c r="AL82" s="423">
        <v>2394.33</v>
      </c>
      <c r="AM82" s="423">
        <v>2413.92</v>
      </c>
      <c r="AN82" s="423">
        <v>2433.5100000000002</v>
      </c>
      <c r="AO82" s="423">
        <v>2453.11</v>
      </c>
      <c r="AP82" s="423">
        <v>2472.69</v>
      </c>
      <c r="AQ82" s="423">
        <v>2492.2800000000002</v>
      </c>
      <c r="AR82" s="423">
        <v>2511.87</v>
      </c>
      <c r="AS82" s="423">
        <v>2531.46</v>
      </c>
      <c r="AT82" s="423">
        <v>2551.0500000000002</v>
      </c>
      <c r="AU82" s="423">
        <v>2570.64</v>
      </c>
      <c r="AV82" s="423">
        <v>2590.23</v>
      </c>
      <c r="AW82" s="423">
        <v>2609.8200000000002</v>
      </c>
      <c r="AX82" s="423">
        <v>2629.41</v>
      </c>
      <c r="AY82" s="423">
        <v>2649</v>
      </c>
      <c r="AZ82" s="423">
        <v>2668.59</v>
      </c>
      <c r="BA82" s="423">
        <f t="shared" ref="BA82:BK82" si="73">ROUND(AZ82+$K82,2)</f>
        <v>2688.18</v>
      </c>
      <c r="BB82" s="423">
        <f t="shared" si="73"/>
        <v>2707.77</v>
      </c>
      <c r="BC82" s="423">
        <f t="shared" si="73"/>
        <v>2727.36</v>
      </c>
      <c r="BD82" s="423">
        <f t="shared" si="73"/>
        <v>2746.95</v>
      </c>
      <c r="BE82" s="423">
        <f t="shared" si="73"/>
        <v>2766.54</v>
      </c>
      <c r="BF82" s="423">
        <f t="shared" si="73"/>
        <v>2786.13</v>
      </c>
      <c r="BG82" s="423">
        <f t="shared" si="73"/>
        <v>2805.72</v>
      </c>
      <c r="BH82" s="423">
        <f t="shared" si="73"/>
        <v>2825.31</v>
      </c>
      <c r="BI82" s="423">
        <f t="shared" si="73"/>
        <v>2844.9</v>
      </c>
      <c r="BJ82" s="423">
        <f t="shared" si="73"/>
        <v>2864.49</v>
      </c>
      <c r="BK82" s="423">
        <f t="shared" si="73"/>
        <v>2884.08</v>
      </c>
    </row>
    <row r="83" spans="1:63" s="428" customFormat="1" hidden="1">
      <c r="A83" s="424" t="s">
        <v>245</v>
      </c>
      <c r="B83" s="425">
        <v>23</v>
      </c>
      <c r="C83" s="426" t="s">
        <v>103</v>
      </c>
      <c r="D83" s="426" t="s">
        <v>21</v>
      </c>
      <c r="E83" s="426" t="s">
        <v>25</v>
      </c>
      <c r="F83" s="426" t="s">
        <v>23</v>
      </c>
      <c r="G83" s="122"/>
      <c r="H83" s="27"/>
      <c r="I83" s="427">
        <v>6.4</v>
      </c>
      <c r="J83" s="428">
        <v>18.899999999999999</v>
      </c>
      <c r="K83" s="429">
        <v>18.809999999999999</v>
      </c>
      <c r="L83" s="429">
        <f t="shared" ref="L83:AN83" si="74">M83-$K83</f>
        <v>1809.4800000000018</v>
      </c>
      <c r="M83" s="429">
        <f t="shared" si="74"/>
        <v>1828.2900000000018</v>
      </c>
      <c r="N83" s="429">
        <f t="shared" si="74"/>
        <v>1847.1000000000017</v>
      </c>
      <c r="O83" s="429">
        <f t="shared" si="74"/>
        <v>1865.9100000000017</v>
      </c>
      <c r="P83" s="429">
        <f t="shared" si="74"/>
        <v>1884.7200000000016</v>
      </c>
      <c r="Q83" s="429">
        <f t="shared" si="74"/>
        <v>1903.5300000000016</v>
      </c>
      <c r="R83" s="429">
        <f t="shared" si="74"/>
        <v>1922.3400000000015</v>
      </c>
      <c r="S83" s="429">
        <f t="shared" si="74"/>
        <v>1941.1500000000015</v>
      </c>
      <c r="T83" s="429">
        <f t="shared" si="74"/>
        <v>1959.9600000000014</v>
      </c>
      <c r="U83" s="429">
        <f t="shared" si="74"/>
        <v>1978.7700000000013</v>
      </c>
      <c r="V83" s="429">
        <f t="shared" si="74"/>
        <v>1997.5800000000013</v>
      </c>
      <c r="W83" s="429">
        <f t="shared" si="74"/>
        <v>2016.3900000000012</v>
      </c>
      <c r="X83" s="429">
        <f t="shared" si="74"/>
        <v>2035.2000000000012</v>
      </c>
      <c r="Y83" s="429">
        <f t="shared" si="74"/>
        <v>2054.0100000000011</v>
      </c>
      <c r="Z83" s="429">
        <f t="shared" si="74"/>
        <v>2072.8200000000011</v>
      </c>
      <c r="AA83" s="429">
        <f t="shared" si="74"/>
        <v>2091.630000000001</v>
      </c>
      <c r="AB83" s="429">
        <f t="shared" si="74"/>
        <v>2110.440000000001</v>
      </c>
      <c r="AC83" s="429">
        <f t="shared" si="74"/>
        <v>2129.2500000000009</v>
      </c>
      <c r="AD83" s="429">
        <f t="shared" si="74"/>
        <v>2148.0600000000009</v>
      </c>
      <c r="AE83" s="429">
        <f t="shared" si="74"/>
        <v>2166.8700000000008</v>
      </c>
      <c r="AF83" s="429">
        <f t="shared" si="74"/>
        <v>2185.6800000000007</v>
      </c>
      <c r="AG83" s="429">
        <f t="shared" si="74"/>
        <v>2204.4900000000007</v>
      </c>
      <c r="AH83" s="429">
        <f t="shared" si="74"/>
        <v>2223.3000000000006</v>
      </c>
      <c r="AI83" s="429">
        <f t="shared" si="74"/>
        <v>2242.1100000000006</v>
      </c>
      <c r="AJ83" s="429">
        <f t="shared" si="74"/>
        <v>2260.9200000000005</v>
      </c>
      <c r="AK83" s="429">
        <f t="shared" si="74"/>
        <v>2279.7300000000005</v>
      </c>
      <c r="AL83" s="429">
        <f t="shared" si="74"/>
        <v>2298.5400000000004</v>
      </c>
      <c r="AM83" s="429">
        <f t="shared" si="74"/>
        <v>2317.3500000000004</v>
      </c>
      <c r="AN83" s="429">
        <f t="shared" si="74"/>
        <v>2336.1600000000003</v>
      </c>
      <c r="AO83" s="429">
        <f>AP83-$K83</f>
        <v>2354.9700000000003</v>
      </c>
      <c r="AP83" s="429">
        <f>ROUND(AP82*0.96,2)</f>
        <v>2373.7800000000002</v>
      </c>
      <c r="AQ83" s="429">
        <f t="shared" ref="AQ83:BK83" si="75">ROUND(AP83+$K83,2)</f>
        <v>2392.59</v>
      </c>
      <c r="AR83" s="429">
        <f t="shared" si="75"/>
        <v>2411.4</v>
      </c>
      <c r="AS83" s="429">
        <f t="shared" si="75"/>
        <v>2430.21</v>
      </c>
      <c r="AT83" s="429">
        <f t="shared" si="75"/>
        <v>2449.02</v>
      </c>
      <c r="AU83" s="429">
        <f t="shared" si="75"/>
        <v>2467.83</v>
      </c>
      <c r="AV83" s="429">
        <f t="shared" si="75"/>
        <v>2486.64</v>
      </c>
      <c r="AW83" s="429">
        <f t="shared" si="75"/>
        <v>2505.4499999999998</v>
      </c>
      <c r="AX83" s="429">
        <f t="shared" si="75"/>
        <v>2524.2600000000002</v>
      </c>
      <c r="AY83" s="429">
        <f t="shared" si="75"/>
        <v>2543.0700000000002</v>
      </c>
      <c r="AZ83" s="429">
        <f t="shared" si="75"/>
        <v>2561.88</v>
      </c>
      <c r="BA83" s="429">
        <f t="shared" si="75"/>
        <v>2580.69</v>
      </c>
      <c r="BB83" s="429">
        <f t="shared" si="75"/>
        <v>2599.5</v>
      </c>
      <c r="BC83" s="429">
        <f t="shared" si="75"/>
        <v>2618.31</v>
      </c>
      <c r="BD83" s="429">
        <f t="shared" si="75"/>
        <v>2637.12</v>
      </c>
      <c r="BE83" s="429">
        <f t="shared" si="75"/>
        <v>2655.93</v>
      </c>
      <c r="BF83" s="429">
        <f t="shared" si="75"/>
        <v>2674.74</v>
      </c>
      <c r="BG83" s="429">
        <f t="shared" si="75"/>
        <v>2693.55</v>
      </c>
      <c r="BH83" s="429">
        <f t="shared" si="75"/>
        <v>2712.36</v>
      </c>
      <c r="BI83" s="429">
        <f t="shared" si="75"/>
        <v>2731.17</v>
      </c>
      <c r="BJ83" s="429">
        <f t="shared" si="75"/>
        <v>2749.98</v>
      </c>
      <c r="BK83" s="429">
        <f t="shared" si="75"/>
        <v>2768.79</v>
      </c>
    </row>
    <row r="84" spans="1:63" s="18" customFormat="1" hidden="1">
      <c r="A84" s="26" t="s">
        <v>123</v>
      </c>
      <c r="B84" s="230">
        <v>23</v>
      </c>
      <c r="C84" s="14" t="s">
        <v>124</v>
      </c>
      <c r="D84" s="14" t="s">
        <v>21</v>
      </c>
      <c r="E84" s="14" t="s">
        <v>22</v>
      </c>
      <c r="F84" s="14" t="s">
        <v>23</v>
      </c>
      <c r="H84" s="110"/>
      <c r="I84" s="15">
        <v>6.4</v>
      </c>
      <c r="J84" s="18">
        <v>18.899999999999999</v>
      </c>
      <c r="K84" s="17">
        <f t="shared" si="2"/>
        <v>19.579999999999927</v>
      </c>
      <c r="L84" s="17">
        <v>1903.42</v>
      </c>
      <c r="M84" s="17">
        <v>1923.01</v>
      </c>
      <c r="N84" s="17">
        <v>1942.59</v>
      </c>
      <c r="O84" s="17">
        <v>1962.18</v>
      </c>
      <c r="P84" s="17">
        <v>1981.76</v>
      </c>
      <c r="Q84" s="17">
        <v>2001.34</v>
      </c>
      <c r="R84" s="17">
        <v>2020.93</v>
      </c>
      <c r="S84" s="17">
        <v>2040.51</v>
      </c>
      <c r="T84" s="17">
        <v>2060.1</v>
      </c>
      <c r="U84" s="17">
        <v>2079.6799999999998</v>
      </c>
      <c r="V84" s="17">
        <v>2099.2600000000002</v>
      </c>
      <c r="W84" s="17">
        <v>2118.85</v>
      </c>
      <c r="X84" s="17">
        <v>2138.4299999999998</v>
      </c>
      <c r="Y84" s="17">
        <v>2158.02</v>
      </c>
      <c r="Z84" s="17">
        <v>2177.6</v>
      </c>
      <c r="AA84" s="17">
        <v>2197.1799999999998</v>
      </c>
      <c r="AB84" s="17">
        <v>2216.77</v>
      </c>
      <c r="AC84" s="17">
        <v>2236.35</v>
      </c>
      <c r="AD84" s="17">
        <v>2255.94</v>
      </c>
      <c r="AE84" s="17">
        <v>2275.52</v>
      </c>
      <c r="AF84" s="17">
        <v>2295.1</v>
      </c>
      <c r="AG84" s="17">
        <v>2314.69</v>
      </c>
      <c r="AH84" s="17">
        <v>2334.27</v>
      </c>
      <c r="AI84" s="17">
        <v>2353.86</v>
      </c>
      <c r="AJ84" s="17">
        <v>2373.44</v>
      </c>
      <c r="AK84" s="17">
        <v>2393.02</v>
      </c>
      <c r="AL84" s="17">
        <v>2412.61</v>
      </c>
      <c r="AM84" s="17">
        <v>2432.19</v>
      </c>
      <c r="AN84" s="17">
        <v>2451.7800000000002</v>
      </c>
      <c r="AO84" s="17">
        <v>2471.36</v>
      </c>
      <c r="AP84" s="17">
        <v>2490.94</v>
      </c>
      <c r="AQ84" s="17">
        <v>2510.5300000000002</v>
      </c>
      <c r="AR84" s="17">
        <v>2530.11</v>
      </c>
      <c r="AS84" s="17">
        <v>2549.6999999999998</v>
      </c>
      <c r="AT84" s="17">
        <v>2569.2800000000002</v>
      </c>
      <c r="AU84" s="17">
        <v>2588.86</v>
      </c>
      <c r="AV84" s="17">
        <v>2608.4499999999998</v>
      </c>
      <c r="AW84" s="17">
        <v>2628.03</v>
      </c>
      <c r="AX84" s="17">
        <v>2647.62</v>
      </c>
      <c r="AY84" s="17">
        <v>2667.2</v>
      </c>
      <c r="AZ84" s="17">
        <v>2686.78</v>
      </c>
      <c r="BA84" s="17">
        <f t="shared" ref="BA84:BK84" si="76">ROUND(AZ84+$K84,2)</f>
        <v>2706.36</v>
      </c>
      <c r="BB84" s="17">
        <f t="shared" si="76"/>
        <v>2725.94</v>
      </c>
      <c r="BC84" s="17">
        <f t="shared" si="76"/>
        <v>2745.52</v>
      </c>
      <c r="BD84" s="17">
        <f t="shared" si="76"/>
        <v>2765.1</v>
      </c>
      <c r="BE84" s="17">
        <f t="shared" si="76"/>
        <v>2784.68</v>
      </c>
      <c r="BF84" s="17">
        <f t="shared" si="76"/>
        <v>2804.26</v>
      </c>
      <c r="BG84" s="17">
        <f t="shared" si="76"/>
        <v>2823.84</v>
      </c>
      <c r="BH84" s="17">
        <f t="shared" si="76"/>
        <v>2843.42</v>
      </c>
      <c r="BI84" s="17">
        <f t="shared" si="76"/>
        <v>2863</v>
      </c>
      <c r="BJ84" s="17">
        <f t="shared" si="76"/>
        <v>2882.58</v>
      </c>
      <c r="BK84" s="17">
        <f t="shared" si="76"/>
        <v>2902.16</v>
      </c>
    </row>
    <row r="85" spans="1:63" s="18" customFormat="1" hidden="1">
      <c r="A85" s="14" t="s">
        <v>125</v>
      </c>
      <c r="B85" s="54"/>
      <c r="C85" s="14" t="s">
        <v>124</v>
      </c>
      <c r="D85" s="14" t="s">
        <v>104</v>
      </c>
      <c r="E85" s="14" t="s">
        <v>39</v>
      </c>
      <c r="F85" s="14" t="s">
        <v>57</v>
      </c>
      <c r="H85" s="110"/>
      <c r="I85" s="15">
        <v>6.4</v>
      </c>
      <c r="J85" s="18">
        <v>19.5</v>
      </c>
      <c r="K85" s="17">
        <f t="shared" si="2"/>
        <v>19.779999999999745</v>
      </c>
      <c r="L85" s="17">
        <v>1854.21</v>
      </c>
      <c r="M85" s="17">
        <v>1873.98</v>
      </c>
      <c r="N85" s="17">
        <v>1893.76</v>
      </c>
      <c r="O85" s="17">
        <v>1913.54</v>
      </c>
      <c r="P85" s="17">
        <v>1933.31</v>
      </c>
      <c r="Q85" s="17">
        <v>1953.09</v>
      </c>
      <c r="R85" s="17">
        <v>1972.86</v>
      </c>
      <c r="S85" s="17">
        <v>1992.64</v>
      </c>
      <c r="T85" s="17">
        <v>2012.42</v>
      </c>
      <c r="U85" s="17">
        <v>2032.19</v>
      </c>
      <c r="V85" s="17">
        <v>2051.9699999999998</v>
      </c>
      <c r="W85" s="17">
        <v>2071.7399999999998</v>
      </c>
      <c r="X85" s="17">
        <v>2091.52</v>
      </c>
      <c r="Y85" s="17">
        <v>2111.3000000000002</v>
      </c>
      <c r="Z85" s="17">
        <v>2131.0700000000002</v>
      </c>
      <c r="AA85" s="17">
        <v>2150.85</v>
      </c>
      <c r="AB85" s="17">
        <v>2170.62</v>
      </c>
      <c r="AC85" s="17">
        <v>2190.4</v>
      </c>
      <c r="AD85" s="17">
        <v>2210.1799999999998</v>
      </c>
      <c r="AE85" s="17">
        <v>2229.9499999999998</v>
      </c>
      <c r="AF85" s="17">
        <v>2249.73</v>
      </c>
      <c r="AG85" s="17">
        <v>2269.5</v>
      </c>
      <c r="AH85" s="17">
        <v>2289.2800000000002</v>
      </c>
      <c r="AI85" s="17">
        <v>2309.06</v>
      </c>
      <c r="AJ85" s="17">
        <v>2328.83</v>
      </c>
      <c r="AK85" s="17">
        <v>2348.61</v>
      </c>
      <c r="AL85" s="17">
        <v>2368.38</v>
      </c>
      <c r="AM85" s="17">
        <v>2388.16</v>
      </c>
      <c r="AN85" s="17">
        <v>2407.94</v>
      </c>
      <c r="AO85" s="17">
        <v>2427.71</v>
      </c>
      <c r="AP85" s="17">
        <v>2447.4899999999998</v>
      </c>
      <c r="AQ85" s="17">
        <v>2467.2600000000002</v>
      </c>
      <c r="AR85" s="17">
        <v>2487.04</v>
      </c>
      <c r="AS85" s="17">
        <v>2506.8200000000002</v>
      </c>
      <c r="AT85" s="17">
        <v>2526.59</v>
      </c>
      <c r="AU85" s="17">
        <v>2546.37</v>
      </c>
      <c r="AV85" s="17">
        <v>2566.14</v>
      </c>
      <c r="AW85" s="17">
        <v>2585.92</v>
      </c>
      <c r="AX85" s="17">
        <v>2605.6999999999998</v>
      </c>
      <c r="AY85" s="17">
        <v>2625.47</v>
      </c>
      <c r="AZ85" s="17">
        <v>2645.25</v>
      </c>
      <c r="BA85" s="17">
        <f t="shared" ref="BA85:BK85" si="77">ROUND(AZ85+$K85,2)</f>
        <v>2665.03</v>
      </c>
      <c r="BB85" s="17">
        <f t="shared" si="77"/>
        <v>2684.81</v>
      </c>
      <c r="BC85" s="17">
        <f t="shared" si="77"/>
        <v>2704.59</v>
      </c>
      <c r="BD85" s="17">
        <f t="shared" si="77"/>
        <v>2724.37</v>
      </c>
      <c r="BE85" s="17">
        <f t="shared" si="77"/>
        <v>2744.15</v>
      </c>
      <c r="BF85" s="17">
        <f t="shared" si="77"/>
        <v>2763.93</v>
      </c>
      <c r="BG85" s="17">
        <f t="shared" si="77"/>
        <v>2783.71</v>
      </c>
      <c r="BH85" s="17">
        <f t="shared" si="77"/>
        <v>2803.49</v>
      </c>
      <c r="BI85" s="17">
        <f t="shared" si="77"/>
        <v>2823.27</v>
      </c>
      <c r="BJ85" s="17">
        <f t="shared" si="77"/>
        <v>2843.05</v>
      </c>
      <c r="BK85" s="17">
        <f t="shared" si="77"/>
        <v>2862.83</v>
      </c>
    </row>
    <row r="86" spans="1:63" s="18" customFormat="1" hidden="1">
      <c r="A86" s="14" t="s">
        <v>126</v>
      </c>
      <c r="C86" s="14" t="s">
        <v>124</v>
      </c>
      <c r="D86" s="14" t="s">
        <v>21</v>
      </c>
      <c r="E86" s="14" t="s">
        <v>27</v>
      </c>
      <c r="F86" s="14" t="s">
        <v>23</v>
      </c>
      <c r="H86" s="14"/>
      <c r="I86" s="15">
        <v>6.4</v>
      </c>
      <c r="J86" s="18">
        <v>18.899999999999999</v>
      </c>
      <c r="K86" s="17">
        <f t="shared" si="2"/>
        <v>19.590000000000146</v>
      </c>
      <c r="L86" s="17">
        <v>1752.26</v>
      </c>
      <c r="M86" s="17">
        <v>1771.84</v>
      </c>
      <c r="N86" s="17">
        <v>1791.42</v>
      </c>
      <c r="O86" s="17">
        <v>1811.01</v>
      </c>
      <c r="P86" s="17">
        <v>1830.59</v>
      </c>
      <c r="Q86" s="17">
        <v>1850.18</v>
      </c>
      <c r="R86" s="17">
        <v>1869.76</v>
      </c>
      <c r="S86" s="17">
        <v>1889.34</v>
      </c>
      <c r="T86" s="17">
        <v>1908.93</v>
      </c>
      <c r="U86" s="17">
        <v>1928.51</v>
      </c>
      <c r="V86" s="17">
        <v>1948.1</v>
      </c>
      <c r="W86" s="17">
        <v>1967.68</v>
      </c>
      <c r="X86" s="17">
        <v>1987.26</v>
      </c>
      <c r="Y86" s="17">
        <v>2006.85</v>
      </c>
      <c r="Z86" s="17">
        <v>2026.43</v>
      </c>
      <c r="AA86" s="17">
        <v>2046.02</v>
      </c>
      <c r="AB86" s="17">
        <v>2065.6</v>
      </c>
      <c r="AC86" s="17">
        <v>2085.1799999999998</v>
      </c>
      <c r="AD86" s="17">
        <v>2104.77</v>
      </c>
      <c r="AE86" s="17">
        <v>2124.35</v>
      </c>
      <c r="AF86" s="17">
        <v>2143.94</v>
      </c>
      <c r="AG86" s="17">
        <v>2163.52</v>
      </c>
      <c r="AH86" s="17">
        <v>2183.1</v>
      </c>
      <c r="AI86" s="17">
        <v>2202.69</v>
      </c>
      <c r="AJ86" s="17">
        <v>2222.27</v>
      </c>
      <c r="AK86" s="17">
        <v>2241.86</v>
      </c>
      <c r="AL86" s="17">
        <v>2261.44</v>
      </c>
      <c r="AM86" s="17">
        <v>2281.02</v>
      </c>
      <c r="AN86" s="17">
        <v>2300.61</v>
      </c>
      <c r="AO86" s="17">
        <v>2320.19</v>
      </c>
      <c r="AP86" s="17">
        <v>2339.7800000000002</v>
      </c>
      <c r="AQ86" s="17">
        <v>2359.36</v>
      </c>
      <c r="AR86" s="17">
        <v>2378.94</v>
      </c>
      <c r="AS86" s="17">
        <v>2398.5300000000002</v>
      </c>
      <c r="AT86" s="17">
        <v>2418.11</v>
      </c>
      <c r="AU86" s="17">
        <v>2437.6999999999998</v>
      </c>
      <c r="AV86" s="17">
        <v>2457.2800000000002</v>
      </c>
      <c r="AW86" s="17">
        <v>2476.86</v>
      </c>
      <c r="AX86" s="17">
        <v>2496.4499999999998</v>
      </c>
      <c r="AY86" s="17">
        <v>2516.0300000000002</v>
      </c>
      <c r="AZ86" s="17">
        <v>2535.62</v>
      </c>
      <c r="BA86" s="17">
        <f t="shared" ref="BA86:BK86" si="78">ROUND(AZ86+$K86,2)</f>
        <v>2555.21</v>
      </c>
      <c r="BB86" s="17">
        <f t="shared" si="78"/>
        <v>2574.8000000000002</v>
      </c>
      <c r="BC86" s="17">
        <f t="shared" si="78"/>
        <v>2594.39</v>
      </c>
      <c r="BD86" s="17">
        <f t="shared" si="78"/>
        <v>2613.98</v>
      </c>
      <c r="BE86" s="17">
        <f t="shared" si="78"/>
        <v>2633.57</v>
      </c>
      <c r="BF86" s="17">
        <f t="shared" si="78"/>
        <v>2653.16</v>
      </c>
      <c r="BG86" s="17">
        <f t="shared" si="78"/>
        <v>2672.75</v>
      </c>
      <c r="BH86" s="17">
        <f t="shared" si="78"/>
        <v>2692.34</v>
      </c>
      <c r="BI86" s="17">
        <f t="shared" si="78"/>
        <v>2711.93</v>
      </c>
      <c r="BJ86" s="17">
        <f t="shared" si="78"/>
        <v>2731.52</v>
      </c>
      <c r="BK86" s="17">
        <f t="shared" si="78"/>
        <v>2751.11</v>
      </c>
    </row>
    <row r="87" spans="1:63" s="18" customFormat="1" hidden="1">
      <c r="A87" s="14" t="s">
        <v>128</v>
      </c>
      <c r="B87" s="54"/>
      <c r="C87" s="14" t="s">
        <v>124</v>
      </c>
      <c r="D87" s="14" t="s">
        <v>100</v>
      </c>
      <c r="E87" s="14" t="s">
        <v>129</v>
      </c>
      <c r="F87" s="14" t="s">
        <v>23</v>
      </c>
      <c r="H87" s="284" t="s">
        <v>130</v>
      </c>
      <c r="I87" s="15">
        <v>6.4</v>
      </c>
      <c r="J87" s="18">
        <v>21</v>
      </c>
      <c r="K87" s="17">
        <f t="shared" si="2"/>
        <v>20.409999999999854</v>
      </c>
      <c r="L87" s="17">
        <v>1786.94</v>
      </c>
      <c r="M87" s="17">
        <v>1807.36</v>
      </c>
      <c r="N87" s="17">
        <v>1827.78</v>
      </c>
      <c r="O87" s="17">
        <v>1848.19</v>
      </c>
      <c r="P87" s="17">
        <v>1868.61</v>
      </c>
      <c r="Q87" s="17">
        <v>1889.02</v>
      </c>
      <c r="R87" s="17">
        <v>1909.44</v>
      </c>
      <c r="S87" s="17">
        <v>1929.86</v>
      </c>
      <c r="T87" s="17">
        <v>1950.27</v>
      </c>
      <c r="U87" s="17">
        <v>1970.69</v>
      </c>
      <c r="V87" s="17">
        <v>1991.1</v>
      </c>
      <c r="W87" s="17">
        <v>2011.52</v>
      </c>
      <c r="X87" s="17">
        <v>2031.94</v>
      </c>
      <c r="Y87" s="17">
        <v>2052.35</v>
      </c>
      <c r="Z87" s="17">
        <v>2072.77</v>
      </c>
      <c r="AA87" s="17">
        <v>2093.1799999999998</v>
      </c>
      <c r="AB87" s="17">
        <v>2113.6</v>
      </c>
      <c r="AC87" s="17">
        <v>2134.02</v>
      </c>
      <c r="AD87" s="17">
        <v>2154.4299999999998</v>
      </c>
      <c r="AE87" s="17">
        <v>2174.85</v>
      </c>
      <c r="AF87" s="17">
        <v>2195.2600000000002</v>
      </c>
      <c r="AG87" s="17">
        <v>2215.6799999999998</v>
      </c>
      <c r="AH87" s="17">
        <v>2236.1</v>
      </c>
      <c r="AI87" s="17">
        <v>2256.5100000000002</v>
      </c>
      <c r="AJ87" s="17">
        <v>2276.9299999999998</v>
      </c>
      <c r="AK87" s="17">
        <v>2297.34</v>
      </c>
      <c r="AL87" s="17">
        <v>2317.7600000000002</v>
      </c>
      <c r="AM87" s="17">
        <v>2338.1799999999998</v>
      </c>
      <c r="AN87" s="17">
        <v>2358.59</v>
      </c>
      <c r="AO87" s="17">
        <v>2379.0100000000002</v>
      </c>
      <c r="AP87" s="17">
        <v>2399.42</v>
      </c>
      <c r="AQ87" s="17">
        <v>2419.84</v>
      </c>
      <c r="AR87" s="17">
        <v>2440.2600000000002</v>
      </c>
      <c r="AS87" s="17">
        <v>2460.67</v>
      </c>
      <c r="AT87" s="17">
        <v>2481.09</v>
      </c>
      <c r="AU87" s="17">
        <v>2501.5</v>
      </c>
      <c r="AV87" s="17">
        <v>2521.92</v>
      </c>
      <c r="AW87" s="17">
        <v>2542.34</v>
      </c>
      <c r="AX87" s="17">
        <v>2562.75</v>
      </c>
      <c r="AY87" s="17">
        <v>2583.17</v>
      </c>
      <c r="AZ87" s="17">
        <v>2603.58</v>
      </c>
      <c r="BA87" s="17">
        <f t="shared" ref="BA87:BK87" si="79">ROUND(AZ87+$K87,2)</f>
        <v>2623.99</v>
      </c>
      <c r="BB87" s="17">
        <f t="shared" si="79"/>
        <v>2644.4</v>
      </c>
      <c r="BC87" s="17">
        <f t="shared" si="79"/>
        <v>2664.81</v>
      </c>
      <c r="BD87" s="17">
        <f t="shared" si="79"/>
        <v>2685.22</v>
      </c>
      <c r="BE87" s="17">
        <f t="shared" si="79"/>
        <v>2705.63</v>
      </c>
      <c r="BF87" s="17">
        <f t="shared" si="79"/>
        <v>2726.04</v>
      </c>
      <c r="BG87" s="17">
        <f t="shared" si="79"/>
        <v>2746.45</v>
      </c>
      <c r="BH87" s="17">
        <f t="shared" si="79"/>
        <v>2766.86</v>
      </c>
      <c r="BI87" s="17">
        <f t="shared" si="79"/>
        <v>2787.27</v>
      </c>
      <c r="BJ87" s="17">
        <f t="shared" si="79"/>
        <v>2807.68</v>
      </c>
      <c r="BK87" s="17">
        <f t="shared" si="79"/>
        <v>2828.09</v>
      </c>
    </row>
    <row r="88" spans="1:63" s="18" customFormat="1" hidden="1">
      <c r="A88" s="24" t="s">
        <v>131</v>
      </c>
      <c r="B88" s="244">
        <v>23</v>
      </c>
      <c r="C88" s="24" t="s">
        <v>124</v>
      </c>
      <c r="D88" s="24" t="s">
        <v>100</v>
      </c>
      <c r="E88" s="24" t="s">
        <v>106</v>
      </c>
      <c r="F88" s="14" t="s">
        <v>23</v>
      </c>
      <c r="H88" s="284" t="s">
        <v>132</v>
      </c>
      <c r="I88" s="15">
        <v>6.4</v>
      </c>
      <c r="J88" s="18">
        <v>21</v>
      </c>
      <c r="K88" s="17">
        <f t="shared" si="2"/>
        <v>20.349999999999909</v>
      </c>
      <c r="L88" s="17">
        <v>1889.15</v>
      </c>
      <c r="M88" s="17">
        <v>1909.5</v>
      </c>
      <c r="N88" s="17">
        <v>1929.86</v>
      </c>
      <c r="O88" s="17">
        <v>1950.21</v>
      </c>
      <c r="P88" s="17">
        <v>1970.56</v>
      </c>
      <c r="Q88" s="17">
        <v>1990.91</v>
      </c>
      <c r="R88" s="17">
        <v>2011.26</v>
      </c>
      <c r="S88" s="17">
        <v>2031.62</v>
      </c>
      <c r="T88" s="17">
        <v>2051.9699999999998</v>
      </c>
      <c r="U88" s="17">
        <v>2072.3200000000002</v>
      </c>
      <c r="V88" s="17">
        <v>2092.67</v>
      </c>
      <c r="W88" s="17">
        <v>2113.02</v>
      </c>
      <c r="X88" s="17">
        <v>2133.38</v>
      </c>
      <c r="Y88" s="17">
        <v>2153.73</v>
      </c>
      <c r="Z88" s="17">
        <v>2174.08</v>
      </c>
      <c r="AA88" s="17">
        <v>2194.4299999999998</v>
      </c>
      <c r="AB88" s="17">
        <v>2214.7800000000002</v>
      </c>
      <c r="AC88" s="17">
        <v>2235.14</v>
      </c>
      <c r="AD88" s="17">
        <v>2255.4899999999998</v>
      </c>
      <c r="AE88" s="17">
        <v>2275.84</v>
      </c>
      <c r="AF88" s="17">
        <v>2296.19</v>
      </c>
      <c r="AG88" s="17">
        <v>2316.54</v>
      </c>
      <c r="AH88" s="17">
        <v>2336.9</v>
      </c>
      <c r="AI88" s="17">
        <v>2357.25</v>
      </c>
      <c r="AJ88" s="17">
        <v>2377.6</v>
      </c>
      <c r="AK88" s="17">
        <v>2397.9499999999998</v>
      </c>
      <c r="AL88" s="17">
        <v>2418.3000000000002</v>
      </c>
      <c r="AM88" s="17">
        <v>2438.66</v>
      </c>
      <c r="AN88" s="17">
        <v>2459.0100000000002</v>
      </c>
      <c r="AO88" s="17">
        <v>2479.36</v>
      </c>
      <c r="AP88" s="17">
        <v>2499.71</v>
      </c>
      <c r="AQ88" s="17">
        <v>2520.06</v>
      </c>
      <c r="AR88" s="17">
        <v>2540.42</v>
      </c>
      <c r="AS88" s="17">
        <v>2560.77</v>
      </c>
      <c r="AT88" s="17">
        <v>2581.12</v>
      </c>
      <c r="AU88" s="17">
        <v>2601.4699999999998</v>
      </c>
      <c r="AV88" s="17">
        <v>2621.82</v>
      </c>
      <c r="AW88" s="17">
        <v>2642.18</v>
      </c>
      <c r="AX88" s="17">
        <v>2662.53</v>
      </c>
      <c r="AY88" s="17">
        <v>2682.88</v>
      </c>
      <c r="AZ88" s="17">
        <v>2703.23</v>
      </c>
      <c r="BA88" s="17">
        <f t="shared" ref="BA88:BK88" si="80">ROUND(AZ88+$K88,2)</f>
        <v>2723.58</v>
      </c>
      <c r="BB88" s="17">
        <f t="shared" si="80"/>
        <v>2743.93</v>
      </c>
      <c r="BC88" s="17">
        <f t="shared" si="80"/>
        <v>2764.28</v>
      </c>
      <c r="BD88" s="17">
        <f t="shared" si="80"/>
        <v>2784.63</v>
      </c>
      <c r="BE88" s="17">
        <f t="shared" si="80"/>
        <v>2804.98</v>
      </c>
      <c r="BF88" s="17">
        <f t="shared" si="80"/>
        <v>2825.33</v>
      </c>
      <c r="BG88" s="17">
        <f t="shared" si="80"/>
        <v>2845.68</v>
      </c>
      <c r="BH88" s="17">
        <f t="shared" si="80"/>
        <v>2866.03</v>
      </c>
      <c r="BI88" s="17">
        <f t="shared" si="80"/>
        <v>2886.38</v>
      </c>
      <c r="BJ88" s="17">
        <f t="shared" si="80"/>
        <v>2906.73</v>
      </c>
      <c r="BK88" s="17">
        <f t="shared" si="80"/>
        <v>2927.08</v>
      </c>
    </row>
    <row r="89" spans="1:63" s="18" customFormat="1" hidden="1">
      <c r="A89" s="332" t="s">
        <v>128</v>
      </c>
      <c r="B89" s="29"/>
      <c r="C89" s="27" t="s">
        <v>124</v>
      </c>
      <c r="D89" s="27" t="s">
        <v>100</v>
      </c>
      <c r="E89" s="27" t="s">
        <v>22</v>
      </c>
      <c r="F89" s="14" t="s">
        <v>23</v>
      </c>
      <c r="H89" s="110"/>
      <c r="I89" s="28">
        <v>6.4</v>
      </c>
      <c r="J89" s="29">
        <v>21</v>
      </c>
      <c r="K89" s="17">
        <f t="shared" si="2"/>
        <v>20.960500000000138</v>
      </c>
      <c r="L89" s="17">
        <v>1945.8245000000002</v>
      </c>
      <c r="M89" s="17">
        <v>1966.7850000000001</v>
      </c>
      <c r="N89" s="17">
        <v>1987.7557999999999</v>
      </c>
      <c r="O89" s="17">
        <v>2008.7163</v>
      </c>
      <c r="P89" s="17">
        <v>2029.6768</v>
      </c>
      <c r="Q89" s="17">
        <v>2050.6373000000003</v>
      </c>
      <c r="R89" s="17">
        <v>2071.5978</v>
      </c>
      <c r="S89" s="17">
        <v>2092.5686000000001</v>
      </c>
      <c r="T89" s="17">
        <v>2113.5290999999997</v>
      </c>
      <c r="U89" s="17">
        <v>2134.4896000000003</v>
      </c>
      <c r="V89" s="17">
        <v>2155.4501</v>
      </c>
      <c r="W89" s="17">
        <v>2176.4106000000002</v>
      </c>
      <c r="X89" s="17">
        <v>2197.3814000000002</v>
      </c>
      <c r="Y89" s="17">
        <v>2218.3418999999999</v>
      </c>
      <c r="Z89" s="17">
        <v>2239.3024</v>
      </c>
      <c r="AA89" s="17">
        <v>2260.2628999999997</v>
      </c>
      <c r="AB89" s="17">
        <v>2281.2234000000003</v>
      </c>
      <c r="AC89" s="17">
        <v>2302.1941999999999</v>
      </c>
      <c r="AD89" s="17">
        <v>2323.1547</v>
      </c>
      <c r="AE89" s="17">
        <v>2344.1152000000002</v>
      </c>
      <c r="AF89" s="17">
        <v>2365.0757000000003</v>
      </c>
      <c r="AG89" s="17">
        <v>2386.0362</v>
      </c>
      <c r="AH89" s="17">
        <v>2407.0070000000001</v>
      </c>
      <c r="AI89" s="17">
        <v>2427.9675000000002</v>
      </c>
      <c r="AJ89" s="17">
        <v>2448.9279999999999</v>
      </c>
      <c r="AK89" s="17">
        <v>2469.8885</v>
      </c>
      <c r="AL89" s="17">
        <v>2490.8490000000002</v>
      </c>
      <c r="AM89" s="17">
        <v>2511.8197999999998</v>
      </c>
      <c r="AN89" s="17">
        <v>2532.7803000000004</v>
      </c>
      <c r="AO89" s="17">
        <v>2553.7408</v>
      </c>
      <c r="AP89" s="17">
        <v>2574.7013000000002</v>
      </c>
      <c r="AQ89" s="17">
        <v>2595.6617999999999</v>
      </c>
      <c r="AR89" s="17">
        <v>2616.6326000000004</v>
      </c>
      <c r="AS89" s="17">
        <v>2637.5931</v>
      </c>
      <c r="AT89" s="17">
        <v>2658.5535999999997</v>
      </c>
      <c r="AU89" s="17">
        <v>2679.5140999999999</v>
      </c>
      <c r="AV89" s="17">
        <v>2700.4746000000005</v>
      </c>
      <c r="AW89" s="17">
        <v>2721.4454000000001</v>
      </c>
      <c r="AX89" s="17">
        <v>2742.4059000000002</v>
      </c>
      <c r="AY89" s="17">
        <v>2763.3664000000003</v>
      </c>
      <c r="AZ89" s="17">
        <v>2784.3269</v>
      </c>
      <c r="BA89" s="17">
        <f t="shared" ref="BA89:BK89" si="81">ROUND(AZ89+$K89,2)</f>
        <v>2805.29</v>
      </c>
      <c r="BB89" s="17">
        <f t="shared" si="81"/>
        <v>2826.25</v>
      </c>
      <c r="BC89" s="17">
        <f t="shared" si="81"/>
        <v>2847.21</v>
      </c>
      <c r="BD89" s="17">
        <f t="shared" si="81"/>
        <v>2868.17</v>
      </c>
      <c r="BE89" s="17">
        <f t="shared" si="81"/>
        <v>2889.13</v>
      </c>
      <c r="BF89" s="17">
        <f t="shared" si="81"/>
        <v>2910.09</v>
      </c>
      <c r="BG89" s="17">
        <f t="shared" si="81"/>
        <v>2931.05</v>
      </c>
      <c r="BH89" s="17">
        <f t="shared" si="81"/>
        <v>2952.01</v>
      </c>
      <c r="BI89" s="17">
        <f t="shared" si="81"/>
        <v>2972.97</v>
      </c>
      <c r="BJ89" s="17">
        <f t="shared" si="81"/>
        <v>2993.93</v>
      </c>
      <c r="BK89" s="17">
        <f t="shared" si="81"/>
        <v>3014.89</v>
      </c>
    </row>
    <row r="90" spans="1:63" s="18" customFormat="1" hidden="1">
      <c r="A90" s="14" t="s">
        <v>137</v>
      </c>
      <c r="B90" s="54"/>
      <c r="C90" s="14" t="s">
        <v>124</v>
      </c>
      <c r="D90" s="14" t="s">
        <v>134</v>
      </c>
      <c r="E90" s="14" t="s">
        <v>39</v>
      </c>
      <c r="F90" s="14" t="s">
        <v>23</v>
      </c>
      <c r="H90" s="284" t="s">
        <v>135</v>
      </c>
      <c r="I90" s="15">
        <v>6.4</v>
      </c>
      <c r="J90" s="18">
        <v>17.8</v>
      </c>
      <c r="K90" s="17">
        <f t="shared" si="2"/>
        <v>16.640000000000327</v>
      </c>
      <c r="L90" s="17">
        <v>1594.37</v>
      </c>
      <c r="M90" s="17">
        <v>1611.01</v>
      </c>
      <c r="N90" s="17">
        <v>1627.65</v>
      </c>
      <c r="O90" s="17">
        <v>1644.29</v>
      </c>
      <c r="P90" s="17">
        <v>1660.93</v>
      </c>
      <c r="Q90" s="17">
        <v>1677.57</v>
      </c>
      <c r="R90" s="17">
        <v>1694.21</v>
      </c>
      <c r="S90" s="17">
        <v>1710.85</v>
      </c>
      <c r="T90" s="17">
        <v>1727.49</v>
      </c>
      <c r="U90" s="17">
        <v>1744.13</v>
      </c>
      <c r="V90" s="17">
        <v>1760.77</v>
      </c>
      <c r="W90" s="17">
        <v>1777.41</v>
      </c>
      <c r="X90" s="17">
        <v>1794.05</v>
      </c>
      <c r="Y90" s="17">
        <v>1810.69</v>
      </c>
      <c r="Z90" s="17">
        <v>1827.33</v>
      </c>
      <c r="AA90" s="17">
        <v>1843.97</v>
      </c>
      <c r="AB90" s="17">
        <v>1860.61</v>
      </c>
      <c r="AC90" s="17">
        <v>1877.25</v>
      </c>
      <c r="AD90" s="17">
        <v>1893.89</v>
      </c>
      <c r="AE90" s="17">
        <v>1910.53</v>
      </c>
      <c r="AF90" s="17">
        <v>1927.17</v>
      </c>
      <c r="AG90" s="17">
        <v>1943.81</v>
      </c>
      <c r="AH90" s="17">
        <v>1960.45</v>
      </c>
      <c r="AI90" s="17">
        <v>1977.09</v>
      </c>
      <c r="AJ90" s="17">
        <v>1993.73</v>
      </c>
      <c r="AK90" s="17">
        <v>2010.37</v>
      </c>
      <c r="AL90" s="17">
        <v>2027.01</v>
      </c>
      <c r="AM90" s="17">
        <v>2043.65</v>
      </c>
      <c r="AN90" s="17">
        <v>2060.29</v>
      </c>
      <c r="AO90" s="17">
        <v>2076.9299999999998</v>
      </c>
      <c r="AP90" s="17">
        <v>2093.5700000000002</v>
      </c>
      <c r="AQ90" s="17">
        <v>2110.21</v>
      </c>
      <c r="AR90" s="17">
        <v>2126.85</v>
      </c>
      <c r="AS90" s="17">
        <v>2143.4899999999998</v>
      </c>
      <c r="AT90" s="17">
        <v>2160.13</v>
      </c>
      <c r="AU90" s="17">
        <v>2176.77</v>
      </c>
      <c r="AV90" s="17">
        <v>2193.41</v>
      </c>
      <c r="AW90" s="17">
        <v>2210.0500000000002</v>
      </c>
      <c r="AX90" s="17">
        <v>2226.69</v>
      </c>
      <c r="AY90" s="17">
        <v>2243.33</v>
      </c>
      <c r="AZ90" s="17">
        <v>2259.9699999999998</v>
      </c>
      <c r="BA90" s="17">
        <f t="shared" ref="BA90:BK90" si="82">ROUND(AZ90+$K90,2)</f>
        <v>2276.61</v>
      </c>
      <c r="BB90" s="17">
        <f t="shared" si="82"/>
        <v>2293.25</v>
      </c>
      <c r="BC90" s="17">
        <f t="shared" si="82"/>
        <v>2309.89</v>
      </c>
      <c r="BD90" s="17">
        <f t="shared" si="82"/>
        <v>2326.5300000000002</v>
      </c>
      <c r="BE90" s="17">
        <f t="shared" si="82"/>
        <v>2343.17</v>
      </c>
      <c r="BF90" s="17">
        <f t="shared" si="82"/>
        <v>2359.81</v>
      </c>
      <c r="BG90" s="17">
        <f t="shared" si="82"/>
        <v>2376.4499999999998</v>
      </c>
      <c r="BH90" s="17">
        <f t="shared" si="82"/>
        <v>2393.09</v>
      </c>
      <c r="BI90" s="17">
        <f t="shared" si="82"/>
        <v>2409.73</v>
      </c>
      <c r="BJ90" s="17">
        <f t="shared" si="82"/>
        <v>2426.37</v>
      </c>
      <c r="BK90" s="17">
        <f t="shared" si="82"/>
        <v>2443.0100000000002</v>
      </c>
    </row>
    <row r="91" spans="1:63" s="18" customFormat="1" hidden="1">
      <c r="A91" s="14" t="s">
        <v>133</v>
      </c>
      <c r="B91" s="54">
        <v>23</v>
      </c>
      <c r="C91" s="14" t="s">
        <v>124</v>
      </c>
      <c r="D91" s="14" t="s">
        <v>77</v>
      </c>
      <c r="E91" s="14" t="s">
        <v>106</v>
      </c>
      <c r="F91" s="14" t="s">
        <v>23</v>
      </c>
      <c r="H91" s="284" t="s">
        <v>136</v>
      </c>
      <c r="I91" s="15">
        <v>6.4</v>
      </c>
      <c r="J91" s="18">
        <v>17.8</v>
      </c>
      <c r="K91" s="17">
        <f t="shared" si="2"/>
        <v>17.150000000000091</v>
      </c>
      <c r="L91" s="17">
        <v>1643.65</v>
      </c>
      <c r="M91" s="17">
        <v>1660.8</v>
      </c>
      <c r="N91" s="17">
        <v>1677.95</v>
      </c>
      <c r="O91" s="17">
        <v>1695.1</v>
      </c>
      <c r="P91" s="17">
        <v>1712.26</v>
      </c>
      <c r="Q91" s="17">
        <v>1729.41</v>
      </c>
      <c r="R91" s="17">
        <v>1746.56</v>
      </c>
      <c r="S91" s="17">
        <v>1763.71</v>
      </c>
      <c r="T91" s="17">
        <v>1780.86</v>
      </c>
      <c r="U91" s="17">
        <v>1798.02</v>
      </c>
      <c r="V91" s="17">
        <v>1815.17</v>
      </c>
      <c r="W91" s="17">
        <v>1832.32</v>
      </c>
      <c r="X91" s="17">
        <v>1849.47</v>
      </c>
      <c r="Y91" s="17">
        <v>1866.62</v>
      </c>
      <c r="Z91" s="17">
        <v>1883.78</v>
      </c>
      <c r="AA91" s="17">
        <v>1900.93</v>
      </c>
      <c r="AB91" s="17">
        <v>1918.08</v>
      </c>
      <c r="AC91" s="17">
        <v>1935.23</v>
      </c>
      <c r="AD91" s="17">
        <v>1952.38</v>
      </c>
      <c r="AE91" s="17">
        <v>1969.54</v>
      </c>
      <c r="AF91" s="17">
        <v>1986.69</v>
      </c>
      <c r="AG91" s="17">
        <v>2003.84</v>
      </c>
      <c r="AH91" s="17">
        <v>2020.99</v>
      </c>
      <c r="AI91" s="17">
        <v>2038.14</v>
      </c>
      <c r="AJ91" s="17">
        <v>2055.3000000000002</v>
      </c>
      <c r="AK91" s="17">
        <v>2072.4499999999998</v>
      </c>
      <c r="AL91" s="17">
        <v>2089.6</v>
      </c>
      <c r="AM91" s="17">
        <v>2106.75</v>
      </c>
      <c r="AN91" s="17">
        <v>2123.9</v>
      </c>
      <c r="AO91" s="17">
        <v>2141.06</v>
      </c>
      <c r="AP91" s="17">
        <v>2158.21</v>
      </c>
      <c r="AQ91" s="17">
        <v>2175.36</v>
      </c>
      <c r="AR91" s="17">
        <v>2192.5100000000002</v>
      </c>
      <c r="AS91" s="17">
        <v>2209.66</v>
      </c>
      <c r="AT91" s="17">
        <v>2226.8200000000002</v>
      </c>
      <c r="AU91" s="17">
        <v>2243.9699999999998</v>
      </c>
      <c r="AV91" s="17">
        <v>2261.12</v>
      </c>
      <c r="AW91" s="17">
        <v>2278.27</v>
      </c>
      <c r="AX91" s="17">
        <v>2295.42</v>
      </c>
      <c r="AY91" s="17">
        <v>2312.58</v>
      </c>
      <c r="AZ91" s="17">
        <v>2329.73</v>
      </c>
      <c r="BA91" s="17">
        <f t="shared" ref="BA91:BK91" si="83">ROUND(AZ91+$K91,2)</f>
        <v>2346.88</v>
      </c>
      <c r="BB91" s="17">
        <f t="shared" si="83"/>
        <v>2364.0300000000002</v>
      </c>
      <c r="BC91" s="17">
        <f t="shared" si="83"/>
        <v>2381.1799999999998</v>
      </c>
      <c r="BD91" s="17">
        <f t="shared" si="83"/>
        <v>2398.33</v>
      </c>
      <c r="BE91" s="17">
        <f t="shared" si="83"/>
        <v>2415.48</v>
      </c>
      <c r="BF91" s="17">
        <f t="shared" si="83"/>
        <v>2432.63</v>
      </c>
      <c r="BG91" s="17">
        <f t="shared" si="83"/>
        <v>2449.7800000000002</v>
      </c>
      <c r="BH91" s="17">
        <f t="shared" si="83"/>
        <v>2466.9299999999998</v>
      </c>
      <c r="BI91" s="17">
        <f t="shared" si="83"/>
        <v>2484.08</v>
      </c>
      <c r="BJ91" s="17">
        <f t="shared" si="83"/>
        <v>2501.23</v>
      </c>
      <c r="BK91" s="17">
        <f t="shared" si="83"/>
        <v>2518.38</v>
      </c>
    </row>
    <row r="92" spans="1:63" s="18" customFormat="1" hidden="1">
      <c r="A92" s="14" t="s">
        <v>137</v>
      </c>
      <c r="B92" s="54"/>
      <c r="C92" s="14" t="s">
        <v>124</v>
      </c>
      <c r="D92" s="14" t="s">
        <v>77</v>
      </c>
      <c r="E92" s="14" t="s">
        <v>22</v>
      </c>
      <c r="F92" s="14" t="s">
        <v>23</v>
      </c>
      <c r="H92" s="284" t="s">
        <v>138</v>
      </c>
      <c r="I92" s="15">
        <v>6.4</v>
      </c>
      <c r="J92" s="18">
        <v>17.8</v>
      </c>
      <c r="K92" s="17">
        <f t="shared" si="2"/>
        <v>17.730000000000018</v>
      </c>
      <c r="L92" s="17">
        <v>1692.93</v>
      </c>
      <c r="M92" s="17">
        <v>1710.66</v>
      </c>
      <c r="N92" s="17">
        <v>1728.38</v>
      </c>
      <c r="O92" s="17">
        <v>1746.11</v>
      </c>
      <c r="P92" s="17">
        <v>1763.84</v>
      </c>
      <c r="Q92" s="17">
        <v>1781.57</v>
      </c>
      <c r="R92" s="17">
        <v>1799.3</v>
      </c>
      <c r="S92" s="17">
        <v>1817.02</v>
      </c>
      <c r="T92" s="17">
        <v>1834.75</v>
      </c>
      <c r="U92" s="17">
        <v>1852.48</v>
      </c>
      <c r="V92" s="17">
        <v>1870.21</v>
      </c>
      <c r="W92" s="17">
        <v>1887.94</v>
      </c>
      <c r="X92" s="17">
        <v>1905.66</v>
      </c>
      <c r="Y92" s="17">
        <v>1923.39</v>
      </c>
      <c r="Z92" s="17">
        <v>1941.12</v>
      </c>
      <c r="AA92" s="17">
        <v>1958.85</v>
      </c>
      <c r="AB92" s="17">
        <v>1976.58</v>
      </c>
      <c r="AC92" s="17">
        <v>1994.3</v>
      </c>
      <c r="AD92" s="17">
        <v>2012.03</v>
      </c>
      <c r="AE92" s="17">
        <v>2029.76</v>
      </c>
      <c r="AF92" s="17">
        <v>2047.49</v>
      </c>
      <c r="AG92" s="17">
        <v>2065.2199999999998</v>
      </c>
      <c r="AH92" s="17">
        <v>2082.94</v>
      </c>
      <c r="AI92" s="17">
        <v>2100.67</v>
      </c>
      <c r="AJ92" s="17">
        <v>2118.4</v>
      </c>
      <c r="AK92" s="17">
        <v>2136.13</v>
      </c>
      <c r="AL92" s="17">
        <v>2153.86</v>
      </c>
      <c r="AM92" s="17">
        <v>2171.58</v>
      </c>
      <c r="AN92" s="17">
        <v>2189.31</v>
      </c>
      <c r="AO92" s="17">
        <v>2207.04</v>
      </c>
      <c r="AP92" s="17">
        <v>2224.77</v>
      </c>
      <c r="AQ92" s="17">
        <v>2242.5</v>
      </c>
      <c r="AR92" s="17">
        <v>2260.2199999999998</v>
      </c>
      <c r="AS92" s="17">
        <v>2277.9499999999998</v>
      </c>
      <c r="AT92" s="17">
        <v>2295.6799999999998</v>
      </c>
      <c r="AU92" s="17">
        <v>2313.41</v>
      </c>
      <c r="AV92" s="17">
        <v>2331.14</v>
      </c>
      <c r="AW92" s="17">
        <v>2348.86</v>
      </c>
      <c r="AX92" s="17">
        <v>2366.59</v>
      </c>
      <c r="AY92" s="17">
        <v>2384.3200000000002</v>
      </c>
      <c r="AZ92" s="17">
        <v>2402.0500000000002</v>
      </c>
      <c r="BA92" s="17">
        <f t="shared" ref="BA92:BK92" si="84">ROUND(AZ92+$K92,2)</f>
        <v>2419.7800000000002</v>
      </c>
      <c r="BB92" s="17">
        <f t="shared" si="84"/>
        <v>2437.5100000000002</v>
      </c>
      <c r="BC92" s="17">
        <f t="shared" si="84"/>
        <v>2455.2399999999998</v>
      </c>
      <c r="BD92" s="17">
        <f t="shared" si="84"/>
        <v>2472.9699999999998</v>
      </c>
      <c r="BE92" s="17">
        <f t="shared" si="84"/>
        <v>2490.6999999999998</v>
      </c>
      <c r="BF92" s="17">
        <f t="shared" si="84"/>
        <v>2508.4299999999998</v>
      </c>
      <c r="BG92" s="17">
        <f t="shared" si="84"/>
        <v>2526.16</v>
      </c>
      <c r="BH92" s="17">
        <f t="shared" si="84"/>
        <v>2543.89</v>
      </c>
      <c r="BI92" s="17">
        <f t="shared" si="84"/>
        <v>2561.62</v>
      </c>
      <c r="BJ92" s="17">
        <f t="shared" si="84"/>
        <v>2579.35</v>
      </c>
      <c r="BK92" s="17">
        <f t="shared" si="84"/>
        <v>2597.08</v>
      </c>
    </row>
    <row r="93" spans="1:63" s="18" customFormat="1" hidden="1">
      <c r="A93" s="14" t="s">
        <v>139</v>
      </c>
      <c r="B93" s="54"/>
      <c r="C93" s="14" t="s">
        <v>124</v>
      </c>
      <c r="D93" s="14" t="s">
        <v>77</v>
      </c>
      <c r="E93" s="14" t="s">
        <v>39</v>
      </c>
      <c r="F93" s="14" t="s">
        <v>23</v>
      </c>
      <c r="H93" s="284" t="s">
        <v>140</v>
      </c>
      <c r="I93" s="15">
        <v>6.4</v>
      </c>
      <c r="J93" s="18">
        <v>35.6</v>
      </c>
      <c r="K93" s="17">
        <f t="shared" si="2"/>
        <v>34.819999999999709</v>
      </c>
      <c r="L93" s="17">
        <v>3284.42</v>
      </c>
      <c r="M93" s="17">
        <v>3319.23</v>
      </c>
      <c r="N93" s="17">
        <v>3354.05</v>
      </c>
      <c r="O93" s="17">
        <v>3388.86</v>
      </c>
      <c r="P93" s="17">
        <v>3423.68</v>
      </c>
      <c r="Q93" s="17">
        <v>3458.5</v>
      </c>
      <c r="R93" s="17">
        <v>3493.31</v>
      </c>
      <c r="S93" s="17">
        <v>3528.13</v>
      </c>
      <c r="T93" s="17">
        <v>3562.94</v>
      </c>
      <c r="U93" s="17">
        <v>3597.76</v>
      </c>
      <c r="V93" s="17">
        <v>3632.58</v>
      </c>
      <c r="W93" s="17">
        <v>3667.39</v>
      </c>
      <c r="X93" s="17">
        <v>3702.21</v>
      </c>
      <c r="Y93" s="17">
        <v>3737.02</v>
      </c>
      <c r="Z93" s="17">
        <v>3771.84</v>
      </c>
      <c r="AA93" s="17">
        <v>3806.66</v>
      </c>
      <c r="AB93" s="17">
        <v>3841.47</v>
      </c>
      <c r="AC93" s="17">
        <v>3876.29</v>
      </c>
      <c r="AD93" s="17">
        <v>3911.1</v>
      </c>
      <c r="AE93" s="17">
        <v>3945.92</v>
      </c>
      <c r="AF93" s="17">
        <v>3980.74</v>
      </c>
      <c r="AG93" s="17">
        <v>4015.55</v>
      </c>
      <c r="AH93" s="17">
        <v>4050.37</v>
      </c>
      <c r="AI93" s="17">
        <v>4085.18</v>
      </c>
      <c r="AJ93" s="17">
        <v>4120</v>
      </c>
      <c r="AK93" s="17">
        <v>4154.82</v>
      </c>
      <c r="AL93" s="17">
        <v>4189.63</v>
      </c>
      <c r="AM93" s="17">
        <v>4224.45</v>
      </c>
      <c r="AN93" s="17">
        <v>4259.26</v>
      </c>
      <c r="AO93" s="17">
        <v>4294.08</v>
      </c>
      <c r="AP93" s="17">
        <v>4328.8999999999996</v>
      </c>
      <c r="AQ93" s="17">
        <v>4363.71</v>
      </c>
      <c r="AR93" s="17">
        <v>4398.53</v>
      </c>
      <c r="AS93" s="17">
        <v>4433.34</v>
      </c>
      <c r="AT93" s="17">
        <v>4468.16</v>
      </c>
      <c r="AU93" s="17">
        <v>4502.9799999999996</v>
      </c>
      <c r="AV93" s="17">
        <v>4537.79</v>
      </c>
      <c r="AW93" s="17">
        <v>4572.6099999999997</v>
      </c>
      <c r="AX93" s="17">
        <v>4607.42</v>
      </c>
      <c r="AY93" s="17">
        <v>4642.24</v>
      </c>
      <c r="AZ93" s="17">
        <v>4677.0600000000004</v>
      </c>
      <c r="BA93" s="17">
        <f t="shared" ref="BA93:BK93" si="85">ROUND(AZ93+$K93,2)</f>
        <v>4711.88</v>
      </c>
      <c r="BB93" s="17">
        <f t="shared" si="85"/>
        <v>4746.7</v>
      </c>
      <c r="BC93" s="17">
        <f t="shared" si="85"/>
        <v>4781.5200000000004</v>
      </c>
      <c r="BD93" s="17">
        <f t="shared" si="85"/>
        <v>4816.34</v>
      </c>
      <c r="BE93" s="17">
        <f t="shared" si="85"/>
        <v>4851.16</v>
      </c>
      <c r="BF93" s="17">
        <f t="shared" si="85"/>
        <v>4885.9799999999996</v>
      </c>
      <c r="BG93" s="17">
        <f t="shared" si="85"/>
        <v>4920.8</v>
      </c>
      <c r="BH93" s="17">
        <f t="shared" si="85"/>
        <v>4955.62</v>
      </c>
      <c r="BI93" s="17">
        <f t="shared" si="85"/>
        <v>4990.4399999999996</v>
      </c>
      <c r="BJ93" s="17">
        <f t="shared" si="85"/>
        <v>5025.26</v>
      </c>
      <c r="BK93" s="17">
        <f t="shared" si="85"/>
        <v>5060.08</v>
      </c>
    </row>
    <row r="94" spans="1:63" s="18" customFormat="1" hidden="1">
      <c r="A94" s="14" t="s">
        <v>139</v>
      </c>
      <c r="B94" s="54"/>
      <c r="C94" s="14" t="s">
        <v>124</v>
      </c>
      <c r="D94" s="14" t="s">
        <v>77</v>
      </c>
      <c r="E94" s="14" t="s">
        <v>25</v>
      </c>
      <c r="F94" s="14" t="s">
        <v>23</v>
      </c>
      <c r="H94" s="284"/>
      <c r="I94" s="15">
        <v>6.4</v>
      </c>
      <c r="J94" s="18">
        <v>35.6</v>
      </c>
      <c r="K94" s="17">
        <f t="shared" si="2"/>
        <v>34.819999999999709</v>
      </c>
      <c r="L94" s="17">
        <v>3385.92</v>
      </c>
      <c r="M94" s="17">
        <v>3420.74</v>
      </c>
      <c r="N94" s="17">
        <v>3455.55</v>
      </c>
      <c r="O94" s="17">
        <v>3490.37</v>
      </c>
      <c r="P94" s="17">
        <v>3525.18</v>
      </c>
      <c r="Q94" s="17">
        <v>3560</v>
      </c>
      <c r="R94" s="17">
        <v>3594.82</v>
      </c>
      <c r="S94" s="17">
        <v>3629.63</v>
      </c>
      <c r="T94" s="17">
        <v>3664.45</v>
      </c>
      <c r="U94" s="17">
        <v>3699.26</v>
      </c>
      <c r="V94" s="17">
        <v>3734.08</v>
      </c>
      <c r="W94" s="17">
        <v>3768.9</v>
      </c>
      <c r="X94" s="17">
        <v>3803.71</v>
      </c>
      <c r="Y94" s="17">
        <v>3838.53</v>
      </c>
      <c r="Z94" s="17">
        <v>3873.34</v>
      </c>
      <c r="AA94" s="17">
        <v>3908.16</v>
      </c>
      <c r="AB94" s="17">
        <v>3942.98</v>
      </c>
      <c r="AC94" s="17">
        <v>3977.79</v>
      </c>
      <c r="AD94" s="17">
        <v>4012.61</v>
      </c>
      <c r="AE94" s="17">
        <v>4047.42</v>
      </c>
      <c r="AF94" s="17">
        <v>4082.24</v>
      </c>
      <c r="AG94" s="17">
        <v>4117.0600000000004</v>
      </c>
      <c r="AH94" s="17">
        <v>4151.87</v>
      </c>
      <c r="AI94" s="17">
        <v>4186.6899999999996</v>
      </c>
      <c r="AJ94" s="17">
        <v>4221.5</v>
      </c>
      <c r="AK94" s="17">
        <v>4256.32</v>
      </c>
      <c r="AL94" s="17">
        <v>4291.1400000000003</v>
      </c>
      <c r="AM94" s="17">
        <v>4325.95</v>
      </c>
      <c r="AN94" s="17">
        <v>4360.7700000000004</v>
      </c>
      <c r="AO94" s="17">
        <v>4395.58</v>
      </c>
      <c r="AP94" s="17">
        <v>4430.3999999999996</v>
      </c>
      <c r="AQ94" s="17">
        <v>4465.22</v>
      </c>
      <c r="AR94" s="17">
        <v>4500.03</v>
      </c>
      <c r="AS94" s="17">
        <v>4534.8500000000004</v>
      </c>
      <c r="AT94" s="17">
        <v>4569.66</v>
      </c>
      <c r="AU94" s="17">
        <v>4604.4799999999996</v>
      </c>
      <c r="AV94" s="17">
        <v>4639.3</v>
      </c>
      <c r="AW94" s="17">
        <v>4674.1099999999997</v>
      </c>
      <c r="AX94" s="17">
        <v>4708.93</v>
      </c>
      <c r="AY94" s="17">
        <v>4743.74</v>
      </c>
      <c r="AZ94" s="17">
        <v>4778.5600000000004</v>
      </c>
      <c r="BA94" s="17">
        <f t="shared" ref="BA94:BK94" si="86">ROUND(AZ94+$K94,2)</f>
        <v>4813.38</v>
      </c>
      <c r="BB94" s="17">
        <f t="shared" si="86"/>
        <v>4848.2</v>
      </c>
      <c r="BC94" s="17">
        <f t="shared" si="86"/>
        <v>4883.0200000000004</v>
      </c>
      <c r="BD94" s="17">
        <f t="shared" si="86"/>
        <v>4917.84</v>
      </c>
      <c r="BE94" s="17">
        <f t="shared" si="86"/>
        <v>4952.66</v>
      </c>
      <c r="BF94" s="17">
        <f t="shared" si="86"/>
        <v>4987.4799999999996</v>
      </c>
      <c r="BG94" s="17">
        <f t="shared" si="86"/>
        <v>5022.3</v>
      </c>
      <c r="BH94" s="17">
        <f t="shared" si="86"/>
        <v>5057.12</v>
      </c>
      <c r="BI94" s="17">
        <f t="shared" si="86"/>
        <v>5091.9399999999996</v>
      </c>
      <c r="BJ94" s="17">
        <f t="shared" si="86"/>
        <v>5126.76</v>
      </c>
      <c r="BK94" s="17">
        <f t="shared" si="86"/>
        <v>5161.58</v>
      </c>
    </row>
    <row r="95" spans="1:63" s="18" customFormat="1" hidden="1">
      <c r="A95" s="24" t="s">
        <v>141</v>
      </c>
      <c r="B95" s="244"/>
      <c r="C95" s="24" t="s">
        <v>103</v>
      </c>
      <c r="D95" s="24" t="s">
        <v>142</v>
      </c>
      <c r="E95" s="24" t="s">
        <v>25</v>
      </c>
      <c r="F95" s="24" t="s">
        <v>57</v>
      </c>
      <c r="G95" s="335"/>
      <c r="H95" s="284"/>
      <c r="I95" s="15">
        <v>6.4</v>
      </c>
      <c r="J95" s="18">
        <v>32.799999999999997</v>
      </c>
      <c r="K95" s="17">
        <f t="shared" si="2"/>
        <v>40.449999999999818</v>
      </c>
      <c r="L95" s="17">
        <v>3364.1</v>
      </c>
      <c r="M95" s="17">
        <v>3404.54</v>
      </c>
      <c r="N95" s="17">
        <v>3444.99</v>
      </c>
      <c r="O95" s="17">
        <v>3485.44</v>
      </c>
      <c r="P95" s="17">
        <v>3525.89</v>
      </c>
      <c r="Q95" s="17">
        <v>3566.34</v>
      </c>
      <c r="R95" s="17">
        <v>3606.78</v>
      </c>
      <c r="S95" s="17">
        <v>3647.23</v>
      </c>
      <c r="T95" s="17">
        <v>3687.68</v>
      </c>
      <c r="U95" s="17">
        <v>3728.13</v>
      </c>
      <c r="V95" s="17">
        <v>3768.58</v>
      </c>
      <c r="W95" s="17">
        <v>3809.02</v>
      </c>
      <c r="X95" s="17">
        <v>3849.47</v>
      </c>
      <c r="Y95" s="17">
        <v>3889.92</v>
      </c>
      <c r="Z95" s="17">
        <v>3930.37</v>
      </c>
      <c r="AA95" s="17">
        <v>3970.82</v>
      </c>
      <c r="AB95" s="17">
        <v>4011.26</v>
      </c>
      <c r="AC95" s="17">
        <v>4051.71</v>
      </c>
      <c r="AD95" s="17">
        <v>4092.16</v>
      </c>
      <c r="AE95" s="17">
        <v>4132.6099999999997</v>
      </c>
      <c r="AF95" s="17">
        <v>4173.0600000000004</v>
      </c>
      <c r="AG95" s="17">
        <v>4213.5</v>
      </c>
      <c r="AH95" s="17">
        <v>4253.95</v>
      </c>
      <c r="AI95" s="17">
        <v>4294.3999999999996</v>
      </c>
      <c r="AJ95" s="17">
        <v>4334.8500000000004</v>
      </c>
      <c r="AK95" s="17">
        <v>4375.3</v>
      </c>
      <c r="AL95" s="17">
        <v>4415.74</v>
      </c>
      <c r="AM95" s="17">
        <v>4456.1899999999996</v>
      </c>
      <c r="AN95" s="17">
        <v>4496.6400000000003</v>
      </c>
      <c r="AO95" s="17">
        <v>4537.09</v>
      </c>
      <c r="AP95" s="17">
        <v>4577.54</v>
      </c>
      <c r="AQ95" s="17">
        <v>4617.9799999999996</v>
      </c>
      <c r="AR95" s="17">
        <v>4658.43</v>
      </c>
      <c r="AS95" s="17">
        <v>4698.88</v>
      </c>
      <c r="AT95" s="17">
        <v>4739.33</v>
      </c>
      <c r="AU95" s="17">
        <v>4779.78</v>
      </c>
      <c r="AV95" s="17">
        <v>4820.22</v>
      </c>
      <c r="AW95" s="17">
        <v>4860.67</v>
      </c>
      <c r="AX95" s="17">
        <v>4901.12</v>
      </c>
      <c r="AY95" s="17">
        <v>4941.57</v>
      </c>
      <c r="AZ95" s="17">
        <v>4982.0200000000004</v>
      </c>
      <c r="BA95" s="17">
        <f t="shared" ref="BA95:BK95" si="87">ROUND(AZ95+$K95,2)</f>
        <v>5022.47</v>
      </c>
      <c r="BB95" s="17">
        <f t="shared" si="87"/>
        <v>5062.92</v>
      </c>
      <c r="BC95" s="17">
        <f t="shared" si="87"/>
        <v>5103.37</v>
      </c>
      <c r="BD95" s="17">
        <f t="shared" si="87"/>
        <v>5143.82</v>
      </c>
      <c r="BE95" s="17">
        <f t="shared" si="87"/>
        <v>5184.2700000000004</v>
      </c>
      <c r="BF95" s="17">
        <f t="shared" si="87"/>
        <v>5224.72</v>
      </c>
      <c r="BG95" s="17">
        <f t="shared" si="87"/>
        <v>5265.17</v>
      </c>
      <c r="BH95" s="17">
        <f t="shared" si="87"/>
        <v>5305.62</v>
      </c>
      <c r="BI95" s="17">
        <f t="shared" si="87"/>
        <v>5346.07</v>
      </c>
      <c r="BJ95" s="17">
        <f t="shared" si="87"/>
        <v>5386.52</v>
      </c>
      <c r="BK95" s="17">
        <f t="shared" si="87"/>
        <v>5426.97</v>
      </c>
    </row>
    <row r="96" spans="1:63" s="18" customFormat="1" hidden="1">
      <c r="A96" s="24" t="s">
        <v>143</v>
      </c>
      <c r="B96" s="244"/>
      <c r="C96" s="24" t="s">
        <v>103</v>
      </c>
      <c r="D96" s="24" t="s">
        <v>45</v>
      </c>
      <c r="E96" s="24" t="s">
        <v>39</v>
      </c>
      <c r="F96" s="24" t="s">
        <v>57</v>
      </c>
      <c r="G96" s="335"/>
      <c r="H96" s="284" t="s">
        <v>246</v>
      </c>
      <c r="I96" s="15">
        <v>6.4</v>
      </c>
      <c r="J96" s="18">
        <v>16.399999999999999</v>
      </c>
      <c r="K96" s="17">
        <f t="shared" si="2"/>
        <v>19.009999999999764</v>
      </c>
      <c r="L96" s="17">
        <v>1568.9</v>
      </c>
      <c r="M96" s="17">
        <v>1587.9</v>
      </c>
      <c r="N96" s="17">
        <v>1606.91</v>
      </c>
      <c r="O96" s="17">
        <v>1625.92</v>
      </c>
      <c r="P96" s="17">
        <v>1644.93</v>
      </c>
      <c r="Q96" s="17">
        <v>1663.94</v>
      </c>
      <c r="R96" s="17">
        <v>1682.94</v>
      </c>
      <c r="S96" s="17">
        <v>1701.95</v>
      </c>
      <c r="T96" s="17">
        <v>1720.96</v>
      </c>
      <c r="U96" s="17">
        <v>1739.97</v>
      </c>
      <c r="V96" s="17">
        <v>1758.98</v>
      </c>
      <c r="W96" s="17">
        <v>1777.98</v>
      </c>
      <c r="X96" s="17">
        <v>1796.99</v>
      </c>
      <c r="Y96" s="17">
        <v>1816</v>
      </c>
      <c r="Z96" s="17">
        <v>1835.01</v>
      </c>
      <c r="AA96" s="17">
        <v>1854.02</v>
      </c>
      <c r="AB96" s="17">
        <v>1873.02</v>
      </c>
      <c r="AC96" s="17">
        <v>1892.03</v>
      </c>
      <c r="AD96" s="17">
        <v>1911.04</v>
      </c>
      <c r="AE96" s="17">
        <v>1930.05</v>
      </c>
      <c r="AF96" s="17">
        <v>1949.06</v>
      </c>
      <c r="AG96" s="17">
        <v>1968.06</v>
      </c>
      <c r="AH96" s="17">
        <v>1987.07</v>
      </c>
      <c r="AI96" s="17">
        <v>2006.08</v>
      </c>
      <c r="AJ96" s="17">
        <v>2025.09</v>
      </c>
      <c r="AK96" s="17">
        <v>2044.1</v>
      </c>
      <c r="AL96" s="17">
        <v>2063.1</v>
      </c>
      <c r="AM96" s="17">
        <v>2082.11</v>
      </c>
      <c r="AN96" s="17">
        <v>2101.12</v>
      </c>
      <c r="AO96" s="17">
        <v>2120.13</v>
      </c>
      <c r="AP96" s="17">
        <v>2139.14</v>
      </c>
      <c r="AQ96" s="17">
        <v>2158.14</v>
      </c>
      <c r="AR96" s="17">
        <v>2177.15</v>
      </c>
      <c r="AS96" s="17">
        <v>2196.16</v>
      </c>
      <c r="AT96" s="17">
        <v>2215.17</v>
      </c>
      <c r="AU96" s="17">
        <v>2234.1799999999998</v>
      </c>
      <c r="AV96" s="17">
        <v>2253.1799999999998</v>
      </c>
      <c r="AW96" s="17">
        <v>2272.19</v>
      </c>
      <c r="AX96" s="17">
        <v>2291.1999999999998</v>
      </c>
      <c r="AY96" s="17">
        <v>2310.21</v>
      </c>
      <c r="AZ96" s="17">
        <v>2329.2199999999998</v>
      </c>
      <c r="BA96" s="17">
        <f t="shared" ref="BA96:BK96" si="88">ROUND(AZ96+$K96,2)</f>
        <v>2348.23</v>
      </c>
      <c r="BB96" s="17">
        <f t="shared" si="88"/>
        <v>2367.2399999999998</v>
      </c>
      <c r="BC96" s="17">
        <f t="shared" si="88"/>
        <v>2386.25</v>
      </c>
      <c r="BD96" s="17">
        <f t="shared" si="88"/>
        <v>2405.2600000000002</v>
      </c>
      <c r="BE96" s="17">
        <f t="shared" si="88"/>
        <v>2424.27</v>
      </c>
      <c r="BF96" s="17">
        <f t="shared" si="88"/>
        <v>2443.2800000000002</v>
      </c>
      <c r="BG96" s="17">
        <f t="shared" si="88"/>
        <v>2462.29</v>
      </c>
      <c r="BH96" s="17">
        <f t="shared" si="88"/>
        <v>2481.3000000000002</v>
      </c>
      <c r="BI96" s="17">
        <f t="shared" si="88"/>
        <v>2500.31</v>
      </c>
      <c r="BJ96" s="17">
        <f t="shared" si="88"/>
        <v>2519.3200000000002</v>
      </c>
      <c r="BK96" s="17">
        <f t="shared" si="88"/>
        <v>2538.33</v>
      </c>
    </row>
    <row r="97" spans="1:63" s="18" customFormat="1" hidden="1">
      <c r="A97" s="24" t="s">
        <v>144</v>
      </c>
      <c r="B97" s="244">
        <v>23</v>
      </c>
      <c r="C97" s="24" t="s">
        <v>103</v>
      </c>
      <c r="D97" s="24" t="s">
        <v>45</v>
      </c>
      <c r="E97" s="24" t="s">
        <v>25</v>
      </c>
      <c r="F97" s="24" t="s">
        <v>57</v>
      </c>
      <c r="G97" s="335"/>
      <c r="H97" s="284"/>
      <c r="I97" s="15">
        <v>6.4</v>
      </c>
      <c r="J97" s="18">
        <v>16.399999999999999</v>
      </c>
      <c r="K97" s="17">
        <f t="shared" ref="K97:K124" si="89">AP97-AO97</f>
        <v>19.070000000000164</v>
      </c>
      <c r="L97" s="17">
        <v>1617.34</v>
      </c>
      <c r="M97" s="17">
        <v>1636.42</v>
      </c>
      <c r="N97" s="17">
        <v>1655.49</v>
      </c>
      <c r="O97" s="17">
        <v>1674.56</v>
      </c>
      <c r="P97" s="17">
        <v>1693.63</v>
      </c>
      <c r="Q97" s="17">
        <v>1712.7</v>
      </c>
      <c r="R97" s="17">
        <v>1731.78</v>
      </c>
      <c r="S97" s="17">
        <v>1750.85</v>
      </c>
      <c r="T97" s="17">
        <v>1769.92</v>
      </c>
      <c r="U97" s="17">
        <v>1788.99</v>
      </c>
      <c r="V97" s="17">
        <v>1808.06</v>
      </c>
      <c r="W97" s="17">
        <v>1827.14</v>
      </c>
      <c r="X97" s="17">
        <v>1846.21</v>
      </c>
      <c r="Y97" s="17">
        <v>1865.28</v>
      </c>
      <c r="Z97" s="17">
        <v>1884.35</v>
      </c>
      <c r="AA97" s="17">
        <v>1903.42</v>
      </c>
      <c r="AB97" s="17">
        <v>1922.5</v>
      </c>
      <c r="AC97" s="17">
        <v>1941.57</v>
      </c>
      <c r="AD97" s="17">
        <v>1960.64</v>
      </c>
      <c r="AE97" s="17">
        <v>1979.71</v>
      </c>
      <c r="AF97" s="17">
        <v>1998.78</v>
      </c>
      <c r="AG97" s="17">
        <v>2017.86</v>
      </c>
      <c r="AH97" s="17">
        <v>2036.93</v>
      </c>
      <c r="AI97" s="17">
        <v>2056</v>
      </c>
      <c r="AJ97" s="17">
        <v>2075.0700000000002</v>
      </c>
      <c r="AK97" s="17">
        <v>2094.14</v>
      </c>
      <c r="AL97" s="17">
        <v>2113.2199999999998</v>
      </c>
      <c r="AM97" s="17">
        <v>2132.29</v>
      </c>
      <c r="AN97" s="17">
        <v>2151.36</v>
      </c>
      <c r="AO97" s="17">
        <v>2170.4299999999998</v>
      </c>
      <c r="AP97" s="17">
        <v>2189.5</v>
      </c>
      <c r="AQ97" s="17">
        <v>2208.58</v>
      </c>
      <c r="AR97" s="17">
        <v>2227.65</v>
      </c>
      <c r="AS97" s="17">
        <v>2246.7199999999998</v>
      </c>
      <c r="AT97" s="17">
        <v>2265.79</v>
      </c>
      <c r="AU97" s="17">
        <v>2284.86</v>
      </c>
      <c r="AV97" s="17">
        <v>2303.94</v>
      </c>
      <c r="AW97" s="17">
        <v>2323.0100000000002</v>
      </c>
      <c r="AX97" s="17">
        <v>2342.08</v>
      </c>
      <c r="AY97" s="17">
        <v>2361.15</v>
      </c>
      <c r="AZ97" s="17">
        <v>2380.2199999999998</v>
      </c>
      <c r="BA97" s="17">
        <f t="shared" ref="BA97:BK97" si="90">ROUND(AZ97+$K97,2)</f>
        <v>2399.29</v>
      </c>
      <c r="BB97" s="17">
        <f t="shared" si="90"/>
        <v>2418.36</v>
      </c>
      <c r="BC97" s="17">
        <f t="shared" si="90"/>
        <v>2437.4299999999998</v>
      </c>
      <c r="BD97" s="17">
        <f t="shared" si="90"/>
        <v>2456.5</v>
      </c>
      <c r="BE97" s="17">
        <f t="shared" si="90"/>
        <v>2475.5700000000002</v>
      </c>
      <c r="BF97" s="17">
        <f t="shared" si="90"/>
        <v>2494.64</v>
      </c>
      <c r="BG97" s="17">
        <f t="shared" si="90"/>
        <v>2513.71</v>
      </c>
      <c r="BH97" s="17">
        <f t="shared" si="90"/>
        <v>2532.7800000000002</v>
      </c>
      <c r="BI97" s="17">
        <f t="shared" si="90"/>
        <v>2551.85</v>
      </c>
      <c r="BJ97" s="17">
        <f t="shared" si="90"/>
        <v>2570.92</v>
      </c>
      <c r="BK97" s="17">
        <f t="shared" si="90"/>
        <v>2589.9899999999998</v>
      </c>
    </row>
    <row r="98" spans="1:63" s="18" customFormat="1" hidden="1">
      <c r="A98" s="14" t="s">
        <v>143</v>
      </c>
      <c r="B98" s="54"/>
      <c r="C98" s="14" t="s">
        <v>103</v>
      </c>
      <c r="D98" s="14" t="s">
        <v>45</v>
      </c>
      <c r="E98" s="14" t="s">
        <v>22</v>
      </c>
      <c r="F98" s="14" t="s">
        <v>57</v>
      </c>
      <c r="H98" s="110"/>
      <c r="I98" s="15">
        <v>6.4</v>
      </c>
      <c r="J98" s="18">
        <v>16.399999999999999</v>
      </c>
      <c r="K98" s="17">
        <f t="shared" si="89"/>
        <v>19.650000000000091</v>
      </c>
      <c r="L98" s="17">
        <v>1665.86</v>
      </c>
      <c r="M98" s="17">
        <v>1685.5</v>
      </c>
      <c r="N98" s="17">
        <v>1705.15</v>
      </c>
      <c r="O98" s="17">
        <v>1724.8</v>
      </c>
      <c r="P98" s="17">
        <v>1744.45</v>
      </c>
      <c r="Q98" s="17">
        <v>1764.1</v>
      </c>
      <c r="R98" s="17">
        <v>1783.74</v>
      </c>
      <c r="S98" s="17">
        <v>1803.39</v>
      </c>
      <c r="T98" s="17">
        <v>1823.04</v>
      </c>
      <c r="U98" s="17">
        <v>1842.69</v>
      </c>
      <c r="V98" s="17">
        <v>1862.34</v>
      </c>
      <c r="W98" s="17">
        <v>1881.92</v>
      </c>
      <c r="X98" s="17">
        <v>1901.57</v>
      </c>
      <c r="Y98" s="17">
        <v>1921.22</v>
      </c>
      <c r="Z98" s="17">
        <v>1940.86</v>
      </c>
      <c r="AA98" s="17">
        <v>1960.51</v>
      </c>
      <c r="AB98" s="17">
        <v>1980.16</v>
      </c>
      <c r="AC98" s="17">
        <v>1999.81</v>
      </c>
      <c r="AD98" s="17">
        <v>2019.46</v>
      </c>
      <c r="AE98" s="17">
        <v>2039.1</v>
      </c>
      <c r="AF98" s="17">
        <v>2058.75</v>
      </c>
      <c r="AG98" s="17">
        <v>2078.4</v>
      </c>
      <c r="AH98" s="17">
        <v>2098.0500000000002</v>
      </c>
      <c r="AI98" s="17">
        <v>2117.6999999999998</v>
      </c>
      <c r="AJ98" s="17">
        <v>2137.34</v>
      </c>
      <c r="AK98" s="17">
        <v>2156.9899999999998</v>
      </c>
      <c r="AL98" s="17">
        <v>2176.64</v>
      </c>
      <c r="AM98" s="17">
        <v>2196.29</v>
      </c>
      <c r="AN98" s="17">
        <v>2215.87</v>
      </c>
      <c r="AO98" s="17">
        <v>2235.52</v>
      </c>
      <c r="AP98" s="17">
        <v>2255.17</v>
      </c>
      <c r="AQ98" s="17">
        <v>2274.8200000000002</v>
      </c>
      <c r="AR98" s="17">
        <v>2294.46</v>
      </c>
      <c r="AS98" s="17">
        <v>2314.11</v>
      </c>
      <c r="AT98" s="17">
        <v>2333.7600000000002</v>
      </c>
      <c r="AU98" s="17">
        <v>2353.41</v>
      </c>
      <c r="AV98" s="17">
        <v>2373.06</v>
      </c>
      <c r="AW98" s="17">
        <v>2392.6999999999998</v>
      </c>
      <c r="AX98" s="17">
        <v>2412.35</v>
      </c>
      <c r="AY98" s="17">
        <v>2432</v>
      </c>
      <c r="AZ98" s="17">
        <v>2451.65</v>
      </c>
      <c r="BA98" s="17">
        <f t="shared" ref="BA98:BK98" si="91">ROUND(AZ98+$K98,2)</f>
        <v>2471.3000000000002</v>
      </c>
      <c r="BB98" s="17">
        <f t="shared" si="91"/>
        <v>2490.9499999999998</v>
      </c>
      <c r="BC98" s="17">
        <f t="shared" si="91"/>
        <v>2510.6</v>
      </c>
      <c r="BD98" s="17">
        <f t="shared" si="91"/>
        <v>2530.25</v>
      </c>
      <c r="BE98" s="17">
        <f t="shared" si="91"/>
        <v>2549.9</v>
      </c>
      <c r="BF98" s="17">
        <f t="shared" si="91"/>
        <v>2569.5500000000002</v>
      </c>
      <c r="BG98" s="17">
        <f t="shared" si="91"/>
        <v>2589.1999999999998</v>
      </c>
      <c r="BH98" s="17">
        <f t="shared" si="91"/>
        <v>2608.85</v>
      </c>
      <c r="BI98" s="17">
        <f t="shared" si="91"/>
        <v>2628.5</v>
      </c>
      <c r="BJ98" s="17">
        <f t="shared" si="91"/>
        <v>2648.15</v>
      </c>
      <c r="BK98" s="17">
        <f t="shared" si="91"/>
        <v>2667.8</v>
      </c>
    </row>
    <row r="99" spans="1:63" s="32" customFormat="1" ht="28" hidden="1">
      <c r="A99" s="333" t="s">
        <v>247</v>
      </c>
      <c r="B99" s="291"/>
      <c r="C99" s="30" t="s">
        <v>103</v>
      </c>
      <c r="D99" s="30" t="s">
        <v>45</v>
      </c>
      <c r="E99" s="30" t="s">
        <v>22</v>
      </c>
      <c r="F99" s="30" t="s">
        <v>57</v>
      </c>
      <c r="G99" s="337"/>
      <c r="H99" s="30"/>
      <c r="I99" s="31">
        <v>6.4</v>
      </c>
      <c r="J99" s="32">
        <v>16.399999999999999</v>
      </c>
      <c r="K99" s="17">
        <f t="shared" si="89"/>
        <v>20.230000000000018</v>
      </c>
      <c r="L99" s="17">
        <v>1715.84</v>
      </c>
      <c r="M99" s="17">
        <v>1736.06</v>
      </c>
      <c r="N99" s="17">
        <v>1756.29</v>
      </c>
      <c r="O99" s="17">
        <v>1776.58</v>
      </c>
      <c r="P99" s="17">
        <v>1796.8</v>
      </c>
      <c r="Q99" s="17">
        <v>1817.02</v>
      </c>
      <c r="R99" s="17">
        <v>1837.25</v>
      </c>
      <c r="S99" s="17">
        <v>1857.47</v>
      </c>
      <c r="T99" s="17">
        <v>1877.76</v>
      </c>
      <c r="U99" s="17">
        <v>1897.98</v>
      </c>
      <c r="V99" s="17">
        <v>1918.21</v>
      </c>
      <c r="W99" s="17">
        <v>1938.37</v>
      </c>
      <c r="X99" s="17">
        <v>1958.59</v>
      </c>
      <c r="Y99" s="17">
        <v>1978.88</v>
      </c>
      <c r="Z99" s="17">
        <v>1999.1</v>
      </c>
      <c r="AA99" s="17">
        <v>2019.33</v>
      </c>
      <c r="AB99" s="17">
        <v>2039.55</v>
      </c>
      <c r="AC99" s="17">
        <v>2059.7800000000002</v>
      </c>
      <c r="AD99" s="17">
        <v>2080.06</v>
      </c>
      <c r="AE99" s="17">
        <v>2100.29</v>
      </c>
      <c r="AF99" s="17">
        <v>2120.5100000000002</v>
      </c>
      <c r="AG99" s="17">
        <v>2140.7399999999998</v>
      </c>
      <c r="AH99" s="17">
        <v>2160.96</v>
      </c>
      <c r="AI99" s="17">
        <v>2181.25</v>
      </c>
      <c r="AJ99" s="17">
        <v>2201.4699999999998</v>
      </c>
      <c r="AK99" s="17">
        <v>2221.6999999999998</v>
      </c>
      <c r="AL99" s="17">
        <v>2241.92</v>
      </c>
      <c r="AM99" s="17">
        <v>2262.21</v>
      </c>
      <c r="AN99" s="17">
        <v>2282.37</v>
      </c>
      <c r="AO99" s="17">
        <v>2302.59</v>
      </c>
      <c r="AP99" s="17">
        <v>2322.8200000000002</v>
      </c>
      <c r="AQ99" s="17">
        <v>2343.04</v>
      </c>
      <c r="AR99" s="17">
        <v>2363.33</v>
      </c>
      <c r="AS99" s="17">
        <v>2383.5500000000002</v>
      </c>
      <c r="AT99" s="17">
        <v>2403.7800000000002</v>
      </c>
      <c r="AU99" s="17">
        <v>2424</v>
      </c>
      <c r="AV99" s="17">
        <v>2444.2199999999998</v>
      </c>
      <c r="AW99" s="17">
        <v>2464.5100000000002</v>
      </c>
      <c r="AX99" s="17">
        <v>2484.7399999999998</v>
      </c>
      <c r="AY99" s="17">
        <v>2504.96</v>
      </c>
      <c r="AZ99" s="17">
        <v>2525.1799999999998</v>
      </c>
      <c r="BA99" s="17">
        <f t="shared" ref="BA99:BK99" si="92">ROUND(AZ99+$K99,2)</f>
        <v>2545.41</v>
      </c>
      <c r="BB99" s="17">
        <f t="shared" si="92"/>
        <v>2565.64</v>
      </c>
      <c r="BC99" s="17">
        <f t="shared" si="92"/>
        <v>2585.87</v>
      </c>
      <c r="BD99" s="17">
        <f t="shared" si="92"/>
        <v>2606.1</v>
      </c>
      <c r="BE99" s="17">
        <f t="shared" si="92"/>
        <v>2626.33</v>
      </c>
      <c r="BF99" s="17">
        <f t="shared" si="92"/>
        <v>2646.56</v>
      </c>
      <c r="BG99" s="17">
        <f t="shared" si="92"/>
        <v>2666.79</v>
      </c>
      <c r="BH99" s="17">
        <f t="shared" si="92"/>
        <v>2687.02</v>
      </c>
      <c r="BI99" s="17">
        <f t="shared" si="92"/>
        <v>2707.25</v>
      </c>
      <c r="BJ99" s="17">
        <f t="shared" si="92"/>
        <v>2727.48</v>
      </c>
      <c r="BK99" s="17">
        <f t="shared" si="92"/>
        <v>2747.71</v>
      </c>
    </row>
    <row r="100" spans="1:63" s="18" customFormat="1" hidden="1">
      <c r="A100" s="167" t="s">
        <v>248</v>
      </c>
      <c r="B100" s="295"/>
      <c r="C100" s="167" t="s">
        <v>103</v>
      </c>
      <c r="D100" s="167" t="s">
        <v>45</v>
      </c>
      <c r="E100" s="167" t="s">
        <v>39</v>
      </c>
      <c r="F100" s="167" t="s">
        <v>57</v>
      </c>
      <c r="G100" s="169"/>
      <c r="H100" s="313"/>
      <c r="I100" s="168">
        <v>6.4</v>
      </c>
      <c r="J100" s="169">
        <v>16.399999999999999</v>
      </c>
      <c r="K100" s="166">
        <f t="shared" si="89"/>
        <v>18.490000000000009</v>
      </c>
      <c r="L100" s="166">
        <v>1467.71</v>
      </c>
      <c r="M100" s="166">
        <v>1486.21</v>
      </c>
      <c r="N100" s="166">
        <v>1504.7</v>
      </c>
      <c r="O100" s="166">
        <v>1523.2</v>
      </c>
      <c r="P100" s="166">
        <v>1541.7</v>
      </c>
      <c r="Q100" s="166">
        <v>1560.19</v>
      </c>
      <c r="R100" s="166">
        <v>1578.69</v>
      </c>
      <c r="S100" s="166">
        <v>1597.18</v>
      </c>
      <c r="T100" s="166">
        <v>1615.68</v>
      </c>
      <c r="U100" s="166">
        <v>1634.18</v>
      </c>
      <c r="V100" s="166">
        <v>1652.67</v>
      </c>
      <c r="W100" s="166">
        <v>1671.17</v>
      </c>
      <c r="X100" s="166">
        <v>1689.66</v>
      </c>
      <c r="Y100" s="166">
        <v>1708.16</v>
      </c>
      <c r="Z100" s="166">
        <v>1726.66</v>
      </c>
      <c r="AA100" s="166">
        <v>1745.15</v>
      </c>
      <c r="AB100" s="166">
        <v>1763.65</v>
      </c>
      <c r="AC100" s="166">
        <v>1782.14</v>
      </c>
      <c r="AD100" s="166">
        <v>1800.64</v>
      </c>
      <c r="AE100" s="166">
        <v>1819.14</v>
      </c>
      <c r="AF100" s="166">
        <v>1837.63</v>
      </c>
      <c r="AG100" s="166">
        <v>1856.13</v>
      </c>
      <c r="AH100" s="166">
        <v>1874.62</v>
      </c>
      <c r="AI100" s="166">
        <v>1893.12</v>
      </c>
      <c r="AJ100" s="166">
        <v>1911.62</v>
      </c>
      <c r="AK100" s="166">
        <v>1930.11</v>
      </c>
      <c r="AL100" s="166">
        <v>1948.61</v>
      </c>
      <c r="AM100" s="166">
        <v>1967.1</v>
      </c>
      <c r="AN100" s="166">
        <v>1985.6</v>
      </c>
      <c r="AO100" s="166">
        <v>2004.1</v>
      </c>
      <c r="AP100" s="166">
        <v>2022.59</v>
      </c>
      <c r="AQ100" s="166">
        <v>2041.09</v>
      </c>
      <c r="AR100" s="166">
        <v>2059.58</v>
      </c>
      <c r="AS100" s="166">
        <v>2078.08</v>
      </c>
      <c r="AT100" s="166">
        <v>2096.58</v>
      </c>
      <c r="AU100" s="166">
        <v>2115.0700000000002</v>
      </c>
      <c r="AV100" s="166">
        <v>2133.5700000000002</v>
      </c>
      <c r="AW100" s="166">
        <v>2152.06</v>
      </c>
      <c r="AX100" s="166">
        <v>2170.56</v>
      </c>
      <c r="AY100" s="166">
        <v>2189.06</v>
      </c>
      <c r="AZ100" s="166">
        <v>2207.5500000000002</v>
      </c>
      <c r="BA100" s="166">
        <f t="shared" ref="BA100:BK100" si="93">ROUND(AZ100+$K100,2)</f>
        <v>2226.04</v>
      </c>
      <c r="BB100" s="166">
        <f t="shared" si="93"/>
        <v>2244.5300000000002</v>
      </c>
      <c r="BC100" s="166">
        <f t="shared" si="93"/>
        <v>2263.02</v>
      </c>
      <c r="BD100" s="166">
        <f t="shared" si="93"/>
        <v>2281.5100000000002</v>
      </c>
      <c r="BE100" s="166">
        <f t="shared" si="93"/>
        <v>2300</v>
      </c>
      <c r="BF100" s="166">
        <f t="shared" si="93"/>
        <v>2318.4899999999998</v>
      </c>
      <c r="BG100" s="166">
        <f t="shared" si="93"/>
        <v>2336.98</v>
      </c>
      <c r="BH100" s="166">
        <f t="shared" si="93"/>
        <v>2355.4699999999998</v>
      </c>
      <c r="BI100" s="166">
        <f t="shared" si="93"/>
        <v>2373.96</v>
      </c>
      <c r="BJ100" s="166">
        <f t="shared" si="93"/>
        <v>2392.4499999999998</v>
      </c>
      <c r="BK100" s="166">
        <f t="shared" si="93"/>
        <v>2410.94</v>
      </c>
    </row>
    <row r="101" spans="1:63" s="18" customFormat="1" hidden="1">
      <c r="A101" s="167" t="s">
        <v>248</v>
      </c>
      <c r="B101" s="295"/>
      <c r="C101" s="167" t="s">
        <v>103</v>
      </c>
      <c r="D101" s="167" t="s">
        <v>45</v>
      </c>
      <c r="E101" s="167" t="s">
        <v>25</v>
      </c>
      <c r="F101" s="167" t="s">
        <v>57</v>
      </c>
      <c r="G101" s="169"/>
      <c r="H101" s="313"/>
      <c r="I101" s="168">
        <v>6.4</v>
      </c>
      <c r="J101" s="169">
        <v>16.399999999999999</v>
      </c>
      <c r="K101" s="166">
        <f t="shared" si="89"/>
        <v>18.5</v>
      </c>
      <c r="L101" s="166">
        <v>1552.58</v>
      </c>
      <c r="M101" s="166">
        <v>1571.07</v>
      </c>
      <c r="N101" s="166">
        <v>1589.57</v>
      </c>
      <c r="O101" s="166">
        <v>1608.06</v>
      </c>
      <c r="P101" s="166">
        <v>1626.56</v>
      </c>
      <c r="Q101" s="166">
        <v>1645.06</v>
      </c>
      <c r="R101" s="166">
        <v>1663.55</v>
      </c>
      <c r="S101" s="166">
        <v>1682.05</v>
      </c>
      <c r="T101" s="166">
        <v>1700.54</v>
      </c>
      <c r="U101" s="166">
        <v>1719.04</v>
      </c>
      <c r="V101" s="166">
        <v>1737.54</v>
      </c>
      <c r="W101" s="166">
        <v>1756.03</v>
      </c>
      <c r="X101" s="166">
        <v>1774.53</v>
      </c>
      <c r="Y101" s="166">
        <v>1793.02</v>
      </c>
      <c r="Z101" s="166">
        <v>1811.52</v>
      </c>
      <c r="AA101" s="166">
        <v>1830.02</v>
      </c>
      <c r="AB101" s="166">
        <v>1848.51</v>
      </c>
      <c r="AC101" s="166">
        <v>1867.01</v>
      </c>
      <c r="AD101" s="166">
        <v>1885.5</v>
      </c>
      <c r="AE101" s="166">
        <v>1904</v>
      </c>
      <c r="AF101" s="166">
        <v>1922.5</v>
      </c>
      <c r="AG101" s="166">
        <v>1940.99</v>
      </c>
      <c r="AH101" s="166">
        <v>1959.49</v>
      </c>
      <c r="AI101" s="166">
        <v>1977.98</v>
      </c>
      <c r="AJ101" s="166">
        <v>1996.48</v>
      </c>
      <c r="AK101" s="166">
        <v>2014.98</v>
      </c>
      <c r="AL101" s="166">
        <v>2033.47</v>
      </c>
      <c r="AM101" s="166">
        <v>2051.9699999999998</v>
      </c>
      <c r="AN101" s="166">
        <v>2070.46</v>
      </c>
      <c r="AO101" s="166">
        <v>2088.96</v>
      </c>
      <c r="AP101" s="166">
        <v>2107.46</v>
      </c>
      <c r="AQ101" s="166">
        <v>2125.9499999999998</v>
      </c>
      <c r="AR101" s="166">
        <v>2144.4499999999998</v>
      </c>
      <c r="AS101" s="166">
        <v>2162.94</v>
      </c>
      <c r="AT101" s="166">
        <v>2181.44</v>
      </c>
      <c r="AU101" s="166">
        <v>2199.94</v>
      </c>
      <c r="AV101" s="166">
        <v>2218.4299999999998</v>
      </c>
      <c r="AW101" s="166">
        <v>2236.9299999999998</v>
      </c>
      <c r="AX101" s="166">
        <v>2255.42</v>
      </c>
      <c r="AY101" s="166">
        <v>2273.92</v>
      </c>
      <c r="AZ101" s="166">
        <v>2292.42</v>
      </c>
      <c r="BA101" s="166">
        <f t="shared" ref="BA101:BK101" si="94">ROUND(AZ101+$K101,2)</f>
        <v>2310.92</v>
      </c>
      <c r="BB101" s="166">
        <f t="shared" si="94"/>
        <v>2329.42</v>
      </c>
      <c r="BC101" s="166">
        <f t="shared" si="94"/>
        <v>2347.92</v>
      </c>
      <c r="BD101" s="166">
        <f t="shared" si="94"/>
        <v>2366.42</v>
      </c>
      <c r="BE101" s="166">
        <f t="shared" si="94"/>
        <v>2384.92</v>
      </c>
      <c r="BF101" s="166">
        <f t="shared" si="94"/>
        <v>2403.42</v>
      </c>
      <c r="BG101" s="166">
        <f t="shared" si="94"/>
        <v>2421.92</v>
      </c>
      <c r="BH101" s="166">
        <f t="shared" si="94"/>
        <v>2440.42</v>
      </c>
      <c r="BI101" s="166">
        <f t="shared" si="94"/>
        <v>2458.92</v>
      </c>
      <c r="BJ101" s="166">
        <f t="shared" si="94"/>
        <v>2477.42</v>
      </c>
      <c r="BK101" s="166">
        <f t="shared" si="94"/>
        <v>2495.92</v>
      </c>
    </row>
    <row r="102" spans="1:63" s="18" customFormat="1" hidden="1">
      <c r="A102" s="167" t="s">
        <v>248</v>
      </c>
      <c r="B102" s="295"/>
      <c r="C102" s="167" t="s">
        <v>103</v>
      </c>
      <c r="D102" s="167" t="s">
        <v>45</v>
      </c>
      <c r="E102" s="167" t="s">
        <v>22</v>
      </c>
      <c r="F102" s="167" t="s">
        <v>57</v>
      </c>
      <c r="G102" s="169"/>
      <c r="H102" s="313"/>
      <c r="I102" s="168">
        <v>6.4</v>
      </c>
      <c r="J102" s="169">
        <v>16.399999999999999</v>
      </c>
      <c r="K102" s="166">
        <f t="shared" si="89"/>
        <v>19.650000000000091</v>
      </c>
      <c r="L102" s="166">
        <v>1599.17</v>
      </c>
      <c r="M102" s="166">
        <v>1618.82</v>
      </c>
      <c r="N102" s="166">
        <v>1638.46</v>
      </c>
      <c r="O102" s="166">
        <v>1658.11</v>
      </c>
      <c r="P102" s="166">
        <v>1677.76</v>
      </c>
      <c r="Q102" s="166">
        <v>1697.41</v>
      </c>
      <c r="R102" s="166">
        <v>1717.06</v>
      </c>
      <c r="S102" s="166">
        <v>1736.7</v>
      </c>
      <c r="T102" s="166">
        <v>1756.35</v>
      </c>
      <c r="U102" s="166">
        <v>1776</v>
      </c>
      <c r="V102" s="166">
        <v>1795.65</v>
      </c>
      <c r="W102" s="166">
        <v>1815.3</v>
      </c>
      <c r="X102" s="166">
        <v>1834.94</v>
      </c>
      <c r="Y102" s="166">
        <v>1854.59</v>
      </c>
      <c r="Z102" s="166">
        <v>1874.24</v>
      </c>
      <c r="AA102" s="166">
        <v>1893.89</v>
      </c>
      <c r="AB102" s="166">
        <v>1913.54</v>
      </c>
      <c r="AC102" s="166">
        <v>1933.18</v>
      </c>
      <c r="AD102" s="166">
        <v>1952.83</v>
      </c>
      <c r="AE102" s="166">
        <v>1972.48</v>
      </c>
      <c r="AF102" s="166">
        <v>1992.13</v>
      </c>
      <c r="AG102" s="166">
        <v>2011.78</v>
      </c>
      <c r="AH102" s="166">
        <v>2031.42</v>
      </c>
      <c r="AI102" s="166">
        <v>2051.0700000000002</v>
      </c>
      <c r="AJ102" s="166">
        <v>2070.7199999999998</v>
      </c>
      <c r="AK102" s="166">
        <v>2090.37</v>
      </c>
      <c r="AL102" s="166">
        <v>2110.02</v>
      </c>
      <c r="AM102" s="166">
        <v>2129.66</v>
      </c>
      <c r="AN102" s="166">
        <v>2149.31</v>
      </c>
      <c r="AO102" s="166">
        <v>2168.96</v>
      </c>
      <c r="AP102" s="166">
        <v>2188.61</v>
      </c>
      <c r="AQ102" s="166">
        <v>2208.2600000000002</v>
      </c>
      <c r="AR102" s="166">
        <v>2227.9</v>
      </c>
      <c r="AS102" s="166">
        <v>2247.5500000000002</v>
      </c>
      <c r="AT102" s="166">
        <v>2267.1999999999998</v>
      </c>
      <c r="AU102" s="166">
        <v>2286.85</v>
      </c>
      <c r="AV102" s="166">
        <v>2306.5</v>
      </c>
      <c r="AW102" s="166">
        <v>2326.14</v>
      </c>
      <c r="AX102" s="166">
        <v>2345.79</v>
      </c>
      <c r="AY102" s="166">
        <v>2365.44</v>
      </c>
      <c r="AZ102" s="166">
        <v>2385.09</v>
      </c>
      <c r="BA102" s="166">
        <f t="shared" ref="BA102:BK102" si="95">ROUND(AZ102+$K102,2)</f>
        <v>2404.7399999999998</v>
      </c>
      <c r="BB102" s="166">
        <f t="shared" si="95"/>
        <v>2424.39</v>
      </c>
      <c r="BC102" s="166">
        <f t="shared" si="95"/>
        <v>2444.04</v>
      </c>
      <c r="BD102" s="166">
        <f t="shared" si="95"/>
        <v>2463.69</v>
      </c>
      <c r="BE102" s="166">
        <f t="shared" si="95"/>
        <v>2483.34</v>
      </c>
      <c r="BF102" s="166">
        <f t="shared" si="95"/>
        <v>2502.9899999999998</v>
      </c>
      <c r="BG102" s="166">
        <f t="shared" si="95"/>
        <v>2522.64</v>
      </c>
      <c r="BH102" s="166">
        <f t="shared" si="95"/>
        <v>2542.29</v>
      </c>
      <c r="BI102" s="166">
        <f t="shared" si="95"/>
        <v>2561.94</v>
      </c>
      <c r="BJ102" s="166">
        <f t="shared" si="95"/>
        <v>2581.59</v>
      </c>
      <c r="BK102" s="166">
        <f t="shared" si="95"/>
        <v>2601.2399999999998</v>
      </c>
    </row>
    <row r="103" spans="1:63" s="18" customFormat="1" hidden="1">
      <c r="A103" s="14" t="s">
        <v>248</v>
      </c>
      <c r="B103" s="54"/>
      <c r="C103" s="14" t="s">
        <v>103</v>
      </c>
      <c r="D103" s="14" t="s">
        <v>45</v>
      </c>
      <c r="E103" s="14" t="s">
        <v>39</v>
      </c>
      <c r="F103" s="14" t="s">
        <v>57</v>
      </c>
      <c r="H103" s="284" t="s">
        <v>147</v>
      </c>
      <c r="I103" s="15">
        <v>6.4</v>
      </c>
      <c r="J103" s="18">
        <v>16.399999999999999</v>
      </c>
      <c r="K103" s="17">
        <v>17.36</v>
      </c>
      <c r="L103" s="17">
        <f t="shared" ref="L103:AN105" si="96">M103-$K103</f>
        <v>1340.8300000000031</v>
      </c>
      <c r="M103" s="17">
        <f t="shared" si="96"/>
        <v>1358.190000000003</v>
      </c>
      <c r="N103" s="17">
        <f t="shared" si="96"/>
        <v>1375.5500000000029</v>
      </c>
      <c r="O103" s="17">
        <f t="shared" si="96"/>
        <v>1392.9100000000028</v>
      </c>
      <c r="P103" s="17">
        <f t="shared" si="96"/>
        <v>1410.2700000000027</v>
      </c>
      <c r="Q103" s="17">
        <f t="shared" si="96"/>
        <v>1427.6300000000026</v>
      </c>
      <c r="R103" s="17">
        <f t="shared" si="96"/>
        <v>1444.9900000000025</v>
      </c>
      <c r="S103" s="17">
        <f t="shared" si="96"/>
        <v>1462.3500000000024</v>
      </c>
      <c r="T103" s="17">
        <f t="shared" si="96"/>
        <v>1479.7100000000023</v>
      </c>
      <c r="U103" s="17">
        <f t="shared" si="96"/>
        <v>1497.0700000000022</v>
      </c>
      <c r="V103" s="17">
        <f t="shared" si="96"/>
        <v>1514.4300000000021</v>
      </c>
      <c r="W103" s="17">
        <f t="shared" si="96"/>
        <v>1531.790000000002</v>
      </c>
      <c r="X103" s="17">
        <f t="shared" si="96"/>
        <v>1549.1500000000019</v>
      </c>
      <c r="Y103" s="17">
        <f t="shared" si="96"/>
        <v>1566.5100000000018</v>
      </c>
      <c r="Z103" s="17">
        <f t="shared" si="96"/>
        <v>1583.8700000000017</v>
      </c>
      <c r="AA103" s="17">
        <f t="shared" si="96"/>
        <v>1601.2300000000016</v>
      </c>
      <c r="AB103" s="17">
        <f t="shared" si="96"/>
        <v>1618.5900000000015</v>
      </c>
      <c r="AC103" s="17">
        <f t="shared" si="96"/>
        <v>1635.9500000000014</v>
      </c>
      <c r="AD103" s="17">
        <f t="shared" si="96"/>
        <v>1653.3100000000013</v>
      </c>
      <c r="AE103" s="17">
        <f t="shared" si="96"/>
        <v>1670.6700000000012</v>
      </c>
      <c r="AF103" s="17">
        <f t="shared" si="96"/>
        <v>1688.0300000000011</v>
      </c>
      <c r="AG103" s="17">
        <f t="shared" si="96"/>
        <v>1705.390000000001</v>
      </c>
      <c r="AH103" s="17">
        <f t="shared" si="96"/>
        <v>1722.7500000000009</v>
      </c>
      <c r="AI103" s="17">
        <f t="shared" si="96"/>
        <v>1740.1100000000008</v>
      </c>
      <c r="AJ103" s="17">
        <f t="shared" si="96"/>
        <v>1757.4700000000007</v>
      </c>
      <c r="AK103" s="17">
        <f t="shared" si="96"/>
        <v>1774.8300000000006</v>
      </c>
      <c r="AL103" s="17">
        <f t="shared" si="96"/>
        <v>1792.1900000000005</v>
      </c>
      <c r="AM103" s="17">
        <f t="shared" si="96"/>
        <v>1809.5500000000004</v>
      </c>
      <c r="AN103" s="17">
        <f t="shared" si="96"/>
        <v>1826.9100000000003</v>
      </c>
      <c r="AO103" s="17">
        <f>AP103-$K103</f>
        <v>1844.2700000000002</v>
      </c>
      <c r="AP103" s="17">
        <v>1861.63</v>
      </c>
      <c r="AQ103" s="17">
        <f>AP103+$K103</f>
        <v>1878.99</v>
      </c>
      <c r="AR103" s="17">
        <f t="shared" ref="AR103:AZ103" si="97">AQ103+$K103</f>
        <v>1896.35</v>
      </c>
      <c r="AS103" s="17">
        <f t="shared" si="97"/>
        <v>1913.7099999999998</v>
      </c>
      <c r="AT103" s="17">
        <f t="shared" si="97"/>
        <v>1931.0699999999997</v>
      </c>
      <c r="AU103" s="17">
        <f t="shared" si="97"/>
        <v>1948.4299999999996</v>
      </c>
      <c r="AV103" s="17">
        <f t="shared" si="97"/>
        <v>1965.7899999999995</v>
      </c>
      <c r="AW103" s="17">
        <f t="shared" si="97"/>
        <v>1983.1499999999994</v>
      </c>
      <c r="AX103" s="17">
        <f t="shared" si="97"/>
        <v>2000.5099999999993</v>
      </c>
      <c r="AY103" s="17">
        <f t="shared" si="97"/>
        <v>2017.8699999999992</v>
      </c>
      <c r="AZ103" s="17">
        <f t="shared" si="97"/>
        <v>2035.2299999999991</v>
      </c>
      <c r="BA103" s="17">
        <f t="shared" ref="BA103:BK103" si="98">ROUND(AZ103+$K103,2)</f>
        <v>2052.59</v>
      </c>
      <c r="BB103" s="17">
        <f t="shared" si="98"/>
        <v>2069.9499999999998</v>
      </c>
      <c r="BC103" s="17">
        <f t="shared" si="98"/>
        <v>2087.31</v>
      </c>
      <c r="BD103" s="17">
        <f t="shared" si="98"/>
        <v>2104.67</v>
      </c>
      <c r="BE103" s="17">
        <f t="shared" si="98"/>
        <v>2122.0300000000002</v>
      </c>
      <c r="BF103" s="17">
        <f t="shared" si="98"/>
        <v>2139.39</v>
      </c>
      <c r="BG103" s="17">
        <f t="shared" si="98"/>
        <v>2156.75</v>
      </c>
      <c r="BH103" s="17">
        <f t="shared" si="98"/>
        <v>2174.11</v>
      </c>
      <c r="BI103" s="17">
        <f t="shared" si="98"/>
        <v>2191.4699999999998</v>
      </c>
      <c r="BJ103" s="17">
        <f t="shared" si="98"/>
        <v>2208.83</v>
      </c>
      <c r="BK103" s="17">
        <f t="shared" si="98"/>
        <v>2226.19</v>
      </c>
    </row>
    <row r="104" spans="1:63" s="18" customFormat="1" hidden="1">
      <c r="A104" s="14" t="s">
        <v>248</v>
      </c>
      <c r="B104" s="54"/>
      <c r="C104" s="14" t="s">
        <v>103</v>
      </c>
      <c r="D104" s="14" t="s">
        <v>45</v>
      </c>
      <c r="E104" s="14" t="s">
        <v>25</v>
      </c>
      <c r="F104" s="14" t="s">
        <v>57</v>
      </c>
      <c r="H104" s="110"/>
      <c r="I104" s="15">
        <v>6.4</v>
      </c>
      <c r="J104" s="18">
        <v>16.399999999999999</v>
      </c>
      <c r="K104" s="17">
        <v>17.36</v>
      </c>
      <c r="L104" s="17">
        <f t="shared" si="96"/>
        <v>1446.950000000003</v>
      </c>
      <c r="M104" s="17">
        <f t="shared" si="96"/>
        <v>1464.3100000000029</v>
      </c>
      <c r="N104" s="17">
        <f t="shared" si="96"/>
        <v>1481.6700000000028</v>
      </c>
      <c r="O104" s="17">
        <f t="shared" si="96"/>
        <v>1499.0300000000027</v>
      </c>
      <c r="P104" s="17">
        <f t="shared" si="96"/>
        <v>1516.3900000000026</v>
      </c>
      <c r="Q104" s="17">
        <f t="shared" si="96"/>
        <v>1533.7500000000025</v>
      </c>
      <c r="R104" s="17">
        <f t="shared" si="96"/>
        <v>1551.1100000000024</v>
      </c>
      <c r="S104" s="17">
        <f t="shared" si="96"/>
        <v>1568.4700000000023</v>
      </c>
      <c r="T104" s="17">
        <f t="shared" si="96"/>
        <v>1585.8300000000022</v>
      </c>
      <c r="U104" s="17">
        <f t="shared" si="96"/>
        <v>1603.1900000000021</v>
      </c>
      <c r="V104" s="17">
        <f t="shared" si="96"/>
        <v>1620.550000000002</v>
      </c>
      <c r="W104" s="17">
        <f t="shared" si="96"/>
        <v>1637.9100000000019</v>
      </c>
      <c r="X104" s="17">
        <f t="shared" si="96"/>
        <v>1655.2700000000018</v>
      </c>
      <c r="Y104" s="17">
        <f t="shared" si="96"/>
        <v>1672.6300000000017</v>
      </c>
      <c r="Z104" s="17">
        <f t="shared" si="96"/>
        <v>1689.9900000000016</v>
      </c>
      <c r="AA104" s="17">
        <f t="shared" si="96"/>
        <v>1707.3500000000015</v>
      </c>
      <c r="AB104" s="17">
        <f t="shared" si="96"/>
        <v>1724.7100000000014</v>
      </c>
      <c r="AC104" s="17">
        <f t="shared" si="96"/>
        <v>1742.0700000000013</v>
      </c>
      <c r="AD104" s="17">
        <f t="shared" si="96"/>
        <v>1759.4300000000012</v>
      </c>
      <c r="AE104" s="17">
        <f t="shared" si="96"/>
        <v>1776.7900000000011</v>
      </c>
      <c r="AF104" s="17">
        <f t="shared" si="96"/>
        <v>1794.150000000001</v>
      </c>
      <c r="AG104" s="17">
        <f t="shared" si="96"/>
        <v>1811.5100000000009</v>
      </c>
      <c r="AH104" s="17">
        <f t="shared" si="96"/>
        <v>1828.8700000000008</v>
      </c>
      <c r="AI104" s="17">
        <f t="shared" si="96"/>
        <v>1846.2300000000007</v>
      </c>
      <c r="AJ104" s="17">
        <f t="shared" si="96"/>
        <v>1863.5900000000006</v>
      </c>
      <c r="AK104" s="17">
        <f t="shared" si="96"/>
        <v>1880.9500000000005</v>
      </c>
      <c r="AL104" s="17">
        <f t="shared" si="96"/>
        <v>1898.3100000000004</v>
      </c>
      <c r="AM104" s="17">
        <f t="shared" si="96"/>
        <v>1915.6700000000003</v>
      </c>
      <c r="AN104" s="17">
        <f t="shared" si="96"/>
        <v>1933.0300000000002</v>
      </c>
      <c r="AO104" s="17">
        <f t="shared" ref="AO104:AO105" si="99">AP104-$K104</f>
        <v>1950.39</v>
      </c>
      <c r="AP104" s="17">
        <v>1967.75</v>
      </c>
      <c r="AQ104" s="17">
        <f t="shared" ref="AQ104:AZ105" si="100">AP104+$K104</f>
        <v>1985.11</v>
      </c>
      <c r="AR104" s="17">
        <f t="shared" si="100"/>
        <v>2002.4699999999998</v>
      </c>
      <c r="AS104" s="17">
        <f t="shared" si="100"/>
        <v>2019.8299999999997</v>
      </c>
      <c r="AT104" s="17">
        <f t="shared" si="100"/>
        <v>2037.1899999999996</v>
      </c>
      <c r="AU104" s="17">
        <f t="shared" si="100"/>
        <v>2054.5499999999997</v>
      </c>
      <c r="AV104" s="17">
        <f t="shared" si="100"/>
        <v>2071.91</v>
      </c>
      <c r="AW104" s="17">
        <f t="shared" si="100"/>
        <v>2089.27</v>
      </c>
      <c r="AX104" s="17">
        <f t="shared" si="100"/>
        <v>2106.63</v>
      </c>
      <c r="AY104" s="17">
        <f t="shared" si="100"/>
        <v>2123.9900000000002</v>
      </c>
      <c r="AZ104" s="17">
        <f t="shared" si="100"/>
        <v>2141.3500000000004</v>
      </c>
      <c r="BA104" s="17">
        <f t="shared" ref="BA104:BK104" si="101">ROUND(AZ104+$K104,2)</f>
        <v>2158.71</v>
      </c>
      <c r="BB104" s="17">
        <f t="shared" si="101"/>
        <v>2176.0700000000002</v>
      </c>
      <c r="BC104" s="17">
        <f t="shared" si="101"/>
        <v>2193.4299999999998</v>
      </c>
      <c r="BD104" s="17">
        <f t="shared" si="101"/>
        <v>2210.79</v>
      </c>
      <c r="BE104" s="17">
        <f t="shared" si="101"/>
        <v>2228.15</v>
      </c>
      <c r="BF104" s="17">
        <f t="shared" si="101"/>
        <v>2245.5100000000002</v>
      </c>
      <c r="BG104" s="17">
        <f t="shared" si="101"/>
        <v>2262.87</v>
      </c>
      <c r="BH104" s="17">
        <f t="shared" si="101"/>
        <v>2280.23</v>
      </c>
      <c r="BI104" s="17">
        <f t="shared" si="101"/>
        <v>2297.59</v>
      </c>
      <c r="BJ104" s="17">
        <f t="shared" si="101"/>
        <v>2314.9499999999998</v>
      </c>
      <c r="BK104" s="17">
        <f t="shared" si="101"/>
        <v>2332.31</v>
      </c>
    </row>
    <row r="105" spans="1:63" s="18" customFormat="1" hidden="1">
      <c r="A105" s="14" t="s">
        <v>248</v>
      </c>
      <c r="B105" s="54"/>
      <c r="C105" s="14" t="s">
        <v>103</v>
      </c>
      <c r="D105" s="14" t="s">
        <v>45</v>
      </c>
      <c r="E105" s="14" t="s">
        <v>22</v>
      </c>
      <c r="F105" s="14" t="s">
        <v>57</v>
      </c>
      <c r="H105" s="110"/>
      <c r="I105" s="15">
        <v>6.4</v>
      </c>
      <c r="J105" s="18">
        <v>16.399999999999999</v>
      </c>
      <c r="K105" s="17">
        <v>17.36</v>
      </c>
      <c r="L105" s="17">
        <f t="shared" si="96"/>
        <v>1505.980000000003</v>
      </c>
      <c r="M105" s="17">
        <f t="shared" si="96"/>
        <v>1523.3400000000029</v>
      </c>
      <c r="N105" s="17">
        <f t="shared" si="96"/>
        <v>1540.7000000000028</v>
      </c>
      <c r="O105" s="17">
        <f t="shared" si="96"/>
        <v>1558.0600000000027</v>
      </c>
      <c r="P105" s="17">
        <f t="shared" si="96"/>
        <v>1575.4200000000026</v>
      </c>
      <c r="Q105" s="17">
        <f t="shared" si="96"/>
        <v>1592.7800000000025</v>
      </c>
      <c r="R105" s="17">
        <f t="shared" si="96"/>
        <v>1610.1400000000024</v>
      </c>
      <c r="S105" s="17">
        <f t="shared" si="96"/>
        <v>1627.5000000000023</v>
      </c>
      <c r="T105" s="17">
        <f t="shared" si="96"/>
        <v>1644.8600000000022</v>
      </c>
      <c r="U105" s="17">
        <f t="shared" si="96"/>
        <v>1662.2200000000021</v>
      </c>
      <c r="V105" s="17">
        <f t="shared" si="96"/>
        <v>1679.580000000002</v>
      </c>
      <c r="W105" s="17">
        <f t="shared" si="96"/>
        <v>1696.9400000000019</v>
      </c>
      <c r="X105" s="17">
        <f t="shared" si="96"/>
        <v>1714.3000000000018</v>
      </c>
      <c r="Y105" s="17">
        <f t="shared" si="96"/>
        <v>1731.6600000000017</v>
      </c>
      <c r="Z105" s="17">
        <f t="shared" si="96"/>
        <v>1749.0200000000016</v>
      </c>
      <c r="AA105" s="17">
        <f t="shared" si="96"/>
        <v>1766.3800000000015</v>
      </c>
      <c r="AB105" s="17">
        <f t="shared" si="96"/>
        <v>1783.7400000000014</v>
      </c>
      <c r="AC105" s="17">
        <f t="shared" si="96"/>
        <v>1801.1000000000013</v>
      </c>
      <c r="AD105" s="17">
        <f t="shared" si="96"/>
        <v>1818.4600000000012</v>
      </c>
      <c r="AE105" s="17">
        <f t="shared" si="96"/>
        <v>1835.8200000000011</v>
      </c>
      <c r="AF105" s="17">
        <f t="shared" si="96"/>
        <v>1853.180000000001</v>
      </c>
      <c r="AG105" s="17">
        <f t="shared" si="96"/>
        <v>1870.5400000000009</v>
      </c>
      <c r="AH105" s="17">
        <f t="shared" si="96"/>
        <v>1887.9000000000008</v>
      </c>
      <c r="AI105" s="17">
        <f t="shared" si="96"/>
        <v>1905.2600000000007</v>
      </c>
      <c r="AJ105" s="17">
        <f t="shared" si="96"/>
        <v>1922.6200000000006</v>
      </c>
      <c r="AK105" s="17">
        <f t="shared" si="96"/>
        <v>1939.9800000000005</v>
      </c>
      <c r="AL105" s="17">
        <f t="shared" si="96"/>
        <v>1957.3400000000004</v>
      </c>
      <c r="AM105" s="17">
        <f t="shared" si="96"/>
        <v>1974.7000000000003</v>
      </c>
      <c r="AN105" s="17">
        <f t="shared" si="96"/>
        <v>1992.0600000000002</v>
      </c>
      <c r="AO105" s="17">
        <f t="shared" si="99"/>
        <v>2009.42</v>
      </c>
      <c r="AP105" s="17">
        <v>2026.78</v>
      </c>
      <c r="AQ105" s="17">
        <f t="shared" si="100"/>
        <v>2044.1399999999999</v>
      </c>
      <c r="AR105" s="17">
        <f t="shared" si="100"/>
        <v>2061.5</v>
      </c>
      <c r="AS105" s="17">
        <f t="shared" si="100"/>
        <v>2078.86</v>
      </c>
      <c r="AT105" s="17">
        <f t="shared" si="100"/>
        <v>2096.2200000000003</v>
      </c>
      <c r="AU105" s="17">
        <f t="shared" si="100"/>
        <v>2113.5800000000004</v>
      </c>
      <c r="AV105" s="17">
        <f t="shared" si="100"/>
        <v>2130.9400000000005</v>
      </c>
      <c r="AW105" s="17">
        <f t="shared" si="100"/>
        <v>2148.3000000000006</v>
      </c>
      <c r="AX105" s="17">
        <f t="shared" si="100"/>
        <v>2165.6600000000008</v>
      </c>
      <c r="AY105" s="17">
        <f t="shared" si="100"/>
        <v>2183.0200000000009</v>
      </c>
      <c r="AZ105" s="17">
        <f t="shared" si="100"/>
        <v>2200.380000000001</v>
      </c>
      <c r="BA105" s="17">
        <f t="shared" ref="BA105:BK105" si="102">ROUND(AZ105+$K105,2)</f>
        <v>2217.7399999999998</v>
      </c>
      <c r="BB105" s="17">
        <f t="shared" si="102"/>
        <v>2235.1</v>
      </c>
      <c r="BC105" s="17">
        <f t="shared" si="102"/>
        <v>2252.46</v>
      </c>
      <c r="BD105" s="17">
        <f t="shared" si="102"/>
        <v>2269.8200000000002</v>
      </c>
      <c r="BE105" s="17">
        <f t="shared" si="102"/>
        <v>2287.1799999999998</v>
      </c>
      <c r="BF105" s="17">
        <f t="shared" si="102"/>
        <v>2304.54</v>
      </c>
      <c r="BG105" s="17">
        <f t="shared" si="102"/>
        <v>2321.9</v>
      </c>
      <c r="BH105" s="17">
        <f t="shared" si="102"/>
        <v>2339.2600000000002</v>
      </c>
      <c r="BI105" s="17">
        <f t="shared" si="102"/>
        <v>2356.62</v>
      </c>
      <c r="BJ105" s="17">
        <f t="shared" si="102"/>
        <v>2373.98</v>
      </c>
      <c r="BK105" s="17">
        <f t="shared" si="102"/>
        <v>2391.34</v>
      </c>
    </row>
    <row r="106" spans="1:63" s="18" customFormat="1">
      <c r="A106" s="14" t="s">
        <v>153</v>
      </c>
      <c r="B106" s="54"/>
      <c r="C106" s="14" t="s">
        <v>154</v>
      </c>
      <c r="D106" s="14" t="s">
        <v>100</v>
      </c>
      <c r="E106" s="14" t="s">
        <v>39</v>
      </c>
      <c r="F106" s="14" t="s">
        <v>57</v>
      </c>
      <c r="H106" s="110"/>
      <c r="I106" s="15">
        <v>6.4</v>
      </c>
      <c r="J106" s="18">
        <v>38.4</v>
      </c>
      <c r="K106" s="17">
        <f t="shared" si="89"/>
        <v>34.5</v>
      </c>
      <c r="L106" s="17">
        <v>3833.73</v>
      </c>
      <c r="M106" s="17">
        <v>3868.22</v>
      </c>
      <c r="N106" s="17">
        <v>3902.72</v>
      </c>
      <c r="O106" s="17">
        <v>3937.22</v>
      </c>
      <c r="P106" s="17">
        <v>3971.71</v>
      </c>
      <c r="Q106" s="17">
        <v>4006.21</v>
      </c>
      <c r="R106" s="17">
        <v>4040.7</v>
      </c>
      <c r="S106" s="17">
        <v>4075.2</v>
      </c>
      <c r="T106" s="17">
        <v>4109.7</v>
      </c>
      <c r="U106" s="17">
        <v>4144.1899999999996</v>
      </c>
      <c r="V106" s="17">
        <v>4178.6899999999996</v>
      </c>
      <c r="W106" s="17">
        <v>4213.18</v>
      </c>
      <c r="X106" s="17">
        <v>4247.68</v>
      </c>
      <c r="Y106" s="17">
        <v>4282.18</v>
      </c>
      <c r="Z106" s="17">
        <v>4316.67</v>
      </c>
      <c r="AA106" s="17">
        <v>4351.17</v>
      </c>
      <c r="AB106" s="17">
        <v>4385.66</v>
      </c>
      <c r="AC106" s="17">
        <v>4420.16</v>
      </c>
      <c r="AD106" s="17">
        <v>4454.66</v>
      </c>
      <c r="AE106" s="17">
        <v>4489.1499999999996</v>
      </c>
      <c r="AF106" s="17">
        <v>4523.6499999999996</v>
      </c>
      <c r="AG106" s="17">
        <v>4558.1400000000003</v>
      </c>
      <c r="AH106" s="17">
        <v>4592.6400000000003</v>
      </c>
      <c r="AI106" s="17">
        <v>4627.1400000000003</v>
      </c>
      <c r="AJ106" s="17">
        <v>4661.63</v>
      </c>
      <c r="AK106" s="17">
        <v>4696.13</v>
      </c>
      <c r="AL106" s="17">
        <v>4730.62</v>
      </c>
      <c r="AM106" s="17">
        <v>4765.12</v>
      </c>
      <c r="AN106" s="17">
        <v>4799.62</v>
      </c>
      <c r="AO106" s="17">
        <v>4834.1099999999997</v>
      </c>
      <c r="AP106" s="17">
        <v>4868.6099999999997</v>
      </c>
      <c r="AQ106" s="17">
        <v>4903.1000000000004</v>
      </c>
      <c r="AR106" s="17">
        <v>4937.6000000000004</v>
      </c>
      <c r="AS106" s="17">
        <v>4972.1000000000004</v>
      </c>
      <c r="AT106" s="17">
        <v>5006.59</v>
      </c>
      <c r="AU106" s="17">
        <v>5041.09</v>
      </c>
      <c r="AV106" s="17">
        <v>5075.58</v>
      </c>
      <c r="AW106" s="17">
        <v>5110.08</v>
      </c>
      <c r="AX106" s="17">
        <v>5144.58</v>
      </c>
      <c r="AY106" s="17">
        <v>5179.07</v>
      </c>
      <c r="AZ106" s="17">
        <v>5213.57</v>
      </c>
      <c r="BA106" s="17">
        <f t="shared" ref="BA106:BK106" si="103">ROUND(AZ106+$K106,2)</f>
        <v>5248.07</v>
      </c>
      <c r="BB106" s="17">
        <f t="shared" si="103"/>
        <v>5282.57</v>
      </c>
      <c r="BC106" s="17">
        <f t="shared" si="103"/>
        <v>5317.07</v>
      </c>
      <c r="BD106" s="17">
        <f t="shared" si="103"/>
        <v>5351.57</v>
      </c>
      <c r="BE106" s="17">
        <f t="shared" si="103"/>
        <v>5386.07</v>
      </c>
      <c r="BF106" s="17">
        <f t="shared" si="103"/>
        <v>5420.57</v>
      </c>
      <c r="BG106" s="17">
        <f t="shared" si="103"/>
        <v>5455.07</v>
      </c>
      <c r="BH106" s="17">
        <f t="shared" si="103"/>
        <v>5489.57</v>
      </c>
      <c r="BI106" s="17">
        <f t="shared" si="103"/>
        <v>5524.07</v>
      </c>
      <c r="BJ106" s="17">
        <f t="shared" si="103"/>
        <v>5558.57</v>
      </c>
      <c r="BK106" s="17">
        <f t="shared" si="103"/>
        <v>5593.07</v>
      </c>
    </row>
    <row r="107" spans="1:63" s="18" customFormat="1">
      <c r="A107" s="14" t="s">
        <v>155</v>
      </c>
      <c r="B107" s="54"/>
      <c r="C107" s="14" t="s">
        <v>154</v>
      </c>
      <c r="D107" s="14" t="s">
        <v>100</v>
      </c>
      <c r="E107" s="14" t="s">
        <v>39</v>
      </c>
      <c r="F107" s="14" t="s">
        <v>57</v>
      </c>
      <c r="H107" s="110"/>
      <c r="I107" s="15">
        <v>6.4</v>
      </c>
      <c r="J107" s="18">
        <v>38.4</v>
      </c>
      <c r="K107" s="17">
        <f t="shared" si="89"/>
        <v>39.550000000000182</v>
      </c>
      <c r="L107" s="17">
        <v>4185.7299999999996</v>
      </c>
      <c r="M107" s="17">
        <v>4225.28</v>
      </c>
      <c r="N107" s="17">
        <v>4264.83</v>
      </c>
      <c r="O107" s="17">
        <v>4304.38</v>
      </c>
      <c r="P107" s="17">
        <v>4343.9399999999996</v>
      </c>
      <c r="Q107" s="17">
        <v>4383.49</v>
      </c>
      <c r="R107" s="17">
        <v>4423.04</v>
      </c>
      <c r="S107" s="17">
        <v>4462.59</v>
      </c>
      <c r="T107" s="17">
        <v>4502.1400000000003</v>
      </c>
      <c r="U107" s="17">
        <v>4541.7</v>
      </c>
      <c r="V107" s="17">
        <v>4581.25</v>
      </c>
      <c r="W107" s="17">
        <v>4620.8</v>
      </c>
      <c r="X107" s="17">
        <v>4660.3500000000004</v>
      </c>
      <c r="Y107" s="17">
        <v>4699.8999999999996</v>
      </c>
      <c r="Z107" s="17">
        <v>4739.46</v>
      </c>
      <c r="AA107" s="17">
        <v>4779.01</v>
      </c>
      <c r="AB107" s="17">
        <v>4818.5600000000004</v>
      </c>
      <c r="AC107" s="17">
        <v>4858.1099999999997</v>
      </c>
      <c r="AD107" s="17">
        <v>4897.66</v>
      </c>
      <c r="AE107" s="17">
        <v>4937.22</v>
      </c>
      <c r="AF107" s="17">
        <v>4976.7700000000004</v>
      </c>
      <c r="AG107" s="17">
        <v>5016.32</v>
      </c>
      <c r="AH107" s="17">
        <v>5055.87</v>
      </c>
      <c r="AI107" s="17">
        <v>5095.42</v>
      </c>
      <c r="AJ107" s="17">
        <v>5134.9799999999996</v>
      </c>
      <c r="AK107" s="17">
        <v>5174.53</v>
      </c>
      <c r="AL107" s="17">
        <v>5214.08</v>
      </c>
      <c r="AM107" s="17">
        <v>5253.63</v>
      </c>
      <c r="AN107" s="17">
        <v>5293.18</v>
      </c>
      <c r="AO107" s="17">
        <v>5332.74</v>
      </c>
      <c r="AP107" s="17">
        <v>5372.29</v>
      </c>
      <c r="AQ107" s="17">
        <v>5411.84</v>
      </c>
      <c r="AR107" s="17">
        <v>5451.39</v>
      </c>
      <c r="AS107" s="17">
        <v>5490.94</v>
      </c>
      <c r="AT107" s="17">
        <v>5530.5</v>
      </c>
      <c r="AU107" s="17">
        <v>5570.05</v>
      </c>
      <c r="AV107" s="17">
        <v>5609.6</v>
      </c>
      <c r="AW107" s="17">
        <v>5649.15</v>
      </c>
      <c r="AX107" s="17">
        <v>5688.7</v>
      </c>
      <c r="AY107" s="17">
        <v>5728.26</v>
      </c>
      <c r="AZ107" s="17">
        <v>5767.81</v>
      </c>
      <c r="BA107" s="17">
        <f t="shared" ref="BA107:BK107" si="104">ROUND(AZ107+$K107,2)</f>
        <v>5807.36</v>
      </c>
      <c r="BB107" s="17">
        <f t="shared" si="104"/>
        <v>5846.91</v>
      </c>
      <c r="BC107" s="17">
        <f t="shared" si="104"/>
        <v>5886.46</v>
      </c>
      <c r="BD107" s="17">
        <f t="shared" si="104"/>
        <v>5926.01</v>
      </c>
      <c r="BE107" s="17">
        <f t="shared" si="104"/>
        <v>5965.56</v>
      </c>
      <c r="BF107" s="17">
        <f t="shared" si="104"/>
        <v>6005.11</v>
      </c>
      <c r="BG107" s="17">
        <f t="shared" si="104"/>
        <v>6044.66</v>
      </c>
      <c r="BH107" s="17">
        <f t="shared" si="104"/>
        <v>6084.21</v>
      </c>
      <c r="BI107" s="17">
        <f t="shared" si="104"/>
        <v>6123.76</v>
      </c>
      <c r="BJ107" s="17">
        <f t="shared" si="104"/>
        <v>6163.31</v>
      </c>
      <c r="BK107" s="17">
        <f t="shared" si="104"/>
        <v>6202.86</v>
      </c>
    </row>
    <row r="108" spans="1:63" s="18" customFormat="1">
      <c r="A108" s="14" t="s">
        <v>156</v>
      </c>
      <c r="B108" s="54"/>
      <c r="C108" s="14" t="s">
        <v>154</v>
      </c>
      <c r="D108" s="14" t="s">
        <v>100</v>
      </c>
      <c r="E108" s="14" t="s">
        <v>39</v>
      </c>
      <c r="F108" s="14" t="s">
        <v>57</v>
      </c>
      <c r="H108" s="110"/>
      <c r="I108" s="15">
        <v>6.4</v>
      </c>
      <c r="J108" s="18">
        <v>19.2</v>
      </c>
      <c r="K108" s="17">
        <f t="shared" si="89"/>
        <v>16.380000000000109</v>
      </c>
      <c r="L108" s="17">
        <v>1825.6</v>
      </c>
      <c r="M108" s="17">
        <v>1841.98</v>
      </c>
      <c r="N108" s="17">
        <v>1858.37</v>
      </c>
      <c r="O108" s="17">
        <v>1874.75</v>
      </c>
      <c r="P108" s="17">
        <v>1891.14</v>
      </c>
      <c r="Q108" s="17">
        <v>1907.52</v>
      </c>
      <c r="R108" s="17">
        <v>1923.9</v>
      </c>
      <c r="S108" s="17">
        <v>1940.29</v>
      </c>
      <c r="T108" s="17">
        <v>1956.67</v>
      </c>
      <c r="U108" s="17">
        <v>1973.06</v>
      </c>
      <c r="V108" s="17">
        <v>1989.44</v>
      </c>
      <c r="W108" s="17">
        <v>2005.82</v>
      </c>
      <c r="X108" s="17">
        <v>2022.21</v>
      </c>
      <c r="Y108" s="17">
        <v>2038.59</v>
      </c>
      <c r="Z108" s="17">
        <v>2054.98</v>
      </c>
      <c r="AA108" s="17">
        <v>2071.36</v>
      </c>
      <c r="AB108" s="17">
        <v>2087.7399999999998</v>
      </c>
      <c r="AC108" s="17">
        <v>2104.13</v>
      </c>
      <c r="AD108" s="17">
        <v>2120.5100000000002</v>
      </c>
      <c r="AE108" s="17">
        <v>2136.9</v>
      </c>
      <c r="AF108" s="17">
        <v>2153.2800000000002</v>
      </c>
      <c r="AG108" s="17">
        <v>2169.66</v>
      </c>
      <c r="AH108" s="17">
        <v>2186.0500000000002</v>
      </c>
      <c r="AI108" s="17">
        <v>2202.4299999999998</v>
      </c>
      <c r="AJ108" s="17">
        <v>2218.8200000000002</v>
      </c>
      <c r="AK108" s="17">
        <v>2235.1999999999998</v>
      </c>
      <c r="AL108" s="17">
        <v>2251.58</v>
      </c>
      <c r="AM108" s="17">
        <v>2267.9699999999998</v>
      </c>
      <c r="AN108" s="17">
        <v>2284.35</v>
      </c>
      <c r="AO108" s="17">
        <v>2300.7399999999998</v>
      </c>
      <c r="AP108" s="17">
        <v>2317.12</v>
      </c>
      <c r="AQ108" s="17">
        <v>2333.5</v>
      </c>
      <c r="AR108" s="17">
        <v>2349.89</v>
      </c>
      <c r="AS108" s="17">
        <v>2366.27</v>
      </c>
      <c r="AT108" s="17">
        <v>2382.66</v>
      </c>
      <c r="AU108" s="17">
        <v>2399.04</v>
      </c>
      <c r="AV108" s="17">
        <v>2415.42</v>
      </c>
      <c r="AW108" s="17">
        <v>2431.81</v>
      </c>
      <c r="AX108" s="17">
        <v>2448.19</v>
      </c>
      <c r="AY108" s="17">
        <v>2464.58</v>
      </c>
      <c r="AZ108" s="17">
        <v>2480.96</v>
      </c>
      <c r="BA108" s="17">
        <f t="shared" ref="BA108:BK108" si="105">ROUND(AZ108+$K108,2)</f>
        <v>2497.34</v>
      </c>
      <c r="BB108" s="17">
        <f t="shared" si="105"/>
        <v>2513.7199999999998</v>
      </c>
      <c r="BC108" s="17">
        <f t="shared" si="105"/>
        <v>2530.1</v>
      </c>
      <c r="BD108" s="17">
        <f t="shared" si="105"/>
        <v>2546.48</v>
      </c>
      <c r="BE108" s="17">
        <f t="shared" si="105"/>
        <v>2562.86</v>
      </c>
      <c r="BF108" s="17">
        <f t="shared" si="105"/>
        <v>2579.2399999999998</v>
      </c>
      <c r="BG108" s="17">
        <f t="shared" si="105"/>
        <v>2595.62</v>
      </c>
      <c r="BH108" s="17">
        <f t="shared" si="105"/>
        <v>2612</v>
      </c>
      <c r="BI108" s="17">
        <f t="shared" si="105"/>
        <v>2628.38</v>
      </c>
      <c r="BJ108" s="17">
        <f t="shared" si="105"/>
        <v>2644.76</v>
      </c>
      <c r="BK108" s="17">
        <f t="shared" si="105"/>
        <v>2661.14</v>
      </c>
    </row>
    <row r="109" spans="1:63" s="18" customFormat="1">
      <c r="A109" s="14" t="s">
        <v>157</v>
      </c>
      <c r="B109" s="54"/>
      <c r="C109" s="14" t="s">
        <v>154</v>
      </c>
      <c r="D109" s="14" t="s">
        <v>100</v>
      </c>
      <c r="E109" s="14" t="s">
        <v>39</v>
      </c>
      <c r="F109" s="14" t="s">
        <v>57</v>
      </c>
      <c r="H109" s="110"/>
      <c r="I109" s="15">
        <v>6.4</v>
      </c>
      <c r="J109" s="18">
        <v>19.2</v>
      </c>
      <c r="K109" s="17">
        <f t="shared" si="89"/>
        <v>18.819999999999709</v>
      </c>
      <c r="L109" s="17">
        <v>1993.22</v>
      </c>
      <c r="M109" s="17">
        <v>2012.03</v>
      </c>
      <c r="N109" s="17">
        <v>2030.85</v>
      </c>
      <c r="O109" s="17">
        <v>2049.66</v>
      </c>
      <c r="P109" s="17">
        <v>2068.48</v>
      </c>
      <c r="Q109" s="17">
        <v>2087.3000000000002</v>
      </c>
      <c r="R109" s="17">
        <v>2106.11</v>
      </c>
      <c r="S109" s="17">
        <v>2124.9299999999998</v>
      </c>
      <c r="T109" s="17">
        <v>2143.7399999999998</v>
      </c>
      <c r="U109" s="17">
        <v>2162.56</v>
      </c>
      <c r="V109" s="17">
        <v>2181.38</v>
      </c>
      <c r="W109" s="17">
        <v>2200.19</v>
      </c>
      <c r="X109" s="17">
        <v>2219.0100000000002</v>
      </c>
      <c r="Y109" s="17">
        <v>2237.8200000000002</v>
      </c>
      <c r="Z109" s="17">
        <v>2256.64</v>
      </c>
      <c r="AA109" s="17">
        <v>2275.46</v>
      </c>
      <c r="AB109" s="17">
        <v>2294.27</v>
      </c>
      <c r="AC109" s="17">
        <v>2313.09</v>
      </c>
      <c r="AD109" s="17">
        <v>2331.9</v>
      </c>
      <c r="AE109" s="17">
        <v>2350.7199999999998</v>
      </c>
      <c r="AF109" s="17">
        <v>2369.54</v>
      </c>
      <c r="AG109" s="17">
        <v>2388.35</v>
      </c>
      <c r="AH109" s="17">
        <v>2407.17</v>
      </c>
      <c r="AI109" s="17">
        <v>2425.98</v>
      </c>
      <c r="AJ109" s="17">
        <v>2444.8000000000002</v>
      </c>
      <c r="AK109" s="17">
        <v>2463.62</v>
      </c>
      <c r="AL109" s="17">
        <v>2482.4299999999998</v>
      </c>
      <c r="AM109" s="17">
        <v>2501.25</v>
      </c>
      <c r="AN109" s="17">
        <v>2520.06</v>
      </c>
      <c r="AO109" s="17">
        <v>2538.88</v>
      </c>
      <c r="AP109" s="17">
        <v>2557.6999999999998</v>
      </c>
      <c r="AQ109" s="17">
        <v>2576.5100000000002</v>
      </c>
      <c r="AR109" s="17">
        <v>2595.33</v>
      </c>
      <c r="AS109" s="17">
        <v>2614.14</v>
      </c>
      <c r="AT109" s="17">
        <v>2632.96</v>
      </c>
      <c r="AU109" s="17">
        <v>2651.78</v>
      </c>
      <c r="AV109" s="17">
        <v>2670.59</v>
      </c>
      <c r="AW109" s="17">
        <v>2689.41</v>
      </c>
      <c r="AX109" s="17">
        <v>2708.22</v>
      </c>
      <c r="AY109" s="17">
        <v>2727.04</v>
      </c>
      <c r="AZ109" s="17">
        <v>2745.86</v>
      </c>
      <c r="BA109" s="17">
        <f t="shared" ref="BA109:BK109" si="106">ROUND(AZ109+$K109,2)</f>
        <v>2764.68</v>
      </c>
      <c r="BB109" s="17">
        <f t="shared" si="106"/>
        <v>2783.5</v>
      </c>
      <c r="BC109" s="17">
        <f t="shared" si="106"/>
        <v>2802.32</v>
      </c>
      <c r="BD109" s="17">
        <f t="shared" si="106"/>
        <v>2821.14</v>
      </c>
      <c r="BE109" s="17">
        <f t="shared" si="106"/>
        <v>2839.96</v>
      </c>
      <c r="BF109" s="17">
        <f t="shared" si="106"/>
        <v>2858.78</v>
      </c>
      <c r="BG109" s="17">
        <f t="shared" si="106"/>
        <v>2877.6</v>
      </c>
      <c r="BH109" s="17">
        <f t="shared" si="106"/>
        <v>2896.42</v>
      </c>
      <c r="BI109" s="17">
        <f t="shared" si="106"/>
        <v>2915.24</v>
      </c>
      <c r="BJ109" s="17">
        <f t="shared" si="106"/>
        <v>2934.06</v>
      </c>
      <c r="BK109" s="17">
        <f t="shared" si="106"/>
        <v>2952.88</v>
      </c>
    </row>
    <row r="110" spans="1:63" s="18" customFormat="1">
      <c r="A110" s="24" t="s">
        <v>158</v>
      </c>
      <c r="B110" s="244">
        <v>23</v>
      </c>
      <c r="C110" s="24" t="s">
        <v>154</v>
      </c>
      <c r="D110" s="24" t="s">
        <v>100</v>
      </c>
      <c r="E110" s="24" t="s">
        <v>159</v>
      </c>
      <c r="F110" s="24" t="s">
        <v>23</v>
      </c>
      <c r="G110" s="335"/>
      <c r="H110" s="284" t="s">
        <v>160</v>
      </c>
      <c r="I110" s="15">
        <v>6.4</v>
      </c>
      <c r="J110" s="18">
        <v>21</v>
      </c>
      <c r="K110" s="17">
        <f t="shared" si="89"/>
        <v>19.9699999999998</v>
      </c>
      <c r="L110" s="17">
        <v>2010.37</v>
      </c>
      <c r="M110" s="17">
        <v>2030.34</v>
      </c>
      <c r="N110" s="17">
        <v>2050.3000000000002</v>
      </c>
      <c r="O110" s="17">
        <v>2070.27</v>
      </c>
      <c r="P110" s="17">
        <v>2090.2399999999998</v>
      </c>
      <c r="Q110" s="17">
        <v>2110.21</v>
      </c>
      <c r="R110" s="17">
        <v>2130.1799999999998</v>
      </c>
      <c r="S110" s="17">
        <v>2150.14</v>
      </c>
      <c r="T110" s="17">
        <v>2170.11</v>
      </c>
      <c r="U110" s="17">
        <v>2190.08</v>
      </c>
      <c r="V110" s="17">
        <v>2210.0500000000002</v>
      </c>
      <c r="W110" s="17">
        <v>2230.02</v>
      </c>
      <c r="X110" s="17">
        <v>2249.98</v>
      </c>
      <c r="Y110" s="17">
        <v>2269.9499999999998</v>
      </c>
      <c r="Z110" s="17">
        <v>2289.92</v>
      </c>
      <c r="AA110" s="17">
        <v>2309.89</v>
      </c>
      <c r="AB110" s="17">
        <v>2329.86</v>
      </c>
      <c r="AC110" s="17">
        <v>2349.8200000000002</v>
      </c>
      <c r="AD110" s="17">
        <v>2369.79</v>
      </c>
      <c r="AE110" s="17">
        <v>2389.7600000000002</v>
      </c>
      <c r="AF110" s="17">
        <v>2409.73</v>
      </c>
      <c r="AG110" s="17">
        <v>2429.6999999999998</v>
      </c>
      <c r="AH110" s="17">
        <v>2449.66</v>
      </c>
      <c r="AI110" s="17">
        <v>2469.63</v>
      </c>
      <c r="AJ110" s="17">
        <v>2489.6</v>
      </c>
      <c r="AK110" s="17">
        <v>2509.5700000000002</v>
      </c>
      <c r="AL110" s="17">
        <v>2529.54</v>
      </c>
      <c r="AM110" s="17">
        <v>2549.5</v>
      </c>
      <c r="AN110" s="17">
        <v>2569.4699999999998</v>
      </c>
      <c r="AO110" s="17">
        <v>2589.44</v>
      </c>
      <c r="AP110" s="17">
        <v>2609.41</v>
      </c>
      <c r="AQ110" s="17">
        <v>2629.38</v>
      </c>
      <c r="AR110" s="17">
        <v>2649.34</v>
      </c>
      <c r="AS110" s="17">
        <v>2669.31</v>
      </c>
      <c r="AT110" s="17">
        <v>2689.28</v>
      </c>
      <c r="AU110" s="17">
        <v>2709.25</v>
      </c>
      <c r="AV110" s="17">
        <v>2729.22</v>
      </c>
      <c r="AW110" s="17">
        <v>2749.18</v>
      </c>
      <c r="AX110" s="17">
        <v>2769.15</v>
      </c>
      <c r="AY110" s="17">
        <v>2789.12</v>
      </c>
      <c r="AZ110" s="17">
        <v>2809.09</v>
      </c>
      <c r="BA110" s="17">
        <f t="shared" ref="BA110:BK110" si="107">ROUND(AZ110+$K110,2)</f>
        <v>2829.06</v>
      </c>
      <c r="BB110" s="17">
        <f t="shared" si="107"/>
        <v>2849.03</v>
      </c>
      <c r="BC110" s="17">
        <f t="shared" si="107"/>
        <v>2869</v>
      </c>
      <c r="BD110" s="17">
        <f t="shared" si="107"/>
        <v>2888.97</v>
      </c>
      <c r="BE110" s="17">
        <f t="shared" si="107"/>
        <v>2908.94</v>
      </c>
      <c r="BF110" s="17">
        <f t="shared" si="107"/>
        <v>2928.91</v>
      </c>
      <c r="BG110" s="17">
        <f t="shared" si="107"/>
        <v>2948.88</v>
      </c>
      <c r="BH110" s="17">
        <f t="shared" si="107"/>
        <v>2968.85</v>
      </c>
      <c r="BI110" s="17">
        <f t="shared" si="107"/>
        <v>2988.82</v>
      </c>
      <c r="BJ110" s="17">
        <f t="shared" si="107"/>
        <v>3008.79</v>
      </c>
      <c r="BK110" s="17">
        <f t="shared" si="107"/>
        <v>3028.76</v>
      </c>
    </row>
    <row r="111" spans="1:63" s="18" customFormat="1">
      <c r="A111" s="14" t="s">
        <v>161</v>
      </c>
      <c r="B111" s="54"/>
      <c r="C111" s="14" t="s">
        <v>154</v>
      </c>
      <c r="D111" s="14" t="s">
        <v>100</v>
      </c>
      <c r="E111" s="14" t="s">
        <v>25</v>
      </c>
      <c r="F111" s="14" t="s">
        <v>23</v>
      </c>
      <c r="H111" s="284" t="s">
        <v>162</v>
      </c>
      <c r="I111" s="15">
        <v>6.4</v>
      </c>
      <c r="J111" s="18">
        <v>42</v>
      </c>
      <c r="K111" s="17">
        <f t="shared" si="89"/>
        <v>44.539999999999964</v>
      </c>
      <c r="L111" s="17">
        <v>4164.54</v>
      </c>
      <c r="M111" s="17">
        <v>4209.09</v>
      </c>
      <c r="N111" s="17">
        <v>4253.63</v>
      </c>
      <c r="O111" s="17">
        <v>4298.18</v>
      </c>
      <c r="P111" s="17">
        <v>4342.72</v>
      </c>
      <c r="Q111" s="17">
        <v>4387.26</v>
      </c>
      <c r="R111" s="17">
        <v>4431.8100000000004</v>
      </c>
      <c r="S111" s="17">
        <v>4476.3500000000004</v>
      </c>
      <c r="T111" s="17">
        <v>4520.8999999999996</v>
      </c>
      <c r="U111" s="17">
        <v>4565.4399999999996</v>
      </c>
      <c r="V111" s="17">
        <v>4609.9799999999996</v>
      </c>
      <c r="W111" s="17">
        <v>4654.53</v>
      </c>
      <c r="X111" s="17">
        <v>4699.07</v>
      </c>
      <c r="Y111" s="17">
        <v>4743.62</v>
      </c>
      <c r="Z111" s="17">
        <v>4788.16</v>
      </c>
      <c r="AA111" s="17">
        <v>4832.7</v>
      </c>
      <c r="AB111" s="17">
        <v>4877.25</v>
      </c>
      <c r="AC111" s="17">
        <v>4921.79</v>
      </c>
      <c r="AD111" s="17">
        <v>4966.34</v>
      </c>
      <c r="AE111" s="17">
        <v>5010.88</v>
      </c>
      <c r="AF111" s="17">
        <v>5055.42</v>
      </c>
      <c r="AG111" s="17">
        <v>5099.97</v>
      </c>
      <c r="AH111" s="17">
        <v>5144.51</v>
      </c>
      <c r="AI111" s="17">
        <v>5189.0600000000004</v>
      </c>
      <c r="AJ111" s="17">
        <v>5233.6000000000004</v>
      </c>
      <c r="AK111" s="17">
        <v>5278.14</v>
      </c>
      <c r="AL111" s="17">
        <v>5322.69</v>
      </c>
      <c r="AM111" s="17">
        <v>5367.23</v>
      </c>
      <c r="AN111" s="17">
        <v>5411.78</v>
      </c>
      <c r="AO111" s="17">
        <v>5456.32</v>
      </c>
      <c r="AP111" s="17">
        <v>5500.86</v>
      </c>
      <c r="AQ111" s="17">
        <v>5545.41</v>
      </c>
      <c r="AR111" s="17">
        <v>5589.95</v>
      </c>
      <c r="AS111" s="17">
        <v>5634.5</v>
      </c>
      <c r="AT111" s="17">
        <v>5679.04</v>
      </c>
      <c r="AU111" s="17">
        <v>5723.58</v>
      </c>
      <c r="AV111" s="17">
        <v>5768.13</v>
      </c>
      <c r="AW111" s="17">
        <v>5812.67</v>
      </c>
      <c r="AX111" s="17">
        <v>5857.22</v>
      </c>
      <c r="AY111" s="17">
        <v>5901.76</v>
      </c>
      <c r="AZ111" s="17">
        <v>5946.3</v>
      </c>
      <c r="BA111" s="17">
        <f t="shared" ref="BA111:BK111" si="108">ROUND(AZ111+$K111,2)</f>
        <v>5990.84</v>
      </c>
      <c r="BB111" s="17">
        <f t="shared" si="108"/>
        <v>6035.38</v>
      </c>
      <c r="BC111" s="17">
        <f t="shared" si="108"/>
        <v>6079.92</v>
      </c>
      <c r="BD111" s="17">
        <f t="shared" si="108"/>
        <v>6124.46</v>
      </c>
      <c r="BE111" s="17">
        <f t="shared" si="108"/>
        <v>6169</v>
      </c>
      <c r="BF111" s="17">
        <f t="shared" si="108"/>
        <v>6213.54</v>
      </c>
      <c r="BG111" s="17">
        <f t="shared" si="108"/>
        <v>6258.08</v>
      </c>
      <c r="BH111" s="17">
        <f t="shared" si="108"/>
        <v>6302.62</v>
      </c>
      <c r="BI111" s="17">
        <f t="shared" si="108"/>
        <v>6347.16</v>
      </c>
      <c r="BJ111" s="17">
        <f t="shared" si="108"/>
        <v>6391.7</v>
      </c>
      <c r="BK111" s="17">
        <f t="shared" si="108"/>
        <v>6436.24</v>
      </c>
    </row>
    <row r="112" spans="1:63" s="18" customFormat="1">
      <c r="A112" s="14" t="s">
        <v>161</v>
      </c>
      <c r="B112" s="54"/>
      <c r="C112" s="14" t="s">
        <v>154</v>
      </c>
      <c r="D112" s="14" t="s">
        <v>100</v>
      </c>
      <c r="E112" s="14" t="s">
        <v>39</v>
      </c>
      <c r="F112" s="14" t="s">
        <v>57</v>
      </c>
      <c r="H112" s="284" t="s">
        <v>163</v>
      </c>
      <c r="I112" s="15">
        <v>6.4</v>
      </c>
      <c r="J112" s="18">
        <v>42</v>
      </c>
      <c r="K112" s="17">
        <f t="shared" si="89"/>
        <v>42.489999999999782</v>
      </c>
      <c r="L112" s="17">
        <v>3798.34</v>
      </c>
      <c r="M112" s="17">
        <v>3840.83</v>
      </c>
      <c r="N112" s="17">
        <v>3883.39</v>
      </c>
      <c r="O112" s="17">
        <v>3925.89</v>
      </c>
      <c r="P112" s="17">
        <v>3968.45</v>
      </c>
      <c r="Q112" s="17">
        <v>4010.94</v>
      </c>
      <c r="R112" s="17">
        <v>4053.5</v>
      </c>
      <c r="S112" s="17">
        <v>4096</v>
      </c>
      <c r="T112" s="17">
        <v>4138.5600000000004</v>
      </c>
      <c r="U112" s="17">
        <v>4181.0600000000004</v>
      </c>
      <c r="V112" s="17">
        <v>4223.62</v>
      </c>
      <c r="W112" s="17">
        <v>4266.1099999999997</v>
      </c>
      <c r="X112" s="17">
        <v>4308.67</v>
      </c>
      <c r="Y112" s="17">
        <v>4351.17</v>
      </c>
      <c r="Z112" s="17">
        <v>4393.7299999999996</v>
      </c>
      <c r="AA112" s="17">
        <v>4436.22</v>
      </c>
      <c r="AB112" s="17">
        <v>4478.72</v>
      </c>
      <c r="AC112" s="17">
        <v>4521.28</v>
      </c>
      <c r="AD112" s="17">
        <v>4563.78</v>
      </c>
      <c r="AE112" s="17">
        <v>4606.34</v>
      </c>
      <c r="AF112" s="17">
        <v>4648.83</v>
      </c>
      <c r="AG112" s="17">
        <v>4691.3900000000003</v>
      </c>
      <c r="AH112" s="17">
        <v>4733.8900000000003</v>
      </c>
      <c r="AI112" s="17">
        <v>4776.45</v>
      </c>
      <c r="AJ112" s="17">
        <v>4818.9399999999996</v>
      </c>
      <c r="AK112" s="17">
        <v>4861.5</v>
      </c>
      <c r="AL112" s="17">
        <v>4904</v>
      </c>
      <c r="AM112" s="17">
        <v>4946.5600000000004</v>
      </c>
      <c r="AN112" s="17">
        <v>4989.0600000000004</v>
      </c>
      <c r="AO112" s="17">
        <v>5031.62</v>
      </c>
      <c r="AP112" s="17">
        <v>5074.1099999999997</v>
      </c>
      <c r="AQ112" s="17">
        <v>5116.67</v>
      </c>
      <c r="AR112" s="17">
        <v>5159.17</v>
      </c>
      <c r="AS112" s="17">
        <v>5201.66</v>
      </c>
      <c r="AT112" s="17">
        <v>5244.22</v>
      </c>
      <c r="AU112" s="17">
        <v>5286.72</v>
      </c>
      <c r="AV112" s="17">
        <v>5329.28</v>
      </c>
      <c r="AW112" s="17">
        <v>5371.78</v>
      </c>
      <c r="AX112" s="17">
        <v>5414.34</v>
      </c>
      <c r="AY112" s="17">
        <v>5456.83</v>
      </c>
      <c r="AZ112" s="17">
        <v>5499.39</v>
      </c>
      <c r="BA112" s="17">
        <f t="shared" ref="BA112:BK112" si="109">ROUND(AZ112+$K112,2)</f>
        <v>5541.88</v>
      </c>
      <c r="BB112" s="17">
        <f t="shared" si="109"/>
        <v>5584.37</v>
      </c>
      <c r="BC112" s="17">
        <f t="shared" si="109"/>
        <v>5626.86</v>
      </c>
      <c r="BD112" s="17">
        <f t="shared" si="109"/>
        <v>5669.35</v>
      </c>
      <c r="BE112" s="17">
        <f t="shared" si="109"/>
        <v>5711.84</v>
      </c>
      <c r="BF112" s="17">
        <f t="shared" si="109"/>
        <v>5754.33</v>
      </c>
      <c r="BG112" s="17">
        <f t="shared" si="109"/>
        <v>5796.82</v>
      </c>
      <c r="BH112" s="17">
        <f t="shared" si="109"/>
        <v>5839.31</v>
      </c>
      <c r="BI112" s="17">
        <f t="shared" si="109"/>
        <v>5881.8</v>
      </c>
      <c r="BJ112" s="17">
        <f t="shared" si="109"/>
        <v>5924.29</v>
      </c>
      <c r="BK112" s="17">
        <f t="shared" si="109"/>
        <v>5966.78</v>
      </c>
    </row>
    <row r="113" spans="1:63" s="18" customFormat="1">
      <c r="A113" s="334" t="s">
        <v>164</v>
      </c>
      <c r="B113" s="290">
        <v>23</v>
      </c>
      <c r="C113" s="24" t="s">
        <v>154</v>
      </c>
      <c r="D113" s="24" t="s">
        <v>100</v>
      </c>
      <c r="E113" s="24" t="s">
        <v>25</v>
      </c>
      <c r="F113" s="24" t="s">
        <v>23</v>
      </c>
      <c r="G113" s="335"/>
      <c r="H113" s="284" t="s">
        <v>165</v>
      </c>
      <c r="I113" s="15">
        <v>6.4</v>
      </c>
      <c r="J113" s="18">
        <v>21</v>
      </c>
      <c r="K113" s="17">
        <f t="shared" si="89"/>
        <v>21.180000000000291</v>
      </c>
      <c r="L113" s="17">
        <v>1962.88</v>
      </c>
      <c r="M113" s="17">
        <v>1984.06</v>
      </c>
      <c r="N113" s="17">
        <v>2005.25</v>
      </c>
      <c r="O113" s="17">
        <v>2026.43</v>
      </c>
      <c r="P113" s="17">
        <v>2047.62</v>
      </c>
      <c r="Q113" s="17">
        <v>2068.8000000000002</v>
      </c>
      <c r="R113" s="17">
        <v>2089.98</v>
      </c>
      <c r="S113" s="17">
        <v>2111.17</v>
      </c>
      <c r="T113" s="17">
        <v>2132.35</v>
      </c>
      <c r="U113" s="17">
        <v>2153.54</v>
      </c>
      <c r="V113" s="17">
        <v>2174.7199999999998</v>
      </c>
      <c r="W113" s="17">
        <v>2195.9</v>
      </c>
      <c r="X113" s="17">
        <v>2217.09</v>
      </c>
      <c r="Y113" s="17">
        <v>2238.27</v>
      </c>
      <c r="Z113" s="17">
        <v>2259.46</v>
      </c>
      <c r="AA113" s="17">
        <v>2280.64</v>
      </c>
      <c r="AB113" s="17">
        <v>2301.8200000000002</v>
      </c>
      <c r="AC113" s="17">
        <v>2323.0100000000002</v>
      </c>
      <c r="AD113" s="17">
        <v>2344.19</v>
      </c>
      <c r="AE113" s="17">
        <v>2365.38</v>
      </c>
      <c r="AF113" s="17">
        <v>2386.56</v>
      </c>
      <c r="AG113" s="17">
        <v>2407.7399999999998</v>
      </c>
      <c r="AH113" s="17">
        <v>2428.9299999999998</v>
      </c>
      <c r="AI113" s="17">
        <v>2450.11</v>
      </c>
      <c r="AJ113" s="17">
        <v>2471.3000000000002</v>
      </c>
      <c r="AK113" s="17">
        <v>2492.48</v>
      </c>
      <c r="AL113" s="17">
        <v>2513.66</v>
      </c>
      <c r="AM113" s="17">
        <v>2534.85</v>
      </c>
      <c r="AN113" s="17">
        <v>2556.0300000000002</v>
      </c>
      <c r="AO113" s="17">
        <v>2577.2199999999998</v>
      </c>
      <c r="AP113" s="17">
        <v>2598.4</v>
      </c>
      <c r="AQ113" s="17">
        <v>2619.58</v>
      </c>
      <c r="AR113" s="17">
        <v>2640.77</v>
      </c>
      <c r="AS113" s="17">
        <v>2661.95</v>
      </c>
      <c r="AT113" s="17">
        <v>2683.14</v>
      </c>
      <c r="AU113" s="17">
        <v>2704.32</v>
      </c>
      <c r="AV113" s="17">
        <v>2725.5</v>
      </c>
      <c r="AW113" s="17">
        <v>2746.69</v>
      </c>
      <c r="AX113" s="17">
        <v>2767.87</v>
      </c>
      <c r="AY113" s="17">
        <v>2789.06</v>
      </c>
      <c r="AZ113" s="17">
        <v>2810.24</v>
      </c>
      <c r="BA113" s="17">
        <f t="shared" ref="BA113:BK113" si="110">ROUND(AZ113+$K113,2)</f>
        <v>2831.42</v>
      </c>
      <c r="BB113" s="17">
        <f t="shared" si="110"/>
        <v>2852.6</v>
      </c>
      <c r="BC113" s="17">
        <f t="shared" si="110"/>
        <v>2873.78</v>
      </c>
      <c r="BD113" s="17">
        <f t="shared" si="110"/>
        <v>2894.96</v>
      </c>
      <c r="BE113" s="17">
        <f t="shared" si="110"/>
        <v>2916.14</v>
      </c>
      <c r="BF113" s="17">
        <f t="shared" si="110"/>
        <v>2937.32</v>
      </c>
      <c r="BG113" s="17">
        <f t="shared" si="110"/>
        <v>2958.5</v>
      </c>
      <c r="BH113" s="17">
        <f t="shared" si="110"/>
        <v>2979.68</v>
      </c>
      <c r="BI113" s="17">
        <f t="shared" si="110"/>
        <v>3000.86</v>
      </c>
      <c r="BJ113" s="17">
        <f t="shared" si="110"/>
        <v>3022.04</v>
      </c>
      <c r="BK113" s="17">
        <f t="shared" si="110"/>
        <v>3043.22</v>
      </c>
    </row>
    <row r="114" spans="1:63" s="18" customFormat="1">
      <c r="A114" s="24" t="s">
        <v>164</v>
      </c>
      <c r="B114" s="244">
        <v>23</v>
      </c>
      <c r="C114" s="24" t="s">
        <v>154</v>
      </c>
      <c r="D114" s="24" t="s">
        <v>100</v>
      </c>
      <c r="E114" s="24" t="s">
        <v>22</v>
      </c>
      <c r="F114" s="24" t="s">
        <v>23</v>
      </c>
      <c r="G114" s="335"/>
      <c r="H114" s="284" t="s">
        <v>166</v>
      </c>
      <c r="I114" s="15">
        <v>6.4</v>
      </c>
      <c r="J114" s="18">
        <v>21</v>
      </c>
      <c r="K114" s="17">
        <f t="shared" si="89"/>
        <v>21.569999999999709</v>
      </c>
      <c r="L114" s="17">
        <v>2023.62</v>
      </c>
      <c r="M114" s="17">
        <v>2045.18</v>
      </c>
      <c r="N114" s="17">
        <v>2066.75</v>
      </c>
      <c r="O114" s="17">
        <v>2088.3200000000002</v>
      </c>
      <c r="P114" s="17">
        <v>2109.89</v>
      </c>
      <c r="Q114" s="17">
        <v>2131.46</v>
      </c>
      <c r="R114" s="17">
        <v>2153.02</v>
      </c>
      <c r="S114" s="17">
        <v>2174.59</v>
      </c>
      <c r="T114" s="17">
        <v>2196.16</v>
      </c>
      <c r="U114" s="17">
        <v>2217.73</v>
      </c>
      <c r="V114" s="17">
        <v>2239.3000000000002</v>
      </c>
      <c r="W114" s="17">
        <v>2260.86</v>
      </c>
      <c r="X114" s="17">
        <v>2282.4299999999998</v>
      </c>
      <c r="Y114" s="17">
        <v>2304</v>
      </c>
      <c r="Z114" s="17">
        <v>2325.5700000000002</v>
      </c>
      <c r="AA114" s="17">
        <v>2347.14</v>
      </c>
      <c r="AB114" s="17">
        <v>2368.6999999999998</v>
      </c>
      <c r="AC114" s="17">
        <v>2390.27</v>
      </c>
      <c r="AD114" s="17">
        <v>2411.84</v>
      </c>
      <c r="AE114" s="17">
        <v>2433.41</v>
      </c>
      <c r="AF114" s="17">
        <v>2454.98</v>
      </c>
      <c r="AG114" s="17">
        <v>2476.54</v>
      </c>
      <c r="AH114" s="17">
        <v>2498.11</v>
      </c>
      <c r="AI114" s="17">
        <v>2519.6799999999998</v>
      </c>
      <c r="AJ114" s="17">
        <v>2541.25</v>
      </c>
      <c r="AK114" s="17">
        <v>2562.8200000000002</v>
      </c>
      <c r="AL114" s="17">
        <v>2584.38</v>
      </c>
      <c r="AM114" s="17">
        <v>2605.9499999999998</v>
      </c>
      <c r="AN114" s="17">
        <v>2627.52</v>
      </c>
      <c r="AO114" s="17">
        <v>2649.09</v>
      </c>
      <c r="AP114" s="17">
        <v>2670.66</v>
      </c>
      <c r="AQ114" s="17">
        <v>2692.22</v>
      </c>
      <c r="AR114" s="17">
        <v>2713.79</v>
      </c>
      <c r="AS114" s="17">
        <v>2735.36</v>
      </c>
      <c r="AT114" s="17">
        <v>2756.93</v>
      </c>
      <c r="AU114" s="17">
        <v>2778.5</v>
      </c>
      <c r="AV114" s="17">
        <v>2800.06</v>
      </c>
      <c r="AW114" s="17">
        <v>2821.63</v>
      </c>
      <c r="AX114" s="17">
        <v>2843.2</v>
      </c>
      <c r="AY114" s="17">
        <v>2864.77</v>
      </c>
      <c r="AZ114" s="17">
        <v>2886.34</v>
      </c>
      <c r="BA114" s="17">
        <f t="shared" ref="BA114:BK114" si="111">ROUND(AZ114+$K114,2)</f>
        <v>2907.91</v>
      </c>
      <c r="BB114" s="17">
        <f t="shared" si="111"/>
        <v>2929.48</v>
      </c>
      <c r="BC114" s="17">
        <f t="shared" si="111"/>
        <v>2951.05</v>
      </c>
      <c r="BD114" s="17">
        <f t="shared" si="111"/>
        <v>2972.62</v>
      </c>
      <c r="BE114" s="17">
        <f t="shared" si="111"/>
        <v>2994.19</v>
      </c>
      <c r="BF114" s="17">
        <f t="shared" si="111"/>
        <v>3015.76</v>
      </c>
      <c r="BG114" s="17">
        <f t="shared" si="111"/>
        <v>3037.33</v>
      </c>
      <c r="BH114" s="17">
        <f t="shared" si="111"/>
        <v>3058.9</v>
      </c>
      <c r="BI114" s="17">
        <f t="shared" si="111"/>
        <v>3080.47</v>
      </c>
      <c r="BJ114" s="17">
        <f t="shared" si="111"/>
        <v>3102.04</v>
      </c>
      <c r="BK114" s="17">
        <f t="shared" si="111"/>
        <v>3123.61</v>
      </c>
    </row>
    <row r="115" spans="1:63" s="18" customFormat="1">
      <c r="A115" s="14" t="s">
        <v>167</v>
      </c>
      <c r="B115" s="54"/>
      <c r="C115" s="14" t="s">
        <v>154</v>
      </c>
      <c r="D115" s="14" t="s">
        <v>625</v>
      </c>
      <c r="E115" s="14" t="s">
        <v>22</v>
      </c>
      <c r="F115" s="14" t="s">
        <v>23</v>
      </c>
      <c r="H115" s="110"/>
      <c r="I115" s="15">
        <v>6.4</v>
      </c>
      <c r="J115" s="18">
        <v>42</v>
      </c>
      <c r="K115" s="17">
        <f t="shared" si="89"/>
        <v>45.889999999999418</v>
      </c>
      <c r="L115" s="17">
        <v>4289.47</v>
      </c>
      <c r="M115" s="17">
        <v>4335.3599999999997</v>
      </c>
      <c r="N115" s="17">
        <v>4381.25</v>
      </c>
      <c r="O115" s="17">
        <v>4427.1400000000003</v>
      </c>
      <c r="P115" s="17">
        <v>4473.0200000000004</v>
      </c>
      <c r="Q115" s="17">
        <v>4518.91</v>
      </c>
      <c r="R115" s="17">
        <v>4564.8</v>
      </c>
      <c r="S115" s="17">
        <v>4610.6899999999996</v>
      </c>
      <c r="T115" s="17">
        <v>4656.58</v>
      </c>
      <c r="U115" s="17">
        <v>4702.46</v>
      </c>
      <c r="V115" s="17">
        <v>4748.3500000000004</v>
      </c>
      <c r="W115" s="17">
        <v>4794.24</v>
      </c>
      <c r="X115" s="17">
        <v>4840.13</v>
      </c>
      <c r="Y115" s="17">
        <v>4886.0200000000004</v>
      </c>
      <c r="Z115" s="17">
        <v>4931.8999999999996</v>
      </c>
      <c r="AA115" s="17">
        <v>4977.79</v>
      </c>
      <c r="AB115" s="17">
        <v>5023.68</v>
      </c>
      <c r="AC115" s="17">
        <v>5069.57</v>
      </c>
      <c r="AD115" s="17">
        <v>5115.46</v>
      </c>
      <c r="AE115" s="17">
        <v>5161.34</v>
      </c>
      <c r="AF115" s="17">
        <v>5207.2299999999996</v>
      </c>
      <c r="AG115" s="17">
        <v>5253.12</v>
      </c>
      <c r="AH115" s="17">
        <v>5299.01</v>
      </c>
      <c r="AI115" s="17">
        <v>5344.9</v>
      </c>
      <c r="AJ115" s="17">
        <v>5390.78</v>
      </c>
      <c r="AK115" s="17">
        <v>5436.67</v>
      </c>
      <c r="AL115" s="17">
        <v>5482.56</v>
      </c>
      <c r="AM115" s="17">
        <v>5528.45</v>
      </c>
      <c r="AN115" s="17">
        <v>5574.34</v>
      </c>
      <c r="AO115" s="17">
        <v>5620.22</v>
      </c>
      <c r="AP115" s="17">
        <v>5666.11</v>
      </c>
      <c r="AQ115" s="17">
        <v>5712</v>
      </c>
      <c r="AR115" s="17">
        <v>5757.89</v>
      </c>
      <c r="AS115" s="17">
        <v>5803.78</v>
      </c>
      <c r="AT115" s="17">
        <v>5849.66</v>
      </c>
      <c r="AU115" s="17">
        <v>5895.55</v>
      </c>
      <c r="AV115" s="17">
        <v>5941.44</v>
      </c>
      <c r="AW115" s="17">
        <v>5987.33</v>
      </c>
      <c r="AX115" s="17">
        <v>6033.22</v>
      </c>
      <c r="AY115" s="17">
        <v>6079.1</v>
      </c>
      <c r="AZ115" s="17">
        <v>6124.99</v>
      </c>
      <c r="BA115" s="17">
        <f t="shared" ref="BA115:BK115" si="112">ROUND(AZ115+$K115,2)</f>
        <v>6170.88</v>
      </c>
      <c r="BB115" s="17">
        <f t="shared" si="112"/>
        <v>6216.77</v>
      </c>
      <c r="BC115" s="17">
        <f t="shared" si="112"/>
        <v>6262.66</v>
      </c>
      <c r="BD115" s="17">
        <f t="shared" si="112"/>
        <v>6308.55</v>
      </c>
      <c r="BE115" s="17">
        <f t="shared" si="112"/>
        <v>6354.44</v>
      </c>
      <c r="BF115" s="17">
        <f t="shared" si="112"/>
        <v>6400.33</v>
      </c>
      <c r="BG115" s="17">
        <f t="shared" si="112"/>
        <v>6446.22</v>
      </c>
      <c r="BH115" s="17">
        <f t="shared" si="112"/>
        <v>6492.11</v>
      </c>
      <c r="BI115" s="17">
        <f t="shared" si="112"/>
        <v>6538</v>
      </c>
      <c r="BJ115" s="17">
        <f t="shared" si="112"/>
        <v>6583.89</v>
      </c>
      <c r="BK115" s="17">
        <f t="shared" si="112"/>
        <v>6629.78</v>
      </c>
    </row>
    <row r="116" spans="1:63" s="18" customFormat="1">
      <c r="A116" s="14" t="s">
        <v>168</v>
      </c>
      <c r="B116" s="54"/>
      <c r="C116" s="14" t="s">
        <v>154</v>
      </c>
      <c r="D116" s="14" t="s">
        <v>100</v>
      </c>
      <c r="E116" s="14" t="s">
        <v>39</v>
      </c>
      <c r="F116" s="14" t="s">
        <v>57</v>
      </c>
      <c r="H116" s="284" t="s">
        <v>169</v>
      </c>
      <c r="I116" s="15">
        <v>6.4</v>
      </c>
      <c r="J116" s="18">
        <v>21</v>
      </c>
      <c r="K116" s="17">
        <f t="shared" si="89"/>
        <v>20.540000000000418</v>
      </c>
      <c r="L116" s="17">
        <v>1834.94</v>
      </c>
      <c r="M116" s="17">
        <v>1855.49</v>
      </c>
      <c r="N116" s="17">
        <v>1876.03</v>
      </c>
      <c r="O116" s="17">
        <v>1896.58</v>
      </c>
      <c r="P116" s="17">
        <v>1917.12</v>
      </c>
      <c r="Q116" s="17">
        <v>1937.66</v>
      </c>
      <c r="R116" s="17">
        <v>1958.21</v>
      </c>
      <c r="S116" s="17">
        <v>1978.75</v>
      </c>
      <c r="T116" s="17">
        <v>1999.3</v>
      </c>
      <c r="U116" s="17">
        <v>2019.84</v>
      </c>
      <c r="V116" s="17">
        <v>2040.38</v>
      </c>
      <c r="W116" s="17">
        <v>2060.9299999999998</v>
      </c>
      <c r="X116" s="17">
        <v>2081.4699999999998</v>
      </c>
      <c r="Y116" s="17">
        <v>2102.02</v>
      </c>
      <c r="Z116" s="17">
        <v>2122.56</v>
      </c>
      <c r="AA116" s="17">
        <v>2143.1</v>
      </c>
      <c r="AB116" s="17">
        <v>2163.65</v>
      </c>
      <c r="AC116" s="17">
        <v>2184.19</v>
      </c>
      <c r="AD116" s="17">
        <v>2204.7399999999998</v>
      </c>
      <c r="AE116" s="17">
        <v>2225.2800000000002</v>
      </c>
      <c r="AF116" s="17">
        <v>2245.8200000000002</v>
      </c>
      <c r="AG116" s="17">
        <v>2266.37</v>
      </c>
      <c r="AH116" s="17">
        <v>2286.91</v>
      </c>
      <c r="AI116" s="17">
        <v>2307.46</v>
      </c>
      <c r="AJ116" s="17">
        <v>2328</v>
      </c>
      <c r="AK116" s="17">
        <v>2348.54</v>
      </c>
      <c r="AL116" s="17">
        <v>2369.09</v>
      </c>
      <c r="AM116" s="17">
        <v>2389.63</v>
      </c>
      <c r="AN116" s="17">
        <v>2410.1799999999998</v>
      </c>
      <c r="AO116" s="17">
        <v>2430.7199999999998</v>
      </c>
      <c r="AP116" s="17">
        <v>2451.2600000000002</v>
      </c>
      <c r="AQ116" s="17">
        <v>2471.81</v>
      </c>
      <c r="AR116" s="17">
        <v>2492.35</v>
      </c>
      <c r="AS116" s="17">
        <v>2512.9</v>
      </c>
      <c r="AT116" s="17">
        <v>2533.44</v>
      </c>
      <c r="AU116" s="17">
        <v>2553.98</v>
      </c>
      <c r="AV116" s="17">
        <v>2574.5300000000002</v>
      </c>
      <c r="AW116" s="17">
        <v>2595.0700000000002</v>
      </c>
      <c r="AX116" s="17">
        <v>2615.62</v>
      </c>
      <c r="AY116" s="17">
        <v>2636.16</v>
      </c>
      <c r="AZ116" s="17">
        <v>2656.7</v>
      </c>
      <c r="BA116" s="17">
        <f t="shared" ref="BA116:BK116" si="113">ROUND(AZ116+$K116,2)</f>
        <v>2677.24</v>
      </c>
      <c r="BB116" s="17">
        <f t="shared" si="113"/>
        <v>2697.78</v>
      </c>
      <c r="BC116" s="17">
        <f t="shared" si="113"/>
        <v>2718.32</v>
      </c>
      <c r="BD116" s="17">
        <f t="shared" si="113"/>
        <v>2738.86</v>
      </c>
      <c r="BE116" s="17">
        <f t="shared" si="113"/>
        <v>2759.4</v>
      </c>
      <c r="BF116" s="17">
        <f t="shared" si="113"/>
        <v>2779.94</v>
      </c>
      <c r="BG116" s="17">
        <f t="shared" si="113"/>
        <v>2800.48</v>
      </c>
      <c r="BH116" s="17">
        <f t="shared" si="113"/>
        <v>2821.02</v>
      </c>
      <c r="BI116" s="17">
        <f t="shared" si="113"/>
        <v>2841.56</v>
      </c>
      <c r="BJ116" s="17">
        <f t="shared" si="113"/>
        <v>2862.1</v>
      </c>
      <c r="BK116" s="17">
        <f t="shared" si="113"/>
        <v>2882.64</v>
      </c>
    </row>
    <row r="117" spans="1:63" s="18" customFormat="1">
      <c r="A117" s="14" t="s">
        <v>170</v>
      </c>
      <c r="B117" s="54"/>
      <c r="C117" s="14" t="s">
        <v>154</v>
      </c>
      <c r="D117" s="14" t="s">
        <v>100</v>
      </c>
      <c r="E117" s="14" t="s">
        <v>22</v>
      </c>
      <c r="F117" s="14" t="s">
        <v>23</v>
      </c>
      <c r="H117" s="110"/>
      <c r="I117" s="15">
        <v>6.4</v>
      </c>
      <c r="J117" s="18">
        <v>23</v>
      </c>
      <c r="K117" s="17">
        <f t="shared" si="89"/>
        <v>22.399999999999636</v>
      </c>
      <c r="L117" s="17">
        <v>2125.9499999999998</v>
      </c>
      <c r="M117" s="17">
        <v>2148.35</v>
      </c>
      <c r="N117" s="17">
        <v>2170.75</v>
      </c>
      <c r="O117" s="17">
        <v>2193.15</v>
      </c>
      <c r="P117" s="17">
        <v>2215.5500000000002</v>
      </c>
      <c r="Q117" s="17">
        <v>2237.9499999999998</v>
      </c>
      <c r="R117" s="17">
        <v>2260.35</v>
      </c>
      <c r="S117" s="17">
        <v>2282.75</v>
      </c>
      <c r="T117" s="17">
        <v>2305.15</v>
      </c>
      <c r="U117" s="17">
        <v>2327.5500000000002</v>
      </c>
      <c r="V117" s="17">
        <v>2349.9499999999998</v>
      </c>
      <c r="W117" s="17">
        <v>2372.35</v>
      </c>
      <c r="X117" s="17">
        <v>2394.75</v>
      </c>
      <c r="Y117" s="17">
        <v>2417.15</v>
      </c>
      <c r="Z117" s="17">
        <v>2439.5500000000002</v>
      </c>
      <c r="AA117" s="17">
        <v>2461.9499999999998</v>
      </c>
      <c r="AB117" s="17">
        <v>2484.35</v>
      </c>
      <c r="AC117" s="17">
        <v>2506.75</v>
      </c>
      <c r="AD117" s="17">
        <v>2529.15</v>
      </c>
      <c r="AE117" s="17">
        <v>2551.5500000000002</v>
      </c>
      <c r="AF117" s="17">
        <v>2573.9499999999998</v>
      </c>
      <c r="AG117" s="17">
        <v>2596.35</v>
      </c>
      <c r="AH117" s="17">
        <v>2618.75</v>
      </c>
      <c r="AI117" s="17">
        <v>2641.15</v>
      </c>
      <c r="AJ117" s="17">
        <v>2663.55</v>
      </c>
      <c r="AK117" s="17">
        <v>2685.95</v>
      </c>
      <c r="AL117" s="17">
        <v>2708.35</v>
      </c>
      <c r="AM117" s="17">
        <v>2730.75</v>
      </c>
      <c r="AN117" s="17">
        <v>2753.15</v>
      </c>
      <c r="AO117" s="17">
        <v>2775.55</v>
      </c>
      <c r="AP117" s="17">
        <v>2797.95</v>
      </c>
      <c r="AQ117" s="17">
        <v>2820.35</v>
      </c>
      <c r="AR117" s="17">
        <v>2842.75</v>
      </c>
      <c r="AS117" s="17">
        <v>2865.15</v>
      </c>
      <c r="AT117" s="17">
        <v>2887.55</v>
      </c>
      <c r="AU117" s="17">
        <v>2909.95</v>
      </c>
      <c r="AV117" s="17">
        <v>2932.35</v>
      </c>
      <c r="AW117" s="17">
        <v>2954.75</v>
      </c>
      <c r="AX117" s="17">
        <v>2977.15</v>
      </c>
      <c r="AY117" s="17">
        <v>2999.55</v>
      </c>
      <c r="AZ117" s="17">
        <v>3021.95</v>
      </c>
      <c r="BA117" s="17">
        <f t="shared" ref="BA117:BK117" si="114">ROUND(AZ117+$K117,2)</f>
        <v>3044.35</v>
      </c>
      <c r="BB117" s="17">
        <f t="shared" si="114"/>
        <v>3066.75</v>
      </c>
      <c r="BC117" s="17">
        <f t="shared" si="114"/>
        <v>3089.15</v>
      </c>
      <c r="BD117" s="17">
        <f t="shared" si="114"/>
        <v>3111.55</v>
      </c>
      <c r="BE117" s="17">
        <f t="shared" si="114"/>
        <v>3133.95</v>
      </c>
      <c r="BF117" s="17">
        <f t="shared" si="114"/>
        <v>3156.35</v>
      </c>
      <c r="BG117" s="17">
        <f t="shared" si="114"/>
        <v>3178.75</v>
      </c>
      <c r="BH117" s="17">
        <f t="shared" si="114"/>
        <v>3201.15</v>
      </c>
      <c r="BI117" s="17">
        <f t="shared" si="114"/>
        <v>3223.55</v>
      </c>
      <c r="BJ117" s="17">
        <f t="shared" si="114"/>
        <v>3245.95</v>
      </c>
      <c r="BK117" s="17">
        <f t="shared" si="114"/>
        <v>3268.35</v>
      </c>
    </row>
    <row r="118" spans="1:63" s="18" customFormat="1">
      <c r="A118" s="14" t="s">
        <v>170</v>
      </c>
      <c r="B118" s="54"/>
      <c r="C118" s="14" t="s">
        <v>154</v>
      </c>
      <c r="D118" s="14" t="s">
        <v>100</v>
      </c>
      <c r="E118" s="14" t="s">
        <v>39</v>
      </c>
      <c r="F118" s="14" t="s">
        <v>57</v>
      </c>
      <c r="H118" s="110"/>
      <c r="I118" s="15">
        <v>6.4</v>
      </c>
      <c r="J118" s="18">
        <v>23</v>
      </c>
      <c r="K118" s="17">
        <f t="shared" si="89"/>
        <v>22.649999999999636</v>
      </c>
      <c r="L118" s="17">
        <v>2013.5</v>
      </c>
      <c r="M118" s="17">
        <v>2036.16</v>
      </c>
      <c r="N118" s="17">
        <v>2058.8200000000002</v>
      </c>
      <c r="O118" s="17">
        <v>2081.4699999999998</v>
      </c>
      <c r="P118" s="17">
        <v>2104.13</v>
      </c>
      <c r="Q118" s="17">
        <v>2126.7800000000002</v>
      </c>
      <c r="R118" s="17">
        <v>2149.44</v>
      </c>
      <c r="S118" s="17">
        <v>2172.1</v>
      </c>
      <c r="T118" s="17">
        <v>2194.75</v>
      </c>
      <c r="U118" s="17">
        <v>2217.41</v>
      </c>
      <c r="V118" s="17">
        <v>2240.06</v>
      </c>
      <c r="W118" s="17">
        <v>2262.7199999999998</v>
      </c>
      <c r="X118" s="17">
        <v>2285.38</v>
      </c>
      <c r="Y118" s="17">
        <v>2308.0300000000002</v>
      </c>
      <c r="Z118" s="17">
        <v>2330.69</v>
      </c>
      <c r="AA118" s="17">
        <v>2353.34</v>
      </c>
      <c r="AB118" s="17">
        <v>2376</v>
      </c>
      <c r="AC118" s="17">
        <v>2398.66</v>
      </c>
      <c r="AD118" s="17">
        <v>2421.31</v>
      </c>
      <c r="AE118" s="17">
        <v>2443.9699999999998</v>
      </c>
      <c r="AF118" s="17">
        <v>2466.62</v>
      </c>
      <c r="AG118" s="17">
        <v>2489.2800000000002</v>
      </c>
      <c r="AH118" s="17">
        <v>2511.94</v>
      </c>
      <c r="AI118" s="17">
        <v>2534.59</v>
      </c>
      <c r="AJ118" s="17">
        <v>2557.25</v>
      </c>
      <c r="AK118" s="17">
        <v>2579.9</v>
      </c>
      <c r="AL118" s="17">
        <v>2602.56</v>
      </c>
      <c r="AM118" s="17">
        <v>2625.22</v>
      </c>
      <c r="AN118" s="17">
        <v>2647.87</v>
      </c>
      <c r="AO118" s="17">
        <v>2670.53</v>
      </c>
      <c r="AP118" s="17">
        <v>2693.18</v>
      </c>
      <c r="AQ118" s="17">
        <v>2715.84</v>
      </c>
      <c r="AR118" s="17">
        <v>2738.5</v>
      </c>
      <c r="AS118" s="17">
        <v>2761.15</v>
      </c>
      <c r="AT118" s="17">
        <v>2783.81</v>
      </c>
      <c r="AU118" s="17">
        <v>2806.46</v>
      </c>
      <c r="AV118" s="17">
        <v>2829.12</v>
      </c>
      <c r="AW118" s="17">
        <v>2851.78</v>
      </c>
      <c r="AX118" s="17">
        <v>2874.43</v>
      </c>
      <c r="AY118" s="17">
        <v>2897.09</v>
      </c>
      <c r="AZ118" s="17">
        <v>2919.74</v>
      </c>
      <c r="BA118" s="17">
        <f t="shared" ref="BA118:BK118" si="115">ROUND(AZ118+$K118,2)</f>
        <v>2942.39</v>
      </c>
      <c r="BB118" s="17">
        <f t="shared" si="115"/>
        <v>2965.04</v>
      </c>
      <c r="BC118" s="17">
        <f t="shared" si="115"/>
        <v>2987.69</v>
      </c>
      <c r="BD118" s="17">
        <f t="shared" si="115"/>
        <v>3010.34</v>
      </c>
      <c r="BE118" s="17">
        <f t="shared" si="115"/>
        <v>3032.99</v>
      </c>
      <c r="BF118" s="17">
        <f t="shared" si="115"/>
        <v>3055.64</v>
      </c>
      <c r="BG118" s="17">
        <f t="shared" si="115"/>
        <v>3078.29</v>
      </c>
      <c r="BH118" s="17">
        <f t="shared" si="115"/>
        <v>3100.94</v>
      </c>
      <c r="BI118" s="17">
        <f t="shared" si="115"/>
        <v>3123.59</v>
      </c>
      <c r="BJ118" s="17">
        <f t="shared" si="115"/>
        <v>3146.24</v>
      </c>
      <c r="BK118" s="17">
        <f t="shared" si="115"/>
        <v>3168.89</v>
      </c>
    </row>
    <row r="119" spans="1:63" s="18" customFormat="1" hidden="1">
      <c r="A119" s="14" t="s">
        <v>171</v>
      </c>
      <c r="B119" s="54"/>
      <c r="C119" s="14" t="s">
        <v>172</v>
      </c>
      <c r="D119" s="14" t="s">
        <v>100</v>
      </c>
      <c r="E119" s="14" t="s">
        <v>39</v>
      </c>
      <c r="F119" s="14" t="s">
        <v>57</v>
      </c>
      <c r="H119" s="110"/>
      <c r="I119" s="15">
        <v>6.4</v>
      </c>
      <c r="J119" s="18">
        <v>23</v>
      </c>
      <c r="K119" s="17">
        <f t="shared" si="89"/>
        <v>22.589999999999691</v>
      </c>
      <c r="L119" s="17">
        <v>2025.34</v>
      </c>
      <c r="M119" s="17">
        <v>2047.94</v>
      </c>
      <c r="N119" s="17">
        <v>2070.5300000000002</v>
      </c>
      <c r="O119" s="17">
        <v>2093.12</v>
      </c>
      <c r="P119" s="17">
        <v>2115.71</v>
      </c>
      <c r="Q119" s="17">
        <v>2138.3000000000002</v>
      </c>
      <c r="R119" s="17">
        <v>2160.9</v>
      </c>
      <c r="S119" s="17">
        <v>2183.4899999999998</v>
      </c>
      <c r="T119" s="17">
        <v>2206.08</v>
      </c>
      <c r="U119" s="17">
        <v>2228.67</v>
      </c>
      <c r="V119" s="17">
        <v>2251.2600000000002</v>
      </c>
      <c r="W119" s="17">
        <v>2273.86</v>
      </c>
      <c r="X119" s="17">
        <v>2296.4499999999998</v>
      </c>
      <c r="Y119" s="17">
        <v>2319.04</v>
      </c>
      <c r="Z119" s="17">
        <v>2341.63</v>
      </c>
      <c r="AA119" s="17">
        <v>2364.2199999999998</v>
      </c>
      <c r="AB119" s="17">
        <v>2386.8200000000002</v>
      </c>
      <c r="AC119" s="17">
        <v>2409.41</v>
      </c>
      <c r="AD119" s="17">
        <v>2432</v>
      </c>
      <c r="AE119" s="17">
        <v>2454.59</v>
      </c>
      <c r="AF119" s="17">
        <v>2477.1799999999998</v>
      </c>
      <c r="AG119" s="17">
        <v>2499.7800000000002</v>
      </c>
      <c r="AH119" s="17">
        <v>2522.37</v>
      </c>
      <c r="AI119" s="17">
        <v>2544.96</v>
      </c>
      <c r="AJ119" s="17">
        <v>2567.5500000000002</v>
      </c>
      <c r="AK119" s="17">
        <v>2590.14</v>
      </c>
      <c r="AL119" s="17">
        <v>2612.7399999999998</v>
      </c>
      <c r="AM119" s="17">
        <v>2635.33</v>
      </c>
      <c r="AN119" s="17">
        <v>2657.92</v>
      </c>
      <c r="AO119" s="17">
        <v>2680.51</v>
      </c>
      <c r="AP119" s="17">
        <v>2703.1</v>
      </c>
      <c r="AQ119" s="17">
        <v>2725.7</v>
      </c>
      <c r="AR119" s="17">
        <v>2748.29</v>
      </c>
      <c r="AS119" s="17">
        <v>2770.88</v>
      </c>
      <c r="AT119" s="17">
        <v>2793.47</v>
      </c>
      <c r="AU119" s="17">
        <v>2816.06</v>
      </c>
      <c r="AV119" s="17">
        <v>2838.66</v>
      </c>
      <c r="AW119" s="17">
        <v>2861.25</v>
      </c>
      <c r="AX119" s="17">
        <v>2883.84</v>
      </c>
      <c r="AY119" s="17">
        <v>2906.43</v>
      </c>
      <c r="AZ119" s="17">
        <v>2929.02</v>
      </c>
      <c r="BA119" s="17">
        <f t="shared" ref="BA119:BK119" si="116">ROUND(AZ119+$K119,2)</f>
        <v>2951.61</v>
      </c>
      <c r="BB119" s="17">
        <f t="shared" si="116"/>
        <v>2974.2</v>
      </c>
      <c r="BC119" s="17">
        <f t="shared" si="116"/>
        <v>2996.79</v>
      </c>
      <c r="BD119" s="17">
        <f t="shared" si="116"/>
        <v>3019.38</v>
      </c>
      <c r="BE119" s="17">
        <f t="shared" si="116"/>
        <v>3041.97</v>
      </c>
      <c r="BF119" s="17">
        <f t="shared" si="116"/>
        <v>3064.56</v>
      </c>
      <c r="BG119" s="17">
        <f t="shared" si="116"/>
        <v>3087.15</v>
      </c>
      <c r="BH119" s="17">
        <f t="shared" si="116"/>
        <v>3109.74</v>
      </c>
      <c r="BI119" s="17">
        <f t="shared" si="116"/>
        <v>3132.33</v>
      </c>
      <c r="BJ119" s="17">
        <f t="shared" si="116"/>
        <v>3154.92</v>
      </c>
      <c r="BK119" s="17">
        <f t="shared" si="116"/>
        <v>3177.51</v>
      </c>
    </row>
    <row r="120" spans="1:63" s="18" customFormat="1" hidden="1">
      <c r="A120" s="14" t="s">
        <v>173</v>
      </c>
      <c r="B120" s="54"/>
      <c r="C120" s="14" t="s">
        <v>172</v>
      </c>
      <c r="D120" s="14" t="s">
        <v>100</v>
      </c>
      <c r="E120" s="14" t="s">
        <v>39</v>
      </c>
      <c r="F120" s="14" t="s">
        <v>57</v>
      </c>
      <c r="H120" s="110"/>
      <c r="I120" s="15">
        <v>6.4</v>
      </c>
      <c r="J120" s="18">
        <v>46</v>
      </c>
      <c r="K120" s="17">
        <f t="shared" si="89"/>
        <v>47.430000000000291</v>
      </c>
      <c r="L120" s="17">
        <v>4253.25</v>
      </c>
      <c r="M120" s="17">
        <v>4300.67</v>
      </c>
      <c r="N120" s="17">
        <v>4348.1000000000004</v>
      </c>
      <c r="O120" s="17">
        <v>4395.5200000000004</v>
      </c>
      <c r="P120" s="17">
        <v>4442.9399999999996</v>
      </c>
      <c r="Q120" s="17">
        <v>4490.37</v>
      </c>
      <c r="R120" s="17">
        <v>4537.79</v>
      </c>
      <c r="S120" s="17">
        <v>4585.22</v>
      </c>
      <c r="T120" s="17">
        <v>4632.6400000000003</v>
      </c>
      <c r="U120" s="17">
        <v>4680.0600000000004</v>
      </c>
      <c r="V120" s="17">
        <v>4727.49</v>
      </c>
      <c r="W120" s="17">
        <v>4774.91</v>
      </c>
      <c r="X120" s="17">
        <v>4822.34</v>
      </c>
      <c r="Y120" s="17">
        <v>4869.76</v>
      </c>
      <c r="Z120" s="17">
        <v>4917.18</v>
      </c>
      <c r="AA120" s="17">
        <v>4964.6099999999997</v>
      </c>
      <c r="AB120" s="17">
        <v>5012.03</v>
      </c>
      <c r="AC120" s="17">
        <v>5059.46</v>
      </c>
      <c r="AD120" s="17">
        <v>5106.88</v>
      </c>
      <c r="AE120" s="17">
        <v>5154.3</v>
      </c>
      <c r="AF120" s="17">
        <v>5201.7299999999996</v>
      </c>
      <c r="AG120" s="17">
        <v>5249.15</v>
      </c>
      <c r="AH120" s="17">
        <v>5296.58</v>
      </c>
      <c r="AI120" s="17">
        <v>5344</v>
      </c>
      <c r="AJ120" s="17">
        <v>5391.42</v>
      </c>
      <c r="AK120" s="17">
        <v>5438.85</v>
      </c>
      <c r="AL120" s="17">
        <v>5486.27</v>
      </c>
      <c r="AM120" s="17">
        <v>5533.7</v>
      </c>
      <c r="AN120" s="17">
        <v>5581.12</v>
      </c>
      <c r="AO120" s="17">
        <v>5628.54</v>
      </c>
      <c r="AP120" s="17">
        <v>5675.97</v>
      </c>
      <c r="AQ120" s="17">
        <v>5723.39</v>
      </c>
      <c r="AR120" s="17">
        <v>5770.82</v>
      </c>
      <c r="AS120" s="17">
        <v>5818.24</v>
      </c>
      <c r="AT120" s="17">
        <v>5865.66</v>
      </c>
      <c r="AU120" s="17">
        <v>5913.09</v>
      </c>
      <c r="AV120" s="17">
        <v>5960.51</v>
      </c>
      <c r="AW120" s="17">
        <v>6007.94</v>
      </c>
      <c r="AX120" s="17">
        <v>6055.36</v>
      </c>
      <c r="AY120" s="17">
        <v>6102.78</v>
      </c>
      <c r="AZ120" s="17">
        <v>6150.21</v>
      </c>
      <c r="BA120" s="17">
        <f t="shared" ref="BA120:BK120" si="117">ROUND(AZ120+$K120,2)</f>
        <v>6197.64</v>
      </c>
      <c r="BB120" s="17">
        <f t="shared" si="117"/>
        <v>6245.07</v>
      </c>
      <c r="BC120" s="17">
        <f t="shared" si="117"/>
        <v>6292.5</v>
      </c>
      <c r="BD120" s="17">
        <f t="shared" si="117"/>
        <v>6339.93</v>
      </c>
      <c r="BE120" s="17">
        <f t="shared" si="117"/>
        <v>6387.36</v>
      </c>
      <c r="BF120" s="17">
        <f t="shared" si="117"/>
        <v>6434.79</v>
      </c>
      <c r="BG120" s="17">
        <f t="shared" si="117"/>
        <v>6482.22</v>
      </c>
      <c r="BH120" s="17">
        <f t="shared" si="117"/>
        <v>6529.65</v>
      </c>
      <c r="BI120" s="17">
        <f t="shared" si="117"/>
        <v>6577.08</v>
      </c>
      <c r="BJ120" s="17">
        <f t="shared" si="117"/>
        <v>6624.51</v>
      </c>
      <c r="BK120" s="17">
        <f t="shared" si="117"/>
        <v>6671.94</v>
      </c>
    </row>
    <row r="121" spans="1:63" s="33" customFormat="1">
      <c r="A121" s="163" t="s">
        <v>168</v>
      </c>
      <c r="B121" s="299"/>
      <c r="C121" s="163" t="s">
        <v>154</v>
      </c>
      <c r="D121" s="163" t="s">
        <v>100</v>
      </c>
      <c r="E121" s="163" t="s">
        <v>39</v>
      </c>
      <c r="F121" s="163" t="s">
        <v>57</v>
      </c>
      <c r="G121" s="165"/>
      <c r="H121" s="317"/>
      <c r="I121" s="164">
        <v>6.4</v>
      </c>
      <c r="J121" s="165">
        <v>21</v>
      </c>
      <c r="K121" s="166">
        <f t="shared" si="89"/>
        <v>20.549999999999727</v>
      </c>
      <c r="L121" s="166">
        <v>1904</v>
      </c>
      <c r="M121" s="166">
        <v>1924.54</v>
      </c>
      <c r="N121" s="166">
        <v>1945.09</v>
      </c>
      <c r="O121" s="166">
        <v>1965.63</v>
      </c>
      <c r="P121" s="166">
        <v>1986.18</v>
      </c>
      <c r="Q121" s="166">
        <v>2006.72</v>
      </c>
      <c r="R121" s="166">
        <v>2027.26</v>
      </c>
      <c r="S121" s="166">
        <v>2047.81</v>
      </c>
      <c r="T121" s="166">
        <v>2068.35</v>
      </c>
      <c r="U121" s="166">
        <v>2088.96</v>
      </c>
      <c r="V121" s="166">
        <v>2109.5</v>
      </c>
      <c r="W121" s="166">
        <v>2130.0500000000002</v>
      </c>
      <c r="X121" s="166">
        <v>2150.59</v>
      </c>
      <c r="Y121" s="166">
        <v>2171.14</v>
      </c>
      <c r="Z121" s="166">
        <v>2191.6799999999998</v>
      </c>
      <c r="AA121" s="166">
        <v>2212.2199999999998</v>
      </c>
      <c r="AB121" s="166">
        <v>2232.77</v>
      </c>
      <c r="AC121" s="166">
        <v>2253.31</v>
      </c>
      <c r="AD121" s="166">
        <v>2273.86</v>
      </c>
      <c r="AE121" s="166">
        <v>2294.4</v>
      </c>
      <c r="AF121" s="166">
        <v>2314.94</v>
      </c>
      <c r="AG121" s="166">
        <v>2335.4899999999998</v>
      </c>
      <c r="AH121" s="166">
        <v>2356.0300000000002</v>
      </c>
      <c r="AI121" s="166">
        <v>2376.64</v>
      </c>
      <c r="AJ121" s="166">
        <v>2397.1799999999998</v>
      </c>
      <c r="AK121" s="166">
        <v>2417.73</v>
      </c>
      <c r="AL121" s="166">
        <v>2438.27</v>
      </c>
      <c r="AM121" s="166">
        <v>2458.8200000000002</v>
      </c>
      <c r="AN121" s="166">
        <v>2479.36</v>
      </c>
      <c r="AO121" s="166">
        <v>2499.9</v>
      </c>
      <c r="AP121" s="166">
        <v>2520.4499999999998</v>
      </c>
      <c r="AQ121" s="166">
        <v>2540.9899999999998</v>
      </c>
      <c r="AR121" s="166">
        <v>2561.54</v>
      </c>
      <c r="AS121" s="166">
        <v>2582.08</v>
      </c>
      <c r="AT121" s="166">
        <v>2602.62</v>
      </c>
      <c r="AU121" s="166">
        <v>2623.17</v>
      </c>
      <c r="AV121" s="166">
        <v>2643.71</v>
      </c>
      <c r="AW121" s="166">
        <v>2664.26</v>
      </c>
      <c r="AX121" s="166">
        <v>2684.86</v>
      </c>
      <c r="AY121" s="166">
        <v>2705.41</v>
      </c>
      <c r="AZ121" s="166">
        <v>2725.95</v>
      </c>
      <c r="BA121" s="166">
        <f t="shared" ref="BA121:BK122" si="118">ROUND(AZ121+$K121,2)</f>
        <v>2746.5</v>
      </c>
      <c r="BB121" s="166">
        <f t="shared" si="118"/>
        <v>2767.05</v>
      </c>
      <c r="BC121" s="166">
        <f t="shared" si="118"/>
        <v>2787.6</v>
      </c>
      <c r="BD121" s="166">
        <f t="shared" si="118"/>
        <v>2808.15</v>
      </c>
      <c r="BE121" s="166">
        <f t="shared" si="118"/>
        <v>2828.7</v>
      </c>
      <c r="BF121" s="166">
        <f t="shared" si="118"/>
        <v>2849.25</v>
      </c>
      <c r="BG121" s="166">
        <f t="shared" si="118"/>
        <v>2869.8</v>
      </c>
      <c r="BH121" s="166">
        <f t="shared" si="118"/>
        <v>2890.35</v>
      </c>
      <c r="BI121" s="166">
        <f t="shared" si="118"/>
        <v>2910.9</v>
      </c>
      <c r="BJ121" s="166">
        <f t="shared" si="118"/>
        <v>2931.45</v>
      </c>
      <c r="BK121" s="166">
        <f t="shared" si="118"/>
        <v>2952</v>
      </c>
    </row>
    <row r="122" spans="1:63" s="35" customFormat="1" hidden="1">
      <c r="A122" s="332" t="s">
        <v>174</v>
      </c>
      <c r="B122" s="29"/>
      <c r="C122" s="27" t="s">
        <v>79</v>
      </c>
      <c r="D122" s="27" t="s">
        <v>45</v>
      </c>
      <c r="E122" s="27" t="s">
        <v>39</v>
      </c>
      <c r="F122" s="27" t="s">
        <v>57</v>
      </c>
      <c r="G122" s="29" t="s">
        <v>40</v>
      </c>
      <c r="H122" s="284" t="s">
        <v>176</v>
      </c>
      <c r="I122" s="34">
        <v>7.1</v>
      </c>
      <c r="J122" s="35">
        <v>15.12</v>
      </c>
      <c r="K122" s="17">
        <v>14.63</v>
      </c>
      <c r="L122" s="17">
        <f t="shared" ref="L122" si="119">ROUND(M122-$K122,2)</f>
        <v>983.65</v>
      </c>
      <c r="M122" s="17">
        <f t="shared" ref="M122" si="120">ROUND(N122-$K122,2)</f>
        <v>998.28</v>
      </c>
      <c r="N122" s="17">
        <f t="shared" ref="N122" si="121">ROUND(O122-$K122,2)</f>
        <v>1012.91</v>
      </c>
      <c r="O122" s="17">
        <f t="shared" ref="O122" si="122">ROUND(P122-$K122,2)</f>
        <v>1027.54</v>
      </c>
      <c r="P122" s="17">
        <f t="shared" ref="P122" si="123">ROUND(Q122-$K122,2)</f>
        <v>1042.17</v>
      </c>
      <c r="Q122" s="17">
        <f t="shared" ref="Q122" si="124">ROUND(R122-$K122,2)</f>
        <v>1056.8</v>
      </c>
      <c r="R122" s="17">
        <f t="shared" ref="R122" si="125">ROUND(S122-$K122,2)</f>
        <v>1071.43</v>
      </c>
      <c r="S122" s="17">
        <f t="shared" ref="S122" si="126">ROUND(T122-$K122,2)</f>
        <v>1086.06</v>
      </c>
      <c r="T122" s="17">
        <f t="shared" ref="T122" si="127">ROUND(U122-$K122,2)</f>
        <v>1100.69</v>
      </c>
      <c r="U122" s="17">
        <f t="shared" ref="U122" si="128">ROUND(V122-$K122,2)</f>
        <v>1115.32</v>
      </c>
      <c r="V122" s="17">
        <f t="shared" ref="V122" si="129">ROUND(W122-$K122,2)</f>
        <v>1129.95</v>
      </c>
      <c r="W122" s="17">
        <f t="shared" ref="W122" si="130">ROUND(X122-$K122,2)</f>
        <v>1144.58</v>
      </c>
      <c r="X122" s="17">
        <f t="shared" ref="X122" si="131">ROUND(Y122-$K122,2)</f>
        <v>1159.21</v>
      </c>
      <c r="Y122" s="17">
        <f t="shared" ref="Y122" si="132">ROUND(Z122-$K122,2)</f>
        <v>1173.8399999999999</v>
      </c>
      <c r="Z122" s="17">
        <f t="shared" ref="Z122" si="133">ROUND(AA122-$K122,2)</f>
        <v>1188.47</v>
      </c>
      <c r="AA122" s="17">
        <f t="shared" ref="AA122" si="134">ROUND(AB122-$K122,2)</f>
        <v>1203.0999999999999</v>
      </c>
      <c r="AB122" s="17">
        <f t="shared" ref="AB122" si="135">ROUND(AC122-$K122,2)</f>
        <v>1217.73</v>
      </c>
      <c r="AC122" s="17">
        <f t="shared" ref="AC122" si="136">ROUND(AD122-$K122,2)</f>
        <v>1232.3599999999999</v>
      </c>
      <c r="AD122" s="17">
        <f t="shared" ref="AD122" si="137">ROUND(AE122-$K122,2)</f>
        <v>1246.99</v>
      </c>
      <c r="AE122" s="17">
        <f t="shared" ref="AE122" si="138">ROUND(AF122-$K122,2)</f>
        <v>1261.6199999999999</v>
      </c>
      <c r="AF122" s="17">
        <f t="shared" ref="AF122" si="139">ROUND(AG122-$K122,2)</f>
        <v>1276.25</v>
      </c>
      <c r="AG122" s="17">
        <f t="shared" ref="AG122" si="140">ROUND(AH122-$K122,2)</f>
        <v>1290.8800000000001</v>
      </c>
      <c r="AH122" s="17">
        <f t="shared" ref="AH122" si="141">ROUND(AI122-$K122,2)</f>
        <v>1305.51</v>
      </c>
      <c r="AI122" s="17">
        <f t="shared" ref="AI122" si="142">ROUND(AJ122-$K122,2)</f>
        <v>1320.14</v>
      </c>
      <c r="AJ122" s="17">
        <f t="shared" ref="AJ122" si="143">ROUND(AK122-$K122,2)</f>
        <v>1334.77</v>
      </c>
      <c r="AK122" s="17">
        <f t="shared" ref="AK122" si="144">ROUND(AL122-$K122,2)</f>
        <v>1349.4</v>
      </c>
      <c r="AL122" s="17">
        <f t="shared" ref="AL122" si="145">ROUND(AM122-$K122,2)</f>
        <v>1364.03</v>
      </c>
      <c r="AM122" s="17">
        <f t="shared" ref="AM122" si="146">ROUND(AN122-$K122,2)</f>
        <v>1378.66</v>
      </c>
      <c r="AN122" s="17">
        <f t="shared" ref="AN122" si="147">ROUND(AO122-$K122,2)</f>
        <v>1393.29</v>
      </c>
      <c r="AO122" s="17">
        <f t="shared" ref="L122:AO125" si="148">ROUND(AP122-$K122,2)</f>
        <v>1407.92</v>
      </c>
      <c r="AP122" s="17">
        <v>1422.55</v>
      </c>
      <c r="AQ122" s="17">
        <f t="shared" ref="AQ122:BK125" si="149">ROUND(AP122+$K122,2)</f>
        <v>1437.18</v>
      </c>
      <c r="AR122" s="17">
        <f t="shared" ref="AR122" si="150">ROUND(AQ122+$K122,2)</f>
        <v>1451.81</v>
      </c>
      <c r="AS122" s="17">
        <f t="shared" ref="AS122" si="151">ROUND(AR122+$K122,2)</f>
        <v>1466.44</v>
      </c>
      <c r="AT122" s="17">
        <f t="shared" ref="AT122" si="152">ROUND(AS122+$K122,2)</f>
        <v>1481.07</v>
      </c>
      <c r="AU122" s="285">
        <f t="shared" ref="AU122" si="153">ROUND(AT122+$K122,2)</f>
        <v>1495.7</v>
      </c>
      <c r="AV122" s="17">
        <f t="shared" ref="AV122" si="154">ROUND(AU122+$K122,2)</f>
        <v>1510.33</v>
      </c>
      <c r="AW122" s="17">
        <f t="shared" ref="AW122" si="155">ROUND(AV122+$K122,2)</f>
        <v>1524.96</v>
      </c>
      <c r="AX122" s="17">
        <f t="shared" ref="AX122" si="156">ROUND(AW122+$K122,2)</f>
        <v>1539.59</v>
      </c>
      <c r="AY122" s="17">
        <f t="shared" ref="AY122" si="157">ROUND(AX122+$K122,2)</f>
        <v>1554.22</v>
      </c>
      <c r="AZ122" s="17">
        <f t="shared" ref="AZ122" si="158">ROUND(AY122+$K122,2)</f>
        <v>1568.85</v>
      </c>
      <c r="BA122" s="17">
        <f t="shared" si="118"/>
        <v>1583.48</v>
      </c>
      <c r="BB122" s="17">
        <f t="shared" si="118"/>
        <v>1598.11</v>
      </c>
      <c r="BC122" s="17">
        <f t="shared" si="118"/>
        <v>1612.74</v>
      </c>
      <c r="BD122" s="17">
        <f t="shared" si="118"/>
        <v>1627.37</v>
      </c>
      <c r="BE122" s="17">
        <f t="shared" si="118"/>
        <v>1642</v>
      </c>
      <c r="BF122" s="17">
        <f t="shared" si="118"/>
        <v>1656.63</v>
      </c>
      <c r="BG122" s="17">
        <f t="shared" si="118"/>
        <v>1671.26</v>
      </c>
      <c r="BH122" s="17">
        <f t="shared" si="118"/>
        <v>1685.89</v>
      </c>
      <c r="BI122" s="17">
        <f t="shared" si="118"/>
        <v>1700.52</v>
      </c>
      <c r="BJ122" s="17">
        <f t="shared" si="118"/>
        <v>1715.15</v>
      </c>
      <c r="BK122" s="17">
        <f t="shared" si="118"/>
        <v>1729.78</v>
      </c>
    </row>
    <row r="123" spans="1:63" s="35" customFormat="1" hidden="1">
      <c r="A123" s="332" t="s">
        <v>249</v>
      </c>
      <c r="B123" s="29"/>
      <c r="C123" s="27" t="s">
        <v>79</v>
      </c>
      <c r="D123" s="27" t="s">
        <v>45</v>
      </c>
      <c r="E123" s="27" t="s">
        <v>250</v>
      </c>
      <c r="F123" s="27" t="s">
        <v>57</v>
      </c>
      <c r="G123" s="29"/>
      <c r="H123" s="284" t="s">
        <v>178</v>
      </c>
      <c r="I123" s="34">
        <v>7.1</v>
      </c>
      <c r="J123" s="35">
        <v>15.12</v>
      </c>
      <c r="K123" s="17">
        <f>ROUND(K122*0.98,2)</f>
        <v>14.34</v>
      </c>
      <c r="L123" s="17">
        <f t="shared" ref="L123:AO123" si="159">ROUND(L122*0.98,2)</f>
        <v>963.98</v>
      </c>
      <c r="M123" s="17">
        <f t="shared" si="159"/>
        <v>978.31</v>
      </c>
      <c r="N123" s="17">
        <f t="shared" si="159"/>
        <v>992.65</v>
      </c>
      <c r="O123" s="17">
        <f t="shared" si="159"/>
        <v>1006.99</v>
      </c>
      <c r="P123" s="17">
        <f t="shared" si="159"/>
        <v>1021.33</v>
      </c>
      <c r="Q123" s="17">
        <f t="shared" si="159"/>
        <v>1035.6600000000001</v>
      </c>
      <c r="R123" s="17">
        <f t="shared" si="159"/>
        <v>1050</v>
      </c>
      <c r="S123" s="17">
        <f t="shared" si="159"/>
        <v>1064.3399999999999</v>
      </c>
      <c r="T123" s="17">
        <f t="shared" si="159"/>
        <v>1078.68</v>
      </c>
      <c r="U123" s="17">
        <f t="shared" si="159"/>
        <v>1093.01</v>
      </c>
      <c r="V123" s="17">
        <f t="shared" si="159"/>
        <v>1107.3499999999999</v>
      </c>
      <c r="W123" s="17">
        <f t="shared" si="159"/>
        <v>1121.69</v>
      </c>
      <c r="X123" s="17">
        <f t="shared" si="159"/>
        <v>1136.03</v>
      </c>
      <c r="Y123" s="17">
        <f t="shared" si="159"/>
        <v>1150.3599999999999</v>
      </c>
      <c r="Z123" s="17">
        <f t="shared" si="159"/>
        <v>1164.7</v>
      </c>
      <c r="AA123" s="17">
        <f t="shared" si="159"/>
        <v>1179.04</v>
      </c>
      <c r="AB123" s="17">
        <f t="shared" si="159"/>
        <v>1193.3800000000001</v>
      </c>
      <c r="AC123" s="17">
        <f t="shared" si="159"/>
        <v>1207.71</v>
      </c>
      <c r="AD123" s="17">
        <f t="shared" si="159"/>
        <v>1222.05</v>
      </c>
      <c r="AE123" s="17">
        <f t="shared" si="159"/>
        <v>1236.3900000000001</v>
      </c>
      <c r="AF123" s="17">
        <f t="shared" si="159"/>
        <v>1250.73</v>
      </c>
      <c r="AG123" s="17">
        <f t="shared" si="159"/>
        <v>1265.06</v>
      </c>
      <c r="AH123" s="17">
        <f t="shared" si="159"/>
        <v>1279.4000000000001</v>
      </c>
      <c r="AI123" s="17">
        <f t="shared" si="159"/>
        <v>1293.74</v>
      </c>
      <c r="AJ123" s="17">
        <f t="shared" si="159"/>
        <v>1308.07</v>
      </c>
      <c r="AK123" s="17">
        <f t="shared" si="159"/>
        <v>1322.41</v>
      </c>
      <c r="AL123" s="17">
        <f t="shared" si="159"/>
        <v>1336.75</v>
      </c>
      <c r="AM123" s="17">
        <f t="shared" si="159"/>
        <v>1351.09</v>
      </c>
      <c r="AN123" s="17">
        <f t="shared" si="159"/>
        <v>1365.42</v>
      </c>
      <c r="AO123" s="17">
        <f t="shared" si="159"/>
        <v>1379.76</v>
      </c>
      <c r="AP123" s="17">
        <f>ROUND(AP122*0.98,2)</f>
        <v>1394.1</v>
      </c>
      <c r="AQ123" s="17">
        <f t="shared" ref="AQ123:BK123" si="160">ROUND(AQ122*0.98,2)</f>
        <v>1408.44</v>
      </c>
      <c r="AR123" s="17">
        <f t="shared" si="160"/>
        <v>1422.77</v>
      </c>
      <c r="AS123" s="17">
        <f t="shared" si="160"/>
        <v>1437.11</v>
      </c>
      <c r="AT123" s="17">
        <f t="shared" si="160"/>
        <v>1451.45</v>
      </c>
      <c r="AU123" s="17">
        <f t="shared" si="160"/>
        <v>1465.79</v>
      </c>
      <c r="AV123" s="17">
        <f t="shared" si="160"/>
        <v>1480.12</v>
      </c>
      <c r="AW123" s="17">
        <f t="shared" si="160"/>
        <v>1494.46</v>
      </c>
      <c r="AX123" s="17">
        <f t="shared" si="160"/>
        <v>1508.8</v>
      </c>
      <c r="AY123" s="17">
        <f t="shared" si="160"/>
        <v>1523.14</v>
      </c>
      <c r="AZ123" s="17">
        <f t="shared" si="160"/>
        <v>1537.47</v>
      </c>
      <c r="BA123" s="17">
        <f t="shared" si="160"/>
        <v>1551.81</v>
      </c>
      <c r="BB123" s="17">
        <f t="shared" si="160"/>
        <v>1566.15</v>
      </c>
      <c r="BC123" s="17">
        <f t="shared" si="160"/>
        <v>1580.49</v>
      </c>
      <c r="BD123" s="17">
        <f t="shared" si="160"/>
        <v>1594.82</v>
      </c>
      <c r="BE123" s="17">
        <f t="shared" si="160"/>
        <v>1609.16</v>
      </c>
      <c r="BF123" s="17">
        <f t="shared" si="160"/>
        <v>1623.5</v>
      </c>
      <c r="BG123" s="17">
        <f t="shared" si="160"/>
        <v>1637.83</v>
      </c>
      <c r="BH123" s="17">
        <f t="shared" si="160"/>
        <v>1652.17</v>
      </c>
      <c r="BI123" s="17">
        <f t="shared" si="160"/>
        <v>1666.51</v>
      </c>
      <c r="BJ123" s="17">
        <f t="shared" si="160"/>
        <v>1680.85</v>
      </c>
      <c r="BK123" s="17">
        <f t="shared" si="160"/>
        <v>1695.18</v>
      </c>
    </row>
    <row r="124" spans="1:63" s="35" customFormat="1" hidden="1">
      <c r="A124" s="332" t="s">
        <v>179</v>
      </c>
      <c r="B124" s="29"/>
      <c r="C124" s="27" t="s">
        <v>79</v>
      </c>
      <c r="D124" s="27" t="s">
        <v>45</v>
      </c>
      <c r="E124" s="27" t="s">
        <v>39</v>
      </c>
      <c r="F124" s="27" t="s">
        <v>57</v>
      </c>
      <c r="G124" s="29"/>
      <c r="H124" s="27"/>
      <c r="I124" s="34">
        <v>7.1</v>
      </c>
      <c r="J124" s="35">
        <v>15.72</v>
      </c>
      <c r="K124" s="17">
        <f t="shared" si="89"/>
        <v>15.190000000000055</v>
      </c>
      <c r="L124" s="17">
        <v>1036.8800000000001</v>
      </c>
      <c r="M124" s="17">
        <v>1052.08</v>
      </c>
      <c r="N124" s="17">
        <v>1067.27</v>
      </c>
      <c r="O124" s="17">
        <v>1082.47</v>
      </c>
      <c r="P124" s="17">
        <v>1097.6600000000001</v>
      </c>
      <c r="Q124" s="17">
        <v>1112.8499999999999</v>
      </c>
      <c r="R124" s="17">
        <v>1128.05</v>
      </c>
      <c r="S124" s="17">
        <v>1143.24</v>
      </c>
      <c r="T124" s="17">
        <v>1158.44</v>
      </c>
      <c r="U124" s="17">
        <v>1173.6300000000001</v>
      </c>
      <c r="V124" s="17">
        <v>1188.82</v>
      </c>
      <c r="W124" s="17">
        <v>1204.02</v>
      </c>
      <c r="X124" s="17">
        <v>1219.21</v>
      </c>
      <c r="Y124" s="17">
        <v>1234.4100000000001</v>
      </c>
      <c r="Z124" s="17">
        <v>1249.5999999999999</v>
      </c>
      <c r="AA124" s="17">
        <v>1264.79</v>
      </c>
      <c r="AB124" s="17">
        <v>1279.99</v>
      </c>
      <c r="AC124" s="17">
        <v>1295.18</v>
      </c>
      <c r="AD124" s="17">
        <v>1310.3800000000001</v>
      </c>
      <c r="AE124" s="17">
        <v>1325.57</v>
      </c>
      <c r="AF124" s="17">
        <v>1340.76</v>
      </c>
      <c r="AG124" s="17">
        <v>1355.96</v>
      </c>
      <c r="AH124" s="17">
        <v>1371.15</v>
      </c>
      <c r="AI124" s="17">
        <v>1386.35</v>
      </c>
      <c r="AJ124" s="17">
        <v>1401.54</v>
      </c>
      <c r="AK124" s="17">
        <v>1416.73</v>
      </c>
      <c r="AL124" s="17">
        <v>1431.93</v>
      </c>
      <c r="AM124" s="17">
        <v>1447.12</v>
      </c>
      <c r="AN124" s="17">
        <v>1462.32</v>
      </c>
      <c r="AO124" s="17">
        <v>1477.51</v>
      </c>
      <c r="AP124" s="17">
        <v>1492.7</v>
      </c>
      <c r="AQ124" s="17">
        <v>1507.9</v>
      </c>
      <c r="AR124" s="17">
        <v>1523.09</v>
      </c>
      <c r="AS124" s="17">
        <v>1538.29</v>
      </c>
      <c r="AT124" s="17">
        <v>1553.48</v>
      </c>
      <c r="AU124" s="17">
        <v>1568.67</v>
      </c>
      <c r="AV124" s="17">
        <v>1583.87</v>
      </c>
      <c r="AW124" s="17">
        <v>1599.06</v>
      </c>
      <c r="AX124" s="17">
        <v>1614.26</v>
      </c>
      <c r="AY124" s="17">
        <v>1629.45</v>
      </c>
      <c r="AZ124" s="17">
        <v>1644.64</v>
      </c>
      <c r="BA124" s="17">
        <f t="shared" ref="BA124:BK129" si="161">ROUND(AZ124+$K124,2)</f>
        <v>1659.83</v>
      </c>
      <c r="BB124" s="17">
        <f t="shared" si="161"/>
        <v>1675.02</v>
      </c>
      <c r="BC124" s="17">
        <f t="shared" si="161"/>
        <v>1690.21</v>
      </c>
      <c r="BD124" s="17">
        <f t="shared" si="161"/>
        <v>1705.4</v>
      </c>
      <c r="BE124" s="17">
        <f t="shared" si="161"/>
        <v>1720.59</v>
      </c>
      <c r="BF124" s="17">
        <f t="shared" si="161"/>
        <v>1735.78</v>
      </c>
      <c r="BG124" s="17">
        <f t="shared" si="161"/>
        <v>1750.97</v>
      </c>
      <c r="BH124" s="17">
        <f t="shared" si="161"/>
        <v>1766.16</v>
      </c>
      <c r="BI124" s="17">
        <f t="shared" si="161"/>
        <v>1781.35</v>
      </c>
      <c r="BJ124" s="17">
        <f t="shared" si="161"/>
        <v>1796.54</v>
      </c>
      <c r="BK124" s="17">
        <f t="shared" si="161"/>
        <v>1811.73</v>
      </c>
    </row>
    <row r="125" spans="1:63" s="18" customFormat="1">
      <c r="A125" s="213" t="s">
        <v>168</v>
      </c>
      <c r="B125" s="300"/>
      <c r="C125" s="213" t="s">
        <v>154</v>
      </c>
      <c r="D125" s="213" t="s">
        <v>100</v>
      </c>
      <c r="E125" s="213" t="s">
        <v>39</v>
      </c>
      <c r="F125" s="213" t="s">
        <v>57</v>
      </c>
      <c r="G125" s="338"/>
      <c r="H125" s="318"/>
      <c r="I125" s="18" t="s">
        <v>180</v>
      </c>
      <c r="J125" s="18">
        <v>19.8</v>
      </c>
      <c r="K125" s="17">
        <v>19.66</v>
      </c>
      <c r="L125" s="17">
        <f t="shared" si="148"/>
        <v>1788.8</v>
      </c>
      <c r="M125" s="17">
        <f t="shared" si="148"/>
        <v>1808.46</v>
      </c>
      <c r="N125" s="17">
        <f t="shared" si="148"/>
        <v>1828.12</v>
      </c>
      <c r="O125" s="17">
        <f t="shared" si="148"/>
        <v>1847.78</v>
      </c>
      <c r="P125" s="17">
        <f t="shared" si="148"/>
        <v>1867.44</v>
      </c>
      <c r="Q125" s="17">
        <f t="shared" si="148"/>
        <v>1887.1</v>
      </c>
      <c r="R125" s="17">
        <f t="shared" si="148"/>
        <v>1906.76</v>
      </c>
      <c r="S125" s="17">
        <f t="shared" si="148"/>
        <v>1926.42</v>
      </c>
      <c r="T125" s="17">
        <f t="shared" si="148"/>
        <v>1946.08</v>
      </c>
      <c r="U125" s="17">
        <f t="shared" si="148"/>
        <v>1965.74</v>
      </c>
      <c r="V125" s="17">
        <f t="shared" si="148"/>
        <v>1985.4</v>
      </c>
      <c r="W125" s="17">
        <f t="shared" si="148"/>
        <v>2005.06</v>
      </c>
      <c r="X125" s="17">
        <f t="shared" si="148"/>
        <v>2024.72</v>
      </c>
      <c r="Y125" s="17">
        <f t="shared" si="148"/>
        <v>2044.38</v>
      </c>
      <c r="Z125" s="17">
        <f t="shared" si="148"/>
        <v>2064.04</v>
      </c>
      <c r="AA125" s="17">
        <f t="shared" si="148"/>
        <v>2083.6999999999998</v>
      </c>
      <c r="AB125" s="17">
        <f t="shared" si="148"/>
        <v>2103.36</v>
      </c>
      <c r="AC125" s="17">
        <f t="shared" si="148"/>
        <v>2123.02</v>
      </c>
      <c r="AD125" s="17">
        <f t="shared" si="148"/>
        <v>2142.6799999999998</v>
      </c>
      <c r="AE125" s="17">
        <f t="shared" si="148"/>
        <v>2162.34</v>
      </c>
      <c r="AF125" s="17">
        <f t="shared" si="148"/>
        <v>2182</v>
      </c>
      <c r="AG125" s="17">
        <f t="shared" si="148"/>
        <v>2201.66</v>
      </c>
      <c r="AH125" s="17">
        <f t="shared" si="148"/>
        <v>2221.3200000000002</v>
      </c>
      <c r="AI125" s="17">
        <f t="shared" si="148"/>
        <v>2240.98</v>
      </c>
      <c r="AJ125" s="17">
        <f t="shared" si="148"/>
        <v>2260.64</v>
      </c>
      <c r="AK125" s="17">
        <f t="shared" si="148"/>
        <v>2280.3000000000002</v>
      </c>
      <c r="AL125" s="17">
        <f t="shared" si="148"/>
        <v>2299.96</v>
      </c>
      <c r="AM125" s="17">
        <f t="shared" si="148"/>
        <v>2319.62</v>
      </c>
      <c r="AN125" s="17">
        <f t="shared" si="148"/>
        <v>2339.2800000000002</v>
      </c>
      <c r="AO125" s="17">
        <f t="shared" si="148"/>
        <v>2358.94</v>
      </c>
      <c r="AP125" s="17">
        <v>2378.6</v>
      </c>
      <c r="AQ125" s="17">
        <f t="shared" si="149"/>
        <v>2398.2600000000002</v>
      </c>
      <c r="AR125" s="17">
        <f t="shared" si="149"/>
        <v>2417.92</v>
      </c>
      <c r="AS125" s="17">
        <f t="shared" si="149"/>
        <v>2437.58</v>
      </c>
      <c r="AT125" s="17">
        <f t="shared" si="149"/>
        <v>2457.2399999999998</v>
      </c>
      <c r="AU125" s="17">
        <f t="shared" si="149"/>
        <v>2476.9</v>
      </c>
      <c r="AV125" s="17">
        <f t="shared" si="149"/>
        <v>2496.56</v>
      </c>
      <c r="AW125" s="17">
        <f t="shared" si="149"/>
        <v>2516.2199999999998</v>
      </c>
      <c r="AX125" s="17">
        <f t="shared" si="149"/>
        <v>2535.88</v>
      </c>
      <c r="AY125" s="17">
        <f t="shared" si="149"/>
        <v>2555.54</v>
      </c>
      <c r="AZ125" s="17">
        <f t="shared" si="149"/>
        <v>2575.1999999999998</v>
      </c>
      <c r="BA125" s="17">
        <f t="shared" si="149"/>
        <v>2594.86</v>
      </c>
      <c r="BB125" s="17">
        <f t="shared" si="149"/>
        <v>2614.52</v>
      </c>
      <c r="BC125" s="17">
        <f t="shared" si="149"/>
        <v>2634.18</v>
      </c>
      <c r="BD125" s="17">
        <f t="shared" si="149"/>
        <v>2653.84</v>
      </c>
      <c r="BE125" s="17">
        <f t="shared" si="149"/>
        <v>2673.5</v>
      </c>
      <c r="BF125" s="17">
        <f t="shared" si="149"/>
        <v>2693.16</v>
      </c>
      <c r="BG125" s="17">
        <f t="shared" si="149"/>
        <v>2712.82</v>
      </c>
      <c r="BH125" s="17">
        <f t="shared" si="149"/>
        <v>2732.48</v>
      </c>
      <c r="BI125" s="17">
        <f t="shared" si="149"/>
        <v>2752.14</v>
      </c>
      <c r="BJ125" s="17">
        <f t="shared" si="149"/>
        <v>2771.8</v>
      </c>
      <c r="BK125" s="17">
        <f t="shared" si="149"/>
        <v>2791.46</v>
      </c>
    </row>
    <row r="126" spans="1:63">
      <c r="A126" s="212" t="s">
        <v>168</v>
      </c>
      <c r="B126" s="301"/>
      <c r="C126" s="213" t="s">
        <v>154</v>
      </c>
      <c r="D126" s="213" t="s">
        <v>100</v>
      </c>
      <c r="E126" s="212" t="s">
        <v>25</v>
      </c>
      <c r="F126" s="213" t="s">
        <v>57</v>
      </c>
      <c r="G126" s="339"/>
      <c r="H126" s="319"/>
      <c r="I126" s="9" t="s">
        <v>180</v>
      </c>
      <c r="J126" s="18">
        <v>19.8</v>
      </c>
      <c r="K126" s="17">
        <v>19.66</v>
      </c>
      <c r="L126" s="17">
        <f t="shared" ref="L126:AO127" si="162">ROUND(M126-$K126,2)</f>
        <v>1925.8</v>
      </c>
      <c r="M126" s="17">
        <f t="shared" si="162"/>
        <v>1945.46</v>
      </c>
      <c r="N126" s="17">
        <f t="shared" si="162"/>
        <v>1965.12</v>
      </c>
      <c r="O126" s="17">
        <f t="shared" si="162"/>
        <v>1984.78</v>
      </c>
      <c r="P126" s="17">
        <f t="shared" si="162"/>
        <v>2004.44</v>
      </c>
      <c r="Q126" s="17">
        <f t="shared" si="162"/>
        <v>2024.1</v>
      </c>
      <c r="R126" s="17">
        <f t="shared" si="162"/>
        <v>2043.76</v>
      </c>
      <c r="S126" s="17">
        <f t="shared" si="162"/>
        <v>2063.42</v>
      </c>
      <c r="T126" s="17">
        <f t="shared" si="162"/>
        <v>2083.08</v>
      </c>
      <c r="U126" s="17">
        <f t="shared" si="162"/>
        <v>2102.7399999999998</v>
      </c>
      <c r="V126" s="17">
        <f t="shared" si="162"/>
        <v>2122.4</v>
      </c>
      <c r="W126" s="17">
        <f t="shared" si="162"/>
        <v>2142.06</v>
      </c>
      <c r="X126" s="17">
        <f t="shared" si="162"/>
        <v>2161.7199999999998</v>
      </c>
      <c r="Y126" s="17">
        <f t="shared" si="162"/>
        <v>2181.38</v>
      </c>
      <c r="Z126" s="17">
        <f t="shared" si="162"/>
        <v>2201.04</v>
      </c>
      <c r="AA126" s="17">
        <f t="shared" si="162"/>
        <v>2220.6999999999998</v>
      </c>
      <c r="AB126" s="17">
        <f t="shared" si="162"/>
        <v>2240.36</v>
      </c>
      <c r="AC126" s="17">
        <f t="shared" si="162"/>
        <v>2260.02</v>
      </c>
      <c r="AD126" s="17">
        <f t="shared" si="162"/>
        <v>2279.6799999999998</v>
      </c>
      <c r="AE126" s="17">
        <f t="shared" si="162"/>
        <v>2299.34</v>
      </c>
      <c r="AF126" s="17">
        <f t="shared" si="162"/>
        <v>2319</v>
      </c>
      <c r="AG126" s="17">
        <f t="shared" si="162"/>
        <v>2338.66</v>
      </c>
      <c r="AH126" s="17">
        <f t="shared" si="162"/>
        <v>2358.3200000000002</v>
      </c>
      <c r="AI126" s="17">
        <f t="shared" si="162"/>
        <v>2377.98</v>
      </c>
      <c r="AJ126" s="17">
        <f t="shared" si="162"/>
        <v>2397.64</v>
      </c>
      <c r="AK126" s="17">
        <f t="shared" si="162"/>
        <v>2417.3000000000002</v>
      </c>
      <c r="AL126" s="17">
        <f t="shared" si="162"/>
        <v>2436.96</v>
      </c>
      <c r="AM126" s="17">
        <f t="shared" si="162"/>
        <v>2456.62</v>
      </c>
      <c r="AN126" s="17">
        <f t="shared" si="162"/>
        <v>2476.2800000000002</v>
      </c>
      <c r="AO126" s="17">
        <f t="shared" si="162"/>
        <v>2495.94</v>
      </c>
      <c r="AP126" s="17">
        <v>2515.6</v>
      </c>
      <c r="AQ126" s="17">
        <f t="shared" ref="AQ126:BK126" si="163">ROUND(AP126+$K126,2)</f>
        <v>2535.2600000000002</v>
      </c>
      <c r="AR126" s="17">
        <f t="shared" si="163"/>
        <v>2554.92</v>
      </c>
      <c r="AS126" s="17">
        <f t="shared" si="163"/>
        <v>2574.58</v>
      </c>
      <c r="AT126" s="17">
        <f t="shared" si="163"/>
        <v>2594.2399999999998</v>
      </c>
      <c r="AU126" s="17">
        <f t="shared" si="163"/>
        <v>2613.9</v>
      </c>
      <c r="AV126" s="17">
        <f t="shared" si="163"/>
        <v>2633.56</v>
      </c>
      <c r="AW126" s="17">
        <f t="shared" si="163"/>
        <v>2653.22</v>
      </c>
      <c r="AX126" s="17">
        <f t="shared" si="163"/>
        <v>2672.88</v>
      </c>
      <c r="AY126" s="17">
        <f t="shared" si="163"/>
        <v>2692.54</v>
      </c>
      <c r="AZ126" s="17">
        <f t="shared" si="163"/>
        <v>2712.2</v>
      </c>
      <c r="BA126" s="17">
        <f t="shared" si="163"/>
        <v>2731.86</v>
      </c>
      <c r="BB126" s="17">
        <f t="shared" si="163"/>
        <v>2751.52</v>
      </c>
      <c r="BC126" s="17">
        <f t="shared" si="163"/>
        <v>2771.18</v>
      </c>
      <c r="BD126" s="17">
        <f t="shared" si="163"/>
        <v>2790.84</v>
      </c>
      <c r="BE126" s="17">
        <f t="shared" si="163"/>
        <v>2810.5</v>
      </c>
      <c r="BF126" s="17">
        <f t="shared" si="163"/>
        <v>2830.16</v>
      </c>
      <c r="BG126" s="17">
        <f t="shared" si="163"/>
        <v>2849.82</v>
      </c>
      <c r="BH126" s="17">
        <f t="shared" si="163"/>
        <v>2869.48</v>
      </c>
      <c r="BI126" s="17">
        <f t="shared" si="163"/>
        <v>2889.14</v>
      </c>
      <c r="BJ126" s="17">
        <f t="shared" si="163"/>
        <v>2908.8</v>
      </c>
      <c r="BK126" s="17">
        <f t="shared" si="163"/>
        <v>2928.46</v>
      </c>
    </row>
    <row r="127" spans="1:63">
      <c r="A127" s="212" t="s">
        <v>168</v>
      </c>
      <c r="B127" s="301"/>
      <c r="C127" s="213" t="s">
        <v>154</v>
      </c>
      <c r="D127" s="213" t="s">
        <v>100</v>
      </c>
      <c r="E127" s="212" t="s">
        <v>181</v>
      </c>
      <c r="F127" s="213" t="s">
        <v>57</v>
      </c>
      <c r="G127" s="339"/>
      <c r="H127" s="319"/>
      <c r="I127" s="9" t="s">
        <v>180</v>
      </c>
      <c r="J127" s="18">
        <v>19.8</v>
      </c>
      <c r="K127" s="17">
        <v>19.66</v>
      </c>
      <c r="L127" s="17">
        <f t="shared" si="162"/>
        <v>2013.85</v>
      </c>
      <c r="M127" s="17">
        <f t="shared" si="162"/>
        <v>2033.51</v>
      </c>
      <c r="N127" s="17">
        <f t="shared" si="162"/>
        <v>2053.17</v>
      </c>
      <c r="O127" s="17">
        <f t="shared" si="162"/>
        <v>2072.83</v>
      </c>
      <c r="P127" s="17">
        <f t="shared" si="162"/>
        <v>2092.4899999999998</v>
      </c>
      <c r="Q127" s="17">
        <f t="shared" si="162"/>
        <v>2112.15</v>
      </c>
      <c r="R127" s="17">
        <f t="shared" si="162"/>
        <v>2131.81</v>
      </c>
      <c r="S127" s="17">
        <f t="shared" si="162"/>
        <v>2151.4699999999998</v>
      </c>
      <c r="T127" s="17">
        <f t="shared" si="162"/>
        <v>2171.13</v>
      </c>
      <c r="U127" s="17">
        <f t="shared" si="162"/>
        <v>2190.79</v>
      </c>
      <c r="V127" s="17">
        <f t="shared" si="162"/>
        <v>2210.4499999999998</v>
      </c>
      <c r="W127" s="17">
        <f t="shared" si="162"/>
        <v>2230.11</v>
      </c>
      <c r="X127" s="17">
        <f t="shared" si="162"/>
        <v>2249.77</v>
      </c>
      <c r="Y127" s="17">
        <f t="shared" si="162"/>
        <v>2269.4299999999998</v>
      </c>
      <c r="Z127" s="17">
        <f t="shared" si="162"/>
        <v>2289.09</v>
      </c>
      <c r="AA127" s="17">
        <f t="shared" si="162"/>
        <v>2308.75</v>
      </c>
      <c r="AB127" s="17">
        <f t="shared" si="162"/>
        <v>2328.41</v>
      </c>
      <c r="AC127" s="17">
        <f t="shared" si="162"/>
        <v>2348.0700000000002</v>
      </c>
      <c r="AD127" s="17">
        <f t="shared" si="162"/>
        <v>2367.73</v>
      </c>
      <c r="AE127" s="17">
        <f t="shared" si="162"/>
        <v>2387.39</v>
      </c>
      <c r="AF127" s="17">
        <f t="shared" si="162"/>
        <v>2407.0500000000002</v>
      </c>
      <c r="AG127" s="17">
        <f t="shared" si="162"/>
        <v>2426.71</v>
      </c>
      <c r="AH127" s="17">
        <f t="shared" si="162"/>
        <v>2446.37</v>
      </c>
      <c r="AI127" s="17">
        <f t="shared" si="162"/>
        <v>2466.0300000000002</v>
      </c>
      <c r="AJ127" s="17">
        <f t="shared" si="162"/>
        <v>2485.69</v>
      </c>
      <c r="AK127" s="17">
        <f t="shared" si="162"/>
        <v>2505.35</v>
      </c>
      <c r="AL127" s="17">
        <f t="shared" si="162"/>
        <v>2525.0100000000002</v>
      </c>
      <c r="AM127" s="17">
        <f t="shared" si="162"/>
        <v>2544.67</v>
      </c>
      <c r="AN127" s="17">
        <f t="shared" si="162"/>
        <v>2564.33</v>
      </c>
      <c r="AO127" s="17">
        <f>ROUND(AP127-$K127,2)</f>
        <v>2583.9899999999998</v>
      </c>
      <c r="AP127" s="17">
        <v>2603.65</v>
      </c>
      <c r="AQ127" s="17">
        <f>ROUND(AP127+$K127,2)</f>
        <v>2623.31</v>
      </c>
      <c r="AR127" s="17">
        <f t="shared" ref="AR127:BK127" si="164">ROUND(AQ127+$K127,2)</f>
        <v>2642.97</v>
      </c>
      <c r="AS127" s="17">
        <f t="shared" si="164"/>
        <v>2662.63</v>
      </c>
      <c r="AT127" s="17">
        <f t="shared" si="164"/>
        <v>2682.29</v>
      </c>
      <c r="AU127" s="17">
        <f t="shared" si="164"/>
        <v>2701.95</v>
      </c>
      <c r="AV127" s="17">
        <f t="shared" si="164"/>
        <v>2721.61</v>
      </c>
      <c r="AW127" s="17">
        <f t="shared" si="164"/>
        <v>2741.27</v>
      </c>
      <c r="AX127" s="17">
        <f t="shared" si="164"/>
        <v>2760.93</v>
      </c>
      <c r="AY127" s="17">
        <f t="shared" si="164"/>
        <v>2780.59</v>
      </c>
      <c r="AZ127" s="17">
        <f t="shared" si="164"/>
        <v>2800.25</v>
      </c>
      <c r="BA127" s="17">
        <f t="shared" si="164"/>
        <v>2819.91</v>
      </c>
      <c r="BB127" s="17">
        <f t="shared" si="164"/>
        <v>2839.57</v>
      </c>
      <c r="BC127" s="17">
        <f t="shared" si="164"/>
        <v>2859.23</v>
      </c>
      <c r="BD127" s="17">
        <f t="shared" si="164"/>
        <v>2878.89</v>
      </c>
      <c r="BE127" s="17">
        <f t="shared" si="164"/>
        <v>2898.55</v>
      </c>
      <c r="BF127" s="17">
        <f t="shared" si="164"/>
        <v>2918.21</v>
      </c>
      <c r="BG127" s="17">
        <f t="shared" si="164"/>
        <v>2937.87</v>
      </c>
      <c r="BH127" s="17">
        <f t="shared" si="164"/>
        <v>2957.53</v>
      </c>
      <c r="BI127" s="17">
        <f t="shared" si="164"/>
        <v>2977.19</v>
      </c>
      <c r="BJ127" s="17">
        <f t="shared" si="164"/>
        <v>2996.85</v>
      </c>
      <c r="BK127" s="17">
        <f t="shared" si="164"/>
        <v>3016.51</v>
      </c>
    </row>
    <row r="128" spans="1:63">
      <c r="A128" s="212" t="s">
        <v>182</v>
      </c>
      <c r="B128" s="301"/>
      <c r="C128" s="213" t="s">
        <v>154</v>
      </c>
      <c r="D128" s="213" t="s">
        <v>100</v>
      </c>
      <c r="E128" s="212" t="s">
        <v>159</v>
      </c>
      <c r="F128" s="213" t="s">
        <v>57</v>
      </c>
      <c r="G128" s="340"/>
      <c r="H128" s="139"/>
      <c r="I128" s="305" t="s">
        <v>183</v>
      </c>
      <c r="J128" s="18">
        <v>23</v>
      </c>
      <c r="K128" s="17">
        <v>30.52</v>
      </c>
      <c r="L128" s="17">
        <f t="shared" ref="L128:AN133" si="165">ROUND(M128-$K128,2)</f>
        <v>5358.17</v>
      </c>
      <c r="M128" s="17">
        <f t="shared" si="165"/>
        <v>5388.69</v>
      </c>
      <c r="N128" s="17">
        <f t="shared" si="165"/>
        <v>5419.21</v>
      </c>
      <c r="O128" s="17">
        <f t="shared" si="165"/>
        <v>5449.73</v>
      </c>
      <c r="P128" s="17">
        <f t="shared" si="165"/>
        <v>5480.25</v>
      </c>
      <c r="Q128" s="17">
        <f t="shared" si="165"/>
        <v>5510.77</v>
      </c>
      <c r="R128" s="17">
        <f t="shared" si="165"/>
        <v>5541.29</v>
      </c>
      <c r="S128" s="17">
        <f t="shared" si="165"/>
        <v>5571.81</v>
      </c>
      <c r="T128" s="17">
        <f t="shared" si="165"/>
        <v>5602.33</v>
      </c>
      <c r="U128" s="17">
        <f t="shared" si="165"/>
        <v>5632.85</v>
      </c>
      <c r="V128" s="17">
        <f t="shared" si="165"/>
        <v>5663.37</v>
      </c>
      <c r="W128" s="17">
        <f t="shared" si="165"/>
        <v>5693.89</v>
      </c>
      <c r="X128" s="17">
        <f t="shared" si="165"/>
        <v>5724.41</v>
      </c>
      <c r="Y128" s="17">
        <f t="shared" si="165"/>
        <v>5754.93</v>
      </c>
      <c r="Z128" s="17">
        <f t="shared" si="165"/>
        <v>5785.45</v>
      </c>
      <c r="AA128" s="17">
        <f t="shared" si="165"/>
        <v>5815.97</v>
      </c>
      <c r="AB128" s="17">
        <f t="shared" si="165"/>
        <v>5846.49</v>
      </c>
      <c r="AC128" s="17">
        <f t="shared" si="165"/>
        <v>5877.01</v>
      </c>
      <c r="AD128" s="17">
        <f t="shared" si="165"/>
        <v>5907.53</v>
      </c>
      <c r="AE128" s="17">
        <f t="shared" si="165"/>
        <v>5938.05</v>
      </c>
      <c r="AF128" s="17">
        <f t="shared" si="165"/>
        <v>5968.57</v>
      </c>
      <c r="AG128" s="17">
        <f t="shared" si="165"/>
        <v>5999.09</v>
      </c>
      <c r="AH128" s="17">
        <f t="shared" si="165"/>
        <v>6029.61</v>
      </c>
      <c r="AI128" s="17">
        <f t="shared" si="165"/>
        <v>6060.13</v>
      </c>
      <c r="AJ128" s="17">
        <f t="shared" si="165"/>
        <v>6090.65</v>
      </c>
      <c r="AK128" s="17">
        <f t="shared" si="165"/>
        <v>6121.17</v>
      </c>
      <c r="AL128" s="17">
        <f t="shared" si="165"/>
        <v>6151.69</v>
      </c>
      <c r="AM128" s="17">
        <f t="shared" si="165"/>
        <v>6182.21</v>
      </c>
      <c r="AN128" s="17">
        <f t="shared" si="165"/>
        <v>6212.73</v>
      </c>
      <c r="AO128" s="17">
        <f>ROUND(AP128-$K128,2)</f>
        <v>6243.25</v>
      </c>
      <c r="AP128" s="17">
        <v>6273.77</v>
      </c>
      <c r="AQ128" s="17">
        <f>ROUND(AP128+$K128,2)</f>
        <v>6304.29</v>
      </c>
      <c r="AR128" s="17">
        <f t="shared" ref="AR128:AZ128" si="166">ROUND(AQ128+$K128,2)</f>
        <v>6334.81</v>
      </c>
      <c r="AS128" s="17">
        <f t="shared" si="166"/>
        <v>6365.33</v>
      </c>
      <c r="AT128" s="17">
        <f t="shared" si="166"/>
        <v>6395.85</v>
      </c>
      <c r="AU128" s="17">
        <f t="shared" si="166"/>
        <v>6426.37</v>
      </c>
      <c r="AV128" s="17">
        <f t="shared" si="166"/>
        <v>6456.89</v>
      </c>
      <c r="AW128" s="17">
        <f t="shared" si="166"/>
        <v>6487.41</v>
      </c>
      <c r="AX128" s="17">
        <f t="shared" si="166"/>
        <v>6517.93</v>
      </c>
      <c r="AY128" s="17">
        <f t="shared" si="166"/>
        <v>6548.45</v>
      </c>
      <c r="AZ128" s="17">
        <f t="shared" si="166"/>
        <v>6578.97</v>
      </c>
      <c r="BA128" s="17">
        <f t="shared" si="161"/>
        <v>6609.49</v>
      </c>
      <c r="BB128" s="17">
        <f t="shared" si="161"/>
        <v>6640.01</v>
      </c>
      <c r="BC128" s="17">
        <f t="shared" si="161"/>
        <v>6670.53</v>
      </c>
      <c r="BD128" s="17">
        <f t="shared" si="161"/>
        <v>6701.05</v>
      </c>
      <c r="BE128" s="17">
        <f t="shared" si="161"/>
        <v>6731.57</v>
      </c>
      <c r="BF128" s="17">
        <f t="shared" si="161"/>
        <v>6762.09</v>
      </c>
      <c r="BG128" s="17">
        <f t="shared" si="161"/>
        <v>6792.61</v>
      </c>
      <c r="BH128" s="17">
        <f t="shared" si="161"/>
        <v>6823.13</v>
      </c>
      <c r="BI128" s="17">
        <f t="shared" si="161"/>
        <v>6853.65</v>
      </c>
      <c r="BJ128" s="17">
        <f t="shared" si="161"/>
        <v>6884.17</v>
      </c>
      <c r="BK128" s="17">
        <f t="shared" si="161"/>
        <v>6914.69</v>
      </c>
    </row>
    <row r="129" spans="1:63" hidden="1">
      <c r="A129" s="212" t="s">
        <v>184</v>
      </c>
      <c r="B129" s="301"/>
      <c r="C129" s="213" t="s">
        <v>172</v>
      </c>
      <c r="D129" s="213" t="s">
        <v>100</v>
      </c>
      <c r="E129" s="212" t="s">
        <v>25</v>
      </c>
      <c r="F129" s="213" t="s">
        <v>57</v>
      </c>
      <c r="G129" s="340"/>
      <c r="H129" s="284" t="s">
        <v>185</v>
      </c>
      <c r="I129" s="305" t="s">
        <v>186</v>
      </c>
      <c r="J129" s="18">
        <v>26</v>
      </c>
      <c r="K129" s="17">
        <v>29.25</v>
      </c>
      <c r="L129" s="17">
        <f t="shared" si="165"/>
        <v>2497.46</v>
      </c>
      <c r="M129" s="17">
        <f t="shared" si="165"/>
        <v>2526.71</v>
      </c>
      <c r="N129" s="17">
        <f t="shared" si="165"/>
        <v>2555.96</v>
      </c>
      <c r="O129" s="17">
        <f t="shared" si="165"/>
        <v>2585.21</v>
      </c>
      <c r="P129" s="17">
        <f t="shared" si="165"/>
        <v>2614.46</v>
      </c>
      <c r="Q129" s="17">
        <f t="shared" si="165"/>
        <v>2643.71</v>
      </c>
      <c r="R129" s="17">
        <f t="shared" si="165"/>
        <v>2672.96</v>
      </c>
      <c r="S129" s="17">
        <f t="shared" si="165"/>
        <v>2702.21</v>
      </c>
      <c r="T129" s="17">
        <f t="shared" si="165"/>
        <v>2731.46</v>
      </c>
      <c r="U129" s="17">
        <f t="shared" si="165"/>
        <v>2760.71</v>
      </c>
      <c r="V129" s="17">
        <f t="shared" si="165"/>
        <v>2789.96</v>
      </c>
      <c r="W129" s="17">
        <f t="shared" si="165"/>
        <v>2819.21</v>
      </c>
      <c r="X129" s="17">
        <f t="shared" si="165"/>
        <v>2848.46</v>
      </c>
      <c r="Y129" s="17">
        <f t="shared" si="165"/>
        <v>2877.71</v>
      </c>
      <c r="Z129" s="17">
        <f t="shared" si="165"/>
        <v>2906.96</v>
      </c>
      <c r="AA129" s="17">
        <f t="shared" si="165"/>
        <v>2936.21</v>
      </c>
      <c r="AB129" s="17">
        <f t="shared" si="165"/>
        <v>2965.46</v>
      </c>
      <c r="AC129" s="17">
        <f t="shared" si="165"/>
        <v>2994.71</v>
      </c>
      <c r="AD129" s="17">
        <f t="shared" si="165"/>
        <v>3023.96</v>
      </c>
      <c r="AE129" s="17">
        <f t="shared" si="165"/>
        <v>3053.21</v>
      </c>
      <c r="AF129" s="17">
        <f t="shared" si="165"/>
        <v>3082.46</v>
      </c>
      <c r="AG129" s="17">
        <f t="shared" si="165"/>
        <v>3111.71</v>
      </c>
      <c r="AH129" s="17">
        <f t="shared" si="165"/>
        <v>3140.96</v>
      </c>
      <c r="AI129" s="17">
        <f t="shared" si="165"/>
        <v>3170.21</v>
      </c>
      <c r="AJ129" s="17">
        <f t="shared" si="165"/>
        <v>3199.46</v>
      </c>
      <c r="AK129" s="17">
        <f t="shared" si="165"/>
        <v>3228.71</v>
      </c>
      <c r="AL129" s="17">
        <f t="shared" si="165"/>
        <v>3257.96</v>
      </c>
      <c r="AM129" s="17">
        <f t="shared" si="165"/>
        <v>3287.21</v>
      </c>
      <c r="AN129" s="17">
        <f t="shared" si="165"/>
        <v>3316.46</v>
      </c>
      <c r="AO129" s="17">
        <f t="shared" ref="AO129:AO140" si="167">ROUND(AP129-$K129,2)</f>
        <v>3345.71</v>
      </c>
      <c r="AP129" s="17">
        <v>3374.96</v>
      </c>
      <c r="AQ129" s="17">
        <f t="shared" ref="AQ129:BF132" si="168">ROUND(AP129+$K129,2)</f>
        <v>3404.21</v>
      </c>
      <c r="AR129" s="17">
        <f t="shared" si="168"/>
        <v>3433.46</v>
      </c>
      <c r="AS129" s="17">
        <f t="shared" si="168"/>
        <v>3462.71</v>
      </c>
      <c r="AT129" s="17">
        <f t="shared" si="168"/>
        <v>3491.96</v>
      </c>
      <c r="AU129" s="17">
        <f t="shared" si="168"/>
        <v>3521.21</v>
      </c>
      <c r="AV129" s="17">
        <f t="shared" si="168"/>
        <v>3550.46</v>
      </c>
      <c r="AW129" s="17">
        <f t="shared" si="168"/>
        <v>3579.71</v>
      </c>
      <c r="AX129" s="17">
        <f t="shared" si="168"/>
        <v>3608.96</v>
      </c>
      <c r="AY129" s="17">
        <f t="shared" si="168"/>
        <v>3638.21</v>
      </c>
      <c r="AZ129" s="17">
        <f t="shared" si="168"/>
        <v>3667.46</v>
      </c>
      <c r="BA129" s="17">
        <f t="shared" si="168"/>
        <v>3696.71</v>
      </c>
      <c r="BB129" s="17">
        <f t="shared" si="168"/>
        <v>3725.96</v>
      </c>
      <c r="BC129" s="17">
        <f t="shared" si="168"/>
        <v>3755.21</v>
      </c>
      <c r="BD129" s="17">
        <f t="shared" si="168"/>
        <v>3784.46</v>
      </c>
      <c r="BE129" s="17">
        <f t="shared" si="168"/>
        <v>3813.71</v>
      </c>
      <c r="BF129" s="17">
        <f t="shared" si="168"/>
        <v>3842.96</v>
      </c>
      <c r="BG129" s="17">
        <f t="shared" si="161"/>
        <v>3872.21</v>
      </c>
      <c r="BH129" s="17">
        <f t="shared" si="161"/>
        <v>3901.46</v>
      </c>
      <c r="BI129" s="17">
        <f t="shared" si="161"/>
        <v>3930.71</v>
      </c>
      <c r="BJ129" s="17">
        <f t="shared" si="161"/>
        <v>3959.96</v>
      </c>
      <c r="BK129" s="17">
        <f t="shared" si="161"/>
        <v>3989.21</v>
      </c>
    </row>
    <row r="130" spans="1:63" hidden="1">
      <c r="A130" s="212" t="s">
        <v>187</v>
      </c>
      <c r="B130" s="301"/>
      <c r="C130" s="213" t="s">
        <v>172</v>
      </c>
      <c r="D130" s="213" t="s">
        <v>100</v>
      </c>
      <c r="E130" s="212" t="s">
        <v>25</v>
      </c>
      <c r="F130" s="213" t="s">
        <v>57</v>
      </c>
      <c r="G130" s="340"/>
      <c r="H130" s="284" t="s">
        <v>188</v>
      </c>
      <c r="I130" s="305" t="s">
        <v>186</v>
      </c>
      <c r="J130" s="18">
        <v>27.6</v>
      </c>
      <c r="K130" s="17">
        <v>30.95</v>
      </c>
      <c r="L130" s="17">
        <f t="shared" si="165"/>
        <v>2664</v>
      </c>
      <c r="M130" s="17">
        <f t="shared" si="165"/>
        <v>2694.95</v>
      </c>
      <c r="N130" s="17">
        <f t="shared" si="165"/>
        <v>2725.9</v>
      </c>
      <c r="O130" s="17">
        <f t="shared" si="165"/>
        <v>2756.85</v>
      </c>
      <c r="P130" s="17">
        <f t="shared" si="165"/>
        <v>2787.8</v>
      </c>
      <c r="Q130" s="17">
        <f t="shared" si="165"/>
        <v>2818.75</v>
      </c>
      <c r="R130" s="17">
        <f t="shared" si="165"/>
        <v>2849.7</v>
      </c>
      <c r="S130" s="17">
        <f t="shared" si="165"/>
        <v>2880.65</v>
      </c>
      <c r="T130" s="17">
        <f t="shared" si="165"/>
        <v>2911.6</v>
      </c>
      <c r="U130" s="17">
        <f t="shared" si="165"/>
        <v>2942.55</v>
      </c>
      <c r="V130" s="17">
        <f t="shared" si="165"/>
        <v>2973.5</v>
      </c>
      <c r="W130" s="17">
        <f t="shared" si="165"/>
        <v>3004.45</v>
      </c>
      <c r="X130" s="17">
        <f t="shared" si="165"/>
        <v>3035.4</v>
      </c>
      <c r="Y130" s="17">
        <f t="shared" si="165"/>
        <v>3066.35</v>
      </c>
      <c r="Z130" s="17">
        <f t="shared" si="165"/>
        <v>3097.3</v>
      </c>
      <c r="AA130" s="17">
        <f t="shared" si="165"/>
        <v>3128.25</v>
      </c>
      <c r="AB130" s="17">
        <f t="shared" si="165"/>
        <v>3159.2</v>
      </c>
      <c r="AC130" s="17">
        <f t="shared" si="165"/>
        <v>3190.15</v>
      </c>
      <c r="AD130" s="17">
        <f t="shared" si="165"/>
        <v>3221.1</v>
      </c>
      <c r="AE130" s="17">
        <f t="shared" si="165"/>
        <v>3252.05</v>
      </c>
      <c r="AF130" s="17">
        <f t="shared" si="165"/>
        <v>3283</v>
      </c>
      <c r="AG130" s="17">
        <f t="shared" si="165"/>
        <v>3313.95</v>
      </c>
      <c r="AH130" s="17">
        <f t="shared" si="165"/>
        <v>3344.9</v>
      </c>
      <c r="AI130" s="17">
        <f t="shared" si="165"/>
        <v>3375.85</v>
      </c>
      <c r="AJ130" s="17">
        <f t="shared" si="165"/>
        <v>3406.8</v>
      </c>
      <c r="AK130" s="17">
        <f t="shared" si="165"/>
        <v>3437.75</v>
      </c>
      <c r="AL130" s="17">
        <f t="shared" si="165"/>
        <v>3468.7</v>
      </c>
      <c r="AM130" s="17">
        <f t="shared" si="165"/>
        <v>3499.65</v>
      </c>
      <c r="AN130" s="17">
        <f t="shared" si="165"/>
        <v>3530.6</v>
      </c>
      <c r="AO130" s="17">
        <f t="shared" si="167"/>
        <v>3561.55</v>
      </c>
      <c r="AP130" s="17">
        <v>3592.5</v>
      </c>
      <c r="AQ130" s="17">
        <f t="shared" si="168"/>
        <v>3623.45</v>
      </c>
      <c r="AR130" s="17">
        <f t="shared" ref="AR130:BK140" si="169">ROUND(AQ130+$K130,2)</f>
        <v>3654.4</v>
      </c>
      <c r="AS130" s="17">
        <f t="shared" si="169"/>
        <v>3685.35</v>
      </c>
      <c r="AT130" s="17">
        <f t="shared" si="169"/>
        <v>3716.3</v>
      </c>
      <c r="AU130" s="17">
        <f t="shared" si="169"/>
        <v>3747.25</v>
      </c>
      <c r="AV130" s="17">
        <f t="shared" si="169"/>
        <v>3778.2</v>
      </c>
      <c r="AW130" s="17">
        <f t="shared" si="169"/>
        <v>3809.15</v>
      </c>
      <c r="AX130" s="17">
        <f t="shared" si="169"/>
        <v>3840.1</v>
      </c>
      <c r="AY130" s="17">
        <f t="shared" si="169"/>
        <v>3871.05</v>
      </c>
      <c r="AZ130" s="17">
        <f t="shared" si="169"/>
        <v>3902</v>
      </c>
      <c r="BA130" s="17">
        <f t="shared" si="169"/>
        <v>3932.95</v>
      </c>
      <c r="BB130" s="17">
        <f t="shared" si="169"/>
        <v>3963.9</v>
      </c>
      <c r="BC130" s="17">
        <f t="shared" si="169"/>
        <v>3994.85</v>
      </c>
      <c r="BD130" s="17">
        <f t="shared" si="169"/>
        <v>4025.8</v>
      </c>
      <c r="BE130" s="17">
        <f t="shared" si="169"/>
        <v>4056.75</v>
      </c>
      <c r="BF130" s="17">
        <f t="shared" si="169"/>
        <v>4087.7</v>
      </c>
      <c r="BG130" s="17">
        <f t="shared" si="169"/>
        <v>4118.6499999999996</v>
      </c>
      <c r="BH130" s="17">
        <f t="shared" si="169"/>
        <v>4149.6000000000004</v>
      </c>
      <c r="BI130" s="17">
        <f t="shared" si="169"/>
        <v>4180.55</v>
      </c>
      <c r="BJ130" s="17">
        <f t="shared" si="169"/>
        <v>4211.5</v>
      </c>
      <c r="BK130" s="17">
        <f t="shared" si="169"/>
        <v>4242.45</v>
      </c>
    </row>
    <row r="131" spans="1:63" hidden="1">
      <c r="A131" s="212" t="s">
        <v>189</v>
      </c>
      <c r="B131" s="301"/>
      <c r="C131" s="213" t="s">
        <v>251</v>
      </c>
      <c r="D131" s="213" t="s">
        <v>100</v>
      </c>
      <c r="E131" s="212" t="s">
        <v>106</v>
      </c>
      <c r="F131" s="213" t="s">
        <v>57</v>
      </c>
      <c r="G131" s="340"/>
      <c r="H131" s="284" t="s">
        <v>193</v>
      </c>
      <c r="I131" s="305" t="s">
        <v>186</v>
      </c>
      <c r="J131" s="18">
        <v>27.6</v>
      </c>
      <c r="K131" s="17">
        <v>30.95</v>
      </c>
      <c r="L131" s="17">
        <f t="shared" si="165"/>
        <v>3336.51</v>
      </c>
      <c r="M131" s="17">
        <f t="shared" si="165"/>
        <v>3367.46</v>
      </c>
      <c r="N131" s="17">
        <f t="shared" si="165"/>
        <v>3398.41</v>
      </c>
      <c r="O131" s="17">
        <f t="shared" si="165"/>
        <v>3429.36</v>
      </c>
      <c r="P131" s="17">
        <f t="shared" si="165"/>
        <v>3460.31</v>
      </c>
      <c r="Q131" s="17">
        <f t="shared" si="165"/>
        <v>3491.26</v>
      </c>
      <c r="R131" s="17">
        <f t="shared" si="165"/>
        <v>3522.21</v>
      </c>
      <c r="S131" s="17">
        <f t="shared" si="165"/>
        <v>3553.16</v>
      </c>
      <c r="T131" s="17">
        <f t="shared" si="165"/>
        <v>3584.11</v>
      </c>
      <c r="U131" s="17">
        <f t="shared" si="165"/>
        <v>3615.06</v>
      </c>
      <c r="V131" s="17">
        <f t="shared" si="165"/>
        <v>3646.01</v>
      </c>
      <c r="W131" s="17">
        <f t="shared" si="165"/>
        <v>3676.96</v>
      </c>
      <c r="X131" s="17">
        <f t="shared" si="165"/>
        <v>3707.91</v>
      </c>
      <c r="Y131" s="17">
        <f t="shared" si="165"/>
        <v>3738.86</v>
      </c>
      <c r="Z131" s="17">
        <f t="shared" si="165"/>
        <v>3769.81</v>
      </c>
      <c r="AA131" s="17">
        <f t="shared" si="165"/>
        <v>3800.76</v>
      </c>
      <c r="AB131" s="17">
        <f t="shared" si="165"/>
        <v>3831.71</v>
      </c>
      <c r="AC131" s="17">
        <f t="shared" si="165"/>
        <v>3862.66</v>
      </c>
      <c r="AD131" s="17">
        <f t="shared" si="165"/>
        <v>3893.61</v>
      </c>
      <c r="AE131" s="17">
        <f t="shared" si="165"/>
        <v>3924.56</v>
      </c>
      <c r="AF131" s="17">
        <f t="shared" si="165"/>
        <v>3955.51</v>
      </c>
      <c r="AG131" s="17">
        <f t="shared" si="165"/>
        <v>3986.46</v>
      </c>
      <c r="AH131" s="17">
        <f t="shared" si="165"/>
        <v>4017.41</v>
      </c>
      <c r="AI131" s="17">
        <f t="shared" si="165"/>
        <v>4048.36</v>
      </c>
      <c r="AJ131" s="17">
        <f t="shared" si="165"/>
        <v>4079.31</v>
      </c>
      <c r="AK131" s="17">
        <f t="shared" si="165"/>
        <v>4110.26</v>
      </c>
      <c r="AL131" s="17">
        <f t="shared" si="165"/>
        <v>4141.21</v>
      </c>
      <c r="AM131" s="17">
        <f t="shared" si="165"/>
        <v>4172.16</v>
      </c>
      <c r="AN131" s="17">
        <f t="shared" si="165"/>
        <v>4203.1099999999997</v>
      </c>
      <c r="AO131" s="17">
        <f t="shared" si="167"/>
        <v>4234.0600000000004</v>
      </c>
      <c r="AP131" s="17">
        <v>4265.01</v>
      </c>
      <c r="AQ131" s="17">
        <f t="shared" si="168"/>
        <v>4295.96</v>
      </c>
      <c r="AR131" s="17">
        <f t="shared" si="169"/>
        <v>4326.91</v>
      </c>
      <c r="AS131" s="17">
        <f t="shared" si="169"/>
        <v>4357.8599999999997</v>
      </c>
      <c r="AT131" s="17">
        <f t="shared" si="169"/>
        <v>4388.8100000000004</v>
      </c>
      <c r="AU131" s="17">
        <f t="shared" si="169"/>
        <v>4419.76</v>
      </c>
      <c r="AV131" s="17">
        <f t="shared" si="169"/>
        <v>4450.71</v>
      </c>
      <c r="AW131" s="17">
        <f t="shared" si="169"/>
        <v>4481.66</v>
      </c>
      <c r="AX131" s="17">
        <f t="shared" si="169"/>
        <v>4512.6099999999997</v>
      </c>
      <c r="AY131" s="17">
        <f t="shared" si="169"/>
        <v>4543.5600000000004</v>
      </c>
      <c r="AZ131" s="17">
        <f t="shared" si="169"/>
        <v>4574.51</v>
      </c>
      <c r="BA131" s="17">
        <f t="shared" si="169"/>
        <v>4605.46</v>
      </c>
      <c r="BB131" s="17">
        <f t="shared" si="169"/>
        <v>4636.41</v>
      </c>
      <c r="BC131" s="17">
        <f t="shared" si="169"/>
        <v>4667.3599999999997</v>
      </c>
      <c r="BD131" s="17">
        <f t="shared" si="169"/>
        <v>4698.3100000000004</v>
      </c>
      <c r="BE131" s="17">
        <f t="shared" si="169"/>
        <v>4729.26</v>
      </c>
      <c r="BF131" s="17">
        <f t="shared" si="169"/>
        <v>4760.21</v>
      </c>
      <c r="BG131" s="17">
        <f t="shared" si="169"/>
        <v>4791.16</v>
      </c>
      <c r="BH131" s="17">
        <f t="shared" si="169"/>
        <v>4822.1099999999997</v>
      </c>
      <c r="BI131" s="17">
        <f t="shared" si="169"/>
        <v>4853.0600000000004</v>
      </c>
      <c r="BJ131" s="17">
        <f t="shared" si="169"/>
        <v>4884.01</v>
      </c>
      <c r="BK131" s="17">
        <f t="shared" si="169"/>
        <v>4914.96</v>
      </c>
    </row>
    <row r="132" spans="1:63" hidden="1">
      <c r="A132" s="212" t="s">
        <v>184</v>
      </c>
      <c r="B132" s="301"/>
      <c r="C132" s="213" t="s">
        <v>172</v>
      </c>
      <c r="D132" s="213" t="s">
        <v>100</v>
      </c>
      <c r="E132" s="212" t="s">
        <v>25</v>
      </c>
      <c r="F132" s="213" t="s">
        <v>57</v>
      </c>
      <c r="G132" s="339"/>
      <c r="H132" s="319"/>
      <c r="I132" s="305" t="s">
        <v>180</v>
      </c>
      <c r="J132" s="18">
        <v>24.7</v>
      </c>
      <c r="K132" s="17">
        <v>26.98</v>
      </c>
      <c r="L132" s="17">
        <f t="shared" si="165"/>
        <v>2385.38</v>
      </c>
      <c r="M132" s="17">
        <f t="shared" si="165"/>
        <v>2412.36</v>
      </c>
      <c r="N132" s="17">
        <f t="shared" si="165"/>
        <v>2439.34</v>
      </c>
      <c r="O132" s="17">
        <f t="shared" si="165"/>
        <v>2466.3200000000002</v>
      </c>
      <c r="P132" s="17">
        <f t="shared" si="165"/>
        <v>2493.3000000000002</v>
      </c>
      <c r="Q132" s="17">
        <f t="shared" si="165"/>
        <v>2520.2800000000002</v>
      </c>
      <c r="R132" s="17">
        <f t="shared" si="165"/>
        <v>2547.2600000000002</v>
      </c>
      <c r="S132" s="17">
        <f t="shared" si="165"/>
        <v>2574.2399999999998</v>
      </c>
      <c r="T132" s="17">
        <f t="shared" si="165"/>
        <v>2601.2199999999998</v>
      </c>
      <c r="U132" s="17">
        <f t="shared" si="165"/>
        <v>2628.2</v>
      </c>
      <c r="V132" s="17">
        <f t="shared" si="165"/>
        <v>2655.18</v>
      </c>
      <c r="W132" s="17">
        <f t="shared" si="165"/>
        <v>2682.16</v>
      </c>
      <c r="X132" s="17">
        <f t="shared" si="165"/>
        <v>2709.14</v>
      </c>
      <c r="Y132" s="17">
        <f t="shared" si="165"/>
        <v>2736.12</v>
      </c>
      <c r="Z132" s="17">
        <f t="shared" si="165"/>
        <v>2763.1</v>
      </c>
      <c r="AA132" s="17">
        <f t="shared" si="165"/>
        <v>2790.08</v>
      </c>
      <c r="AB132" s="17">
        <f t="shared" si="165"/>
        <v>2817.06</v>
      </c>
      <c r="AC132" s="17">
        <f t="shared" si="165"/>
        <v>2844.04</v>
      </c>
      <c r="AD132" s="17">
        <f t="shared" si="165"/>
        <v>2871.02</v>
      </c>
      <c r="AE132" s="17">
        <f t="shared" si="165"/>
        <v>2898</v>
      </c>
      <c r="AF132" s="17">
        <f t="shared" si="165"/>
        <v>2924.98</v>
      </c>
      <c r="AG132" s="17">
        <f t="shared" si="165"/>
        <v>2951.96</v>
      </c>
      <c r="AH132" s="17">
        <f t="shared" si="165"/>
        <v>2978.94</v>
      </c>
      <c r="AI132" s="17">
        <f t="shared" si="165"/>
        <v>3005.92</v>
      </c>
      <c r="AJ132" s="17">
        <f t="shared" si="165"/>
        <v>3032.9</v>
      </c>
      <c r="AK132" s="17">
        <f t="shared" si="165"/>
        <v>3059.88</v>
      </c>
      <c r="AL132" s="17">
        <f t="shared" si="165"/>
        <v>3086.86</v>
      </c>
      <c r="AM132" s="17">
        <f t="shared" si="165"/>
        <v>3113.84</v>
      </c>
      <c r="AN132" s="17">
        <f t="shared" si="165"/>
        <v>3140.82</v>
      </c>
      <c r="AO132" s="17">
        <f t="shared" si="167"/>
        <v>3167.8</v>
      </c>
      <c r="AP132" s="17">
        <v>3194.78</v>
      </c>
      <c r="AQ132" s="17">
        <f t="shared" si="168"/>
        <v>3221.76</v>
      </c>
      <c r="AR132" s="17">
        <f t="shared" si="169"/>
        <v>3248.74</v>
      </c>
      <c r="AS132" s="17">
        <f t="shared" si="169"/>
        <v>3275.72</v>
      </c>
      <c r="AT132" s="17">
        <f t="shared" si="169"/>
        <v>3302.7</v>
      </c>
      <c r="AU132" s="17">
        <f t="shared" si="169"/>
        <v>3329.68</v>
      </c>
      <c r="AV132" s="17">
        <f t="shared" si="169"/>
        <v>3356.66</v>
      </c>
      <c r="AW132" s="17">
        <f t="shared" si="169"/>
        <v>3383.64</v>
      </c>
      <c r="AX132" s="17">
        <f t="shared" si="169"/>
        <v>3410.62</v>
      </c>
      <c r="AY132" s="17">
        <f t="shared" si="169"/>
        <v>3437.6</v>
      </c>
      <c r="AZ132" s="17">
        <f t="shared" si="169"/>
        <v>3464.58</v>
      </c>
      <c r="BA132" s="17">
        <f t="shared" si="169"/>
        <v>3491.56</v>
      </c>
      <c r="BB132" s="17">
        <f t="shared" si="169"/>
        <v>3518.54</v>
      </c>
      <c r="BC132" s="17">
        <f t="shared" si="169"/>
        <v>3545.52</v>
      </c>
      <c r="BD132" s="17">
        <f t="shared" si="169"/>
        <v>3572.5</v>
      </c>
      <c r="BE132" s="17">
        <f t="shared" si="169"/>
        <v>3599.48</v>
      </c>
      <c r="BF132" s="17">
        <f t="shared" si="169"/>
        <v>3626.46</v>
      </c>
      <c r="BG132" s="17">
        <f t="shared" si="169"/>
        <v>3653.44</v>
      </c>
      <c r="BH132" s="17">
        <f t="shared" si="169"/>
        <v>3680.42</v>
      </c>
      <c r="BI132" s="17">
        <f t="shared" si="169"/>
        <v>3707.4</v>
      </c>
      <c r="BJ132" s="17">
        <f t="shared" si="169"/>
        <v>3734.38</v>
      </c>
      <c r="BK132" s="17">
        <f t="shared" si="169"/>
        <v>3761.36</v>
      </c>
    </row>
    <row r="133" spans="1:63" hidden="1">
      <c r="A133" s="212" t="s">
        <v>187</v>
      </c>
      <c r="B133" s="301"/>
      <c r="C133" s="213" t="s">
        <v>172</v>
      </c>
      <c r="D133" s="213" t="s">
        <v>100</v>
      </c>
      <c r="E133" s="212" t="s">
        <v>25</v>
      </c>
      <c r="F133" s="213" t="s">
        <v>57</v>
      </c>
      <c r="G133" s="339"/>
      <c r="H133" s="319"/>
      <c r="I133" s="305" t="s">
        <v>180</v>
      </c>
      <c r="J133" s="18">
        <v>26.2</v>
      </c>
      <c r="K133" s="17">
        <v>28.71</v>
      </c>
      <c r="L133" s="17">
        <f t="shared" si="165"/>
        <v>2547.7600000000002</v>
      </c>
      <c r="M133" s="17">
        <f t="shared" si="165"/>
        <v>2576.4699999999998</v>
      </c>
      <c r="N133" s="17">
        <f t="shared" si="165"/>
        <v>2605.1799999999998</v>
      </c>
      <c r="O133" s="17">
        <f t="shared" si="165"/>
        <v>2633.89</v>
      </c>
      <c r="P133" s="17">
        <f t="shared" si="165"/>
        <v>2662.6</v>
      </c>
      <c r="Q133" s="17">
        <f t="shared" si="165"/>
        <v>2691.31</v>
      </c>
      <c r="R133" s="17">
        <f t="shared" si="165"/>
        <v>2720.02</v>
      </c>
      <c r="S133" s="17">
        <f t="shared" si="165"/>
        <v>2748.73</v>
      </c>
      <c r="T133" s="17">
        <f t="shared" si="165"/>
        <v>2777.44</v>
      </c>
      <c r="U133" s="17">
        <f t="shared" si="165"/>
        <v>2806.15</v>
      </c>
      <c r="V133" s="17">
        <f t="shared" si="165"/>
        <v>2834.86</v>
      </c>
      <c r="W133" s="17">
        <f t="shared" si="165"/>
        <v>2863.57</v>
      </c>
      <c r="X133" s="17">
        <f t="shared" si="165"/>
        <v>2892.28</v>
      </c>
      <c r="Y133" s="17">
        <f t="shared" si="165"/>
        <v>2920.99</v>
      </c>
      <c r="Z133" s="17">
        <f t="shared" si="165"/>
        <v>2949.7</v>
      </c>
      <c r="AA133" s="17">
        <f t="shared" si="165"/>
        <v>2978.41</v>
      </c>
      <c r="AB133" s="17">
        <f t="shared" si="165"/>
        <v>3007.12</v>
      </c>
      <c r="AC133" s="17">
        <f t="shared" si="165"/>
        <v>3035.83</v>
      </c>
      <c r="AD133" s="17">
        <f t="shared" si="165"/>
        <v>3064.54</v>
      </c>
      <c r="AE133" s="17">
        <f t="shared" si="165"/>
        <v>3093.25</v>
      </c>
      <c r="AF133" s="17">
        <f t="shared" si="165"/>
        <v>3121.96</v>
      </c>
      <c r="AG133" s="17">
        <f t="shared" si="165"/>
        <v>3150.67</v>
      </c>
      <c r="AH133" s="17">
        <f t="shared" si="165"/>
        <v>3179.38</v>
      </c>
      <c r="AI133" s="17">
        <f t="shared" ref="AI133:AI140" si="170">ROUND(AJ133-$K133,2)</f>
        <v>3208.09</v>
      </c>
      <c r="AJ133" s="17">
        <f t="shared" ref="AJ133:AJ140" si="171">ROUND(AK133-$K133,2)</f>
        <v>3236.8</v>
      </c>
      <c r="AK133" s="17">
        <f t="shared" ref="AK133:AK140" si="172">ROUND(AL133-$K133,2)</f>
        <v>3265.51</v>
      </c>
      <c r="AL133" s="17">
        <f t="shared" ref="AL133:AL140" si="173">ROUND(AM133-$K133,2)</f>
        <v>3294.22</v>
      </c>
      <c r="AM133" s="17">
        <f t="shared" ref="AM133:AM140" si="174">ROUND(AN133-$K133,2)</f>
        <v>3322.93</v>
      </c>
      <c r="AN133" s="17">
        <f t="shared" ref="AN133:AN140" si="175">ROUND(AO133-$K133,2)</f>
        <v>3351.64</v>
      </c>
      <c r="AO133" s="17">
        <f t="shared" si="167"/>
        <v>3380.35</v>
      </c>
      <c r="AP133" s="17">
        <v>3409.06</v>
      </c>
      <c r="AQ133" s="17">
        <f>ROUND(AP133+$K133,2)</f>
        <v>3437.77</v>
      </c>
      <c r="AR133" s="17">
        <f t="shared" si="169"/>
        <v>3466.48</v>
      </c>
      <c r="AS133" s="17">
        <f t="shared" si="169"/>
        <v>3495.19</v>
      </c>
      <c r="AT133" s="17">
        <f t="shared" si="169"/>
        <v>3523.9</v>
      </c>
      <c r="AU133" s="17">
        <f t="shared" si="169"/>
        <v>3552.61</v>
      </c>
      <c r="AV133" s="17">
        <f t="shared" si="169"/>
        <v>3581.32</v>
      </c>
      <c r="AW133" s="17">
        <f t="shared" si="169"/>
        <v>3610.03</v>
      </c>
      <c r="AX133" s="17">
        <f t="shared" si="169"/>
        <v>3638.74</v>
      </c>
      <c r="AY133" s="17">
        <f t="shared" si="169"/>
        <v>3667.45</v>
      </c>
      <c r="AZ133" s="17">
        <f t="shared" si="169"/>
        <v>3696.16</v>
      </c>
      <c r="BA133" s="17">
        <f t="shared" si="169"/>
        <v>3724.87</v>
      </c>
      <c r="BB133" s="17">
        <f t="shared" si="169"/>
        <v>3753.58</v>
      </c>
      <c r="BC133" s="17">
        <f t="shared" si="169"/>
        <v>3782.29</v>
      </c>
      <c r="BD133" s="17">
        <f t="shared" si="169"/>
        <v>3811</v>
      </c>
      <c r="BE133" s="17">
        <f t="shared" si="169"/>
        <v>3839.71</v>
      </c>
      <c r="BF133" s="17">
        <f t="shared" si="169"/>
        <v>3868.42</v>
      </c>
      <c r="BG133" s="17">
        <f t="shared" si="169"/>
        <v>3897.13</v>
      </c>
      <c r="BH133" s="17">
        <f t="shared" si="169"/>
        <v>3925.84</v>
      </c>
      <c r="BI133" s="17">
        <f t="shared" si="169"/>
        <v>3954.55</v>
      </c>
      <c r="BJ133" s="17">
        <f t="shared" si="169"/>
        <v>3983.26</v>
      </c>
      <c r="BK133" s="17">
        <f t="shared" si="169"/>
        <v>4011.97</v>
      </c>
    </row>
    <row r="134" spans="1:63" hidden="1">
      <c r="A134" s="260" t="s">
        <v>194</v>
      </c>
      <c r="B134" s="302"/>
      <c r="C134" s="261" t="s">
        <v>195</v>
      </c>
      <c r="D134" s="261" t="s">
        <v>191</v>
      </c>
      <c r="E134" s="260" t="s">
        <v>181</v>
      </c>
      <c r="F134" s="261" t="s">
        <v>32</v>
      </c>
      <c r="G134" s="341"/>
      <c r="H134" s="139"/>
      <c r="I134" s="305" t="s">
        <v>183</v>
      </c>
      <c r="J134" s="15"/>
      <c r="K134" s="17">
        <v>32.4</v>
      </c>
      <c r="L134" s="17">
        <f t="shared" ref="L134:L140" si="176">ROUND(M134-$K134,2)</f>
        <v>2939.74</v>
      </c>
      <c r="M134" s="17">
        <f t="shared" ref="M134:M140" si="177">ROUND(N134-$K134,2)</f>
        <v>2972.14</v>
      </c>
      <c r="N134" s="17">
        <f t="shared" ref="N134:N140" si="178">ROUND(O134-$K134,2)</f>
        <v>3004.54</v>
      </c>
      <c r="O134" s="17">
        <f t="shared" ref="O134:O140" si="179">ROUND(P134-$K134,2)</f>
        <v>3036.94</v>
      </c>
      <c r="P134" s="17">
        <f t="shared" ref="P134:P140" si="180">ROUND(Q134-$K134,2)</f>
        <v>3069.34</v>
      </c>
      <c r="Q134" s="17">
        <f t="shared" ref="Q134:Q140" si="181">ROUND(R134-$K134,2)</f>
        <v>3101.74</v>
      </c>
      <c r="R134" s="17">
        <f t="shared" ref="R134:R140" si="182">ROUND(S134-$K134,2)</f>
        <v>3134.14</v>
      </c>
      <c r="S134" s="17">
        <f t="shared" ref="S134:S140" si="183">ROUND(T134-$K134,2)</f>
        <v>3166.54</v>
      </c>
      <c r="T134" s="17">
        <f t="shared" ref="T134:T140" si="184">ROUND(U134-$K134,2)</f>
        <v>3198.94</v>
      </c>
      <c r="U134" s="17">
        <f t="shared" ref="U134:U140" si="185">ROUND(V134-$K134,2)</f>
        <v>3231.34</v>
      </c>
      <c r="V134" s="17">
        <f t="shared" ref="V134:V140" si="186">ROUND(W134-$K134,2)</f>
        <v>3263.74</v>
      </c>
      <c r="W134" s="17">
        <f t="shared" ref="W134:W140" si="187">ROUND(X134-$K134,2)</f>
        <v>3296.14</v>
      </c>
      <c r="X134" s="17">
        <f t="shared" ref="X134:X140" si="188">ROUND(Y134-$K134,2)</f>
        <v>3328.54</v>
      </c>
      <c r="Y134" s="17">
        <f t="shared" ref="Y134:Y140" si="189">ROUND(Z134-$K134,2)</f>
        <v>3360.94</v>
      </c>
      <c r="Z134" s="17">
        <f t="shared" ref="Z134:Z140" si="190">ROUND(AA134-$K134,2)</f>
        <v>3393.34</v>
      </c>
      <c r="AA134" s="17">
        <f t="shared" ref="AA134:AA140" si="191">ROUND(AB134-$K134,2)</f>
        <v>3425.74</v>
      </c>
      <c r="AB134" s="17">
        <f t="shared" ref="AB134:AB140" si="192">ROUND(AC134-$K134,2)</f>
        <v>3458.14</v>
      </c>
      <c r="AC134" s="17">
        <f t="shared" ref="AC134:AC140" si="193">ROUND(AD134-$K134,2)</f>
        <v>3490.54</v>
      </c>
      <c r="AD134" s="17">
        <f t="shared" ref="AD134:AD140" si="194">ROUND(AE134-$K134,2)</f>
        <v>3522.94</v>
      </c>
      <c r="AE134" s="17">
        <f t="shared" ref="AE134:AE140" si="195">ROUND(AF134-$K134,2)</f>
        <v>3555.34</v>
      </c>
      <c r="AF134" s="17">
        <f t="shared" ref="AF134:AF140" si="196">ROUND(AG134-$K134,2)</f>
        <v>3587.74</v>
      </c>
      <c r="AG134" s="17">
        <f t="shared" ref="AG134:AG140" si="197">ROUND(AH134-$K134,2)</f>
        <v>3620.14</v>
      </c>
      <c r="AH134" s="17">
        <f t="shared" ref="AH134:AH140" si="198">ROUND(AI134-$K134,2)</f>
        <v>3652.54</v>
      </c>
      <c r="AI134" s="17">
        <f t="shared" si="170"/>
        <v>3684.94</v>
      </c>
      <c r="AJ134" s="17">
        <f t="shared" si="171"/>
        <v>3717.34</v>
      </c>
      <c r="AK134" s="17">
        <f t="shared" si="172"/>
        <v>3749.74</v>
      </c>
      <c r="AL134" s="17">
        <f t="shared" si="173"/>
        <v>3782.14</v>
      </c>
      <c r="AM134" s="17">
        <f t="shared" si="174"/>
        <v>3814.54</v>
      </c>
      <c r="AN134" s="17">
        <f t="shared" si="175"/>
        <v>3846.94</v>
      </c>
      <c r="AO134" s="17">
        <f t="shared" si="167"/>
        <v>3879.34</v>
      </c>
      <c r="AP134" s="17">
        <v>3911.74</v>
      </c>
      <c r="AQ134" s="17">
        <f t="shared" ref="AQ134:BF139" si="199">ROUND(AP134+$K134,2)</f>
        <v>3944.14</v>
      </c>
      <c r="AR134" s="17">
        <f t="shared" si="199"/>
        <v>3976.54</v>
      </c>
      <c r="AS134" s="17">
        <f t="shared" si="199"/>
        <v>4008.94</v>
      </c>
      <c r="AT134" s="17">
        <f t="shared" si="199"/>
        <v>4041.34</v>
      </c>
      <c r="AU134" s="17">
        <f t="shared" si="199"/>
        <v>4073.74</v>
      </c>
      <c r="AV134" s="17">
        <f t="shared" si="199"/>
        <v>4106.1400000000003</v>
      </c>
      <c r="AW134" s="17">
        <f t="shared" si="199"/>
        <v>4138.54</v>
      </c>
      <c r="AX134" s="17">
        <f t="shared" si="199"/>
        <v>4170.9399999999996</v>
      </c>
      <c r="AY134" s="17">
        <f t="shared" si="199"/>
        <v>4203.34</v>
      </c>
      <c r="AZ134" s="17">
        <f t="shared" si="199"/>
        <v>4235.74</v>
      </c>
      <c r="BA134" s="17">
        <f t="shared" si="199"/>
        <v>4268.1400000000003</v>
      </c>
      <c r="BB134" s="17">
        <f t="shared" si="199"/>
        <v>4300.54</v>
      </c>
      <c r="BC134" s="17">
        <f t="shared" si="199"/>
        <v>4332.9399999999996</v>
      </c>
      <c r="BD134" s="17">
        <f t="shared" si="199"/>
        <v>4365.34</v>
      </c>
      <c r="BE134" s="17">
        <f t="shared" si="199"/>
        <v>4397.74</v>
      </c>
      <c r="BF134" s="17">
        <f t="shared" si="199"/>
        <v>4430.1400000000003</v>
      </c>
      <c r="BG134" s="17">
        <f t="shared" si="169"/>
        <v>4462.54</v>
      </c>
      <c r="BH134" s="17">
        <f t="shared" si="169"/>
        <v>4494.9399999999996</v>
      </c>
      <c r="BI134" s="17">
        <f t="shared" si="169"/>
        <v>4527.34</v>
      </c>
      <c r="BJ134" s="17">
        <f t="shared" si="169"/>
        <v>4559.74</v>
      </c>
      <c r="BK134" s="17">
        <f t="shared" si="169"/>
        <v>4592.1400000000003</v>
      </c>
    </row>
    <row r="135" spans="1:63" hidden="1">
      <c r="A135" s="260" t="s">
        <v>194</v>
      </c>
      <c r="B135" s="302"/>
      <c r="C135" s="261" t="s">
        <v>195</v>
      </c>
      <c r="D135" s="261" t="s">
        <v>191</v>
      </c>
      <c r="E135" s="260" t="s">
        <v>56</v>
      </c>
      <c r="F135" s="261" t="s">
        <v>32</v>
      </c>
      <c r="G135" s="341"/>
      <c r="H135" s="139"/>
      <c r="I135" s="305" t="s">
        <v>183</v>
      </c>
      <c r="J135" s="15"/>
      <c r="K135" s="17">
        <v>32.4</v>
      </c>
      <c r="L135" s="17">
        <f t="shared" si="176"/>
        <v>2822.39</v>
      </c>
      <c r="M135" s="17">
        <f t="shared" si="177"/>
        <v>2854.79</v>
      </c>
      <c r="N135" s="17">
        <f t="shared" si="178"/>
        <v>2887.19</v>
      </c>
      <c r="O135" s="17">
        <f t="shared" si="179"/>
        <v>2919.59</v>
      </c>
      <c r="P135" s="17">
        <f t="shared" si="180"/>
        <v>2951.99</v>
      </c>
      <c r="Q135" s="17">
        <f t="shared" si="181"/>
        <v>2984.39</v>
      </c>
      <c r="R135" s="17">
        <f t="shared" si="182"/>
        <v>3016.79</v>
      </c>
      <c r="S135" s="17">
        <f t="shared" si="183"/>
        <v>3049.19</v>
      </c>
      <c r="T135" s="17">
        <f t="shared" si="184"/>
        <v>3081.59</v>
      </c>
      <c r="U135" s="17">
        <f t="shared" si="185"/>
        <v>3113.99</v>
      </c>
      <c r="V135" s="17">
        <f t="shared" si="186"/>
        <v>3146.39</v>
      </c>
      <c r="W135" s="17">
        <f t="shared" si="187"/>
        <v>3178.79</v>
      </c>
      <c r="X135" s="17">
        <f t="shared" si="188"/>
        <v>3211.19</v>
      </c>
      <c r="Y135" s="17">
        <f t="shared" si="189"/>
        <v>3243.59</v>
      </c>
      <c r="Z135" s="17">
        <f t="shared" si="190"/>
        <v>3275.99</v>
      </c>
      <c r="AA135" s="17">
        <f t="shared" si="191"/>
        <v>3308.39</v>
      </c>
      <c r="AB135" s="17">
        <f t="shared" si="192"/>
        <v>3340.79</v>
      </c>
      <c r="AC135" s="17">
        <f t="shared" si="193"/>
        <v>3373.19</v>
      </c>
      <c r="AD135" s="17">
        <f t="shared" si="194"/>
        <v>3405.59</v>
      </c>
      <c r="AE135" s="17">
        <f t="shared" si="195"/>
        <v>3437.99</v>
      </c>
      <c r="AF135" s="17">
        <f t="shared" si="196"/>
        <v>3470.39</v>
      </c>
      <c r="AG135" s="17">
        <f t="shared" si="197"/>
        <v>3502.79</v>
      </c>
      <c r="AH135" s="17">
        <f t="shared" si="198"/>
        <v>3535.19</v>
      </c>
      <c r="AI135" s="17">
        <f t="shared" si="170"/>
        <v>3567.59</v>
      </c>
      <c r="AJ135" s="17">
        <f t="shared" si="171"/>
        <v>3599.99</v>
      </c>
      <c r="AK135" s="17">
        <f t="shared" si="172"/>
        <v>3632.39</v>
      </c>
      <c r="AL135" s="17">
        <f t="shared" si="173"/>
        <v>3664.79</v>
      </c>
      <c r="AM135" s="17">
        <f t="shared" si="174"/>
        <v>3697.19</v>
      </c>
      <c r="AN135" s="17">
        <f t="shared" si="175"/>
        <v>3729.59</v>
      </c>
      <c r="AO135" s="17">
        <f t="shared" si="167"/>
        <v>3761.99</v>
      </c>
      <c r="AP135" s="17">
        <v>3794.39</v>
      </c>
      <c r="AQ135" s="17">
        <f t="shared" si="199"/>
        <v>3826.79</v>
      </c>
      <c r="AR135" s="17">
        <f t="shared" si="169"/>
        <v>3859.19</v>
      </c>
      <c r="AS135" s="17">
        <f t="shared" si="169"/>
        <v>3891.59</v>
      </c>
      <c r="AT135" s="17">
        <f t="shared" si="169"/>
        <v>3923.99</v>
      </c>
      <c r="AU135" s="17">
        <f t="shared" si="169"/>
        <v>3956.39</v>
      </c>
      <c r="AV135" s="17">
        <f t="shared" si="169"/>
        <v>3988.79</v>
      </c>
      <c r="AW135" s="17">
        <f t="shared" si="169"/>
        <v>4021.19</v>
      </c>
      <c r="AX135" s="17">
        <f t="shared" si="169"/>
        <v>4053.59</v>
      </c>
      <c r="AY135" s="17">
        <f t="shared" si="169"/>
        <v>4085.99</v>
      </c>
      <c r="AZ135" s="17">
        <f t="shared" si="169"/>
        <v>4118.3900000000003</v>
      </c>
      <c r="BA135" s="17">
        <f t="shared" si="169"/>
        <v>4150.79</v>
      </c>
      <c r="BB135" s="17">
        <f t="shared" si="169"/>
        <v>4183.1899999999996</v>
      </c>
      <c r="BC135" s="17">
        <f t="shared" si="169"/>
        <v>4215.59</v>
      </c>
      <c r="BD135" s="17">
        <f t="shared" si="169"/>
        <v>4247.99</v>
      </c>
      <c r="BE135" s="17">
        <f t="shared" si="169"/>
        <v>4280.3900000000003</v>
      </c>
      <c r="BF135" s="17">
        <f t="shared" si="169"/>
        <v>4312.79</v>
      </c>
      <c r="BG135" s="17">
        <f t="shared" si="169"/>
        <v>4345.1899999999996</v>
      </c>
      <c r="BH135" s="17">
        <f t="shared" si="169"/>
        <v>4377.59</v>
      </c>
      <c r="BI135" s="17">
        <f t="shared" si="169"/>
        <v>4409.99</v>
      </c>
      <c r="BJ135" s="17">
        <f t="shared" si="169"/>
        <v>4442.3900000000003</v>
      </c>
      <c r="BK135" s="17">
        <f t="shared" si="169"/>
        <v>4474.79</v>
      </c>
    </row>
    <row r="136" spans="1:63" hidden="1">
      <c r="A136" s="260" t="s">
        <v>194</v>
      </c>
      <c r="B136" s="302"/>
      <c r="C136" s="261" t="s">
        <v>195</v>
      </c>
      <c r="D136" s="261" t="s">
        <v>191</v>
      </c>
      <c r="E136" s="260" t="s">
        <v>175</v>
      </c>
      <c r="F136" s="261" t="s">
        <v>196</v>
      </c>
      <c r="G136" s="341"/>
      <c r="H136" s="139"/>
      <c r="I136" s="305" t="s">
        <v>183</v>
      </c>
      <c r="J136" s="15"/>
      <c r="K136" s="17">
        <v>32.4</v>
      </c>
      <c r="L136" s="17">
        <f t="shared" si="176"/>
        <v>2708.56</v>
      </c>
      <c r="M136" s="17">
        <f t="shared" si="177"/>
        <v>2740.96</v>
      </c>
      <c r="N136" s="17">
        <f t="shared" si="178"/>
        <v>2773.36</v>
      </c>
      <c r="O136" s="17">
        <f t="shared" si="179"/>
        <v>2805.76</v>
      </c>
      <c r="P136" s="17">
        <f t="shared" si="180"/>
        <v>2838.16</v>
      </c>
      <c r="Q136" s="17">
        <f t="shared" si="181"/>
        <v>2870.56</v>
      </c>
      <c r="R136" s="17">
        <f t="shared" si="182"/>
        <v>2902.96</v>
      </c>
      <c r="S136" s="17">
        <f t="shared" si="183"/>
        <v>2935.36</v>
      </c>
      <c r="T136" s="17">
        <f t="shared" si="184"/>
        <v>2967.76</v>
      </c>
      <c r="U136" s="17">
        <f t="shared" si="185"/>
        <v>3000.16</v>
      </c>
      <c r="V136" s="17">
        <f t="shared" si="186"/>
        <v>3032.56</v>
      </c>
      <c r="W136" s="17">
        <f t="shared" si="187"/>
        <v>3064.96</v>
      </c>
      <c r="X136" s="17">
        <f t="shared" si="188"/>
        <v>3097.36</v>
      </c>
      <c r="Y136" s="17">
        <f t="shared" si="189"/>
        <v>3129.76</v>
      </c>
      <c r="Z136" s="17">
        <f t="shared" si="190"/>
        <v>3162.16</v>
      </c>
      <c r="AA136" s="17">
        <f t="shared" si="191"/>
        <v>3194.56</v>
      </c>
      <c r="AB136" s="17">
        <f t="shared" si="192"/>
        <v>3226.96</v>
      </c>
      <c r="AC136" s="17">
        <f t="shared" si="193"/>
        <v>3259.36</v>
      </c>
      <c r="AD136" s="17">
        <f t="shared" si="194"/>
        <v>3291.76</v>
      </c>
      <c r="AE136" s="17">
        <f t="shared" si="195"/>
        <v>3324.16</v>
      </c>
      <c r="AF136" s="17">
        <f t="shared" si="196"/>
        <v>3356.56</v>
      </c>
      <c r="AG136" s="17">
        <f t="shared" si="197"/>
        <v>3388.96</v>
      </c>
      <c r="AH136" s="17">
        <f t="shared" si="198"/>
        <v>3421.36</v>
      </c>
      <c r="AI136" s="17">
        <f t="shared" si="170"/>
        <v>3453.76</v>
      </c>
      <c r="AJ136" s="17">
        <f t="shared" si="171"/>
        <v>3486.16</v>
      </c>
      <c r="AK136" s="17">
        <f t="shared" si="172"/>
        <v>3518.56</v>
      </c>
      <c r="AL136" s="17">
        <f t="shared" si="173"/>
        <v>3550.96</v>
      </c>
      <c r="AM136" s="17">
        <f t="shared" si="174"/>
        <v>3583.36</v>
      </c>
      <c r="AN136" s="17">
        <f t="shared" si="175"/>
        <v>3615.76</v>
      </c>
      <c r="AO136" s="17">
        <f t="shared" si="167"/>
        <v>3648.16</v>
      </c>
      <c r="AP136" s="17">
        <v>3680.56</v>
      </c>
      <c r="AQ136" s="17">
        <f t="shared" si="199"/>
        <v>3712.96</v>
      </c>
      <c r="AR136" s="17">
        <f t="shared" si="169"/>
        <v>3745.36</v>
      </c>
      <c r="AS136" s="17">
        <f t="shared" si="169"/>
        <v>3777.76</v>
      </c>
      <c r="AT136" s="17">
        <f t="shared" si="169"/>
        <v>3810.16</v>
      </c>
      <c r="AU136" s="17">
        <f t="shared" si="169"/>
        <v>3842.56</v>
      </c>
      <c r="AV136" s="17">
        <f t="shared" si="169"/>
        <v>3874.96</v>
      </c>
      <c r="AW136" s="17">
        <f t="shared" si="169"/>
        <v>3907.36</v>
      </c>
      <c r="AX136" s="17">
        <f t="shared" si="169"/>
        <v>3939.76</v>
      </c>
      <c r="AY136" s="17">
        <f t="shared" si="169"/>
        <v>3972.16</v>
      </c>
      <c r="AZ136" s="17">
        <f t="shared" si="169"/>
        <v>4004.56</v>
      </c>
      <c r="BA136" s="17">
        <f t="shared" si="169"/>
        <v>4036.96</v>
      </c>
      <c r="BB136" s="17">
        <f t="shared" si="169"/>
        <v>4069.36</v>
      </c>
      <c r="BC136" s="17">
        <f t="shared" si="169"/>
        <v>4101.76</v>
      </c>
      <c r="BD136" s="17">
        <f t="shared" si="169"/>
        <v>4134.16</v>
      </c>
      <c r="BE136" s="17">
        <f t="shared" si="169"/>
        <v>4166.5600000000004</v>
      </c>
      <c r="BF136" s="17">
        <f t="shared" si="169"/>
        <v>4198.96</v>
      </c>
      <c r="BG136" s="17">
        <f t="shared" si="169"/>
        <v>4231.3599999999997</v>
      </c>
      <c r="BH136" s="17">
        <f t="shared" si="169"/>
        <v>4263.76</v>
      </c>
      <c r="BI136" s="17">
        <f t="shared" si="169"/>
        <v>4296.16</v>
      </c>
      <c r="BJ136" s="17">
        <f t="shared" si="169"/>
        <v>4328.5600000000004</v>
      </c>
      <c r="BK136" s="17">
        <f t="shared" si="169"/>
        <v>4360.96</v>
      </c>
    </row>
    <row r="137" spans="1:63" hidden="1">
      <c r="A137" s="260" t="s">
        <v>197</v>
      </c>
      <c r="B137" s="302"/>
      <c r="C137" s="261" t="s">
        <v>195</v>
      </c>
      <c r="D137" s="261" t="s">
        <v>191</v>
      </c>
      <c r="E137" s="260" t="s">
        <v>181</v>
      </c>
      <c r="F137" s="261" t="s">
        <v>196</v>
      </c>
      <c r="G137" s="341"/>
      <c r="H137" s="139"/>
      <c r="I137" s="305" t="s">
        <v>183</v>
      </c>
      <c r="J137" s="15"/>
      <c r="K137" s="17">
        <v>31.8</v>
      </c>
      <c r="L137" s="17">
        <f t="shared" si="176"/>
        <v>2841.08</v>
      </c>
      <c r="M137" s="17">
        <f t="shared" si="177"/>
        <v>2872.88</v>
      </c>
      <c r="N137" s="17">
        <f t="shared" si="178"/>
        <v>2904.68</v>
      </c>
      <c r="O137" s="17">
        <f t="shared" si="179"/>
        <v>2936.48</v>
      </c>
      <c r="P137" s="17">
        <f t="shared" si="180"/>
        <v>2968.28</v>
      </c>
      <c r="Q137" s="17">
        <f t="shared" si="181"/>
        <v>3000.08</v>
      </c>
      <c r="R137" s="17">
        <f t="shared" si="182"/>
        <v>3031.88</v>
      </c>
      <c r="S137" s="17">
        <f t="shared" si="183"/>
        <v>3063.68</v>
      </c>
      <c r="T137" s="17">
        <f t="shared" si="184"/>
        <v>3095.48</v>
      </c>
      <c r="U137" s="17">
        <f t="shared" si="185"/>
        <v>3127.28</v>
      </c>
      <c r="V137" s="17">
        <f t="shared" si="186"/>
        <v>3159.08</v>
      </c>
      <c r="W137" s="17">
        <f t="shared" si="187"/>
        <v>3190.88</v>
      </c>
      <c r="X137" s="17">
        <f t="shared" si="188"/>
        <v>3222.68</v>
      </c>
      <c r="Y137" s="17">
        <f t="shared" si="189"/>
        <v>3254.48</v>
      </c>
      <c r="Z137" s="17">
        <f t="shared" si="190"/>
        <v>3286.28</v>
      </c>
      <c r="AA137" s="17">
        <f t="shared" si="191"/>
        <v>3318.08</v>
      </c>
      <c r="AB137" s="17">
        <f t="shared" si="192"/>
        <v>3349.88</v>
      </c>
      <c r="AC137" s="17">
        <f t="shared" si="193"/>
        <v>3381.68</v>
      </c>
      <c r="AD137" s="17">
        <f t="shared" si="194"/>
        <v>3413.48</v>
      </c>
      <c r="AE137" s="17">
        <f t="shared" si="195"/>
        <v>3445.28</v>
      </c>
      <c r="AF137" s="17">
        <f t="shared" si="196"/>
        <v>3477.08</v>
      </c>
      <c r="AG137" s="17">
        <f t="shared" si="197"/>
        <v>3508.88</v>
      </c>
      <c r="AH137" s="17">
        <f t="shared" si="198"/>
        <v>3540.68</v>
      </c>
      <c r="AI137" s="17">
        <f t="shared" si="170"/>
        <v>3572.48</v>
      </c>
      <c r="AJ137" s="17">
        <f t="shared" si="171"/>
        <v>3604.28</v>
      </c>
      <c r="AK137" s="17">
        <f t="shared" si="172"/>
        <v>3636.08</v>
      </c>
      <c r="AL137" s="17">
        <f t="shared" si="173"/>
        <v>3667.88</v>
      </c>
      <c r="AM137" s="17">
        <f t="shared" si="174"/>
        <v>3699.68</v>
      </c>
      <c r="AN137" s="17">
        <f t="shared" si="175"/>
        <v>3731.48</v>
      </c>
      <c r="AO137" s="17">
        <f t="shared" si="167"/>
        <v>3763.28</v>
      </c>
      <c r="AP137" s="17">
        <v>3795.08</v>
      </c>
      <c r="AQ137" s="17">
        <f t="shared" si="199"/>
        <v>3826.88</v>
      </c>
      <c r="AR137" s="17">
        <f t="shared" si="169"/>
        <v>3858.68</v>
      </c>
      <c r="AS137" s="17">
        <f t="shared" si="169"/>
        <v>3890.48</v>
      </c>
      <c r="AT137" s="17">
        <f t="shared" si="169"/>
        <v>3922.28</v>
      </c>
      <c r="AU137" s="17">
        <f t="shared" si="169"/>
        <v>3954.08</v>
      </c>
      <c r="AV137" s="17">
        <f t="shared" si="169"/>
        <v>3985.88</v>
      </c>
      <c r="AW137" s="17">
        <f t="shared" si="169"/>
        <v>4017.68</v>
      </c>
      <c r="AX137" s="17">
        <f t="shared" si="169"/>
        <v>4049.48</v>
      </c>
      <c r="AY137" s="17">
        <f t="shared" si="169"/>
        <v>4081.28</v>
      </c>
      <c r="AZ137" s="17">
        <f t="shared" si="169"/>
        <v>4113.08</v>
      </c>
      <c r="BA137" s="17">
        <f t="shared" si="169"/>
        <v>4144.88</v>
      </c>
      <c r="BB137" s="17">
        <f t="shared" si="169"/>
        <v>4176.68</v>
      </c>
      <c r="BC137" s="17">
        <f t="shared" si="169"/>
        <v>4208.4799999999996</v>
      </c>
      <c r="BD137" s="17">
        <f t="shared" si="169"/>
        <v>4240.28</v>
      </c>
      <c r="BE137" s="17">
        <f t="shared" si="169"/>
        <v>4272.08</v>
      </c>
      <c r="BF137" s="17">
        <f t="shared" si="169"/>
        <v>4303.88</v>
      </c>
      <c r="BG137" s="17">
        <f t="shared" si="169"/>
        <v>4335.68</v>
      </c>
      <c r="BH137" s="17">
        <f t="shared" si="169"/>
        <v>4367.4799999999996</v>
      </c>
      <c r="BI137" s="17">
        <f t="shared" si="169"/>
        <v>4399.28</v>
      </c>
      <c r="BJ137" s="17">
        <f t="shared" si="169"/>
        <v>4431.08</v>
      </c>
      <c r="BK137" s="17">
        <f t="shared" si="169"/>
        <v>4462.88</v>
      </c>
    </row>
    <row r="138" spans="1:63" hidden="1">
      <c r="A138" s="260" t="s">
        <v>197</v>
      </c>
      <c r="B138" s="302"/>
      <c r="C138" s="261" t="s">
        <v>195</v>
      </c>
      <c r="D138" s="261" t="s">
        <v>191</v>
      </c>
      <c r="E138" s="260" t="s">
        <v>56</v>
      </c>
      <c r="F138" s="261" t="s">
        <v>196</v>
      </c>
      <c r="G138" s="341"/>
      <c r="H138" s="139"/>
      <c r="I138" s="305" t="s">
        <v>183</v>
      </c>
      <c r="J138" s="15"/>
      <c r="K138" s="17">
        <v>31.8</v>
      </c>
      <c r="L138" s="17">
        <f t="shared" si="176"/>
        <v>2727.23</v>
      </c>
      <c r="M138" s="17">
        <f t="shared" si="177"/>
        <v>2759.03</v>
      </c>
      <c r="N138" s="17">
        <f t="shared" si="178"/>
        <v>2790.83</v>
      </c>
      <c r="O138" s="17">
        <f t="shared" si="179"/>
        <v>2822.63</v>
      </c>
      <c r="P138" s="17">
        <f t="shared" si="180"/>
        <v>2854.43</v>
      </c>
      <c r="Q138" s="17">
        <f t="shared" si="181"/>
        <v>2886.23</v>
      </c>
      <c r="R138" s="17">
        <f t="shared" si="182"/>
        <v>2918.03</v>
      </c>
      <c r="S138" s="17">
        <f t="shared" si="183"/>
        <v>2949.83</v>
      </c>
      <c r="T138" s="17">
        <f t="shared" si="184"/>
        <v>2981.63</v>
      </c>
      <c r="U138" s="17">
        <f t="shared" si="185"/>
        <v>3013.43</v>
      </c>
      <c r="V138" s="17">
        <f t="shared" si="186"/>
        <v>3045.23</v>
      </c>
      <c r="W138" s="17">
        <f t="shared" si="187"/>
        <v>3077.03</v>
      </c>
      <c r="X138" s="17">
        <f t="shared" si="188"/>
        <v>3108.83</v>
      </c>
      <c r="Y138" s="17">
        <f t="shared" si="189"/>
        <v>3140.63</v>
      </c>
      <c r="Z138" s="17">
        <f t="shared" si="190"/>
        <v>3172.43</v>
      </c>
      <c r="AA138" s="17">
        <f t="shared" si="191"/>
        <v>3204.23</v>
      </c>
      <c r="AB138" s="17">
        <f t="shared" si="192"/>
        <v>3236.03</v>
      </c>
      <c r="AC138" s="17">
        <f t="shared" si="193"/>
        <v>3267.83</v>
      </c>
      <c r="AD138" s="17">
        <f t="shared" si="194"/>
        <v>3299.63</v>
      </c>
      <c r="AE138" s="17">
        <f t="shared" si="195"/>
        <v>3331.43</v>
      </c>
      <c r="AF138" s="17">
        <f t="shared" si="196"/>
        <v>3363.23</v>
      </c>
      <c r="AG138" s="17">
        <f t="shared" si="197"/>
        <v>3395.03</v>
      </c>
      <c r="AH138" s="17">
        <f t="shared" si="198"/>
        <v>3426.83</v>
      </c>
      <c r="AI138" s="17">
        <f t="shared" si="170"/>
        <v>3458.63</v>
      </c>
      <c r="AJ138" s="17">
        <f t="shared" si="171"/>
        <v>3490.43</v>
      </c>
      <c r="AK138" s="17">
        <f t="shared" si="172"/>
        <v>3522.23</v>
      </c>
      <c r="AL138" s="17">
        <f t="shared" si="173"/>
        <v>3554.03</v>
      </c>
      <c r="AM138" s="17">
        <f t="shared" si="174"/>
        <v>3585.83</v>
      </c>
      <c r="AN138" s="17">
        <f t="shared" si="175"/>
        <v>3617.63</v>
      </c>
      <c r="AO138" s="17">
        <f t="shared" si="167"/>
        <v>3649.43</v>
      </c>
      <c r="AP138" s="17">
        <v>3681.23</v>
      </c>
      <c r="AQ138" s="17">
        <f t="shared" si="199"/>
        <v>3713.03</v>
      </c>
      <c r="AR138" s="17">
        <f t="shared" si="169"/>
        <v>3744.83</v>
      </c>
      <c r="AS138" s="17">
        <f t="shared" si="169"/>
        <v>3776.63</v>
      </c>
      <c r="AT138" s="17">
        <f t="shared" si="169"/>
        <v>3808.43</v>
      </c>
      <c r="AU138" s="17">
        <f t="shared" si="169"/>
        <v>3840.23</v>
      </c>
      <c r="AV138" s="17">
        <f t="shared" si="169"/>
        <v>3872.03</v>
      </c>
      <c r="AW138" s="17">
        <f t="shared" si="169"/>
        <v>3903.83</v>
      </c>
      <c r="AX138" s="17">
        <f t="shared" si="169"/>
        <v>3935.63</v>
      </c>
      <c r="AY138" s="17">
        <f t="shared" si="169"/>
        <v>3967.43</v>
      </c>
      <c r="AZ138" s="17">
        <f t="shared" si="169"/>
        <v>3999.23</v>
      </c>
      <c r="BA138" s="17">
        <f t="shared" si="169"/>
        <v>4031.03</v>
      </c>
      <c r="BB138" s="17">
        <f t="shared" si="169"/>
        <v>4062.83</v>
      </c>
      <c r="BC138" s="17">
        <f t="shared" si="169"/>
        <v>4094.63</v>
      </c>
      <c r="BD138" s="17">
        <f t="shared" si="169"/>
        <v>4126.43</v>
      </c>
      <c r="BE138" s="17">
        <f t="shared" si="169"/>
        <v>4158.2299999999996</v>
      </c>
      <c r="BF138" s="17">
        <f t="shared" si="169"/>
        <v>4190.03</v>
      </c>
      <c r="BG138" s="17">
        <f t="shared" si="169"/>
        <v>4221.83</v>
      </c>
      <c r="BH138" s="17">
        <f t="shared" si="169"/>
        <v>4253.63</v>
      </c>
      <c r="BI138" s="17">
        <f t="shared" si="169"/>
        <v>4285.43</v>
      </c>
      <c r="BJ138" s="17">
        <f t="shared" si="169"/>
        <v>4317.2299999999996</v>
      </c>
      <c r="BK138" s="17">
        <f t="shared" si="169"/>
        <v>4349.03</v>
      </c>
    </row>
    <row r="139" spans="1:63" hidden="1">
      <c r="A139" s="260" t="s">
        <v>197</v>
      </c>
      <c r="B139" s="302"/>
      <c r="C139" s="261" t="s">
        <v>195</v>
      </c>
      <c r="D139" s="261" t="s">
        <v>191</v>
      </c>
      <c r="E139" s="260" t="s">
        <v>175</v>
      </c>
      <c r="F139" s="261" t="s">
        <v>196</v>
      </c>
      <c r="G139" s="341"/>
      <c r="H139" s="139"/>
      <c r="I139" s="305" t="s">
        <v>183</v>
      </c>
      <c r="J139" s="15"/>
      <c r="K139" s="17">
        <v>31.8</v>
      </c>
      <c r="L139" s="17">
        <f t="shared" si="176"/>
        <v>2616.8000000000002</v>
      </c>
      <c r="M139" s="17">
        <f t="shared" si="177"/>
        <v>2648.6</v>
      </c>
      <c r="N139" s="17">
        <f t="shared" si="178"/>
        <v>2680.4</v>
      </c>
      <c r="O139" s="17">
        <f t="shared" si="179"/>
        <v>2712.2</v>
      </c>
      <c r="P139" s="17">
        <f t="shared" si="180"/>
        <v>2744</v>
      </c>
      <c r="Q139" s="17">
        <f t="shared" si="181"/>
        <v>2775.8</v>
      </c>
      <c r="R139" s="17">
        <f t="shared" si="182"/>
        <v>2807.6</v>
      </c>
      <c r="S139" s="17">
        <f t="shared" si="183"/>
        <v>2839.4</v>
      </c>
      <c r="T139" s="17">
        <f t="shared" si="184"/>
        <v>2871.2</v>
      </c>
      <c r="U139" s="17">
        <f t="shared" si="185"/>
        <v>2903</v>
      </c>
      <c r="V139" s="17">
        <f t="shared" si="186"/>
        <v>2934.8</v>
      </c>
      <c r="W139" s="17">
        <f t="shared" si="187"/>
        <v>2966.6</v>
      </c>
      <c r="X139" s="17">
        <f t="shared" si="188"/>
        <v>2998.4</v>
      </c>
      <c r="Y139" s="17">
        <f t="shared" si="189"/>
        <v>3030.2</v>
      </c>
      <c r="Z139" s="17">
        <f t="shared" si="190"/>
        <v>3062</v>
      </c>
      <c r="AA139" s="17">
        <f t="shared" si="191"/>
        <v>3093.8</v>
      </c>
      <c r="AB139" s="17">
        <f t="shared" si="192"/>
        <v>3125.6</v>
      </c>
      <c r="AC139" s="17">
        <f t="shared" si="193"/>
        <v>3157.4</v>
      </c>
      <c r="AD139" s="17">
        <f t="shared" si="194"/>
        <v>3189.2</v>
      </c>
      <c r="AE139" s="17">
        <f t="shared" si="195"/>
        <v>3221</v>
      </c>
      <c r="AF139" s="17">
        <f t="shared" si="196"/>
        <v>3252.8</v>
      </c>
      <c r="AG139" s="17">
        <f t="shared" si="197"/>
        <v>3284.6</v>
      </c>
      <c r="AH139" s="17">
        <f t="shared" si="198"/>
        <v>3316.4</v>
      </c>
      <c r="AI139" s="17">
        <f t="shared" si="170"/>
        <v>3348.2</v>
      </c>
      <c r="AJ139" s="17">
        <f t="shared" si="171"/>
        <v>3380</v>
      </c>
      <c r="AK139" s="17">
        <f t="shared" si="172"/>
        <v>3411.8</v>
      </c>
      <c r="AL139" s="17">
        <f t="shared" si="173"/>
        <v>3443.6</v>
      </c>
      <c r="AM139" s="17">
        <f t="shared" si="174"/>
        <v>3475.4</v>
      </c>
      <c r="AN139" s="17">
        <f t="shared" si="175"/>
        <v>3507.2</v>
      </c>
      <c r="AO139" s="17">
        <f t="shared" si="167"/>
        <v>3539</v>
      </c>
      <c r="AP139" s="17">
        <v>3570.8</v>
      </c>
      <c r="AQ139" s="17">
        <f t="shared" si="199"/>
        <v>3602.6</v>
      </c>
      <c r="AR139" s="17">
        <f t="shared" si="169"/>
        <v>3634.4</v>
      </c>
      <c r="AS139" s="17">
        <f t="shared" si="169"/>
        <v>3666.2</v>
      </c>
      <c r="AT139" s="17">
        <f t="shared" si="169"/>
        <v>3698</v>
      </c>
      <c r="AU139" s="17">
        <f t="shared" si="169"/>
        <v>3729.8</v>
      </c>
      <c r="AV139" s="17">
        <f t="shared" si="169"/>
        <v>3761.6</v>
      </c>
      <c r="AW139" s="17">
        <f t="shared" si="169"/>
        <v>3793.4</v>
      </c>
      <c r="AX139" s="17">
        <f t="shared" si="169"/>
        <v>3825.2</v>
      </c>
      <c r="AY139" s="17">
        <f t="shared" si="169"/>
        <v>3857</v>
      </c>
      <c r="AZ139" s="17">
        <f t="shared" si="169"/>
        <v>3888.8</v>
      </c>
      <c r="BA139" s="17">
        <f t="shared" si="169"/>
        <v>3920.6</v>
      </c>
      <c r="BB139" s="17">
        <f t="shared" si="169"/>
        <v>3952.4</v>
      </c>
      <c r="BC139" s="17">
        <f t="shared" si="169"/>
        <v>3984.2</v>
      </c>
      <c r="BD139" s="17">
        <f t="shared" si="169"/>
        <v>4016</v>
      </c>
      <c r="BE139" s="17">
        <f t="shared" si="169"/>
        <v>4047.8</v>
      </c>
      <c r="BF139" s="17">
        <f t="shared" si="169"/>
        <v>4079.6</v>
      </c>
      <c r="BG139" s="17">
        <f t="shared" si="169"/>
        <v>4111.3999999999996</v>
      </c>
      <c r="BH139" s="17">
        <f t="shared" si="169"/>
        <v>4143.2</v>
      </c>
      <c r="BI139" s="17">
        <f t="shared" si="169"/>
        <v>4175</v>
      </c>
      <c r="BJ139" s="17">
        <f t="shared" si="169"/>
        <v>4206.8</v>
      </c>
      <c r="BK139" s="17">
        <f t="shared" si="169"/>
        <v>4238.6000000000004</v>
      </c>
    </row>
    <row r="140" spans="1:63" hidden="1">
      <c r="A140" s="280" t="s">
        <v>198</v>
      </c>
      <c r="B140" s="303"/>
      <c r="C140" s="280" t="s">
        <v>29</v>
      </c>
      <c r="D140" s="280" t="s">
        <v>30</v>
      </c>
      <c r="E140" s="280" t="s">
        <v>252</v>
      </c>
      <c r="F140" s="281" t="s">
        <v>57</v>
      </c>
      <c r="G140" s="15"/>
      <c r="H140" s="15"/>
      <c r="K140" s="17">
        <v>16.420000000000002</v>
      </c>
      <c r="L140" s="17">
        <f t="shared" si="176"/>
        <v>1538.08</v>
      </c>
      <c r="M140" s="17">
        <f t="shared" si="177"/>
        <v>1554.5</v>
      </c>
      <c r="N140" s="17">
        <f t="shared" si="178"/>
        <v>1570.92</v>
      </c>
      <c r="O140" s="17">
        <f t="shared" si="179"/>
        <v>1587.34</v>
      </c>
      <c r="P140" s="17">
        <f t="shared" si="180"/>
        <v>1603.76</v>
      </c>
      <c r="Q140" s="17">
        <f t="shared" si="181"/>
        <v>1620.18</v>
      </c>
      <c r="R140" s="17">
        <f t="shared" si="182"/>
        <v>1636.6</v>
      </c>
      <c r="S140" s="17">
        <f t="shared" si="183"/>
        <v>1653.02</v>
      </c>
      <c r="T140" s="17">
        <f t="shared" si="184"/>
        <v>1669.44</v>
      </c>
      <c r="U140" s="17">
        <f t="shared" si="185"/>
        <v>1685.86</v>
      </c>
      <c r="V140" s="17">
        <f t="shared" si="186"/>
        <v>1702.28</v>
      </c>
      <c r="W140" s="17">
        <f t="shared" si="187"/>
        <v>1718.7</v>
      </c>
      <c r="X140" s="17">
        <f t="shared" si="188"/>
        <v>1735.12</v>
      </c>
      <c r="Y140" s="17">
        <f t="shared" si="189"/>
        <v>1751.54</v>
      </c>
      <c r="Z140" s="17">
        <f t="shared" si="190"/>
        <v>1767.96</v>
      </c>
      <c r="AA140" s="17">
        <f t="shared" si="191"/>
        <v>1784.38</v>
      </c>
      <c r="AB140" s="17">
        <f t="shared" si="192"/>
        <v>1800.8</v>
      </c>
      <c r="AC140" s="17">
        <f t="shared" si="193"/>
        <v>1817.22</v>
      </c>
      <c r="AD140" s="17">
        <f t="shared" si="194"/>
        <v>1833.64</v>
      </c>
      <c r="AE140" s="17">
        <f t="shared" si="195"/>
        <v>1850.06</v>
      </c>
      <c r="AF140" s="17">
        <f t="shared" si="196"/>
        <v>1866.48</v>
      </c>
      <c r="AG140" s="17">
        <f t="shared" si="197"/>
        <v>1882.9</v>
      </c>
      <c r="AH140" s="17">
        <f t="shared" si="198"/>
        <v>1899.32</v>
      </c>
      <c r="AI140" s="17">
        <f t="shared" si="170"/>
        <v>1915.74</v>
      </c>
      <c r="AJ140" s="17">
        <f t="shared" si="171"/>
        <v>1932.16</v>
      </c>
      <c r="AK140" s="17">
        <f t="shared" si="172"/>
        <v>1948.58</v>
      </c>
      <c r="AL140" s="17">
        <f t="shared" si="173"/>
        <v>1965</v>
      </c>
      <c r="AM140" s="17">
        <f t="shared" si="174"/>
        <v>1981.42</v>
      </c>
      <c r="AN140" s="17">
        <f t="shared" si="175"/>
        <v>1997.84</v>
      </c>
      <c r="AO140" s="17">
        <f t="shared" si="167"/>
        <v>2014.26</v>
      </c>
      <c r="AP140" s="17">
        <v>2030.68</v>
      </c>
      <c r="AQ140" s="17">
        <f>ROUND(AP140+$K140,2)</f>
        <v>2047.1</v>
      </c>
      <c r="AR140" s="17">
        <f t="shared" si="169"/>
        <v>2063.52</v>
      </c>
      <c r="AS140" s="17">
        <f t="shared" si="169"/>
        <v>2079.94</v>
      </c>
      <c r="AT140" s="17">
        <f t="shared" si="169"/>
        <v>2096.36</v>
      </c>
      <c r="AU140" s="17">
        <f t="shared" si="169"/>
        <v>2112.7800000000002</v>
      </c>
      <c r="AV140" s="17">
        <f t="shared" si="169"/>
        <v>2129.1999999999998</v>
      </c>
      <c r="AW140" s="17">
        <f t="shared" si="169"/>
        <v>2145.62</v>
      </c>
      <c r="AX140" s="17">
        <f t="shared" si="169"/>
        <v>2162.04</v>
      </c>
      <c r="AY140" s="17">
        <f t="shared" si="169"/>
        <v>2178.46</v>
      </c>
      <c r="AZ140" s="17">
        <f t="shared" si="169"/>
        <v>2194.88</v>
      </c>
      <c r="BA140" s="17">
        <f t="shared" si="169"/>
        <v>2211.3000000000002</v>
      </c>
      <c r="BB140" s="17">
        <f t="shared" si="169"/>
        <v>2227.7199999999998</v>
      </c>
      <c r="BC140" s="17">
        <f t="shared" si="169"/>
        <v>2244.14</v>
      </c>
      <c r="BD140" s="17">
        <f t="shared" si="169"/>
        <v>2260.56</v>
      </c>
      <c r="BE140" s="17">
        <f t="shared" si="169"/>
        <v>2276.98</v>
      </c>
      <c r="BF140" s="17">
        <f t="shared" si="169"/>
        <v>2293.4</v>
      </c>
      <c r="BG140" s="17">
        <f t="shared" si="169"/>
        <v>2309.8200000000002</v>
      </c>
      <c r="BH140" s="17">
        <f t="shared" si="169"/>
        <v>2326.2399999999998</v>
      </c>
      <c r="BI140" s="17">
        <f t="shared" si="169"/>
        <v>2342.66</v>
      </c>
      <c r="BJ140" s="17">
        <f t="shared" si="169"/>
        <v>2359.08</v>
      </c>
      <c r="BK140" s="17">
        <f t="shared" si="169"/>
        <v>2375.5</v>
      </c>
    </row>
  </sheetData>
  <autoFilter ref="A8:AZ140" xr:uid="{8C4940E8-067F-4860-8846-BB3D7A445575}">
    <filterColumn colId="2">
      <filters>
        <filter val="CAT7"/>
      </filters>
    </filterColumn>
  </autoFilter>
  <phoneticPr fontId="3" type="noConversion"/>
  <pageMargins left="0.7" right="0.7" top="0.75" bottom="0.75" header="0.3" footer="0.3"/>
  <pageSetup paperSize="9" scale="26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4725-BD2D-4C9E-A23B-5FC908BF958F}">
  <dimension ref="A2:E12"/>
  <sheetViews>
    <sheetView zoomScale="115" zoomScaleNormal="11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L26" sqref="L26"/>
    </sheetView>
  </sheetViews>
  <sheetFormatPr defaultColWidth="10.33203125" defaultRowHeight="14"/>
  <cols>
    <col min="1" max="1" width="29" style="40" customWidth="1"/>
    <col min="2" max="2" width="15.33203125" style="128" customWidth="1"/>
    <col min="3" max="4" width="9.33203125" style="128" customWidth="1"/>
    <col min="5" max="5" width="15.33203125" style="128" customWidth="1"/>
    <col min="6" max="252" width="10.33203125" style="128"/>
    <col min="253" max="253" width="29" style="128" customWidth="1"/>
    <col min="254" max="254" width="15.33203125" style="128" customWidth="1"/>
    <col min="255" max="256" width="9.33203125" style="128" customWidth="1"/>
    <col min="257" max="257" width="15.33203125" style="128" customWidth="1"/>
    <col min="258" max="258" width="13.08203125" style="128" customWidth="1"/>
    <col min="259" max="508" width="10.33203125" style="128"/>
    <col min="509" max="509" width="29" style="128" customWidth="1"/>
    <col min="510" max="510" width="15.33203125" style="128" customWidth="1"/>
    <col min="511" max="512" width="9.33203125" style="128" customWidth="1"/>
    <col min="513" max="513" width="15.33203125" style="128" customWidth="1"/>
    <col min="514" max="514" width="13.08203125" style="128" customWidth="1"/>
    <col min="515" max="764" width="10.33203125" style="128"/>
    <col min="765" max="765" width="29" style="128" customWidth="1"/>
    <col min="766" max="766" width="15.33203125" style="128" customWidth="1"/>
    <col min="767" max="768" width="9.33203125" style="128" customWidth="1"/>
    <col min="769" max="769" width="15.33203125" style="128" customWidth="1"/>
    <col min="770" max="770" width="13.08203125" style="128" customWidth="1"/>
    <col min="771" max="1020" width="10.33203125" style="128"/>
    <col min="1021" max="1021" width="29" style="128" customWidth="1"/>
    <col min="1022" max="1022" width="15.33203125" style="128" customWidth="1"/>
    <col min="1023" max="1024" width="9.33203125" style="128" customWidth="1"/>
    <col min="1025" max="1025" width="15.33203125" style="128" customWidth="1"/>
    <col min="1026" max="1026" width="13.08203125" style="128" customWidth="1"/>
    <col min="1027" max="1276" width="10.33203125" style="128"/>
    <col min="1277" max="1277" width="29" style="128" customWidth="1"/>
    <col min="1278" max="1278" width="15.33203125" style="128" customWidth="1"/>
    <col min="1279" max="1280" width="9.33203125" style="128" customWidth="1"/>
    <col min="1281" max="1281" width="15.33203125" style="128" customWidth="1"/>
    <col min="1282" max="1282" width="13.08203125" style="128" customWidth="1"/>
    <col min="1283" max="1532" width="10.33203125" style="128"/>
    <col min="1533" max="1533" width="29" style="128" customWidth="1"/>
    <col min="1534" max="1534" width="15.33203125" style="128" customWidth="1"/>
    <col min="1535" max="1536" width="9.33203125" style="128" customWidth="1"/>
    <col min="1537" max="1537" width="15.33203125" style="128" customWidth="1"/>
    <col min="1538" max="1538" width="13.08203125" style="128" customWidth="1"/>
    <col min="1539" max="1788" width="10.33203125" style="128"/>
    <col min="1789" max="1789" width="29" style="128" customWidth="1"/>
    <col min="1790" max="1790" width="15.33203125" style="128" customWidth="1"/>
    <col min="1791" max="1792" width="9.33203125" style="128" customWidth="1"/>
    <col min="1793" max="1793" width="15.33203125" style="128" customWidth="1"/>
    <col min="1794" max="1794" width="13.08203125" style="128" customWidth="1"/>
    <col min="1795" max="2044" width="10.33203125" style="128"/>
    <col min="2045" max="2045" width="29" style="128" customWidth="1"/>
    <col min="2046" max="2046" width="15.33203125" style="128" customWidth="1"/>
    <col min="2047" max="2048" width="9.33203125" style="128" customWidth="1"/>
    <col min="2049" max="2049" width="15.33203125" style="128" customWidth="1"/>
    <col min="2050" max="2050" width="13.08203125" style="128" customWidth="1"/>
    <col min="2051" max="2300" width="10.33203125" style="128"/>
    <col min="2301" max="2301" width="29" style="128" customWidth="1"/>
    <col min="2302" max="2302" width="15.33203125" style="128" customWidth="1"/>
    <col min="2303" max="2304" width="9.33203125" style="128" customWidth="1"/>
    <col min="2305" max="2305" width="15.33203125" style="128" customWidth="1"/>
    <col min="2306" max="2306" width="13.08203125" style="128" customWidth="1"/>
    <col min="2307" max="2556" width="10.33203125" style="128"/>
    <col min="2557" max="2557" width="29" style="128" customWidth="1"/>
    <col min="2558" max="2558" width="15.33203125" style="128" customWidth="1"/>
    <col min="2559" max="2560" width="9.33203125" style="128" customWidth="1"/>
    <col min="2561" max="2561" width="15.33203125" style="128" customWidth="1"/>
    <col min="2562" max="2562" width="13.08203125" style="128" customWidth="1"/>
    <col min="2563" max="2812" width="10.33203125" style="128"/>
    <col min="2813" max="2813" width="29" style="128" customWidth="1"/>
    <col min="2814" max="2814" width="15.33203125" style="128" customWidth="1"/>
    <col min="2815" max="2816" width="9.33203125" style="128" customWidth="1"/>
    <col min="2817" max="2817" width="15.33203125" style="128" customWidth="1"/>
    <col min="2818" max="2818" width="13.08203125" style="128" customWidth="1"/>
    <col min="2819" max="3068" width="10.33203125" style="128"/>
    <col min="3069" max="3069" width="29" style="128" customWidth="1"/>
    <col min="3070" max="3070" width="15.33203125" style="128" customWidth="1"/>
    <col min="3071" max="3072" width="9.33203125" style="128" customWidth="1"/>
    <col min="3073" max="3073" width="15.33203125" style="128" customWidth="1"/>
    <col min="3074" max="3074" width="13.08203125" style="128" customWidth="1"/>
    <col min="3075" max="3324" width="10.33203125" style="128"/>
    <col min="3325" max="3325" width="29" style="128" customWidth="1"/>
    <col min="3326" max="3326" width="15.33203125" style="128" customWidth="1"/>
    <col min="3327" max="3328" width="9.33203125" style="128" customWidth="1"/>
    <col min="3329" max="3329" width="15.33203125" style="128" customWidth="1"/>
    <col min="3330" max="3330" width="13.08203125" style="128" customWidth="1"/>
    <col min="3331" max="3580" width="10.33203125" style="128"/>
    <col min="3581" max="3581" width="29" style="128" customWidth="1"/>
    <col min="3582" max="3582" width="15.33203125" style="128" customWidth="1"/>
    <col min="3583" max="3584" width="9.33203125" style="128" customWidth="1"/>
    <col min="3585" max="3585" width="15.33203125" style="128" customWidth="1"/>
    <col min="3586" max="3586" width="13.08203125" style="128" customWidth="1"/>
    <col min="3587" max="3836" width="10.33203125" style="128"/>
    <col min="3837" max="3837" width="29" style="128" customWidth="1"/>
    <col min="3838" max="3838" width="15.33203125" style="128" customWidth="1"/>
    <col min="3839" max="3840" width="9.33203125" style="128" customWidth="1"/>
    <col min="3841" max="3841" width="15.33203125" style="128" customWidth="1"/>
    <col min="3842" max="3842" width="13.08203125" style="128" customWidth="1"/>
    <col min="3843" max="4092" width="10.33203125" style="128"/>
    <col min="4093" max="4093" width="29" style="128" customWidth="1"/>
    <col min="4094" max="4094" width="15.33203125" style="128" customWidth="1"/>
    <col min="4095" max="4096" width="9.33203125" style="128" customWidth="1"/>
    <col min="4097" max="4097" width="15.33203125" style="128" customWidth="1"/>
    <col min="4098" max="4098" width="13.08203125" style="128" customWidth="1"/>
    <col min="4099" max="4348" width="10.33203125" style="128"/>
    <col min="4349" max="4349" width="29" style="128" customWidth="1"/>
    <col min="4350" max="4350" width="15.33203125" style="128" customWidth="1"/>
    <col min="4351" max="4352" width="9.33203125" style="128" customWidth="1"/>
    <col min="4353" max="4353" width="15.33203125" style="128" customWidth="1"/>
    <col min="4354" max="4354" width="13.08203125" style="128" customWidth="1"/>
    <col min="4355" max="4604" width="10.33203125" style="128"/>
    <col min="4605" max="4605" width="29" style="128" customWidth="1"/>
    <col min="4606" max="4606" width="15.33203125" style="128" customWidth="1"/>
    <col min="4607" max="4608" width="9.33203125" style="128" customWidth="1"/>
    <col min="4609" max="4609" width="15.33203125" style="128" customWidth="1"/>
    <col min="4610" max="4610" width="13.08203125" style="128" customWidth="1"/>
    <col min="4611" max="4860" width="10.33203125" style="128"/>
    <col min="4861" max="4861" width="29" style="128" customWidth="1"/>
    <col min="4862" max="4862" width="15.33203125" style="128" customWidth="1"/>
    <col min="4863" max="4864" width="9.33203125" style="128" customWidth="1"/>
    <col min="4865" max="4865" width="15.33203125" style="128" customWidth="1"/>
    <col min="4866" max="4866" width="13.08203125" style="128" customWidth="1"/>
    <col min="4867" max="5116" width="10.33203125" style="128"/>
    <col min="5117" max="5117" width="29" style="128" customWidth="1"/>
    <col min="5118" max="5118" width="15.33203125" style="128" customWidth="1"/>
    <col min="5119" max="5120" width="9.33203125" style="128" customWidth="1"/>
    <col min="5121" max="5121" width="15.33203125" style="128" customWidth="1"/>
    <col min="5122" max="5122" width="13.08203125" style="128" customWidth="1"/>
    <col min="5123" max="5372" width="10.33203125" style="128"/>
    <col min="5373" max="5373" width="29" style="128" customWidth="1"/>
    <col min="5374" max="5374" width="15.33203125" style="128" customWidth="1"/>
    <col min="5375" max="5376" width="9.33203125" style="128" customWidth="1"/>
    <col min="5377" max="5377" width="15.33203125" style="128" customWidth="1"/>
    <col min="5378" max="5378" width="13.08203125" style="128" customWidth="1"/>
    <col min="5379" max="5628" width="10.33203125" style="128"/>
    <col min="5629" max="5629" width="29" style="128" customWidth="1"/>
    <col min="5630" max="5630" width="15.33203125" style="128" customWidth="1"/>
    <col min="5631" max="5632" width="9.33203125" style="128" customWidth="1"/>
    <col min="5633" max="5633" width="15.33203125" style="128" customWidth="1"/>
    <col min="5634" max="5634" width="13.08203125" style="128" customWidth="1"/>
    <col min="5635" max="5884" width="10.33203125" style="128"/>
    <col min="5885" max="5885" width="29" style="128" customWidth="1"/>
    <col min="5886" max="5886" width="15.33203125" style="128" customWidth="1"/>
    <col min="5887" max="5888" width="9.33203125" style="128" customWidth="1"/>
    <col min="5889" max="5889" width="15.33203125" style="128" customWidth="1"/>
    <col min="5890" max="5890" width="13.08203125" style="128" customWidth="1"/>
    <col min="5891" max="6140" width="10.33203125" style="128"/>
    <col min="6141" max="6141" width="29" style="128" customWidth="1"/>
    <col min="6142" max="6142" width="15.33203125" style="128" customWidth="1"/>
    <col min="6143" max="6144" width="9.33203125" style="128" customWidth="1"/>
    <col min="6145" max="6145" width="15.33203125" style="128" customWidth="1"/>
    <col min="6146" max="6146" width="13.08203125" style="128" customWidth="1"/>
    <col min="6147" max="6396" width="10.33203125" style="128"/>
    <col min="6397" max="6397" width="29" style="128" customWidth="1"/>
    <col min="6398" max="6398" width="15.33203125" style="128" customWidth="1"/>
    <col min="6399" max="6400" width="9.33203125" style="128" customWidth="1"/>
    <col min="6401" max="6401" width="15.33203125" style="128" customWidth="1"/>
    <col min="6402" max="6402" width="13.08203125" style="128" customWidth="1"/>
    <col min="6403" max="6652" width="10.33203125" style="128"/>
    <col min="6653" max="6653" width="29" style="128" customWidth="1"/>
    <col min="6654" max="6654" width="15.33203125" style="128" customWidth="1"/>
    <col min="6655" max="6656" width="9.33203125" style="128" customWidth="1"/>
    <col min="6657" max="6657" width="15.33203125" style="128" customWidth="1"/>
    <col min="6658" max="6658" width="13.08203125" style="128" customWidth="1"/>
    <col min="6659" max="6908" width="10.33203125" style="128"/>
    <col min="6909" max="6909" width="29" style="128" customWidth="1"/>
    <col min="6910" max="6910" width="15.33203125" style="128" customWidth="1"/>
    <col min="6911" max="6912" width="9.33203125" style="128" customWidth="1"/>
    <col min="6913" max="6913" width="15.33203125" style="128" customWidth="1"/>
    <col min="6914" max="6914" width="13.08203125" style="128" customWidth="1"/>
    <col min="6915" max="7164" width="10.33203125" style="128"/>
    <col min="7165" max="7165" width="29" style="128" customWidth="1"/>
    <col min="7166" max="7166" width="15.33203125" style="128" customWidth="1"/>
    <col min="7167" max="7168" width="9.33203125" style="128" customWidth="1"/>
    <col min="7169" max="7169" width="15.33203125" style="128" customWidth="1"/>
    <col min="7170" max="7170" width="13.08203125" style="128" customWidth="1"/>
    <col min="7171" max="7420" width="10.33203125" style="128"/>
    <col min="7421" max="7421" width="29" style="128" customWidth="1"/>
    <col min="7422" max="7422" width="15.33203125" style="128" customWidth="1"/>
    <col min="7423" max="7424" width="9.33203125" style="128" customWidth="1"/>
    <col min="7425" max="7425" width="15.33203125" style="128" customWidth="1"/>
    <col min="7426" max="7426" width="13.08203125" style="128" customWidth="1"/>
    <col min="7427" max="7676" width="10.33203125" style="128"/>
    <col min="7677" max="7677" width="29" style="128" customWidth="1"/>
    <col min="7678" max="7678" width="15.33203125" style="128" customWidth="1"/>
    <col min="7679" max="7680" width="9.33203125" style="128" customWidth="1"/>
    <col min="7681" max="7681" width="15.33203125" style="128" customWidth="1"/>
    <col min="7682" max="7682" width="13.08203125" style="128" customWidth="1"/>
    <col min="7683" max="7932" width="10.33203125" style="128"/>
    <col min="7933" max="7933" width="29" style="128" customWidth="1"/>
    <col min="7934" max="7934" width="15.33203125" style="128" customWidth="1"/>
    <col min="7935" max="7936" width="9.33203125" style="128" customWidth="1"/>
    <col min="7937" max="7937" width="15.33203125" style="128" customWidth="1"/>
    <col min="7938" max="7938" width="13.08203125" style="128" customWidth="1"/>
    <col min="7939" max="8188" width="10.33203125" style="128"/>
    <col min="8189" max="8189" width="29" style="128" customWidth="1"/>
    <col min="8190" max="8190" width="15.33203125" style="128" customWidth="1"/>
    <col min="8191" max="8192" width="9.33203125" style="128" customWidth="1"/>
    <col min="8193" max="8193" width="15.33203125" style="128" customWidth="1"/>
    <col min="8194" max="8194" width="13.08203125" style="128" customWidth="1"/>
    <col min="8195" max="8444" width="10.33203125" style="128"/>
    <col min="8445" max="8445" width="29" style="128" customWidth="1"/>
    <col min="8446" max="8446" width="15.33203125" style="128" customWidth="1"/>
    <col min="8447" max="8448" width="9.33203125" style="128" customWidth="1"/>
    <col min="8449" max="8449" width="15.33203125" style="128" customWidth="1"/>
    <col min="8450" max="8450" width="13.08203125" style="128" customWidth="1"/>
    <col min="8451" max="8700" width="10.33203125" style="128"/>
    <col min="8701" max="8701" width="29" style="128" customWidth="1"/>
    <col min="8702" max="8702" width="15.33203125" style="128" customWidth="1"/>
    <col min="8703" max="8704" width="9.33203125" style="128" customWidth="1"/>
    <col min="8705" max="8705" width="15.33203125" style="128" customWidth="1"/>
    <col min="8706" max="8706" width="13.08203125" style="128" customWidth="1"/>
    <col min="8707" max="8956" width="10.33203125" style="128"/>
    <col min="8957" max="8957" width="29" style="128" customWidth="1"/>
    <col min="8958" max="8958" width="15.33203125" style="128" customWidth="1"/>
    <col min="8959" max="8960" width="9.33203125" style="128" customWidth="1"/>
    <col min="8961" max="8961" width="15.33203125" style="128" customWidth="1"/>
    <col min="8962" max="8962" width="13.08203125" style="128" customWidth="1"/>
    <col min="8963" max="9212" width="10.33203125" style="128"/>
    <col min="9213" max="9213" width="29" style="128" customWidth="1"/>
    <col min="9214" max="9214" width="15.33203125" style="128" customWidth="1"/>
    <col min="9215" max="9216" width="9.33203125" style="128" customWidth="1"/>
    <col min="9217" max="9217" width="15.33203125" style="128" customWidth="1"/>
    <col min="9218" max="9218" width="13.08203125" style="128" customWidth="1"/>
    <col min="9219" max="9468" width="10.33203125" style="128"/>
    <col min="9469" max="9469" width="29" style="128" customWidth="1"/>
    <col min="9470" max="9470" width="15.33203125" style="128" customWidth="1"/>
    <col min="9471" max="9472" width="9.33203125" style="128" customWidth="1"/>
    <col min="9473" max="9473" width="15.33203125" style="128" customWidth="1"/>
    <col min="9474" max="9474" width="13.08203125" style="128" customWidth="1"/>
    <col min="9475" max="9724" width="10.33203125" style="128"/>
    <col min="9725" max="9725" width="29" style="128" customWidth="1"/>
    <col min="9726" max="9726" width="15.33203125" style="128" customWidth="1"/>
    <col min="9727" max="9728" width="9.33203125" style="128" customWidth="1"/>
    <col min="9729" max="9729" width="15.33203125" style="128" customWidth="1"/>
    <col min="9730" max="9730" width="13.08203125" style="128" customWidth="1"/>
    <col min="9731" max="9980" width="10.33203125" style="128"/>
    <col min="9981" max="9981" width="29" style="128" customWidth="1"/>
    <col min="9982" max="9982" width="15.33203125" style="128" customWidth="1"/>
    <col min="9983" max="9984" width="9.33203125" style="128" customWidth="1"/>
    <col min="9985" max="9985" width="15.33203125" style="128" customWidth="1"/>
    <col min="9986" max="9986" width="13.08203125" style="128" customWidth="1"/>
    <col min="9987" max="10236" width="10.33203125" style="128"/>
    <col min="10237" max="10237" width="29" style="128" customWidth="1"/>
    <col min="10238" max="10238" width="15.33203125" style="128" customWidth="1"/>
    <col min="10239" max="10240" width="9.33203125" style="128" customWidth="1"/>
    <col min="10241" max="10241" width="15.33203125" style="128" customWidth="1"/>
    <col min="10242" max="10242" width="13.08203125" style="128" customWidth="1"/>
    <col min="10243" max="10492" width="10.33203125" style="128"/>
    <col min="10493" max="10493" width="29" style="128" customWidth="1"/>
    <col min="10494" max="10494" width="15.33203125" style="128" customWidth="1"/>
    <col min="10495" max="10496" width="9.33203125" style="128" customWidth="1"/>
    <col min="10497" max="10497" width="15.33203125" style="128" customWidth="1"/>
    <col min="10498" max="10498" width="13.08203125" style="128" customWidth="1"/>
    <col min="10499" max="10748" width="10.33203125" style="128"/>
    <col min="10749" max="10749" width="29" style="128" customWidth="1"/>
    <col min="10750" max="10750" width="15.33203125" style="128" customWidth="1"/>
    <col min="10751" max="10752" width="9.33203125" style="128" customWidth="1"/>
    <col min="10753" max="10753" width="15.33203125" style="128" customWidth="1"/>
    <col min="10754" max="10754" width="13.08203125" style="128" customWidth="1"/>
    <col min="10755" max="11004" width="10.33203125" style="128"/>
    <col min="11005" max="11005" width="29" style="128" customWidth="1"/>
    <col min="11006" max="11006" width="15.33203125" style="128" customWidth="1"/>
    <col min="11007" max="11008" width="9.33203125" style="128" customWidth="1"/>
    <col min="11009" max="11009" width="15.33203125" style="128" customWidth="1"/>
    <col min="11010" max="11010" width="13.08203125" style="128" customWidth="1"/>
    <col min="11011" max="11260" width="10.33203125" style="128"/>
    <col min="11261" max="11261" width="29" style="128" customWidth="1"/>
    <col min="11262" max="11262" width="15.33203125" style="128" customWidth="1"/>
    <col min="11263" max="11264" width="9.33203125" style="128" customWidth="1"/>
    <col min="11265" max="11265" width="15.33203125" style="128" customWidth="1"/>
    <col min="11266" max="11266" width="13.08203125" style="128" customWidth="1"/>
    <col min="11267" max="11516" width="10.33203125" style="128"/>
    <col min="11517" max="11517" width="29" style="128" customWidth="1"/>
    <col min="11518" max="11518" width="15.33203125" style="128" customWidth="1"/>
    <col min="11519" max="11520" width="9.33203125" style="128" customWidth="1"/>
    <col min="11521" max="11521" width="15.33203125" style="128" customWidth="1"/>
    <col min="11522" max="11522" width="13.08203125" style="128" customWidth="1"/>
    <col min="11523" max="11772" width="10.33203125" style="128"/>
    <col min="11773" max="11773" width="29" style="128" customWidth="1"/>
    <col min="11774" max="11774" width="15.33203125" style="128" customWidth="1"/>
    <col min="11775" max="11776" width="9.33203125" style="128" customWidth="1"/>
    <col min="11777" max="11777" width="15.33203125" style="128" customWidth="1"/>
    <col min="11778" max="11778" width="13.08203125" style="128" customWidth="1"/>
    <col min="11779" max="12028" width="10.33203125" style="128"/>
    <col min="12029" max="12029" width="29" style="128" customWidth="1"/>
    <col min="12030" max="12030" width="15.33203125" style="128" customWidth="1"/>
    <col min="12031" max="12032" width="9.33203125" style="128" customWidth="1"/>
    <col min="12033" max="12033" width="15.33203125" style="128" customWidth="1"/>
    <col min="12034" max="12034" width="13.08203125" style="128" customWidth="1"/>
    <col min="12035" max="12284" width="10.33203125" style="128"/>
    <col min="12285" max="12285" width="29" style="128" customWidth="1"/>
    <col min="12286" max="12286" width="15.33203125" style="128" customWidth="1"/>
    <col min="12287" max="12288" width="9.33203125" style="128" customWidth="1"/>
    <col min="12289" max="12289" width="15.33203125" style="128" customWidth="1"/>
    <col min="12290" max="12290" width="13.08203125" style="128" customWidth="1"/>
    <col min="12291" max="12540" width="10.33203125" style="128"/>
    <col min="12541" max="12541" width="29" style="128" customWidth="1"/>
    <col min="12542" max="12542" width="15.33203125" style="128" customWidth="1"/>
    <col min="12543" max="12544" width="9.33203125" style="128" customWidth="1"/>
    <col min="12545" max="12545" width="15.33203125" style="128" customWidth="1"/>
    <col min="12546" max="12546" width="13.08203125" style="128" customWidth="1"/>
    <col min="12547" max="12796" width="10.33203125" style="128"/>
    <col min="12797" max="12797" width="29" style="128" customWidth="1"/>
    <col min="12798" max="12798" width="15.33203125" style="128" customWidth="1"/>
    <col min="12799" max="12800" width="9.33203125" style="128" customWidth="1"/>
    <col min="12801" max="12801" width="15.33203125" style="128" customWidth="1"/>
    <col min="12802" max="12802" width="13.08203125" style="128" customWidth="1"/>
    <col min="12803" max="13052" width="10.33203125" style="128"/>
    <col min="13053" max="13053" width="29" style="128" customWidth="1"/>
    <col min="13054" max="13054" width="15.33203125" style="128" customWidth="1"/>
    <col min="13055" max="13056" width="9.33203125" style="128" customWidth="1"/>
    <col min="13057" max="13057" width="15.33203125" style="128" customWidth="1"/>
    <col min="13058" max="13058" width="13.08203125" style="128" customWidth="1"/>
    <col min="13059" max="13308" width="10.33203125" style="128"/>
    <col min="13309" max="13309" width="29" style="128" customWidth="1"/>
    <col min="13310" max="13310" width="15.33203125" style="128" customWidth="1"/>
    <col min="13311" max="13312" width="9.33203125" style="128" customWidth="1"/>
    <col min="13313" max="13313" width="15.33203125" style="128" customWidth="1"/>
    <col min="13314" max="13314" width="13.08203125" style="128" customWidth="1"/>
    <col min="13315" max="13564" width="10.33203125" style="128"/>
    <col min="13565" max="13565" width="29" style="128" customWidth="1"/>
    <col min="13566" max="13566" width="15.33203125" style="128" customWidth="1"/>
    <col min="13567" max="13568" width="9.33203125" style="128" customWidth="1"/>
    <col min="13569" max="13569" width="15.33203125" style="128" customWidth="1"/>
    <col min="13570" max="13570" width="13.08203125" style="128" customWidth="1"/>
    <col min="13571" max="13820" width="10.33203125" style="128"/>
    <col min="13821" max="13821" width="29" style="128" customWidth="1"/>
    <col min="13822" max="13822" width="15.33203125" style="128" customWidth="1"/>
    <col min="13823" max="13824" width="9.33203125" style="128" customWidth="1"/>
    <col min="13825" max="13825" width="15.33203125" style="128" customWidth="1"/>
    <col min="13826" max="13826" width="13.08203125" style="128" customWidth="1"/>
    <col min="13827" max="14076" width="10.33203125" style="128"/>
    <col min="14077" max="14077" width="29" style="128" customWidth="1"/>
    <col min="14078" max="14078" width="15.33203125" style="128" customWidth="1"/>
    <col min="14079" max="14080" width="9.33203125" style="128" customWidth="1"/>
    <col min="14081" max="14081" width="15.33203125" style="128" customWidth="1"/>
    <col min="14082" max="14082" width="13.08203125" style="128" customWidth="1"/>
    <col min="14083" max="14332" width="10.33203125" style="128"/>
    <col min="14333" max="14333" width="29" style="128" customWidth="1"/>
    <col min="14334" max="14334" width="15.33203125" style="128" customWidth="1"/>
    <col min="14335" max="14336" width="9.33203125" style="128" customWidth="1"/>
    <col min="14337" max="14337" width="15.33203125" style="128" customWidth="1"/>
    <col min="14338" max="14338" width="13.08203125" style="128" customWidth="1"/>
    <col min="14339" max="14588" width="10.33203125" style="128"/>
    <col min="14589" max="14589" width="29" style="128" customWidth="1"/>
    <col min="14590" max="14590" width="15.33203125" style="128" customWidth="1"/>
    <col min="14591" max="14592" width="9.33203125" style="128" customWidth="1"/>
    <col min="14593" max="14593" width="15.33203125" style="128" customWidth="1"/>
    <col min="14594" max="14594" width="13.08203125" style="128" customWidth="1"/>
    <col min="14595" max="14844" width="10.33203125" style="128"/>
    <col min="14845" max="14845" width="29" style="128" customWidth="1"/>
    <col min="14846" max="14846" width="15.33203125" style="128" customWidth="1"/>
    <col min="14847" max="14848" width="9.33203125" style="128" customWidth="1"/>
    <col min="14849" max="14849" width="15.33203125" style="128" customWidth="1"/>
    <col min="14850" max="14850" width="13.08203125" style="128" customWidth="1"/>
    <col min="14851" max="15100" width="10.33203125" style="128"/>
    <col min="15101" max="15101" width="29" style="128" customWidth="1"/>
    <col min="15102" max="15102" width="15.33203125" style="128" customWidth="1"/>
    <col min="15103" max="15104" width="9.33203125" style="128" customWidth="1"/>
    <col min="15105" max="15105" width="15.33203125" style="128" customWidth="1"/>
    <col min="15106" max="15106" width="13.08203125" style="128" customWidth="1"/>
    <col min="15107" max="15356" width="10.33203125" style="128"/>
    <col min="15357" max="15357" width="29" style="128" customWidth="1"/>
    <col min="15358" max="15358" width="15.33203125" style="128" customWidth="1"/>
    <col min="15359" max="15360" width="9.33203125" style="128" customWidth="1"/>
    <col min="15361" max="15361" width="15.33203125" style="128" customWidth="1"/>
    <col min="15362" max="15362" width="13.08203125" style="128" customWidth="1"/>
    <col min="15363" max="15612" width="10.33203125" style="128"/>
    <col min="15613" max="15613" width="29" style="128" customWidth="1"/>
    <col min="15614" max="15614" width="15.33203125" style="128" customWidth="1"/>
    <col min="15615" max="15616" width="9.33203125" style="128" customWidth="1"/>
    <col min="15617" max="15617" width="15.33203125" style="128" customWidth="1"/>
    <col min="15618" max="15618" width="13.08203125" style="128" customWidth="1"/>
    <col min="15619" max="15868" width="10.33203125" style="128"/>
    <col min="15869" max="15869" width="29" style="128" customWidth="1"/>
    <col min="15870" max="15870" width="15.33203125" style="128" customWidth="1"/>
    <col min="15871" max="15872" width="9.33203125" style="128" customWidth="1"/>
    <col min="15873" max="15873" width="15.33203125" style="128" customWidth="1"/>
    <col min="15874" max="15874" width="13.08203125" style="128" customWidth="1"/>
    <col min="15875" max="16124" width="10.33203125" style="128"/>
    <col min="16125" max="16125" width="29" style="128" customWidth="1"/>
    <col min="16126" max="16126" width="15.33203125" style="128" customWidth="1"/>
    <col min="16127" max="16128" width="9.33203125" style="128" customWidth="1"/>
    <col min="16129" max="16129" width="15.33203125" style="128" customWidth="1"/>
    <col min="16130" max="16130" width="13.08203125" style="128" customWidth="1"/>
    <col min="16131" max="16384" width="10.33203125" style="128"/>
  </cols>
  <sheetData>
    <row r="2" spans="1:5">
      <c r="A2" s="40" t="s">
        <v>253</v>
      </c>
    </row>
    <row r="3" spans="1:5">
      <c r="A3" s="40" t="s">
        <v>254</v>
      </c>
    </row>
    <row r="6" spans="1:5">
      <c r="A6" s="130" t="s">
        <v>255</v>
      </c>
      <c r="B6" s="131" t="s">
        <v>256</v>
      </c>
      <c r="C6" s="129"/>
      <c r="D6" s="131" t="s">
        <v>257</v>
      </c>
      <c r="E6" s="131" t="s">
        <v>258</v>
      </c>
    </row>
    <row r="7" spans="1:5">
      <c r="A7" s="158"/>
      <c r="B7" s="129"/>
      <c r="C7" s="129"/>
      <c r="D7" s="159" t="s">
        <v>259</v>
      </c>
      <c r="E7" s="159" t="s">
        <v>260</v>
      </c>
    </row>
    <row r="8" spans="1:5">
      <c r="A8" s="130" t="s">
        <v>44</v>
      </c>
      <c r="B8" s="131" t="s">
        <v>31</v>
      </c>
      <c r="C8" s="131" t="s">
        <v>261</v>
      </c>
      <c r="D8" s="160">
        <v>13.11</v>
      </c>
      <c r="E8" s="131">
        <v>1193.71</v>
      </c>
    </row>
    <row r="9" spans="1:5">
      <c r="A9" s="130" t="s">
        <v>47</v>
      </c>
      <c r="B9" s="131" t="s">
        <v>39</v>
      </c>
      <c r="C9" s="131" t="s">
        <v>261</v>
      </c>
      <c r="D9" s="39">
        <v>13.11</v>
      </c>
      <c r="E9" s="161">
        <v>1249.5899999999999</v>
      </c>
    </row>
    <row r="10" spans="1:5">
      <c r="A10" s="130" t="s">
        <v>262</v>
      </c>
      <c r="B10" s="131" t="s">
        <v>31</v>
      </c>
      <c r="C10" s="131" t="s">
        <v>261</v>
      </c>
      <c r="D10" s="162">
        <v>14.85</v>
      </c>
      <c r="E10" s="131">
        <v>1579.39</v>
      </c>
    </row>
    <row r="11" spans="1:5">
      <c r="A11" s="130" t="s">
        <v>262</v>
      </c>
      <c r="B11" s="131" t="s">
        <v>39</v>
      </c>
      <c r="C11" s="131" t="s">
        <v>261</v>
      </c>
      <c r="D11" s="162">
        <v>14.85</v>
      </c>
      <c r="E11" s="131">
        <v>1648.65</v>
      </c>
    </row>
    <row r="12" spans="1:5">
      <c r="A12" s="128" t="s">
        <v>263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5236-4C70-4C58-899C-84A6B75B51D4}">
  <sheetPr>
    <tabColor theme="5" tint="0.79998168889431442"/>
    <pageSetUpPr fitToPage="1"/>
  </sheetPr>
  <dimension ref="A1:CR103"/>
  <sheetViews>
    <sheetView zoomScale="90" zoomScaleNormal="90" workbookViewId="0">
      <pane xSplit="9" ySplit="10" topLeftCell="CO11" activePane="bottomRight" state="frozen"/>
      <selection pane="topRight" activeCell="J1" sqref="J1"/>
      <selection pane="bottomLeft" activeCell="A11" sqref="A11"/>
      <selection pane="bottomRight" activeCell="A32" sqref="A32:XFD32"/>
    </sheetView>
  </sheetViews>
  <sheetFormatPr defaultColWidth="9.08203125" defaultRowHeight="14"/>
  <cols>
    <col min="1" max="1" width="58.33203125" style="46" customWidth="1"/>
    <col min="2" max="2" width="13.33203125" style="41" bestFit="1" customWidth="1"/>
    <col min="3" max="3" width="13.33203125" style="41" customWidth="1"/>
    <col min="4" max="4" width="13" style="41" customWidth="1"/>
    <col min="5" max="6" width="9.33203125" style="41" hidden="1" customWidth="1"/>
    <col min="7" max="8" width="9.33203125" style="42" hidden="1" customWidth="1"/>
    <col min="9" max="72" width="9.33203125" style="207" hidden="1" customWidth="1"/>
    <col min="73" max="85" width="11.33203125" style="207" hidden="1" customWidth="1"/>
    <col min="86" max="92" width="11.33203125" style="46" hidden="1" customWidth="1"/>
    <col min="93" max="96" width="11.33203125" style="46" bestFit="1" customWidth="1"/>
    <col min="97" max="16384" width="9.08203125" style="46"/>
  </cols>
  <sheetData>
    <row r="1" spans="1:96">
      <c r="A1" s="359" t="s">
        <v>264</v>
      </c>
    </row>
    <row r="2" spans="1:96">
      <c r="A2" s="360" t="s">
        <v>1</v>
      </c>
    </row>
    <row r="3" spans="1:96">
      <c r="A3" s="360" t="s">
        <v>265</v>
      </c>
    </row>
    <row r="4" spans="1:96">
      <c r="A4" s="106" t="s">
        <v>229</v>
      </c>
      <c r="B4" s="11"/>
      <c r="C4" s="125" t="s">
        <v>4</v>
      </c>
    </row>
    <row r="5" spans="1:96">
      <c r="A5" s="361" t="s">
        <v>5</v>
      </c>
    </row>
    <row r="6" spans="1:96">
      <c r="A6" s="362" t="s">
        <v>230</v>
      </c>
    </row>
    <row r="8" spans="1:96" s="293" customFormat="1" ht="42">
      <c r="A8" s="363" t="s">
        <v>266</v>
      </c>
      <c r="B8" s="357" t="s">
        <v>10</v>
      </c>
      <c r="C8" s="357" t="s">
        <v>11</v>
      </c>
      <c r="D8" s="357" t="s">
        <v>12</v>
      </c>
      <c r="E8" s="357" t="s">
        <v>13</v>
      </c>
      <c r="F8" s="283" t="s">
        <v>15</v>
      </c>
      <c r="G8" s="357" t="s">
        <v>16</v>
      </c>
      <c r="H8" s="358" t="s">
        <v>17</v>
      </c>
      <c r="I8" s="357" t="s">
        <v>267</v>
      </c>
      <c r="J8" s="357">
        <v>52000</v>
      </c>
      <c r="K8" s="357">
        <v>52500</v>
      </c>
      <c r="L8" s="357">
        <v>53000</v>
      </c>
      <c r="M8" s="357">
        <v>53500</v>
      </c>
      <c r="N8" s="357">
        <v>54000</v>
      </c>
      <c r="O8" s="357">
        <v>54500</v>
      </c>
      <c r="P8" s="357">
        <v>55000</v>
      </c>
      <c r="Q8" s="357">
        <v>55500</v>
      </c>
      <c r="R8" s="357">
        <v>56000</v>
      </c>
      <c r="S8" s="357">
        <v>56500</v>
      </c>
      <c r="T8" s="357">
        <v>57000</v>
      </c>
      <c r="U8" s="357">
        <v>57500</v>
      </c>
      <c r="V8" s="357">
        <v>58000</v>
      </c>
      <c r="W8" s="357">
        <v>58500</v>
      </c>
      <c r="X8" s="357">
        <v>59000</v>
      </c>
      <c r="Y8" s="357">
        <v>59500</v>
      </c>
      <c r="Z8" s="357">
        <v>60000</v>
      </c>
      <c r="AA8" s="357">
        <v>60500</v>
      </c>
      <c r="AB8" s="357">
        <v>61000</v>
      </c>
      <c r="AC8" s="357">
        <v>61500</v>
      </c>
      <c r="AD8" s="357">
        <v>62000</v>
      </c>
      <c r="AE8" s="357">
        <v>62500</v>
      </c>
      <c r="AF8" s="357">
        <v>63000</v>
      </c>
      <c r="AG8" s="357">
        <v>63500</v>
      </c>
      <c r="AH8" s="357">
        <v>64000</v>
      </c>
      <c r="AI8" s="357">
        <v>64500</v>
      </c>
      <c r="AJ8" s="357">
        <v>65000</v>
      </c>
      <c r="AK8" s="357">
        <v>65500</v>
      </c>
      <c r="AL8" s="357">
        <v>66000</v>
      </c>
      <c r="AM8" s="357">
        <v>66500</v>
      </c>
      <c r="AN8" s="357">
        <v>67000</v>
      </c>
      <c r="AO8" s="357">
        <v>67500</v>
      </c>
      <c r="AP8" s="357">
        <v>68000</v>
      </c>
      <c r="AQ8" s="357">
        <v>68500</v>
      </c>
      <c r="AR8" s="357">
        <v>69000</v>
      </c>
      <c r="AS8" s="357">
        <v>69500</v>
      </c>
      <c r="AT8" s="357">
        <v>70000</v>
      </c>
      <c r="AU8" s="357">
        <v>70500</v>
      </c>
      <c r="AV8" s="357">
        <v>71000</v>
      </c>
      <c r="AW8" s="357">
        <v>71500</v>
      </c>
      <c r="AX8" s="357">
        <v>72000</v>
      </c>
      <c r="AY8" s="302">
        <v>72500</v>
      </c>
      <c r="AZ8" s="302">
        <v>73000</v>
      </c>
      <c r="BA8" s="302">
        <v>73500</v>
      </c>
      <c r="BB8" s="302">
        <v>74000</v>
      </c>
      <c r="BC8" s="302">
        <v>74500</v>
      </c>
      <c r="BD8" s="302">
        <v>75000</v>
      </c>
      <c r="BE8" s="302">
        <v>75500</v>
      </c>
      <c r="BF8" s="302">
        <v>76000</v>
      </c>
      <c r="BG8" s="302">
        <v>76500</v>
      </c>
      <c r="BH8" s="302">
        <v>77000</v>
      </c>
      <c r="BI8" s="302">
        <v>77500</v>
      </c>
      <c r="BJ8" s="302">
        <v>78000</v>
      </c>
      <c r="BK8" s="302">
        <v>78500</v>
      </c>
      <c r="BL8" s="302">
        <v>79000</v>
      </c>
      <c r="BM8" s="302">
        <v>79500</v>
      </c>
      <c r="BN8" s="302">
        <v>80000</v>
      </c>
      <c r="BO8" s="302">
        <f>BN8+500</f>
        <v>80500</v>
      </c>
      <c r="BP8" s="302">
        <f t="shared" ref="BP8:CF8" si="0">BO8+500</f>
        <v>81000</v>
      </c>
      <c r="BQ8" s="302">
        <f t="shared" si="0"/>
        <v>81500</v>
      </c>
      <c r="BR8" s="302">
        <f t="shared" si="0"/>
        <v>82000</v>
      </c>
      <c r="BS8" s="302">
        <f t="shared" si="0"/>
        <v>82500</v>
      </c>
      <c r="BT8" s="302">
        <f t="shared" si="0"/>
        <v>83000</v>
      </c>
      <c r="BU8" s="302">
        <f t="shared" si="0"/>
        <v>83500</v>
      </c>
      <c r="BV8" s="302">
        <f t="shared" si="0"/>
        <v>84000</v>
      </c>
      <c r="BW8" s="302">
        <f t="shared" si="0"/>
        <v>84500</v>
      </c>
      <c r="BX8" s="302">
        <f t="shared" si="0"/>
        <v>85000</v>
      </c>
      <c r="BY8" s="302">
        <f t="shared" si="0"/>
        <v>85500</v>
      </c>
      <c r="BZ8" s="302">
        <f t="shared" si="0"/>
        <v>86000</v>
      </c>
      <c r="CA8" s="302">
        <f t="shared" si="0"/>
        <v>86500</v>
      </c>
      <c r="CB8" s="302">
        <f t="shared" si="0"/>
        <v>87000</v>
      </c>
      <c r="CC8" s="302">
        <f t="shared" si="0"/>
        <v>87500</v>
      </c>
      <c r="CD8" s="302">
        <f t="shared" si="0"/>
        <v>88000</v>
      </c>
      <c r="CE8" s="302">
        <f t="shared" si="0"/>
        <v>88500</v>
      </c>
      <c r="CF8" s="302">
        <f t="shared" si="0"/>
        <v>89000</v>
      </c>
      <c r="CG8" s="302">
        <f>CF8+500</f>
        <v>89500</v>
      </c>
      <c r="CH8" s="302">
        <v>90000</v>
      </c>
      <c r="CI8" s="302">
        <v>90500</v>
      </c>
      <c r="CJ8" s="302">
        <v>91000</v>
      </c>
      <c r="CK8" s="302">
        <v>91500</v>
      </c>
      <c r="CL8" s="302">
        <v>92000</v>
      </c>
      <c r="CM8" s="302">
        <v>92500</v>
      </c>
      <c r="CN8" s="302">
        <v>93000</v>
      </c>
      <c r="CO8" s="302">
        <v>93500</v>
      </c>
      <c r="CP8" s="302">
        <v>94000</v>
      </c>
      <c r="CQ8" s="302">
        <v>94500</v>
      </c>
      <c r="CR8" s="302">
        <v>95000</v>
      </c>
    </row>
    <row r="9" spans="1:96" s="128" customFormat="1">
      <c r="A9" s="364" t="s">
        <v>19</v>
      </c>
      <c r="B9" s="36" t="s">
        <v>20</v>
      </c>
      <c r="C9" s="36" t="s">
        <v>21</v>
      </c>
      <c r="D9" s="36" t="s">
        <v>22</v>
      </c>
      <c r="E9" s="36" t="s">
        <v>23</v>
      </c>
      <c r="F9" s="322"/>
      <c r="G9" s="20">
        <v>6.4</v>
      </c>
      <c r="H9" s="37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</row>
    <row r="10" spans="1:96" s="128" customFormat="1">
      <c r="A10" s="364" t="s">
        <v>24</v>
      </c>
      <c r="B10" s="36" t="s">
        <v>20</v>
      </c>
      <c r="C10" s="36" t="s">
        <v>21</v>
      </c>
      <c r="D10" s="36" t="s">
        <v>25</v>
      </c>
      <c r="E10" s="36" t="s">
        <v>23</v>
      </c>
      <c r="F10" s="322"/>
      <c r="G10" s="20">
        <v>6.4</v>
      </c>
      <c r="H10" s="37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8"/>
      <c r="AM10" s="208"/>
      <c r="AN10" s="208"/>
      <c r="AO10" s="208"/>
      <c r="AP10" s="208"/>
      <c r="AQ10" s="208"/>
      <c r="AR10" s="208"/>
      <c r="AS10" s="208"/>
      <c r="AT10" s="208"/>
      <c r="AU10" s="208"/>
      <c r="AV10" s="208"/>
      <c r="AW10" s="208"/>
      <c r="AX10" s="208"/>
      <c r="AY10" s="208"/>
      <c r="AZ10" s="208"/>
      <c r="BA10" s="208"/>
      <c r="BB10" s="208"/>
      <c r="BC10" s="208"/>
      <c r="BD10" s="208"/>
      <c r="BE10" s="208"/>
      <c r="BF10" s="208"/>
      <c r="BG10" s="208"/>
      <c r="BH10" s="208"/>
      <c r="BI10" s="208"/>
      <c r="BJ10" s="208"/>
      <c r="BK10" s="208"/>
      <c r="BL10" s="208"/>
      <c r="BM10" s="208"/>
      <c r="BN10" s="208"/>
      <c r="BO10" s="208"/>
      <c r="BP10" s="208"/>
      <c r="BQ10" s="208"/>
      <c r="BR10" s="208"/>
      <c r="BS10" s="208"/>
      <c r="BT10" s="208"/>
      <c r="BU10" s="208"/>
      <c r="BV10" s="208"/>
      <c r="BW10" s="208"/>
      <c r="BX10" s="208"/>
      <c r="BY10" s="208"/>
      <c r="BZ10" s="208"/>
      <c r="CA10" s="208"/>
      <c r="CB10" s="208"/>
      <c r="CC10" s="208"/>
      <c r="CD10" s="208"/>
      <c r="CE10" s="208"/>
      <c r="CF10" s="208"/>
      <c r="CG10" s="208"/>
      <c r="CH10" s="208"/>
      <c r="CI10" s="208"/>
      <c r="CJ10" s="208"/>
      <c r="CK10" s="208"/>
      <c r="CL10" s="208"/>
      <c r="CM10" s="208"/>
      <c r="CN10" s="208"/>
      <c r="CO10" s="208"/>
      <c r="CP10" s="208"/>
      <c r="CQ10" s="208"/>
      <c r="CR10" s="208"/>
    </row>
    <row r="11" spans="1:96" s="128" customFormat="1">
      <c r="A11" s="365" t="s">
        <v>268</v>
      </c>
      <c r="B11" s="38" t="s">
        <v>20</v>
      </c>
      <c r="C11" s="38" t="s">
        <v>21</v>
      </c>
      <c r="D11" s="38" t="s">
        <v>27</v>
      </c>
      <c r="E11" s="38" t="s">
        <v>23</v>
      </c>
      <c r="F11" s="323"/>
      <c r="G11" s="15">
        <v>6.4</v>
      </c>
      <c r="H11" s="39">
        <v>15.5</v>
      </c>
      <c r="I11" s="209">
        <f>AU11-AT11</f>
        <v>8.3800000000001091</v>
      </c>
      <c r="J11" s="209">
        <v>1773.5</v>
      </c>
      <c r="K11" s="209">
        <v>1781.95</v>
      </c>
      <c r="L11" s="209">
        <v>1790.4</v>
      </c>
      <c r="M11" s="209">
        <v>1798.85</v>
      </c>
      <c r="N11" s="209">
        <v>1807.3</v>
      </c>
      <c r="O11" s="209">
        <v>1815.74</v>
      </c>
      <c r="P11" s="209">
        <v>1824.19</v>
      </c>
      <c r="Q11" s="209">
        <v>1832.64</v>
      </c>
      <c r="R11" s="209">
        <v>1841.09</v>
      </c>
      <c r="S11" s="209">
        <v>1849.54</v>
      </c>
      <c r="T11" s="209">
        <v>1857.98</v>
      </c>
      <c r="U11" s="209">
        <v>1866.43</v>
      </c>
      <c r="V11" s="209">
        <v>1874.88</v>
      </c>
      <c r="W11" s="209">
        <v>1883.33</v>
      </c>
      <c r="X11" s="209">
        <v>1891.78</v>
      </c>
      <c r="Y11" s="209">
        <v>1900.22</v>
      </c>
      <c r="Z11" s="209">
        <v>1908.67</v>
      </c>
      <c r="AA11" s="209">
        <v>1917.12</v>
      </c>
      <c r="AB11" s="209">
        <v>1925.5</v>
      </c>
      <c r="AC11" s="209">
        <v>1933.95</v>
      </c>
      <c r="AD11" s="209">
        <v>1942.34</v>
      </c>
      <c r="AE11" s="209">
        <v>1950.78</v>
      </c>
      <c r="AF11" s="209">
        <v>1959.17</v>
      </c>
      <c r="AG11" s="209">
        <v>1967.62</v>
      </c>
      <c r="AH11" s="209">
        <v>1976.06</v>
      </c>
      <c r="AI11" s="209">
        <v>1984.51</v>
      </c>
      <c r="AJ11" s="209">
        <v>1992.9</v>
      </c>
      <c r="AK11" s="209">
        <v>2001.34</v>
      </c>
      <c r="AL11" s="209">
        <v>2009.73</v>
      </c>
      <c r="AM11" s="209">
        <v>2018.18</v>
      </c>
      <c r="AN11" s="209">
        <v>2026.56</v>
      </c>
      <c r="AO11" s="209">
        <v>2034.94</v>
      </c>
      <c r="AP11" s="209">
        <v>2043.39</v>
      </c>
      <c r="AQ11" s="209">
        <v>2051.7800000000002</v>
      </c>
      <c r="AR11" s="209">
        <v>2060.2199999999998</v>
      </c>
      <c r="AS11" s="209">
        <v>2068.61</v>
      </c>
      <c r="AT11" s="209">
        <v>2077.06</v>
      </c>
      <c r="AU11" s="209">
        <v>2085.44</v>
      </c>
      <c r="AV11" s="209">
        <v>2093.8200000000002</v>
      </c>
      <c r="AW11" s="209">
        <v>2102.21</v>
      </c>
      <c r="AX11" s="209">
        <v>2110.59</v>
      </c>
      <c r="AY11" s="209">
        <v>2118.98</v>
      </c>
      <c r="AZ11" s="209">
        <v>2127.36</v>
      </c>
      <c r="BA11" s="209">
        <v>2135.81</v>
      </c>
      <c r="BB11" s="209">
        <v>2144.19</v>
      </c>
      <c r="BC11" s="209">
        <v>2152.58</v>
      </c>
      <c r="BD11" s="209">
        <v>2160.96</v>
      </c>
      <c r="BE11" s="209">
        <v>2169.34</v>
      </c>
      <c r="BF11" s="209">
        <v>2177.73</v>
      </c>
      <c r="BG11" s="209">
        <v>2186.11</v>
      </c>
      <c r="BH11" s="209">
        <v>2194.5</v>
      </c>
      <c r="BI11" s="209">
        <v>2202.88</v>
      </c>
      <c r="BJ11" s="209">
        <v>2211.2600000000002</v>
      </c>
      <c r="BK11" s="209">
        <v>2219.65</v>
      </c>
      <c r="BL11" s="209">
        <v>2228.0300000000002</v>
      </c>
      <c r="BM11" s="209">
        <v>2236.42</v>
      </c>
      <c r="BN11" s="209">
        <v>2244.8000000000002</v>
      </c>
      <c r="BO11" s="209">
        <f t="shared" ref="BO11:CG11" si="1">ROUND(BN11+$I11,2)</f>
        <v>2253.1799999999998</v>
      </c>
      <c r="BP11" s="209">
        <f t="shared" si="1"/>
        <v>2261.56</v>
      </c>
      <c r="BQ11" s="209">
        <f t="shared" si="1"/>
        <v>2269.94</v>
      </c>
      <c r="BR11" s="209">
        <f t="shared" si="1"/>
        <v>2278.3200000000002</v>
      </c>
      <c r="BS11" s="209">
        <f t="shared" si="1"/>
        <v>2286.6999999999998</v>
      </c>
      <c r="BT11" s="209">
        <f t="shared" si="1"/>
        <v>2295.08</v>
      </c>
      <c r="BU11" s="209">
        <f t="shared" si="1"/>
        <v>2303.46</v>
      </c>
      <c r="BV11" s="209">
        <f t="shared" si="1"/>
        <v>2311.84</v>
      </c>
      <c r="BW11" s="209">
        <f t="shared" si="1"/>
        <v>2320.2199999999998</v>
      </c>
      <c r="BX11" s="209">
        <f t="shared" si="1"/>
        <v>2328.6</v>
      </c>
      <c r="BY11" s="209">
        <f t="shared" si="1"/>
        <v>2336.98</v>
      </c>
      <c r="BZ11" s="209">
        <f t="shared" si="1"/>
        <v>2345.36</v>
      </c>
      <c r="CA11" s="209">
        <f t="shared" si="1"/>
        <v>2353.7399999999998</v>
      </c>
      <c r="CB11" s="209">
        <f t="shared" si="1"/>
        <v>2362.12</v>
      </c>
      <c r="CC11" s="209">
        <f t="shared" si="1"/>
        <v>2370.5</v>
      </c>
      <c r="CD11" s="209">
        <f t="shared" si="1"/>
        <v>2378.88</v>
      </c>
      <c r="CE11" s="209">
        <f t="shared" si="1"/>
        <v>2387.2600000000002</v>
      </c>
      <c r="CF11" s="209">
        <f t="shared" si="1"/>
        <v>2395.64</v>
      </c>
      <c r="CG11" s="209">
        <f t="shared" si="1"/>
        <v>2404.02</v>
      </c>
      <c r="CH11" s="209">
        <f t="shared" ref="CH11:CH13" si="2">ROUND(CG11+$I11,2)</f>
        <v>2412.4</v>
      </c>
      <c r="CI11" s="209">
        <f t="shared" ref="CI11:CI13" si="3">ROUND(CH11+$I11,2)</f>
        <v>2420.7800000000002</v>
      </c>
      <c r="CJ11" s="209">
        <f t="shared" ref="CJ11:CJ13" si="4">ROUND(CI11+$I11,2)</f>
        <v>2429.16</v>
      </c>
      <c r="CK11" s="209">
        <f t="shared" ref="CK11:CK13" si="5">ROUND(CJ11+$I11,2)</f>
        <v>2437.54</v>
      </c>
      <c r="CL11" s="209">
        <f t="shared" ref="CL11:CL13" si="6">ROUND(CK11+$I11,2)</f>
        <v>2445.92</v>
      </c>
      <c r="CM11" s="209">
        <f t="shared" ref="CM11:CM13" si="7">ROUND(CL11+$I11,2)</f>
        <v>2454.3000000000002</v>
      </c>
      <c r="CN11" s="209">
        <f t="shared" ref="CN11:CN13" si="8">ROUND(CM11+$I11,2)</f>
        <v>2462.6799999999998</v>
      </c>
      <c r="CO11" s="209">
        <f t="shared" ref="CO11:CO13" si="9">ROUND(CN11+$I11,2)</f>
        <v>2471.06</v>
      </c>
      <c r="CP11" s="209">
        <f t="shared" ref="CP11:CP13" si="10">ROUND(CO11+$I11,2)</f>
        <v>2479.44</v>
      </c>
      <c r="CQ11" s="209">
        <f t="shared" ref="CQ11:CQ13" si="11">ROUND(CP11+$I11,2)</f>
        <v>2487.8200000000002</v>
      </c>
      <c r="CR11" s="209">
        <f t="shared" ref="CR11:CR13" si="12">ROUND(CQ11+$I11,2)</f>
        <v>2496.1999999999998</v>
      </c>
    </row>
    <row r="12" spans="1:96" s="128" customFormat="1">
      <c r="A12" s="266" t="s">
        <v>36</v>
      </c>
      <c r="B12" s="40" t="s">
        <v>20</v>
      </c>
      <c r="C12" s="40" t="s">
        <v>21</v>
      </c>
      <c r="D12" s="40" t="s">
        <v>27</v>
      </c>
      <c r="E12" s="40" t="s">
        <v>23</v>
      </c>
      <c r="F12" s="324"/>
      <c r="G12" s="15">
        <v>6.4</v>
      </c>
      <c r="H12" s="39">
        <v>15.5</v>
      </c>
      <c r="I12" s="209">
        <f t="shared" ref="I12:I73" si="13">AU12-AT12</f>
        <v>8.3899999999998727</v>
      </c>
      <c r="J12" s="209">
        <v>1802.56</v>
      </c>
      <c r="K12" s="209">
        <v>1810.94</v>
      </c>
      <c r="L12" s="209">
        <v>1819.33</v>
      </c>
      <c r="M12" s="209">
        <v>1827.71</v>
      </c>
      <c r="N12" s="209">
        <v>1836.1</v>
      </c>
      <c r="O12" s="209">
        <v>1844.48</v>
      </c>
      <c r="P12" s="209">
        <v>1852.86</v>
      </c>
      <c r="Q12" s="209">
        <v>1861.25</v>
      </c>
      <c r="R12" s="209">
        <v>1869.63</v>
      </c>
      <c r="S12" s="209">
        <v>1878.02</v>
      </c>
      <c r="T12" s="209">
        <v>1886.4</v>
      </c>
      <c r="U12" s="209">
        <v>1894.78</v>
      </c>
      <c r="V12" s="209">
        <v>1903.17</v>
      </c>
      <c r="W12" s="209">
        <v>1911.55</v>
      </c>
      <c r="X12" s="209">
        <v>1919.94</v>
      </c>
      <c r="Y12" s="209">
        <v>1928.32</v>
      </c>
      <c r="Z12" s="209">
        <v>1936.7</v>
      </c>
      <c r="AA12" s="209">
        <v>1945.09</v>
      </c>
      <c r="AB12" s="209">
        <v>1953.47</v>
      </c>
      <c r="AC12" s="209">
        <v>1961.92</v>
      </c>
      <c r="AD12" s="209">
        <v>1970.3</v>
      </c>
      <c r="AE12" s="209">
        <v>1978.75</v>
      </c>
      <c r="AF12" s="209">
        <v>1987.14</v>
      </c>
      <c r="AG12" s="209">
        <v>1995.58</v>
      </c>
      <c r="AH12" s="209">
        <v>2003.97</v>
      </c>
      <c r="AI12" s="209">
        <v>2012.42</v>
      </c>
      <c r="AJ12" s="209">
        <v>2020.8</v>
      </c>
      <c r="AK12" s="209">
        <v>2029.31</v>
      </c>
      <c r="AL12" s="209">
        <v>2037.7</v>
      </c>
      <c r="AM12" s="209">
        <v>2046.14</v>
      </c>
      <c r="AN12" s="209">
        <v>2054.5300000000002</v>
      </c>
      <c r="AO12" s="209">
        <v>2062.98</v>
      </c>
      <c r="AP12" s="209">
        <v>2071.36</v>
      </c>
      <c r="AQ12" s="209">
        <v>2079.81</v>
      </c>
      <c r="AR12" s="209">
        <v>2088.19</v>
      </c>
      <c r="AS12" s="209">
        <v>2096.64</v>
      </c>
      <c r="AT12" s="209">
        <v>2105.02</v>
      </c>
      <c r="AU12" s="209">
        <v>2113.41</v>
      </c>
      <c r="AV12" s="209">
        <v>2121.79</v>
      </c>
      <c r="AW12" s="209">
        <v>2130.1799999999998</v>
      </c>
      <c r="AX12" s="209">
        <v>2138.56</v>
      </c>
      <c r="AY12" s="209">
        <v>2146.94</v>
      </c>
      <c r="AZ12" s="209">
        <v>2155.33</v>
      </c>
      <c r="BA12" s="209">
        <v>2163.71</v>
      </c>
      <c r="BB12" s="209">
        <v>2172.1</v>
      </c>
      <c r="BC12" s="209">
        <v>2180.48</v>
      </c>
      <c r="BD12" s="209">
        <v>2188.86</v>
      </c>
      <c r="BE12" s="209">
        <v>2197.25</v>
      </c>
      <c r="BF12" s="209">
        <v>2205.6999999999998</v>
      </c>
      <c r="BG12" s="209">
        <v>2214.08</v>
      </c>
      <c r="BH12" s="209">
        <v>2222.46</v>
      </c>
      <c r="BI12" s="209">
        <v>2230.85</v>
      </c>
      <c r="BJ12" s="209">
        <v>2239.23</v>
      </c>
      <c r="BK12" s="209">
        <v>2247.62</v>
      </c>
      <c r="BL12" s="209">
        <v>2256</v>
      </c>
      <c r="BM12" s="209">
        <v>2264.38</v>
      </c>
      <c r="BN12" s="209">
        <v>2272.77</v>
      </c>
      <c r="BO12" s="209">
        <f t="shared" ref="BO12:CG12" si="14">ROUND(BN12+$I12,2)</f>
        <v>2281.16</v>
      </c>
      <c r="BP12" s="209">
        <f t="shared" si="14"/>
        <v>2289.5500000000002</v>
      </c>
      <c r="BQ12" s="209">
        <f t="shared" si="14"/>
        <v>2297.94</v>
      </c>
      <c r="BR12" s="209">
        <f t="shared" si="14"/>
        <v>2306.33</v>
      </c>
      <c r="BS12" s="209">
        <f t="shared" si="14"/>
        <v>2314.7199999999998</v>
      </c>
      <c r="BT12" s="209">
        <f t="shared" si="14"/>
        <v>2323.11</v>
      </c>
      <c r="BU12" s="209">
        <f t="shared" si="14"/>
        <v>2331.5</v>
      </c>
      <c r="BV12" s="209">
        <f t="shared" si="14"/>
        <v>2339.89</v>
      </c>
      <c r="BW12" s="209">
        <f t="shared" si="14"/>
        <v>2348.2800000000002</v>
      </c>
      <c r="BX12" s="209">
        <f t="shared" si="14"/>
        <v>2356.67</v>
      </c>
      <c r="BY12" s="209">
        <f t="shared" si="14"/>
        <v>2365.06</v>
      </c>
      <c r="BZ12" s="209">
        <f t="shared" si="14"/>
        <v>2373.4499999999998</v>
      </c>
      <c r="CA12" s="209">
        <f t="shared" si="14"/>
        <v>2381.84</v>
      </c>
      <c r="CB12" s="209">
        <f t="shared" si="14"/>
        <v>2390.23</v>
      </c>
      <c r="CC12" s="209">
        <f t="shared" si="14"/>
        <v>2398.62</v>
      </c>
      <c r="CD12" s="209">
        <f t="shared" si="14"/>
        <v>2407.0100000000002</v>
      </c>
      <c r="CE12" s="209">
        <f t="shared" si="14"/>
        <v>2415.4</v>
      </c>
      <c r="CF12" s="209">
        <f t="shared" si="14"/>
        <v>2423.79</v>
      </c>
      <c r="CG12" s="209">
        <f t="shared" si="14"/>
        <v>2432.1799999999998</v>
      </c>
      <c r="CH12" s="209">
        <f t="shared" si="2"/>
        <v>2440.5700000000002</v>
      </c>
      <c r="CI12" s="209">
        <f t="shared" si="3"/>
        <v>2448.96</v>
      </c>
      <c r="CJ12" s="209">
        <f t="shared" si="4"/>
        <v>2457.35</v>
      </c>
      <c r="CK12" s="209">
        <f t="shared" si="5"/>
        <v>2465.7399999999998</v>
      </c>
      <c r="CL12" s="209">
        <f t="shared" si="6"/>
        <v>2474.13</v>
      </c>
      <c r="CM12" s="209">
        <f t="shared" si="7"/>
        <v>2482.52</v>
      </c>
      <c r="CN12" s="209">
        <f t="shared" si="8"/>
        <v>2490.91</v>
      </c>
      <c r="CO12" s="209">
        <f t="shared" si="9"/>
        <v>2499.3000000000002</v>
      </c>
      <c r="CP12" s="209">
        <f t="shared" si="10"/>
        <v>2507.69</v>
      </c>
      <c r="CQ12" s="209">
        <f t="shared" si="11"/>
        <v>2516.08</v>
      </c>
      <c r="CR12" s="209">
        <f t="shared" si="12"/>
        <v>2524.4699999999998</v>
      </c>
    </row>
    <row r="13" spans="1:96" s="128" customFormat="1">
      <c r="A13" s="366" t="s">
        <v>37</v>
      </c>
      <c r="B13" s="321" t="s">
        <v>20</v>
      </c>
      <c r="C13" s="321" t="s">
        <v>21</v>
      </c>
      <c r="D13" s="321" t="s">
        <v>31</v>
      </c>
      <c r="E13" s="321" t="s">
        <v>23</v>
      </c>
      <c r="F13" s="325" t="s">
        <v>269</v>
      </c>
      <c r="G13" s="15">
        <v>6.4</v>
      </c>
      <c r="H13" s="39">
        <v>15</v>
      </c>
      <c r="I13" s="209">
        <f t="shared" si="13"/>
        <v>8.0599999999999454</v>
      </c>
      <c r="J13" s="209">
        <v>1257.79</v>
      </c>
      <c r="K13" s="209">
        <v>1265.8599999999999</v>
      </c>
      <c r="L13" s="209">
        <v>1273.92</v>
      </c>
      <c r="M13" s="209">
        <v>1281.98</v>
      </c>
      <c r="N13" s="209">
        <v>1290.05</v>
      </c>
      <c r="O13" s="209">
        <v>1298.1099999999999</v>
      </c>
      <c r="P13" s="209">
        <v>1306.18</v>
      </c>
      <c r="Q13" s="209">
        <v>1314.24</v>
      </c>
      <c r="R13" s="209">
        <v>1322.3</v>
      </c>
      <c r="S13" s="209">
        <v>1330.37</v>
      </c>
      <c r="T13" s="209">
        <v>1338.43</v>
      </c>
      <c r="U13" s="209">
        <v>1346.5</v>
      </c>
      <c r="V13" s="209">
        <v>1354.56</v>
      </c>
      <c r="W13" s="209">
        <v>1362.62</v>
      </c>
      <c r="X13" s="209">
        <v>1370.69</v>
      </c>
      <c r="Y13" s="209">
        <v>1378.75</v>
      </c>
      <c r="Z13" s="209">
        <v>1386.82</v>
      </c>
      <c r="AA13" s="209">
        <v>1394.88</v>
      </c>
      <c r="AB13" s="209">
        <v>1402.94</v>
      </c>
      <c r="AC13" s="209">
        <v>1411.07</v>
      </c>
      <c r="AD13" s="209">
        <v>1419.14</v>
      </c>
      <c r="AE13" s="209">
        <v>1427.2</v>
      </c>
      <c r="AF13" s="209">
        <v>1435.33</v>
      </c>
      <c r="AG13" s="209">
        <v>1443.33</v>
      </c>
      <c r="AH13" s="209">
        <v>1451.46</v>
      </c>
      <c r="AI13" s="209">
        <v>1459.52</v>
      </c>
      <c r="AJ13" s="209">
        <v>1467.58</v>
      </c>
      <c r="AK13" s="209">
        <v>1475.71</v>
      </c>
      <c r="AL13" s="209">
        <v>1483.78</v>
      </c>
      <c r="AM13" s="209">
        <v>1491.84</v>
      </c>
      <c r="AN13" s="209">
        <v>1499.9</v>
      </c>
      <c r="AO13" s="209">
        <v>1507.97</v>
      </c>
      <c r="AP13" s="209">
        <v>1516.1</v>
      </c>
      <c r="AQ13" s="209">
        <v>1524.16</v>
      </c>
      <c r="AR13" s="209">
        <v>1532.22</v>
      </c>
      <c r="AS13" s="209">
        <v>1540.35</v>
      </c>
      <c r="AT13" s="209">
        <v>1548.42</v>
      </c>
      <c r="AU13" s="209">
        <v>1556.48</v>
      </c>
      <c r="AV13" s="209">
        <v>1564.61</v>
      </c>
      <c r="AW13" s="209">
        <v>1572.74</v>
      </c>
      <c r="AX13" s="209">
        <v>1580.86</v>
      </c>
      <c r="AY13" s="209">
        <v>1588.99</v>
      </c>
      <c r="AZ13" s="209">
        <v>1597.12</v>
      </c>
      <c r="BA13" s="209">
        <v>1605.25</v>
      </c>
      <c r="BB13" s="209">
        <v>1613.38</v>
      </c>
      <c r="BC13" s="209">
        <v>1621.44</v>
      </c>
      <c r="BD13" s="209">
        <v>1629.57</v>
      </c>
      <c r="BE13" s="209">
        <v>1637.7</v>
      </c>
      <c r="BF13" s="209">
        <v>1645.82</v>
      </c>
      <c r="BG13" s="209">
        <v>1653.95</v>
      </c>
      <c r="BH13" s="209">
        <v>1662.08</v>
      </c>
      <c r="BI13" s="209">
        <v>1670.21</v>
      </c>
      <c r="BJ13" s="209">
        <v>1678.34</v>
      </c>
      <c r="BK13" s="209">
        <v>1686.4</v>
      </c>
      <c r="BL13" s="209">
        <v>1694.53</v>
      </c>
      <c r="BM13" s="209">
        <v>1702.66</v>
      </c>
      <c r="BN13" s="209">
        <v>1710.78</v>
      </c>
      <c r="BO13" s="209">
        <f t="shared" ref="BO13:CG13" si="15">ROUND(BN13+$I13,2)</f>
        <v>1718.84</v>
      </c>
      <c r="BP13" s="209">
        <f t="shared" si="15"/>
        <v>1726.9</v>
      </c>
      <c r="BQ13" s="209">
        <f t="shared" si="15"/>
        <v>1734.96</v>
      </c>
      <c r="BR13" s="209">
        <f t="shared" si="15"/>
        <v>1743.02</v>
      </c>
      <c r="BS13" s="209">
        <f t="shared" si="15"/>
        <v>1751.08</v>
      </c>
      <c r="BT13" s="209">
        <f t="shared" si="15"/>
        <v>1759.14</v>
      </c>
      <c r="BU13" s="209">
        <f t="shared" si="15"/>
        <v>1767.2</v>
      </c>
      <c r="BV13" s="209">
        <f t="shared" si="15"/>
        <v>1775.26</v>
      </c>
      <c r="BW13" s="209">
        <f t="shared" si="15"/>
        <v>1783.32</v>
      </c>
      <c r="BX13" s="209">
        <f t="shared" si="15"/>
        <v>1791.38</v>
      </c>
      <c r="BY13" s="209">
        <f t="shared" si="15"/>
        <v>1799.44</v>
      </c>
      <c r="BZ13" s="209">
        <f t="shared" si="15"/>
        <v>1807.5</v>
      </c>
      <c r="CA13" s="209">
        <f t="shared" si="15"/>
        <v>1815.56</v>
      </c>
      <c r="CB13" s="209">
        <f t="shared" si="15"/>
        <v>1823.62</v>
      </c>
      <c r="CC13" s="209">
        <f t="shared" si="15"/>
        <v>1831.68</v>
      </c>
      <c r="CD13" s="209">
        <f t="shared" si="15"/>
        <v>1839.74</v>
      </c>
      <c r="CE13" s="209">
        <f t="shared" si="15"/>
        <v>1847.8</v>
      </c>
      <c r="CF13" s="209">
        <f t="shared" si="15"/>
        <v>1855.86</v>
      </c>
      <c r="CG13" s="209">
        <f t="shared" si="15"/>
        <v>1863.92</v>
      </c>
      <c r="CH13" s="209">
        <f t="shared" si="2"/>
        <v>1871.98</v>
      </c>
      <c r="CI13" s="209">
        <f t="shared" si="3"/>
        <v>1880.04</v>
      </c>
      <c r="CJ13" s="209">
        <f t="shared" si="4"/>
        <v>1888.1</v>
      </c>
      <c r="CK13" s="209">
        <f t="shared" si="5"/>
        <v>1896.16</v>
      </c>
      <c r="CL13" s="209">
        <f t="shared" si="6"/>
        <v>1904.22</v>
      </c>
      <c r="CM13" s="209">
        <f t="shared" si="7"/>
        <v>1912.28</v>
      </c>
      <c r="CN13" s="209">
        <f t="shared" si="8"/>
        <v>1920.34</v>
      </c>
      <c r="CO13" s="209">
        <f t="shared" si="9"/>
        <v>1928.4</v>
      </c>
      <c r="CP13" s="209">
        <f t="shared" si="10"/>
        <v>1936.46</v>
      </c>
      <c r="CQ13" s="209">
        <f t="shared" si="11"/>
        <v>1944.52</v>
      </c>
      <c r="CR13" s="209">
        <f t="shared" si="12"/>
        <v>1952.58</v>
      </c>
    </row>
    <row r="14" spans="1:96" s="128" customFormat="1">
      <c r="A14" s="366" t="s">
        <v>38</v>
      </c>
      <c r="B14" s="321" t="s">
        <v>20</v>
      </c>
      <c r="C14" s="321" t="s">
        <v>21</v>
      </c>
      <c r="D14" s="321" t="s">
        <v>39</v>
      </c>
      <c r="E14" s="321" t="s">
        <v>23</v>
      </c>
      <c r="F14" s="325" t="s">
        <v>270</v>
      </c>
      <c r="G14" s="15">
        <v>6.4</v>
      </c>
      <c r="H14" s="39">
        <v>15</v>
      </c>
      <c r="I14" s="320">
        <v>8.06</v>
      </c>
      <c r="J14" s="209">
        <f t="shared" ref="J14:AR14" si="16">K14-$I14</f>
        <v>1326.1600000000019</v>
      </c>
      <c r="K14" s="209">
        <f t="shared" si="16"/>
        <v>1334.2200000000018</v>
      </c>
      <c r="L14" s="209">
        <f t="shared" si="16"/>
        <v>1342.2800000000018</v>
      </c>
      <c r="M14" s="209">
        <f t="shared" si="16"/>
        <v>1350.3400000000017</v>
      </c>
      <c r="N14" s="209">
        <f t="shared" si="16"/>
        <v>1358.4000000000017</v>
      </c>
      <c r="O14" s="209">
        <f t="shared" si="16"/>
        <v>1366.4600000000016</v>
      </c>
      <c r="P14" s="209">
        <f t="shared" si="16"/>
        <v>1374.5200000000016</v>
      </c>
      <c r="Q14" s="209">
        <f t="shared" si="16"/>
        <v>1382.5800000000015</v>
      </c>
      <c r="R14" s="209">
        <f t="shared" si="16"/>
        <v>1390.6400000000015</v>
      </c>
      <c r="S14" s="209">
        <f t="shared" si="16"/>
        <v>1398.7000000000014</v>
      </c>
      <c r="T14" s="209">
        <f t="shared" si="16"/>
        <v>1406.7600000000014</v>
      </c>
      <c r="U14" s="209">
        <f t="shared" si="16"/>
        <v>1414.8200000000013</v>
      </c>
      <c r="V14" s="209">
        <f t="shared" si="16"/>
        <v>1422.8800000000012</v>
      </c>
      <c r="W14" s="209">
        <f t="shared" si="16"/>
        <v>1430.9400000000012</v>
      </c>
      <c r="X14" s="209">
        <f t="shared" si="16"/>
        <v>1439.0000000000011</v>
      </c>
      <c r="Y14" s="209">
        <f t="shared" si="16"/>
        <v>1447.0600000000011</v>
      </c>
      <c r="Z14" s="209">
        <f t="shared" si="16"/>
        <v>1455.120000000001</v>
      </c>
      <c r="AA14" s="209">
        <f t="shared" si="16"/>
        <v>1463.180000000001</v>
      </c>
      <c r="AB14" s="209">
        <f t="shared" si="16"/>
        <v>1471.2400000000009</v>
      </c>
      <c r="AC14" s="209">
        <f t="shared" si="16"/>
        <v>1479.3000000000009</v>
      </c>
      <c r="AD14" s="209">
        <f t="shared" si="16"/>
        <v>1487.3600000000008</v>
      </c>
      <c r="AE14" s="209">
        <f t="shared" si="16"/>
        <v>1495.4200000000008</v>
      </c>
      <c r="AF14" s="209">
        <f t="shared" si="16"/>
        <v>1503.4800000000007</v>
      </c>
      <c r="AG14" s="209">
        <f t="shared" si="16"/>
        <v>1511.5400000000006</v>
      </c>
      <c r="AH14" s="209">
        <f t="shared" si="16"/>
        <v>1519.6000000000006</v>
      </c>
      <c r="AI14" s="209">
        <f t="shared" si="16"/>
        <v>1527.6600000000005</v>
      </c>
      <c r="AJ14" s="209">
        <f t="shared" si="16"/>
        <v>1535.7200000000005</v>
      </c>
      <c r="AK14" s="209">
        <f t="shared" si="16"/>
        <v>1543.7800000000004</v>
      </c>
      <c r="AL14" s="209">
        <f t="shared" si="16"/>
        <v>1551.8400000000004</v>
      </c>
      <c r="AM14" s="209">
        <f t="shared" si="16"/>
        <v>1559.9000000000003</v>
      </c>
      <c r="AN14" s="209">
        <f t="shared" si="16"/>
        <v>1567.9600000000003</v>
      </c>
      <c r="AO14" s="209">
        <f t="shared" si="16"/>
        <v>1576.0200000000002</v>
      </c>
      <c r="AP14" s="209">
        <f t="shared" si="16"/>
        <v>1584.0800000000002</v>
      </c>
      <c r="AQ14" s="209">
        <f t="shared" si="16"/>
        <v>1592.14</v>
      </c>
      <c r="AR14" s="209">
        <f t="shared" si="16"/>
        <v>1600.2</v>
      </c>
      <c r="AS14" s="209">
        <f>AT14-$I14</f>
        <v>1608.26</v>
      </c>
      <c r="AT14" s="209">
        <v>1616.32</v>
      </c>
      <c r="AU14" s="209">
        <f>AT14+$I14</f>
        <v>1624.3799999999999</v>
      </c>
      <c r="AV14" s="209">
        <f t="shared" ref="AV14:CG14" si="17">AU14+$I14</f>
        <v>1632.4399999999998</v>
      </c>
      <c r="AW14" s="209">
        <f t="shared" si="17"/>
        <v>1640.4999999999998</v>
      </c>
      <c r="AX14" s="209">
        <f t="shared" si="17"/>
        <v>1648.5599999999997</v>
      </c>
      <c r="AY14" s="209">
        <f t="shared" si="17"/>
        <v>1656.6199999999997</v>
      </c>
      <c r="AZ14" s="209">
        <f t="shared" si="17"/>
        <v>1664.6799999999996</v>
      </c>
      <c r="BA14" s="209">
        <f t="shared" si="17"/>
        <v>1672.7399999999996</v>
      </c>
      <c r="BB14" s="209">
        <f t="shared" si="17"/>
        <v>1680.7999999999995</v>
      </c>
      <c r="BC14" s="209">
        <f t="shared" si="17"/>
        <v>1688.8599999999994</v>
      </c>
      <c r="BD14" s="209">
        <f t="shared" si="17"/>
        <v>1696.9199999999994</v>
      </c>
      <c r="BE14" s="209">
        <f t="shared" si="17"/>
        <v>1704.9799999999993</v>
      </c>
      <c r="BF14" s="209">
        <f t="shared" si="17"/>
        <v>1713.0399999999993</v>
      </c>
      <c r="BG14" s="209">
        <f t="shared" si="17"/>
        <v>1721.0999999999992</v>
      </c>
      <c r="BH14" s="209">
        <f t="shared" si="17"/>
        <v>1729.1599999999992</v>
      </c>
      <c r="BI14" s="209">
        <f t="shared" si="17"/>
        <v>1737.2199999999991</v>
      </c>
      <c r="BJ14" s="209">
        <f t="shared" si="17"/>
        <v>1745.2799999999991</v>
      </c>
      <c r="BK14" s="209">
        <f t="shared" si="17"/>
        <v>1753.339999999999</v>
      </c>
      <c r="BL14" s="209">
        <f t="shared" si="17"/>
        <v>1761.399999999999</v>
      </c>
      <c r="BM14" s="209">
        <f t="shared" si="17"/>
        <v>1769.4599999999989</v>
      </c>
      <c r="BN14" s="209">
        <f t="shared" si="17"/>
        <v>1777.5199999999988</v>
      </c>
      <c r="BO14" s="209">
        <f t="shared" si="17"/>
        <v>1785.5799999999988</v>
      </c>
      <c r="BP14" s="209">
        <f t="shared" si="17"/>
        <v>1793.6399999999987</v>
      </c>
      <c r="BQ14" s="209">
        <f t="shared" si="17"/>
        <v>1801.6999999999987</v>
      </c>
      <c r="BR14" s="209">
        <f t="shared" si="17"/>
        <v>1809.7599999999986</v>
      </c>
      <c r="BS14" s="209">
        <f t="shared" si="17"/>
        <v>1817.8199999999986</v>
      </c>
      <c r="BT14" s="209">
        <f t="shared" si="17"/>
        <v>1825.8799999999985</v>
      </c>
      <c r="BU14" s="209">
        <f t="shared" si="17"/>
        <v>1833.9399999999985</v>
      </c>
      <c r="BV14" s="209">
        <f t="shared" si="17"/>
        <v>1841.9999999999984</v>
      </c>
      <c r="BW14" s="209">
        <f t="shared" si="17"/>
        <v>1850.0599999999984</v>
      </c>
      <c r="BX14" s="209">
        <f t="shared" si="17"/>
        <v>1858.1199999999983</v>
      </c>
      <c r="BY14" s="209">
        <f t="shared" si="17"/>
        <v>1866.1799999999982</v>
      </c>
      <c r="BZ14" s="209">
        <f t="shared" si="17"/>
        <v>1874.2399999999982</v>
      </c>
      <c r="CA14" s="209">
        <f t="shared" si="17"/>
        <v>1882.2999999999981</v>
      </c>
      <c r="CB14" s="209">
        <f t="shared" si="17"/>
        <v>1890.3599999999981</v>
      </c>
      <c r="CC14" s="209">
        <f t="shared" si="17"/>
        <v>1898.419999999998</v>
      </c>
      <c r="CD14" s="209">
        <f t="shared" si="17"/>
        <v>1906.479999999998</v>
      </c>
      <c r="CE14" s="209">
        <f t="shared" si="17"/>
        <v>1914.5399999999979</v>
      </c>
      <c r="CF14" s="209">
        <f t="shared" si="17"/>
        <v>1922.5999999999979</v>
      </c>
      <c r="CG14" s="209">
        <f t="shared" si="17"/>
        <v>1930.6599999999978</v>
      </c>
      <c r="CH14" s="209">
        <f t="shared" ref="CH14" si="18">CG14+$I14</f>
        <v>1938.7199999999978</v>
      </c>
      <c r="CI14" s="209">
        <f t="shared" ref="CI14" si="19">CH14+$I14</f>
        <v>1946.7799999999977</v>
      </c>
      <c r="CJ14" s="209">
        <f t="shared" ref="CJ14" si="20">CI14+$I14</f>
        <v>1954.8399999999976</v>
      </c>
      <c r="CK14" s="209">
        <f t="shared" ref="CK14" si="21">CJ14+$I14</f>
        <v>1962.8999999999976</v>
      </c>
      <c r="CL14" s="209">
        <f t="shared" ref="CL14" si="22">CK14+$I14</f>
        <v>1970.9599999999975</v>
      </c>
      <c r="CM14" s="209">
        <f t="shared" ref="CM14" si="23">CL14+$I14</f>
        <v>1979.0199999999975</v>
      </c>
      <c r="CN14" s="209">
        <f t="shared" ref="CN14" si="24">CM14+$I14</f>
        <v>1987.0799999999974</v>
      </c>
      <c r="CO14" s="209">
        <f t="shared" ref="CO14" si="25">CN14+$I14</f>
        <v>1995.1399999999974</v>
      </c>
      <c r="CP14" s="209">
        <f t="shared" ref="CP14" si="26">CO14+$I14</f>
        <v>2003.1999999999973</v>
      </c>
      <c r="CQ14" s="209">
        <f t="shared" ref="CQ14" si="27">CP14+$I14</f>
        <v>2011.2599999999973</v>
      </c>
      <c r="CR14" s="209">
        <f t="shared" ref="CR14" si="28">CQ14+$I14</f>
        <v>2019.3199999999972</v>
      </c>
    </row>
    <row r="15" spans="1:96" s="128" customFormat="1">
      <c r="A15" s="266" t="s">
        <v>41</v>
      </c>
      <c r="B15" s="40" t="s">
        <v>20</v>
      </c>
      <c r="C15" s="40" t="s">
        <v>42</v>
      </c>
      <c r="D15" s="40" t="s">
        <v>31</v>
      </c>
      <c r="E15" s="40" t="s">
        <v>23</v>
      </c>
      <c r="F15" s="324"/>
      <c r="G15" s="15">
        <v>6.4</v>
      </c>
      <c r="H15" s="39"/>
      <c r="I15" s="209">
        <f t="shared" si="13"/>
        <v>13.630000000000109</v>
      </c>
      <c r="J15" s="209">
        <v>2251.2600000000002</v>
      </c>
      <c r="K15" s="209">
        <v>2264.9</v>
      </c>
      <c r="L15" s="209">
        <v>2278.5300000000002</v>
      </c>
      <c r="M15" s="209">
        <v>2292.16</v>
      </c>
      <c r="N15" s="209">
        <v>2305.79</v>
      </c>
      <c r="O15" s="209">
        <v>2319.42</v>
      </c>
      <c r="P15" s="209">
        <v>2333.06</v>
      </c>
      <c r="Q15" s="209">
        <v>2346.69</v>
      </c>
      <c r="R15" s="209">
        <v>2360.3200000000002</v>
      </c>
      <c r="S15" s="209">
        <v>2373.9499999999998</v>
      </c>
      <c r="T15" s="209">
        <v>2387.58</v>
      </c>
      <c r="U15" s="209">
        <v>2401.2199999999998</v>
      </c>
      <c r="V15" s="209">
        <v>2414.85</v>
      </c>
      <c r="W15" s="209">
        <v>2428.48</v>
      </c>
      <c r="X15" s="209">
        <v>2442.11</v>
      </c>
      <c r="Y15" s="209">
        <v>2455.7399999999998</v>
      </c>
      <c r="Z15" s="209">
        <v>2469.38</v>
      </c>
      <c r="AA15" s="209">
        <v>2483.0100000000002</v>
      </c>
      <c r="AB15" s="209">
        <v>2496.64</v>
      </c>
      <c r="AC15" s="209">
        <v>2510.34</v>
      </c>
      <c r="AD15" s="209">
        <v>2523.9699999999998</v>
      </c>
      <c r="AE15" s="209">
        <v>2537.6</v>
      </c>
      <c r="AF15" s="209">
        <v>2551.23</v>
      </c>
      <c r="AG15" s="209">
        <v>2564.86</v>
      </c>
      <c r="AH15" s="209">
        <v>2578.56</v>
      </c>
      <c r="AI15" s="209">
        <v>2592.19</v>
      </c>
      <c r="AJ15" s="209">
        <v>2605.8200000000002</v>
      </c>
      <c r="AK15" s="209">
        <v>2619.46</v>
      </c>
      <c r="AL15" s="209">
        <v>2633.09</v>
      </c>
      <c r="AM15" s="209">
        <v>2646.78</v>
      </c>
      <c r="AN15" s="209">
        <v>2660.42</v>
      </c>
      <c r="AO15" s="209">
        <v>2674.05</v>
      </c>
      <c r="AP15" s="209">
        <v>2687.68</v>
      </c>
      <c r="AQ15" s="209">
        <v>2701.31</v>
      </c>
      <c r="AR15" s="209">
        <v>2715.01</v>
      </c>
      <c r="AS15" s="209">
        <v>2728.64</v>
      </c>
      <c r="AT15" s="209">
        <v>2742.27</v>
      </c>
      <c r="AU15" s="209">
        <v>2755.9</v>
      </c>
      <c r="AV15" s="209">
        <v>2769.54</v>
      </c>
      <c r="AW15" s="209">
        <v>2783.23</v>
      </c>
      <c r="AX15" s="209">
        <v>2796.86</v>
      </c>
      <c r="AY15" s="209">
        <v>2810.5</v>
      </c>
      <c r="AZ15" s="209">
        <v>2824.13</v>
      </c>
      <c r="BA15" s="209">
        <v>2837.76</v>
      </c>
      <c r="BB15" s="209">
        <v>2851.46</v>
      </c>
      <c r="BC15" s="209">
        <v>2865.09</v>
      </c>
      <c r="BD15" s="209">
        <v>2878.72</v>
      </c>
      <c r="BE15" s="209">
        <v>2892.35</v>
      </c>
      <c r="BF15" s="209">
        <v>2905.98</v>
      </c>
      <c r="BG15" s="209">
        <v>2919.68</v>
      </c>
      <c r="BH15" s="209">
        <v>2933.31</v>
      </c>
      <c r="BI15" s="209">
        <v>2946.94</v>
      </c>
      <c r="BJ15" s="209">
        <v>2960.58</v>
      </c>
      <c r="BK15" s="209">
        <v>2974.21</v>
      </c>
      <c r="BL15" s="209">
        <v>2987.9</v>
      </c>
      <c r="BM15" s="209">
        <v>3001.54</v>
      </c>
      <c r="BN15" s="209">
        <v>3015.17</v>
      </c>
      <c r="BO15" s="209">
        <f t="shared" ref="BO15:CG15" si="29">ROUND(BN15+$I15,2)</f>
        <v>3028.8</v>
      </c>
      <c r="BP15" s="209">
        <f t="shared" si="29"/>
        <v>3042.43</v>
      </c>
      <c r="BQ15" s="209">
        <f t="shared" si="29"/>
        <v>3056.06</v>
      </c>
      <c r="BR15" s="209">
        <f t="shared" si="29"/>
        <v>3069.69</v>
      </c>
      <c r="BS15" s="209">
        <f t="shared" si="29"/>
        <v>3083.32</v>
      </c>
      <c r="BT15" s="209">
        <f t="shared" si="29"/>
        <v>3096.95</v>
      </c>
      <c r="BU15" s="209">
        <f t="shared" si="29"/>
        <v>3110.58</v>
      </c>
      <c r="BV15" s="209">
        <f t="shared" si="29"/>
        <v>3124.21</v>
      </c>
      <c r="BW15" s="209">
        <f t="shared" si="29"/>
        <v>3137.84</v>
      </c>
      <c r="BX15" s="209">
        <f t="shared" si="29"/>
        <v>3151.47</v>
      </c>
      <c r="BY15" s="209">
        <f t="shared" si="29"/>
        <v>3165.1</v>
      </c>
      <c r="BZ15" s="209">
        <f t="shared" si="29"/>
        <v>3178.73</v>
      </c>
      <c r="CA15" s="209">
        <f t="shared" si="29"/>
        <v>3192.36</v>
      </c>
      <c r="CB15" s="209">
        <f t="shared" si="29"/>
        <v>3205.99</v>
      </c>
      <c r="CC15" s="209">
        <f t="shared" si="29"/>
        <v>3219.62</v>
      </c>
      <c r="CD15" s="209">
        <f t="shared" si="29"/>
        <v>3233.25</v>
      </c>
      <c r="CE15" s="209">
        <f t="shared" si="29"/>
        <v>3246.88</v>
      </c>
      <c r="CF15" s="209">
        <f t="shared" si="29"/>
        <v>3260.51</v>
      </c>
      <c r="CG15" s="209">
        <f t="shared" si="29"/>
        <v>3274.14</v>
      </c>
      <c r="CH15" s="209">
        <f t="shared" ref="CH15:CH20" si="30">ROUND(CG15+$I15,2)</f>
        <v>3287.77</v>
      </c>
      <c r="CI15" s="209">
        <f t="shared" ref="CI15:CI20" si="31">ROUND(CH15+$I15,2)</f>
        <v>3301.4</v>
      </c>
      <c r="CJ15" s="209">
        <f t="shared" ref="CJ15:CJ20" si="32">ROUND(CI15+$I15,2)</f>
        <v>3315.03</v>
      </c>
      <c r="CK15" s="209">
        <f t="shared" ref="CK15:CK20" si="33">ROUND(CJ15+$I15,2)</f>
        <v>3328.66</v>
      </c>
      <c r="CL15" s="209">
        <f t="shared" ref="CL15:CL20" si="34">ROUND(CK15+$I15,2)</f>
        <v>3342.29</v>
      </c>
      <c r="CM15" s="209">
        <f t="shared" ref="CM15:CM20" si="35">ROUND(CL15+$I15,2)</f>
        <v>3355.92</v>
      </c>
      <c r="CN15" s="209">
        <f t="shared" ref="CN15:CN20" si="36">ROUND(CM15+$I15,2)</f>
        <v>3369.55</v>
      </c>
      <c r="CO15" s="209">
        <f t="shared" ref="CO15:CO20" si="37">ROUND(CN15+$I15,2)</f>
        <v>3383.18</v>
      </c>
      <c r="CP15" s="209">
        <f t="shared" ref="CP15:CP20" si="38">ROUND(CO15+$I15,2)</f>
        <v>3396.81</v>
      </c>
      <c r="CQ15" s="209">
        <f t="shared" ref="CQ15:CQ20" si="39">ROUND(CP15+$I15,2)</f>
        <v>3410.44</v>
      </c>
      <c r="CR15" s="209">
        <f t="shared" ref="CR15:CR20" si="40">ROUND(CQ15+$I15,2)</f>
        <v>3424.07</v>
      </c>
    </row>
    <row r="16" spans="1:96" s="128" customFormat="1">
      <c r="A16" s="366" t="s">
        <v>43</v>
      </c>
      <c r="B16" s="321" t="s">
        <v>20</v>
      </c>
      <c r="C16" s="321" t="s">
        <v>42</v>
      </c>
      <c r="D16" s="321" t="s">
        <v>39</v>
      </c>
      <c r="E16" s="321" t="s">
        <v>23</v>
      </c>
      <c r="F16" s="325" t="s">
        <v>271</v>
      </c>
      <c r="G16" s="15">
        <v>6.4</v>
      </c>
      <c r="H16" s="39">
        <v>15.5</v>
      </c>
      <c r="I16" s="209">
        <f t="shared" si="13"/>
        <v>13.690000000000055</v>
      </c>
      <c r="J16" s="209">
        <v>2320.64</v>
      </c>
      <c r="K16" s="209">
        <v>2334.34</v>
      </c>
      <c r="L16" s="209">
        <v>2348.0300000000002</v>
      </c>
      <c r="M16" s="209">
        <v>2361.73</v>
      </c>
      <c r="N16" s="209">
        <v>2375.42</v>
      </c>
      <c r="O16" s="209">
        <v>2389.12</v>
      </c>
      <c r="P16" s="209">
        <v>2402.8200000000002</v>
      </c>
      <c r="Q16" s="209">
        <v>2416.5100000000002</v>
      </c>
      <c r="R16" s="209">
        <v>2430.21</v>
      </c>
      <c r="S16" s="209">
        <v>2443.9</v>
      </c>
      <c r="T16" s="209">
        <v>2457.6</v>
      </c>
      <c r="U16" s="209">
        <v>2471.3000000000002</v>
      </c>
      <c r="V16" s="209">
        <v>2484.9899999999998</v>
      </c>
      <c r="W16" s="209">
        <v>2498.69</v>
      </c>
      <c r="X16" s="209">
        <v>2512.38</v>
      </c>
      <c r="Y16" s="209">
        <v>2526.08</v>
      </c>
      <c r="Z16" s="209">
        <v>2539.7800000000002</v>
      </c>
      <c r="AA16" s="209">
        <v>2553.4699999999998</v>
      </c>
      <c r="AB16" s="209">
        <v>2567.1</v>
      </c>
      <c r="AC16" s="209">
        <v>2580.7399999999998</v>
      </c>
      <c r="AD16" s="209">
        <v>2594.37</v>
      </c>
      <c r="AE16" s="209">
        <v>2608</v>
      </c>
      <c r="AF16" s="209">
        <v>2621.7</v>
      </c>
      <c r="AG16" s="209">
        <v>2635.33</v>
      </c>
      <c r="AH16" s="209">
        <v>2648.96</v>
      </c>
      <c r="AI16" s="209">
        <v>2662.59</v>
      </c>
      <c r="AJ16" s="209">
        <v>2676.22</v>
      </c>
      <c r="AK16" s="209">
        <v>2689.92</v>
      </c>
      <c r="AL16" s="209">
        <v>2703.55</v>
      </c>
      <c r="AM16" s="209">
        <v>2717.18</v>
      </c>
      <c r="AN16" s="209">
        <v>2730.82</v>
      </c>
      <c r="AO16" s="209">
        <v>2744.51</v>
      </c>
      <c r="AP16" s="209">
        <v>2758.21</v>
      </c>
      <c r="AQ16" s="209">
        <v>2771.84</v>
      </c>
      <c r="AR16" s="209">
        <v>2785.47</v>
      </c>
      <c r="AS16" s="209">
        <v>2799.1</v>
      </c>
      <c r="AT16" s="209">
        <v>2812.74</v>
      </c>
      <c r="AU16" s="209">
        <v>2826.43</v>
      </c>
      <c r="AV16" s="209">
        <v>2840.06</v>
      </c>
      <c r="AW16" s="209">
        <v>2853.7</v>
      </c>
      <c r="AX16" s="209">
        <v>2867.33</v>
      </c>
      <c r="AY16" s="209">
        <v>2880.96</v>
      </c>
      <c r="AZ16" s="209">
        <v>2894.66</v>
      </c>
      <c r="BA16" s="209">
        <v>2908.29</v>
      </c>
      <c r="BB16" s="209">
        <v>2921.92</v>
      </c>
      <c r="BC16" s="209">
        <v>2935.55</v>
      </c>
      <c r="BD16" s="209">
        <v>2949.18</v>
      </c>
      <c r="BE16" s="209">
        <v>2962.88</v>
      </c>
      <c r="BF16" s="209">
        <v>2976.51</v>
      </c>
      <c r="BG16" s="209">
        <v>2990.14</v>
      </c>
      <c r="BH16" s="209">
        <v>3003.78</v>
      </c>
      <c r="BI16" s="209">
        <v>3017.41</v>
      </c>
      <c r="BJ16" s="209">
        <v>3031.1</v>
      </c>
      <c r="BK16" s="209">
        <v>3044.74</v>
      </c>
      <c r="BL16" s="209">
        <v>3058.37</v>
      </c>
      <c r="BM16" s="209">
        <v>3072</v>
      </c>
      <c r="BN16" s="209">
        <v>3085.63</v>
      </c>
      <c r="BO16" s="209">
        <f t="shared" ref="BO16:CG16" si="41">ROUND(BN16+$I16,2)</f>
        <v>3099.32</v>
      </c>
      <c r="BP16" s="209">
        <f t="shared" si="41"/>
        <v>3113.01</v>
      </c>
      <c r="BQ16" s="209">
        <f t="shared" si="41"/>
        <v>3126.7</v>
      </c>
      <c r="BR16" s="209">
        <f t="shared" si="41"/>
        <v>3140.39</v>
      </c>
      <c r="BS16" s="209">
        <f t="shared" si="41"/>
        <v>3154.08</v>
      </c>
      <c r="BT16" s="209">
        <f t="shared" si="41"/>
        <v>3167.77</v>
      </c>
      <c r="BU16" s="209">
        <f t="shared" si="41"/>
        <v>3181.46</v>
      </c>
      <c r="BV16" s="209">
        <f t="shared" si="41"/>
        <v>3195.15</v>
      </c>
      <c r="BW16" s="209">
        <f t="shared" si="41"/>
        <v>3208.84</v>
      </c>
      <c r="BX16" s="209">
        <f t="shared" si="41"/>
        <v>3222.53</v>
      </c>
      <c r="BY16" s="209">
        <f t="shared" si="41"/>
        <v>3236.22</v>
      </c>
      <c r="BZ16" s="209">
        <f t="shared" si="41"/>
        <v>3249.91</v>
      </c>
      <c r="CA16" s="209">
        <f t="shared" si="41"/>
        <v>3263.6</v>
      </c>
      <c r="CB16" s="209">
        <f t="shared" si="41"/>
        <v>3277.29</v>
      </c>
      <c r="CC16" s="209">
        <f t="shared" si="41"/>
        <v>3290.98</v>
      </c>
      <c r="CD16" s="209">
        <f t="shared" si="41"/>
        <v>3304.67</v>
      </c>
      <c r="CE16" s="209">
        <f t="shared" si="41"/>
        <v>3318.36</v>
      </c>
      <c r="CF16" s="209">
        <f t="shared" si="41"/>
        <v>3332.05</v>
      </c>
      <c r="CG16" s="209">
        <f t="shared" si="41"/>
        <v>3345.74</v>
      </c>
      <c r="CH16" s="209">
        <f t="shared" si="30"/>
        <v>3359.43</v>
      </c>
      <c r="CI16" s="209">
        <f t="shared" si="31"/>
        <v>3373.12</v>
      </c>
      <c r="CJ16" s="209">
        <f t="shared" si="32"/>
        <v>3386.81</v>
      </c>
      <c r="CK16" s="209">
        <f t="shared" si="33"/>
        <v>3400.5</v>
      </c>
      <c r="CL16" s="209">
        <f t="shared" si="34"/>
        <v>3414.19</v>
      </c>
      <c r="CM16" s="209">
        <f t="shared" si="35"/>
        <v>3427.88</v>
      </c>
      <c r="CN16" s="209">
        <f t="shared" si="36"/>
        <v>3441.57</v>
      </c>
      <c r="CO16" s="209">
        <f t="shared" si="37"/>
        <v>3455.26</v>
      </c>
      <c r="CP16" s="209">
        <f t="shared" si="38"/>
        <v>3468.95</v>
      </c>
      <c r="CQ16" s="209">
        <f t="shared" si="39"/>
        <v>3482.64</v>
      </c>
      <c r="CR16" s="209">
        <f t="shared" si="40"/>
        <v>3496.33</v>
      </c>
    </row>
    <row r="17" spans="1:96">
      <c r="A17" s="367" t="s">
        <v>232</v>
      </c>
      <c r="B17" s="40" t="s">
        <v>51</v>
      </c>
      <c r="C17" s="41" t="s">
        <v>42</v>
      </c>
      <c r="D17" s="41" t="s">
        <v>39</v>
      </c>
      <c r="E17" s="40" t="s">
        <v>23</v>
      </c>
      <c r="F17" s="324"/>
      <c r="G17" s="39">
        <v>6.4</v>
      </c>
      <c r="H17" s="39">
        <v>23</v>
      </c>
      <c r="I17" s="209">
        <f t="shared" si="13"/>
        <v>10.170000000000073</v>
      </c>
      <c r="J17" s="209">
        <v>1868.67</v>
      </c>
      <c r="K17" s="209">
        <v>1878.85</v>
      </c>
      <c r="L17" s="209">
        <v>1889.02</v>
      </c>
      <c r="M17" s="209">
        <v>1899.2</v>
      </c>
      <c r="N17" s="209">
        <v>1909.38</v>
      </c>
      <c r="O17" s="209">
        <v>1919.55</v>
      </c>
      <c r="P17" s="209">
        <v>1929.73</v>
      </c>
      <c r="Q17" s="209">
        <v>1939.9</v>
      </c>
      <c r="R17" s="209">
        <v>1950.08</v>
      </c>
      <c r="S17" s="209">
        <v>1960.26</v>
      </c>
      <c r="T17" s="209">
        <v>1970.43</v>
      </c>
      <c r="U17" s="209">
        <v>1980.61</v>
      </c>
      <c r="V17" s="209">
        <v>1990.78</v>
      </c>
      <c r="W17" s="209">
        <v>2000.96</v>
      </c>
      <c r="X17" s="209">
        <v>2011.14</v>
      </c>
      <c r="Y17" s="209">
        <v>2021.31</v>
      </c>
      <c r="Z17" s="209">
        <v>2031.49</v>
      </c>
      <c r="AA17" s="209">
        <v>2041.66</v>
      </c>
      <c r="AB17" s="209">
        <v>2051.84</v>
      </c>
      <c r="AC17" s="209">
        <v>2062.02</v>
      </c>
      <c r="AD17" s="209">
        <v>2072.19</v>
      </c>
      <c r="AE17" s="209">
        <v>2082.37</v>
      </c>
      <c r="AF17" s="209">
        <v>2092.61</v>
      </c>
      <c r="AG17" s="209">
        <v>2102.7800000000002</v>
      </c>
      <c r="AH17" s="209">
        <v>2112.96</v>
      </c>
      <c r="AI17" s="209">
        <v>2123.14</v>
      </c>
      <c r="AJ17" s="209">
        <v>2133.31</v>
      </c>
      <c r="AK17" s="209">
        <v>2143.4899999999998</v>
      </c>
      <c r="AL17" s="209">
        <v>2153.66</v>
      </c>
      <c r="AM17" s="209">
        <v>2163.84</v>
      </c>
      <c r="AN17" s="209">
        <v>2174.08</v>
      </c>
      <c r="AO17" s="209">
        <v>2184.2600000000002</v>
      </c>
      <c r="AP17" s="209">
        <v>2194.4299999999998</v>
      </c>
      <c r="AQ17" s="209">
        <v>2204.61</v>
      </c>
      <c r="AR17" s="209">
        <v>2214.7800000000002</v>
      </c>
      <c r="AS17" s="209">
        <v>2224.96</v>
      </c>
      <c r="AT17" s="209">
        <v>2235.14</v>
      </c>
      <c r="AU17" s="209">
        <v>2245.31</v>
      </c>
      <c r="AV17" s="209">
        <v>2255.4899999999998</v>
      </c>
      <c r="AW17" s="209">
        <v>2265.73</v>
      </c>
      <c r="AX17" s="209">
        <v>2275.9</v>
      </c>
      <c r="AY17" s="209">
        <v>2286.08</v>
      </c>
      <c r="AZ17" s="209">
        <v>2296.2600000000002</v>
      </c>
      <c r="BA17" s="209">
        <v>2306.4299999999998</v>
      </c>
      <c r="BB17" s="209">
        <v>2316.61</v>
      </c>
      <c r="BC17" s="209">
        <v>2326.7800000000002</v>
      </c>
      <c r="BD17" s="209">
        <v>2336.96</v>
      </c>
      <c r="BE17" s="209">
        <v>2347.1999999999998</v>
      </c>
      <c r="BF17" s="209">
        <v>2357.38</v>
      </c>
      <c r="BG17" s="209">
        <v>2367.5500000000002</v>
      </c>
      <c r="BH17" s="209">
        <v>2377.73</v>
      </c>
      <c r="BI17" s="209">
        <v>2387.9</v>
      </c>
      <c r="BJ17" s="209">
        <v>2398.08</v>
      </c>
      <c r="BK17" s="209">
        <v>2408.2600000000002</v>
      </c>
      <c r="BL17" s="209">
        <v>2418.4299999999998</v>
      </c>
      <c r="BM17" s="209">
        <v>2428.67</v>
      </c>
      <c r="BN17" s="209">
        <v>2438.85</v>
      </c>
      <c r="BO17" s="209">
        <f t="shared" ref="BO17:CG17" si="42">ROUND(BN17+$I17,2)</f>
        <v>2449.02</v>
      </c>
      <c r="BP17" s="209">
        <f t="shared" si="42"/>
        <v>2459.19</v>
      </c>
      <c r="BQ17" s="209">
        <f t="shared" si="42"/>
        <v>2469.36</v>
      </c>
      <c r="BR17" s="209">
        <f t="shared" si="42"/>
        <v>2479.5300000000002</v>
      </c>
      <c r="BS17" s="209">
        <f t="shared" si="42"/>
        <v>2489.6999999999998</v>
      </c>
      <c r="BT17" s="209">
        <f t="shared" si="42"/>
        <v>2499.87</v>
      </c>
      <c r="BU17" s="209">
        <f t="shared" si="42"/>
        <v>2510.04</v>
      </c>
      <c r="BV17" s="209">
        <f t="shared" si="42"/>
        <v>2520.21</v>
      </c>
      <c r="BW17" s="209">
        <f t="shared" si="42"/>
        <v>2530.38</v>
      </c>
      <c r="BX17" s="209">
        <f t="shared" si="42"/>
        <v>2540.5500000000002</v>
      </c>
      <c r="BY17" s="209">
        <f t="shared" si="42"/>
        <v>2550.7199999999998</v>
      </c>
      <c r="BZ17" s="209">
        <f t="shared" si="42"/>
        <v>2560.89</v>
      </c>
      <c r="CA17" s="209">
        <f t="shared" si="42"/>
        <v>2571.06</v>
      </c>
      <c r="CB17" s="209">
        <f t="shared" si="42"/>
        <v>2581.23</v>
      </c>
      <c r="CC17" s="209">
        <f t="shared" si="42"/>
        <v>2591.4</v>
      </c>
      <c r="CD17" s="209">
        <f t="shared" si="42"/>
        <v>2601.5700000000002</v>
      </c>
      <c r="CE17" s="209">
        <f t="shared" si="42"/>
        <v>2611.7399999999998</v>
      </c>
      <c r="CF17" s="209">
        <f t="shared" si="42"/>
        <v>2621.91</v>
      </c>
      <c r="CG17" s="209">
        <f t="shared" si="42"/>
        <v>2632.08</v>
      </c>
      <c r="CH17" s="209">
        <f t="shared" si="30"/>
        <v>2642.25</v>
      </c>
      <c r="CI17" s="209">
        <f t="shared" si="31"/>
        <v>2652.42</v>
      </c>
      <c r="CJ17" s="209">
        <f t="shared" si="32"/>
        <v>2662.59</v>
      </c>
      <c r="CK17" s="209">
        <f t="shared" si="33"/>
        <v>2672.76</v>
      </c>
      <c r="CL17" s="209">
        <f t="shared" si="34"/>
        <v>2682.93</v>
      </c>
      <c r="CM17" s="209">
        <f t="shared" si="35"/>
        <v>2693.1</v>
      </c>
      <c r="CN17" s="209">
        <f t="shared" si="36"/>
        <v>2703.27</v>
      </c>
      <c r="CO17" s="209">
        <f t="shared" si="37"/>
        <v>2713.44</v>
      </c>
      <c r="CP17" s="209">
        <f t="shared" si="38"/>
        <v>2723.61</v>
      </c>
      <c r="CQ17" s="209">
        <f t="shared" si="39"/>
        <v>2733.78</v>
      </c>
      <c r="CR17" s="209">
        <f t="shared" si="40"/>
        <v>2743.95</v>
      </c>
    </row>
    <row r="18" spans="1:96" s="128" customFormat="1">
      <c r="A18" s="366" t="s">
        <v>44</v>
      </c>
      <c r="B18" s="321" t="s">
        <v>20</v>
      </c>
      <c r="C18" s="321" t="s">
        <v>45</v>
      </c>
      <c r="D18" s="321" t="s">
        <v>31</v>
      </c>
      <c r="E18" s="321" t="s">
        <v>23</v>
      </c>
      <c r="F18" s="325" t="s">
        <v>272</v>
      </c>
      <c r="G18" s="15">
        <v>6.4</v>
      </c>
      <c r="H18" s="39">
        <v>13.9</v>
      </c>
      <c r="I18" s="209">
        <f t="shared" si="13"/>
        <v>6.5299999999999727</v>
      </c>
      <c r="J18" s="209">
        <v>935.49</v>
      </c>
      <c r="K18" s="209">
        <v>942.02</v>
      </c>
      <c r="L18" s="209">
        <v>948.54</v>
      </c>
      <c r="M18" s="209">
        <v>955.07</v>
      </c>
      <c r="N18" s="209">
        <v>961.6</v>
      </c>
      <c r="O18" s="209">
        <v>968.13</v>
      </c>
      <c r="P18" s="209">
        <v>974.66</v>
      </c>
      <c r="Q18" s="209">
        <v>981.18</v>
      </c>
      <c r="R18" s="209">
        <v>987.71</v>
      </c>
      <c r="S18" s="209">
        <v>994.24</v>
      </c>
      <c r="T18" s="209">
        <v>1000.77</v>
      </c>
      <c r="U18" s="209">
        <v>1007.3</v>
      </c>
      <c r="V18" s="209">
        <v>1013.82</v>
      </c>
      <c r="W18" s="209">
        <v>1020.35</v>
      </c>
      <c r="X18" s="209">
        <v>1026.8800000000001</v>
      </c>
      <c r="Y18" s="209">
        <v>1033.4100000000001</v>
      </c>
      <c r="Z18" s="209">
        <v>1039.94</v>
      </c>
      <c r="AA18" s="209">
        <v>1046.46</v>
      </c>
      <c r="AB18" s="209">
        <v>1052.99</v>
      </c>
      <c r="AC18" s="209">
        <v>1059.52</v>
      </c>
      <c r="AD18" s="209">
        <v>1066.05</v>
      </c>
      <c r="AE18" s="209">
        <v>1072.58</v>
      </c>
      <c r="AF18" s="209">
        <v>1079.04</v>
      </c>
      <c r="AG18" s="209">
        <v>1085.57</v>
      </c>
      <c r="AH18" s="209">
        <v>1092.0999999999999</v>
      </c>
      <c r="AI18" s="209">
        <v>1098.6199999999999</v>
      </c>
      <c r="AJ18" s="209">
        <v>1105.1500000000001</v>
      </c>
      <c r="AK18" s="209">
        <v>1111.6199999999999</v>
      </c>
      <c r="AL18" s="209">
        <v>1118.1400000000001</v>
      </c>
      <c r="AM18" s="209">
        <v>1124.67</v>
      </c>
      <c r="AN18" s="209">
        <v>1131.2</v>
      </c>
      <c r="AO18" s="209">
        <v>1137.73</v>
      </c>
      <c r="AP18" s="209">
        <v>1144.26</v>
      </c>
      <c r="AQ18" s="209">
        <v>1150.78</v>
      </c>
      <c r="AR18" s="209">
        <v>1157.25</v>
      </c>
      <c r="AS18" s="209">
        <v>1163.78</v>
      </c>
      <c r="AT18" s="209">
        <v>1170.3</v>
      </c>
      <c r="AU18" s="209">
        <v>1176.83</v>
      </c>
      <c r="AV18" s="209">
        <v>1183.3599999999999</v>
      </c>
      <c r="AW18" s="209">
        <v>1189.8900000000001</v>
      </c>
      <c r="AX18" s="209">
        <v>1196.42</v>
      </c>
      <c r="AY18" s="209">
        <v>1202.94</v>
      </c>
      <c r="AZ18" s="209">
        <v>1209.47</v>
      </c>
      <c r="BA18" s="209">
        <v>1216</v>
      </c>
      <c r="BB18" s="209">
        <v>1222.53</v>
      </c>
      <c r="BC18" s="209">
        <v>1229.06</v>
      </c>
      <c r="BD18" s="209">
        <v>1235.58</v>
      </c>
      <c r="BE18" s="209">
        <v>1242.05</v>
      </c>
      <c r="BF18" s="209">
        <v>1248.58</v>
      </c>
      <c r="BG18" s="209">
        <v>1255.0999999999999</v>
      </c>
      <c r="BH18" s="209">
        <v>1261.6300000000001</v>
      </c>
      <c r="BI18" s="209">
        <v>1268.1600000000001</v>
      </c>
      <c r="BJ18" s="209">
        <v>1274.69</v>
      </c>
      <c r="BK18" s="209">
        <v>1281.22</v>
      </c>
      <c r="BL18" s="209">
        <v>1287.74</v>
      </c>
      <c r="BM18" s="209">
        <v>1294.27</v>
      </c>
      <c r="BN18" s="209">
        <v>1300.8</v>
      </c>
      <c r="BO18" s="209">
        <f t="shared" ref="BO18:CG18" si="43">ROUND(BN18+$I18,2)</f>
        <v>1307.33</v>
      </c>
      <c r="BP18" s="209">
        <f t="shared" si="43"/>
        <v>1313.86</v>
      </c>
      <c r="BQ18" s="209">
        <f t="shared" si="43"/>
        <v>1320.39</v>
      </c>
      <c r="BR18" s="209">
        <f t="shared" si="43"/>
        <v>1326.92</v>
      </c>
      <c r="BS18" s="209">
        <f t="shared" si="43"/>
        <v>1333.45</v>
      </c>
      <c r="BT18" s="209">
        <f t="shared" si="43"/>
        <v>1339.98</v>
      </c>
      <c r="BU18" s="209">
        <f t="shared" si="43"/>
        <v>1346.51</v>
      </c>
      <c r="BV18" s="209">
        <f t="shared" si="43"/>
        <v>1353.04</v>
      </c>
      <c r="BW18" s="209">
        <f t="shared" si="43"/>
        <v>1359.57</v>
      </c>
      <c r="BX18" s="209">
        <f t="shared" si="43"/>
        <v>1366.1</v>
      </c>
      <c r="BY18" s="209">
        <f t="shared" si="43"/>
        <v>1372.63</v>
      </c>
      <c r="BZ18" s="209">
        <f t="shared" si="43"/>
        <v>1379.16</v>
      </c>
      <c r="CA18" s="209">
        <f t="shared" si="43"/>
        <v>1385.69</v>
      </c>
      <c r="CB18" s="209">
        <f t="shared" si="43"/>
        <v>1392.22</v>
      </c>
      <c r="CC18" s="209">
        <f t="shared" si="43"/>
        <v>1398.75</v>
      </c>
      <c r="CD18" s="209">
        <f t="shared" si="43"/>
        <v>1405.28</v>
      </c>
      <c r="CE18" s="209">
        <f t="shared" si="43"/>
        <v>1411.81</v>
      </c>
      <c r="CF18" s="209">
        <f t="shared" si="43"/>
        <v>1418.34</v>
      </c>
      <c r="CG18" s="209">
        <f t="shared" si="43"/>
        <v>1424.87</v>
      </c>
      <c r="CH18" s="209">
        <f t="shared" si="30"/>
        <v>1431.4</v>
      </c>
      <c r="CI18" s="209">
        <f t="shared" si="31"/>
        <v>1437.93</v>
      </c>
      <c r="CJ18" s="209">
        <f t="shared" si="32"/>
        <v>1444.46</v>
      </c>
      <c r="CK18" s="209">
        <f t="shared" si="33"/>
        <v>1450.99</v>
      </c>
      <c r="CL18" s="209">
        <f t="shared" si="34"/>
        <v>1457.52</v>
      </c>
      <c r="CM18" s="209">
        <f t="shared" si="35"/>
        <v>1464.05</v>
      </c>
      <c r="CN18" s="209">
        <f t="shared" si="36"/>
        <v>1470.58</v>
      </c>
      <c r="CO18" s="209">
        <f t="shared" si="37"/>
        <v>1477.11</v>
      </c>
      <c r="CP18" s="209">
        <f t="shared" si="38"/>
        <v>1483.64</v>
      </c>
      <c r="CQ18" s="209">
        <f t="shared" si="39"/>
        <v>1490.17</v>
      </c>
      <c r="CR18" s="209">
        <f t="shared" si="40"/>
        <v>1496.7</v>
      </c>
    </row>
    <row r="19" spans="1:96" s="128" customFormat="1">
      <c r="A19" s="266" t="s">
        <v>44</v>
      </c>
      <c r="B19" s="40" t="s">
        <v>20</v>
      </c>
      <c r="C19" s="40" t="s">
        <v>45</v>
      </c>
      <c r="D19" s="40" t="s">
        <v>31</v>
      </c>
      <c r="E19" s="40" t="s">
        <v>273</v>
      </c>
      <c r="F19" s="324"/>
      <c r="G19" s="15">
        <v>6.4</v>
      </c>
      <c r="H19" s="39">
        <v>13.9</v>
      </c>
      <c r="I19" s="209">
        <f t="shared" si="13"/>
        <v>6.5299999999999727</v>
      </c>
      <c r="J19" s="209">
        <v>962.11</v>
      </c>
      <c r="K19" s="209">
        <v>968.64</v>
      </c>
      <c r="L19" s="209">
        <v>975.17</v>
      </c>
      <c r="M19" s="209">
        <v>981.7</v>
      </c>
      <c r="N19" s="209">
        <v>988.22</v>
      </c>
      <c r="O19" s="209">
        <v>994.75</v>
      </c>
      <c r="P19" s="209">
        <v>1001.28</v>
      </c>
      <c r="Q19" s="209">
        <v>1007.81</v>
      </c>
      <c r="R19" s="209">
        <v>1014.34</v>
      </c>
      <c r="S19" s="209">
        <v>1020.86</v>
      </c>
      <c r="T19" s="209">
        <v>1027.3900000000001</v>
      </c>
      <c r="U19" s="209">
        <v>1033.92</v>
      </c>
      <c r="V19" s="209">
        <v>1040.45</v>
      </c>
      <c r="W19" s="209">
        <v>1046.98</v>
      </c>
      <c r="X19" s="209">
        <v>1053.5</v>
      </c>
      <c r="Y19" s="209">
        <v>1060.03</v>
      </c>
      <c r="Z19" s="209">
        <v>1066.56</v>
      </c>
      <c r="AA19" s="209">
        <v>1073.0899999999999</v>
      </c>
      <c r="AB19" s="209">
        <v>1079.6199999999999</v>
      </c>
      <c r="AC19" s="209">
        <v>1086.1400000000001</v>
      </c>
      <c r="AD19" s="209">
        <v>1092.67</v>
      </c>
      <c r="AE19" s="209">
        <v>1099.2</v>
      </c>
      <c r="AF19" s="209">
        <v>1105.6600000000001</v>
      </c>
      <c r="AG19" s="209">
        <v>1112.19</v>
      </c>
      <c r="AH19" s="209">
        <v>1118.72</v>
      </c>
      <c r="AI19" s="209">
        <v>1125.25</v>
      </c>
      <c r="AJ19" s="209">
        <v>1131.78</v>
      </c>
      <c r="AK19" s="209">
        <v>1138.24</v>
      </c>
      <c r="AL19" s="209">
        <v>1144.77</v>
      </c>
      <c r="AM19" s="209">
        <v>1151.3</v>
      </c>
      <c r="AN19" s="209">
        <v>1157.82</v>
      </c>
      <c r="AO19" s="209">
        <v>1164.3499999999999</v>
      </c>
      <c r="AP19" s="209">
        <v>1170.8800000000001</v>
      </c>
      <c r="AQ19" s="209">
        <v>1177.4100000000001</v>
      </c>
      <c r="AR19" s="209">
        <v>1183.8699999999999</v>
      </c>
      <c r="AS19" s="209">
        <v>1190.4000000000001</v>
      </c>
      <c r="AT19" s="209">
        <v>1196.93</v>
      </c>
      <c r="AU19" s="209">
        <v>1203.46</v>
      </c>
      <c r="AV19" s="209">
        <v>1209.98</v>
      </c>
      <c r="AW19" s="209">
        <v>1216.51</v>
      </c>
      <c r="AX19" s="209">
        <v>1223.04</v>
      </c>
      <c r="AY19" s="209">
        <v>1229.57</v>
      </c>
      <c r="AZ19" s="209">
        <v>1236.0999999999999</v>
      </c>
      <c r="BA19" s="209">
        <v>1242.6199999999999</v>
      </c>
      <c r="BB19" s="209">
        <v>1249.1500000000001</v>
      </c>
      <c r="BC19" s="209">
        <v>1255.68</v>
      </c>
      <c r="BD19" s="209">
        <v>1262.21</v>
      </c>
      <c r="BE19" s="209">
        <v>1268.67</v>
      </c>
      <c r="BF19" s="209">
        <v>1275.2</v>
      </c>
      <c r="BG19" s="209">
        <v>1281.73</v>
      </c>
      <c r="BH19" s="209">
        <v>1288.26</v>
      </c>
      <c r="BI19" s="209">
        <v>1294.78</v>
      </c>
      <c r="BJ19" s="209">
        <v>1301.31</v>
      </c>
      <c r="BK19" s="209">
        <v>1307.8399999999999</v>
      </c>
      <c r="BL19" s="209">
        <v>1314.37</v>
      </c>
      <c r="BM19" s="209">
        <v>1320.9</v>
      </c>
      <c r="BN19" s="209">
        <v>1327.42</v>
      </c>
      <c r="BO19" s="209">
        <f t="shared" ref="BO19:CG19" si="44">ROUND(BN19+$I19,2)</f>
        <v>1333.95</v>
      </c>
      <c r="BP19" s="209">
        <f t="shared" si="44"/>
        <v>1340.48</v>
      </c>
      <c r="BQ19" s="209">
        <f t="shared" si="44"/>
        <v>1347.01</v>
      </c>
      <c r="BR19" s="209">
        <f t="shared" si="44"/>
        <v>1353.54</v>
      </c>
      <c r="BS19" s="209">
        <f t="shared" si="44"/>
        <v>1360.07</v>
      </c>
      <c r="BT19" s="209">
        <f t="shared" si="44"/>
        <v>1366.6</v>
      </c>
      <c r="BU19" s="209">
        <f t="shared" si="44"/>
        <v>1373.13</v>
      </c>
      <c r="BV19" s="209">
        <f t="shared" si="44"/>
        <v>1379.66</v>
      </c>
      <c r="BW19" s="209">
        <f t="shared" si="44"/>
        <v>1386.19</v>
      </c>
      <c r="BX19" s="209">
        <f t="shared" si="44"/>
        <v>1392.72</v>
      </c>
      <c r="BY19" s="209">
        <f t="shared" si="44"/>
        <v>1399.25</v>
      </c>
      <c r="BZ19" s="209">
        <f t="shared" si="44"/>
        <v>1405.78</v>
      </c>
      <c r="CA19" s="209">
        <f t="shared" si="44"/>
        <v>1412.31</v>
      </c>
      <c r="CB19" s="209">
        <f t="shared" si="44"/>
        <v>1418.84</v>
      </c>
      <c r="CC19" s="209">
        <f t="shared" si="44"/>
        <v>1425.37</v>
      </c>
      <c r="CD19" s="209">
        <f t="shared" si="44"/>
        <v>1431.9</v>
      </c>
      <c r="CE19" s="209">
        <f t="shared" si="44"/>
        <v>1438.43</v>
      </c>
      <c r="CF19" s="209">
        <f t="shared" si="44"/>
        <v>1444.96</v>
      </c>
      <c r="CG19" s="209">
        <f t="shared" si="44"/>
        <v>1451.49</v>
      </c>
      <c r="CH19" s="209">
        <f t="shared" si="30"/>
        <v>1458.02</v>
      </c>
      <c r="CI19" s="209">
        <f t="shared" si="31"/>
        <v>1464.55</v>
      </c>
      <c r="CJ19" s="209">
        <f t="shared" si="32"/>
        <v>1471.08</v>
      </c>
      <c r="CK19" s="209">
        <f t="shared" si="33"/>
        <v>1477.61</v>
      </c>
      <c r="CL19" s="209">
        <f t="shared" si="34"/>
        <v>1484.14</v>
      </c>
      <c r="CM19" s="209">
        <f t="shared" si="35"/>
        <v>1490.67</v>
      </c>
      <c r="CN19" s="209">
        <f t="shared" si="36"/>
        <v>1497.2</v>
      </c>
      <c r="CO19" s="209">
        <f t="shared" si="37"/>
        <v>1503.73</v>
      </c>
      <c r="CP19" s="209">
        <f t="shared" si="38"/>
        <v>1510.26</v>
      </c>
      <c r="CQ19" s="209">
        <f t="shared" si="39"/>
        <v>1516.79</v>
      </c>
      <c r="CR19" s="209">
        <f t="shared" si="40"/>
        <v>1523.32</v>
      </c>
    </row>
    <row r="20" spans="1:96" s="205" customFormat="1">
      <c r="A20" s="366" t="s">
        <v>47</v>
      </c>
      <c r="B20" s="321" t="s">
        <v>20</v>
      </c>
      <c r="C20" s="321" t="s">
        <v>45</v>
      </c>
      <c r="D20" s="321" t="s">
        <v>39</v>
      </c>
      <c r="E20" s="321" t="s">
        <v>23</v>
      </c>
      <c r="F20" s="325" t="s">
        <v>274</v>
      </c>
      <c r="G20" s="15">
        <v>6.4</v>
      </c>
      <c r="H20" s="39">
        <v>13.9</v>
      </c>
      <c r="I20" s="209">
        <f t="shared" si="13"/>
        <v>6.5299999999999727</v>
      </c>
      <c r="J20" s="209">
        <v>991.36</v>
      </c>
      <c r="K20" s="209">
        <v>997.82</v>
      </c>
      <c r="L20" s="209">
        <v>1004.29</v>
      </c>
      <c r="M20" s="209">
        <v>1010.75</v>
      </c>
      <c r="N20" s="209">
        <v>1017.22</v>
      </c>
      <c r="O20" s="209">
        <v>1023.68</v>
      </c>
      <c r="P20" s="209">
        <v>1030.1400000000001</v>
      </c>
      <c r="Q20" s="209">
        <v>1036.6099999999999</v>
      </c>
      <c r="R20" s="209">
        <v>1043.07</v>
      </c>
      <c r="S20" s="209">
        <v>1049.54</v>
      </c>
      <c r="T20" s="209">
        <v>1056</v>
      </c>
      <c r="U20" s="209">
        <v>1062.46</v>
      </c>
      <c r="V20" s="209">
        <v>1068.93</v>
      </c>
      <c r="W20" s="209">
        <v>1075.3900000000001</v>
      </c>
      <c r="X20" s="209">
        <v>1081.8599999999999</v>
      </c>
      <c r="Y20" s="209">
        <v>1088.32</v>
      </c>
      <c r="Z20" s="209">
        <v>1094.78</v>
      </c>
      <c r="AA20" s="209">
        <v>1101.25</v>
      </c>
      <c r="AB20" s="209">
        <v>1107.78</v>
      </c>
      <c r="AC20" s="209">
        <v>1114.3</v>
      </c>
      <c r="AD20" s="209">
        <v>1120.83</v>
      </c>
      <c r="AE20" s="209">
        <v>1127.3</v>
      </c>
      <c r="AF20" s="209">
        <v>1133.82</v>
      </c>
      <c r="AG20" s="209">
        <v>1140.3499999999999</v>
      </c>
      <c r="AH20" s="209">
        <v>1146.8800000000001</v>
      </c>
      <c r="AI20" s="209">
        <v>1153.4100000000001</v>
      </c>
      <c r="AJ20" s="209">
        <v>1159.94</v>
      </c>
      <c r="AK20" s="209">
        <v>1166.46</v>
      </c>
      <c r="AL20" s="209">
        <v>1172.99</v>
      </c>
      <c r="AM20" s="209">
        <v>1179.46</v>
      </c>
      <c r="AN20" s="209">
        <v>1185.98</v>
      </c>
      <c r="AO20" s="209">
        <v>1192.51</v>
      </c>
      <c r="AP20" s="209">
        <v>1199.04</v>
      </c>
      <c r="AQ20" s="209">
        <v>1205.5</v>
      </c>
      <c r="AR20" s="209">
        <v>1212.03</v>
      </c>
      <c r="AS20" s="209">
        <v>1218.56</v>
      </c>
      <c r="AT20" s="209">
        <v>1225.0899999999999</v>
      </c>
      <c r="AU20" s="209">
        <v>1231.6199999999999</v>
      </c>
      <c r="AV20" s="209">
        <v>1238.1400000000001</v>
      </c>
      <c r="AW20" s="209">
        <v>1244.67</v>
      </c>
      <c r="AX20" s="209">
        <v>1251.2</v>
      </c>
      <c r="AY20" s="209">
        <v>1257.73</v>
      </c>
      <c r="AZ20" s="209">
        <v>1264.26</v>
      </c>
      <c r="BA20" s="209">
        <v>1270.78</v>
      </c>
      <c r="BB20" s="209">
        <v>1277.31</v>
      </c>
      <c r="BC20" s="209">
        <v>1283.8399999999999</v>
      </c>
      <c r="BD20" s="209">
        <v>1290.3</v>
      </c>
      <c r="BE20" s="209">
        <v>1296.83</v>
      </c>
      <c r="BF20" s="209">
        <v>1303.3599999999999</v>
      </c>
      <c r="BG20" s="209">
        <v>1309.8900000000001</v>
      </c>
      <c r="BH20" s="209">
        <v>1316.42</v>
      </c>
      <c r="BI20" s="209">
        <v>1322.94</v>
      </c>
      <c r="BJ20" s="209">
        <v>1329.47</v>
      </c>
      <c r="BK20" s="209">
        <v>1336</v>
      </c>
      <c r="BL20" s="209">
        <v>1342.53</v>
      </c>
      <c r="BM20" s="209">
        <v>1349.06</v>
      </c>
      <c r="BN20" s="209">
        <v>1355.58</v>
      </c>
      <c r="BO20" s="209">
        <f t="shared" ref="BO20:CG20" si="45">ROUND(BN20+$I20,2)</f>
        <v>1362.11</v>
      </c>
      <c r="BP20" s="209">
        <f t="shared" si="45"/>
        <v>1368.64</v>
      </c>
      <c r="BQ20" s="209">
        <f t="shared" si="45"/>
        <v>1375.17</v>
      </c>
      <c r="BR20" s="209">
        <f t="shared" si="45"/>
        <v>1381.7</v>
      </c>
      <c r="BS20" s="209">
        <f t="shared" si="45"/>
        <v>1388.23</v>
      </c>
      <c r="BT20" s="209">
        <f t="shared" si="45"/>
        <v>1394.76</v>
      </c>
      <c r="BU20" s="209">
        <f t="shared" si="45"/>
        <v>1401.29</v>
      </c>
      <c r="BV20" s="209">
        <f t="shared" si="45"/>
        <v>1407.82</v>
      </c>
      <c r="BW20" s="209">
        <f t="shared" si="45"/>
        <v>1414.35</v>
      </c>
      <c r="BX20" s="209">
        <f t="shared" si="45"/>
        <v>1420.88</v>
      </c>
      <c r="BY20" s="209">
        <f t="shared" si="45"/>
        <v>1427.41</v>
      </c>
      <c r="BZ20" s="209">
        <f t="shared" si="45"/>
        <v>1433.94</v>
      </c>
      <c r="CA20" s="209">
        <f t="shared" si="45"/>
        <v>1440.47</v>
      </c>
      <c r="CB20" s="209">
        <f t="shared" si="45"/>
        <v>1447</v>
      </c>
      <c r="CC20" s="209">
        <f t="shared" si="45"/>
        <v>1453.53</v>
      </c>
      <c r="CD20" s="209">
        <f t="shared" si="45"/>
        <v>1460.06</v>
      </c>
      <c r="CE20" s="209">
        <f t="shared" si="45"/>
        <v>1466.59</v>
      </c>
      <c r="CF20" s="209">
        <f t="shared" si="45"/>
        <v>1473.12</v>
      </c>
      <c r="CG20" s="209">
        <f t="shared" si="45"/>
        <v>1479.65</v>
      </c>
      <c r="CH20" s="209">
        <f t="shared" si="30"/>
        <v>1486.18</v>
      </c>
      <c r="CI20" s="209">
        <f t="shared" si="31"/>
        <v>1492.71</v>
      </c>
      <c r="CJ20" s="209">
        <f t="shared" si="32"/>
        <v>1499.24</v>
      </c>
      <c r="CK20" s="209">
        <f t="shared" si="33"/>
        <v>1505.77</v>
      </c>
      <c r="CL20" s="209">
        <f t="shared" si="34"/>
        <v>1512.3</v>
      </c>
      <c r="CM20" s="209">
        <f t="shared" si="35"/>
        <v>1518.83</v>
      </c>
      <c r="CN20" s="209">
        <f t="shared" si="36"/>
        <v>1525.36</v>
      </c>
      <c r="CO20" s="209">
        <f t="shared" si="37"/>
        <v>1531.89</v>
      </c>
      <c r="CP20" s="209">
        <f t="shared" si="38"/>
        <v>1538.42</v>
      </c>
      <c r="CQ20" s="209">
        <f t="shared" si="39"/>
        <v>1544.95</v>
      </c>
      <c r="CR20" s="209">
        <f t="shared" si="40"/>
        <v>1551.48</v>
      </c>
    </row>
    <row r="21" spans="1:96" s="128" customFormat="1">
      <c r="A21" s="364" t="s">
        <v>47</v>
      </c>
      <c r="B21" s="36" t="s">
        <v>20</v>
      </c>
      <c r="C21" s="36" t="s">
        <v>45</v>
      </c>
      <c r="D21" s="36" t="s">
        <v>25</v>
      </c>
      <c r="E21" s="36" t="s">
        <v>23</v>
      </c>
      <c r="F21" s="322"/>
      <c r="G21" s="20">
        <v>6.4</v>
      </c>
      <c r="H21" s="37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  <c r="AW21" s="208"/>
      <c r="AX21" s="208"/>
      <c r="AY21" s="208"/>
      <c r="AZ21" s="208"/>
      <c r="BA21" s="208"/>
      <c r="BB21" s="208"/>
      <c r="BC21" s="208"/>
      <c r="BD21" s="208"/>
      <c r="BE21" s="208"/>
      <c r="BF21" s="208"/>
      <c r="BG21" s="208"/>
      <c r="BH21" s="208"/>
      <c r="BI21" s="208"/>
      <c r="BJ21" s="208"/>
      <c r="BK21" s="208"/>
      <c r="BL21" s="208"/>
      <c r="BM21" s="208"/>
      <c r="BN21" s="208"/>
      <c r="BO21" s="208"/>
      <c r="BP21" s="208"/>
      <c r="BQ21" s="208"/>
      <c r="BR21" s="208"/>
      <c r="BS21" s="208"/>
      <c r="BT21" s="208"/>
      <c r="BU21" s="208"/>
      <c r="BV21" s="208"/>
      <c r="BW21" s="208"/>
      <c r="BX21" s="208"/>
      <c r="BY21" s="208"/>
      <c r="BZ21" s="208"/>
      <c r="CA21" s="208"/>
      <c r="CB21" s="208"/>
      <c r="CC21" s="208"/>
      <c r="CD21" s="208"/>
      <c r="CE21" s="208"/>
      <c r="CF21" s="208"/>
      <c r="CG21" s="208"/>
      <c r="CH21" s="208"/>
      <c r="CI21" s="208"/>
      <c r="CJ21" s="208"/>
      <c r="CK21" s="208"/>
      <c r="CL21" s="208"/>
      <c r="CM21" s="208"/>
      <c r="CN21" s="208"/>
      <c r="CO21" s="208"/>
      <c r="CP21" s="208"/>
      <c r="CQ21" s="208"/>
      <c r="CR21" s="208"/>
    </row>
    <row r="22" spans="1:96" s="128" customFormat="1">
      <c r="A22" s="364" t="s">
        <v>47</v>
      </c>
      <c r="B22" s="36" t="s">
        <v>20</v>
      </c>
      <c r="C22" s="36" t="s">
        <v>45</v>
      </c>
      <c r="D22" s="36" t="s">
        <v>48</v>
      </c>
      <c r="E22" s="36" t="s">
        <v>23</v>
      </c>
      <c r="F22" s="322"/>
      <c r="G22" s="20">
        <v>6.4</v>
      </c>
      <c r="H22" s="37"/>
      <c r="I22" s="208"/>
      <c r="J22" s="208"/>
      <c r="K22" s="208"/>
      <c r="L22" s="208"/>
      <c r="M22" s="208"/>
      <c r="N22" s="208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  <c r="AW22" s="208"/>
      <c r="AX22" s="208"/>
      <c r="AY22" s="208"/>
      <c r="AZ22" s="208"/>
      <c r="BA22" s="208"/>
      <c r="BB22" s="208"/>
      <c r="BC22" s="208"/>
      <c r="BD22" s="208"/>
      <c r="BE22" s="208"/>
      <c r="BF22" s="208"/>
      <c r="BG22" s="208"/>
      <c r="BH22" s="208"/>
      <c r="BI22" s="208"/>
      <c r="BJ22" s="208"/>
      <c r="BK22" s="208"/>
      <c r="BL22" s="208"/>
      <c r="BM22" s="208"/>
      <c r="BN22" s="208"/>
      <c r="BO22" s="208"/>
      <c r="BP22" s="208"/>
      <c r="BQ22" s="208"/>
      <c r="BR22" s="208"/>
      <c r="BS22" s="208"/>
      <c r="BT22" s="208"/>
      <c r="BU22" s="208"/>
      <c r="BV22" s="208"/>
      <c r="BW22" s="208"/>
      <c r="BX22" s="208"/>
      <c r="BY22" s="208"/>
      <c r="BZ22" s="208"/>
      <c r="CA22" s="208"/>
      <c r="CB22" s="208"/>
      <c r="CC22" s="208"/>
      <c r="CD22" s="208"/>
      <c r="CE22" s="208"/>
      <c r="CF22" s="208"/>
      <c r="CG22" s="208"/>
      <c r="CH22" s="208"/>
      <c r="CI22" s="208"/>
      <c r="CJ22" s="208"/>
      <c r="CK22" s="208"/>
      <c r="CL22" s="208"/>
      <c r="CM22" s="208"/>
      <c r="CN22" s="208"/>
      <c r="CO22" s="208"/>
      <c r="CP22" s="208"/>
      <c r="CQ22" s="208"/>
      <c r="CR22" s="208"/>
    </row>
    <row r="23" spans="1:96" s="205" customFormat="1">
      <c r="A23" s="266" t="s">
        <v>49</v>
      </c>
      <c r="B23" s="40" t="s">
        <v>20</v>
      </c>
      <c r="C23" s="40" t="s">
        <v>45</v>
      </c>
      <c r="D23" s="40" t="s">
        <v>27</v>
      </c>
      <c r="E23" s="40" t="s">
        <v>23</v>
      </c>
      <c r="F23" s="324"/>
      <c r="G23" s="15">
        <v>6.4</v>
      </c>
      <c r="H23" s="39">
        <v>13.9</v>
      </c>
      <c r="I23" s="209">
        <f t="shared" si="13"/>
        <v>6.5299999999999727</v>
      </c>
      <c r="J23" s="209">
        <v>991.36</v>
      </c>
      <c r="K23" s="209">
        <v>997.82</v>
      </c>
      <c r="L23" s="209">
        <v>1004.29</v>
      </c>
      <c r="M23" s="209">
        <v>1010.75</v>
      </c>
      <c r="N23" s="209">
        <v>1017.22</v>
      </c>
      <c r="O23" s="209">
        <v>1023.68</v>
      </c>
      <c r="P23" s="209">
        <v>1030.1400000000001</v>
      </c>
      <c r="Q23" s="209">
        <v>1036.6099999999999</v>
      </c>
      <c r="R23" s="209">
        <v>1043.07</v>
      </c>
      <c r="S23" s="209">
        <v>1049.54</v>
      </c>
      <c r="T23" s="209">
        <v>1056</v>
      </c>
      <c r="U23" s="209">
        <v>1062.46</v>
      </c>
      <c r="V23" s="209">
        <v>1068.93</v>
      </c>
      <c r="W23" s="209">
        <v>1075.3900000000001</v>
      </c>
      <c r="X23" s="209">
        <v>1081.8599999999999</v>
      </c>
      <c r="Y23" s="209">
        <v>1088.32</v>
      </c>
      <c r="Z23" s="209">
        <v>1094.78</v>
      </c>
      <c r="AA23" s="209">
        <v>1101.25</v>
      </c>
      <c r="AB23" s="209">
        <v>1107.78</v>
      </c>
      <c r="AC23" s="209">
        <v>1114.3</v>
      </c>
      <c r="AD23" s="209">
        <v>1120.83</v>
      </c>
      <c r="AE23" s="209">
        <v>1127.3</v>
      </c>
      <c r="AF23" s="209">
        <v>1133.82</v>
      </c>
      <c r="AG23" s="209">
        <v>1140.3499999999999</v>
      </c>
      <c r="AH23" s="209">
        <v>1146.8800000000001</v>
      </c>
      <c r="AI23" s="209">
        <v>1153.4100000000001</v>
      </c>
      <c r="AJ23" s="209">
        <v>1159.94</v>
      </c>
      <c r="AK23" s="209">
        <v>1166.46</v>
      </c>
      <c r="AL23" s="209">
        <v>1172.99</v>
      </c>
      <c r="AM23" s="209">
        <v>1179.46</v>
      </c>
      <c r="AN23" s="209">
        <v>1185.98</v>
      </c>
      <c r="AO23" s="209">
        <v>1192.51</v>
      </c>
      <c r="AP23" s="209">
        <v>1199.04</v>
      </c>
      <c r="AQ23" s="209">
        <v>1205.5</v>
      </c>
      <c r="AR23" s="209">
        <v>1212.03</v>
      </c>
      <c r="AS23" s="209">
        <v>1218.56</v>
      </c>
      <c r="AT23" s="209">
        <v>1225.0899999999999</v>
      </c>
      <c r="AU23" s="209">
        <v>1231.6199999999999</v>
      </c>
      <c r="AV23" s="209">
        <v>1238.1400000000001</v>
      </c>
      <c r="AW23" s="209">
        <v>1244.67</v>
      </c>
      <c r="AX23" s="209">
        <v>1251.2</v>
      </c>
      <c r="AY23" s="209">
        <v>1257.73</v>
      </c>
      <c r="AZ23" s="209">
        <v>1264.26</v>
      </c>
      <c r="BA23" s="209">
        <v>1270.78</v>
      </c>
      <c r="BB23" s="209">
        <v>1277.31</v>
      </c>
      <c r="BC23" s="209">
        <v>1283.8399999999999</v>
      </c>
      <c r="BD23" s="209">
        <v>1290.3</v>
      </c>
      <c r="BE23" s="209">
        <v>1296.83</v>
      </c>
      <c r="BF23" s="209">
        <v>1303.3599999999999</v>
      </c>
      <c r="BG23" s="209">
        <v>1309.8900000000001</v>
      </c>
      <c r="BH23" s="209">
        <v>1316.42</v>
      </c>
      <c r="BI23" s="209">
        <v>1322.94</v>
      </c>
      <c r="BJ23" s="209">
        <v>1329.47</v>
      </c>
      <c r="BK23" s="209">
        <v>1336</v>
      </c>
      <c r="BL23" s="209">
        <v>1342.53</v>
      </c>
      <c r="BM23" s="209">
        <v>1349.06</v>
      </c>
      <c r="BN23" s="209">
        <v>1355.58</v>
      </c>
      <c r="BO23" s="209">
        <f>ROUND(BN23+$I23,2)</f>
        <v>1362.11</v>
      </c>
      <c r="BP23" s="209">
        <f t="shared" ref="BP23:CG23" si="46">ROUND(BO23+$I23,2)</f>
        <v>1368.64</v>
      </c>
      <c r="BQ23" s="209">
        <f t="shared" si="46"/>
        <v>1375.17</v>
      </c>
      <c r="BR23" s="209">
        <f t="shared" si="46"/>
        <v>1381.7</v>
      </c>
      <c r="BS23" s="209">
        <f t="shared" si="46"/>
        <v>1388.23</v>
      </c>
      <c r="BT23" s="209">
        <f t="shared" si="46"/>
        <v>1394.76</v>
      </c>
      <c r="BU23" s="209">
        <f t="shared" si="46"/>
        <v>1401.29</v>
      </c>
      <c r="BV23" s="209">
        <f t="shared" si="46"/>
        <v>1407.82</v>
      </c>
      <c r="BW23" s="209">
        <f t="shared" si="46"/>
        <v>1414.35</v>
      </c>
      <c r="BX23" s="209">
        <f t="shared" si="46"/>
        <v>1420.88</v>
      </c>
      <c r="BY23" s="209">
        <f t="shared" si="46"/>
        <v>1427.41</v>
      </c>
      <c r="BZ23" s="209">
        <f t="shared" si="46"/>
        <v>1433.94</v>
      </c>
      <c r="CA23" s="209">
        <f t="shared" si="46"/>
        <v>1440.47</v>
      </c>
      <c r="CB23" s="209">
        <f t="shared" si="46"/>
        <v>1447</v>
      </c>
      <c r="CC23" s="209">
        <f t="shared" si="46"/>
        <v>1453.53</v>
      </c>
      <c r="CD23" s="209">
        <f t="shared" si="46"/>
        <v>1460.06</v>
      </c>
      <c r="CE23" s="209">
        <f t="shared" si="46"/>
        <v>1466.59</v>
      </c>
      <c r="CF23" s="209">
        <f t="shared" si="46"/>
        <v>1473.12</v>
      </c>
      <c r="CG23" s="209">
        <f t="shared" si="46"/>
        <v>1479.65</v>
      </c>
      <c r="CH23" s="209">
        <f t="shared" ref="CH23:CH24" si="47">ROUND(CG23+$I23,2)</f>
        <v>1486.18</v>
      </c>
      <c r="CI23" s="209">
        <f t="shared" ref="CI23:CI24" si="48">ROUND(CH23+$I23,2)</f>
        <v>1492.71</v>
      </c>
      <c r="CJ23" s="209">
        <f t="shared" ref="CJ23:CJ24" si="49">ROUND(CI23+$I23,2)</f>
        <v>1499.24</v>
      </c>
      <c r="CK23" s="209">
        <f t="shared" ref="CK23:CK24" si="50">ROUND(CJ23+$I23,2)</f>
        <v>1505.77</v>
      </c>
      <c r="CL23" s="209">
        <f t="shared" ref="CL23:CL24" si="51">ROUND(CK23+$I23,2)</f>
        <v>1512.3</v>
      </c>
      <c r="CM23" s="209">
        <f t="shared" ref="CM23:CM24" si="52">ROUND(CL23+$I23,2)</f>
        <v>1518.83</v>
      </c>
      <c r="CN23" s="209">
        <f t="shared" ref="CN23:CN24" si="53">ROUND(CM23+$I23,2)</f>
        <v>1525.36</v>
      </c>
      <c r="CO23" s="209">
        <f t="shared" ref="CO23:CO24" si="54">ROUND(CN23+$I23,2)</f>
        <v>1531.89</v>
      </c>
      <c r="CP23" s="209">
        <f t="shared" ref="CP23:CP24" si="55">ROUND(CO23+$I23,2)</f>
        <v>1538.42</v>
      </c>
      <c r="CQ23" s="209">
        <f t="shared" ref="CQ23:CQ24" si="56">ROUND(CP23+$I23,2)</f>
        <v>1544.95</v>
      </c>
      <c r="CR23" s="209">
        <f t="shared" ref="CR23:CR24" si="57">ROUND(CQ23+$I23,2)</f>
        <v>1551.48</v>
      </c>
    </row>
    <row r="24" spans="1:96" s="128" customFormat="1">
      <c r="A24" s="266" t="s">
        <v>50</v>
      </c>
      <c r="B24" s="40" t="s">
        <v>51</v>
      </c>
      <c r="C24" s="40" t="s">
        <v>45</v>
      </c>
      <c r="D24" s="40" t="s">
        <v>39</v>
      </c>
      <c r="E24" s="40" t="s">
        <v>23</v>
      </c>
      <c r="F24" s="324"/>
      <c r="G24" s="15">
        <v>6.4</v>
      </c>
      <c r="H24" s="39">
        <v>14.32</v>
      </c>
      <c r="I24" s="209">
        <f t="shared" si="13"/>
        <v>6.5300000000002001</v>
      </c>
      <c r="J24" s="209">
        <v>1087.8699999999999</v>
      </c>
      <c r="K24" s="209">
        <v>1094.3399999999999</v>
      </c>
      <c r="L24" s="209">
        <v>1100.8</v>
      </c>
      <c r="M24" s="209">
        <v>1107.26</v>
      </c>
      <c r="N24" s="209">
        <v>1113.73</v>
      </c>
      <c r="O24" s="209">
        <v>1120.19</v>
      </c>
      <c r="P24" s="209">
        <v>1126.6600000000001</v>
      </c>
      <c r="Q24" s="209">
        <v>1133.1199999999999</v>
      </c>
      <c r="R24" s="209">
        <v>1139.58</v>
      </c>
      <c r="S24" s="209">
        <v>1146.05</v>
      </c>
      <c r="T24" s="209">
        <v>1152.51</v>
      </c>
      <c r="U24" s="209">
        <v>1158.98</v>
      </c>
      <c r="V24" s="209">
        <v>1165.44</v>
      </c>
      <c r="W24" s="209">
        <v>1171.9000000000001</v>
      </c>
      <c r="X24" s="209">
        <v>1178.3699999999999</v>
      </c>
      <c r="Y24" s="209">
        <v>1184.83</v>
      </c>
      <c r="Z24" s="209">
        <v>1191.3</v>
      </c>
      <c r="AA24" s="209">
        <v>1197.76</v>
      </c>
      <c r="AB24" s="209">
        <v>1204.29</v>
      </c>
      <c r="AC24" s="209">
        <v>1210.82</v>
      </c>
      <c r="AD24" s="209">
        <v>1217.3399999999999</v>
      </c>
      <c r="AE24" s="209">
        <v>1223.81</v>
      </c>
      <c r="AF24" s="209">
        <v>1230.3399999999999</v>
      </c>
      <c r="AG24" s="209">
        <v>1236.8599999999999</v>
      </c>
      <c r="AH24" s="209">
        <v>1243.3900000000001</v>
      </c>
      <c r="AI24" s="209">
        <v>1249.92</v>
      </c>
      <c r="AJ24" s="209">
        <v>1256.45</v>
      </c>
      <c r="AK24" s="209">
        <v>1262.98</v>
      </c>
      <c r="AL24" s="209">
        <v>1269.5</v>
      </c>
      <c r="AM24" s="209">
        <v>1275.97</v>
      </c>
      <c r="AN24" s="209">
        <v>1282.5</v>
      </c>
      <c r="AO24" s="209">
        <v>1289.02</v>
      </c>
      <c r="AP24" s="209">
        <v>1295.55</v>
      </c>
      <c r="AQ24" s="209">
        <v>1302.02</v>
      </c>
      <c r="AR24" s="209">
        <v>1308.54</v>
      </c>
      <c r="AS24" s="209">
        <v>1315.07</v>
      </c>
      <c r="AT24" s="209">
        <v>1321.6</v>
      </c>
      <c r="AU24" s="209">
        <v>1328.13</v>
      </c>
      <c r="AV24" s="209">
        <v>1334.66</v>
      </c>
      <c r="AW24" s="209">
        <v>1341.18</v>
      </c>
      <c r="AX24" s="209">
        <v>1347.71</v>
      </c>
      <c r="AY24" s="209">
        <v>1354.24</v>
      </c>
      <c r="AZ24" s="209">
        <v>1360.77</v>
      </c>
      <c r="BA24" s="209">
        <v>1367.3</v>
      </c>
      <c r="BB24" s="209">
        <v>1373.82</v>
      </c>
      <c r="BC24" s="209">
        <v>1380.35</v>
      </c>
      <c r="BD24" s="209">
        <v>1386.82</v>
      </c>
      <c r="BE24" s="209">
        <v>1393.34</v>
      </c>
      <c r="BF24" s="209">
        <v>1399.87</v>
      </c>
      <c r="BG24" s="209">
        <v>1406.4</v>
      </c>
      <c r="BH24" s="209">
        <v>1412.93</v>
      </c>
      <c r="BI24" s="209">
        <v>1419.46</v>
      </c>
      <c r="BJ24" s="209">
        <v>1425.98</v>
      </c>
      <c r="BK24" s="209">
        <v>1432.51</v>
      </c>
      <c r="BL24" s="209">
        <v>1439.04</v>
      </c>
      <c r="BM24" s="209">
        <v>1445.57</v>
      </c>
      <c r="BN24" s="209">
        <v>1452.1</v>
      </c>
      <c r="BO24" s="209">
        <f>ROUND(BN24+$I24,2)</f>
        <v>1458.63</v>
      </c>
      <c r="BP24" s="209">
        <f t="shared" ref="BP24:CG24" si="58">ROUND(BO24+$I24,2)</f>
        <v>1465.16</v>
      </c>
      <c r="BQ24" s="209">
        <f t="shared" si="58"/>
        <v>1471.69</v>
      </c>
      <c r="BR24" s="209">
        <f t="shared" si="58"/>
        <v>1478.22</v>
      </c>
      <c r="BS24" s="209">
        <f t="shared" si="58"/>
        <v>1484.75</v>
      </c>
      <c r="BT24" s="209">
        <f t="shared" si="58"/>
        <v>1491.28</v>
      </c>
      <c r="BU24" s="209">
        <f t="shared" si="58"/>
        <v>1497.81</v>
      </c>
      <c r="BV24" s="209">
        <f t="shared" si="58"/>
        <v>1504.34</v>
      </c>
      <c r="BW24" s="209">
        <f t="shared" si="58"/>
        <v>1510.87</v>
      </c>
      <c r="BX24" s="209">
        <f t="shared" si="58"/>
        <v>1517.4</v>
      </c>
      <c r="BY24" s="209">
        <f t="shared" si="58"/>
        <v>1523.93</v>
      </c>
      <c r="BZ24" s="209">
        <f t="shared" si="58"/>
        <v>1530.46</v>
      </c>
      <c r="CA24" s="209">
        <f t="shared" si="58"/>
        <v>1536.99</v>
      </c>
      <c r="CB24" s="209">
        <f t="shared" si="58"/>
        <v>1543.52</v>
      </c>
      <c r="CC24" s="209">
        <f t="shared" si="58"/>
        <v>1550.05</v>
      </c>
      <c r="CD24" s="209">
        <f t="shared" si="58"/>
        <v>1556.58</v>
      </c>
      <c r="CE24" s="209">
        <f t="shared" si="58"/>
        <v>1563.11</v>
      </c>
      <c r="CF24" s="209">
        <f t="shared" si="58"/>
        <v>1569.64</v>
      </c>
      <c r="CG24" s="209">
        <f t="shared" si="58"/>
        <v>1576.17</v>
      </c>
      <c r="CH24" s="209">
        <f t="shared" si="47"/>
        <v>1582.7</v>
      </c>
      <c r="CI24" s="209">
        <f t="shared" si="48"/>
        <v>1589.23</v>
      </c>
      <c r="CJ24" s="209">
        <f t="shared" si="49"/>
        <v>1595.76</v>
      </c>
      <c r="CK24" s="209">
        <f t="shared" si="50"/>
        <v>1602.29</v>
      </c>
      <c r="CL24" s="209">
        <f t="shared" si="51"/>
        <v>1608.82</v>
      </c>
      <c r="CM24" s="209">
        <f t="shared" si="52"/>
        <v>1615.35</v>
      </c>
      <c r="CN24" s="209">
        <f t="shared" si="53"/>
        <v>1621.88</v>
      </c>
      <c r="CO24" s="209">
        <f t="shared" si="54"/>
        <v>1628.41</v>
      </c>
      <c r="CP24" s="209">
        <f t="shared" si="55"/>
        <v>1634.94</v>
      </c>
      <c r="CQ24" s="209">
        <f t="shared" si="56"/>
        <v>1641.47</v>
      </c>
      <c r="CR24" s="209">
        <f t="shared" si="57"/>
        <v>1648</v>
      </c>
    </row>
    <row r="25" spans="1:96" s="128" customFormat="1">
      <c r="A25" s="364" t="s">
        <v>50</v>
      </c>
      <c r="B25" s="36" t="s">
        <v>51</v>
      </c>
      <c r="C25" s="36" t="s">
        <v>45</v>
      </c>
      <c r="D25" s="36" t="s">
        <v>22</v>
      </c>
      <c r="E25" s="36" t="s">
        <v>23</v>
      </c>
      <c r="F25" s="322"/>
      <c r="G25" s="20">
        <v>6.4</v>
      </c>
      <c r="H25" s="37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  <c r="AN25" s="208"/>
      <c r="AO25" s="208"/>
      <c r="AP25" s="208"/>
      <c r="AQ25" s="208"/>
      <c r="AR25" s="208"/>
      <c r="AS25" s="208"/>
      <c r="AT25" s="208"/>
      <c r="AU25" s="208"/>
      <c r="AV25" s="208"/>
      <c r="AW25" s="208"/>
      <c r="AX25" s="208"/>
      <c r="AY25" s="208"/>
      <c r="AZ25" s="208"/>
      <c r="BA25" s="208"/>
      <c r="BB25" s="208"/>
      <c r="BC25" s="208"/>
      <c r="BD25" s="208"/>
      <c r="BE25" s="208"/>
      <c r="BF25" s="208"/>
      <c r="BG25" s="208"/>
      <c r="BH25" s="208"/>
      <c r="BI25" s="208"/>
      <c r="BJ25" s="208"/>
      <c r="BK25" s="208"/>
      <c r="BL25" s="208"/>
      <c r="BM25" s="208"/>
      <c r="BN25" s="208"/>
      <c r="BO25" s="208"/>
      <c r="BP25" s="208"/>
      <c r="BQ25" s="208"/>
      <c r="BR25" s="208"/>
      <c r="BS25" s="208"/>
      <c r="BT25" s="208"/>
      <c r="BU25" s="208"/>
      <c r="BV25" s="208"/>
      <c r="BW25" s="208"/>
      <c r="BX25" s="208"/>
      <c r="BY25" s="208"/>
      <c r="BZ25" s="208"/>
      <c r="CA25" s="208"/>
      <c r="CB25" s="208"/>
      <c r="CC25" s="208"/>
      <c r="CD25" s="208"/>
      <c r="CE25" s="208"/>
      <c r="CF25" s="208"/>
      <c r="CG25" s="208"/>
      <c r="CH25" s="208"/>
      <c r="CI25" s="208"/>
      <c r="CJ25" s="208"/>
      <c r="CK25" s="208"/>
      <c r="CL25" s="208"/>
      <c r="CM25" s="208"/>
      <c r="CN25" s="208"/>
      <c r="CO25" s="208"/>
      <c r="CP25" s="208"/>
      <c r="CQ25" s="208"/>
      <c r="CR25" s="208"/>
    </row>
    <row r="26" spans="1:96" s="128" customFormat="1">
      <c r="A26" s="266" t="s">
        <v>52</v>
      </c>
      <c r="B26" s="40" t="s">
        <v>51</v>
      </c>
      <c r="C26" s="40" t="s">
        <v>42</v>
      </c>
      <c r="D26" s="40" t="s">
        <v>39</v>
      </c>
      <c r="E26" s="40" t="s">
        <v>23</v>
      </c>
      <c r="F26" s="324"/>
      <c r="G26" s="15">
        <v>6.4</v>
      </c>
      <c r="H26" s="39">
        <v>30.9</v>
      </c>
      <c r="I26" s="209">
        <f t="shared" si="13"/>
        <v>15.100000000000364</v>
      </c>
      <c r="J26" s="209">
        <v>2577.54</v>
      </c>
      <c r="K26" s="209">
        <v>2592.64</v>
      </c>
      <c r="L26" s="209">
        <v>2607.7399999999998</v>
      </c>
      <c r="M26" s="209">
        <v>2622.85</v>
      </c>
      <c r="N26" s="209">
        <v>2637.95</v>
      </c>
      <c r="O26" s="209">
        <v>2653.06</v>
      </c>
      <c r="P26" s="209">
        <v>2668.16</v>
      </c>
      <c r="Q26" s="209">
        <v>2683.26</v>
      </c>
      <c r="R26" s="209">
        <v>2698.37</v>
      </c>
      <c r="S26" s="209">
        <v>2713.47</v>
      </c>
      <c r="T26" s="209">
        <v>2728.58</v>
      </c>
      <c r="U26" s="209">
        <v>2743.68</v>
      </c>
      <c r="V26" s="209">
        <v>2758.78</v>
      </c>
      <c r="W26" s="209">
        <v>2773.89</v>
      </c>
      <c r="X26" s="209">
        <v>2788.99</v>
      </c>
      <c r="Y26" s="209">
        <v>2804.1</v>
      </c>
      <c r="Z26" s="209">
        <v>2819.2</v>
      </c>
      <c r="AA26" s="209">
        <v>2834.3</v>
      </c>
      <c r="AB26" s="209">
        <v>2849.47</v>
      </c>
      <c r="AC26" s="209">
        <v>2864.64</v>
      </c>
      <c r="AD26" s="209">
        <v>2879.74</v>
      </c>
      <c r="AE26" s="209">
        <v>2894.91</v>
      </c>
      <c r="AF26" s="209">
        <v>2910.08</v>
      </c>
      <c r="AG26" s="209">
        <v>2925.18</v>
      </c>
      <c r="AH26" s="209">
        <v>2940.35</v>
      </c>
      <c r="AI26" s="209">
        <v>2955.46</v>
      </c>
      <c r="AJ26" s="209">
        <v>2970.62</v>
      </c>
      <c r="AK26" s="209">
        <v>2985.79</v>
      </c>
      <c r="AL26" s="209">
        <v>3000.9</v>
      </c>
      <c r="AM26" s="209">
        <v>3016.06</v>
      </c>
      <c r="AN26" s="209">
        <v>3031.23</v>
      </c>
      <c r="AO26" s="209">
        <v>3046.46</v>
      </c>
      <c r="AP26" s="209">
        <v>3061.57</v>
      </c>
      <c r="AQ26" s="209">
        <v>3076.74</v>
      </c>
      <c r="AR26" s="209">
        <v>3091.84</v>
      </c>
      <c r="AS26" s="209">
        <v>3107.01</v>
      </c>
      <c r="AT26" s="209">
        <v>3122.18</v>
      </c>
      <c r="AU26" s="209">
        <v>3137.28</v>
      </c>
      <c r="AV26" s="209">
        <v>3152.45</v>
      </c>
      <c r="AW26" s="209">
        <v>3167.62</v>
      </c>
      <c r="AX26" s="209">
        <v>3182.72</v>
      </c>
      <c r="AY26" s="209">
        <v>3197.89</v>
      </c>
      <c r="AZ26" s="209">
        <v>3213.06</v>
      </c>
      <c r="BA26" s="209">
        <v>3228.16</v>
      </c>
      <c r="BB26" s="209">
        <v>3243.33</v>
      </c>
      <c r="BC26" s="209">
        <v>3258.5</v>
      </c>
      <c r="BD26" s="209">
        <v>3273.6</v>
      </c>
      <c r="BE26" s="209">
        <v>3288.77</v>
      </c>
      <c r="BF26" s="209">
        <v>3303.94</v>
      </c>
      <c r="BG26" s="209">
        <v>3319.04</v>
      </c>
      <c r="BH26" s="209">
        <v>3334.21</v>
      </c>
      <c r="BI26" s="209">
        <v>3349.38</v>
      </c>
      <c r="BJ26" s="209">
        <v>3364.48</v>
      </c>
      <c r="BK26" s="209">
        <v>3379.65</v>
      </c>
      <c r="BL26" s="209">
        <v>3394.82</v>
      </c>
      <c r="BM26" s="209">
        <v>3409.92</v>
      </c>
      <c r="BN26" s="209">
        <v>3425.09</v>
      </c>
      <c r="BO26" s="209">
        <f t="shared" ref="BO26:CD31" si="59">ROUND(BN26+$I26,2)</f>
        <v>3440.19</v>
      </c>
      <c r="BP26" s="209">
        <f t="shared" si="59"/>
        <v>3455.29</v>
      </c>
      <c r="BQ26" s="209">
        <f t="shared" si="59"/>
        <v>3470.39</v>
      </c>
      <c r="BR26" s="209">
        <f t="shared" si="59"/>
        <v>3485.49</v>
      </c>
      <c r="BS26" s="209">
        <f t="shared" si="59"/>
        <v>3500.59</v>
      </c>
      <c r="BT26" s="209">
        <f t="shared" si="59"/>
        <v>3515.69</v>
      </c>
      <c r="BU26" s="209">
        <f t="shared" si="59"/>
        <v>3530.79</v>
      </c>
      <c r="BV26" s="209">
        <f t="shared" si="59"/>
        <v>3545.89</v>
      </c>
      <c r="BW26" s="209">
        <f t="shared" si="59"/>
        <v>3560.99</v>
      </c>
      <c r="BX26" s="209">
        <f t="shared" si="59"/>
        <v>3576.09</v>
      </c>
      <c r="BY26" s="209">
        <f t="shared" si="59"/>
        <v>3591.19</v>
      </c>
      <c r="BZ26" s="209">
        <f t="shared" si="59"/>
        <v>3606.29</v>
      </c>
      <c r="CA26" s="209">
        <f t="shared" si="59"/>
        <v>3621.39</v>
      </c>
      <c r="CB26" s="209">
        <f t="shared" si="59"/>
        <v>3636.49</v>
      </c>
      <c r="CC26" s="209">
        <f t="shared" si="59"/>
        <v>3651.59</v>
      </c>
      <c r="CD26" s="209">
        <f t="shared" si="59"/>
        <v>3666.69</v>
      </c>
      <c r="CE26" s="209">
        <f t="shared" ref="BP26:CG31" si="60">ROUND(CD26+$I26,2)</f>
        <v>3681.79</v>
      </c>
      <c r="CF26" s="209">
        <f t="shared" si="60"/>
        <v>3696.89</v>
      </c>
      <c r="CG26" s="209">
        <f t="shared" si="60"/>
        <v>3711.99</v>
      </c>
      <c r="CH26" s="209">
        <f t="shared" ref="CH26:CH31" si="61">ROUND(CG26+$I26,2)</f>
        <v>3727.09</v>
      </c>
      <c r="CI26" s="209">
        <f t="shared" ref="CI26:CI31" si="62">ROUND(CH26+$I26,2)</f>
        <v>3742.19</v>
      </c>
      <c r="CJ26" s="209">
        <f t="shared" ref="CJ26:CJ31" si="63">ROUND(CI26+$I26,2)</f>
        <v>3757.29</v>
      </c>
      <c r="CK26" s="209">
        <f t="shared" ref="CK26:CK31" si="64">ROUND(CJ26+$I26,2)</f>
        <v>3772.39</v>
      </c>
      <c r="CL26" s="209">
        <f t="shared" ref="CL26:CL31" si="65">ROUND(CK26+$I26,2)</f>
        <v>3787.49</v>
      </c>
      <c r="CM26" s="209">
        <f t="shared" ref="CM26:CM31" si="66">ROUND(CL26+$I26,2)</f>
        <v>3802.59</v>
      </c>
      <c r="CN26" s="209">
        <f t="shared" ref="CN26:CN31" si="67">ROUND(CM26+$I26,2)</f>
        <v>3817.69</v>
      </c>
      <c r="CO26" s="209">
        <f t="shared" ref="CO26:CO31" si="68">ROUND(CN26+$I26,2)</f>
        <v>3832.79</v>
      </c>
      <c r="CP26" s="209">
        <f t="shared" ref="CP26:CP31" si="69">ROUND(CO26+$I26,2)</f>
        <v>3847.89</v>
      </c>
      <c r="CQ26" s="209">
        <f t="shared" ref="CQ26:CQ31" si="70">ROUND(CP26+$I26,2)</f>
        <v>3862.99</v>
      </c>
      <c r="CR26" s="209">
        <f t="shared" ref="CR26:CR31" si="71">ROUND(CQ26+$I26,2)</f>
        <v>3878.09</v>
      </c>
    </row>
    <row r="27" spans="1:96" s="128" customFormat="1" ht="28">
      <c r="A27" s="368" t="s">
        <v>275</v>
      </c>
      <c r="B27" s="23" t="s">
        <v>54</v>
      </c>
      <c r="C27" s="23" t="s">
        <v>21</v>
      </c>
      <c r="D27" s="23" t="s">
        <v>25</v>
      </c>
      <c r="E27" s="23" t="s">
        <v>23</v>
      </c>
      <c r="F27" s="326"/>
      <c r="G27" s="15">
        <v>6.4</v>
      </c>
      <c r="H27" s="39"/>
      <c r="I27" s="209">
        <f t="shared" si="13"/>
        <v>8.2600000000002183</v>
      </c>
      <c r="J27" s="209">
        <v>1939.01</v>
      </c>
      <c r="K27" s="209">
        <v>1947.33</v>
      </c>
      <c r="L27" s="209">
        <v>1955.65</v>
      </c>
      <c r="M27" s="209">
        <v>1963.97</v>
      </c>
      <c r="N27" s="209">
        <v>1972.29</v>
      </c>
      <c r="O27" s="209">
        <v>1980.61</v>
      </c>
      <c r="P27" s="209">
        <v>1988.93</v>
      </c>
      <c r="Q27" s="209">
        <v>1997.25</v>
      </c>
      <c r="R27" s="209">
        <v>2005.57</v>
      </c>
      <c r="S27" s="209">
        <v>2013.89</v>
      </c>
      <c r="T27" s="209">
        <v>2022.21</v>
      </c>
      <c r="U27" s="209">
        <v>2030.53</v>
      </c>
      <c r="V27" s="209">
        <v>2038.85</v>
      </c>
      <c r="W27" s="209">
        <v>2047.17</v>
      </c>
      <c r="X27" s="209">
        <v>2055.4899999999998</v>
      </c>
      <c r="Y27" s="209">
        <v>2063.81</v>
      </c>
      <c r="Z27" s="209">
        <v>2072.13</v>
      </c>
      <c r="AA27" s="209">
        <v>2080.4499999999998</v>
      </c>
      <c r="AB27" s="209">
        <v>2088.77</v>
      </c>
      <c r="AC27" s="209">
        <v>2097.09</v>
      </c>
      <c r="AD27" s="209">
        <v>2105.41</v>
      </c>
      <c r="AE27" s="209">
        <v>2113.66</v>
      </c>
      <c r="AF27" s="209">
        <v>2121.98</v>
      </c>
      <c r="AG27" s="209">
        <v>2130.3000000000002</v>
      </c>
      <c r="AH27" s="209">
        <v>2138.62</v>
      </c>
      <c r="AI27" s="209">
        <v>2146.94</v>
      </c>
      <c r="AJ27" s="209">
        <v>2155.1999999999998</v>
      </c>
      <c r="AK27" s="209">
        <v>2163.52</v>
      </c>
      <c r="AL27" s="209">
        <v>2171.84</v>
      </c>
      <c r="AM27" s="209">
        <v>2180.16</v>
      </c>
      <c r="AN27" s="209">
        <v>2188.48</v>
      </c>
      <c r="AO27" s="209">
        <v>2196.7399999999998</v>
      </c>
      <c r="AP27" s="209">
        <v>2205.06</v>
      </c>
      <c r="AQ27" s="209">
        <v>2213.38</v>
      </c>
      <c r="AR27" s="209">
        <v>2221.6999999999998</v>
      </c>
      <c r="AS27" s="209">
        <v>2230.02</v>
      </c>
      <c r="AT27" s="209">
        <v>2238.27</v>
      </c>
      <c r="AU27" s="209">
        <v>2246.5300000000002</v>
      </c>
      <c r="AV27" s="209">
        <v>2254.7800000000002</v>
      </c>
      <c r="AW27" s="209">
        <v>2263.04</v>
      </c>
      <c r="AX27" s="209">
        <v>2271.3000000000002</v>
      </c>
      <c r="AY27" s="209">
        <v>2279.5500000000002</v>
      </c>
      <c r="AZ27" s="209">
        <v>2287.81</v>
      </c>
      <c r="BA27" s="209">
        <v>2296.06</v>
      </c>
      <c r="BB27" s="209">
        <v>2304.3200000000002</v>
      </c>
      <c r="BC27" s="209">
        <v>2312.58</v>
      </c>
      <c r="BD27" s="209">
        <v>2320.83</v>
      </c>
      <c r="BE27" s="209">
        <v>2329.09</v>
      </c>
      <c r="BF27" s="209">
        <v>2337.34</v>
      </c>
      <c r="BG27" s="209">
        <v>2345.6</v>
      </c>
      <c r="BH27" s="209">
        <v>2353.86</v>
      </c>
      <c r="BI27" s="209">
        <v>2362.11</v>
      </c>
      <c r="BJ27" s="209">
        <v>2370.3000000000002</v>
      </c>
      <c r="BK27" s="209">
        <v>2378.56</v>
      </c>
      <c r="BL27" s="209">
        <v>2386.8200000000002</v>
      </c>
      <c r="BM27" s="209">
        <v>2395.0700000000002</v>
      </c>
      <c r="BN27" s="209">
        <v>2403.33</v>
      </c>
      <c r="BO27" s="209">
        <f t="shared" si="59"/>
        <v>2411.59</v>
      </c>
      <c r="BP27" s="209">
        <f t="shared" si="60"/>
        <v>2419.85</v>
      </c>
      <c r="BQ27" s="209">
        <f t="shared" si="60"/>
        <v>2428.11</v>
      </c>
      <c r="BR27" s="209">
        <f t="shared" si="60"/>
        <v>2436.37</v>
      </c>
      <c r="BS27" s="209">
        <f t="shared" si="60"/>
        <v>2444.63</v>
      </c>
      <c r="BT27" s="209">
        <f t="shared" si="60"/>
        <v>2452.89</v>
      </c>
      <c r="BU27" s="209">
        <f t="shared" si="60"/>
        <v>2461.15</v>
      </c>
      <c r="BV27" s="209">
        <f t="shared" si="60"/>
        <v>2469.41</v>
      </c>
      <c r="BW27" s="209">
        <f t="shared" si="60"/>
        <v>2477.67</v>
      </c>
      <c r="BX27" s="209">
        <f t="shared" si="60"/>
        <v>2485.9299999999998</v>
      </c>
      <c r="BY27" s="209">
        <f t="shared" si="60"/>
        <v>2494.19</v>
      </c>
      <c r="BZ27" s="209">
        <f t="shared" si="60"/>
        <v>2502.4499999999998</v>
      </c>
      <c r="CA27" s="209">
        <f t="shared" si="60"/>
        <v>2510.71</v>
      </c>
      <c r="CB27" s="209">
        <f t="shared" si="60"/>
        <v>2518.9699999999998</v>
      </c>
      <c r="CC27" s="209">
        <f t="shared" si="60"/>
        <v>2527.23</v>
      </c>
      <c r="CD27" s="209">
        <f t="shared" si="60"/>
        <v>2535.4899999999998</v>
      </c>
      <c r="CE27" s="209">
        <f t="shared" si="60"/>
        <v>2543.75</v>
      </c>
      <c r="CF27" s="209">
        <f t="shared" si="60"/>
        <v>2552.0100000000002</v>
      </c>
      <c r="CG27" s="209">
        <f t="shared" si="60"/>
        <v>2560.27</v>
      </c>
      <c r="CH27" s="209">
        <f t="shared" si="61"/>
        <v>2568.5300000000002</v>
      </c>
      <c r="CI27" s="209">
        <f t="shared" si="62"/>
        <v>2576.79</v>
      </c>
      <c r="CJ27" s="209">
        <f t="shared" si="63"/>
        <v>2585.0500000000002</v>
      </c>
      <c r="CK27" s="209">
        <f t="shared" si="64"/>
        <v>2593.31</v>
      </c>
      <c r="CL27" s="209">
        <f t="shared" si="65"/>
        <v>2601.5700000000002</v>
      </c>
      <c r="CM27" s="209">
        <f t="shared" si="66"/>
        <v>2609.83</v>
      </c>
      <c r="CN27" s="209">
        <f t="shared" si="67"/>
        <v>2618.09</v>
      </c>
      <c r="CO27" s="209">
        <f t="shared" si="68"/>
        <v>2626.35</v>
      </c>
      <c r="CP27" s="209">
        <f t="shared" si="69"/>
        <v>2634.61</v>
      </c>
      <c r="CQ27" s="209">
        <f t="shared" si="70"/>
        <v>2642.87</v>
      </c>
      <c r="CR27" s="209">
        <f t="shared" si="71"/>
        <v>2651.13</v>
      </c>
    </row>
    <row r="28" spans="1:96" s="128" customFormat="1">
      <c r="A28" s="365" t="s">
        <v>67</v>
      </c>
      <c r="B28" s="38" t="s">
        <v>54</v>
      </c>
      <c r="C28" s="38" t="s">
        <v>21</v>
      </c>
      <c r="D28" s="38" t="s">
        <v>25</v>
      </c>
      <c r="E28" s="38" t="s">
        <v>68</v>
      </c>
      <c r="F28" s="323"/>
      <c r="G28" s="15">
        <v>6.4</v>
      </c>
      <c r="H28" s="39"/>
      <c r="I28" s="209">
        <f t="shared" si="13"/>
        <v>17.349999999999454</v>
      </c>
      <c r="J28" s="209">
        <v>4071.94</v>
      </c>
      <c r="K28" s="209">
        <v>4089.41</v>
      </c>
      <c r="L28" s="209">
        <v>4106.88</v>
      </c>
      <c r="M28" s="209">
        <v>4124.3500000000004</v>
      </c>
      <c r="N28" s="209">
        <v>4141.82</v>
      </c>
      <c r="O28" s="209">
        <v>4159.3</v>
      </c>
      <c r="P28" s="209">
        <v>4176.7700000000004</v>
      </c>
      <c r="Q28" s="209">
        <v>4194.24</v>
      </c>
      <c r="R28" s="209">
        <v>4211.71</v>
      </c>
      <c r="S28" s="209">
        <v>4229.18</v>
      </c>
      <c r="T28" s="209">
        <v>4246.66</v>
      </c>
      <c r="U28" s="209">
        <v>4264.13</v>
      </c>
      <c r="V28" s="209">
        <v>4281.6000000000004</v>
      </c>
      <c r="W28" s="209">
        <v>4299.07</v>
      </c>
      <c r="X28" s="209">
        <v>4316.54</v>
      </c>
      <c r="Y28" s="209">
        <v>4334.0200000000004</v>
      </c>
      <c r="Z28" s="209">
        <v>4351.49</v>
      </c>
      <c r="AA28" s="209">
        <v>4368.96</v>
      </c>
      <c r="AB28" s="209">
        <v>4386.43</v>
      </c>
      <c r="AC28" s="209">
        <v>4403.8999999999996</v>
      </c>
      <c r="AD28" s="209">
        <v>4421.38</v>
      </c>
      <c r="AE28" s="209">
        <v>4438.72</v>
      </c>
      <c r="AF28" s="209">
        <v>4456.1899999999996</v>
      </c>
      <c r="AG28" s="209">
        <v>4473.66</v>
      </c>
      <c r="AH28" s="209">
        <v>4491.1400000000003</v>
      </c>
      <c r="AI28" s="209">
        <v>4508.6099999999997</v>
      </c>
      <c r="AJ28" s="209">
        <v>4525.95</v>
      </c>
      <c r="AK28" s="209">
        <v>4543.42</v>
      </c>
      <c r="AL28" s="209">
        <v>4560.8999999999996</v>
      </c>
      <c r="AM28" s="209">
        <v>4578.37</v>
      </c>
      <c r="AN28" s="209">
        <v>4595.84</v>
      </c>
      <c r="AO28" s="209">
        <v>4613.12</v>
      </c>
      <c r="AP28" s="209">
        <v>4630.59</v>
      </c>
      <c r="AQ28" s="209">
        <v>4648.0600000000004</v>
      </c>
      <c r="AR28" s="209">
        <v>4665.54</v>
      </c>
      <c r="AS28" s="209">
        <v>4683.01</v>
      </c>
      <c r="AT28" s="209">
        <v>4700.3500000000004</v>
      </c>
      <c r="AU28" s="209">
        <v>4717.7</v>
      </c>
      <c r="AV28" s="209">
        <v>4735.04</v>
      </c>
      <c r="AW28" s="209">
        <v>4752.38</v>
      </c>
      <c r="AX28" s="209">
        <v>4769.7299999999996</v>
      </c>
      <c r="AY28" s="209">
        <v>4787.07</v>
      </c>
      <c r="AZ28" s="209">
        <v>4804.42</v>
      </c>
      <c r="BA28" s="209">
        <v>4821.76</v>
      </c>
      <c r="BB28" s="209">
        <v>4839.1000000000004</v>
      </c>
      <c r="BC28" s="209">
        <v>4856.38</v>
      </c>
      <c r="BD28" s="209">
        <v>4873.7299999999996</v>
      </c>
      <c r="BE28" s="209">
        <v>4891.07</v>
      </c>
      <c r="BF28" s="209">
        <v>4908.42</v>
      </c>
      <c r="BG28" s="209">
        <v>4925.76</v>
      </c>
      <c r="BH28" s="209">
        <v>4943.1000000000004</v>
      </c>
      <c r="BI28" s="209">
        <v>4960.45</v>
      </c>
      <c r="BJ28" s="209">
        <v>4977.66</v>
      </c>
      <c r="BK28" s="209">
        <v>4995.01</v>
      </c>
      <c r="BL28" s="209">
        <v>5012.29</v>
      </c>
      <c r="BM28" s="209">
        <v>5029.63</v>
      </c>
      <c r="BN28" s="209">
        <v>5046.9799999999996</v>
      </c>
      <c r="BO28" s="209">
        <f t="shared" si="59"/>
        <v>5064.33</v>
      </c>
      <c r="BP28" s="209">
        <f t="shared" si="60"/>
        <v>5081.68</v>
      </c>
      <c r="BQ28" s="209">
        <f t="shared" si="60"/>
        <v>5099.03</v>
      </c>
      <c r="BR28" s="209">
        <f t="shared" si="60"/>
        <v>5116.38</v>
      </c>
      <c r="BS28" s="209">
        <f t="shared" si="60"/>
        <v>5133.7299999999996</v>
      </c>
      <c r="BT28" s="209">
        <f t="shared" si="60"/>
        <v>5151.08</v>
      </c>
      <c r="BU28" s="209">
        <f t="shared" si="60"/>
        <v>5168.43</v>
      </c>
      <c r="BV28" s="209">
        <f t="shared" si="60"/>
        <v>5185.78</v>
      </c>
      <c r="BW28" s="209">
        <f t="shared" si="60"/>
        <v>5203.13</v>
      </c>
      <c r="BX28" s="209">
        <f t="shared" si="60"/>
        <v>5220.4799999999996</v>
      </c>
      <c r="BY28" s="209">
        <f t="shared" si="60"/>
        <v>5237.83</v>
      </c>
      <c r="BZ28" s="209">
        <f t="shared" si="60"/>
        <v>5255.18</v>
      </c>
      <c r="CA28" s="209">
        <f t="shared" si="60"/>
        <v>5272.53</v>
      </c>
      <c r="CB28" s="209">
        <f t="shared" si="60"/>
        <v>5289.88</v>
      </c>
      <c r="CC28" s="209">
        <f t="shared" si="60"/>
        <v>5307.23</v>
      </c>
      <c r="CD28" s="209">
        <f t="shared" si="60"/>
        <v>5324.58</v>
      </c>
      <c r="CE28" s="209">
        <f t="shared" si="60"/>
        <v>5341.93</v>
      </c>
      <c r="CF28" s="209">
        <f t="shared" si="60"/>
        <v>5359.28</v>
      </c>
      <c r="CG28" s="209">
        <f t="shared" si="60"/>
        <v>5376.63</v>
      </c>
      <c r="CH28" s="209">
        <f t="shared" si="61"/>
        <v>5393.98</v>
      </c>
      <c r="CI28" s="209">
        <f t="shared" si="62"/>
        <v>5411.33</v>
      </c>
      <c r="CJ28" s="209">
        <f t="shared" si="63"/>
        <v>5428.68</v>
      </c>
      <c r="CK28" s="209">
        <f t="shared" si="64"/>
        <v>5446.03</v>
      </c>
      <c r="CL28" s="209">
        <f t="shared" si="65"/>
        <v>5463.38</v>
      </c>
      <c r="CM28" s="209">
        <f t="shared" si="66"/>
        <v>5480.73</v>
      </c>
      <c r="CN28" s="209">
        <f t="shared" si="67"/>
        <v>5498.08</v>
      </c>
      <c r="CO28" s="209">
        <f t="shared" si="68"/>
        <v>5515.43</v>
      </c>
      <c r="CP28" s="209">
        <f t="shared" si="69"/>
        <v>5532.78</v>
      </c>
      <c r="CQ28" s="209">
        <f t="shared" si="70"/>
        <v>5550.13</v>
      </c>
      <c r="CR28" s="209">
        <f t="shared" si="71"/>
        <v>5567.48</v>
      </c>
    </row>
    <row r="29" spans="1:96" s="128" customFormat="1">
      <c r="A29" s="266" t="s">
        <v>72</v>
      </c>
      <c r="B29" s="40" t="s">
        <v>54</v>
      </c>
      <c r="C29" s="40" t="s">
        <v>21</v>
      </c>
      <c r="D29" s="40" t="s">
        <v>31</v>
      </c>
      <c r="E29" s="40" t="s">
        <v>23</v>
      </c>
      <c r="F29" s="324"/>
      <c r="G29" s="15">
        <v>6.4</v>
      </c>
      <c r="H29" s="39"/>
      <c r="I29" s="209">
        <f t="shared" si="13"/>
        <v>8</v>
      </c>
      <c r="J29" s="209">
        <v>1622.66</v>
      </c>
      <c r="K29" s="209">
        <v>1630.66</v>
      </c>
      <c r="L29" s="209">
        <v>1638.66</v>
      </c>
      <c r="M29" s="209">
        <v>1646.66</v>
      </c>
      <c r="N29" s="209">
        <v>1654.66</v>
      </c>
      <c r="O29" s="209">
        <v>1662.66</v>
      </c>
      <c r="P29" s="209">
        <v>1670.66</v>
      </c>
      <c r="Q29" s="209">
        <v>1678.66</v>
      </c>
      <c r="R29" s="209">
        <v>1686.66</v>
      </c>
      <c r="S29" s="209">
        <v>1694.66</v>
      </c>
      <c r="T29" s="209">
        <v>1702.66</v>
      </c>
      <c r="U29" s="209">
        <v>1710.66</v>
      </c>
      <c r="V29" s="209">
        <v>1718.66</v>
      </c>
      <c r="W29" s="209">
        <v>1726.66</v>
      </c>
      <c r="X29" s="209">
        <v>1734.66</v>
      </c>
      <c r="Y29" s="209">
        <v>1742.66</v>
      </c>
      <c r="Z29" s="209">
        <v>1750.66</v>
      </c>
      <c r="AA29" s="209">
        <v>1758.66</v>
      </c>
      <c r="AB29" s="209">
        <v>1766.59</v>
      </c>
      <c r="AC29" s="209">
        <v>1774.59</v>
      </c>
      <c r="AD29" s="209">
        <v>1782.53</v>
      </c>
      <c r="AE29" s="209">
        <v>1790.53</v>
      </c>
      <c r="AF29" s="209">
        <v>1798.53</v>
      </c>
      <c r="AG29" s="209">
        <v>1806.46</v>
      </c>
      <c r="AH29" s="209">
        <v>1814.46</v>
      </c>
      <c r="AI29" s="209">
        <v>1822.46</v>
      </c>
      <c r="AJ29" s="209">
        <v>1830.4</v>
      </c>
      <c r="AK29" s="209">
        <v>1838.4</v>
      </c>
      <c r="AL29" s="209">
        <v>1846.34</v>
      </c>
      <c r="AM29" s="209">
        <v>1854.34</v>
      </c>
      <c r="AN29" s="209">
        <v>1862.34</v>
      </c>
      <c r="AO29" s="209">
        <v>1870.27</v>
      </c>
      <c r="AP29" s="209">
        <v>1878.27</v>
      </c>
      <c r="AQ29" s="209">
        <v>1886.21</v>
      </c>
      <c r="AR29" s="209">
        <v>1894.21</v>
      </c>
      <c r="AS29" s="209">
        <v>1902.21</v>
      </c>
      <c r="AT29" s="209">
        <v>1910.14</v>
      </c>
      <c r="AU29" s="209">
        <v>1918.14</v>
      </c>
      <c r="AV29" s="209">
        <v>1926.14</v>
      </c>
      <c r="AW29" s="209">
        <v>1934.14</v>
      </c>
      <c r="AX29" s="209">
        <v>1942.14</v>
      </c>
      <c r="AY29" s="209">
        <v>1950.08</v>
      </c>
      <c r="AZ29" s="209">
        <v>1958.08</v>
      </c>
      <c r="BA29" s="209">
        <v>1966.08</v>
      </c>
      <c r="BB29" s="209">
        <v>1974.08</v>
      </c>
      <c r="BC29" s="209">
        <v>1982.08</v>
      </c>
      <c r="BD29" s="209">
        <v>1990.02</v>
      </c>
      <c r="BE29" s="209">
        <v>1998.02</v>
      </c>
      <c r="BF29" s="209">
        <v>2006.02</v>
      </c>
      <c r="BG29" s="209">
        <v>2014.02</v>
      </c>
      <c r="BH29" s="209">
        <v>2022.02</v>
      </c>
      <c r="BI29" s="209">
        <v>2029.95</v>
      </c>
      <c r="BJ29" s="209">
        <v>2037.95</v>
      </c>
      <c r="BK29" s="209">
        <v>2045.95</v>
      </c>
      <c r="BL29" s="209">
        <v>2053.9499999999998</v>
      </c>
      <c r="BM29" s="209">
        <v>2061.9499999999998</v>
      </c>
      <c r="BN29" s="209">
        <v>2069.89</v>
      </c>
      <c r="BO29" s="209">
        <f t="shared" si="59"/>
        <v>2077.89</v>
      </c>
      <c r="BP29" s="209">
        <f t="shared" si="60"/>
        <v>2085.89</v>
      </c>
      <c r="BQ29" s="209">
        <f t="shared" si="60"/>
        <v>2093.89</v>
      </c>
      <c r="BR29" s="209">
        <f t="shared" si="60"/>
        <v>2101.89</v>
      </c>
      <c r="BS29" s="209">
        <f t="shared" si="60"/>
        <v>2109.89</v>
      </c>
      <c r="BT29" s="209">
        <f t="shared" si="60"/>
        <v>2117.89</v>
      </c>
      <c r="BU29" s="209">
        <f t="shared" si="60"/>
        <v>2125.89</v>
      </c>
      <c r="BV29" s="209">
        <f t="shared" si="60"/>
        <v>2133.89</v>
      </c>
      <c r="BW29" s="209">
        <f t="shared" si="60"/>
        <v>2141.89</v>
      </c>
      <c r="BX29" s="209">
        <f t="shared" si="60"/>
        <v>2149.89</v>
      </c>
      <c r="BY29" s="209">
        <f t="shared" si="60"/>
        <v>2157.89</v>
      </c>
      <c r="BZ29" s="209">
        <f t="shared" si="60"/>
        <v>2165.89</v>
      </c>
      <c r="CA29" s="209">
        <f t="shared" si="60"/>
        <v>2173.89</v>
      </c>
      <c r="CB29" s="209">
        <f t="shared" si="60"/>
        <v>2181.89</v>
      </c>
      <c r="CC29" s="209">
        <f t="shared" si="60"/>
        <v>2189.89</v>
      </c>
      <c r="CD29" s="209">
        <f t="shared" si="60"/>
        <v>2197.89</v>
      </c>
      <c r="CE29" s="209">
        <f t="shared" si="60"/>
        <v>2205.89</v>
      </c>
      <c r="CF29" s="209">
        <f t="shared" si="60"/>
        <v>2213.89</v>
      </c>
      <c r="CG29" s="209">
        <f t="shared" si="60"/>
        <v>2221.89</v>
      </c>
      <c r="CH29" s="209">
        <f t="shared" si="61"/>
        <v>2229.89</v>
      </c>
      <c r="CI29" s="209">
        <f t="shared" si="62"/>
        <v>2237.89</v>
      </c>
      <c r="CJ29" s="209">
        <f t="shared" si="63"/>
        <v>2245.89</v>
      </c>
      <c r="CK29" s="209">
        <f t="shared" si="64"/>
        <v>2253.89</v>
      </c>
      <c r="CL29" s="209">
        <f t="shared" si="65"/>
        <v>2261.89</v>
      </c>
      <c r="CM29" s="209">
        <f t="shared" si="66"/>
        <v>2269.89</v>
      </c>
      <c r="CN29" s="209">
        <f t="shared" si="67"/>
        <v>2277.89</v>
      </c>
      <c r="CO29" s="209">
        <f t="shared" si="68"/>
        <v>2285.89</v>
      </c>
      <c r="CP29" s="209">
        <f t="shared" si="69"/>
        <v>2293.89</v>
      </c>
      <c r="CQ29" s="209">
        <f t="shared" si="70"/>
        <v>2301.89</v>
      </c>
      <c r="CR29" s="209">
        <f t="shared" si="71"/>
        <v>2309.89</v>
      </c>
    </row>
    <row r="30" spans="1:96" s="128" customFormat="1">
      <c r="A30" s="266" t="s">
        <v>73</v>
      </c>
      <c r="B30" s="40" t="s">
        <v>54</v>
      </c>
      <c r="C30" s="40" t="s">
        <v>21</v>
      </c>
      <c r="D30" s="40" t="s">
        <v>27</v>
      </c>
      <c r="E30" s="40" t="s">
        <v>23</v>
      </c>
      <c r="F30" s="324"/>
      <c r="G30" s="15">
        <v>6.4</v>
      </c>
      <c r="H30" s="39">
        <v>18</v>
      </c>
      <c r="I30" s="209">
        <f t="shared" si="13"/>
        <v>10.240000000000236</v>
      </c>
      <c r="J30" s="209">
        <v>2748.22</v>
      </c>
      <c r="K30" s="209">
        <v>2758.46</v>
      </c>
      <c r="L30" s="209">
        <v>2768.7</v>
      </c>
      <c r="M30" s="209">
        <v>2778.94</v>
      </c>
      <c r="N30" s="209">
        <v>2789.18</v>
      </c>
      <c r="O30" s="209">
        <v>2799.42</v>
      </c>
      <c r="P30" s="209">
        <v>2809.66</v>
      </c>
      <c r="Q30" s="209">
        <v>2819.9</v>
      </c>
      <c r="R30" s="209">
        <v>2830.14</v>
      </c>
      <c r="S30" s="209">
        <v>2840.38</v>
      </c>
      <c r="T30" s="209">
        <v>2850.62</v>
      </c>
      <c r="U30" s="209">
        <v>2860.86</v>
      </c>
      <c r="V30" s="209">
        <v>2871.1</v>
      </c>
      <c r="W30" s="209">
        <v>2881.34</v>
      </c>
      <c r="X30" s="209">
        <v>2891.58</v>
      </c>
      <c r="Y30" s="209">
        <v>2901.82</v>
      </c>
      <c r="Z30" s="209">
        <v>2912.06</v>
      </c>
      <c r="AA30" s="209">
        <v>2922.3</v>
      </c>
      <c r="AB30" s="209">
        <v>2932.54</v>
      </c>
      <c r="AC30" s="209">
        <v>2942.85</v>
      </c>
      <c r="AD30" s="209">
        <v>2953.09</v>
      </c>
      <c r="AE30" s="209">
        <v>2963.33</v>
      </c>
      <c r="AF30" s="209">
        <v>2973.57</v>
      </c>
      <c r="AG30" s="209">
        <v>2983.81</v>
      </c>
      <c r="AH30" s="209">
        <v>2994.05</v>
      </c>
      <c r="AI30" s="209">
        <v>3004.29</v>
      </c>
      <c r="AJ30" s="209">
        <v>3014.59</v>
      </c>
      <c r="AK30" s="209">
        <v>3024.83</v>
      </c>
      <c r="AL30" s="209">
        <v>3035.07</v>
      </c>
      <c r="AM30" s="209">
        <v>3045.31</v>
      </c>
      <c r="AN30" s="209">
        <v>3055.55</v>
      </c>
      <c r="AO30" s="209">
        <v>3065.79</v>
      </c>
      <c r="AP30" s="209">
        <v>3076.1</v>
      </c>
      <c r="AQ30" s="209">
        <v>3086.34</v>
      </c>
      <c r="AR30" s="209">
        <v>3096.58</v>
      </c>
      <c r="AS30" s="209">
        <v>3106.82</v>
      </c>
      <c r="AT30" s="209">
        <v>3117.06</v>
      </c>
      <c r="AU30" s="209">
        <v>3127.3</v>
      </c>
      <c r="AV30" s="209">
        <v>3137.6</v>
      </c>
      <c r="AW30" s="209">
        <v>3147.84</v>
      </c>
      <c r="AX30" s="209">
        <v>3158.08</v>
      </c>
      <c r="AY30" s="209">
        <v>3168.32</v>
      </c>
      <c r="AZ30" s="209">
        <v>3178.56</v>
      </c>
      <c r="BA30" s="209">
        <v>3188.8</v>
      </c>
      <c r="BB30" s="209">
        <v>3199.1</v>
      </c>
      <c r="BC30" s="209">
        <v>3209.34</v>
      </c>
      <c r="BD30" s="209">
        <v>3219.58</v>
      </c>
      <c r="BE30" s="209">
        <v>3229.82</v>
      </c>
      <c r="BF30" s="209">
        <v>3240.06</v>
      </c>
      <c r="BG30" s="209">
        <v>3250.3</v>
      </c>
      <c r="BH30" s="209">
        <v>3260.54</v>
      </c>
      <c r="BI30" s="209">
        <v>3270.85</v>
      </c>
      <c r="BJ30" s="209">
        <v>3281.09</v>
      </c>
      <c r="BK30" s="209">
        <v>3291.33</v>
      </c>
      <c r="BL30" s="209">
        <v>3301.57</v>
      </c>
      <c r="BM30" s="209">
        <v>3311.81</v>
      </c>
      <c r="BN30" s="209">
        <v>3322.05</v>
      </c>
      <c r="BO30" s="209">
        <f t="shared" si="59"/>
        <v>3332.29</v>
      </c>
      <c r="BP30" s="209">
        <f t="shared" si="60"/>
        <v>3342.53</v>
      </c>
      <c r="BQ30" s="209">
        <f t="shared" si="60"/>
        <v>3352.77</v>
      </c>
      <c r="BR30" s="209">
        <f t="shared" si="60"/>
        <v>3363.01</v>
      </c>
      <c r="BS30" s="209">
        <f t="shared" si="60"/>
        <v>3373.25</v>
      </c>
      <c r="BT30" s="209">
        <f t="shared" si="60"/>
        <v>3383.49</v>
      </c>
      <c r="BU30" s="209">
        <f t="shared" si="60"/>
        <v>3393.73</v>
      </c>
      <c r="BV30" s="209">
        <f t="shared" si="60"/>
        <v>3403.97</v>
      </c>
      <c r="BW30" s="209">
        <f t="shared" si="60"/>
        <v>3414.21</v>
      </c>
      <c r="BX30" s="209">
        <f t="shared" si="60"/>
        <v>3424.45</v>
      </c>
      <c r="BY30" s="209">
        <f t="shared" si="60"/>
        <v>3434.69</v>
      </c>
      <c r="BZ30" s="209">
        <f t="shared" si="60"/>
        <v>3444.93</v>
      </c>
      <c r="CA30" s="209">
        <f t="shared" si="60"/>
        <v>3455.17</v>
      </c>
      <c r="CB30" s="209">
        <f t="shared" si="60"/>
        <v>3465.41</v>
      </c>
      <c r="CC30" s="209">
        <f t="shared" si="60"/>
        <v>3475.65</v>
      </c>
      <c r="CD30" s="209">
        <f t="shared" si="60"/>
        <v>3485.89</v>
      </c>
      <c r="CE30" s="209">
        <f t="shared" si="60"/>
        <v>3496.13</v>
      </c>
      <c r="CF30" s="209">
        <f t="shared" si="60"/>
        <v>3506.37</v>
      </c>
      <c r="CG30" s="209">
        <f t="shared" si="60"/>
        <v>3516.61</v>
      </c>
      <c r="CH30" s="209">
        <f t="shared" si="61"/>
        <v>3526.85</v>
      </c>
      <c r="CI30" s="209">
        <f t="shared" si="62"/>
        <v>3537.09</v>
      </c>
      <c r="CJ30" s="209">
        <f t="shared" si="63"/>
        <v>3547.33</v>
      </c>
      <c r="CK30" s="209">
        <f t="shared" si="64"/>
        <v>3557.57</v>
      </c>
      <c r="CL30" s="209">
        <f t="shared" si="65"/>
        <v>3567.81</v>
      </c>
      <c r="CM30" s="209">
        <f t="shared" si="66"/>
        <v>3578.05</v>
      </c>
      <c r="CN30" s="209">
        <f t="shared" si="67"/>
        <v>3588.29</v>
      </c>
      <c r="CO30" s="209">
        <f t="shared" si="68"/>
        <v>3598.53</v>
      </c>
      <c r="CP30" s="209">
        <f t="shared" si="69"/>
        <v>3608.77</v>
      </c>
      <c r="CQ30" s="209">
        <f t="shared" si="70"/>
        <v>3619.01</v>
      </c>
      <c r="CR30" s="209">
        <f t="shared" si="71"/>
        <v>3629.25</v>
      </c>
    </row>
    <row r="31" spans="1:96" s="128" customFormat="1">
      <c r="A31" s="56" t="s">
        <v>235</v>
      </c>
      <c r="B31" s="40" t="s">
        <v>54</v>
      </c>
      <c r="C31" s="40" t="s">
        <v>21</v>
      </c>
      <c r="D31" s="40" t="s">
        <v>39</v>
      </c>
      <c r="E31" s="40" t="s">
        <v>57</v>
      </c>
      <c r="F31" s="324"/>
      <c r="G31" s="15">
        <v>6.4</v>
      </c>
      <c r="H31" s="39"/>
      <c r="I31" s="209">
        <f t="shared" si="13"/>
        <v>8.3199999999999363</v>
      </c>
      <c r="J31" s="209">
        <v>1690.5</v>
      </c>
      <c r="K31" s="209">
        <v>1698.82</v>
      </c>
      <c r="L31" s="209">
        <v>1707.14</v>
      </c>
      <c r="M31" s="209">
        <v>1715.46</v>
      </c>
      <c r="N31" s="209">
        <v>1723.78</v>
      </c>
      <c r="O31" s="209">
        <v>1732.1</v>
      </c>
      <c r="P31" s="209">
        <v>1740.42</v>
      </c>
      <c r="Q31" s="209">
        <v>1748.74</v>
      </c>
      <c r="R31" s="209">
        <v>1757.06</v>
      </c>
      <c r="S31" s="209">
        <v>1765.38</v>
      </c>
      <c r="T31" s="209">
        <v>1773.7</v>
      </c>
      <c r="U31" s="209">
        <v>1782.02</v>
      </c>
      <c r="V31" s="209">
        <v>1790.34</v>
      </c>
      <c r="W31" s="209">
        <v>1798.66</v>
      </c>
      <c r="X31" s="209">
        <v>1806.98</v>
      </c>
      <c r="Y31" s="209">
        <v>1815.3</v>
      </c>
      <c r="Z31" s="209">
        <v>1823.62</v>
      </c>
      <c r="AA31" s="209">
        <v>1831.94</v>
      </c>
      <c r="AB31" s="209">
        <v>1840.19</v>
      </c>
      <c r="AC31" s="209">
        <v>1848.51</v>
      </c>
      <c r="AD31" s="209">
        <v>1856.83</v>
      </c>
      <c r="AE31" s="209">
        <v>1865.15</v>
      </c>
      <c r="AF31" s="209">
        <v>1873.47</v>
      </c>
      <c r="AG31" s="209">
        <v>1881.73</v>
      </c>
      <c r="AH31" s="209">
        <v>1890.05</v>
      </c>
      <c r="AI31" s="209">
        <v>1898.37</v>
      </c>
      <c r="AJ31" s="209">
        <v>1906.69</v>
      </c>
      <c r="AK31" s="209">
        <v>1915.01</v>
      </c>
      <c r="AL31" s="209">
        <v>1923.26</v>
      </c>
      <c r="AM31" s="209">
        <v>1931.58</v>
      </c>
      <c r="AN31" s="209">
        <v>1939.9</v>
      </c>
      <c r="AO31" s="209">
        <v>1948.22</v>
      </c>
      <c r="AP31" s="209">
        <v>1956.54</v>
      </c>
      <c r="AQ31" s="209">
        <v>1964.8</v>
      </c>
      <c r="AR31" s="209">
        <v>1973.12</v>
      </c>
      <c r="AS31" s="209">
        <v>1981.44</v>
      </c>
      <c r="AT31" s="209">
        <v>1989.76</v>
      </c>
      <c r="AU31" s="209">
        <v>1998.08</v>
      </c>
      <c r="AV31" s="209">
        <v>2006.4</v>
      </c>
      <c r="AW31" s="209">
        <v>2014.72</v>
      </c>
      <c r="AX31" s="209">
        <v>2023.04</v>
      </c>
      <c r="AY31" s="209">
        <v>2031.36</v>
      </c>
      <c r="AZ31" s="209">
        <v>2039.68</v>
      </c>
      <c r="BA31" s="209">
        <v>2048</v>
      </c>
      <c r="BB31" s="209">
        <v>2056.3200000000002</v>
      </c>
      <c r="BC31" s="209">
        <v>2064.64</v>
      </c>
      <c r="BD31" s="209">
        <v>2072.96</v>
      </c>
      <c r="BE31" s="209">
        <v>2081.2800000000002</v>
      </c>
      <c r="BF31" s="209">
        <v>2089.6</v>
      </c>
      <c r="BG31" s="209">
        <v>2097.92</v>
      </c>
      <c r="BH31" s="209">
        <v>2106.2399999999998</v>
      </c>
      <c r="BI31" s="209">
        <v>2114.56</v>
      </c>
      <c r="BJ31" s="209">
        <v>2122.88</v>
      </c>
      <c r="BK31" s="209">
        <v>2131.1999999999998</v>
      </c>
      <c r="BL31" s="209">
        <v>2139.52</v>
      </c>
      <c r="BM31" s="209">
        <v>2147.84</v>
      </c>
      <c r="BN31" s="209">
        <v>2156.16</v>
      </c>
      <c r="BO31" s="209">
        <f t="shared" si="59"/>
        <v>2164.48</v>
      </c>
      <c r="BP31" s="209">
        <f t="shared" si="60"/>
        <v>2172.8000000000002</v>
      </c>
      <c r="BQ31" s="209">
        <f t="shared" si="60"/>
        <v>2181.12</v>
      </c>
      <c r="BR31" s="209">
        <f t="shared" si="60"/>
        <v>2189.44</v>
      </c>
      <c r="BS31" s="209">
        <f t="shared" si="60"/>
        <v>2197.7600000000002</v>
      </c>
      <c r="BT31" s="209">
        <f t="shared" si="60"/>
        <v>2206.08</v>
      </c>
      <c r="BU31" s="209">
        <f t="shared" si="60"/>
        <v>2214.4</v>
      </c>
      <c r="BV31" s="209">
        <f t="shared" si="60"/>
        <v>2222.7199999999998</v>
      </c>
      <c r="BW31" s="209">
        <f t="shared" si="60"/>
        <v>2231.04</v>
      </c>
      <c r="BX31" s="209">
        <f t="shared" si="60"/>
        <v>2239.36</v>
      </c>
      <c r="BY31" s="209">
        <f t="shared" si="60"/>
        <v>2247.6799999999998</v>
      </c>
      <c r="BZ31" s="209">
        <f t="shared" si="60"/>
        <v>2256</v>
      </c>
      <c r="CA31" s="209">
        <f t="shared" si="60"/>
        <v>2264.3200000000002</v>
      </c>
      <c r="CB31" s="209">
        <f t="shared" si="60"/>
        <v>2272.64</v>
      </c>
      <c r="CC31" s="209">
        <f t="shared" si="60"/>
        <v>2280.96</v>
      </c>
      <c r="CD31" s="209">
        <f t="shared" si="60"/>
        <v>2289.2800000000002</v>
      </c>
      <c r="CE31" s="209">
        <f t="shared" si="60"/>
        <v>2297.6</v>
      </c>
      <c r="CF31" s="209">
        <f t="shared" si="60"/>
        <v>2305.92</v>
      </c>
      <c r="CG31" s="209">
        <f t="shared" si="60"/>
        <v>2314.2399999999998</v>
      </c>
      <c r="CH31" s="209">
        <f t="shared" si="61"/>
        <v>2322.56</v>
      </c>
      <c r="CI31" s="209">
        <f t="shared" si="62"/>
        <v>2330.88</v>
      </c>
      <c r="CJ31" s="209">
        <f t="shared" si="63"/>
        <v>2339.1999999999998</v>
      </c>
      <c r="CK31" s="209">
        <f t="shared" si="64"/>
        <v>2347.52</v>
      </c>
      <c r="CL31" s="209">
        <f t="shared" si="65"/>
        <v>2355.84</v>
      </c>
      <c r="CM31" s="209">
        <f t="shared" si="66"/>
        <v>2364.16</v>
      </c>
      <c r="CN31" s="209">
        <f t="shared" si="67"/>
        <v>2372.48</v>
      </c>
      <c r="CO31" s="209">
        <f t="shared" si="68"/>
        <v>2380.8000000000002</v>
      </c>
      <c r="CP31" s="209">
        <f t="shared" si="69"/>
        <v>2389.12</v>
      </c>
      <c r="CQ31" s="209">
        <f t="shared" si="70"/>
        <v>2397.44</v>
      </c>
      <c r="CR31" s="209">
        <f t="shared" si="71"/>
        <v>2405.7600000000002</v>
      </c>
    </row>
    <row r="32" spans="1:96" s="128" customFormat="1">
      <c r="A32" s="364" t="s">
        <v>76</v>
      </c>
      <c r="B32" s="36" t="s">
        <v>54</v>
      </c>
      <c r="C32" s="36" t="s">
        <v>77</v>
      </c>
      <c r="D32" s="36" t="s">
        <v>39</v>
      </c>
      <c r="E32" s="36" t="s">
        <v>23</v>
      </c>
      <c r="F32" s="322"/>
      <c r="G32" s="20">
        <v>6.4</v>
      </c>
      <c r="H32" s="37"/>
      <c r="I32" s="208"/>
      <c r="J32" s="208"/>
      <c r="K32" s="208"/>
      <c r="L32" s="208"/>
      <c r="M32" s="208"/>
      <c r="N32" s="208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8"/>
      <c r="AO32" s="208"/>
      <c r="AP32" s="208"/>
      <c r="AQ32" s="208"/>
      <c r="AR32" s="208"/>
      <c r="AS32" s="208"/>
      <c r="AT32" s="208"/>
      <c r="AU32" s="208"/>
      <c r="AV32" s="208"/>
      <c r="AW32" s="208"/>
      <c r="AX32" s="208"/>
      <c r="AY32" s="208"/>
      <c r="AZ32" s="208"/>
      <c r="BA32" s="208"/>
      <c r="BB32" s="208"/>
      <c r="BC32" s="208"/>
      <c r="BD32" s="208"/>
      <c r="BE32" s="208"/>
      <c r="BF32" s="208"/>
      <c r="BG32" s="208"/>
      <c r="BH32" s="208"/>
      <c r="BI32" s="208"/>
      <c r="BJ32" s="208"/>
      <c r="BK32" s="208"/>
      <c r="BL32" s="208"/>
      <c r="BM32" s="208"/>
      <c r="BN32" s="208"/>
      <c r="BO32" s="208"/>
      <c r="BP32" s="208"/>
      <c r="BQ32" s="208"/>
      <c r="BR32" s="208"/>
      <c r="BS32" s="208"/>
      <c r="BT32" s="208"/>
      <c r="BU32" s="208"/>
      <c r="BV32" s="208"/>
      <c r="BW32" s="208"/>
      <c r="BX32" s="208"/>
      <c r="BY32" s="208"/>
      <c r="BZ32" s="208"/>
      <c r="CA32" s="208"/>
      <c r="CB32" s="208"/>
      <c r="CC32" s="208"/>
      <c r="CD32" s="208"/>
      <c r="CE32" s="208"/>
      <c r="CF32" s="208"/>
      <c r="CG32" s="208"/>
      <c r="CH32" s="208"/>
      <c r="CI32" s="208"/>
      <c r="CJ32" s="208"/>
      <c r="CK32" s="208"/>
      <c r="CL32" s="208"/>
      <c r="CM32" s="208"/>
      <c r="CN32" s="208"/>
      <c r="CO32" s="208"/>
      <c r="CP32" s="208"/>
      <c r="CQ32" s="208"/>
      <c r="CR32" s="208"/>
    </row>
    <row r="33" spans="1:96" s="206" customFormat="1">
      <c r="A33" s="369" t="s">
        <v>78</v>
      </c>
      <c r="B33" s="179" t="s">
        <v>79</v>
      </c>
      <c r="C33" s="179" t="s">
        <v>45</v>
      </c>
      <c r="D33" s="179" t="s">
        <v>27</v>
      </c>
      <c r="E33" s="179" t="s">
        <v>57</v>
      </c>
      <c r="F33" s="327"/>
      <c r="G33" s="180">
        <v>6.4</v>
      </c>
      <c r="H33" s="181"/>
      <c r="I33" s="210">
        <f t="shared" si="13"/>
        <v>7.8099999999999454</v>
      </c>
      <c r="J33" s="210">
        <v>1297.98</v>
      </c>
      <c r="K33" s="210">
        <v>1305.79</v>
      </c>
      <c r="L33" s="210">
        <v>1313.6</v>
      </c>
      <c r="M33" s="210">
        <v>1321.41</v>
      </c>
      <c r="N33" s="210">
        <v>1329.22</v>
      </c>
      <c r="O33" s="210">
        <v>1337.02</v>
      </c>
      <c r="P33" s="210">
        <v>1344.83</v>
      </c>
      <c r="Q33" s="210">
        <v>1352.64</v>
      </c>
      <c r="R33" s="210">
        <v>1360.45</v>
      </c>
      <c r="S33" s="210">
        <v>1368.26</v>
      </c>
      <c r="T33" s="210">
        <v>1376.06</v>
      </c>
      <c r="U33" s="210">
        <v>1383.87</v>
      </c>
      <c r="V33" s="210">
        <v>1391.68</v>
      </c>
      <c r="W33" s="210">
        <v>1399.49</v>
      </c>
      <c r="X33" s="210">
        <v>1407.3</v>
      </c>
      <c r="Y33" s="210">
        <v>1415.1</v>
      </c>
      <c r="Z33" s="210">
        <v>1422.91</v>
      </c>
      <c r="AA33" s="210">
        <v>1430.72</v>
      </c>
      <c r="AB33" s="210">
        <v>1438.4</v>
      </c>
      <c r="AC33" s="210">
        <v>1446.21</v>
      </c>
      <c r="AD33" s="210">
        <v>1453.95</v>
      </c>
      <c r="AE33" s="210">
        <v>1461.7</v>
      </c>
      <c r="AF33" s="210">
        <v>1469.44</v>
      </c>
      <c r="AG33" s="210">
        <v>1477.25</v>
      </c>
      <c r="AH33" s="210">
        <v>1484.93</v>
      </c>
      <c r="AI33" s="210">
        <v>1492.74</v>
      </c>
      <c r="AJ33" s="210">
        <v>1500.48</v>
      </c>
      <c r="AK33" s="210">
        <v>1508.22</v>
      </c>
      <c r="AL33" s="210">
        <v>1515.97</v>
      </c>
      <c r="AM33" s="210">
        <v>1523.71</v>
      </c>
      <c r="AN33" s="210">
        <v>1531.46</v>
      </c>
      <c r="AO33" s="210">
        <v>1539.2</v>
      </c>
      <c r="AP33" s="210">
        <v>1547.01</v>
      </c>
      <c r="AQ33" s="210">
        <v>1554.69</v>
      </c>
      <c r="AR33" s="210">
        <v>1562.5</v>
      </c>
      <c r="AS33" s="210">
        <v>1570.24</v>
      </c>
      <c r="AT33" s="210">
        <v>1577.98</v>
      </c>
      <c r="AU33" s="210">
        <v>1585.79</v>
      </c>
      <c r="AV33" s="210">
        <v>1593.6</v>
      </c>
      <c r="AW33" s="210">
        <v>1601.34</v>
      </c>
      <c r="AX33" s="210">
        <v>1609.15</v>
      </c>
      <c r="AY33" s="210">
        <v>1616.96</v>
      </c>
      <c r="AZ33" s="210">
        <v>1624.7</v>
      </c>
      <c r="BA33" s="210">
        <v>1632.51</v>
      </c>
      <c r="BB33" s="210">
        <v>1640.32</v>
      </c>
      <c r="BC33" s="210">
        <v>1648.06</v>
      </c>
      <c r="BD33" s="210">
        <v>1655.87</v>
      </c>
      <c r="BE33" s="210">
        <v>1663.68</v>
      </c>
      <c r="BF33" s="210">
        <v>1671.42</v>
      </c>
      <c r="BG33" s="210">
        <v>1679.23</v>
      </c>
      <c r="BH33" s="210">
        <v>1687.04</v>
      </c>
      <c r="BI33" s="210">
        <v>1694.85</v>
      </c>
      <c r="BJ33" s="210">
        <v>1702.59</v>
      </c>
      <c r="BK33" s="210">
        <v>1710.4</v>
      </c>
      <c r="BL33" s="210">
        <v>1718.21</v>
      </c>
      <c r="BM33" s="210">
        <v>1725.95</v>
      </c>
      <c r="BN33" s="210">
        <v>1733.76</v>
      </c>
      <c r="BO33" s="210"/>
      <c r="BP33" s="210"/>
      <c r="BQ33" s="210"/>
      <c r="BR33" s="210"/>
      <c r="BS33" s="210"/>
      <c r="BT33" s="210"/>
      <c r="BU33" s="210"/>
      <c r="BV33" s="210"/>
      <c r="BW33" s="210"/>
      <c r="BX33" s="210"/>
      <c r="BY33" s="210"/>
      <c r="BZ33" s="210"/>
      <c r="CA33" s="210"/>
      <c r="CB33" s="210"/>
      <c r="CC33" s="210"/>
      <c r="CD33" s="210"/>
      <c r="CE33" s="210"/>
      <c r="CF33" s="210"/>
      <c r="CG33" s="210"/>
      <c r="CH33" s="210"/>
      <c r="CI33" s="210"/>
      <c r="CJ33" s="210"/>
      <c r="CK33" s="210"/>
      <c r="CL33" s="210"/>
      <c r="CM33" s="210"/>
      <c r="CN33" s="210"/>
      <c r="CO33" s="210"/>
      <c r="CP33" s="210"/>
      <c r="CQ33" s="210"/>
      <c r="CR33" s="210"/>
    </row>
    <row r="34" spans="1:96" s="128" customFormat="1">
      <c r="A34" s="266" t="s">
        <v>78</v>
      </c>
      <c r="B34" s="40" t="s">
        <v>79</v>
      </c>
      <c r="C34" s="40" t="s">
        <v>45</v>
      </c>
      <c r="D34" s="40" t="s">
        <v>27</v>
      </c>
      <c r="E34" s="40" t="s">
        <v>57</v>
      </c>
      <c r="F34" s="324"/>
      <c r="G34" s="15">
        <v>6.4</v>
      </c>
      <c r="H34" s="39"/>
      <c r="I34" s="209">
        <f>1.11*7.2</f>
        <v>7.9920000000000009</v>
      </c>
      <c r="J34" s="209">
        <v>1297.98</v>
      </c>
      <c r="K34" s="209">
        <v>1305.79</v>
      </c>
      <c r="L34" s="209">
        <v>1313.6</v>
      </c>
      <c r="M34" s="209">
        <v>1321.41</v>
      </c>
      <c r="N34" s="209">
        <v>1329.22</v>
      </c>
      <c r="O34" s="209">
        <v>1337.02</v>
      </c>
      <c r="P34" s="209">
        <v>1344.83</v>
      </c>
      <c r="Q34" s="209">
        <v>1352.64</v>
      </c>
      <c r="R34" s="209">
        <v>1360.45</v>
      </c>
      <c r="S34" s="209">
        <v>1368.26</v>
      </c>
      <c r="T34" s="209">
        <v>1376.06</v>
      </c>
      <c r="U34" s="209">
        <v>1383.87</v>
      </c>
      <c r="V34" s="209">
        <v>1391.68</v>
      </c>
      <c r="W34" s="209">
        <v>1399.49</v>
      </c>
      <c r="X34" s="209">
        <v>1407.3</v>
      </c>
      <c r="Y34" s="209">
        <v>1415.1</v>
      </c>
      <c r="Z34" s="209">
        <v>1422.91</v>
      </c>
      <c r="AA34" s="209">
        <v>1430.72</v>
      </c>
      <c r="AB34" s="209">
        <v>1438.4</v>
      </c>
      <c r="AC34" s="209">
        <v>1446.21</v>
      </c>
      <c r="AD34" s="209">
        <v>1453.95</v>
      </c>
      <c r="AE34" s="209">
        <v>1461.7</v>
      </c>
      <c r="AF34" s="209">
        <v>1469.44</v>
      </c>
      <c r="AG34" s="209">
        <v>1477.25</v>
      </c>
      <c r="AH34" s="209">
        <v>1484.93</v>
      </c>
      <c r="AI34" s="209">
        <v>1492.74</v>
      </c>
      <c r="AJ34" s="209">
        <f t="shared" ref="AJ34:AR34" si="72">AK34-$I34</f>
        <v>1467.2900000000004</v>
      </c>
      <c r="AK34" s="209">
        <f t="shared" si="72"/>
        <v>1475.2820000000004</v>
      </c>
      <c r="AL34" s="209">
        <f t="shared" si="72"/>
        <v>1483.2740000000003</v>
      </c>
      <c r="AM34" s="209">
        <f t="shared" si="72"/>
        <v>1491.2660000000003</v>
      </c>
      <c r="AN34" s="209">
        <f t="shared" si="72"/>
        <v>1499.2580000000003</v>
      </c>
      <c r="AO34" s="209">
        <f t="shared" si="72"/>
        <v>1507.2500000000002</v>
      </c>
      <c r="AP34" s="209">
        <f t="shared" si="72"/>
        <v>1515.2420000000002</v>
      </c>
      <c r="AQ34" s="209">
        <f t="shared" si="72"/>
        <v>1523.2340000000002</v>
      </c>
      <c r="AR34" s="209">
        <f t="shared" si="72"/>
        <v>1531.2260000000001</v>
      </c>
      <c r="AS34" s="209">
        <f>AT34-$I34</f>
        <v>1539.2180000000001</v>
      </c>
      <c r="AT34" s="209">
        <v>1547.21</v>
      </c>
      <c r="AU34" s="209">
        <f>AT34+$I34</f>
        <v>1555.202</v>
      </c>
      <c r="AV34" s="209">
        <f t="shared" ref="AV34:BN34" si="73">AU34+$I34</f>
        <v>1563.194</v>
      </c>
      <c r="AW34" s="209">
        <f t="shared" si="73"/>
        <v>1571.1859999999999</v>
      </c>
      <c r="AX34" s="209">
        <f t="shared" si="73"/>
        <v>1579.1779999999999</v>
      </c>
      <c r="AY34" s="209">
        <f t="shared" si="73"/>
        <v>1587.1699999999998</v>
      </c>
      <c r="AZ34" s="209">
        <f t="shared" si="73"/>
        <v>1595.1619999999998</v>
      </c>
      <c r="BA34" s="209">
        <f t="shared" si="73"/>
        <v>1603.1539999999998</v>
      </c>
      <c r="BB34" s="209">
        <f t="shared" si="73"/>
        <v>1611.1459999999997</v>
      </c>
      <c r="BC34" s="209">
        <f t="shared" si="73"/>
        <v>1619.1379999999997</v>
      </c>
      <c r="BD34" s="209">
        <f t="shared" si="73"/>
        <v>1627.1299999999997</v>
      </c>
      <c r="BE34" s="209">
        <f t="shared" si="73"/>
        <v>1635.1219999999996</v>
      </c>
      <c r="BF34" s="209">
        <f t="shared" si="73"/>
        <v>1643.1139999999996</v>
      </c>
      <c r="BG34" s="209">
        <f t="shared" si="73"/>
        <v>1651.1059999999995</v>
      </c>
      <c r="BH34" s="209">
        <f t="shared" si="73"/>
        <v>1659.0979999999995</v>
      </c>
      <c r="BI34" s="209">
        <f t="shared" si="73"/>
        <v>1667.0899999999995</v>
      </c>
      <c r="BJ34" s="209">
        <f t="shared" si="73"/>
        <v>1675.0819999999994</v>
      </c>
      <c r="BK34" s="209">
        <f t="shared" si="73"/>
        <v>1683.0739999999994</v>
      </c>
      <c r="BL34" s="209">
        <f t="shared" si="73"/>
        <v>1691.0659999999993</v>
      </c>
      <c r="BM34" s="209">
        <f t="shared" si="73"/>
        <v>1699.0579999999993</v>
      </c>
      <c r="BN34" s="209">
        <f t="shared" si="73"/>
        <v>1707.0499999999993</v>
      </c>
      <c r="BO34" s="209">
        <f t="shared" ref="BO34:CG34" si="74">ROUND(BN34+$I34,2)</f>
        <v>1715.04</v>
      </c>
      <c r="BP34" s="209">
        <f t="shared" si="74"/>
        <v>1723.03</v>
      </c>
      <c r="BQ34" s="209">
        <f t="shared" si="74"/>
        <v>1731.02</v>
      </c>
      <c r="BR34" s="209">
        <f t="shared" si="74"/>
        <v>1739.01</v>
      </c>
      <c r="BS34" s="209">
        <f t="shared" si="74"/>
        <v>1747</v>
      </c>
      <c r="BT34" s="209">
        <f t="shared" si="74"/>
        <v>1754.99</v>
      </c>
      <c r="BU34" s="209">
        <f t="shared" si="74"/>
        <v>1762.98</v>
      </c>
      <c r="BV34" s="209">
        <f t="shared" si="74"/>
        <v>1770.97</v>
      </c>
      <c r="BW34" s="209">
        <f t="shared" si="74"/>
        <v>1778.96</v>
      </c>
      <c r="BX34" s="209">
        <f t="shared" si="74"/>
        <v>1786.95</v>
      </c>
      <c r="BY34" s="209">
        <f t="shared" si="74"/>
        <v>1794.94</v>
      </c>
      <c r="BZ34" s="209">
        <f t="shared" si="74"/>
        <v>1802.93</v>
      </c>
      <c r="CA34" s="209">
        <f t="shared" si="74"/>
        <v>1810.92</v>
      </c>
      <c r="CB34" s="209">
        <f t="shared" si="74"/>
        <v>1818.91</v>
      </c>
      <c r="CC34" s="209">
        <f t="shared" si="74"/>
        <v>1826.9</v>
      </c>
      <c r="CD34" s="209">
        <f t="shared" si="74"/>
        <v>1834.89</v>
      </c>
      <c r="CE34" s="209">
        <f t="shared" si="74"/>
        <v>1842.88</v>
      </c>
      <c r="CF34" s="209">
        <f t="shared" si="74"/>
        <v>1850.87</v>
      </c>
      <c r="CG34" s="209">
        <f t="shared" si="74"/>
        <v>1858.86</v>
      </c>
      <c r="CH34" s="209">
        <f t="shared" ref="CH34" si="75">ROUND(CG34+$I34,2)</f>
        <v>1866.85</v>
      </c>
      <c r="CI34" s="209">
        <f t="shared" ref="CI34" si="76">ROUND(CH34+$I34,2)</f>
        <v>1874.84</v>
      </c>
      <c r="CJ34" s="209">
        <f t="shared" ref="CJ34" si="77">ROUND(CI34+$I34,2)</f>
        <v>1882.83</v>
      </c>
      <c r="CK34" s="209">
        <f t="shared" ref="CK34" si="78">ROUND(CJ34+$I34,2)</f>
        <v>1890.82</v>
      </c>
      <c r="CL34" s="209">
        <f t="shared" ref="CL34" si="79">ROUND(CK34+$I34,2)</f>
        <v>1898.81</v>
      </c>
      <c r="CM34" s="209">
        <f t="shared" ref="CM34" si="80">ROUND(CL34+$I34,2)</f>
        <v>1906.8</v>
      </c>
      <c r="CN34" s="209">
        <f t="shared" ref="CN34" si="81">ROUND(CM34+$I34,2)</f>
        <v>1914.79</v>
      </c>
      <c r="CO34" s="209">
        <f t="shared" ref="CO34" si="82">ROUND(CN34+$I34,2)</f>
        <v>1922.78</v>
      </c>
      <c r="CP34" s="209">
        <f t="shared" ref="CP34" si="83">ROUND(CO34+$I34,2)</f>
        <v>1930.77</v>
      </c>
      <c r="CQ34" s="209">
        <f t="shared" ref="CQ34" si="84">ROUND(CP34+$I34,2)</f>
        <v>1938.76</v>
      </c>
      <c r="CR34" s="209">
        <f t="shared" ref="CR34" si="85">ROUND(CQ34+$I34,2)</f>
        <v>1946.75</v>
      </c>
    </row>
    <row r="35" spans="1:96" s="128" customFormat="1">
      <c r="A35" s="364" t="s">
        <v>276</v>
      </c>
      <c r="B35" s="36" t="s">
        <v>79</v>
      </c>
      <c r="C35" s="36" t="s">
        <v>45</v>
      </c>
      <c r="D35" s="36" t="s">
        <v>82</v>
      </c>
      <c r="E35" s="36" t="s">
        <v>23</v>
      </c>
      <c r="F35" s="322"/>
      <c r="G35" s="20">
        <v>6.4</v>
      </c>
      <c r="H35" s="37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8"/>
      <c r="AR35" s="208"/>
      <c r="AS35" s="208"/>
      <c r="AT35" s="208"/>
      <c r="AU35" s="208"/>
      <c r="AV35" s="208"/>
      <c r="AW35" s="208"/>
      <c r="AX35" s="208"/>
      <c r="AY35" s="208"/>
      <c r="AZ35" s="208"/>
      <c r="BA35" s="208"/>
      <c r="BB35" s="208"/>
      <c r="BC35" s="208"/>
      <c r="BD35" s="208"/>
      <c r="BE35" s="208"/>
      <c r="BF35" s="208"/>
      <c r="BG35" s="208"/>
      <c r="BH35" s="208"/>
      <c r="BI35" s="208"/>
      <c r="BJ35" s="208"/>
      <c r="BK35" s="208"/>
      <c r="BL35" s="208"/>
      <c r="BM35" s="208"/>
      <c r="BN35" s="208"/>
      <c r="BO35" s="208"/>
      <c r="BP35" s="208"/>
      <c r="BQ35" s="208"/>
      <c r="BR35" s="208"/>
      <c r="BS35" s="208"/>
      <c r="BT35" s="208"/>
      <c r="BU35" s="208"/>
      <c r="BV35" s="208"/>
      <c r="BW35" s="208"/>
      <c r="BX35" s="208"/>
      <c r="BY35" s="208"/>
      <c r="BZ35" s="208"/>
      <c r="CA35" s="208"/>
      <c r="CB35" s="208"/>
      <c r="CC35" s="208"/>
      <c r="CD35" s="208"/>
      <c r="CE35" s="208"/>
      <c r="CF35" s="208"/>
      <c r="CG35" s="208"/>
      <c r="CH35" s="208"/>
      <c r="CI35" s="208"/>
      <c r="CJ35" s="208"/>
      <c r="CK35" s="208"/>
      <c r="CL35" s="208"/>
      <c r="CM35" s="208"/>
      <c r="CN35" s="208"/>
      <c r="CO35" s="208"/>
      <c r="CP35" s="208"/>
      <c r="CQ35" s="208"/>
      <c r="CR35" s="208"/>
    </row>
    <row r="36" spans="1:96" s="128" customFormat="1">
      <c r="A36" s="266" t="s">
        <v>277</v>
      </c>
      <c r="B36" s="40" t="s">
        <v>79</v>
      </c>
      <c r="C36" s="40" t="s">
        <v>45</v>
      </c>
      <c r="D36" s="40" t="s">
        <v>25</v>
      </c>
      <c r="E36" s="40" t="s">
        <v>23</v>
      </c>
      <c r="F36" s="324"/>
      <c r="G36" s="15">
        <v>6.4</v>
      </c>
      <c r="H36" s="39"/>
      <c r="I36" s="209">
        <f t="shared" si="13"/>
        <v>18.75</v>
      </c>
      <c r="J36" s="209">
        <v>2971.9</v>
      </c>
      <c r="K36" s="209">
        <v>2990.59</v>
      </c>
      <c r="L36" s="209">
        <v>3009.28</v>
      </c>
      <c r="M36" s="209">
        <v>3027.97</v>
      </c>
      <c r="N36" s="209">
        <v>3046.66</v>
      </c>
      <c r="O36" s="209">
        <v>3065.34</v>
      </c>
      <c r="P36" s="209">
        <v>3084.03</v>
      </c>
      <c r="Q36" s="209">
        <v>3102.72</v>
      </c>
      <c r="R36" s="209">
        <v>3121.41</v>
      </c>
      <c r="S36" s="209">
        <v>3140.1</v>
      </c>
      <c r="T36" s="209">
        <v>3158.78</v>
      </c>
      <c r="U36" s="209">
        <v>3177.47</v>
      </c>
      <c r="V36" s="209">
        <v>3196.16</v>
      </c>
      <c r="W36" s="209">
        <v>3214.85</v>
      </c>
      <c r="X36" s="209">
        <v>3233.54</v>
      </c>
      <c r="Y36" s="209">
        <v>3252.22</v>
      </c>
      <c r="Z36" s="209">
        <v>3270.91</v>
      </c>
      <c r="AA36" s="209">
        <v>3289.6</v>
      </c>
      <c r="AB36" s="209">
        <v>3308.29</v>
      </c>
      <c r="AC36" s="209">
        <v>3327.04</v>
      </c>
      <c r="AD36" s="209">
        <v>3345.73</v>
      </c>
      <c r="AE36" s="209">
        <v>3364.42</v>
      </c>
      <c r="AF36" s="209">
        <v>3383.17</v>
      </c>
      <c r="AG36" s="209">
        <v>3401.86</v>
      </c>
      <c r="AH36" s="209">
        <v>3420.54</v>
      </c>
      <c r="AI36" s="209">
        <v>3439.3</v>
      </c>
      <c r="AJ36" s="209">
        <v>3457.98</v>
      </c>
      <c r="AK36" s="209">
        <v>3476.74</v>
      </c>
      <c r="AL36" s="209">
        <v>3495.49</v>
      </c>
      <c r="AM36" s="209">
        <v>3514.18</v>
      </c>
      <c r="AN36" s="209">
        <v>3532.86</v>
      </c>
      <c r="AO36" s="209">
        <v>3551.62</v>
      </c>
      <c r="AP36" s="209">
        <v>3570.3</v>
      </c>
      <c r="AQ36" s="209">
        <v>3588.99</v>
      </c>
      <c r="AR36" s="209">
        <v>3607.74</v>
      </c>
      <c r="AS36" s="209">
        <v>3626.43</v>
      </c>
      <c r="AT36" s="209">
        <v>3645.12</v>
      </c>
      <c r="AU36" s="209">
        <v>3663.87</v>
      </c>
      <c r="AV36" s="209">
        <v>3682.56</v>
      </c>
      <c r="AW36" s="209">
        <v>3701.25</v>
      </c>
      <c r="AX36" s="209">
        <v>3720</v>
      </c>
      <c r="AY36" s="209">
        <v>3738.69</v>
      </c>
      <c r="AZ36" s="209">
        <v>3757.38</v>
      </c>
      <c r="BA36" s="209">
        <v>3776.13</v>
      </c>
      <c r="BB36" s="209">
        <v>3794.82</v>
      </c>
      <c r="BC36" s="209">
        <v>3813.5</v>
      </c>
      <c r="BD36" s="209">
        <v>3832.26</v>
      </c>
      <c r="BE36" s="209">
        <v>3850.94</v>
      </c>
      <c r="BF36" s="209">
        <v>3869.63</v>
      </c>
      <c r="BG36" s="209">
        <v>3888.38</v>
      </c>
      <c r="BH36" s="209">
        <v>3907.07</v>
      </c>
      <c r="BI36" s="209">
        <v>3925.76</v>
      </c>
      <c r="BJ36" s="209">
        <v>3944.58</v>
      </c>
      <c r="BK36" s="209">
        <v>3963.26</v>
      </c>
      <c r="BL36" s="209">
        <v>3981.95</v>
      </c>
      <c r="BM36" s="209">
        <v>4000.7</v>
      </c>
      <c r="BN36" s="209">
        <v>4019.39</v>
      </c>
      <c r="BO36" s="209">
        <f t="shared" ref="BO36:CG36" si="86">ROUND(BN36+$I36,2)</f>
        <v>4038.14</v>
      </c>
      <c r="BP36" s="209">
        <f t="shared" si="86"/>
        <v>4056.89</v>
      </c>
      <c r="BQ36" s="209">
        <f t="shared" si="86"/>
        <v>4075.64</v>
      </c>
      <c r="BR36" s="209">
        <f t="shared" si="86"/>
        <v>4094.39</v>
      </c>
      <c r="BS36" s="209">
        <f t="shared" si="86"/>
        <v>4113.1400000000003</v>
      </c>
      <c r="BT36" s="209">
        <f t="shared" si="86"/>
        <v>4131.8900000000003</v>
      </c>
      <c r="BU36" s="209">
        <f t="shared" si="86"/>
        <v>4150.6400000000003</v>
      </c>
      <c r="BV36" s="209">
        <f t="shared" si="86"/>
        <v>4169.3900000000003</v>
      </c>
      <c r="BW36" s="209">
        <f t="shared" si="86"/>
        <v>4188.1400000000003</v>
      </c>
      <c r="BX36" s="209">
        <f t="shared" si="86"/>
        <v>4206.8900000000003</v>
      </c>
      <c r="BY36" s="209">
        <f t="shared" si="86"/>
        <v>4225.6400000000003</v>
      </c>
      <c r="BZ36" s="209">
        <f t="shared" si="86"/>
        <v>4244.3900000000003</v>
      </c>
      <c r="CA36" s="209">
        <f t="shared" si="86"/>
        <v>4263.1400000000003</v>
      </c>
      <c r="CB36" s="209">
        <f t="shared" si="86"/>
        <v>4281.8900000000003</v>
      </c>
      <c r="CC36" s="209">
        <f t="shared" si="86"/>
        <v>4300.6400000000003</v>
      </c>
      <c r="CD36" s="209">
        <f t="shared" si="86"/>
        <v>4319.3900000000003</v>
      </c>
      <c r="CE36" s="209">
        <f t="shared" si="86"/>
        <v>4338.1400000000003</v>
      </c>
      <c r="CF36" s="209">
        <f t="shared" si="86"/>
        <v>4356.8900000000003</v>
      </c>
      <c r="CG36" s="209">
        <f t="shared" si="86"/>
        <v>4375.6400000000003</v>
      </c>
      <c r="CH36" s="209">
        <f t="shared" ref="CH36:CH44" si="87">ROUND(CG36+$I36,2)</f>
        <v>4394.3900000000003</v>
      </c>
      <c r="CI36" s="209">
        <f t="shared" ref="CI36:CI44" si="88">ROUND(CH36+$I36,2)</f>
        <v>4413.1400000000003</v>
      </c>
      <c r="CJ36" s="209">
        <f t="shared" ref="CJ36:CJ44" si="89">ROUND(CI36+$I36,2)</f>
        <v>4431.8900000000003</v>
      </c>
      <c r="CK36" s="209">
        <f t="shared" ref="CK36:CK44" si="90">ROUND(CJ36+$I36,2)</f>
        <v>4450.6400000000003</v>
      </c>
      <c r="CL36" s="209">
        <f t="shared" ref="CL36:CL44" si="91">ROUND(CK36+$I36,2)</f>
        <v>4469.3900000000003</v>
      </c>
      <c r="CM36" s="209">
        <f t="shared" ref="CM36:CM44" si="92">ROUND(CL36+$I36,2)</f>
        <v>4488.1400000000003</v>
      </c>
      <c r="CN36" s="209">
        <f t="shared" ref="CN36:CN44" si="93">ROUND(CM36+$I36,2)</f>
        <v>4506.8900000000003</v>
      </c>
      <c r="CO36" s="209">
        <f t="shared" ref="CO36:CO44" si="94">ROUND(CN36+$I36,2)</f>
        <v>4525.6400000000003</v>
      </c>
      <c r="CP36" s="209">
        <f t="shared" ref="CP36:CP44" si="95">ROUND(CO36+$I36,2)</f>
        <v>4544.3900000000003</v>
      </c>
      <c r="CQ36" s="209">
        <f t="shared" ref="CQ36:CQ44" si="96">ROUND(CP36+$I36,2)</f>
        <v>4563.1400000000003</v>
      </c>
      <c r="CR36" s="209">
        <f t="shared" ref="CR36:CR44" si="97">ROUND(CQ36+$I36,2)</f>
        <v>4581.8900000000003</v>
      </c>
    </row>
    <row r="37" spans="1:96" s="128" customFormat="1">
      <c r="A37" s="266" t="s">
        <v>278</v>
      </c>
      <c r="B37" s="40" t="s">
        <v>79</v>
      </c>
      <c r="C37" s="40" t="s">
        <v>45</v>
      </c>
      <c r="D37" s="40" t="s">
        <v>31</v>
      </c>
      <c r="E37" s="40" t="s">
        <v>23</v>
      </c>
      <c r="F37" s="324"/>
      <c r="G37" s="15">
        <v>6.4</v>
      </c>
      <c r="H37" s="39"/>
      <c r="I37" s="209">
        <f t="shared" si="13"/>
        <v>16.710000000000036</v>
      </c>
      <c r="J37" s="209">
        <v>2653.18</v>
      </c>
      <c r="K37" s="209">
        <v>2669.89</v>
      </c>
      <c r="L37" s="209">
        <v>2686.59</v>
      </c>
      <c r="M37" s="209">
        <v>2703.3</v>
      </c>
      <c r="N37" s="209">
        <v>2720</v>
      </c>
      <c r="O37" s="209">
        <v>2736.7</v>
      </c>
      <c r="P37" s="209">
        <v>2753.41</v>
      </c>
      <c r="Q37" s="209">
        <v>2770.11</v>
      </c>
      <c r="R37" s="209">
        <v>2786.82</v>
      </c>
      <c r="S37" s="209">
        <v>2803.52</v>
      </c>
      <c r="T37" s="209">
        <v>2820.22</v>
      </c>
      <c r="U37" s="209">
        <v>2836.93</v>
      </c>
      <c r="V37" s="209">
        <v>2853.63</v>
      </c>
      <c r="W37" s="209">
        <v>2870.34</v>
      </c>
      <c r="X37" s="209">
        <v>2887.04</v>
      </c>
      <c r="Y37" s="209">
        <v>2903.74</v>
      </c>
      <c r="Z37" s="209">
        <v>2920.45</v>
      </c>
      <c r="AA37" s="209">
        <v>2937.15</v>
      </c>
      <c r="AB37" s="209">
        <v>2953.86</v>
      </c>
      <c r="AC37" s="209">
        <v>2970.56</v>
      </c>
      <c r="AD37" s="209">
        <v>2987.26</v>
      </c>
      <c r="AE37" s="209">
        <v>3003.97</v>
      </c>
      <c r="AF37" s="209">
        <v>3020.67</v>
      </c>
      <c r="AG37" s="209">
        <v>3037.38</v>
      </c>
      <c r="AH37" s="209">
        <v>3054.08</v>
      </c>
      <c r="AI37" s="209">
        <v>3070.78</v>
      </c>
      <c r="AJ37" s="209">
        <v>3087.49</v>
      </c>
      <c r="AK37" s="209">
        <v>3104.26</v>
      </c>
      <c r="AL37" s="209">
        <v>3120.96</v>
      </c>
      <c r="AM37" s="209">
        <v>3137.66</v>
      </c>
      <c r="AN37" s="209">
        <v>3154.37</v>
      </c>
      <c r="AO37" s="209">
        <v>3171.07</v>
      </c>
      <c r="AP37" s="209">
        <v>3187.78</v>
      </c>
      <c r="AQ37" s="209">
        <v>3204.48</v>
      </c>
      <c r="AR37" s="209">
        <v>3221.18</v>
      </c>
      <c r="AS37" s="209">
        <v>3237.89</v>
      </c>
      <c r="AT37" s="209">
        <v>3254.59</v>
      </c>
      <c r="AU37" s="209">
        <v>3271.3</v>
      </c>
      <c r="AV37" s="209">
        <v>3288</v>
      </c>
      <c r="AW37" s="209">
        <v>3304.7</v>
      </c>
      <c r="AX37" s="209">
        <v>3321.41</v>
      </c>
      <c r="AY37" s="209">
        <v>3338.11</v>
      </c>
      <c r="AZ37" s="209">
        <v>3354.82</v>
      </c>
      <c r="BA37" s="209">
        <v>3371.52</v>
      </c>
      <c r="BB37" s="209">
        <v>3388.22</v>
      </c>
      <c r="BC37" s="209">
        <v>3404.93</v>
      </c>
      <c r="BD37" s="209">
        <v>3421.63</v>
      </c>
      <c r="BE37" s="209">
        <v>3438.34</v>
      </c>
      <c r="BF37" s="209">
        <v>3455.04</v>
      </c>
      <c r="BG37" s="209">
        <v>3471.74</v>
      </c>
      <c r="BH37" s="209">
        <v>3488.45</v>
      </c>
      <c r="BI37" s="209">
        <v>3505.15</v>
      </c>
      <c r="BJ37" s="209">
        <v>3521.92</v>
      </c>
      <c r="BK37" s="209">
        <v>3538.62</v>
      </c>
      <c r="BL37" s="209">
        <v>3555.33</v>
      </c>
      <c r="BM37" s="209">
        <v>3572.03</v>
      </c>
      <c r="BN37" s="209">
        <v>3588.74</v>
      </c>
      <c r="BO37" s="209">
        <f t="shared" ref="BO37:CG37" si="98">ROUND(BN37+$I37,2)</f>
        <v>3605.45</v>
      </c>
      <c r="BP37" s="209">
        <f t="shared" si="98"/>
        <v>3622.16</v>
      </c>
      <c r="BQ37" s="209">
        <f t="shared" si="98"/>
        <v>3638.87</v>
      </c>
      <c r="BR37" s="209">
        <f t="shared" si="98"/>
        <v>3655.58</v>
      </c>
      <c r="BS37" s="209">
        <f t="shared" si="98"/>
        <v>3672.29</v>
      </c>
      <c r="BT37" s="209">
        <f t="shared" si="98"/>
        <v>3689</v>
      </c>
      <c r="BU37" s="209">
        <f t="shared" si="98"/>
        <v>3705.71</v>
      </c>
      <c r="BV37" s="209">
        <f t="shared" si="98"/>
        <v>3722.42</v>
      </c>
      <c r="BW37" s="209">
        <f t="shared" si="98"/>
        <v>3739.13</v>
      </c>
      <c r="BX37" s="209">
        <f t="shared" si="98"/>
        <v>3755.84</v>
      </c>
      <c r="BY37" s="209">
        <f t="shared" si="98"/>
        <v>3772.55</v>
      </c>
      <c r="BZ37" s="209">
        <f t="shared" si="98"/>
        <v>3789.26</v>
      </c>
      <c r="CA37" s="209">
        <f t="shared" si="98"/>
        <v>3805.97</v>
      </c>
      <c r="CB37" s="209">
        <f t="shared" si="98"/>
        <v>3822.68</v>
      </c>
      <c r="CC37" s="209">
        <f t="shared" si="98"/>
        <v>3839.39</v>
      </c>
      <c r="CD37" s="209">
        <f t="shared" si="98"/>
        <v>3856.1</v>
      </c>
      <c r="CE37" s="209">
        <f t="shared" si="98"/>
        <v>3872.81</v>
      </c>
      <c r="CF37" s="209">
        <f t="shared" si="98"/>
        <v>3889.52</v>
      </c>
      <c r="CG37" s="209">
        <f t="shared" si="98"/>
        <v>3906.23</v>
      </c>
      <c r="CH37" s="209">
        <f t="shared" si="87"/>
        <v>3922.94</v>
      </c>
      <c r="CI37" s="209">
        <f t="shared" si="88"/>
        <v>3939.65</v>
      </c>
      <c r="CJ37" s="209">
        <f t="shared" si="89"/>
        <v>3956.36</v>
      </c>
      <c r="CK37" s="209">
        <f t="shared" si="90"/>
        <v>3973.07</v>
      </c>
      <c r="CL37" s="209">
        <f t="shared" si="91"/>
        <v>3989.78</v>
      </c>
      <c r="CM37" s="209">
        <f t="shared" si="92"/>
        <v>4006.49</v>
      </c>
      <c r="CN37" s="209">
        <f t="shared" si="93"/>
        <v>4023.2</v>
      </c>
      <c r="CO37" s="209">
        <f t="shared" si="94"/>
        <v>4039.91</v>
      </c>
      <c r="CP37" s="209">
        <f t="shared" si="95"/>
        <v>4056.62</v>
      </c>
      <c r="CQ37" s="209">
        <f t="shared" si="96"/>
        <v>4073.33</v>
      </c>
      <c r="CR37" s="209">
        <f t="shared" si="97"/>
        <v>4090.04</v>
      </c>
    </row>
    <row r="38" spans="1:96" s="128" customFormat="1">
      <c r="A38" s="56" t="s">
        <v>279</v>
      </c>
      <c r="B38" s="40" t="s">
        <v>79</v>
      </c>
      <c r="C38" s="40" t="s">
        <v>45</v>
      </c>
      <c r="D38" s="14" t="s">
        <v>31</v>
      </c>
      <c r="E38" s="40" t="s">
        <v>23</v>
      </c>
      <c r="F38" s="324"/>
      <c r="G38" s="15">
        <v>6.4</v>
      </c>
      <c r="H38" s="25"/>
      <c r="I38" s="209">
        <f t="shared" si="13"/>
        <v>7.8099999999999454</v>
      </c>
      <c r="J38" s="209">
        <v>1239.04</v>
      </c>
      <c r="K38" s="209">
        <v>1246.8499999999999</v>
      </c>
      <c r="L38" s="209">
        <v>1254.6600000000001</v>
      </c>
      <c r="M38" s="209">
        <v>1262.46</v>
      </c>
      <c r="N38" s="209">
        <v>1270.27</v>
      </c>
      <c r="O38" s="209">
        <v>1278.08</v>
      </c>
      <c r="P38" s="209">
        <v>1285.8900000000001</v>
      </c>
      <c r="Q38" s="209">
        <v>1293.7</v>
      </c>
      <c r="R38" s="209">
        <v>1301.5</v>
      </c>
      <c r="S38" s="209">
        <v>1309.31</v>
      </c>
      <c r="T38" s="209">
        <v>1317.12</v>
      </c>
      <c r="U38" s="209">
        <v>1324.93</v>
      </c>
      <c r="V38" s="209">
        <v>1332.74</v>
      </c>
      <c r="W38" s="209">
        <v>1340.54</v>
      </c>
      <c r="X38" s="209">
        <v>1348.35</v>
      </c>
      <c r="Y38" s="209">
        <v>1356.16</v>
      </c>
      <c r="Z38" s="209">
        <v>1363.97</v>
      </c>
      <c r="AA38" s="209">
        <v>1371.78</v>
      </c>
      <c r="AB38" s="209">
        <v>1379.58</v>
      </c>
      <c r="AC38" s="209">
        <v>1387.39</v>
      </c>
      <c r="AD38" s="209">
        <v>1395.2</v>
      </c>
      <c r="AE38" s="209">
        <v>1403.01</v>
      </c>
      <c r="AF38" s="209">
        <v>1410.82</v>
      </c>
      <c r="AG38" s="209">
        <v>1418.62</v>
      </c>
      <c r="AH38" s="209">
        <v>1426.43</v>
      </c>
      <c r="AI38" s="209">
        <v>1434.24</v>
      </c>
      <c r="AJ38" s="209">
        <v>1442.05</v>
      </c>
      <c r="AK38" s="209">
        <v>1449.86</v>
      </c>
      <c r="AL38" s="209">
        <v>1457.66</v>
      </c>
      <c r="AM38" s="209">
        <v>1465.47</v>
      </c>
      <c r="AN38" s="209">
        <v>1473.28</v>
      </c>
      <c r="AO38" s="209">
        <v>1481.09</v>
      </c>
      <c r="AP38" s="209">
        <v>1488.9</v>
      </c>
      <c r="AQ38" s="209">
        <v>1496.7</v>
      </c>
      <c r="AR38" s="209">
        <v>1504.51</v>
      </c>
      <c r="AS38" s="209">
        <v>1512.32</v>
      </c>
      <c r="AT38" s="209">
        <v>1520.13</v>
      </c>
      <c r="AU38" s="209">
        <v>1527.94</v>
      </c>
      <c r="AV38" s="209">
        <v>1535.74</v>
      </c>
      <c r="AW38" s="209">
        <v>1543.55</v>
      </c>
      <c r="AX38" s="209">
        <v>1551.36</v>
      </c>
      <c r="AY38" s="209">
        <v>1559.17</v>
      </c>
      <c r="AZ38" s="209">
        <v>1566.98</v>
      </c>
      <c r="BA38" s="209">
        <v>1574.78</v>
      </c>
      <c r="BB38" s="209">
        <v>1582.59</v>
      </c>
      <c r="BC38" s="209">
        <v>1590.4</v>
      </c>
      <c r="BD38" s="209">
        <v>1598.21</v>
      </c>
      <c r="BE38" s="209">
        <v>1606.02</v>
      </c>
      <c r="BF38" s="209">
        <v>1613.82</v>
      </c>
      <c r="BG38" s="209">
        <v>1621.63</v>
      </c>
      <c r="BH38" s="209">
        <v>1629.44</v>
      </c>
      <c r="BI38" s="209">
        <v>1637.25</v>
      </c>
      <c r="BJ38" s="209">
        <v>1645.06</v>
      </c>
      <c r="BK38" s="209">
        <v>1652.86</v>
      </c>
      <c r="BL38" s="209">
        <v>1660.67</v>
      </c>
      <c r="BM38" s="209">
        <v>1668.48</v>
      </c>
      <c r="BN38" s="209">
        <v>1676.29</v>
      </c>
      <c r="BO38" s="209">
        <f t="shared" ref="BO38:CG38" si="99">ROUND(BN38+$I38,2)</f>
        <v>1684.1</v>
      </c>
      <c r="BP38" s="209">
        <f t="shared" si="99"/>
        <v>1691.91</v>
      </c>
      <c r="BQ38" s="209">
        <f t="shared" si="99"/>
        <v>1699.72</v>
      </c>
      <c r="BR38" s="209">
        <f t="shared" si="99"/>
        <v>1707.53</v>
      </c>
      <c r="BS38" s="209">
        <f t="shared" si="99"/>
        <v>1715.34</v>
      </c>
      <c r="BT38" s="209">
        <f t="shared" si="99"/>
        <v>1723.15</v>
      </c>
      <c r="BU38" s="209">
        <f t="shared" si="99"/>
        <v>1730.96</v>
      </c>
      <c r="BV38" s="209">
        <f t="shared" si="99"/>
        <v>1738.77</v>
      </c>
      <c r="BW38" s="209">
        <f t="shared" si="99"/>
        <v>1746.58</v>
      </c>
      <c r="BX38" s="209">
        <f t="shared" si="99"/>
        <v>1754.39</v>
      </c>
      <c r="BY38" s="209">
        <f t="shared" si="99"/>
        <v>1762.2</v>
      </c>
      <c r="BZ38" s="209">
        <f t="shared" si="99"/>
        <v>1770.01</v>
      </c>
      <c r="CA38" s="209">
        <f t="shared" si="99"/>
        <v>1777.82</v>
      </c>
      <c r="CB38" s="209">
        <f t="shared" si="99"/>
        <v>1785.63</v>
      </c>
      <c r="CC38" s="209">
        <f t="shared" si="99"/>
        <v>1793.44</v>
      </c>
      <c r="CD38" s="209">
        <f t="shared" si="99"/>
        <v>1801.25</v>
      </c>
      <c r="CE38" s="209">
        <f t="shared" si="99"/>
        <v>1809.06</v>
      </c>
      <c r="CF38" s="209">
        <f t="shared" si="99"/>
        <v>1816.87</v>
      </c>
      <c r="CG38" s="209">
        <f t="shared" si="99"/>
        <v>1824.68</v>
      </c>
      <c r="CH38" s="209">
        <f t="shared" si="87"/>
        <v>1832.49</v>
      </c>
      <c r="CI38" s="209">
        <f t="shared" si="88"/>
        <v>1840.3</v>
      </c>
      <c r="CJ38" s="209">
        <f t="shared" si="89"/>
        <v>1848.11</v>
      </c>
      <c r="CK38" s="209">
        <f t="shared" si="90"/>
        <v>1855.92</v>
      </c>
      <c r="CL38" s="209">
        <f t="shared" si="91"/>
        <v>1863.73</v>
      </c>
      <c r="CM38" s="209">
        <f t="shared" si="92"/>
        <v>1871.54</v>
      </c>
      <c r="CN38" s="209">
        <f t="shared" si="93"/>
        <v>1879.35</v>
      </c>
      <c r="CO38" s="209">
        <f t="shared" si="94"/>
        <v>1887.16</v>
      </c>
      <c r="CP38" s="209">
        <f t="shared" si="95"/>
        <v>1894.97</v>
      </c>
      <c r="CQ38" s="209">
        <f t="shared" si="96"/>
        <v>1902.78</v>
      </c>
      <c r="CR38" s="209">
        <f t="shared" si="97"/>
        <v>1910.59</v>
      </c>
    </row>
    <row r="39" spans="1:96" s="128" customFormat="1">
      <c r="A39" s="56" t="s">
        <v>280</v>
      </c>
      <c r="B39" s="40" t="s">
        <v>79</v>
      </c>
      <c r="C39" s="40" t="s">
        <v>45</v>
      </c>
      <c r="D39" s="14" t="s">
        <v>39</v>
      </c>
      <c r="E39" s="40" t="s">
        <v>23</v>
      </c>
      <c r="F39" s="324"/>
      <c r="G39" s="15">
        <v>6.4</v>
      </c>
      <c r="H39" s="25"/>
      <c r="I39" s="209">
        <f t="shared" si="13"/>
        <v>7.8099999999999454</v>
      </c>
      <c r="J39" s="209">
        <v>1297.98</v>
      </c>
      <c r="K39" s="209">
        <v>1305.79</v>
      </c>
      <c r="L39" s="209">
        <v>1313.6</v>
      </c>
      <c r="M39" s="209">
        <v>1321.41</v>
      </c>
      <c r="N39" s="209">
        <v>1329.22</v>
      </c>
      <c r="O39" s="209">
        <v>1337.02</v>
      </c>
      <c r="P39" s="209">
        <v>1344.83</v>
      </c>
      <c r="Q39" s="209">
        <v>1352.64</v>
      </c>
      <c r="R39" s="209">
        <v>1360.45</v>
      </c>
      <c r="S39" s="209">
        <v>1368.26</v>
      </c>
      <c r="T39" s="209">
        <v>1376.06</v>
      </c>
      <c r="U39" s="209">
        <v>1383.87</v>
      </c>
      <c r="V39" s="209">
        <v>1391.68</v>
      </c>
      <c r="W39" s="209">
        <v>1399.49</v>
      </c>
      <c r="X39" s="209">
        <v>1407.3</v>
      </c>
      <c r="Y39" s="209">
        <v>1415.1</v>
      </c>
      <c r="Z39" s="209">
        <v>1422.91</v>
      </c>
      <c r="AA39" s="209">
        <v>1430.72</v>
      </c>
      <c r="AB39" s="209">
        <v>1438.4</v>
      </c>
      <c r="AC39" s="209">
        <v>1446.21</v>
      </c>
      <c r="AD39" s="209">
        <v>1453.95</v>
      </c>
      <c r="AE39" s="209">
        <v>1461.7</v>
      </c>
      <c r="AF39" s="209">
        <v>1469.44</v>
      </c>
      <c r="AG39" s="209">
        <v>1477.25</v>
      </c>
      <c r="AH39" s="209">
        <v>1484.93</v>
      </c>
      <c r="AI39" s="209">
        <v>1492.74</v>
      </c>
      <c r="AJ39" s="209">
        <v>1500.48</v>
      </c>
      <c r="AK39" s="209">
        <v>1508.22</v>
      </c>
      <c r="AL39" s="209">
        <v>1515.97</v>
      </c>
      <c r="AM39" s="209">
        <v>1523.71</v>
      </c>
      <c r="AN39" s="209">
        <v>1531.46</v>
      </c>
      <c r="AO39" s="209">
        <v>1539.2</v>
      </c>
      <c r="AP39" s="209">
        <v>1547.01</v>
      </c>
      <c r="AQ39" s="209">
        <v>1554.69</v>
      </c>
      <c r="AR39" s="209">
        <v>1562.5</v>
      </c>
      <c r="AS39" s="209">
        <v>1570.24</v>
      </c>
      <c r="AT39" s="209">
        <v>1577.98</v>
      </c>
      <c r="AU39" s="209">
        <v>1585.79</v>
      </c>
      <c r="AV39" s="209">
        <v>1593.6</v>
      </c>
      <c r="AW39" s="209">
        <v>1601.34</v>
      </c>
      <c r="AX39" s="209">
        <v>1609.15</v>
      </c>
      <c r="AY39" s="209">
        <v>1616.96</v>
      </c>
      <c r="AZ39" s="209">
        <v>1624.7</v>
      </c>
      <c r="BA39" s="209">
        <v>1632.51</v>
      </c>
      <c r="BB39" s="209">
        <v>1640.32</v>
      </c>
      <c r="BC39" s="209">
        <v>1648.06</v>
      </c>
      <c r="BD39" s="209">
        <v>1655.87</v>
      </c>
      <c r="BE39" s="209">
        <v>1663.68</v>
      </c>
      <c r="BF39" s="209">
        <v>1671.42</v>
      </c>
      <c r="BG39" s="209">
        <v>1679.23</v>
      </c>
      <c r="BH39" s="209">
        <v>1687.04</v>
      </c>
      <c r="BI39" s="209">
        <v>1694.85</v>
      </c>
      <c r="BJ39" s="209">
        <v>1702.59</v>
      </c>
      <c r="BK39" s="209">
        <v>1710.4</v>
      </c>
      <c r="BL39" s="209">
        <v>1718.21</v>
      </c>
      <c r="BM39" s="209">
        <v>1725.95</v>
      </c>
      <c r="BN39" s="209">
        <v>1733.76</v>
      </c>
      <c r="BO39" s="209">
        <f t="shared" ref="BO39:CG39" si="100">ROUND(BN39+$I39,2)</f>
        <v>1741.57</v>
      </c>
      <c r="BP39" s="209">
        <f t="shared" si="100"/>
        <v>1749.38</v>
      </c>
      <c r="BQ39" s="209">
        <f t="shared" si="100"/>
        <v>1757.19</v>
      </c>
      <c r="BR39" s="209">
        <f t="shared" si="100"/>
        <v>1765</v>
      </c>
      <c r="BS39" s="209">
        <f t="shared" si="100"/>
        <v>1772.81</v>
      </c>
      <c r="BT39" s="209">
        <f t="shared" si="100"/>
        <v>1780.62</v>
      </c>
      <c r="BU39" s="209">
        <f t="shared" si="100"/>
        <v>1788.43</v>
      </c>
      <c r="BV39" s="209">
        <f t="shared" si="100"/>
        <v>1796.24</v>
      </c>
      <c r="BW39" s="209">
        <f t="shared" si="100"/>
        <v>1804.05</v>
      </c>
      <c r="BX39" s="209">
        <f t="shared" si="100"/>
        <v>1811.86</v>
      </c>
      <c r="BY39" s="209">
        <f t="shared" si="100"/>
        <v>1819.67</v>
      </c>
      <c r="BZ39" s="209">
        <f t="shared" si="100"/>
        <v>1827.48</v>
      </c>
      <c r="CA39" s="209">
        <f t="shared" si="100"/>
        <v>1835.29</v>
      </c>
      <c r="CB39" s="209">
        <f t="shared" si="100"/>
        <v>1843.1</v>
      </c>
      <c r="CC39" s="209">
        <f t="shared" si="100"/>
        <v>1850.91</v>
      </c>
      <c r="CD39" s="209">
        <f t="shared" si="100"/>
        <v>1858.72</v>
      </c>
      <c r="CE39" s="209">
        <f t="shared" si="100"/>
        <v>1866.53</v>
      </c>
      <c r="CF39" s="209">
        <f t="shared" si="100"/>
        <v>1874.34</v>
      </c>
      <c r="CG39" s="209">
        <f t="shared" si="100"/>
        <v>1882.15</v>
      </c>
      <c r="CH39" s="209">
        <f t="shared" si="87"/>
        <v>1889.96</v>
      </c>
      <c r="CI39" s="209">
        <f t="shared" si="88"/>
        <v>1897.77</v>
      </c>
      <c r="CJ39" s="209">
        <f t="shared" si="89"/>
        <v>1905.58</v>
      </c>
      <c r="CK39" s="209">
        <f t="shared" si="90"/>
        <v>1913.39</v>
      </c>
      <c r="CL39" s="209">
        <f t="shared" si="91"/>
        <v>1921.2</v>
      </c>
      <c r="CM39" s="209">
        <f t="shared" si="92"/>
        <v>1929.01</v>
      </c>
      <c r="CN39" s="209">
        <f t="shared" si="93"/>
        <v>1936.82</v>
      </c>
      <c r="CO39" s="209">
        <f t="shared" si="94"/>
        <v>1944.63</v>
      </c>
      <c r="CP39" s="209">
        <f t="shared" si="95"/>
        <v>1952.44</v>
      </c>
      <c r="CQ39" s="209">
        <f t="shared" si="96"/>
        <v>1960.25</v>
      </c>
      <c r="CR39" s="209">
        <f t="shared" si="97"/>
        <v>1968.06</v>
      </c>
    </row>
    <row r="40" spans="1:96" s="128" customFormat="1" ht="28">
      <c r="A40" s="368" t="s">
        <v>280</v>
      </c>
      <c r="B40" s="23" t="s">
        <v>79</v>
      </c>
      <c r="C40" s="23" t="s">
        <v>45</v>
      </c>
      <c r="D40" s="23" t="s">
        <v>25</v>
      </c>
      <c r="E40" s="23" t="s">
        <v>23</v>
      </c>
      <c r="F40" s="326"/>
      <c r="G40" s="15">
        <v>6.4</v>
      </c>
      <c r="H40" s="39"/>
      <c r="I40" s="209">
        <f t="shared" si="13"/>
        <v>7.75</v>
      </c>
      <c r="J40" s="209">
        <v>1411.33</v>
      </c>
      <c r="K40" s="209">
        <v>1419.07</v>
      </c>
      <c r="L40" s="209">
        <v>1426.82</v>
      </c>
      <c r="M40" s="209">
        <v>1434.56</v>
      </c>
      <c r="N40" s="209">
        <v>1442.3</v>
      </c>
      <c r="O40" s="209">
        <v>1450.05</v>
      </c>
      <c r="P40" s="209">
        <v>1457.79</v>
      </c>
      <c r="Q40" s="209">
        <v>1465.54</v>
      </c>
      <c r="R40" s="209">
        <v>1473.28</v>
      </c>
      <c r="S40" s="209">
        <v>1481.02</v>
      </c>
      <c r="T40" s="209">
        <v>1488.77</v>
      </c>
      <c r="U40" s="209">
        <v>1496.51</v>
      </c>
      <c r="V40" s="209">
        <v>1504.26</v>
      </c>
      <c r="W40" s="209">
        <v>1512</v>
      </c>
      <c r="X40" s="209">
        <v>1519.74</v>
      </c>
      <c r="Y40" s="209">
        <v>1527.49</v>
      </c>
      <c r="Z40" s="209">
        <v>1535.23</v>
      </c>
      <c r="AA40" s="209">
        <v>1542.98</v>
      </c>
      <c r="AB40" s="209">
        <v>1550.72</v>
      </c>
      <c r="AC40" s="209">
        <v>1558.53</v>
      </c>
      <c r="AD40" s="209">
        <v>1566.21</v>
      </c>
      <c r="AE40" s="209">
        <v>1574.02</v>
      </c>
      <c r="AF40" s="209">
        <v>1581.76</v>
      </c>
      <c r="AG40" s="209">
        <v>1589.44</v>
      </c>
      <c r="AH40" s="209">
        <v>1597.25</v>
      </c>
      <c r="AI40" s="209">
        <v>1604.99</v>
      </c>
      <c r="AJ40" s="209">
        <v>1612.74</v>
      </c>
      <c r="AK40" s="209">
        <v>1620.48</v>
      </c>
      <c r="AL40" s="209">
        <v>1628.29</v>
      </c>
      <c r="AM40" s="209">
        <v>1635.97</v>
      </c>
      <c r="AN40" s="209">
        <v>1643.78</v>
      </c>
      <c r="AO40" s="209">
        <v>1651.46</v>
      </c>
      <c r="AP40" s="209">
        <v>1659.26</v>
      </c>
      <c r="AQ40" s="209">
        <v>1667.01</v>
      </c>
      <c r="AR40" s="209">
        <v>1674.75</v>
      </c>
      <c r="AS40" s="209">
        <v>1682.5</v>
      </c>
      <c r="AT40" s="209">
        <v>1690.3</v>
      </c>
      <c r="AU40" s="209">
        <v>1698.05</v>
      </c>
      <c r="AV40" s="209">
        <v>1705.86</v>
      </c>
      <c r="AW40" s="209">
        <v>1713.66</v>
      </c>
      <c r="AX40" s="209">
        <v>1721.47</v>
      </c>
      <c r="AY40" s="209">
        <v>1729.22</v>
      </c>
      <c r="AZ40" s="209">
        <v>1737.02</v>
      </c>
      <c r="BA40" s="209">
        <v>1744.83</v>
      </c>
      <c r="BB40" s="209">
        <v>1752.58</v>
      </c>
      <c r="BC40" s="209">
        <v>1760.38</v>
      </c>
      <c r="BD40" s="209">
        <v>1768.19</v>
      </c>
      <c r="BE40" s="209">
        <v>1775.94</v>
      </c>
      <c r="BF40" s="209">
        <v>1783.74</v>
      </c>
      <c r="BG40" s="209">
        <v>1791.55</v>
      </c>
      <c r="BH40" s="209">
        <v>1799.3</v>
      </c>
      <c r="BI40" s="209">
        <v>1807.1</v>
      </c>
      <c r="BJ40" s="209">
        <v>1814.91</v>
      </c>
      <c r="BK40" s="209">
        <v>1822.66</v>
      </c>
      <c r="BL40" s="209">
        <v>1830.46</v>
      </c>
      <c r="BM40" s="209">
        <v>1838.27</v>
      </c>
      <c r="BN40" s="209">
        <v>1846.02</v>
      </c>
      <c r="BO40" s="209">
        <f t="shared" ref="BO40:CG40" si="101">ROUND(BN40+$I40,2)</f>
        <v>1853.77</v>
      </c>
      <c r="BP40" s="209">
        <f t="shared" si="101"/>
        <v>1861.52</v>
      </c>
      <c r="BQ40" s="209">
        <f t="shared" si="101"/>
        <v>1869.27</v>
      </c>
      <c r="BR40" s="209">
        <f t="shared" si="101"/>
        <v>1877.02</v>
      </c>
      <c r="BS40" s="209">
        <f t="shared" si="101"/>
        <v>1884.77</v>
      </c>
      <c r="BT40" s="209">
        <f t="shared" si="101"/>
        <v>1892.52</v>
      </c>
      <c r="BU40" s="209">
        <f t="shared" si="101"/>
        <v>1900.27</v>
      </c>
      <c r="BV40" s="209">
        <f t="shared" si="101"/>
        <v>1908.02</v>
      </c>
      <c r="BW40" s="209">
        <f t="shared" si="101"/>
        <v>1915.77</v>
      </c>
      <c r="BX40" s="209">
        <f t="shared" si="101"/>
        <v>1923.52</v>
      </c>
      <c r="BY40" s="209">
        <f t="shared" si="101"/>
        <v>1931.27</v>
      </c>
      <c r="BZ40" s="209">
        <f t="shared" si="101"/>
        <v>1939.02</v>
      </c>
      <c r="CA40" s="209">
        <f t="shared" si="101"/>
        <v>1946.77</v>
      </c>
      <c r="CB40" s="209">
        <f t="shared" si="101"/>
        <v>1954.52</v>
      </c>
      <c r="CC40" s="209">
        <f t="shared" si="101"/>
        <v>1962.27</v>
      </c>
      <c r="CD40" s="209">
        <f t="shared" si="101"/>
        <v>1970.02</v>
      </c>
      <c r="CE40" s="209">
        <f t="shared" si="101"/>
        <v>1977.77</v>
      </c>
      <c r="CF40" s="209">
        <f t="shared" si="101"/>
        <v>1985.52</v>
      </c>
      <c r="CG40" s="209">
        <f t="shared" si="101"/>
        <v>1993.27</v>
      </c>
      <c r="CH40" s="209">
        <f t="shared" si="87"/>
        <v>2001.02</v>
      </c>
      <c r="CI40" s="209">
        <f t="shared" si="88"/>
        <v>2008.77</v>
      </c>
      <c r="CJ40" s="209">
        <f t="shared" si="89"/>
        <v>2016.52</v>
      </c>
      <c r="CK40" s="209">
        <f t="shared" si="90"/>
        <v>2024.27</v>
      </c>
      <c r="CL40" s="209">
        <f t="shared" si="91"/>
        <v>2032.02</v>
      </c>
      <c r="CM40" s="209">
        <f t="shared" si="92"/>
        <v>2039.77</v>
      </c>
      <c r="CN40" s="209">
        <f t="shared" si="93"/>
        <v>2047.52</v>
      </c>
      <c r="CO40" s="209">
        <f t="shared" si="94"/>
        <v>2055.27</v>
      </c>
      <c r="CP40" s="209">
        <f t="shared" si="95"/>
        <v>2063.02</v>
      </c>
      <c r="CQ40" s="209">
        <f t="shared" si="96"/>
        <v>2070.77</v>
      </c>
      <c r="CR40" s="209">
        <f t="shared" si="97"/>
        <v>2078.52</v>
      </c>
    </row>
    <row r="41" spans="1:96" s="128" customFormat="1" ht="28">
      <c r="A41" s="368" t="s">
        <v>280</v>
      </c>
      <c r="B41" s="23" t="s">
        <v>79</v>
      </c>
      <c r="C41" s="23" t="s">
        <v>45</v>
      </c>
      <c r="D41" s="23" t="s">
        <v>22</v>
      </c>
      <c r="E41" s="23" t="s">
        <v>23</v>
      </c>
      <c r="F41" s="326"/>
      <c r="G41" s="15">
        <v>6.4</v>
      </c>
      <c r="H41" s="39"/>
      <c r="I41" s="209">
        <f t="shared" si="13"/>
        <v>8</v>
      </c>
      <c r="J41" s="209">
        <v>1454.34</v>
      </c>
      <c r="K41" s="209">
        <v>1462.27</v>
      </c>
      <c r="L41" s="209">
        <v>1470.21</v>
      </c>
      <c r="M41" s="209">
        <v>1478.14</v>
      </c>
      <c r="N41" s="209">
        <v>1486.08</v>
      </c>
      <c r="O41" s="209">
        <v>1494.02</v>
      </c>
      <c r="P41" s="209">
        <v>1501.95</v>
      </c>
      <c r="Q41" s="209">
        <v>1509.89</v>
      </c>
      <c r="R41" s="209">
        <v>1517.82</v>
      </c>
      <c r="S41" s="209">
        <v>1525.76</v>
      </c>
      <c r="T41" s="209">
        <v>1533.7</v>
      </c>
      <c r="U41" s="209">
        <v>1541.63</v>
      </c>
      <c r="V41" s="209">
        <v>1549.57</v>
      </c>
      <c r="W41" s="209">
        <v>1557.5</v>
      </c>
      <c r="X41" s="209">
        <v>1565.44</v>
      </c>
      <c r="Y41" s="209">
        <v>1573.38</v>
      </c>
      <c r="Z41" s="209">
        <v>1581.31</v>
      </c>
      <c r="AA41" s="209">
        <v>1589.25</v>
      </c>
      <c r="AB41" s="209">
        <v>1597.25</v>
      </c>
      <c r="AC41" s="209">
        <v>1605.31</v>
      </c>
      <c r="AD41" s="209">
        <v>1613.18</v>
      </c>
      <c r="AE41" s="209">
        <v>1621.25</v>
      </c>
      <c r="AF41" s="209">
        <v>1629.18</v>
      </c>
      <c r="AG41" s="209">
        <v>1637.12</v>
      </c>
      <c r="AH41" s="209">
        <v>1645.18</v>
      </c>
      <c r="AI41" s="209">
        <v>1653.12</v>
      </c>
      <c r="AJ41" s="209">
        <v>1661.12</v>
      </c>
      <c r="AK41" s="209">
        <v>1669.12</v>
      </c>
      <c r="AL41" s="209">
        <v>1677.12</v>
      </c>
      <c r="AM41" s="209">
        <v>1685.06</v>
      </c>
      <c r="AN41" s="209">
        <v>1693.12</v>
      </c>
      <c r="AO41" s="209">
        <v>1700.99</v>
      </c>
      <c r="AP41" s="209">
        <v>1709.06</v>
      </c>
      <c r="AQ41" s="209">
        <v>1716.99</v>
      </c>
      <c r="AR41" s="209">
        <v>1724.99</v>
      </c>
      <c r="AS41" s="209">
        <v>1732.99</v>
      </c>
      <c r="AT41" s="209">
        <v>1740.99</v>
      </c>
      <c r="AU41" s="209">
        <v>1748.99</v>
      </c>
      <c r="AV41" s="209">
        <v>1757.06</v>
      </c>
      <c r="AW41" s="209">
        <v>1765.06</v>
      </c>
      <c r="AX41" s="209">
        <v>1773.12</v>
      </c>
      <c r="AY41" s="209">
        <v>1781.12</v>
      </c>
      <c r="AZ41" s="209">
        <v>1789.12</v>
      </c>
      <c r="BA41" s="209">
        <v>1797.18</v>
      </c>
      <c r="BB41" s="209">
        <v>1805.18</v>
      </c>
      <c r="BC41" s="209">
        <v>1813.18</v>
      </c>
      <c r="BD41" s="209">
        <v>1821.25</v>
      </c>
      <c r="BE41" s="209">
        <v>1829.18</v>
      </c>
      <c r="BF41" s="209">
        <v>1837.25</v>
      </c>
      <c r="BG41" s="209">
        <v>1845.31</v>
      </c>
      <c r="BH41" s="209">
        <v>1853.25</v>
      </c>
      <c r="BI41" s="209">
        <v>1861.31</v>
      </c>
      <c r="BJ41" s="209">
        <v>1869.38</v>
      </c>
      <c r="BK41" s="209">
        <v>1877.31</v>
      </c>
      <c r="BL41" s="209">
        <v>1885.38</v>
      </c>
      <c r="BM41" s="209">
        <v>1893.44</v>
      </c>
      <c r="BN41" s="209">
        <v>1901.38</v>
      </c>
      <c r="BO41" s="209">
        <f t="shared" ref="BO41:CG41" si="102">ROUND(BN41+$I41,2)</f>
        <v>1909.38</v>
      </c>
      <c r="BP41" s="209">
        <f t="shared" si="102"/>
        <v>1917.38</v>
      </c>
      <c r="BQ41" s="209">
        <f t="shared" si="102"/>
        <v>1925.38</v>
      </c>
      <c r="BR41" s="209">
        <f t="shared" si="102"/>
        <v>1933.38</v>
      </c>
      <c r="BS41" s="209">
        <f t="shared" si="102"/>
        <v>1941.38</v>
      </c>
      <c r="BT41" s="209">
        <f t="shared" si="102"/>
        <v>1949.38</v>
      </c>
      <c r="BU41" s="209">
        <f t="shared" si="102"/>
        <v>1957.38</v>
      </c>
      <c r="BV41" s="209">
        <f t="shared" si="102"/>
        <v>1965.38</v>
      </c>
      <c r="BW41" s="209">
        <f t="shared" si="102"/>
        <v>1973.38</v>
      </c>
      <c r="BX41" s="209">
        <f t="shared" si="102"/>
        <v>1981.38</v>
      </c>
      <c r="BY41" s="209">
        <f t="shared" si="102"/>
        <v>1989.38</v>
      </c>
      <c r="BZ41" s="209">
        <f t="shared" si="102"/>
        <v>1997.38</v>
      </c>
      <c r="CA41" s="209">
        <f t="shared" si="102"/>
        <v>2005.38</v>
      </c>
      <c r="CB41" s="209">
        <f t="shared" si="102"/>
        <v>2013.38</v>
      </c>
      <c r="CC41" s="209">
        <f t="shared" si="102"/>
        <v>2021.38</v>
      </c>
      <c r="CD41" s="209">
        <f t="shared" si="102"/>
        <v>2029.38</v>
      </c>
      <c r="CE41" s="209">
        <f t="shared" si="102"/>
        <v>2037.38</v>
      </c>
      <c r="CF41" s="209">
        <f t="shared" si="102"/>
        <v>2045.38</v>
      </c>
      <c r="CG41" s="209">
        <f t="shared" si="102"/>
        <v>2053.38</v>
      </c>
      <c r="CH41" s="209">
        <f t="shared" si="87"/>
        <v>2061.38</v>
      </c>
      <c r="CI41" s="209">
        <f t="shared" si="88"/>
        <v>2069.38</v>
      </c>
      <c r="CJ41" s="209">
        <f t="shared" si="89"/>
        <v>2077.38</v>
      </c>
      <c r="CK41" s="209">
        <f t="shared" si="90"/>
        <v>2085.38</v>
      </c>
      <c r="CL41" s="209">
        <f t="shared" si="91"/>
        <v>2093.38</v>
      </c>
      <c r="CM41" s="209">
        <f t="shared" si="92"/>
        <v>2101.38</v>
      </c>
      <c r="CN41" s="209">
        <f t="shared" si="93"/>
        <v>2109.38</v>
      </c>
      <c r="CO41" s="209">
        <f t="shared" si="94"/>
        <v>2117.38</v>
      </c>
      <c r="CP41" s="209">
        <f t="shared" si="95"/>
        <v>2125.38</v>
      </c>
      <c r="CQ41" s="209">
        <f t="shared" si="96"/>
        <v>2133.38</v>
      </c>
      <c r="CR41" s="209">
        <f t="shared" si="97"/>
        <v>2141.38</v>
      </c>
    </row>
    <row r="42" spans="1:96" s="128" customFormat="1">
      <c r="A42" s="365" t="s">
        <v>281</v>
      </c>
      <c r="B42" s="38" t="s">
        <v>79</v>
      </c>
      <c r="C42" s="38" t="s">
        <v>90</v>
      </c>
      <c r="D42" s="38" t="s">
        <v>31</v>
      </c>
      <c r="E42" s="38" t="s">
        <v>91</v>
      </c>
      <c r="F42" s="323"/>
      <c r="G42" s="15">
        <v>6.4</v>
      </c>
      <c r="H42" s="39"/>
      <c r="I42" s="209">
        <f t="shared" si="13"/>
        <v>7.6800000000000637</v>
      </c>
      <c r="J42" s="209">
        <v>1165.57</v>
      </c>
      <c r="K42" s="209">
        <v>1173.31</v>
      </c>
      <c r="L42" s="209">
        <v>1181.06</v>
      </c>
      <c r="M42" s="209">
        <v>1188.8</v>
      </c>
      <c r="N42" s="209">
        <v>1196.54</v>
      </c>
      <c r="O42" s="209">
        <v>1204.29</v>
      </c>
      <c r="P42" s="209">
        <v>1212.03</v>
      </c>
      <c r="Q42" s="209">
        <v>1219.78</v>
      </c>
      <c r="R42" s="209">
        <v>1227.52</v>
      </c>
      <c r="S42" s="209">
        <v>1235.26</v>
      </c>
      <c r="T42" s="209">
        <v>1243.01</v>
      </c>
      <c r="U42" s="209">
        <v>1250.75</v>
      </c>
      <c r="V42" s="209">
        <v>1258.5</v>
      </c>
      <c r="W42" s="209">
        <v>1266.24</v>
      </c>
      <c r="X42" s="209">
        <v>1273.98</v>
      </c>
      <c r="Y42" s="209">
        <v>1281.73</v>
      </c>
      <c r="Z42" s="209">
        <v>1289.47</v>
      </c>
      <c r="AA42" s="209">
        <v>1297.22</v>
      </c>
      <c r="AB42" s="209">
        <v>1304.9000000000001</v>
      </c>
      <c r="AC42" s="209">
        <v>1312.7</v>
      </c>
      <c r="AD42" s="209">
        <v>1320.45</v>
      </c>
      <c r="AE42" s="209">
        <v>1328.06</v>
      </c>
      <c r="AF42" s="209">
        <v>1335.87</v>
      </c>
      <c r="AG42" s="209">
        <v>1343.55</v>
      </c>
      <c r="AH42" s="209">
        <v>1351.3</v>
      </c>
      <c r="AI42" s="209">
        <v>1359.04</v>
      </c>
      <c r="AJ42" s="209">
        <v>1366.78</v>
      </c>
      <c r="AK42" s="209">
        <v>1374.46</v>
      </c>
      <c r="AL42" s="209">
        <v>1382.21</v>
      </c>
      <c r="AM42" s="209">
        <v>1389.95</v>
      </c>
      <c r="AN42" s="209">
        <v>1397.7</v>
      </c>
      <c r="AO42" s="209">
        <v>1405.44</v>
      </c>
      <c r="AP42" s="209">
        <v>1413.18</v>
      </c>
      <c r="AQ42" s="209">
        <v>1420.86</v>
      </c>
      <c r="AR42" s="209">
        <v>1428.61</v>
      </c>
      <c r="AS42" s="209">
        <v>1436.29</v>
      </c>
      <c r="AT42" s="209">
        <v>1444.1</v>
      </c>
      <c r="AU42" s="209">
        <v>1451.78</v>
      </c>
      <c r="AV42" s="209">
        <v>1459.52</v>
      </c>
      <c r="AW42" s="209">
        <v>1467.2</v>
      </c>
      <c r="AX42" s="209">
        <v>1474.88</v>
      </c>
      <c r="AY42" s="209">
        <v>1482.62</v>
      </c>
      <c r="AZ42" s="209">
        <v>1490.37</v>
      </c>
      <c r="BA42" s="209">
        <v>1498.05</v>
      </c>
      <c r="BB42" s="209">
        <v>1505.73</v>
      </c>
      <c r="BC42" s="209">
        <v>1513.47</v>
      </c>
      <c r="BD42" s="209">
        <v>1521.15</v>
      </c>
      <c r="BE42" s="209">
        <v>1528.9</v>
      </c>
      <c r="BF42" s="209">
        <v>1536.58</v>
      </c>
      <c r="BG42" s="209">
        <v>1544.32</v>
      </c>
      <c r="BH42" s="209">
        <v>1552</v>
      </c>
      <c r="BI42" s="209">
        <v>1559.68</v>
      </c>
      <c r="BJ42" s="209">
        <v>1567.42</v>
      </c>
      <c r="BK42" s="209">
        <v>1575.17</v>
      </c>
      <c r="BL42" s="209">
        <v>1582.85</v>
      </c>
      <c r="BM42" s="209">
        <v>1590.59</v>
      </c>
      <c r="BN42" s="209">
        <v>1598.21</v>
      </c>
      <c r="BO42" s="209">
        <f t="shared" ref="BO42:CG42" si="103">ROUND(BN42+$I42,2)</f>
        <v>1605.89</v>
      </c>
      <c r="BP42" s="209">
        <f t="shared" si="103"/>
        <v>1613.57</v>
      </c>
      <c r="BQ42" s="209">
        <f t="shared" si="103"/>
        <v>1621.25</v>
      </c>
      <c r="BR42" s="209">
        <f t="shared" si="103"/>
        <v>1628.93</v>
      </c>
      <c r="BS42" s="209">
        <f t="shared" si="103"/>
        <v>1636.61</v>
      </c>
      <c r="BT42" s="209">
        <f t="shared" si="103"/>
        <v>1644.29</v>
      </c>
      <c r="BU42" s="209">
        <f t="shared" si="103"/>
        <v>1651.97</v>
      </c>
      <c r="BV42" s="209">
        <f t="shared" si="103"/>
        <v>1659.65</v>
      </c>
      <c r="BW42" s="209">
        <f t="shared" si="103"/>
        <v>1667.33</v>
      </c>
      <c r="BX42" s="209">
        <f t="shared" si="103"/>
        <v>1675.01</v>
      </c>
      <c r="BY42" s="209">
        <f t="shared" si="103"/>
        <v>1682.69</v>
      </c>
      <c r="BZ42" s="209">
        <f t="shared" si="103"/>
        <v>1690.37</v>
      </c>
      <c r="CA42" s="209">
        <f t="shared" si="103"/>
        <v>1698.05</v>
      </c>
      <c r="CB42" s="209">
        <f t="shared" si="103"/>
        <v>1705.73</v>
      </c>
      <c r="CC42" s="209">
        <f t="shared" si="103"/>
        <v>1713.41</v>
      </c>
      <c r="CD42" s="209">
        <f t="shared" si="103"/>
        <v>1721.09</v>
      </c>
      <c r="CE42" s="209">
        <f t="shared" si="103"/>
        <v>1728.77</v>
      </c>
      <c r="CF42" s="209">
        <f t="shared" si="103"/>
        <v>1736.45</v>
      </c>
      <c r="CG42" s="209">
        <f t="shared" si="103"/>
        <v>1744.13</v>
      </c>
      <c r="CH42" s="209">
        <f t="shared" si="87"/>
        <v>1751.81</v>
      </c>
      <c r="CI42" s="209">
        <f t="shared" si="88"/>
        <v>1759.49</v>
      </c>
      <c r="CJ42" s="209">
        <f t="shared" si="89"/>
        <v>1767.17</v>
      </c>
      <c r="CK42" s="209">
        <f t="shared" si="90"/>
        <v>1774.85</v>
      </c>
      <c r="CL42" s="209">
        <f t="shared" si="91"/>
        <v>1782.53</v>
      </c>
      <c r="CM42" s="209">
        <f t="shared" si="92"/>
        <v>1790.21</v>
      </c>
      <c r="CN42" s="209">
        <f t="shared" si="93"/>
        <v>1797.89</v>
      </c>
      <c r="CO42" s="209">
        <f t="shared" si="94"/>
        <v>1805.57</v>
      </c>
      <c r="CP42" s="209">
        <f t="shared" si="95"/>
        <v>1813.25</v>
      </c>
      <c r="CQ42" s="209">
        <f t="shared" si="96"/>
        <v>1820.93</v>
      </c>
      <c r="CR42" s="209">
        <f t="shared" si="97"/>
        <v>1828.61</v>
      </c>
    </row>
    <row r="43" spans="1:96" s="128" customFormat="1">
      <c r="A43" s="266" t="s">
        <v>282</v>
      </c>
      <c r="B43" s="40" t="s">
        <v>79</v>
      </c>
      <c r="C43" s="40" t="s">
        <v>90</v>
      </c>
      <c r="D43" s="40" t="s">
        <v>39</v>
      </c>
      <c r="E43" s="40" t="s">
        <v>91</v>
      </c>
      <c r="F43" s="324"/>
      <c r="G43" s="15">
        <v>6.4</v>
      </c>
      <c r="H43" s="39"/>
      <c r="I43" s="209">
        <f t="shared" si="13"/>
        <v>7.75</v>
      </c>
      <c r="J43" s="209">
        <v>1213.5</v>
      </c>
      <c r="K43" s="209">
        <v>1221.31</v>
      </c>
      <c r="L43" s="209">
        <v>1229.1199999999999</v>
      </c>
      <c r="M43" s="209">
        <v>1236.93</v>
      </c>
      <c r="N43" s="209">
        <v>1244.74</v>
      </c>
      <c r="O43" s="209">
        <v>1252.54</v>
      </c>
      <c r="P43" s="209">
        <v>1260.3499999999999</v>
      </c>
      <c r="Q43" s="209">
        <v>1268.1600000000001</v>
      </c>
      <c r="R43" s="209">
        <v>1275.97</v>
      </c>
      <c r="S43" s="209">
        <v>1283.78</v>
      </c>
      <c r="T43" s="209">
        <v>1291.58</v>
      </c>
      <c r="U43" s="209">
        <v>1299.3900000000001</v>
      </c>
      <c r="V43" s="209">
        <v>1307.2</v>
      </c>
      <c r="W43" s="209">
        <v>1315.01</v>
      </c>
      <c r="X43" s="209">
        <v>1322.82</v>
      </c>
      <c r="Y43" s="209">
        <v>1330.62</v>
      </c>
      <c r="Z43" s="209">
        <v>1338.43</v>
      </c>
      <c r="AA43" s="209">
        <v>1346.24</v>
      </c>
      <c r="AB43" s="209">
        <v>1353.98</v>
      </c>
      <c r="AC43" s="209">
        <v>1361.6</v>
      </c>
      <c r="AD43" s="209">
        <v>1369.34</v>
      </c>
      <c r="AE43" s="209">
        <v>1377.15</v>
      </c>
      <c r="AF43" s="209">
        <v>1384.83</v>
      </c>
      <c r="AG43" s="209">
        <v>1392.58</v>
      </c>
      <c r="AH43" s="209">
        <v>1400.32</v>
      </c>
      <c r="AI43" s="209">
        <v>1408</v>
      </c>
      <c r="AJ43" s="209">
        <v>1415.74</v>
      </c>
      <c r="AK43" s="209">
        <v>1423.49</v>
      </c>
      <c r="AL43" s="209">
        <v>1431.23</v>
      </c>
      <c r="AM43" s="209">
        <v>1438.98</v>
      </c>
      <c r="AN43" s="209">
        <v>1446.59</v>
      </c>
      <c r="AO43" s="209">
        <v>1454.4</v>
      </c>
      <c r="AP43" s="209">
        <v>1462.14</v>
      </c>
      <c r="AQ43" s="209">
        <v>1469.82</v>
      </c>
      <c r="AR43" s="209">
        <v>1477.63</v>
      </c>
      <c r="AS43" s="209">
        <v>1485.38</v>
      </c>
      <c r="AT43" s="209">
        <v>1492.99</v>
      </c>
      <c r="AU43" s="209">
        <v>1500.74</v>
      </c>
      <c r="AV43" s="209">
        <v>1508.48</v>
      </c>
      <c r="AW43" s="209">
        <v>1516.16</v>
      </c>
      <c r="AX43" s="209">
        <v>1523.9</v>
      </c>
      <c r="AY43" s="209">
        <v>1531.58</v>
      </c>
      <c r="AZ43" s="209">
        <v>1539.26</v>
      </c>
      <c r="BA43" s="209">
        <v>1547.01</v>
      </c>
      <c r="BB43" s="209">
        <v>1554.69</v>
      </c>
      <c r="BC43" s="209">
        <v>1562.43</v>
      </c>
      <c r="BD43" s="209">
        <v>1570.18</v>
      </c>
      <c r="BE43" s="209">
        <v>1577.86</v>
      </c>
      <c r="BF43" s="209">
        <v>1585.54</v>
      </c>
      <c r="BG43" s="209">
        <v>1593.22</v>
      </c>
      <c r="BH43" s="209">
        <v>1600.96</v>
      </c>
      <c r="BI43" s="209">
        <v>1608.7</v>
      </c>
      <c r="BJ43" s="209">
        <v>1616.38</v>
      </c>
      <c r="BK43" s="209">
        <v>1624.13</v>
      </c>
      <c r="BL43" s="209">
        <v>1631.81</v>
      </c>
      <c r="BM43" s="209">
        <v>1639.49</v>
      </c>
      <c r="BN43" s="209">
        <v>1647.23</v>
      </c>
      <c r="BO43" s="209">
        <f t="shared" ref="BO43:CG43" si="104">ROUND(BN43+$I43,2)</f>
        <v>1654.98</v>
      </c>
      <c r="BP43" s="209">
        <f t="shared" si="104"/>
        <v>1662.73</v>
      </c>
      <c r="BQ43" s="209">
        <f t="shared" si="104"/>
        <v>1670.48</v>
      </c>
      <c r="BR43" s="209">
        <f t="shared" si="104"/>
        <v>1678.23</v>
      </c>
      <c r="BS43" s="209">
        <f t="shared" si="104"/>
        <v>1685.98</v>
      </c>
      <c r="BT43" s="209">
        <f t="shared" si="104"/>
        <v>1693.73</v>
      </c>
      <c r="BU43" s="209">
        <f t="shared" si="104"/>
        <v>1701.48</v>
      </c>
      <c r="BV43" s="209">
        <f t="shared" si="104"/>
        <v>1709.23</v>
      </c>
      <c r="BW43" s="209">
        <f t="shared" si="104"/>
        <v>1716.98</v>
      </c>
      <c r="BX43" s="209">
        <f t="shared" si="104"/>
        <v>1724.73</v>
      </c>
      <c r="BY43" s="209">
        <f t="shared" si="104"/>
        <v>1732.48</v>
      </c>
      <c r="BZ43" s="209">
        <f t="shared" si="104"/>
        <v>1740.23</v>
      </c>
      <c r="CA43" s="209">
        <f t="shared" si="104"/>
        <v>1747.98</v>
      </c>
      <c r="CB43" s="209">
        <f t="shared" si="104"/>
        <v>1755.73</v>
      </c>
      <c r="CC43" s="209">
        <f t="shared" si="104"/>
        <v>1763.48</v>
      </c>
      <c r="CD43" s="209">
        <f t="shared" si="104"/>
        <v>1771.23</v>
      </c>
      <c r="CE43" s="209">
        <f t="shared" si="104"/>
        <v>1778.98</v>
      </c>
      <c r="CF43" s="209">
        <f t="shared" si="104"/>
        <v>1786.73</v>
      </c>
      <c r="CG43" s="209">
        <f t="shared" si="104"/>
        <v>1794.48</v>
      </c>
      <c r="CH43" s="209">
        <f t="shared" si="87"/>
        <v>1802.23</v>
      </c>
      <c r="CI43" s="209">
        <f t="shared" si="88"/>
        <v>1809.98</v>
      </c>
      <c r="CJ43" s="209">
        <f t="shared" si="89"/>
        <v>1817.73</v>
      </c>
      <c r="CK43" s="209">
        <f t="shared" si="90"/>
        <v>1825.48</v>
      </c>
      <c r="CL43" s="209">
        <f t="shared" si="91"/>
        <v>1833.23</v>
      </c>
      <c r="CM43" s="209">
        <f t="shared" si="92"/>
        <v>1840.98</v>
      </c>
      <c r="CN43" s="209">
        <f t="shared" si="93"/>
        <v>1848.73</v>
      </c>
      <c r="CO43" s="209">
        <f t="shared" si="94"/>
        <v>1856.48</v>
      </c>
      <c r="CP43" s="209">
        <f t="shared" si="95"/>
        <v>1864.23</v>
      </c>
      <c r="CQ43" s="209">
        <f t="shared" si="96"/>
        <v>1871.98</v>
      </c>
      <c r="CR43" s="209">
        <f t="shared" si="97"/>
        <v>1879.73</v>
      </c>
    </row>
    <row r="44" spans="1:96" s="128" customFormat="1">
      <c r="A44" s="266" t="s">
        <v>283</v>
      </c>
      <c r="B44" s="40" t="s">
        <v>79</v>
      </c>
      <c r="C44" s="40" t="s">
        <v>90</v>
      </c>
      <c r="D44" s="40" t="s">
        <v>39</v>
      </c>
      <c r="E44" s="40" t="s">
        <v>91</v>
      </c>
      <c r="F44" s="324"/>
      <c r="G44" s="15">
        <v>6.4</v>
      </c>
      <c r="H44" s="39"/>
      <c r="I44" s="209">
        <f t="shared" si="13"/>
        <v>7.8000000000001819</v>
      </c>
      <c r="J44" s="209">
        <v>1225.98</v>
      </c>
      <c r="K44" s="209">
        <v>1233.8599999999999</v>
      </c>
      <c r="L44" s="209">
        <v>1241.73</v>
      </c>
      <c r="M44" s="209">
        <v>1249.5999999999999</v>
      </c>
      <c r="N44" s="209">
        <v>1257.47</v>
      </c>
      <c r="O44" s="209">
        <v>1265.3399999999999</v>
      </c>
      <c r="P44" s="209">
        <v>1273.22</v>
      </c>
      <c r="Q44" s="209">
        <v>1281.0899999999999</v>
      </c>
      <c r="R44" s="209">
        <v>1288.96</v>
      </c>
      <c r="S44" s="209">
        <v>1296.83</v>
      </c>
      <c r="T44" s="209">
        <v>1304.7</v>
      </c>
      <c r="U44" s="209">
        <v>1312.58</v>
      </c>
      <c r="V44" s="209">
        <v>1320.45</v>
      </c>
      <c r="W44" s="209">
        <v>1328.32</v>
      </c>
      <c r="X44" s="209">
        <v>1336.19</v>
      </c>
      <c r="Y44" s="209">
        <v>1344.06</v>
      </c>
      <c r="Z44" s="209">
        <v>1351.94</v>
      </c>
      <c r="AA44" s="209">
        <v>1359.81</v>
      </c>
      <c r="AB44" s="209">
        <v>1367.62</v>
      </c>
      <c r="AC44" s="209">
        <v>1375.42</v>
      </c>
      <c r="AD44" s="209">
        <v>1383.17</v>
      </c>
      <c r="AE44" s="209">
        <v>1391.04</v>
      </c>
      <c r="AF44" s="209">
        <v>1398.85</v>
      </c>
      <c r="AG44" s="209">
        <v>1406.59</v>
      </c>
      <c r="AH44" s="209">
        <v>1414.46</v>
      </c>
      <c r="AI44" s="209">
        <v>1422.27</v>
      </c>
      <c r="AJ44" s="209">
        <v>1430.02</v>
      </c>
      <c r="AK44" s="209">
        <v>1437.89</v>
      </c>
      <c r="AL44" s="209">
        <v>1445.7</v>
      </c>
      <c r="AM44" s="209">
        <v>1453.44</v>
      </c>
      <c r="AN44" s="209">
        <v>1461.25</v>
      </c>
      <c r="AO44" s="209">
        <v>1469.12</v>
      </c>
      <c r="AP44" s="209">
        <v>1476.93</v>
      </c>
      <c r="AQ44" s="209">
        <v>1484.67</v>
      </c>
      <c r="AR44" s="209">
        <v>1492.54</v>
      </c>
      <c r="AS44" s="209">
        <v>1500.35</v>
      </c>
      <c r="AT44" s="209">
        <v>1508.1</v>
      </c>
      <c r="AU44" s="209">
        <v>1515.9</v>
      </c>
      <c r="AV44" s="209">
        <v>1523.71</v>
      </c>
      <c r="AW44" s="209">
        <v>1531.46</v>
      </c>
      <c r="AX44" s="209">
        <v>1539.26</v>
      </c>
      <c r="AY44" s="209">
        <v>1547.07</v>
      </c>
      <c r="AZ44" s="209">
        <v>1554.82</v>
      </c>
      <c r="BA44" s="209">
        <v>1562.62</v>
      </c>
      <c r="BB44" s="209">
        <v>1570.43</v>
      </c>
      <c r="BC44" s="209">
        <v>1578.18</v>
      </c>
      <c r="BD44" s="209">
        <v>1585.98</v>
      </c>
      <c r="BE44" s="209">
        <v>1593.79</v>
      </c>
      <c r="BF44" s="209">
        <v>1601.54</v>
      </c>
      <c r="BG44" s="209">
        <v>1609.34</v>
      </c>
      <c r="BH44" s="209">
        <v>1617.15</v>
      </c>
      <c r="BI44" s="209">
        <v>1624.96</v>
      </c>
      <c r="BJ44" s="209">
        <v>1632.7</v>
      </c>
      <c r="BK44" s="209">
        <v>1640.51</v>
      </c>
      <c r="BL44" s="209">
        <v>1648.32</v>
      </c>
      <c r="BM44" s="209">
        <v>1656.06</v>
      </c>
      <c r="BN44" s="209">
        <v>1663.87</v>
      </c>
      <c r="BO44" s="209">
        <f t="shared" ref="BO44:CG44" si="105">ROUND(BN44+$I44,2)</f>
        <v>1671.67</v>
      </c>
      <c r="BP44" s="209">
        <f t="shared" si="105"/>
        <v>1679.47</v>
      </c>
      <c r="BQ44" s="209">
        <f t="shared" si="105"/>
        <v>1687.27</v>
      </c>
      <c r="BR44" s="209">
        <f t="shared" si="105"/>
        <v>1695.07</v>
      </c>
      <c r="BS44" s="209">
        <f t="shared" si="105"/>
        <v>1702.87</v>
      </c>
      <c r="BT44" s="209">
        <f t="shared" si="105"/>
        <v>1710.67</v>
      </c>
      <c r="BU44" s="209">
        <f t="shared" si="105"/>
        <v>1718.47</v>
      </c>
      <c r="BV44" s="209">
        <f t="shared" si="105"/>
        <v>1726.27</v>
      </c>
      <c r="BW44" s="209">
        <f t="shared" si="105"/>
        <v>1734.07</v>
      </c>
      <c r="BX44" s="209">
        <f t="shared" si="105"/>
        <v>1741.87</v>
      </c>
      <c r="BY44" s="209">
        <f t="shared" si="105"/>
        <v>1749.67</v>
      </c>
      <c r="BZ44" s="209">
        <f t="shared" si="105"/>
        <v>1757.47</v>
      </c>
      <c r="CA44" s="209">
        <f t="shared" si="105"/>
        <v>1765.27</v>
      </c>
      <c r="CB44" s="209">
        <f t="shared" si="105"/>
        <v>1773.07</v>
      </c>
      <c r="CC44" s="209">
        <f t="shared" si="105"/>
        <v>1780.87</v>
      </c>
      <c r="CD44" s="209">
        <f t="shared" si="105"/>
        <v>1788.67</v>
      </c>
      <c r="CE44" s="209">
        <f t="shared" si="105"/>
        <v>1796.47</v>
      </c>
      <c r="CF44" s="209">
        <f t="shared" si="105"/>
        <v>1804.27</v>
      </c>
      <c r="CG44" s="209">
        <f t="shared" si="105"/>
        <v>1812.07</v>
      </c>
      <c r="CH44" s="209">
        <f t="shared" si="87"/>
        <v>1819.87</v>
      </c>
      <c r="CI44" s="209">
        <f t="shared" si="88"/>
        <v>1827.67</v>
      </c>
      <c r="CJ44" s="209">
        <f t="shared" si="89"/>
        <v>1835.47</v>
      </c>
      <c r="CK44" s="209">
        <f t="shared" si="90"/>
        <v>1843.27</v>
      </c>
      <c r="CL44" s="209">
        <f t="shared" si="91"/>
        <v>1851.07</v>
      </c>
      <c r="CM44" s="209">
        <f t="shared" si="92"/>
        <v>1858.87</v>
      </c>
      <c r="CN44" s="209">
        <f t="shared" si="93"/>
        <v>1866.67</v>
      </c>
      <c r="CO44" s="209">
        <f t="shared" si="94"/>
        <v>1874.47</v>
      </c>
      <c r="CP44" s="209">
        <f t="shared" si="95"/>
        <v>1882.27</v>
      </c>
      <c r="CQ44" s="209">
        <f t="shared" si="96"/>
        <v>1890.07</v>
      </c>
      <c r="CR44" s="209">
        <f t="shared" si="97"/>
        <v>1897.87</v>
      </c>
    </row>
    <row r="45" spans="1:96" s="218" customFormat="1">
      <c r="A45" s="370" t="s">
        <v>284</v>
      </c>
      <c r="B45" s="36" t="s">
        <v>79</v>
      </c>
      <c r="C45" s="36" t="s">
        <v>90</v>
      </c>
      <c r="D45" s="36" t="s">
        <v>95</v>
      </c>
      <c r="E45" s="36" t="s">
        <v>96</v>
      </c>
      <c r="F45" s="322"/>
      <c r="G45" s="20">
        <v>6.4</v>
      </c>
      <c r="H45" s="37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8"/>
      <c r="AQ45" s="208"/>
      <c r="AR45" s="208"/>
      <c r="AS45" s="208"/>
      <c r="AT45" s="208"/>
      <c r="AU45" s="208"/>
      <c r="AV45" s="208"/>
      <c r="AW45" s="208"/>
      <c r="AX45" s="208"/>
      <c r="AY45" s="208"/>
      <c r="AZ45" s="208"/>
      <c r="BA45" s="208"/>
      <c r="BB45" s="208"/>
      <c r="BC45" s="208"/>
      <c r="BD45" s="208"/>
      <c r="BE45" s="208"/>
      <c r="BF45" s="208"/>
      <c r="BG45" s="208"/>
      <c r="BH45" s="208"/>
      <c r="BI45" s="208"/>
      <c r="BJ45" s="208"/>
      <c r="BK45" s="208"/>
      <c r="BL45" s="208"/>
      <c r="BM45" s="208"/>
      <c r="BN45" s="208"/>
      <c r="BO45" s="208"/>
      <c r="BP45" s="208"/>
      <c r="BQ45" s="208"/>
      <c r="BR45" s="208"/>
      <c r="BS45" s="208"/>
      <c r="BT45" s="208"/>
      <c r="BU45" s="208"/>
      <c r="BV45" s="208"/>
      <c r="BW45" s="208"/>
      <c r="BX45" s="208"/>
      <c r="BY45" s="208"/>
      <c r="BZ45" s="208"/>
      <c r="CA45" s="208"/>
      <c r="CB45" s="208"/>
      <c r="CC45" s="208"/>
      <c r="CD45" s="208"/>
      <c r="CE45" s="208"/>
      <c r="CF45" s="208"/>
      <c r="CG45" s="208"/>
      <c r="CH45" s="208"/>
      <c r="CI45" s="208"/>
      <c r="CJ45" s="208"/>
      <c r="CK45" s="208"/>
      <c r="CL45" s="208"/>
      <c r="CM45" s="208"/>
      <c r="CN45" s="208"/>
      <c r="CO45" s="208"/>
      <c r="CP45" s="208"/>
      <c r="CQ45" s="208"/>
      <c r="CR45" s="208"/>
    </row>
    <row r="46" spans="1:96" s="128" customFormat="1">
      <c r="A46" s="370" t="s">
        <v>284</v>
      </c>
      <c r="B46" s="36" t="s">
        <v>79</v>
      </c>
      <c r="C46" s="36" t="s">
        <v>90</v>
      </c>
      <c r="D46" s="36" t="s">
        <v>97</v>
      </c>
      <c r="E46" s="36" t="s">
        <v>96</v>
      </c>
      <c r="F46" s="322"/>
      <c r="G46" s="20">
        <v>6.4</v>
      </c>
      <c r="H46" s="37"/>
      <c r="I46" s="208"/>
      <c r="J46" s="208"/>
      <c r="K46" s="208"/>
      <c r="L46" s="208"/>
      <c r="M46" s="208"/>
      <c r="N46" s="208"/>
      <c r="O46" s="208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8"/>
      <c r="AX46" s="208"/>
      <c r="AY46" s="208"/>
      <c r="AZ46" s="208"/>
      <c r="BA46" s="208"/>
      <c r="BB46" s="208"/>
      <c r="BC46" s="208"/>
      <c r="BD46" s="208"/>
      <c r="BE46" s="208"/>
      <c r="BF46" s="208"/>
      <c r="BG46" s="208"/>
      <c r="BH46" s="208"/>
      <c r="BI46" s="208"/>
      <c r="BJ46" s="208"/>
      <c r="BK46" s="208"/>
      <c r="BL46" s="208"/>
      <c r="BM46" s="208"/>
      <c r="BN46" s="208"/>
      <c r="BO46" s="208"/>
      <c r="BP46" s="208"/>
      <c r="BQ46" s="208"/>
      <c r="BR46" s="208"/>
      <c r="BS46" s="208"/>
      <c r="BT46" s="208"/>
      <c r="BU46" s="208"/>
      <c r="BV46" s="208"/>
      <c r="BW46" s="208"/>
      <c r="BX46" s="208"/>
      <c r="BY46" s="208"/>
      <c r="BZ46" s="208"/>
      <c r="CA46" s="208"/>
      <c r="CB46" s="208"/>
      <c r="CC46" s="208"/>
      <c r="CD46" s="208"/>
      <c r="CE46" s="208"/>
      <c r="CF46" s="208"/>
      <c r="CG46" s="208"/>
      <c r="CH46" s="208"/>
      <c r="CI46" s="208"/>
      <c r="CJ46" s="208"/>
      <c r="CK46" s="208"/>
      <c r="CL46" s="208"/>
      <c r="CM46" s="208"/>
      <c r="CN46" s="208"/>
      <c r="CO46" s="208"/>
      <c r="CP46" s="208"/>
      <c r="CQ46" s="208"/>
      <c r="CR46" s="208"/>
    </row>
    <row r="47" spans="1:96" s="128" customFormat="1">
      <c r="A47" s="370" t="s">
        <v>285</v>
      </c>
      <c r="B47" s="36" t="s">
        <v>79</v>
      </c>
      <c r="C47" s="36" t="s">
        <v>90</v>
      </c>
      <c r="D47" s="36" t="s">
        <v>95</v>
      </c>
      <c r="E47" s="36" t="s">
        <v>96</v>
      </c>
      <c r="F47" s="322"/>
      <c r="G47" s="20">
        <v>6.4</v>
      </c>
      <c r="H47" s="37"/>
      <c r="I47" s="208"/>
      <c r="J47" s="208"/>
      <c r="K47" s="208"/>
      <c r="L47" s="208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208"/>
      <c r="AC47" s="208"/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  <c r="AP47" s="208"/>
      <c r="AQ47" s="208"/>
      <c r="AR47" s="208"/>
      <c r="AS47" s="208"/>
      <c r="AT47" s="208"/>
      <c r="AU47" s="208"/>
      <c r="AV47" s="208"/>
      <c r="AW47" s="208"/>
      <c r="AX47" s="208"/>
      <c r="AY47" s="208"/>
      <c r="AZ47" s="208"/>
      <c r="BA47" s="208"/>
      <c r="BB47" s="208"/>
      <c r="BC47" s="208"/>
      <c r="BD47" s="208"/>
      <c r="BE47" s="208"/>
      <c r="BF47" s="208"/>
      <c r="BG47" s="208"/>
      <c r="BH47" s="208"/>
      <c r="BI47" s="208"/>
      <c r="BJ47" s="208"/>
      <c r="BK47" s="208"/>
      <c r="BL47" s="208"/>
      <c r="BM47" s="208"/>
      <c r="BN47" s="208"/>
      <c r="BO47" s="208"/>
      <c r="BP47" s="208"/>
      <c r="BQ47" s="208"/>
      <c r="BR47" s="208"/>
      <c r="BS47" s="208"/>
      <c r="BT47" s="208"/>
      <c r="BU47" s="208"/>
      <c r="BV47" s="208"/>
      <c r="BW47" s="208"/>
      <c r="BX47" s="208"/>
      <c r="BY47" s="208"/>
      <c r="BZ47" s="208"/>
      <c r="CA47" s="208"/>
      <c r="CB47" s="208"/>
      <c r="CC47" s="208"/>
      <c r="CD47" s="208"/>
      <c r="CE47" s="208"/>
      <c r="CF47" s="208"/>
      <c r="CG47" s="208"/>
      <c r="CH47" s="208"/>
      <c r="CI47" s="208"/>
      <c r="CJ47" s="208"/>
      <c r="CK47" s="208"/>
      <c r="CL47" s="208"/>
      <c r="CM47" s="208"/>
      <c r="CN47" s="208"/>
      <c r="CO47" s="208"/>
      <c r="CP47" s="208"/>
      <c r="CQ47" s="208"/>
      <c r="CR47" s="208"/>
    </row>
    <row r="48" spans="1:96" s="128" customFormat="1">
      <c r="A48" s="370" t="s">
        <v>99</v>
      </c>
      <c r="B48" s="36" t="s">
        <v>79</v>
      </c>
      <c r="C48" s="36" t="s">
        <v>100</v>
      </c>
      <c r="D48" s="36" t="s">
        <v>101</v>
      </c>
      <c r="E48" s="36" t="s">
        <v>23</v>
      </c>
      <c r="F48" s="322"/>
      <c r="G48" s="20">
        <v>6.4</v>
      </c>
      <c r="H48" s="37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  <c r="AV48" s="208"/>
      <c r="AW48" s="208"/>
      <c r="AX48" s="208"/>
      <c r="AY48" s="208"/>
      <c r="AZ48" s="208"/>
      <c r="BA48" s="208"/>
      <c r="BB48" s="208"/>
      <c r="BC48" s="208"/>
      <c r="BD48" s="208"/>
      <c r="BE48" s="208"/>
      <c r="BF48" s="208"/>
      <c r="BG48" s="208"/>
      <c r="BH48" s="208"/>
      <c r="BI48" s="208"/>
      <c r="BJ48" s="208"/>
      <c r="BK48" s="208"/>
      <c r="BL48" s="208"/>
      <c r="BM48" s="208"/>
      <c r="BN48" s="208"/>
      <c r="BO48" s="208"/>
      <c r="BP48" s="208"/>
      <c r="BQ48" s="208"/>
      <c r="BR48" s="208"/>
      <c r="BS48" s="208"/>
      <c r="BT48" s="208"/>
      <c r="BU48" s="208"/>
      <c r="BV48" s="208"/>
      <c r="BW48" s="208"/>
      <c r="BX48" s="208"/>
      <c r="BY48" s="208"/>
      <c r="BZ48" s="208"/>
      <c r="CA48" s="208"/>
      <c r="CB48" s="208"/>
      <c r="CC48" s="208"/>
      <c r="CD48" s="208"/>
      <c r="CE48" s="208"/>
      <c r="CF48" s="208"/>
      <c r="CG48" s="208"/>
      <c r="CH48" s="208"/>
      <c r="CI48" s="208"/>
      <c r="CJ48" s="208"/>
      <c r="CK48" s="208"/>
      <c r="CL48" s="208"/>
      <c r="CM48" s="208"/>
      <c r="CN48" s="208"/>
      <c r="CO48" s="208"/>
      <c r="CP48" s="208"/>
      <c r="CQ48" s="208"/>
      <c r="CR48" s="208"/>
    </row>
    <row r="49" spans="1:96" s="128" customFormat="1">
      <c r="A49" s="370" t="s">
        <v>102</v>
      </c>
      <c r="B49" s="36" t="s">
        <v>103</v>
      </c>
      <c r="C49" s="36" t="s">
        <v>104</v>
      </c>
      <c r="D49" s="36" t="s">
        <v>106</v>
      </c>
      <c r="E49" s="36" t="s">
        <v>23</v>
      </c>
      <c r="F49" s="322"/>
      <c r="G49" s="20">
        <v>6.4</v>
      </c>
      <c r="H49" s="37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208"/>
      <c r="AW49" s="208"/>
      <c r="AX49" s="208"/>
      <c r="AY49" s="208"/>
      <c r="AZ49" s="208"/>
      <c r="BA49" s="208"/>
      <c r="BB49" s="208"/>
      <c r="BC49" s="208"/>
      <c r="BD49" s="208"/>
      <c r="BE49" s="208"/>
      <c r="BF49" s="208"/>
      <c r="BG49" s="208"/>
      <c r="BH49" s="208"/>
      <c r="BI49" s="208"/>
      <c r="BJ49" s="208"/>
      <c r="BK49" s="208"/>
      <c r="BL49" s="208"/>
      <c r="BM49" s="208"/>
      <c r="BN49" s="208"/>
      <c r="BO49" s="208"/>
      <c r="BP49" s="208"/>
      <c r="BQ49" s="208"/>
      <c r="BR49" s="208"/>
      <c r="BS49" s="208"/>
      <c r="BT49" s="208"/>
      <c r="BU49" s="208"/>
      <c r="BV49" s="208"/>
      <c r="BW49" s="208"/>
      <c r="BX49" s="208"/>
      <c r="BY49" s="208"/>
      <c r="BZ49" s="208"/>
      <c r="CA49" s="208"/>
      <c r="CB49" s="208"/>
      <c r="CC49" s="208"/>
      <c r="CD49" s="208"/>
      <c r="CE49" s="208"/>
      <c r="CF49" s="208"/>
      <c r="CG49" s="208"/>
      <c r="CH49" s="208"/>
      <c r="CI49" s="208"/>
      <c r="CJ49" s="208"/>
      <c r="CK49" s="208"/>
      <c r="CL49" s="208"/>
      <c r="CM49" s="208"/>
      <c r="CN49" s="208"/>
      <c r="CO49" s="208"/>
      <c r="CP49" s="208"/>
      <c r="CQ49" s="208"/>
      <c r="CR49" s="208"/>
    </row>
    <row r="50" spans="1:96" s="128" customFormat="1">
      <c r="A50" s="370" t="s">
        <v>102</v>
      </c>
      <c r="B50" s="36" t="s">
        <v>103</v>
      </c>
      <c r="C50" s="36" t="s">
        <v>104</v>
      </c>
      <c r="D50" s="36" t="s">
        <v>101</v>
      </c>
      <c r="E50" s="36" t="s">
        <v>23</v>
      </c>
      <c r="F50" s="322"/>
      <c r="G50" s="20">
        <v>6.4</v>
      </c>
      <c r="H50" s="37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208"/>
      <c r="AW50" s="208"/>
      <c r="AX50" s="208"/>
      <c r="AY50" s="208"/>
      <c r="AZ50" s="208"/>
      <c r="BA50" s="208"/>
      <c r="BB50" s="208"/>
      <c r="BC50" s="208"/>
      <c r="BD50" s="208"/>
      <c r="BE50" s="208"/>
      <c r="BF50" s="208"/>
      <c r="BG50" s="208"/>
      <c r="BH50" s="208"/>
      <c r="BI50" s="208"/>
      <c r="BJ50" s="208"/>
      <c r="BK50" s="208"/>
      <c r="BL50" s="208"/>
      <c r="BM50" s="208"/>
      <c r="BN50" s="208"/>
      <c r="BO50" s="208"/>
      <c r="BP50" s="208"/>
      <c r="BQ50" s="208"/>
      <c r="BR50" s="208"/>
      <c r="BS50" s="208"/>
      <c r="BT50" s="208"/>
      <c r="BU50" s="208"/>
      <c r="BV50" s="208"/>
      <c r="BW50" s="208"/>
      <c r="BX50" s="208"/>
      <c r="BY50" s="208"/>
      <c r="BZ50" s="208"/>
      <c r="CA50" s="208"/>
      <c r="CB50" s="208"/>
      <c r="CC50" s="208"/>
      <c r="CD50" s="208"/>
      <c r="CE50" s="208"/>
      <c r="CF50" s="208"/>
      <c r="CG50" s="208"/>
      <c r="CH50" s="208"/>
      <c r="CI50" s="208"/>
      <c r="CJ50" s="208"/>
      <c r="CK50" s="208"/>
      <c r="CL50" s="208"/>
      <c r="CM50" s="208"/>
      <c r="CN50" s="208"/>
      <c r="CO50" s="208"/>
      <c r="CP50" s="208"/>
      <c r="CQ50" s="208"/>
      <c r="CR50" s="208"/>
    </row>
    <row r="51" spans="1:96" s="128" customFormat="1">
      <c r="A51" s="370" t="s">
        <v>236</v>
      </c>
      <c r="B51" s="36" t="s">
        <v>103</v>
      </c>
      <c r="C51" s="36" t="s">
        <v>104</v>
      </c>
      <c r="D51" s="36" t="s">
        <v>39</v>
      </c>
      <c r="E51" s="36" t="s">
        <v>23</v>
      </c>
      <c r="F51" s="322"/>
      <c r="G51" s="20">
        <v>6.4</v>
      </c>
      <c r="H51" s="37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  <c r="AU51" s="208"/>
      <c r="AV51" s="208"/>
      <c r="AW51" s="208"/>
      <c r="AX51" s="208"/>
      <c r="AY51" s="208"/>
      <c r="AZ51" s="208"/>
      <c r="BA51" s="208"/>
      <c r="BB51" s="208"/>
      <c r="BC51" s="208"/>
      <c r="BD51" s="208"/>
      <c r="BE51" s="208"/>
      <c r="BF51" s="208"/>
      <c r="BG51" s="208"/>
      <c r="BH51" s="208"/>
      <c r="BI51" s="208"/>
      <c r="BJ51" s="208"/>
      <c r="BK51" s="208"/>
      <c r="BL51" s="208"/>
      <c r="BM51" s="208"/>
      <c r="BN51" s="208"/>
      <c r="BO51" s="208"/>
      <c r="BP51" s="208"/>
      <c r="BQ51" s="208"/>
      <c r="BR51" s="208"/>
      <c r="BS51" s="208"/>
      <c r="BT51" s="208"/>
      <c r="BU51" s="208"/>
      <c r="BV51" s="208"/>
      <c r="BW51" s="208"/>
      <c r="BX51" s="208"/>
      <c r="BY51" s="208"/>
      <c r="BZ51" s="208"/>
      <c r="CA51" s="208"/>
      <c r="CB51" s="208"/>
      <c r="CC51" s="208"/>
      <c r="CD51" s="208"/>
      <c r="CE51" s="208"/>
      <c r="CF51" s="208"/>
      <c r="CG51" s="208"/>
      <c r="CH51" s="208"/>
      <c r="CI51" s="208"/>
      <c r="CJ51" s="208"/>
      <c r="CK51" s="208"/>
      <c r="CL51" s="208"/>
      <c r="CM51" s="208"/>
      <c r="CN51" s="208"/>
      <c r="CO51" s="208"/>
      <c r="CP51" s="208"/>
      <c r="CQ51" s="208"/>
      <c r="CR51" s="208"/>
    </row>
    <row r="52" spans="1:96" s="128" customFormat="1">
      <c r="A52" s="370" t="s">
        <v>236</v>
      </c>
      <c r="B52" s="36" t="s">
        <v>103</v>
      </c>
      <c r="C52" s="36" t="s">
        <v>104</v>
      </c>
      <c r="D52" s="36" t="s">
        <v>106</v>
      </c>
      <c r="E52" s="36" t="s">
        <v>23</v>
      </c>
      <c r="F52" s="322"/>
      <c r="G52" s="20">
        <v>6.4</v>
      </c>
      <c r="H52" s="37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8"/>
      <c r="AZ52" s="208"/>
      <c r="BA52" s="208"/>
      <c r="BB52" s="208"/>
      <c r="BC52" s="208"/>
      <c r="BD52" s="208"/>
      <c r="BE52" s="208"/>
      <c r="BF52" s="208"/>
      <c r="BG52" s="208"/>
      <c r="BH52" s="208"/>
      <c r="BI52" s="208"/>
      <c r="BJ52" s="208"/>
      <c r="BK52" s="208"/>
      <c r="BL52" s="208"/>
      <c r="BM52" s="208"/>
      <c r="BN52" s="208"/>
      <c r="BO52" s="208"/>
      <c r="BP52" s="208"/>
      <c r="BQ52" s="208"/>
      <c r="BR52" s="208"/>
      <c r="BS52" s="208"/>
      <c r="BT52" s="208"/>
      <c r="BU52" s="208"/>
      <c r="BV52" s="208"/>
      <c r="BW52" s="208"/>
      <c r="BX52" s="208"/>
      <c r="BY52" s="208"/>
      <c r="BZ52" s="208"/>
      <c r="CA52" s="208"/>
      <c r="CB52" s="208"/>
      <c r="CC52" s="208"/>
      <c r="CD52" s="208"/>
      <c r="CE52" s="208"/>
      <c r="CF52" s="208"/>
      <c r="CG52" s="208"/>
      <c r="CH52" s="208"/>
      <c r="CI52" s="208"/>
      <c r="CJ52" s="208"/>
      <c r="CK52" s="208"/>
      <c r="CL52" s="208"/>
      <c r="CM52" s="208"/>
      <c r="CN52" s="208"/>
      <c r="CO52" s="208"/>
      <c r="CP52" s="208"/>
      <c r="CQ52" s="208"/>
      <c r="CR52" s="208"/>
    </row>
    <row r="53" spans="1:96" s="128" customFormat="1">
      <c r="A53" s="370" t="s">
        <v>236</v>
      </c>
      <c r="B53" s="36" t="s">
        <v>103</v>
      </c>
      <c r="C53" s="36" t="s">
        <v>104</v>
      </c>
      <c r="D53" s="36" t="s">
        <v>101</v>
      </c>
      <c r="E53" s="36" t="s">
        <v>23</v>
      </c>
      <c r="F53" s="322"/>
      <c r="G53" s="20">
        <v>6.4</v>
      </c>
      <c r="H53" s="37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208"/>
      <c r="AV53" s="208"/>
      <c r="AW53" s="208"/>
      <c r="AX53" s="208"/>
      <c r="AY53" s="208"/>
      <c r="AZ53" s="208"/>
      <c r="BA53" s="208"/>
      <c r="BB53" s="208"/>
      <c r="BC53" s="208"/>
      <c r="BD53" s="208"/>
      <c r="BE53" s="208"/>
      <c r="BF53" s="208"/>
      <c r="BG53" s="208"/>
      <c r="BH53" s="208"/>
      <c r="BI53" s="208"/>
      <c r="BJ53" s="208"/>
      <c r="BK53" s="208"/>
      <c r="BL53" s="208"/>
      <c r="BM53" s="208"/>
      <c r="BN53" s="208"/>
      <c r="BO53" s="208"/>
      <c r="BP53" s="208"/>
      <c r="BQ53" s="208"/>
      <c r="BR53" s="208"/>
      <c r="BS53" s="208"/>
      <c r="BT53" s="208"/>
      <c r="BU53" s="208"/>
      <c r="BV53" s="208"/>
      <c r="BW53" s="208"/>
      <c r="BX53" s="208"/>
      <c r="BY53" s="208"/>
      <c r="BZ53" s="208"/>
      <c r="CA53" s="208"/>
      <c r="CB53" s="208"/>
      <c r="CC53" s="208"/>
      <c r="CD53" s="208"/>
      <c r="CE53" s="208"/>
      <c r="CF53" s="208"/>
      <c r="CG53" s="208"/>
      <c r="CH53" s="208"/>
      <c r="CI53" s="208"/>
      <c r="CJ53" s="208"/>
      <c r="CK53" s="208"/>
      <c r="CL53" s="208"/>
      <c r="CM53" s="208"/>
      <c r="CN53" s="208"/>
      <c r="CO53" s="208"/>
      <c r="CP53" s="208"/>
      <c r="CQ53" s="208"/>
      <c r="CR53" s="208"/>
    </row>
    <row r="54" spans="1:96" s="128" customFormat="1">
      <c r="A54" s="266" t="s">
        <v>239</v>
      </c>
      <c r="B54" s="40" t="s">
        <v>103</v>
      </c>
      <c r="C54" s="40" t="s">
        <v>21</v>
      </c>
      <c r="D54" s="40" t="s">
        <v>25</v>
      </c>
      <c r="E54" s="40" t="s">
        <v>23</v>
      </c>
      <c r="F54" s="324"/>
      <c r="G54" s="15">
        <v>6.4</v>
      </c>
      <c r="H54" s="39"/>
      <c r="I54" s="209">
        <f t="shared" si="13"/>
        <v>20.479999999999563</v>
      </c>
      <c r="J54" s="209">
        <v>4722.24</v>
      </c>
      <c r="K54" s="209">
        <v>4742.72</v>
      </c>
      <c r="L54" s="209">
        <v>4763.2</v>
      </c>
      <c r="M54" s="209">
        <v>4783.68</v>
      </c>
      <c r="N54" s="209">
        <v>4804.16</v>
      </c>
      <c r="O54" s="209">
        <v>4824.6400000000003</v>
      </c>
      <c r="P54" s="209">
        <v>4845.12</v>
      </c>
      <c r="Q54" s="209">
        <v>4865.6000000000004</v>
      </c>
      <c r="R54" s="209">
        <v>4886.08</v>
      </c>
      <c r="S54" s="209">
        <v>4906.5600000000004</v>
      </c>
      <c r="T54" s="209">
        <v>4927.04</v>
      </c>
      <c r="U54" s="209">
        <v>4947.5200000000004</v>
      </c>
      <c r="V54" s="209">
        <v>4968</v>
      </c>
      <c r="W54" s="209">
        <v>4988.4799999999996</v>
      </c>
      <c r="X54" s="209">
        <v>5008.96</v>
      </c>
      <c r="Y54" s="209">
        <v>5029.4399999999996</v>
      </c>
      <c r="Z54" s="209">
        <v>5049.92</v>
      </c>
      <c r="AA54" s="209">
        <v>5070.3999999999996</v>
      </c>
      <c r="AB54" s="209">
        <v>5090.9399999999996</v>
      </c>
      <c r="AC54" s="209">
        <v>5111.3599999999997</v>
      </c>
      <c r="AD54" s="209">
        <v>5131.8999999999996</v>
      </c>
      <c r="AE54" s="209">
        <v>5152.38</v>
      </c>
      <c r="AF54" s="209">
        <v>5172.8</v>
      </c>
      <c r="AG54" s="209">
        <v>5193.34</v>
      </c>
      <c r="AH54" s="209">
        <v>5213.8900000000003</v>
      </c>
      <c r="AI54" s="209">
        <v>5234.37</v>
      </c>
      <c r="AJ54" s="209">
        <v>5254.91</v>
      </c>
      <c r="AK54" s="209">
        <v>5275.46</v>
      </c>
      <c r="AL54" s="209">
        <v>5295.87</v>
      </c>
      <c r="AM54" s="209">
        <v>5316.35</v>
      </c>
      <c r="AN54" s="209">
        <v>5336.9</v>
      </c>
      <c r="AO54" s="209">
        <v>5357.31</v>
      </c>
      <c r="AP54" s="209">
        <v>5377.86</v>
      </c>
      <c r="AQ54" s="209">
        <v>5398.34</v>
      </c>
      <c r="AR54" s="209">
        <v>5418.88</v>
      </c>
      <c r="AS54" s="209">
        <v>5439.42</v>
      </c>
      <c r="AT54" s="209">
        <v>5459.71</v>
      </c>
      <c r="AU54" s="209">
        <v>5480.19</v>
      </c>
      <c r="AV54" s="209">
        <v>5500.61</v>
      </c>
      <c r="AW54" s="209">
        <v>5521.02</v>
      </c>
      <c r="AX54" s="209">
        <v>5541.44</v>
      </c>
      <c r="AY54" s="209">
        <v>5561.86</v>
      </c>
      <c r="AZ54" s="209">
        <v>5582.14</v>
      </c>
      <c r="BA54" s="209">
        <v>5602.62</v>
      </c>
      <c r="BB54" s="209">
        <v>5623.04</v>
      </c>
      <c r="BC54" s="209">
        <v>5643.46</v>
      </c>
      <c r="BD54" s="209">
        <v>5663.87</v>
      </c>
      <c r="BE54" s="209">
        <v>5684.29</v>
      </c>
      <c r="BF54" s="209">
        <v>5704.77</v>
      </c>
      <c r="BG54" s="209">
        <v>5725.06</v>
      </c>
      <c r="BH54" s="209">
        <v>5745.47</v>
      </c>
      <c r="BI54" s="209">
        <v>5765.89</v>
      </c>
      <c r="BJ54" s="209">
        <v>5786.3</v>
      </c>
      <c r="BK54" s="209">
        <v>5806.78</v>
      </c>
      <c r="BL54" s="209">
        <v>5827.2</v>
      </c>
      <c r="BM54" s="209">
        <v>5847.49</v>
      </c>
      <c r="BN54" s="209">
        <v>5867.9</v>
      </c>
      <c r="BO54" s="209">
        <f t="shared" ref="BO54:CG54" si="106">ROUND(BN54+$I54,2)</f>
        <v>5888.38</v>
      </c>
      <c r="BP54" s="209">
        <f t="shared" si="106"/>
        <v>5908.86</v>
      </c>
      <c r="BQ54" s="209">
        <f t="shared" si="106"/>
        <v>5929.34</v>
      </c>
      <c r="BR54" s="209">
        <f t="shared" si="106"/>
        <v>5949.82</v>
      </c>
      <c r="BS54" s="209">
        <f t="shared" si="106"/>
        <v>5970.3</v>
      </c>
      <c r="BT54" s="209">
        <f t="shared" si="106"/>
        <v>5990.78</v>
      </c>
      <c r="BU54" s="209">
        <f t="shared" si="106"/>
        <v>6011.26</v>
      </c>
      <c r="BV54" s="209">
        <f t="shared" si="106"/>
        <v>6031.74</v>
      </c>
      <c r="BW54" s="209">
        <f t="shared" si="106"/>
        <v>6052.22</v>
      </c>
      <c r="BX54" s="209">
        <f t="shared" si="106"/>
        <v>6072.7</v>
      </c>
      <c r="BY54" s="209">
        <f t="shared" si="106"/>
        <v>6093.18</v>
      </c>
      <c r="BZ54" s="209">
        <f t="shared" si="106"/>
        <v>6113.66</v>
      </c>
      <c r="CA54" s="209">
        <f t="shared" si="106"/>
        <v>6134.14</v>
      </c>
      <c r="CB54" s="209">
        <f t="shared" si="106"/>
        <v>6154.62</v>
      </c>
      <c r="CC54" s="209">
        <f t="shared" si="106"/>
        <v>6175.1</v>
      </c>
      <c r="CD54" s="209">
        <f t="shared" si="106"/>
        <v>6195.58</v>
      </c>
      <c r="CE54" s="209">
        <f t="shared" si="106"/>
        <v>6216.06</v>
      </c>
      <c r="CF54" s="209">
        <f t="shared" si="106"/>
        <v>6236.54</v>
      </c>
      <c r="CG54" s="209">
        <f t="shared" si="106"/>
        <v>6257.02</v>
      </c>
      <c r="CH54" s="209">
        <f t="shared" ref="CH54:CH58" si="107">ROUND(CG54+$I54,2)</f>
        <v>6277.5</v>
      </c>
      <c r="CI54" s="209">
        <f t="shared" ref="CI54:CI58" si="108">ROUND(CH54+$I54,2)</f>
        <v>6297.98</v>
      </c>
      <c r="CJ54" s="209">
        <f t="shared" ref="CJ54:CJ58" si="109">ROUND(CI54+$I54,2)</f>
        <v>6318.46</v>
      </c>
      <c r="CK54" s="209">
        <f t="shared" ref="CK54:CK58" si="110">ROUND(CJ54+$I54,2)</f>
        <v>6338.94</v>
      </c>
      <c r="CL54" s="209">
        <f t="shared" ref="CL54:CL58" si="111">ROUND(CK54+$I54,2)</f>
        <v>6359.42</v>
      </c>
      <c r="CM54" s="209">
        <f t="shared" ref="CM54:CM58" si="112">ROUND(CL54+$I54,2)</f>
        <v>6379.9</v>
      </c>
      <c r="CN54" s="209">
        <f t="shared" ref="CN54:CN58" si="113">ROUND(CM54+$I54,2)</f>
        <v>6400.38</v>
      </c>
      <c r="CO54" s="209">
        <f t="shared" ref="CO54:CO58" si="114">ROUND(CN54+$I54,2)</f>
        <v>6420.86</v>
      </c>
      <c r="CP54" s="209">
        <f t="shared" ref="CP54:CP58" si="115">ROUND(CO54+$I54,2)</f>
        <v>6441.34</v>
      </c>
      <c r="CQ54" s="209">
        <f t="shared" ref="CQ54:CQ58" si="116">ROUND(CP54+$I54,2)</f>
        <v>6461.82</v>
      </c>
      <c r="CR54" s="209">
        <f t="shared" ref="CR54:CR58" si="117">ROUND(CQ54+$I54,2)</f>
        <v>6482.3</v>
      </c>
    </row>
    <row r="55" spans="1:96" s="128" customFormat="1">
      <c r="A55" s="266" t="s">
        <v>240</v>
      </c>
      <c r="B55" s="40" t="s">
        <v>103</v>
      </c>
      <c r="C55" s="40" t="s">
        <v>21</v>
      </c>
      <c r="D55" s="40" t="s">
        <v>39</v>
      </c>
      <c r="E55" s="40" t="s">
        <v>23</v>
      </c>
      <c r="F55" s="324"/>
      <c r="G55" s="15">
        <v>6.4</v>
      </c>
      <c r="H55" s="39"/>
      <c r="I55" s="209">
        <f t="shared" si="13"/>
        <v>9.7199999999997999</v>
      </c>
      <c r="J55" s="209">
        <v>1960.32</v>
      </c>
      <c r="K55" s="209">
        <v>1970.11</v>
      </c>
      <c r="L55" s="209">
        <v>1979.9</v>
      </c>
      <c r="M55" s="209">
        <v>1989.7</v>
      </c>
      <c r="N55" s="209">
        <v>1999.49</v>
      </c>
      <c r="O55" s="209">
        <v>2009.28</v>
      </c>
      <c r="P55" s="209">
        <v>2019.07</v>
      </c>
      <c r="Q55" s="209">
        <v>2028.86</v>
      </c>
      <c r="R55" s="209">
        <v>2038.66</v>
      </c>
      <c r="S55" s="209">
        <v>2048.4499999999998</v>
      </c>
      <c r="T55" s="209">
        <v>2058.2399999999998</v>
      </c>
      <c r="U55" s="209">
        <v>2068.0300000000002</v>
      </c>
      <c r="V55" s="209">
        <v>2077.8200000000002</v>
      </c>
      <c r="W55" s="209">
        <v>2087.62</v>
      </c>
      <c r="X55" s="209">
        <v>2097.41</v>
      </c>
      <c r="Y55" s="209">
        <v>2107.1999999999998</v>
      </c>
      <c r="Z55" s="209">
        <v>2116.9899999999998</v>
      </c>
      <c r="AA55" s="209">
        <v>2126.7800000000002</v>
      </c>
      <c r="AB55" s="209">
        <v>2136.58</v>
      </c>
      <c r="AC55" s="209">
        <v>2146.3000000000002</v>
      </c>
      <c r="AD55" s="209">
        <v>2156.1</v>
      </c>
      <c r="AE55" s="209">
        <v>2165.89</v>
      </c>
      <c r="AF55" s="209">
        <v>2175.5500000000002</v>
      </c>
      <c r="AG55" s="209">
        <v>2185.34</v>
      </c>
      <c r="AH55" s="209">
        <v>2195.0700000000002</v>
      </c>
      <c r="AI55" s="209">
        <v>2204.86</v>
      </c>
      <c r="AJ55" s="209">
        <v>2214.66</v>
      </c>
      <c r="AK55" s="209">
        <v>2224.38</v>
      </c>
      <c r="AL55" s="209">
        <v>2234.1799999999998</v>
      </c>
      <c r="AM55" s="209">
        <v>2243.9699999999998</v>
      </c>
      <c r="AN55" s="209">
        <v>2253.63</v>
      </c>
      <c r="AO55" s="209">
        <v>2263.42</v>
      </c>
      <c r="AP55" s="209">
        <v>2273.2199999999998</v>
      </c>
      <c r="AQ55" s="209">
        <v>2282.94</v>
      </c>
      <c r="AR55" s="209">
        <v>2292.7399999999998</v>
      </c>
      <c r="AS55" s="209">
        <v>2302.46</v>
      </c>
      <c r="AT55" s="209">
        <v>2312.2600000000002</v>
      </c>
      <c r="AU55" s="209">
        <v>2321.98</v>
      </c>
      <c r="AV55" s="209">
        <v>2331.7800000000002</v>
      </c>
      <c r="AW55" s="209">
        <v>2341.5700000000002</v>
      </c>
      <c r="AX55" s="209">
        <v>2351.36</v>
      </c>
      <c r="AY55" s="209">
        <v>2361.15</v>
      </c>
      <c r="AZ55" s="209">
        <v>2370.94</v>
      </c>
      <c r="BA55" s="209">
        <v>2380.7399999999998</v>
      </c>
      <c r="BB55" s="209">
        <v>2390.5300000000002</v>
      </c>
      <c r="BC55" s="209">
        <v>2400.2600000000002</v>
      </c>
      <c r="BD55" s="209">
        <v>2410.0500000000002</v>
      </c>
      <c r="BE55" s="209">
        <v>2419.84</v>
      </c>
      <c r="BF55" s="209">
        <v>2429.63</v>
      </c>
      <c r="BG55" s="209">
        <v>2439.42</v>
      </c>
      <c r="BH55" s="209">
        <v>2449.2199999999998</v>
      </c>
      <c r="BI55" s="209">
        <v>2459.0100000000002</v>
      </c>
      <c r="BJ55" s="209">
        <v>2468.8000000000002</v>
      </c>
      <c r="BK55" s="209">
        <v>2478.59</v>
      </c>
      <c r="BL55" s="209">
        <v>2488.3200000000002</v>
      </c>
      <c r="BM55" s="209">
        <v>2498.11</v>
      </c>
      <c r="BN55" s="209">
        <v>2507.9</v>
      </c>
      <c r="BO55" s="209">
        <f t="shared" ref="BO55:CG55" si="118">ROUND(BN55+$I55,2)</f>
        <v>2517.62</v>
      </c>
      <c r="BP55" s="209">
        <f t="shared" si="118"/>
        <v>2527.34</v>
      </c>
      <c r="BQ55" s="209">
        <f t="shared" si="118"/>
        <v>2537.06</v>
      </c>
      <c r="BR55" s="209">
        <f t="shared" si="118"/>
        <v>2546.7800000000002</v>
      </c>
      <c r="BS55" s="209">
        <f t="shared" si="118"/>
        <v>2556.5</v>
      </c>
      <c r="BT55" s="209">
        <f t="shared" si="118"/>
        <v>2566.2199999999998</v>
      </c>
      <c r="BU55" s="209">
        <f t="shared" si="118"/>
        <v>2575.94</v>
      </c>
      <c r="BV55" s="209">
        <f t="shared" si="118"/>
        <v>2585.66</v>
      </c>
      <c r="BW55" s="209">
        <f t="shared" si="118"/>
        <v>2595.38</v>
      </c>
      <c r="BX55" s="209">
        <f t="shared" si="118"/>
        <v>2605.1</v>
      </c>
      <c r="BY55" s="209">
        <f t="shared" si="118"/>
        <v>2614.8200000000002</v>
      </c>
      <c r="BZ55" s="209">
        <f t="shared" si="118"/>
        <v>2624.54</v>
      </c>
      <c r="CA55" s="209">
        <f t="shared" si="118"/>
        <v>2634.26</v>
      </c>
      <c r="CB55" s="209">
        <f t="shared" si="118"/>
        <v>2643.98</v>
      </c>
      <c r="CC55" s="209">
        <f t="shared" si="118"/>
        <v>2653.7</v>
      </c>
      <c r="CD55" s="209">
        <f t="shared" si="118"/>
        <v>2663.42</v>
      </c>
      <c r="CE55" s="209">
        <f t="shared" si="118"/>
        <v>2673.14</v>
      </c>
      <c r="CF55" s="209">
        <f t="shared" si="118"/>
        <v>2682.86</v>
      </c>
      <c r="CG55" s="209">
        <f t="shared" si="118"/>
        <v>2692.58</v>
      </c>
      <c r="CH55" s="209">
        <f t="shared" si="107"/>
        <v>2702.3</v>
      </c>
      <c r="CI55" s="209">
        <f t="shared" si="108"/>
        <v>2712.02</v>
      </c>
      <c r="CJ55" s="209">
        <f t="shared" si="109"/>
        <v>2721.74</v>
      </c>
      <c r="CK55" s="209">
        <f t="shared" si="110"/>
        <v>2731.46</v>
      </c>
      <c r="CL55" s="209">
        <f t="shared" si="111"/>
        <v>2741.18</v>
      </c>
      <c r="CM55" s="209">
        <f t="shared" si="112"/>
        <v>2750.9</v>
      </c>
      <c r="CN55" s="209">
        <f t="shared" si="113"/>
        <v>2760.62</v>
      </c>
      <c r="CO55" s="209">
        <f t="shared" si="114"/>
        <v>2770.34</v>
      </c>
      <c r="CP55" s="209">
        <f t="shared" si="115"/>
        <v>2780.06</v>
      </c>
      <c r="CQ55" s="209">
        <f t="shared" si="116"/>
        <v>2789.78</v>
      </c>
      <c r="CR55" s="209">
        <f t="shared" si="117"/>
        <v>2799.5</v>
      </c>
    </row>
    <row r="56" spans="1:96" s="128" customFormat="1">
      <c r="A56" s="365" t="s">
        <v>240</v>
      </c>
      <c r="B56" s="38" t="s">
        <v>103</v>
      </c>
      <c r="C56" s="38" t="s">
        <v>21</v>
      </c>
      <c r="D56" s="38" t="s">
        <v>25</v>
      </c>
      <c r="E56" s="38" t="s">
        <v>23</v>
      </c>
      <c r="F56" s="323"/>
      <c r="G56" s="15">
        <v>6.4</v>
      </c>
      <c r="H56" s="39"/>
      <c r="I56" s="209">
        <f t="shared" si="13"/>
        <v>9.7300000000000182</v>
      </c>
      <c r="J56" s="209">
        <v>2249.09</v>
      </c>
      <c r="K56" s="209">
        <v>2258.8200000000002</v>
      </c>
      <c r="L56" s="209">
        <v>2268.54</v>
      </c>
      <c r="M56" s="209">
        <v>2278.27</v>
      </c>
      <c r="N56" s="209">
        <v>2288</v>
      </c>
      <c r="O56" s="209">
        <v>2297.73</v>
      </c>
      <c r="P56" s="209">
        <v>2307.46</v>
      </c>
      <c r="Q56" s="209">
        <v>2317.1799999999998</v>
      </c>
      <c r="R56" s="209">
        <v>2326.91</v>
      </c>
      <c r="S56" s="209">
        <v>2336.64</v>
      </c>
      <c r="T56" s="209">
        <v>2346.37</v>
      </c>
      <c r="U56" s="209">
        <v>2356.1</v>
      </c>
      <c r="V56" s="209">
        <v>2365.8200000000002</v>
      </c>
      <c r="W56" s="209">
        <v>2375.5500000000002</v>
      </c>
      <c r="X56" s="209">
        <v>2385.2800000000002</v>
      </c>
      <c r="Y56" s="209">
        <v>2395.0100000000002</v>
      </c>
      <c r="Z56" s="209">
        <v>2404.7399999999998</v>
      </c>
      <c r="AA56" s="209">
        <v>2414.46</v>
      </c>
      <c r="AB56" s="209">
        <v>2424.2600000000002</v>
      </c>
      <c r="AC56" s="209">
        <v>2433.98</v>
      </c>
      <c r="AD56" s="209">
        <v>2443.7800000000002</v>
      </c>
      <c r="AE56" s="209">
        <v>2453.5</v>
      </c>
      <c r="AF56" s="209">
        <v>2463.23</v>
      </c>
      <c r="AG56" s="209">
        <v>2473.02</v>
      </c>
      <c r="AH56" s="209">
        <v>2482.8200000000002</v>
      </c>
      <c r="AI56" s="209">
        <v>2492.54</v>
      </c>
      <c r="AJ56" s="209">
        <v>2502.34</v>
      </c>
      <c r="AK56" s="209">
        <v>2512.13</v>
      </c>
      <c r="AL56" s="209">
        <v>2521.86</v>
      </c>
      <c r="AM56" s="209">
        <v>2531.58</v>
      </c>
      <c r="AN56" s="209">
        <v>2541.38</v>
      </c>
      <c r="AO56" s="209">
        <v>2551.1</v>
      </c>
      <c r="AP56" s="209">
        <v>2560.9</v>
      </c>
      <c r="AQ56" s="209">
        <v>2570.62</v>
      </c>
      <c r="AR56" s="209">
        <v>2580.42</v>
      </c>
      <c r="AS56" s="209">
        <v>2590.21</v>
      </c>
      <c r="AT56" s="209">
        <v>2599.87</v>
      </c>
      <c r="AU56" s="209">
        <v>2609.6</v>
      </c>
      <c r="AV56" s="209">
        <v>2619.33</v>
      </c>
      <c r="AW56" s="209">
        <v>2629.06</v>
      </c>
      <c r="AX56" s="209">
        <v>2638.78</v>
      </c>
      <c r="AY56" s="209">
        <v>2648.51</v>
      </c>
      <c r="AZ56" s="209">
        <v>2658.18</v>
      </c>
      <c r="BA56" s="209">
        <v>2667.9</v>
      </c>
      <c r="BB56" s="209">
        <v>2677.63</v>
      </c>
      <c r="BC56" s="209">
        <v>2687.36</v>
      </c>
      <c r="BD56" s="209">
        <v>2697.09</v>
      </c>
      <c r="BE56" s="209">
        <v>2706.82</v>
      </c>
      <c r="BF56" s="209">
        <v>2716.54</v>
      </c>
      <c r="BG56" s="209">
        <v>2726.21</v>
      </c>
      <c r="BH56" s="209">
        <v>2735.94</v>
      </c>
      <c r="BI56" s="209">
        <v>2745.66</v>
      </c>
      <c r="BJ56" s="209">
        <v>2755.39</v>
      </c>
      <c r="BK56" s="209">
        <v>2765.12</v>
      </c>
      <c r="BL56" s="209">
        <v>2774.85</v>
      </c>
      <c r="BM56" s="209">
        <v>2784.51</v>
      </c>
      <c r="BN56" s="209">
        <v>2794.24</v>
      </c>
      <c r="BO56" s="209">
        <f t="shared" ref="BO56:CG56" si="119">ROUND(BN56+$I56,2)</f>
        <v>2803.97</v>
      </c>
      <c r="BP56" s="209">
        <f t="shared" si="119"/>
        <v>2813.7</v>
      </c>
      <c r="BQ56" s="209">
        <f t="shared" si="119"/>
        <v>2823.43</v>
      </c>
      <c r="BR56" s="209">
        <f t="shared" si="119"/>
        <v>2833.16</v>
      </c>
      <c r="BS56" s="209">
        <f t="shared" si="119"/>
        <v>2842.89</v>
      </c>
      <c r="BT56" s="209">
        <f t="shared" si="119"/>
        <v>2852.62</v>
      </c>
      <c r="BU56" s="209">
        <f t="shared" si="119"/>
        <v>2862.35</v>
      </c>
      <c r="BV56" s="209">
        <f t="shared" si="119"/>
        <v>2872.08</v>
      </c>
      <c r="BW56" s="209">
        <f t="shared" si="119"/>
        <v>2881.81</v>
      </c>
      <c r="BX56" s="209">
        <f t="shared" si="119"/>
        <v>2891.54</v>
      </c>
      <c r="BY56" s="209">
        <f t="shared" si="119"/>
        <v>2901.27</v>
      </c>
      <c r="BZ56" s="209">
        <f t="shared" si="119"/>
        <v>2911</v>
      </c>
      <c r="CA56" s="209">
        <f t="shared" si="119"/>
        <v>2920.73</v>
      </c>
      <c r="CB56" s="209">
        <f t="shared" si="119"/>
        <v>2930.46</v>
      </c>
      <c r="CC56" s="209">
        <f t="shared" si="119"/>
        <v>2940.19</v>
      </c>
      <c r="CD56" s="209">
        <f t="shared" si="119"/>
        <v>2949.92</v>
      </c>
      <c r="CE56" s="209">
        <f t="shared" si="119"/>
        <v>2959.65</v>
      </c>
      <c r="CF56" s="209">
        <f t="shared" si="119"/>
        <v>2969.38</v>
      </c>
      <c r="CG56" s="209">
        <f t="shared" si="119"/>
        <v>2979.11</v>
      </c>
      <c r="CH56" s="209">
        <f t="shared" si="107"/>
        <v>2988.84</v>
      </c>
      <c r="CI56" s="209">
        <f t="shared" si="108"/>
        <v>2998.57</v>
      </c>
      <c r="CJ56" s="209">
        <f t="shared" si="109"/>
        <v>3008.3</v>
      </c>
      <c r="CK56" s="209">
        <f t="shared" si="110"/>
        <v>3018.03</v>
      </c>
      <c r="CL56" s="209">
        <f t="shared" si="111"/>
        <v>3027.76</v>
      </c>
      <c r="CM56" s="209">
        <f t="shared" si="112"/>
        <v>3037.49</v>
      </c>
      <c r="CN56" s="209">
        <f t="shared" si="113"/>
        <v>3047.22</v>
      </c>
      <c r="CO56" s="209">
        <f t="shared" si="114"/>
        <v>3056.95</v>
      </c>
      <c r="CP56" s="209">
        <f t="shared" si="115"/>
        <v>3066.68</v>
      </c>
      <c r="CQ56" s="209">
        <f t="shared" si="116"/>
        <v>3076.41</v>
      </c>
      <c r="CR56" s="209">
        <f t="shared" si="117"/>
        <v>3086.14</v>
      </c>
    </row>
    <row r="57" spans="1:96" s="128" customFormat="1">
      <c r="A57" s="266" t="s">
        <v>240</v>
      </c>
      <c r="B57" s="40" t="s">
        <v>103</v>
      </c>
      <c r="C57" s="40" t="s">
        <v>21</v>
      </c>
      <c r="D57" s="40" t="s">
        <v>22</v>
      </c>
      <c r="E57" s="40" t="s">
        <v>23</v>
      </c>
      <c r="F57" s="324"/>
      <c r="G57" s="15">
        <v>6.4</v>
      </c>
      <c r="H57" s="39"/>
      <c r="I57" s="209">
        <f t="shared" si="13"/>
        <v>9.9800000000000182</v>
      </c>
      <c r="J57" s="209">
        <v>2316.1</v>
      </c>
      <c r="K57" s="209">
        <v>2326.14</v>
      </c>
      <c r="L57" s="209">
        <v>2336.19</v>
      </c>
      <c r="M57" s="209">
        <v>2346.2399999999998</v>
      </c>
      <c r="N57" s="209">
        <v>2356.29</v>
      </c>
      <c r="O57" s="209">
        <v>2366.34</v>
      </c>
      <c r="P57" s="209">
        <v>2376.38</v>
      </c>
      <c r="Q57" s="209">
        <v>2386.4299999999998</v>
      </c>
      <c r="R57" s="209">
        <v>2396.48</v>
      </c>
      <c r="S57" s="209">
        <v>2406.5300000000002</v>
      </c>
      <c r="T57" s="209">
        <v>2416.58</v>
      </c>
      <c r="U57" s="209">
        <v>2426.62</v>
      </c>
      <c r="V57" s="209">
        <v>2436.67</v>
      </c>
      <c r="W57" s="209">
        <v>2446.7199999999998</v>
      </c>
      <c r="X57" s="209">
        <v>2456.77</v>
      </c>
      <c r="Y57" s="209">
        <v>2466.8200000000002</v>
      </c>
      <c r="Z57" s="209">
        <v>2476.86</v>
      </c>
      <c r="AA57" s="209">
        <v>2486.91</v>
      </c>
      <c r="AB57" s="209">
        <v>2496.96</v>
      </c>
      <c r="AC57" s="209">
        <v>2507.0100000000002</v>
      </c>
      <c r="AD57" s="209">
        <v>2517.12</v>
      </c>
      <c r="AE57" s="209">
        <v>2527.1</v>
      </c>
      <c r="AF57" s="209">
        <v>2537.15</v>
      </c>
      <c r="AG57" s="209">
        <v>2547.1999999999998</v>
      </c>
      <c r="AH57" s="209">
        <v>2557.31</v>
      </c>
      <c r="AI57" s="209">
        <v>2567.3000000000002</v>
      </c>
      <c r="AJ57" s="209">
        <v>2577.41</v>
      </c>
      <c r="AK57" s="209">
        <v>2587.52</v>
      </c>
      <c r="AL57" s="209">
        <v>2597.5</v>
      </c>
      <c r="AM57" s="209">
        <v>2607.5500000000002</v>
      </c>
      <c r="AN57" s="209">
        <v>2617.6</v>
      </c>
      <c r="AO57" s="209">
        <v>2627.65</v>
      </c>
      <c r="AP57" s="209">
        <v>2637.7</v>
      </c>
      <c r="AQ57" s="209">
        <v>2647.74</v>
      </c>
      <c r="AR57" s="209">
        <v>2657.86</v>
      </c>
      <c r="AS57" s="209">
        <v>2667.9</v>
      </c>
      <c r="AT57" s="209">
        <v>2677.89</v>
      </c>
      <c r="AU57" s="209">
        <v>2687.87</v>
      </c>
      <c r="AV57" s="209">
        <v>2697.92</v>
      </c>
      <c r="AW57" s="209">
        <v>2707.9</v>
      </c>
      <c r="AX57" s="209">
        <v>2717.95</v>
      </c>
      <c r="AY57" s="209">
        <v>2727.94</v>
      </c>
      <c r="AZ57" s="209">
        <v>2737.92</v>
      </c>
      <c r="BA57" s="209">
        <v>2747.97</v>
      </c>
      <c r="BB57" s="209">
        <v>2757.95</v>
      </c>
      <c r="BC57" s="209">
        <v>2768</v>
      </c>
      <c r="BD57" s="209">
        <v>2777.98</v>
      </c>
      <c r="BE57" s="209">
        <v>2788.03</v>
      </c>
      <c r="BF57" s="209">
        <v>2798.02</v>
      </c>
      <c r="BG57" s="209">
        <v>2808</v>
      </c>
      <c r="BH57" s="209">
        <v>2817.98</v>
      </c>
      <c r="BI57" s="209">
        <v>2828.03</v>
      </c>
      <c r="BJ57" s="209">
        <v>2838.08</v>
      </c>
      <c r="BK57" s="209">
        <v>2848.06</v>
      </c>
      <c r="BL57" s="209">
        <v>2858.11</v>
      </c>
      <c r="BM57" s="209">
        <v>2868.03</v>
      </c>
      <c r="BN57" s="209">
        <v>2878.08</v>
      </c>
      <c r="BO57" s="209">
        <f t="shared" ref="BO57:CG57" si="120">ROUND(BN57+$I57,2)</f>
        <v>2888.06</v>
      </c>
      <c r="BP57" s="209">
        <f t="shared" si="120"/>
        <v>2898.04</v>
      </c>
      <c r="BQ57" s="209">
        <f t="shared" si="120"/>
        <v>2908.02</v>
      </c>
      <c r="BR57" s="209">
        <f t="shared" si="120"/>
        <v>2918</v>
      </c>
      <c r="BS57" s="209">
        <f t="shared" si="120"/>
        <v>2927.98</v>
      </c>
      <c r="BT57" s="209">
        <f t="shared" si="120"/>
        <v>2937.96</v>
      </c>
      <c r="BU57" s="209">
        <f t="shared" si="120"/>
        <v>2947.94</v>
      </c>
      <c r="BV57" s="209">
        <f t="shared" si="120"/>
        <v>2957.92</v>
      </c>
      <c r="BW57" s="209">
        <f t="shared" si="120"/>
        <v>2967.9</v>
      </c>
      <c r="BX57" s="209">
        <f t="shared" si="120"/>
        <v>2977.88</v>
      </c>
      <c r="BY57" s="209">
        <f t="shared" si="120"/>
        <v>2987.86</v>
      </c>
      <c r="BZ57" s="209">
        <f t="shared" si="120"/>
        <v>2997.84</v>
      </c>
      <c r="CA57" s="209">
        <f t="shared" si="120"/>
        <v>3007.82</v>
      </c>
      <c r="CB57" s="209">
        <f t="shared" si="120"/>
        <v>3017.8</v>
      </c>
      <c r="CC57" s="209">
        <f t="shared" si="120"/>
        <v>3027.78</v>
      </c>
      <c r="CD57" s="209">
        <f t="shared" si="120"/>
        <v>3037.76</v>
      </c>
      <c r="CE57" s="209">
        <f t="shared" si="120"/>
        <v>3047.74</v>
      </c>
      <c r="CF57" s="209">
        <f t="shared" si="120"/>
        <v>3057.72</v>
      </c>
      <c r="CG57" s="209">
        <f t="shared" si="120"/>
        <v>3067.7</v>
      </c>
      <c r="CH57" s="209">
        <f t="shared" si="107"/>
        <v>3077.68</v>
      </c>
      <c r="CI57" s="209">
        <f t="shared" si="108"/>
        <v>3087.66</v>
      </c>
      <c r="CJ57" s="209">
        <f t="shared" si="109"/>
        <v>3097.64</v>
      </c>
      <c r="CK57" s="209">
        <f t="shared" si="110"/>
        <v>3107.62</v>
      </c>
      <c r="CL57" s="209">
        <f t="shared" si="111"/>
        <v>3117.6</v>
      </c>
      <c r="CM57" s="209">
        <f t="shared" si="112"/>
        <v>3127.58</v>
      </c>
      <c r="CN57" s="209">
        <f t="shared" si="113"/>
        <v>3137.56</v>
      </c>
      <c r="CO57" s="209">
        <f t="shared" si="114"/>
        <v>3147.54</v>
      </c>
      <c r="CP57" s="209">
        <f t="shared" si="115"/>
        <v>3157.52</v>
      </c>
      <c r="CQ57" s="209">
        <f t="shared" si="116"/>
        <v>3167.5</v>
      </c>
      <c r="CR57" s="209">
        <f t="shared" si="117"/>
        <v>3177.48</v>
      </c>
    </row>
    <row r="58" spans="1:96" s="128" customFormat="1">
      <c r="A58" s="266" t="s">
        <v>239</v>
      </c>
      <c r="B58" s="40" t="s">
        <v>103</v>
      </c>
      <c r="C58" s="40" t="s">
        <v>21</v>
      </c>
      <c r="D58" s="40" t="s">
        <v>39</v>
      </c>
      <c r="E58" s="40" t="s">
        <v>23</v>
      </c>
      <c r="F58" s="324"/>
      <c r="G58" s="15">
        <v>6.4</v>
      </c>
      <c r="H58" s="39"/>
      <c r="I58" s="209">
        <f t="shared" si="13"/>
        <v>20.670000000000073</v>
      </c>
      <c r="J58" s="209">
        <v>4155.2</v>
      </c>
      <c r="K58" s="209">
        <v>4176</v>
      </c>
      <c r="L58" s="209">
        <v>4196.8</v>
      </c>
      <c r="M58" s="209">
        <v>4217.6000000000004</v>
      </c>
      <c r="N58" s="209">
        <v>4238.3999999999996</v>
      </c>
      <c r="O58" s="209">
        <v>4259.2</v>
      </c>
      <c r="P58" s="209">
        <v>4280</v>
      </c>
      <c r="Q58" s="209">
        <v>4300.8</v>
      </c>
      <c r="R58" s="209">
        <v>4321.6000000000004</v>
      </c>
      <c r="S58" s="209">
        <v>4342.3999999999996</v>
      </c>
      <c r="T58" s="209">
        <v>4363.2</v>
      </c>
      <c r="U58" s="209">
        <v>4384</v>
      </c>
      <c r="V58" s="209">
        <v>4404.8</v>
      </c>
      <c r="W58" s="209">
        <v>4425.6000000000004</v>
      </c>
      <c r="X58" s="209">
        <v>4446.3999999999996</v>
      </c>
      <c r="Y58" s="209">
        <v>4467.2</v>
      </c>
      <c r="Z58" s="209">
        <v>4488</v>
      </c>
      <c r="AA58" s="209">
        <v>4508.8</v>
      </c>
      <c r="AB58" s="209">
        <v>4529.54</v>
      </c>
      <c r="AC58" s="209">
        <v>4550.1400000000003</v>
      </c>
      <c r="AD58" s="209">
        <v>4570.9399999999996</v>
      </c>
      <c r="AE58" s="209">
        <v>4591.68</v>
      </c>
      <c r="AF58" s="209">
        <v>4612.16</v>
      </c>
      <c r="AG58" s="209">
        <v>4632.96</v>
      </c>
      <c r="AH58" s="209">
        <v>4653.57</v>
      </c>
      <c r="AI58" s="209">
        <v>4674.3</v>
      </c>
      <c r="AJ58" s="209">
        <v>4695.04</v>
      </c>
      <c r="AK58" s="209">
        <v>4715.71</v>
      </c>
      <c r="AL58" s="209">
        <v>4736.45</v>
      </c>
      <c r="AM58" s="209">
        <v>4757.18</v>
      </c>
      <c r="AN58" s="209">
        <v>4777.7299999999996</v>
      </c>
      <c r="AO58" s="209">
        <v>4798.46</v>
      </c>
      <c r="AP58" s="209">
        <v>4819.2</v>
      </c>
      <c r="AQ58" s="209">
        <v>4839.87</v>
      </c>
      <c r="AR58" s="209">
        <v>4860.6099999999997</v>
      </c>
      <c r="AS58" s="209">
        <v>4881.22</v>
      </c>
      <c r="AT58" s="209">
        <v>4901.95</v>
      </c>
      <c r="AU58" s="209">
        <v>4922.62</v>
      </c>
      <c r="AV58" s="209">
        <v>4943.3599999999997</v>
      </c>
      <c r="AW58" s="209">
        <v>4964.1000000000004</v>
      </c>
      <c r="AX58" s="209">
        <v>4984.8999999999996</v>
      </c>
      <c r="AY58" s="209">
        <v>5005.63</v>
      </c>
      <c r="AZ58" s="209">
        <v>5026.43</v>
      </c>
      <c r="BA58" s="209">
        <v>5047.17</v>
      </c>
      <c r="BB58" s="209">
        <v>5067.8999999999996</v>
      </c>
      <c r="BC58" s="209">
        <v>5088.51</v>
      </c>
      <c r="BD58" s="209">
        <v>5109.3100000000004</v>
      </c>
      <c r="BE58" s="209">
        <v>5130.05</v>
      </c>
      <c r="BF58" s="209">
        <v>5150.8500000000004</v>
      </c>
      <c r="BG58" s="209">
        <v>5171.58</v>
      </c>
      <c r="BH58" s="209">
        <v>5192.32</v>
      </c>
      <c r="BI58" s="209">
        <v>5213.12</v>
      </c>
      <c r="BJ58" s="209">
        <v>5233.8599999999997</v>
      </c>
      <c r="BK58" s="209">
        <v>5254.59</v>
      </c>
      <c r="BL58" s="209">
        <v>5275.26</v>
      </c>
      <c r="BM58" s="209">
        <v>5296</v>
      </c>
      <c r="BN58" s="209">
        <v>5316.74</v>
      </c>
      <c r="BO58" s="209">
        <f t="shared" ref="BO58:CG58" si="121">ROUND(BN58+$I58,2)</f>
        <v>5337.41</v>
      </c>
      <c r="BP58" s="209">
        <f t="shared" si="121"/>
        <v>5358.08</v>
      </c>
      <c r="BQ58" s="209">
        <f t="shared" si="121"/>
        <v>5378.75</v>
      </c>
      <c r="BR58" s="209">
        <f t="shared" si="121"/>
        <v>5399.42</v>
      </c>
      <c r="BS58" s="209">
        <f t="shared" si="121"/>
        <v>5420.09</v>
      </c>
      <c r="BT58" s="209">
        <f t="shared" si="121"/>
        <v>5440.76</v>
      </c>
      <c r="BU58" s="209">
        <f t="shared" si="121"/>
        <v>5461.43</v>
      </c>
      <c r="BV58" s="209">
        <f t="shared" si="121"/>
        <v>5482.1</v>
      </c>
      <c r="BW58" s="209">
        <f t="shared" si="121"/>
        <v>5502.77</v>
      </c>
      <c r="BX58" s="209">
        <f t="shared" si="121"/>
        <v>5523.44</v>
      </c>
      <c r="BY58" s="209">
        <f t="shared" si="121"/>
        <v>5544.11</v>
      </c>
      <c r="BZ58" s="209">
        <f t="shared" si="121"/>
        <v>5564.78</v>
      </c>
      <c r="CA58" s="209">
        <f t="shared" si="121"/>
        <v>5585.45</v>
      </c>
      <c r="CB58" s="209">
        <f t="shared" si="121"/>
        <v>5606.12</v>
      </c>
      <c r="CC58" s="209">
        <f t="shared" si="121"/>
        <v>5626.79</v>
      </c>
      <c r="CD58" s="209">
        <f t="shared" si="121"/>
        <v>5647.46</v>
      </c>
      <c r="CE58" s="209">
        <f t="shared" si="121"/>
        <v>5668.13</v>
      </c>
      <c r="CF58" s="209">
        <f t="shared" si="121"/>
        <v>5688.8</v>
      </c>
      <c r="CG58" s="209">
        <f t="shared" si="121"/>
        <v>5709.47</v>
      </c>
      <c r="CH58" s="209">
        <f t="shared" si="107"/>
        <v>5730.14</v>
      </c>
      <c r="CI58" s="209">
        <f t="shared" si="108"/>
        <v>5750.81</v>
      </c>
      <c r="CJ58" s="209">
        <f t="shared" si="109"/>
        <v>5771.48</v>
      </c>
      <c r="CK58" s="209">
        <f t="shared" si="110"/>
        <v>5792.15</v>
      </c>
      <c r="CL58" s="209">
        <f t="shared" si="111"/>
        <v>5812.82</v>
      </c>
      <c r="CM58" s="209">
        <f t="shared" si="112"/>
        <v>5833.49</v>
      </c>
      <c r="CN58" s="209">
        <f t="shared" si="113"/>
        <v>5854.16</v>
      </c>
      <c r="CO58" s="209">
        <f t="shared" si="114"/>
        <v>5874.83</v>
      </c>
      <c r="CP58" s="209">
        <f t="shared" si="115"/>
        <v>5895.5</v>
      </c>
      <c r="CQ58" s="209">
        <f t="shared" si="116"/>
        <v>5916.17</v>
      </c>
      <c r="CR58" s="209">
        <f t="shared" si="117"/>
        <v>5936.84</v>
      </c>
    </row>
    <row r="59" spans="1:96" s="128" customFormat="1">
      <c r="A59" s="370" t="s">
        <v>242</v>
      </c>
      <c r="B59" s="36" t="s">
        <v>103</v>
      </c>
      <c r="C59" s="36" t="s">
        <v>21</v>
      </c>
      <c r="D59" s="36" t="s">
        <v>25</v>
      </c>
      <c r="E59" s="36" t="s">
        <v>23</v>
      </c>
      <c r="F59" s="322"/>
      <c r="G59" s="20">
        <v>6.4</v>
      </c>
      <c r="H59" s="37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  <c r="AE59" s="208"/>
      <c r="AF59" s="208"/>
      <c r="AG59" s="208"/>
      <c r="AH59" s="208"/>
      <c r="AI59" s="208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8"/>
      <c r="AU59" s="208"/>
      <c r="AV59" s="208"/>
      <c r="AW59" s="208"/>
      <c r="AX59" s="208"/>
      <c r="AY59" s="208"/>
      <c r="AZ59" s="208"/>
      <c r="BA59" s="208"/>
      <c r="BB59" s="208"/>
      <c r="BC59" s="208"/>
      <c r="BD59" s="208"/>
      <c r="BE59" s="208"/>
      <c r="BF59" s="208"/>
      <c r="BG59" s="208"/>
      <c r="BH59" s="208"/>
      <c r="BI59" s="208"/>
      <c r="BJ59" s="208"/>
      <c r="BK59" s="208"/>
      <c r="BL59" s="208"/>
      <c r="BM59" s="208"/>
      <c r="BN59" s="208"/>
      <c r="BO59" s="208"/>
      <c r="BP59" s="208"/>
      <c r="BQ59" s="208"/>
      <c r="BR59" s="208"/>
      <c r="BS59" s="208"/>
      <c r="BT59" s="208"/>
      <c r="BU59" s="208"/>
      <c r="BV59" s="208"/>
      <c r="BW59" s="208"/>
      <c r="BX59" s="208"/>
      <c r="BY59" s="208"/>
      <c r="BZ59" s="208"/>
      <c r="CA59" s="208"/>
      <c r="CB59" s="208"/>
      <c r="CC59" s="208"/>
      <c r="CD59" s="208"/>
      <c r="CE59" s="208"/>
      <c r="CF59" s="208"/>
      <c r="CG59" s="208"/>
      <c r="CH59" s="208"/>
      <c r="CI59" s="208"/>
      <c r="CJ59" s="208"/>
      <c r="CK59" s="208"/>
      <c r="CL59" s="208"/>
      <c r="CM59" s="208"/>
      <c r="CN59" s="208"/>
      <c r="CO59" s="208"/>
      <c r="CP59" s="208"/>
      <c r="CQ59" s="208"/>
      <c r="CR59" s="208"/>
    </row>
    <row r="60" spans="1:96" s="128" customFormat="1">
      <c r="A60" s="370" t="s">
        <v>242</v>
      </c>
      <c r="B60" s="36" t="s">
        <v>124</v>
      </c>
      <c r="C60" s="36" t="s">
        <v>21</v>
      </c>
      <c r="D60" s="36" t="s">
        <v>22</v>
      </c>
      <c r="E60" s="36" t="s">
        <v>23</v>
      </c>
      <c r="F60" s="322"/>
      <c r="G60" s="20">
        <v>6.4</v>
      </c>
      <c r="H60" s="37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  <c r="AR60" s="208"/>
      <c r="AS60" s="208"/>
      <c r="AT60" s="208"/>
      <c r="AU60" s="208"/>
      <c r="AV60" s="208"/>
      <c r="AW60" s="208"/>
      <c r="AX60" s="208"/>
      <c r="AY60" s="208"/>
      <c r="AZ60" s="208"/>
      <c r="BA60" s="208"/>
      <c r="BB60" s="208"/>
      <c r="BC60" s="208"/>
      <c r="BD60" s="208"/>
      <c r="BE60" s="208"/>
      <c r="BF60" s="208"/>
      <c r="BG60" s="208"/>
      <c r="BH60" s="208"/>
      <c r="BI60" s="208"/>
      <c r="BJ60" s="208"/>
      <c r="BK60" s="208"/>
      <c r="BL60" s="208"/>
      <c r="BM60" s="208"/>
      <c r="BN60" s="208"/>
      <c r="BO60" s="208"/>
      <c r="BP60" s="208"/>
      <c r="BQ60" s="208"/>
      <c r="BR60" s="208"/>
      <c r="BS60" s="208"/>
      <c r="BT60" s="208"/>
      <c r="BU60" s="208"/>
      <c r="BV60" s="208"/>
      <c r="BW60" s="208"/>
      <c r="BX60" s="208"/>
      <c r="BY60" s="208"/>
      <c r="BZ60" s="208"/>
      <c r="CA60" s="208"/>
      <c r="CB60" s="208"/>
      <c r="CC60" s="208"/>
      <c r="CD60" s="208"/>
      <c r="CE60" s="208"/>
      <c r="CF60" s="208"/>
      <c r="CG60" s="208"/>
      <c r="CH60" s="208"/>
      <c r="CI60" s="208"/>
      <c r="CJ60" s="208"/>
      <c r="CK60" s="208"/>
      <c r="CL60" s="208"/>
      <c r="CM60" s="208"/>
      <c r="CN60" s="208"/>
      <c r="CO60" s="208"/>
      <c r="CP60" s="208"/>
      <c r="CQ60" s="208"/>
      <c r="CR60" s="208"/>
    </row>
    <row r="61" spans="1:96" s="128" customFormat="1">
      <c r="A61" s="56" t="s">
        <v>286</v>
      </c>
      <c r="B61" s="40" t="s">
        <v>124</v>
      </c>
      <c r="C61" s="40" t="s">
        <v>104</v>
      </c>
      <c r="D61" s="40" t="s">
        <v>39</v>
      </c>
      <c r="E61" s="40" t="s">
        <v>57</v>
      </c>
      <c r="F61" s="324"/>
      <c r="G61" s="15">
        <v>6.4</v>
      </c>
      <c r="H61" s="39"/>
      <c r="I61" s="209">
        <f t="shared" si="13"/>
        <v>10.369999999999891</v>
      </c>
      <c r="J61" s="209">
        <v>2231.7399999999998</v>
      </c>
      <c r="K61" s="209">
        <v>2242.11</v>
      </c>
      <c r="L61" s="209">
        <v>2252.48</v>
      </c>
      <c r="M61" s="209">
        <v>2262.85</v>
      </c>
      <c r="N61" s="209">
        <v>2273.2199999999998</v>
      </c>
      <c r="O61" s="209">
        <v>2283.58</v>
      </c>
      <c r="P61" s="209">
        <v>2293.9499999999998</v>
      </c>
      <c r="Q61" s="209">
        <v>2304.3200000000002</v>
      </c>
      <c r="R61" s="209">
        <v>2314.69</v>
      </c>
      <c r="S61" s="209">
        <v>2325.06</v>
      </c>
      <c r="T61" s="209">
        <v>2335.42</v>
      </c>
      <c r="U61" s="209">
        <v>2345.79</v>
      </c>
      <c r="V61" s="209">
        <v>2356.16</v>
      </c>
      <c r="W61" s="209">
        <v>2366.5300000000002</v>
      </c>
      <c r="X61" s="209">
        <v>2376.9</v>
      </c>
      <c r="Y61" s="209">
        <v>2387.2600000000002</v>
      </c>
      <c r="Z61" s="209">
        <v>2397.63</v>
      </c>
      <c r="AA61" s="209">
        <v>2408</v>
      </c>
      <c r="AB61" s="209">
        <v>2418.37</v>
      </c>
      <c r="AC61" s="209">
        <v>2428.8000000000002</v>
      </c>
      <c r="AD61" s="209">
        <v>2439.17</v>
      </c>
      <c r="AE61" s="209">
        <v>2449.54</v>
      </c>
      <c r="AF61" s="209">
        <v>2459.9</v>
      </c>
      <c r="AG61" s="209">
        <v>2470.34</v>
      </c>
      <c r="AH61" s="209">
        <v>2480.6999999999998</v>
      </c>
      <c r="AI61" s="209">
        <v>2491.0700000000002</v>
      </c>
      <c r="AJ61" s="209">
        <v>2501.44</v>
      </c>
      <c r="AK61" s="209">
        <v>2511.87</v>
      </c>
      <c r="AL61" s="209">
        <v>2522.2399999999998</v>
      </c>
      <c r="AM61" s="209">
        <v>2532.61</v>
      </c>
      <c r="AN61" s="209">
        <v>2542.98</v>
      </c>
      <c r="AO61" s="209">
        <v>2553.34</v>
      </c>
      <c r="AP61" s="209">
        <v>2563.7800000000002</v>
      </c>
      <c r="AQ61" s="209">
        <v>2574.14</v>
      </c>
      <c r="AR61" s="209">
        <v>2584.5100000000002</v>
      </c>
      <c r="AS61" s="209">
        <v>2594.88</v>
      </c>
      <c r="AT61" s="209">
        <v>2605.31</v>
      </c>
      <c r="AU61" s="209">
        <v>2615.6799999999998</v>
      </c>
      <c r="AV61" s="209">
        <v>2626.05</v>
      </c>
      <c r="AW61" s="209">
        <v>2636.42</v>
      </c>
      <c r="AX61" s="209">
        <v>2646.85</v>
      </c>
      <c r="AY61" s="209">
        <v>2657.22</v>
      </c>
      <c r="AZ61" s="209">
        <v>2667.58</v>
      </c>
      <c r="BA61" s="209">
        <v>2677.95</v>
      </c>
      <c r="BB61" s="209">
        <v>2688.38</v>
      </c>
      <c r="BC61" s="209">
        <v>2698.75</v>
      </c>
      <c r="BD61" s="209">
        <v>2709.12</v>
      </c>
      <c r="BE61" s="209">
        <v>2719.49</v>
      </c>
      <c r="BF61" s="209">
        <v>2729.92</v>
      </c>
      <c r="BG61" s="209">
        <v>2740.29</v>
      </c>
      <c r="BH61" s="209">
        <v>2750.66</v>
      </c>
      <c r="BI61" s="209">
        <v>2761.02</v>
      </c>
      <c r="BJ61" s="209">
        <v>2771.46</v>
      </c>
      <c r="BK61" s="209">
        <v>2781.82</v>
      </c>
      <c r="BL61" s="209">
        <v>2792.19</v>
      </c>
      <c r="BM61" s="209">
        <v>2802.56</v>
      </c>
      <c r="BN61" s="209">
        <v>2812.93</v>
      </c>
      <c r="BO61" s="209">
        <f t="shared" ref="BO61:CG61" si="122">ROUND(BN61+$I61,2)</f>
        <v>2823.3</v>
      </c>
      <c r="BP61" s="209">
        <f t="shared" si="122"/>
        <v>2833.67</v>
      </c>
      <c r="BQ61" s="209">
        <f t="shared" si="122"/>
        <v>2844.04</v>
      </c>
      <c r="BR61" s="209">
        <f t="shared" si="122"/>
        <v>2854.41</v>
      </c>
      <c r="BS61" s="209">
        <f t="shared" si="122"/>
        <v>2864.78</v>
      </c>
      <c r="BT61" s="209">
        <f t="shared" si="122"/>
        <v>2875.15</v>
      </c>
      <c r="BU61" s="209">
        <f t="shared" si="122"/>
        <v>2885.52</v>
      </c>
      <c r="BV61" s="209">
        <f t="shared" si="122"/>
        <v>2895.89</v>
      </c>
      <c r="BW61" s="209">
        <f t="shared" si="122"/>
        <v>2906.26</v>
      </c>
      <c r="BX61" s="209">
        <f t="shared" si="122"/>
        <v>2916.63</v>
      </c>
      <c r="BY61" s="209">
        <f t="shared" si="122"/>
        <v>2927</v>
      </c>
      <c r="BZ61" s="209">
        <f t="shared" si="122"/>
        <v>2937.37</v>
      </c>
      <c r="CA61" s="209">
        <f t="shared" si="122"/>
        <v>2947.74</v>
      </c>
      <c r="CB61" s="209">
        <f t="shared" si="122"/>
        <v>2958.11</v>
      </c>
      <c r="CC61" s="209">
        <f t="shared" si="122"/>
        <v>2968.48</v>
      </c>
      <c r="CD61" s="209">
        <f t="shared" si="122"/>
        <v>2978.85</v>
      </c>
      <c r="CE61" s="209">
        <f t="shared" si="122"/>
        <v>2989.22</v>
      </c>
      <c r="CF61" s="209">
        <f t="shared" si="122"/>
        <v>2999.59</v>
      </c>
      <c r="CG61" s="209">
        <f t="shared" si="122"/>
        <v>3009.96</v>
      </c>
      <c r="CH61" s="209">
        <f t="shared" ref="CH61" si="123">ROUND(CG61+$I61,2)</f>
        <v>3020.33</v>
      </c>
      <c r="CI61" s="209">
        <f t="shared" ref="CI61" si="124">ROUND(CH61+$I61,2)</f>
        <v>3030.7</v>
      </c>
      <c r="CJ61" s="209">
        <f t="shared" ref="CJ61" si="125">ROUND(CI61+$I61,2)</f>
        <v>3041.07</v>
      </c>
      <c r="CK61" s="209">
        <f t="shared" ref="CK61" si="126">ROUND(CJ61+$I61,2)</f>
        <v>3051.44</v>
      </c>
      <c r="CL61" s="209">
        <f t="shared" ref="CL61" si="127">ROUND(CK61+$I61,2)</f>
        <v>3061.81</v>
      </c>
      <c r="CM61" s="209">
        <f t="shared" ref="CM61" si="128">ROUND(CL61+$I61,2)</f>
        <v>3072.18</v>
      </c>
      <c r="CN61" s="209">
        <f t="shared" ref="CN61" si="129">ROUND(CM61+$I61,2)</f>
        <v>3082.55</v>
      </c>
      <c r="CO61" s="209">
        <f t="shared" ref="CO61" si="130">ROUND(CN61+$I61,2)</f>
        <v>3092.92</v>
      </c>
      <c r="CP61" s="209">
        <f t="shared" ref="CP61" si="131">ROUND(CO61+$I61,2)</f>
        <v>3103.29</v>
      </c>
      <c r="CQ61" s="209">
        <f t="shared" ref="CQ61" si="132">ROUND(CP61+$I61,2)</f>
        <v>3113.66</v>
      </c>
      <c r="CR61" s="209">
        <f t="shared" ref="CR61" si="133">ROUND(CQ61+$I61,2)</f>
        <v>3124.03</v>
      </c>
    </row>
    <row r="62" spans="1:96" s="128" customFormat="1">
      <c r="A62" s="370" t="s">
        <v>287</v>
      </c>
      <c r="B62" s="36" t="s">
        <v>124</v>
      </c>
      <c r="C62" s="36" t="s">
        <v>21</v>
      </c>
      <c r="D62" s="36" t="s">
        <v>27</v>
      </c>
      <c r="E62" s="36" t="s">
        <v>23</v>
      </c>
      <c r="F62" s="322"/>
      <c r="G62" s="20">
        <v>6.4</v>
      </c>
      <c r="H62" s="37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08"/>
      <c r="AP62" s="208"/>
      <c r="AQ62" s="208"/>
      <c r="AR62" s="208"/>
      <c r="AS62" s="208"/>
      <c r="AT62" s="208"/>
      <c r="AU62" s="208"/>
      <c r="AV62" s="208"/>
      <c r="AW62" s="208"/>
      <c r="AX62" s="208"/>
      <c r="AY62" s="208"/>
      <c r="AZ62" s="208"/>
      <c r="BA62" s="208"/>
      <c r="BB62" s="208"/>
      <c r="BC62" s="208"/>
      <c r="BD62" s="208"/>
      <c r="BE62" s="208"/>
      <c r="BF62" s="208"/>
      <c r="BG62" s="208"/>
      <c r="BH62" s="208"/>
      <c r="BI62" s="208"/>
      <c r="BJ62" s="208"/>
      <c r="BK62" s="208"/>
      <c r="BL62" s="208"/>
      <c r="BM62" s="208"/>
      <c r="BN62" s="208"/>
      <c r="BO62" s="208"/>
      <c r="BP62" s="208"/>
      <c r="BQ62" s="208"/>
      <c r="BR62" s="208"/>
      <c r="BS62" s="208"/>
      <c r="BT62" s="208"/>
      <c r="BU62" s="208"/>
      <c r="BV62" s="208"/>
      <c r="BW62" s="208"/>
      <c r="BX62" s="208"/>
      <c r="BY62" s="208"/>
      <c r="BZ62" s="208"/>
      <c r="CA62" s="208"/>
      <c r="CB62" s="208"/>
      <c r="CC62" s="208"/>
      <c r="CD62" s="208"/>
      <c r="CE62" s="208"/>
      <c r="CF62" s="208"/>
      <c r="CG62" s="208"/>
      <c r="CH62" s="208"/>
      <c r="CI62" s="208"/>
      <c r="CJ62" s="208"/>
      <c r="CK62" s="208"/>
      <c r="CL62" s="208"/>
      <c r="CM62" s="208"/>
      <c r="CN62" s="208"/>
      <c r="CO62" s="208"/>
      <c r="CP62" s="208"/>
      <c r="CQ62" s="208"/>
      <c r="CR62" s="208"/>
    </row>
    <row r="63" spans="1:96" s="128" customFormat="1">
      <c r="A63" s="370" t="s">
        <v>128</v>
      </c>
      <c r="B63" s="36" t="s">
        <v>124</v>
      </c>
      <c r="C63" s="36" t="s">
        <v>100</v>
      </c>
      <c r="D63" s="36" t="s">
        <v>129</v>
      </c>
      <c r="E63" s="36" t="s">
        <v>23</v>
      </c>
      <c r="F63" s="322"/>
      <c r="G63" s="20">
        <v>6.4</v>
      </c>
      <c r="H63" s="37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208"/>
      <c r="AS63" s="208"/>
      <c r="AT63" s="208"/>
      <c r="AU63" s="208"/>
      <c r="AV63" s="208"/>
      <c r="AW63" s="208"/>
      <c r="AX63" s="208"/>
      <c r="AY63" s="208"/>
      <c r="AZ63" s="208"/>
      <c r="BA63" s="208"/>
      <c r="BB63" s="208"/>
      <c r="BC63" s="208"/>
      <c r="BD63" s="208"/>
      <c r="BE63" s="208"/>
      <c r="BF63" s="208"/>
      <c r="BG63" s="208"/>
      <c r="BH63" s="208"/>
      <c r="BI63" s="208"/>
      <c r="BJ63" s="208"/>
      <c r="BK63" s="208"/>
      <c r="BL63" s="208"/>
      <c r="BM63" s="208"/>
      <c r="BN63" s="208"/>
      <c r="BO63" s="208"/>
      <c r="BP63" s="208"/>
      <c r="BQ63" s="208"/>
      <c r="BR63" s="208"/>
      <c r="BS63" s="208"/>
      <c r="BT63" s="208"/>
      <c r="BU63" s="208"/>
      <c r="BV63" s="208"/>
      <c r="BW63" s="208"/>
      <c r="BX63" s="208"/>
      <c r="BY63" s="208"/>
      <c r="BZ63" s="208"/>
      <c r="CA63" s="208"/>
      <c r="CB63" s="208"/>
      <c r="CC63" s="208"/>
      <c r="CD63" s="208"/>
      <c r="CE63" s="208"/>
      <c r="CF63" s="208"/>
      <c r="CG63" s="208"/>
      <c r="CH63" s="208"/>
      <c r="CI63" s="208"/>
      <c r="CJ63" s="208"/>
      <c r="CK63" s="208"/>
      <c r="CL63" s="208"/>
      <c r="CM63" s="208"/>
      <c r="CN63" s="208"/>
      <c r="CO63" s="208"/>
      <c r="CP63" s="208"/>
      <c r="CQ63" s="208"/>
      <c r="CR63" s="208"/>
    </row>
    <row r="64" spans="1:96" s="128" customFormat="1">
      <c r="A64" s="370" t="s">
        <v>128</v>
      </c>
      <c r="B64" s="36" t="s">
        <v>124</v>
      </c>
      <c r="C64" s="36" t="s">
        <v>100</v>
      </c>
      <c r="D64" s="36" t="s">
        <v>106</v>
      </c>
      <c r="E64" s="36" t="s">
        <v>23</v>
      </c>
      <c r="F64" s="322"/>
      <c r="G64" s="20">
        <v>6.4</v>
      </c>
      <c r="H64" s="37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208"/>
      <c r="AS64" s="208"/>
      <c r="AT64" s="208"/>
      <c r="AU64" s="208"/>
      <c r="AV64" s="208"/>
      <c r="AW64" s="208"/>
      <c r="AX64" s="208"/>
      <c r="AY64" s="208"/>
      <c r="AZ64" s="208"/>
      <c r="BA64" s="208"/>
      <c r="BB64" s="208"/>
      <c r="BC64" s="208"/>
      <c r="BD64" s="208"/>
      <c r="BE64" s="208"/>
      <c r="BF64" s="208"/>
      <c r="BG64" s="208"/>
      <c r="BH64" s="208"/>
      <c r="BI64" s="208"/>
      <c r="BJ64" s="208"/>
      <c r="BK64" s="208"/>
      <c r="BL64" s="208"/>
      <c r="BM64" s="208"/>
      <c r="BN64" s="208"/>
      <c r="BO64" s="208"/>
      <c r="BP64" s="208"/>
      <c r="BQ64" s="208"/>
      <c r="BR64" s="208"/>
      <c r="BS64" s="208"/>
      <c r="BT64" s="208"/>
      <c r="BU64" s="208"/>
      <c r="BV64" s="208"/>
      <c r="BW64" s="208"/>
      <c r="BX64" s="208"/>
      <c r="BY64" s="208"/>
      <c r="BZ64" s="208"/>
      <c r="CA64" s="208"/>
      <c r="CB64" s="208"/>
      <c r="CC64" s="208"/>
      <c r="CD64" s="208"/>
      <c r="CE64" s="208"/>
      <c r="CF64" s="208"/>
      <c r="CG64" s="208"/>
      <c r="CH64" s="208"/>
      <c r="CI64" s="208"/>
      <c r="CJ64" s="208"/>
      <c r="CK64" s="208"/>
      <c r="CL64" s="208"/>
      <c r="CM64" s="208"/>
      <c r="CN64" s="208"/>
      <c r="CO64" s="208"/>
      <c r="CP64" s="208"/>
      <c r="CQ64" s="208"/>
      <c r="CR64" s="208"/>
    </row>
    <row r="65" spans="1:96" s="128" customFormat="1">
      <c r="A65" s="370" t="s">
        <v>137</v>
      </c>
      <c r="B65" s="36" t="s">
        <v>124</v>
      </c>
      <c r="C65" s="36" t="s">
        <v>134</v>
      </c>
      <c r="D65" s="36" t="s">
        <v>39</v>
      </c>
      <c r="E65" s="36" t="s">
        <v>23</v>
      </c>
      <c r="F65" s="322"/>
      <c r="G65" s="20">
        <v>6.4</v>
      </c>
      <c r="H65" s="37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  <c r="AS65" s="208"/>
      <c r="AT65" s="208"/>
      <c r="AU65" s="208"/>
      <c r="AV65" s="208"/>
      <c r="AW65" s="208"/>
      <c r="AX65" s="208"/>
      <c r="AY65" s="208"/>
      <c r="AZ65" s="208"/>
      <c r="BA65" s="208"/>
      <c r="BB65" s="208"/>
      <c r="BC65" s="208"/>
      <c r="BD65" s="208"/>
      <c r="BE65" s="208"/>
      <c r="BF65" s="208"/>
      <c r="BG65" s="208"/>
      <c r="BH65" s="208"/>
      <c r="BI65" s="208"/>
      <c r="BJ65" s="208"/>
      <c r="BK65" s="208"/>
      <c r="BL65" s="208"/>
      <c r="BM65" s="208"/>
      <c r="BN65" s="208"/>
      <c r="BO65" s="208"/>
      <c r="BP65" s="208"/>
      <c r="BQ65" s="208"/>
      <c r="BR65" s="208"/>
      <c r="BS65" s="208"/>
      <c r="BT65" s="208"/>
      <c r="BU65" s="208"/>
      <c r="BV65" s="208"/>
      <c r="BW65" s="208"/>
      <c r="BX65" s="208"/>
      <c r="BY65" s="208"/>
      <c r="BZ65" s="208"/>
      <c r="CA65" s="208"/>
      <c r="CB65" s="208"/>
      <c r="CC65" s="208"/>
      <c r="CD65" s="208"/>
      <c r="CE65" s="208"/>
      <c r="CF65" s="208"/>
      <c r="CG65" s="208"/>
      <c r="CH65" s="208"/>
      <c r="CI65" s="208"/>
      <c r="CJ65" s="208"/>
      <c r="CK65" s="208"/>
      <c r="CL65" s="208"/>
      <c r="CM65" s="208"/>
      <c r="CN65" s="208"/>
      <c r="CO65" s="208"/>
      <c r="CP65" s="208"/>
      <c r="CQ65" s="208"/>
      <c r="CR65" s="208"/>
    </row>
    <row r="66" spans="1:96" s="128" customFormat="1">
      <c r="A66" s="370" t="s">
        <v>137</v>
      </c>
      <c r="B66" s="36" t="s">
        <v>124</v>
      </c>
      <c r="C66" s="36" t="s">
        <v>77</v>
      </c>
      <c r="D66" s="36" t="s">
        <v>106</v>
      </c>
      <c r="E66" s="36" t="s">
        <v>23</v>
      </c>
      <c r="F66" s="322"/>
      <c r="G66" s="20">
        <v>6.4</v>
      </c>
      <c r="H66" s="37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  <c r="AD66" s="208"/>
      <c r="AE66" s="208"/>
      <c r="AF66" s="208"/>
      <c r="AG66" s="208"/>
      <c r="AH66" s="208"/>
      <c r="AI66" s="208"/>
      <c r="AJ66" s="208"/>
      <c r="AK66" s="208"/>
      <c r="AL66" s="208"/>
      <c r="AM66" s="208"/>
      <c r="AN66" s="208"/>
      <c r="AO66" s="208"/>
      <c r="AP66" s="208"/>
      <c r="AQ66" s="208"/>
      <c r="AR66" s="208"/>
      <c r="AS66" s="208"/>
      <c r="AT66" s="208"/>
      <c r="AU66" s="208"/>
      <c r="AV66" s="208"/>
      <c r="AW66" s="208"/>
      <c r="AX66" s="208"/>
      <c r="AY66" s="208"/>
      <c r="AZ66" s="208"/>
      <c r="BA66" s="208"/>
      <c r="BB66" s="208"/>
      <c r="BC66" s="208"/>
      <c r="BD66" s="208"/>
      <c r="BE66" s="208"/>
      <c r="BF66" s="208"/>
      <c r="BG66" s="208"/>
      <c r="BH66" s="208"/>
      <c r="BI66" s="208"/>
      <c r="BJ66" s="208"/>
      <c r="BK66" s="208"/>
      <c r="BL66" s="208"/>
      <c r="BM66" s="208"/>
      <c r="BN66" s="208"/>
      <c r="BO66" s="208"/>
      <c r="BP66" s="208"/>
      <c r="BQ66" s="208"/>
      <c r="BR66" s="208"/>
      <c r="BS66" s="208"/>
      <c r="BT66" s="208"/>
      <c r="BU66" s="208"/>
      <c r="BV66" s="208"/>
      <c r="BW66" s="208"/>
      <c r="BX66" s="208"/>
      <c r="BY66" s="208"/>
      <c r="BZ66" s="208"/>
      <c r="CA66" s="208"/>
      <c r="CB66" s="208"/>
      <c r="CC66" s="208"/>
      <c r="CD66" s="208"/>
      <c r="CE66" s="208"/>
      <c r="CF66" s="208"/>
      <c r="CG66" s="208"/>
      <c r="CH66" s="208"/>
      <c r="CI66" s="208"/>
      <c r="CJ66" s="208"/>
      <c r="CK66" s="208"/>
      <c r="CL66" s="208"/>
      <c r="CM66" s="208"/>
      <c r="CN66" s="208"/>
      <c r="CO66" s="208"/>
      <c r="CP66" s="208"/>
      <c r="CQ66" s="208"/>
      <c r="CR66" s="208"/>
    </row>
    <row r="67" spans="1:96" s="128" customFormat="1">
      <c r="A67" s="370" t="s">
        <v>137</v>
      </c>
      <c r="B67" s="36" t="s">
        <v>124</v>
      </c>
      <c r="C67" s="36" t="s">
        <v>77</v>
      </c>
      <c r="D67" s="36" t="s">
        <v>22</v>
      </c>
      <c r="E67" s="36" t="s">
        <v>23</v>
      </c>
      <c r="F67" s="322"/>
      <c r="G67" s="20">
        <v>6.4</v>
      </c>
      <c r="H67" s="37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8"/>
      <c r="AE67" s="208"/>
      <c r="AF67" s="208"/>
      <c r="AG67" s="208"/>
      <c r="AH67" s="208"/>
      <c r="AI67" s="208"/>
      <c r="AJ67" s="208"/>
      <c r="AK67" s="208"/>
      <c r="AL67" s="208"/>
      <c r="AM67" s="208"/>
      <c r="AN67" s="208"/>
      <c r="AO67" s="208"/>
      <c r="AP67" s="208"/>
      <c r="AQ67" s="208"/>
      <c r="AR67" s="208"/>
      <c r="AS67" s="208"/>
      <c r="AT67" s="208"/>
      <c r="AU67" s="208"/>
      <c r="AV67" s="208"/>
      <c r="AW67" s="208"/>
      <c r="AX67" s="208"/>
      <c r="AY67" s="208"/>
      <c r="AZ67" s="208"/>
      <c r="BA67" s="208"/>
      <c r="BB67" s="208"/>
      <c r="BC67" s="208"/>
      <c r="BD67" s="208"/>
      <c r="BE67" s="208"/>
      <c r="BF67" s="208"/>
      <c r="BG67" s="208"/>
      <c r="BH67" s="208"/>
      <c r="BI67" s="208"/>
      <c r="BJ67" s="208"/>
      <c r="BK67" s="208"/>
      <c r="BL67" s="208"/>
      <c r="BM67" s="208"/>
      <c r="BN67" s="208"/>
      <c r="BO67" s="208"/>
      <c r="BP67" s="208"/>
      <c r="BQ67" s="208"/>
      <c r="BR67" s="208"/>
      <c r="BS67" s="208"/>
      <c r="BT67" s="208"/>
      <c r="BU67" s="208"/>
      <c r="BV67" s="208"/>
      <c r="BW67" s="208"/>
      <c r="BX67" s="208"/>
      <c r="BY67" s="208"/>
      <c r="BZ67" s="208"/>
      <c r="CA67" s="208"/>
      <c r="CB67" s="208"/>
      <c r="CC67" s="208"/>
      <c r="CD67" s="208"/>
      <c r="CE67" s="208"/>
      <c r="CF67" s="208"/>
      <c r="CG67" s="208"/>
      <c r="CH67" s="208"/>
      <c r="CI67" s="208"/>
      <c r="CJ67" s="208"/>
      <c r="CK67" s="208"/>
      <c r="CL67" s="208"/>
      <c r="CM67" s="208"/>
      <c r="CN67" s="208"/>
      <c r="CO67" s="208"/>
      <c r="CP67" s="208"/>
      <c r="CQ67" s="208"/>
      <c r="CR67" s="208"/>
    </row>
    <row r="68" spans="1:96" s="128" customFormat="1">
      <c r="A68" s="370" t="s">
        <v>141</v>
      </c>
      <c r="B68" s="36" t="s">
        <v>103</v>
      </c>
      <c r="C68" s="36" t="s">
        <v>142</v>
      </c>
      <c r="D68" s="36" t="s">
        <v>25</v>
      </c>
      <c r="E68" s="36" t="s">
        <v>57</v>
      </c>
      <c r="F68" s="322"/>
      <c r="G68" s="20">
        <v>6.4</v>
      </c>
      <c r="H68" s="37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8"/>
      <c r="AO68" s="208"/>
      <c r="AP68" s="208"/>
      <c r="AQ68" s="208"/>
      <c r="AR68" s="208"/>
      <c r="AS68" s="208"/>
      <c r="AT68" s="208"/>
      <c r="AU68" s="208"/>
      <c r="AV68" s="208"/>
      <c r="AW68" s="208"/>
      <c r="AX68" s="208"/>
      <c r="AY68" s="208"/>
      <c r="AZ68" s="208"/>
      <c r="BA68" s="208"/>
      <c r="BB68" s="208"/>
      <c r="BC68" s="208"/>
      <c r="BD68" s="208"/>
      <c r="BE68" s="208"/>
      <c r="BF68" s="208"/>
      <c r="BG68" s="208"/>
      <c r="BH68" s="208"/>
      <c r="BI68" s="208"/>
      <c r="BJ68" s="208"/>
      <c r="BK68" s="208"/>
      <c r="BL68" s="208"/>
      <c r="BM68" s="208"/>
      <c r="BN68" s="208"/>
      <c r="BO68" s="208"/>
      <c r="BP68" s="208"/>
      <c r="BQ68" s="208"/>
      <c r="BR68" s="208"/>
      <c r="BS68" s="208"/>
      <c r="BT68" s="208"/>
      <c r="BU68" s="208"/>
      <c r="BV68" s="208"/>
      <c r="BW68" s="208"/>
      <c r="BX68" s="208"/>
      <c r="BY68" s="208"/>
      <c r="BZ68" s="208"/>
      <c r="CA68" s="208"/>
      <c r="CB68" s="208"/>
      <c r="CC68" s="208"/>
      <c r="CD68" s="208"/>
      <c r="CE68" s="208"/>
      <c r="CF68" s="208"/>
      <c r="CG68" s="208"/>
      <c r="CH68" s="208"/>
      <c r="CI68" s="208"/>
      <c r="CJ68" s="208"/>
      <c r="CK68" s="208"/>
      <c r="CL68" s="208"/>
      <c r="CM68" s="208"/>
      <c r="CN68" s="208"/>
      <c r="CO68" s="208"/>
      <c r="CP68" s="208"/>
      <c r="CQ68" s="208"/>
      <c r="CR68" s="208"/>
    </row>
    <row r="69" spans="1:96" s="128" customFormat="1">
      <c r="A69" s="370" t="s">
        <v>143</v>
      </c>
      <c r="B69" s="36" t="s">
        <v>103</v>
      </c>
      <c r="C69" s="36" t="s">
        <v>45</v>
      </c>
      <c r="D69" s="36" t="s">
        <v>39</v>
      </c>
      <c r="E69" s="36" t="s">
        <v>57</v>
      </c>
      <c r="F69" s="322"/>
      <c r="G69" s="20">
        <v>6.4</v>
      </c>
      <c r="H69" s="37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8"/>
      <c r="AP69" s="208"/>
      <c r="AQ69" s="208"/>
      <c r="AR69" s="208"/>
      <c r="AS69" s="208"/>
      <c r="AT69" s="208"/>
      <c r="AU69" s="208"/>
      <c r="AV69" s="208"/>
      <c r="AW69" s="208"/>
      <c r="AX69" s="208"/>
      <c r="AY69" s="208"/>
      <c r="AZ69" s="208"/>
      <c r="BA69" s="208"/>
      <c r="BB69" s="208"/>
      <c r="BC69" s="208"/>
      <c r="BD69" s="208"/>
      <c r="BE69" s="208"/>
      <c r="BF69" s="208"/>
      <c r="BG69" s="208"/>
      <c r="BH69" s="208"/>
      <c r="BI69" s="208"/>
      <c r="BJ69" s="208"/>
      <c r="BK69" s="208"/>
      <c r="BL69" s="208"/>
      <c r="BM69" s="208"/>
      <c r="BN69" s="208"/>
      <c r="BO69" s="208"/>
      <c r="BP69" s="208"/>
      <c r="BQ69" s="208"/>
      <c r="BR69" s="208"/>
      <c r="BS69" s="208"/>
      <c r="BT69" s="208"/>
      <c r="BU69" s="208"/>
      <c r="BV69" s="208"/>
      <c r="BW69" s="208"/>
      <c r="BX69" s="208"/>
      <c r="BY69" s="208"/>
      <c r="BZ69" s="208"/>
      <c r="CA69" s="208"/>
      <c r="CB69" s="208"/>
      <c r="CC69" s="208"/>
      <c r="CD69" s="208"/>
      <c r="CE69" s="208"/>
      <c r="CF69" s="208"/>
      <c r="CG69" s="208"/>
      <c r="CH69" s="208"/>
      <c r="CI69" s="208"/>
      <c r="CJ69" s="208"/>
      <c r="CK69" s="208"/>
      <c r="CL69" s="208"/>
      <c r="CM69" s="208"/>
      <c r="CN69" s="208"/>
      <c r="CO69" s="208"/>
      <c r="CP69" s="208"/>
      <c r="CQ69" s="208"/>
      <c r="CR69" s="208"/>
    </row>
    <row r="70" spans="1:96" s="128" customFormat="1">
      <c r="A70" s="370" t="s">
        <v>143</v>
      </c>
      <c r="B70" s="36" t="s">
        <v>103</v>
      </c>
      <c r="C70" s="36" t="s">
        <v>45</v>
      </c>
      <c r="D70" s="36" t="s">
        <v>25</v>
      </c>
      <c r="E70" s="36" t="s">
        <v>57</v>
      </c>
      <c r="F70" s="322"/>
      <c r="G70" s="20">
        <v>6.4</v>
      </c>
      <c r="H70" s="37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  <c r="AM70" s="208"/>
      <c r="AN70" s="208"/>
      <c r="AO70" s="208"/>
      <c r="AP70" s="208"/>
      <c r="AQ70" s="208"/>
      <c r="AR70" s="208"/>
      <c r="AS70" s="208"/>
      <c r="AT70" s="208"/>
      <c r="AU70" s="208"/>
      <c r="AV70" s="208"/>
      <c r="AW70" s="208"/>
      <c r="AX70" s="208"/>
      <c r="AY70" s="208"/>
      <c r="AZ70" s="208"/>
      <c r="BA70" s="208"/>
      <c r="BB70" s="208"/>
      <c r="BC70" s="208"/>
      <c r="BD70" s="208"/>
      <c r="BE70" s="208"/>
      <c r="BF70" s="208"/>
      <c r="BG70" s="208"/>
      <c r="BH70" s="208"/>
      <c r="BI70" s="208"/>
      <c r="BJ70" s="208"/>
      <c r="BK70" s="208"/>
      <c r="BL70" s="208"/>
      <c r="BM70" s="208"/>
      <c r="BN70" s="208"/>
      <c r="BO70" s="208"/>
      <c r="BP70" s="208"/>
      <c r="BQ70" s="208"/>
      <c r="BR70" s="208"/>
      <c r="BS70" s="208"/>
      <c r="BT70" s="208"/>
      <c r="BU70" s="208"/>
      <c r="BV70" s="208"/>
      <c r="BW70" s="208"/>
      <c r="BX70" s="208"/>
      <c r="BY70" s="208"/>
      <c r="BZ70" s="208"/>
      <c r="CA70" s="208"/>
      <c r="CB70" s="208"/>
      <c r="CC70" s="208"/>
      <c r="CD70" s="208"/>
      <c r="CE70" s="208"/>
      <c r="CF70" s="208"/>
      <c r="CG70" s="208"/>
      <c r="CH70" s="208"/>
      <c r="CI70" s="208"/>
      <c r="CJ70" s="208"/>
      <c r="CK70" s="208"/>
      <c r="CL70" s="208"/>
      <c r="CM70" s="208"/>
      <c r="CN70" s="208"/>
      <c r="CO70" s="208"/>
      <c r="CP70" s="208"/>
      <c r="CQ70" s="208"/>
      <c r="CR70" s="208"/>
    </row>
    <row r="71" spans="1:96" s="128" customFormat="1">
      <c r="A71" s="371" t="s">
        <v>288</v>
      </c>
      <c r="B71" s="45" t="s">
        <v>103</v>
      </c>
      <c r="C71" s="45" t="s">
        <v>45</v>
      </c>
      <c r="D71" s="45" t="s">
        <v>39</v>
      </c>
      <c r="E71" s="45" t="s">
        <v>57</v>
      </c>
      <c r="F71" s="328"/>
      <c r="G71" s="15">
        <v>6.4</v>
      </c>
      <c r="H71" s="39"/>
      <c r="I71" s="209">
        <f t="shared" si="13"/>
        <v>9.4100000000000819</v>
      </c>
      <c r="J71" s="209">
        <v>1590.14</v>
      </c>
      <c r="K71" s="209">
        <v>1599.42</v>
      </c>
      <c r="L71" s="209">
        <v>1608.7</v>
      </c>
      <c r="M71" s="209">
        <v>1617.98</v>
      </c>
      <c r="N71" s="209">
        <v>1627.26</v>
      </c>
      <c r="O71" s="209">
        <v>1636.54</v>
      </c>
      <c r="P71" s="209">
        <v>1645.82</v>
      </c>
      <c r="Q71" s="209">
        <v>1655.1</v>
      </c>
      <c r="R71" s="209">
        <v>1664.38</v>
      </c>
      <c r="S71" s="209">
        <v>1673.66</v>
      </c>
      <c r="T71" s="209">
        <v>1682.94</v>
      </c>
      <c r="U71" s="209">
        <v>1692.22</v>
      </c>
      <c r="V71" s="209">
        <v>1701.5</v>
      </c>
      <c r="W71" s="209">
        <v>1710.78</v>
      </c>
      <c r="X71" s="209">
        <v>1720.06</v>
      </c>
      <c r="Y71" s="209">
        <v>1729.34</v>
      </c>
      <c r="Z71" s="209">
        <v>1738.62</v>
      </c>
      <c r="AA71" s="209">
        <v>1747.9</v>
      </c>
      <c r="AB71" s="209">
        <v>1757.25</v>
      </c>
      <c r="AC71" s="209">
        <v>1766.66</v>
      </c>
      <c r="AD71" s="209">
        <v>1775.94</v>
      </c>
      <c r="AE71" s="209">
        <v>1785.34</v>
      </c>
      <c r="AF71" s="209">
        <v>1794.69</v>
      </c>
      <c r="AG71" s="209">
        <v>1803.97</v>
      </c>
      <c r="AH71" s="209">
        <v>1813.38</v>
      </c>
      <c r="AI71" s="209">
        <v>1822.66</v>
      </c>
      <c r="AJ71" s="209">
        <v>1832.06</v>
      </c>
      <c r="AK71" s="209">
        <v>1841.41</v>
      </c>
      <c r="AL71" s="209">
        <v>1850.69</v>
      </c>
      <c r="AM71" s="209">
        <v>1860.1</v>
      </c>
      <c r="AN71" s="209">
        <v>1869.38</v>
      </c>
      <c r="AO71" s="209">
        <v>1878.78</v>
      </c>
      <c r="AP71" s="209">
        <v>1888.13</v>
      </c>
      <c r="AQ71" s="209">
        <v>1897.41</v>
      </c>
      <c r="AR71" s="209">
        <v>1906.82</v>
      </c>
      <c r="AS71" s="209">
        <v>1916.16</v>
      </c>
      <c r="AT71" s="209">
        <v>1925.5</v>
      </c>
      <c r="AU71" s="209">
        <v>1934.91</v>
      </c>
      <c r="AV71" s="209">
        <v>1944.26</v>
      </c>
      <c r="AW71" s="209">
        <v>1953.66</v>
      </c>
      <c r="AX71" s="209">
        <v>1963.07</v>
      </c>
      <c r="AY71" s="209">
        <v>1972.42</v>
      </c>
      <c r="AZ71" s="209">
        <v>1981.82</v>
      </c>
      <c r="BA71" s="209">
        <v>1991.23</v>
      </c>
      <c r="BB71" s="209">
        <v>2000.58</v>
      </c>
      <c r="BC71" s="209">
        <v>2009.98</v>
      </c>
      <c r="BD71" s="209">
        <v>2019.39</v>
      </c>
      <c r="BE71" s="209">
        <v>2028.74</v>
      </c>
      <c r="BF71" s="209">
        <v>2038.14</v>
      </c>
      <c r="BG71" s="209">
        <v>2047.49</v>
      </c>
      <c r="BH71" s="209">
        <v>2056.9</v>
      </c>
      <c r="BI71" s="209">
        <v>2066.3000000000002</v>
      </c>
      <c r="BJ71" s="209">
        <v>2075.65</v>
      </c>
      <c r="BK71" s="209">
        <v>2085.06</v>
      </c>
      <c r="BL71" s="209">
        <v>2094.46</v>
      </c>
      <c r="BM71" s="209">
        <v>2103.81</v>
      </c>
      <c r="BN71" s="209">
        <v>2113.2199999999998</v>
      </c>
      <c r="BO71" s="209">
        <f t="shared" ref="BO71:CD73" si="134">ROUND(BN71+$I71,2)</f>
        <v>2122.63</v>
      </c>
      <c r="BP71" s="209">
        <f t="shared" si="134"/>
        <v>2132.04</v>
      </c>
      <c r="BQ71" s="209">
        <f t="shared" si="134"/>
        <v>2141.4499999999998</v>
      </c>
      <c r="BR71" s="209">
        <f t="shared" si="134"/>
        <v>2150.86</v>
      </c>
      <c r="BS71" s="209">
        <f t="shared" si="134"/>
        <v>2160.27</v>
      </c>
      <c r="BT71" s="209">
        <f t="shared" si="134"/>
        <v>2169.6799999999998</v>
      </c>
      <c r="BU71" s="209">
        <f t="shared" si="134"/>
        <v>2179.09</v>
      </c>
      <c r="BV71" s="209">
        <f t="shared" si="134"/>
        <v>2188.5</v>
      </c>
      <c r="BW71" s="209">
        <f t="shared" si="134"/>
        <v>2197.91</v>
      </c>
      <c r="BX71" s="209">
        <f t="shared" si="134"/>
        <v>2207.3200000000002</v>
      </c>
      <c r="BY71" s="209">
        <f t="shared" si="134"/>
        <v>2216.73</v>
      </c>
      <c r="BZ71" s="209">
        <f t="shared" si="134"/>
        <v>2226.14</v>
      </c>
      <c r="CA71" s="209">
        <f t="shared" si="134"/>
        <v>2235.5500000000002</v>
      </c>
      <c r="CB71" s="209">
        <f t="shared" si="134"/>
        <v>2244.96</v>
      </c>
      <c r="CC71" s="209">
        <f t="shared" si="134"/>
        <v>2254.37</v>
      </c>
      <c r="CD71" s="209">
        <f t="shared" si="134"/>
        <v>2263.7800000000002</v>
      </c>
      <c r="CE71" s="209">
        <f t="shared" ref="BP71:CG73" si="135">ROUND(CD71+$I71,2)</f>
        <v>2273.19</v>
      </c>
      <c r="CF71" s="209">
        <f t="shared" si="135"/>
        <v>2282.6</v>
      </c>
      <c r="CG71" s="209">
        <f t="shared" si="135"/>
        <v>2292.0100000000002</v>
      </c>
      <c r="CH71" s="209">
        <f t="shared" ref="CH71:CH73" si="136">ROUND(CG71+$I71,2)</f>
        <v>2301.42</v>
      </c>
      <c r="CI71" s="209">
        <f t="shared" ref="CI71:CI73" si="137">ROUND(CH71+$I71,2)</f>
        <v>2310.83</v>
      </c>
      <c r="CJ71" s="209">
        <f t="shared" ref="CJ71:CJ73" si="138">ROUND(CI71+$I71,2)</f>
        <v>2320.2399999999998</v>
      </c>
      <c r="CK71" s="209">
        <f t="shared" ref="CK71:CK73" si="139">ROUND(CJ71+$I71,2)</f>
        <v>2329.65</v>
      </c>
      <c r="CL71" s="209">
        <f t="shared" ref="CL71:CL73" si="140">ROUND(CK71+$I71,2)</f>
        <v>2339.06</v>
      </c>
      <c r="CM71" s="209">
        <f t="shared" ref="CM71:CM73" si="141">ROUND(CL71+$I71,2)</f>
        <v>2348.4699999999998</v>
      </c>
      <c r="CN71" s="209">
        <f t="shared" ref="CN71:CN73" si="142">ROUND(CM71+$I71,2)</f>
        <v>2357.88</v>
      </c>
      <c r="CO71" s="209">
        <f t="shared" ref="CO71:CO73" si="143">ROUND(CN71+$I71,2)</f>
        <v>2367.29</v>
      </c>
      <c r="CP71" s="209">
        <f t="shared" ref="CP71:CP73" si="144">ROUND(CO71+$I71,2)</f>
        <v>2376.6999999999998</v>
      </c>
      <c r="CQ71" s="209">
        <f t="shared" ref="CQ71:CQ73" si="145">ROUND(CP71+$I71,2)</f>
        <v>2386.11</v>
      </c>
      <c r="CR71" s="209">
        <f t="shared" ref="CR71:CR73" si="146">ROUND(CQ71+$I71,2)</f>
        <v>2395.52</v>
      </c>
    </row>
    <row r="72" spans="1:96" s="128" customFormat="1">
      <c r="A72" s="371" t="s">
        <v>288</v>
      </c>
      <c r="B72" s="45" t="s">
        <v>103</v>
      </c>
      <c r="C72" s="45" t="s">
        <v>45</v>
      </c>
      <c r="D72" s="45" t="s">
        <v>25</v>
      </c>
      <c r="E72" s="45" t="s">
        <v>57</v>
      </c>
      <c r="F72" s="328"/>
      <c r="G72" s="15">
        <v>6.4</v>
      </c>
      <c r="H72" s="39"/>
      <c r="I72" s="209">
        <f t="shared" si="13"/>
        <v>9.3400000000001455</v>
      </c>
      <c r="J72" s="209">
        <v>1720.26</v>
      </c>
      <c r="K72" s="209">
        <v>1729.6</v>
      </c>
      <c r="L72" s="209">
        <v>1738.94</v>
      </c>
      <c r="M72" s="209">
        <v>1748.29</v>
      </c>
      <c r="N72" s="209">
        <v>1757.63</v>
      </c>
      <c r="O72" s="209">
        <v>1766.98</v>
      </c>
      <c r="P72" s="209">
        <v>1776.32</v>
      </c>
      <c r="Q72" s="209">
        <v>1785.66</v>
      </c>
      <c r="R72" s="209">
        <v>1795.01</v>
      </c>
      <c r="S72" s="209">
        <v>1804.35</v>
      </c>
      <c r="T72" s="209">
        <v>1813.7</v>
      </c>
      <c r="U72" s="209">
        <v>1823.04</v>
      </c>
      <c r="V72" s="209">
        <v>1832.38</v>
      </c>
      <c r="W72" s="209">
        <v>1841.73</v>
      </c>
      <c r="X72" s="209">
        <v>1851.07</v>
      </c>
      <c r="Y72" s="209">
        <v>1860.42</v>
      </c>
      <c r="Z72" s="209">
        <v>1869.76</v>
      </c>
      <c r="AA72" s="209">
        <v>1879.1</v>
      </c>
      <c r="AB72" s="209">
        <v>1888.45</v>
      </c>
      <c r="AC72" s="209">
        <v>1897.86</v>
      </c>
      <c r="AD72" s="209">
        <v>1907.14</v>
      </c>
      <c r="AE72" s="209">
        <v>1916.48</v>
      </c>
      <c r="AF72" s="209">
        <v>1925.82</v>
      </c>
      <c r="AG72" s="209">
        <v>1935.17</v>
      </c>
      <c r="AH72" s="209">
        <v>1944.58</v>
      </c>
      <c r="AI72" s="209">
        <v>1953.86</v>
      </c>
      <c r="AJ72" s="209">
        <v>1963.2</v>
      </c>
      <c r="AK72" s="209">
        <v>1972.54</v>
      </c>
      <c r="AL72" s="209">
        <v>1981.89</v>
      </c>
      <c r="AM72" s="209">
        <v>1991.3</v>
      </c>
      <c r="AN72" s="209">
        <v>2000.58</v>
      </c>
      <c r="AO72" s="209">
        <v>2009.92</v>
      </c>
      <c r="AP72" s="209">
        <v>2019.33</v>
      </c>
      <c r="AQ72" s="209">
        <v>2028.61</v>
      </c>
      <c r="AR72" s="209">
        <v>2038.02</v>
      </c>
      <c r="AS72" s="209">
        <v>2047.3</v>
      </c>
      <c r="AT72" s="209">
        <v>2056.64</v>
      </c>
      <c r="AU72" s="209">
        <v>2065.98</v>
      </c>
      <c r="AV72" s="209">
        <v>2075.2600000000002</v>
      </c>
      <c r="AW72" s="209">
        <v>2084.61</v>
      </c>
      <c r="AX72" s="209">
        <v>2093.89</v>
      </c>
      <c r="AY72" s="209">
        <v>2103.23</v>
      </c>
      <c r="AZ72" s="209">
        <v>2112.58</v>
      </c>
      <c r="BA72" s="209">
        <v>2121.86</v>
      </c>
      <c r="BB72" s="209">
        <v>2131.1999999999998</v>
      </c>
      <c r="BC72" s="209">
        <v>2140.48</v>
      </c>
      <c r="BD72" s="209">
        <v>2149.8200000000002</v>
      </c>
      <c r="BE72" s="209">
        <v>2159.17</v>
      </c>
      <c r="BF72" s="209">
        <v>2168.4499999999998</v>
      </c>
      <c r="BG72" s="209">
        <v>2177.79</v>
      </c>
      <c r="BH72" s="209">
        <v>2187.0700000000002</v>
      </c>
      <c r="BI72" s="209">
        <v>2196.42</v>
      </c>
      <c r="BJ72" s="209">
        <v>2205.7600000000002</v>
      </c>
      <c r="BK72" s="209">
        <v>2215.04</v>
      </c>
      <c r="BL72" s="209">
        <v>2224.38</v>
      </c>
      <c r="BM72" s="209">
        <v>2233.66</v>
      </c>
      <c r="BN72" s="209">
        <v>2243.0100000000002</v>
      </c>
      <c r="BO72" s="209">
        <f t="shared" si="134"/>
        <v>2252.35</v>
      </c>
      <c r="BP72" s="209">
        <f t="shared" si="135"/>
        <v>2261.69</v>
      </c>
      <c r="BQ72" s="209">
        <f t="shared" si="135"/>
        <v>2271.0300000000002</v>
      </c>
      <c r="BR72" s="209">
        <f t="shared" si="135"/>
        <v>2280.37</v>
      </c>
      <c r="BS72" s="209">
        <f t="shared" si="135"/>
        <v>2289.71</v>
      </c>
      <c r="BT72" s="209">
        <f t="shared" si="135"/>
        <v>2299.0500000000002</v>
      </c>
      <c r="BU72" s="209">
        <f t="shared" si="135"/>
        <v>2308.39</v>
      </c>
      <c r="BV72" s="209">
        <f t="shared" si="135"/>
        <v>2317.73</v>
      </c>
      <c r="BW72" s="209">
        <f t="shared" si="135"/>
        <v>2327.0700000000002</v>
      </c>
      <c r="BX72" s="209">
        <f t="shared" si="135"/>
        <v>2336.41</v>
      </c>
      <c r="BY72" s="209">
        <f t="shared" si="135"/>
        <v>2345.75</v>
      </c>
      <c r="BZ72" s="209">
        <f t="shared" si="135"/>
        <v>2355.09</v>
      </c>
      <c r="CA72" s="209">
        <f t="shared" si="135"/>
        <v>2364.4299999999998</v>
      </c>
      <c r="CB72" s="209">
        <f t="shared" si="135"/>
        <v>2373.77</v>
      </c>
      <c r="CC72" s="209">
        <f t="shared" si="135"/>
        <v>2383.11</v>
      </c>
      <c r="CD72" s="209">
        <f t="shared" si="135"/>
        <v>2392.4499999999998</v>
      </c>
      <c r="CE72" s="209">
        <f t="shared" si="135"/>
        <v>2401.79</v>
      </c>
      <c r="CF72" s="209">
        <f t="shared" si="135"/>
        <v>2411.13</v>
      </c>
      <c r="CG72" s="209">
        <f t="shared" si="135"/>
        <v>2420.4699999999998</v>
      </c>
      <c r="CH72" s="209">
        <f t="shared" si="136"/>
        <v>2429.81</v>
      </c>
      <c r="CI72" s="209">
        <f t="shared" si="137"/>
        <v>2439.15</v>
      </c>
      <c r="CJ72" s="209">
        <f t="shared" si="138"/>
        <v>2448.4899999999998</v>
      </c>
      <c r="CK72" s="209">
        <f t="shared" si="139"/>
        <v>2457.83</v>
      </c>
      <c r="CL72" s="209">
        <f t="shared" si="140"/>
        <v>2467.17</v>
      </c>
      <c r="CM72" s="209">
        <f t="shared" si="141"/>
        <v>2476.5100000000002</v>
      </c>
      <c r="CN72" s="209">
        <f t="shared" si="142"/>
        <v>2485.85</v>
      </c>
      <c r="CO72" s="209">
        <f t="shared" si="143"/>
        <v>2495.19</v>
      </c>
      <c r="CP72" s="209">
        <f t="shared" si="144"/>
        <v>2504.5300000000002</v>
      </c>
      <c r="CQ72" s="209">
        <f t="shared" si="145"/>
        <v>2513.87</v>
      </c>
      <c r="CR72" s="209">
        <f t="shared" si="146"/>
        <v>2523.21</v>
      </c>
    </row>
    <row r="73" spans="1:96" s="128" customFormat="1">
      <c r="A73" s="371" t="s">
        <v>288</v>
      </c>
      <c r="B73" s="45" t="s">
        <v>103</v>
      </c>
      <c r="C73" s="45" t="s">
        <v>45</v>
      </c>
      <c r="D73" s="45" t="s">
        <v>22</v>
      </c>
      <c r="E73" s="45" t="s">
        <v>57</v>
      </c>
      <c r="F73" s="328"/>
      <c r="G73" s="15">
        <v>6.4</v>
      </c>
      <c r="H73" s="39"/>
      <c r="I73" s="209">
        <f t="shared" si="13"/>
        <v>9.5999999999999091</v>
      </c>
      <c r="J73" s="209">
        <v>1771.2</v>
      </c>
      <c r="K73" s="209">
        <v>1780.86</v>
      </c>
      <c r="L73" s="209">
        <v>1790.53</v>
      </c>
      <c r="M73" s="209">
        <v>1800.19</v>
      </c>
      <c r="N73" s="209">
        <v>1809.86</v>
      </c>
      <c r="O73" s="209">
        <v>1819.52</v>
      </c>
      <c r="P73" s="209">
        <v>1829.18</v>
      </c>
      <c r="Q73" s="209">
        <v>1838.85</v>
      </c>
      <c r="R73" s="209">
        <v>1848.51</v>
      </c>
      <c r="S73" s="209">
        <v>1858.18</v>
      </c>
      <c r="T73" s="209">
        <v>1867.84</v>
      </c>
      <c r="U73" s="209">
        <v>1877.5</v>
      </c>
      <c r="V73" s="209">
        <v>1887.17</v>
      </c>
      <c r="W73" s="209">
        <v>1896.83</v>
      </c>
      <c r="X73" s="209">
        <v>1906.5</v>
      </c>
      <c r="Y73" s="209">
        <v>1916.16</v>
      </c>
      <c r="Z73" s="209">
        <v>1925.82</v>
      </c>
      <c r="AA73" s="209">
        <v>1935.49</v>
      </c>
      <c r="AB73" s="209">
        <v>1945.09</v>
      </c>
      <c r="AC73" s="209">
        <v>1954.82</v>
      </c>
      <c r="AD73" s="209">
        <v>1964.35</v>
      </c>
      <c r="AE73" s="209">
        <v>1973.95</v>
      </c>
      <c r="AF73" s="209">
        <v>1983.62</v>
      </c>
      <c r="AG73" s="209">
        <v>1993.22</v>
      </c>
      <c r="AH73" s="209">
        <v>2002.94</v>
      </c>
      <c r="AI73" s="209">
        <v>2012.48</v>
      </c>
      <c r="AJ73" s="209">
        <v>2022.08</v>
      </c>
      <c r="AK73" s="209">
        <v>2031.74</v>
      </c>
      <c r="AL73" s="209">
        <v>2041.34</v>
      </c>
      <c r="AM73" s="209">
        <v>2051.0100000000002</v>
      </c>
      <c r="AN73" s="209">
        <v>2060.61</v>
      </c>
      <c r="AO73" s="209">
        <v>2070.21</v>
      </c>
      <c r="AP73" s="209">
        <v>2079.94</v>
      </c>
      <c r="AQ73" s="209">
        <v>2089.4699999999998</v>
      </c>
      <c r="AR73" s="209">
        <v>2099.14</v>
      </c>
      <c r="AS73" s="209">
        <v>2108.7399999999998</v>
      </c>
      <c r="AT73" s="209">
        <v>2118.34</v>
      </c>
      <c r="AU73" s="209">
        <v>2127.94</v>
      </c>
      <c r="AV73" s="209">
        <v>2137.54</v>
      </c>
      <c r="AW73" s="209">
        <v>2147.14</v>
      </c>
      <c r="AX73" s="209">
        <v>2156.7399999999998</v>
      </c>
      <c r="AY73" s="209">
        <v>2166.34</v>
      </c>
      <c r="AZ73" s="209">
        <v>2175.94</v>
      </c>
      <c r="BA73" s="209">
        <v>2185.54</v>
      </c>
      <c r="BB73" s="209">
        <v>2195.14</v>
      </c>
      <c r="BC73" s="209">
        <v>2204.67</v>
      </c>
      <c r="BD73" s="209">
        <v>2214.34</v>
      </c>
      <c r="BE73" s="209">
        <v>2223.94</v>
      </c>
      <c r="BF73" s="209">
        <v>2233.4699999999998</v>
      </c>
      <c r="BG73" s="209">
        <v>2243.14</v>
      </c>
      <c r="BH73" s="209">
        <v>2252.67</v>
      </c>
      <c r="BI73" s="209">
        <v>2262.34</v>
      </c>
      <c r="BJ73" s="209">
        <v>2271.94</v>
      </c>
      <c r="BK73" s="209">
        <v>2281.4699999999998</v>
      </c>
      <c r="BL73" s="209">
        <v>2291.14</v>
      </c>
      <c r="BM73" s="209">
        <v>2300.67</v>
      </c>
      <c r="BN73" s="209">
        <v>2310.27</v>
      </c>
      <c r="BO73" s="209">
        <f t="shared" si="134"/>
        <v>2319.87</v>
      </c>
      <c r="BP73" s="209">
        <f t="shared" si="135"/>
        <v>2329.4699999999998</v>
      </c>
      <c r="BQ73" s="209">
        <f t="shared" si="135"/>
        <v>2339.0700000000002</v>
      </c>
      <c r="BR73" s="209">
        <f t="shared" si="135"/>
        <v>2348.67</v>
      </c>
      <c r="BS73" s="209">
        <f t="shared" si="135"/>
        <v>2358.27</v>
      </c>
      <c r="BT73" s="209">
        <f t="shared" si="135"/>
        <v>2367.87</v>
      </c>
      <c r="BU73" s="209">
        <f t="shared" si="135"/>
        <v>2377.4699999999998</v>
      </c>
      <c r="BV73" s="209">
        <f t="shared" si="135"/>
        <v>2387.0700000000002</v>
      </c>
      <c r="BW73" s="209">
        <f t="shared" si="135"/>
        <v>2396.67</v>
      </c>
      <c r="BX73" s="209">
        <f t="shared" si="135"/>
        <v>2406.27</v>
      </c>
      <c r="BY73" s="209">
        <f t="shared" si="135"/>
        <v>2415.87</v>
      </c>
      <c r="BZ73" s="209">
        <f t="shared" si="135"/>
        <v>2425.4699999999998</v>
      </c>
      <c r="CA73" s="209">
        <f t="shared" si="135"/>
        <v>2435.0700000000002</v>
      </c>
      <c r="CB73" s="209">
        <f t="shared" si="135"/>
        <v>2444.67</v>
      </c>
      <c r="CC73" s="209">
        <f t="shared" si="135"/>
        <v>2454.27</v>
      </c>
      <c r="CD73" s="209">
        <f t="shared" si="135"/>
        <v>2463.87</v>
      </c>
      <c r="CE73" s="209">
        <f t="shared" si="135"/>
        <v>2473.4699999999998</v>
      </c>
      <c r="CF73" s="209">
        <f t="shared" si="135"/>
        <v>2483.0700000000002</v>
      </c>
      <c r="CG73" s="209">
        <f t="shared" si="135"/>
        <v>2492.67</v>
      </c>
      <c r="CH73" s="209">
        <f t="shared" si="136"/>
        <v>2502.27</v>
      </c>
      <c r="CI73" s="209">
        <f t="shared" si="137"/>
        <v>2511.87</v>
      </c>
      <c r="CJ73" s="209">
        <f t="shared" si="138"/>
        <v>2521.4699999999998</v>
      </c>
      <c r="CK73" s="209">
        <f t="shared" si="139"/>
        <v>2531.0700000000002</v>
      </c>
      <c r="CL73" s="209">
        <f t="shared" si="140"/>
        <v>2540.67</v>
      </c>
      <c r="CM73" s="209">
        <f t="shared" si="141"/>
        <v>2550.27</v>
      </c>
      <c r="CN73" s="209">
        <f t="shared" si="142"/>
        <v>2559.87</v>
      </c>
      <c r="CO73" s="209">
        <f t="shared" si="143"/>
        <v>2569.4699999999998</v>
      </c>
      <c r="CP73" s="209">
        <f t="shared" si="144"/>
        <v>2579.0700000000002</v>
      </c>
      <c r="CQ73" s="209">
        <f t="shared" si="145"/>
        <v>2588.67</v>
      </c>
      <c r="CR73" s="209">
        <f t="shared" si="146"/>
        <v>2598.27</v>
      </c>
    </row>
    <row r="74" spans="1:96" s="128" customFormat="1">
      <c r="A74" s="47" t="s">
        <v>153</v>
      </c>
      <c r="B74" s="40" t="s">
        <v>154</v>
      </c>
      <c r="C74" s="40" t="s">
        <v>100</v>
      </c>
      <c r="D74" s="40" t="s">
        <v>39</v>
      </c>
      <c r="E74" s="40" t="s">
        <v>57</v>
      </c>
      <c r="F74" s="324"/>
      <c r="G74" s="15">
        <v>6.4</v>
      </c>
      <c r="H74" s="3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209"/>
      <c r="AE74" s="209"/>
      <c r="AF74" s="209"/>
      <c r="AG74" s="209"/>
      <c r="AH74" s="209"/>
      <c r="AI74" s="209"/>
      <c r="AJ74" s="209"/>
      <c r="AK74" s="209"/>
      <c r="AL74" s="209"/>
      <c r="AM74" s="209"/>
      <c r="AN74" s="209"/>
      <c r="AO74" s="209"/>
      <c r="AP74" s="209"/>
      <c r="AQ74" s="209"/>
      <c r="AR74" s="209"/>
      <c r="AS74" s="209"/>
      <c r="AT74" s="209"/>
      <c r="AU74" s="209"/>
      <c r="AV74" s="209"/>
      <c r="AW74" s="209"/>
      <c r="AX74" s="209"/>
      <c r="AY74" s="209"/>
      <c r="AZ74" s="209"/>
      <c r="BA74" s="209"/>
      <c r="BB74" s="209"/>
      <c r="BC74" s="209"/>
      <c r="BD74" s="209"/>
      <c r="BE74" s="209"/>
      <c r="BF74" s="209"/>
      <c r="BG74" s="209"/>
      <c r="BH74" s="209"/>
      <c r="BI74" s="209"/>
      <c r="BJ74" s="209"/>
      <c r="BK74" s="209"/>
      <c r="BL74" s="209"/>
      <c r="BM74" s="209"/>
      <c r="BN74" s="209"/>
      <c r="BO74" s="209"/>
      <c r="BP74" s="209"/>
      <c r="BQ74" s="209"/>
      <c r="BR74" s="209"/>
      <c r="BS74" s="209"/>
      <c r="BT74" s="209"/>
      <c r="BU74" s="209"/>
      <c r="BV74" s="209"/>
      <c r="BW74" s="209"/>
      <c r="BX74" s="209"/>
      <c r="BY74" s="209"/>
      <c r="BZ74" s="209"/>
      <c r="CA74" s="209"/>
      <c r="CB74" s="209"/>
      <c r="CC74" s="209"/>
      <c r="CD74" s="209"/>
      <c r="CE74" s="209"/>
      <c r="CF74" s="209"/>
      <c r="CG74" s="209"/>
      <c r="CH74" s="209"/>
      <c r="CI74" s="209"/>
      <c r="CJ74" s="209"/>
      <c r="CK74" s="209"/>
      <c r="CL74" s="209"/>
      <c r="CM74" s="209"/>
      <c r="CN74" s="209"/>
      <c r="CO74" s="209"/>
      <c r="CP74" s="209"/>
      <c r="CQ74" s="209"/>
      <c r="CR74" s="209"/>
    </row>
    <row r="75" spans="1:96" s="128" customFormat="1">
      <c r="A75" s="47" t="s">
        <v>155</v>
      </c>
      <c r="B75" s="40" t="s">
        <v>154</v>
      </c>
      <c r="C75" s="40" t="s">
        <v>100</v>
      </c>
      <c r="D75" s="40" t="s">
        <v>39</v>
      </c>
      <c r="E75" s="40" t="s">
        <v>57</v>
      </c>
      <c r="F75" s="324"/>
      <c r="G75" s="15">
        <v>6.4</v>
      </c>
      <c r="H75" s="3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  <c r="AA75" s="209"/>
      <c r="AB75" s="209"/>
      <c r="AC75" s="209"/>
      <c r="AD75" s="209"/>
      <c r="AE75" s="209"/>
      <c r="AF75" s="209"/>
      <c r="AG75" s="209"/>
      <c r="AH75" s="209"/>
      <c r="AI75" s="209"/>
      <c r="AJ75" s="209"/>
      <c r="AK75" s="209"/>
      <c r="AL75" s="209"/>
      <c r="AM75" s="209"/>
      <c r="AN75" s="209"/>
      <c r="AO75" s="209"/>
      <c r="AP75" s="209"/>
      <c r="AQ75" s="209"/>
      <c r="AR75" s="209"/>
      <c r="AS75" s="209"/>
      <c r="AT75" s="209"/>
      <c r="AU75" s="209"/>
      <c r="AV75" s="209"/>
      <c r="AW75" s="209"/>
      <c r="AX75" s="209"/>
      <c r="AY75" s="209"/>
      <c r="AZ75" s="209"/>
      <c r="BA75" s="209"/>
      <c r="BB75" s="209"/>
      <c r="BC75" s="209"/>
      <c r="BD75" s="209"/>
      <c r="BE75" s="209"/>
      <c r="BF75" s="209"/>
      <c r="BG75" s="209"/>
      <c r="BH75" s="209"/>
      <c r="BI75" s="209"/>
      <c r="BJ75" s="209"/>
      <c r="BK75" s="209"/>
      <c r="BL75" s="209"/>
      <c r="BM75" s="209"/>
      <c r="BN75" s="209"/>
      <c r="BO75" s="209"/>
      <c r="BP75" s="209"/>
      <c r="BQ75" s="209"/>
      <c r="BR75" s="209"/>
      <c r="BS75" s="209"/>
      <c r="BT75" s="209"/>
      <c r="BU75" s="209"/>
      <c r="BV75" s="209"/>
      <c r="BW75" s="209"/>
      <c r="BX75" s="209"/>
      <c r="BY75" s="209"/>
      <c r="BZ75" s="209"/>
      <c r="CA75" s="209"/>
      <c r="CB75" s="209"/>
      <c r="CC75" s="209"/>
      <c r="CD75" s="209"/>
      <c r="CE75" s="209"/>
      <c r="CF75" s="209"/>
      <c r="CG75" s="209"/>
      <c r="CH75" s="209"/>
      <c r="CI75" s="209"/>
      <c r="CJ75" s="209"/>
      <c r="CK75" s="209"/>
      <c r="CL75" s="209"/>
      <c r="CM75" s="209"/>
      <c r="CN75" s="209"/>
      <c r="CO75" s="209"/>
      <c r="CP75" s="209"/>
      <c r="CQ75" s="209"/>
      <c r="CR75" s="209"/>
    </row>
    <row r="76" spans="1:96" s="128" customFormat="1">
      <c r="A76" s="47" t="s">
        <v>156</v>
      </c>
      <c r="B76" s="40" t="s">
        <v>154</v>
      </c>
      <c r="C76" s="40" t="s">
        <v>100</v>
      </c>
      <c r="D76" s="40" t="s">
        <v>39</v>
      </c>
      <c r="E76" s="40" t="s">
        <v>57</v>
      </c>
      <c r="F76" s="324"/>
      <c r="G76" s="15">
        <v>6.4</v>
      </c>
      <c r="H76" s="3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  <c r="AA76" s="209"/>
      <c r="AB76" s="209"/>
      <c r="AC76" s="209"/>
      <c r="AD76" s="209"/>
      <c r="AE76" s="209"/>
      <c r="AF76" s="209"/>
      <c r="AG76" s="209"/>
      <c r="AH76" s="209"/>
      <c r="AI76" s="209"/>
      <c r="AJ76" s="209"/>
      <c r="AK76" s="209"/>
      <c r="AL76" s="209"/>
      <c r="AM76" s="209"/>
      <c r="AN76" s="209"/>
      <c r="AO76" s="209"/>
      <c r="AP76" s="209"/>
      <c r="AQ76" s="209"/>
      <c r="AR76" s="209"/>
      <c r="AS76" s="209"/>
      <c r="AT76" s="209"/>
      <c r="AU76" s="209"/>
      <c r="AV76" s="209"/>
      <c r="AW76" s="209"/>
      <c r="AX76" s="209"/>
      <c r="AY76" s="209"/>
      <c r="AZ76" s="209"/>
      <c r="BA76" s="209"/>
      <c r="BB76" s="209"/>
      <c r="BC76" s="209"/>
      <c r="BD76" s="209"/>
      <c r="BE76" s="209"/>
      <c r="BF76" s="209"/>
      <c r="BG76" s="209"/>
      <c r="BH76" s="209"/>
      <c r="BI76" s="209"/>
      <c r="BJ76" s="209"/>
      <c r="BK76" s="209"/>
      <c r="BL76" s="209"/>
      <c r="BM76" s="209"/>
      <c r="BN76" s="209"/>
      <c r="BO76" s="209"/>
      <c r="BP76" s="209"/>
      <c r="BQ76" s="209"/>
      <c r="BR76" s="209"/>
      <c r="BS76" s="209"/>
      <c r="BT76" s="209"/>
      <c r="BU76" s="209"/>
      <c r="BV76" s="209"/>
      <c r="BW76" s="209"/>
      <c r="BX76" s="209"/>
      <c r="BY76" s="209"/>
      <c r="BZ76" s="209"/>
      <c r="CA76" s="209"/>
      <c r="CB76" s="209"/>
      <c r="CC76" s="209"/>
      <c r="CD76" s="209"/>
      <c r="CE76" s="209"/>
      <c r="CF76" s="209"/>
      <c r="CG76" s="209"/>
      <c r="CH76" s="209"/>
      <c r="CI76" s="209"/>
      <c r="CJ76" s="209"/>
      <c r="CK76" s="209"/>
      <c r="CL76" s="209"/>
      <c r="CM76" s="209"/>
      <c r="CN76" s="209"/>
      <c r="CO76" s="209"/>
      <c r="CP76" s="209"/>
      <c r="CQ76" s="209"/>
      <c r="CR76" s="209"/>
    </row>
    <row r="77" spans="1:96" s="128" customFormat="1">
      <c r="A77" s="47" t="s">
        <v>157</v>
      </c>
      <c r="B77" s="40" t="s">
        <v>154</v>
      </c>
      <c r="C77" s="40" t="s">
        <v>100</v>
      </c>
      <c r="D77" s="40" t="s">
        <v>39</v>
      </c>
      <c r="E77" s="40" t="s">
        <v>57</v>
      </c>
      <c r="F77" s="324"/>
      <c r="G77" s="15">
        <v>6.4</v>
      </c>
      <c r="H77" s="3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209"/>
      <c r="AE77" s="209"/>
      <c r="AF77" s="209"/>
      <c r="AG77" s="209"/>
      <c r="AH77" s="209"/>
      <c r="AI77" s="209"/>
      <c r="AJ77" s="209"/>
      <c r="AK77" s="209"/>
      <c r="AL77" s="209"/>
      <c r="AM77" s="209"/>
      <c r="AN77" s="209"/>
      <c r="AO77" s="209"/>
      <c r="AP77" s="209"/>
      <c r="AQ77" s="209"/>
      <c r="AR77" s="209"/>
      <c r="AS77" s="209"/>
      <c r="AT77" s="209"/>
      <c r="AU77" s="209"/>
      <c r="AV77" s="209"/>
      <c r="AW77" s="209"/>
      <c r="AX77" s="209"/>
      <c r="AY77" s="209"/>
      <c r="AZ77" s="209"/>
      <c r="BA77" s="209"/>
      <c r="BB77" s="209"/>
      <c r="BC77" s="209"/>
      <c r="BD77" s="209"/>
      <c r="BE77" s="209"/>
      <c r="BF77" s="209"/>
      <c r="BG77" s="209"/>
      <c r="BH77" s="209"/>
      <c r="BI77" s="209"/>
      <c r="BJ77" s="209"/>
      <c r="BK77" s="209"/>
      <c r="BL77" s="209"/>
      <c r="BM77" s="209"/>
      <c r="BN77" s="209"/>
      <c r="BO77" s="209"/>
      <c r="BP77" s="209"/>
      <c r="BQ77" s="209"/>
      <c r="BR77" s="209"/>
      <c r="BS77" s="209"/>
      <c r="BT77" s="209"/>
      <c r="BU77" s="209"/>
      <c r="BV77" s="209"/>
      <c r="BW77" s="209"/>
      <c r="BX77" s="209"/>
      <c r="BY77" s="209"/>
      <c r="BZ77" s="209"/>
      <c r="CA77" s="209"/>
      <c r="CB77" s="209"/>
      <c r="CC77" s="209"/>
      <c r="CD77" s="209"/>
      <c r="CE77" s="209"/>
      <c r="CF77" s="209"/>
      <c r="CG77" s="209"/>
      <c r="CH77" s="209"/>
      <c r="CI77" s="209"/>
      <c r="CJ77" s="209"/>
      <c r="CK77" s="209"/>
      <c r="CL77" s="209"/>
      <c r="CM77" s="209"/>
      <c r="CN77" s="209"/>
      <c r="CO77" s="209"/>
      <c r="CP77" s="209"/>
      <c r="CQ77" s="209"/>
      <c r="CR77" s="209"/>
    </row>
    <row r="78" spans="1:96" s="128" customFormat="1">
      <c r="A78" s="372" t="s">
        <v>289</v>
      </c>
      <c r="B78" s="38" t="s">
        <v>154</v>
      </c>
      <c r="C78" s="38" t="s">
        <v>100</v>
      </c>
      <c r="D78" s="38" t="s">
        <v>159</v>
      </c>
      <c r="E78" s="38" t="s">
        <v>23</v>
      </c>
      <c r="F78" s="323"/>
      <c r="G78" s="15">
        <v>6.4</v>
      </c>
      <c r="H78" s="3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9"/>
      <c r="AO78" s="209"/>
      <c r="AP78" s="209"/>
      <c r="AQ78" s="209"/>
      <c r="AR78" s="209"/>
      <c r="AS78" s="209"/>
      <c r="AT78" s="209"/>
      <c r="AU78" s="209"/>
      <c r="AV78" s="209"/>
      <c r="AW78" s="209"/>
      <c r="AX78" s="209"/>
      <c r="AY78" s="209"/>
      <c r="AZ78" s="209"/>
      <c r="BA78" s="209"/>
      <c r="BB78" s="209"/>
      <c r="BC78" s="209"/>
      <c r="BD78" s="209"/>
      <c r="BE78" s="209"/>
      <c r="BF78" s="209"/>
      <c r="BG78" s="209"/>
      <c r="BH78" s="209"/>
      <c r="BI78" s="209"/>
      <c r="BJ78" s="209"/>
      <c r="BK78" s="209"/>
      <c r="BL78" s="209"/>
      <c r="BM78" s="209"/>
      <c r="BN78" s="209"/>
      <c r="BO78" s="209"/>
      <c r="BP78" s="209"/>
      <c r="BQ78" s="209"/>
      <c r="BR78" s="209"/>
      <c r="BS78" s="209"/>
      <c r="BT78" s="209"/>
      <c r="BU78" s="209"/>
      <c r="BV78" s="209"/>
      <c r="BW78" s="209"/>
      <c r="BX78" s="209"/>
      <c r="BY78" s="209"/>
      <c r="BZ78" s="209"/>
      <c r="CA78" s="209"/>
      <c r="CB78" s="209"/>
      <c r="CC78" s="209"/>
      <c r="CD78" s="209"/>
      <c r="CE78" s="209"/>
      <c r="CF78" s="209"/>
      <c r="CG78" s="209"/>
      <c r="CH78" s="209"/>
      <c r="CI78" s="209"/>
      <c r="CJ78" s="209"/>
      <c r="CK78" s="209"/>
      <c r="CL78" s="209"/>
      <c r="CM78" s="209"/>
      <c r="CN78" s="209"/>
      <c r="CO78" s="209"/>
      <c r="CP78" s="209"/>
      <c r="CQ78" s="209"/>
      <c r="CR78" s="209"/>
    </row>
    <row r="79" spans="1:96" s="128" customFormat="1">
      <c r="A79" s="128" t="s">
        <v>161</v>
      </c>
      <c r="B79" s="40" t="s">
        <v>154</v>
      </c>
      <c r="C79" s="40" t="s">
        <v>100</v>
      </c>
      <c r="D79" s="40" t="s">
        <v>25</v>
      </c>
      <c r="E79" s="40" t="s">
        <v>23</v>
      </c>
      <c r="F79" s="324"/>
      <c r="G79" s="15">
        <v>6.4</v>
      </c>
      <c r="H79" s="3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  <c r="AA79" s="209"/>
      <c r="AB79" s="209"/>
      <c r="AC79" s="209"/>
      <c r="AD79" s="209"/>
      <c r="AE79" s="209"/>
      <c r="AF79" s="209"/>
      <c r="AG79" s="209"/>
      <c r="AH79" s="209"/>
      <c r="AI79" s="209"/>
      <c r="AJ79" s="209"/>
      <c r="AK79" s="209"/>
      <c r="AL79" s="209"/>
      <c r="AM79" s="209"/>
      <c r="AN79" s="209"/>
      <c r="AO79" s="209"/>
      <c r="AP79" s="209"/>
      <c r="AQ79" s="209"/>
      <c r="AR79" s="209"/>
      <c r="AS79" s="209"/>
      <c r="AT79" s="209"/>
      <c r="AU79" s="209"/>
      <c r="AV79" s="209"/>
      <c r="AW79" s="209"/>
      <c r="AX79" s="209"/>
      <c r="AY79" s="209"/>
      <c r="AZ79" s="209"/>
      <c r="BA79" s="209"/>
      <c r="BB79" s="209"/>
      <c r="BC79" s="209"/>
      <c r="BD79" s="209"/>
      <c r="BE79" s="209"/>
      <c r="BF79" s="209"/>
      <c r="BG79" s="209"/>
      <c r="BH79" s="209"/>
      <c r="BI79" s="209"/>
      <c r="BJ79" s="209"/>
      <c r="BK79" s="209"/>
      <c r="BL79" s="209"/>
      <c r="BM79" s="209"/>
      <c r="BN79" s="209"/>
      <c r="BO79" s="209"/>
      <c r="BP79" s="209"/>
      <c r="BQ79" s="209"/>
      <c r="BR79" s="209"/>
      <c r="BS79" s="209"/>
      <c r="BT79" s="209"/>
      <c r="BU79" s="209"/>
      <c r="BV79" s="209"/>
      <c r="BW79" s="209"/>
      <c r="BX79" s="209"/>
      <c r="BY79" s="209"/>
      <c r="BZ79" s="209"/>
      <c r="CA79" s="209"/>
      <c r="CB79" s="209"/>
      <c r="CC79" s="209"/>
      <c r="CD79" s="209"/>
      <c r="CE79" s="209"/>
      <c r="CF79" s="209"/>
      <c r="CG79" s="209"/>
      <c r="CH79" s="209"/>
      <c r="CI79" s="209"/>
      <c r="CJ79" s="209"/>
      <c r="CK79" s="209"/>
      <c r="CL79" s="209"/>
      <c r="CM79" s="209"/>
      <c r="CN79" s="209"/>
      <c r="CO79" s="209"/>
      <c r="CP79" s="209"/>
      <c r="CQ79" s="209"/>
      <c r="CR79" s="209"/>
    </row>
    <row r="80" spans="1:96" s="128" customFormat="1">
      <c r="A80" s="47" t="s">
        <v>161</v>
      </c>
      <c r="B80" s="40" t="s">
        <v>154</v>
      </c>
      <c r="C80" s="40" t="s">
        <v>100</v>
      </c>
      <c r="D80" s="40" t="s">
        <v>39</v>
      </c>
      <c r="E80" s="40" t="s">
        <v>57</v>
      </c>
      <c r="F80" s="324"/>
      <c r="G80" s="15">
        <v>6.4</v>
      </c>
      <c r="H80" s="3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209"/>
      <c r="AE80" s="209"/>
      <c r="AF80" s="209"/>
      <c r="AG80" s="209"/>
      <c r="AH80" s="209"/>
      <c r="AI80" s="209"/>
      <c r="AJ80" s="209"/>
      <c r="AK80" s="209"/>
      <c r="AL80" s="209"/>
      <c r="AM80" s="209"/>
      <c r="AN80" s="209"/>
      <c r="AO80" s="209"/>
      <c r="AP80" s="209"/>
      <c r="AQ80" s="209"/>
      <c r="AR80" s="209"/>
      <c r="AS80" s="209"/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  <c r="BI80" s="209"/>
      <c r="BJ80" s="209"/>
      <c r="BK80" s="209"/>
      <c r="BL80" s="209"/>
      <c r="BM80" s="209"/>
      <c r="BN80" s="209"/>
      <c r="BO80" s="209"/>
      <c r="BP80" s="209"/>
      <c r="BQ80" s="209"/>
      <c r="BR80" s="209"/>
      <c r="BS80" s="209"/>
      <c r="BT80" s="209"/>
      <c r="BU80" s="209"/>
      <c r="BV80" s="209"/>
      <c r="BW80" s="209"/>
      <c r="BX80" s="209"/>
      <c r="BY80" s="209"/>
      <c r="BZ80" s="209"/>
      <c r="CA80" s="209"/>
      <c r="CB80" s="209"/>
      <c r="CC80" s="209"/>
      <c r="CD80" s="209"/>
      <c r="CE80" s="209"/>
      <c r="CF80" s="209"/>
      <c r="CG80" s="209"/>
      <c r="CH80" s="209"/>
      <c r="CI80" s="209"/>
      <c r="CJ80" s="209"/>
      <c r="CK80" s="209"/>
      <c r="CL80" s="209"/>
      <c r="CM80" s="209"/>
      <c r="CN80" s="209"/>
      <c r="CO80" s="209"/>
      <c r="CP80" s="209"/>
      <c r="CQ80" s="209"/>
      <c r="CR80" s="209"/>
    </row>
    <row r="81" spans="1:96" s="128" customFormat="1">
      <c r="A81" s="372" t="s">
        <v>168</v>
      </c>
      <c r="B81" s="38" t="s">
        <v>154</v>
      </c>
      <c r="C81" s="38" t="s">
        <v>100</v>
      </c>
      <c r="D81" s="38" t="s">
        <v>25</v>
      </c>
      <c r="E81" s="38" t="s">
        <v>23</v>
      </c>
      <c r="F81" s="323"/>
      <c r="G81" s="15">
        <v>6.4</v>
      </c>
      <c r="H81" s="3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/>
      <c r="AE81" s="209"/>
      <c r="AF81" s="209"/>
      <c r="AG81" s="209"/>
      <c r="AH81" s="209"/>
      <c r="AI81" s="209"/>
      <c r="AJ81" s="209"/>
      <c r="AK81" s="209"/>
      <c r="AL81" s="209"/>
      <c r="AM81" s="209"/>
      <c r="AN81" s="209"/>
      <c r="AO81" s="209"/>
      <c r="AP81" s="209"/>
      <c r="AQ81" s="209"/>
      <c r="AR81" s="209"/>
      <c r="AS81" s="209"/>
      <c r="AT81" s="209"/>
      <c r="AU81" s="209"/>
      <c r="AV81" s="209"/>
      <c r="AW81" s="209"/>
      <c r="AX81" s="209"/>
      <c r="AY81" s="209"/>
      <c r="AZ81" s="209"/>
      <c r="BA81" s="209"/>
      <c r="BB81" s="209"/>
      <c r="BC81" s="209"/>
      <c r="BD81" s="209"/>
      <c r="BE81" s="209"/>
      <c r="BF81" s="209"/>
      <c r="BG81" s="209"/>
      <c r="BH81" s="209"/>
      <c r="BI81" s="209"/>
      <c r="BJ81" s="209"/>
      <c r="BK81" s="209"/>
      <c r="BL81" s="209"/>
      <c r="BM81" s="209"/>
      <c r="BN81" s="209"/>
      <c r="BO81" s="209"/>
      <c r="BP81" s="209"/>
      <c r="BQ81" s="209"/>
      <c r="BR81" s="209"/>
      <c r="BS81" s="209"/>
      <c r="BT81" s="209"/>
      <c r="BU81" s="209"/>
      <c r="BV81" s="209"/>
      <c r="BW81" s="209"/>
      <c r="BX81" s="209"/>
      <c r="BY81" s="209"/>
      <c r="BZ81" s="209"/>
      <c r="CA81" s="209"/>
      <c r="CB81" s="209"/>
      <c r="CC81" s="209"/>
      <c r="CD81" s="209"/>
      <c r="CE81" s="209"/>
      <c r="CF81" s="209"/>
      <c r="CG81" s="209"/>
      <c r="CH81" s="209"/>
      <c r="CI81" s="209"/>
      <c r="CJ81" s="209"/>
      <c r="CK81" s="209"/>
      <c r="CL81" s="209"/>
      <c r="CM81" s="209"/>
      <c r="CN81" s="209"/>
      <c r="CO81" s="209"/>
      <c r="CP81" s="209"/>
      <c r="CQ81" s="209"/>
      <c r="CR81" s="209"/>
    </row>
    <row r="82" spans="1:96" s="128" customFormat="1">
      <c r="A82" s="372" t="s">
        <v>168</v>
      </c>
      <c r="B82" s="38" t="s">
        <v>154</v>
      </c>
      <c r="C82" s="38" t="s">
        <v>100</v>
      </c>
      <c r="D82" s="38" t="s">
        <v>22</v>
      </c>
      <c r="E82" s="38" t="s">
        <v>23</v>
      </c>
      <c r="F82" s="323"/>
      <c r="G82" s="15">
        <v>6.4</v>
      </c>
      <c r="H82" s="3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/>
      <c r="AE82" s="209"/>
      <c r="AF82" s="209"/>
      <c r="AG82" s="209"/>
      <c r="AH82" s="209"/>
      <c r="AI82" s="209"/>
      <c r="AJ82" s="209"/>
      <c r="AK82" s="209"/>
      <c r="AL82" s="209"/>
      <c r="AM82" s="209"/>
      <c r="AN82" s="209"/>
      <c r="AO82" s="209"/>
      <c r="AP82" s="209"/>
      <c r="AQ82" s="209"/>
      <c r="AR82" s="209"/>
      <c r="AS82" s="209"/>
      <c r="AT82" s="209"/>
      <c r="AU82" s="209"/>
      <c r="AV82" s="209"/>
      <c r="AW82" s="209"/>
      <c r="AX82" s="209"/>
      <c r="AY82" s="209"/>
      <c r="AZ82" s="209"/>
      <c r="BA82" s="209"/>
      <c r="BB82" s="209"/>
      <c r="BC82" s="209"/>
      <c r="BD82" s="209"/>
      <c r="BE82" s="209"/>
      <c r="BF82" s="209"/>
      <c r="BG82" s="209"/>
      <c r="BH82" s="209"/>
      <c r="BI82" s="209"/>
      <c r="BJ82" s="209"/>
      <c r="BK82" s="209"/>
      <c r="BL82" s="209"/>
      <c r="BM82" s="209"/>
      <c r="BN82" s="209"/>
      <c r="BO82" s="209"/>
      <c r="BP82" s="209"/>
      <c r="BQ82" s="209"/>
      <c r="BR82" s="209"/>
      <c r="BS82" s="209"/>
      <c r="BT82" s="209"/>
      <c r="BU82" s="209"/>
      <c r="BV82" s="209"/>
      <c r="BW82" s="209"/>
      <c r="BX82" s="209"/>
      <c r="BY82" s="209"/>
      <c r="BZ82" s="209"/>
      <c r="CA82" s="209"/>
      <c r="CB82" s="209"/>
      <c r="CC82" s="209"/>
      <c r="CD82" s="209"/>
      <c r="CE82" s="209"/>
      <c r="CF82" s="209"/>
      <c r="CG82" s="209"/>
      <c r="CH82" s="209"/>
      <c r="CI82" s="209"/>
      <c r="CJ82" s="209"/>
      <c r="CK82" s="209"/>
      <c r="CL82" s="209"/>
      <c r="CM82" s="209"/>
      <c r="CN82" s="209"/>
      <c r="CO82" s="209"/>
      <c r="CP82" s="209"/>
      <c r="CQ82" s="209"/>
      <c r="CR82" s="209"/>
    </row>
    <row r="83" spans="1:96" s="128" customFormat="1">
      <c r="A83" s="128" t="s">
        <v>167</v>
      </c>
      <c r="B83" s="40" t="s">
        <v>154</v>
      </c>
      <c r="C83" s="40" t="s">
        <v>100</v>
      </c>
      <c r="D83" s="40" t="s">
        <v>22</v>
      </c>
      <c r="E83" s="40" t="s">
        <v>23</v>
      </c>
      <c r="F83" s="324"/>
      <c r="G83" s="15">
        <v>6.4</v>
      </c>
      <c r="H83" s="3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  <c r="AA83" s="209"/>
      <c r="AB83" s="209"/>
      <c r="AC83" s="209"/>
      <c r="AD83" s="209"/>
      <c r="AE83" s="209"/>
      <c r="AF83" s="209"/>
      <c r="AG83" s="209"/>
      <c r="AH83" s="209"/>
      <c r="AI83" s="209"/>
      <c r="AJ83" s="209"/>
      <c r="AK83" s="209"/>
      <c r="AL83" s="209"/>
      <c r="AM83" s="209"/>
      <c r="AN83" s="209"/>
      <c r="AO83" s="209"/>
      <c r="AP83" s="209"/>
      <c r="AQ83" s="209"/>
      <c r="AR83" s="209"/>
      <c r="AS83" s="209"/>
      <c r="AT83" s="209"/>
      <c r="AU83" s="209"/>
      <c r="AV83" s="209"/>
      <c r="AW83" s="209"/>
      <c r="AX83" s="209"/>
      <c r="AY83" s="209"/>
      <c r="AZ83" s="209"/>
      <c r="BA83" s="209"/>
      <c r="BB83" s="209"/>
      <c r="BC83" s="209"/>
      <c r="BD83" s="209"/>
      <c r="BE83" s="209"/>
      <c r="BF83" s="209"/>
      <c r="BG83" s="209"/>
      <c r="BH83" s="209"/>
      <c r="BI83" s="209"/>
      <c r="BJ83" s="209"/>
      <c r="BK83" s="209"/>
      <c r="BL83" s="209"/>
      <c r="BM83" s="209"/>
      <c r="BN83" s="209"/>
      <c r="BO83" s="209"/>
      <c r="BP83" s="209"/>
      <c r="BQ83" s="209"/>
      <c r="BR83" s="209"/>
      <c r="BS83" s="209"/>
      <c r="BT83" s="209"/>
      <c r="BU83" s="209"/>
      <c r="BV83" s="209"/>
      <c r="BW83" s="209"/>
      <c r="BX83" s="209"/>
      <c r="BY83" s="209"/>
      <c r="BZ83" s="209"/>
      <c r="CA83" s="209"/>
      <c r="CB83" s="209"/>
      <c r="CC83" s="209"/>
      <c r="CD83" s="209"/>
      <c r="CE83" s="209"/>
      <c r="CF83" s="209"/>
      <c r="CG83" s="209"/>
      <c r="CH83" s="209"/>
      <c r="CI83" s="209"/>
      <c r="CJ83" s="209"/>
      <c r="CK83" s="209"/>
      <c r="CL83" s="209"/>
      <c r="CM83" s="209"/>
      <c r="CN83" s="209"/>
      <c r="CO83" s="209"/>
      <c r="CP83" s="209"/>
      <c r="CQ83" s="209"/>
      <c r="CR83" s="209"/>
    </row>
    <row r="84" spans="1:96" s="128" customFormat="1">
      <c r="A84" s="47" t="s">
        <v>168</v>
      </c>
      <c r="B84" s="40" t="s">
        <v>154</v>
      </c>
      <c r="C84" s="40" t="s">
        <v>100</v>
      </c>
      <c r="D84" s="40" t="s">
        <v>39</v>
      </c>
      <c r="E84" s="40" t="s">
        <v>57</v>
      </c>
      <c r="F84" s="324"/>
      <c r="G84" s="15">
        <v>6.4</v>
      </c>
      <c r="H84" s="39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  <c r="AA84" s="209"/>
      <c r="AB84" s="209"/>
      <c r="AC84" s="209"/>
      <c r="AD84" s="209"/>
      <c r="AE84" s="209"/>
      <c r="AF84" s="209"/>
      <c r="AG84" s="209"/>
      <c r="AH84" s="209"/>
      <c r="AI84" s="209"/>
      <c r="AJ84" s="209"/>
      <c r="AK84" s="209"/>
      <c r="AL84" s="209"/>
      <c r="AM84" s="209"/>
      <c r="AN84" s="209"/>
      <c r="AO84" s="209"/>
      <c r="AP84" s="209"/>
      <c r="AQ84" s="209"/>
      <c r="AR84" s="209"/>
      <c r="AS84" s="209"/>
      <c r="AT84" s="209"/>
      <c r="AU84" s="209"/>
      <c r="AV84" s="209"/>
      <c r="AW84" s="209"/>
      <c r="AX84" s="209"/>
      <c r="AY84" s="209"/>
      <c r="AZ84" s="209"/>
      <c r="BA84" s="209"/>
      <c r="BB84" s="209"/>
      <c r="BC84" s="209"/>
      <c r="BD84" s="209"/>
      <c r="BE84" s="209"/>
      <c r="BF84" s="209"/>
      <c r="BG84" s="209"/>
      <c r="BH84" s="209"/>
      <c r="BI84" s="209"/>
      <c r="BJ84" s="209"/>
      <c r="BK84" s="209"/>
      <c r="BL84" s="209"/>
      <c r="BM84" s="209"/>
      <c r="BN84" s="209"/>
      <c r="BO84" s="209"/>
      <c r="BP84" s="209"/>
      <c r="BQ84" s="209"/>
      <c r="BR84" s="209"/>
      <c r="BS84" s="209"/>
      <c r="BT84" s="209"/>
      <c r="BU84" s="209"/>
      <c r="BV84" s="209"/>
      <c r="BW84" s="209"/>
      <c r="BX84" s="209"/>
      <c r="BY84" s="209"/>
      <c r="BZ84" s="209"/>
      <c r="CA84" s="209"/>
      <c r="CB84" s="209"/>
      <c r="CC84" s="209"/>
      <c r="CD84" s="209"/>
      <c r="CE84" s="209"/>
      <c r="CF84" s="209"/>
      <c r="CG84" s="209"/>
      <c r="CH84" s="209"/>
      <c r="CI84" s="209"/>
      <c r="CJ84" s="209"/>
      <c r="CK84" s="209"/>
      <c r="CL84" s="209"/>
      <c r="CM84" s="209"/>
      <c r="CN84" s="209"/>
      <c r="CO84" s="209"/>
      <c r="CP84" s="209"/>
      <c r="CQ84" s="209"/>
      <c r="CR84" s="209"/>
    </row>
    <row r="85" spans="1:96" s="128" customFormat="1">
      <c r="A85" s="128" t="s">
        <v>170</v>
      </c>
      <c r="B85" s="40" t="s">
        <v>154</v>
      </c>
      <c r="C85" s="40" t="s">
        <v>100</v>
      </c>
      <c r="D85" s="40" t="s">
        <v>22</v>
      </c>
      <c r="E85" s="40" t="s">
        <v>23</v>
      </c>
      <c r="F85" s="324"/>
      <c r="G85" s="15">
        <v>6.4</v>
      </c>
      <c r="H85" s="3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09"/>
      <c r="AK85" s="209"/>
      <c r="AL85" s="209"/>
      <c r="AM85" s="209"/>
      <c r="AN85" s="209"/>
      <c r="AO85" s="209"/>
      <c r="AP85" s="209"/>
      <c r="AQ85" s="209"/>
      <c r="AR85" s="209"/>
      <c r="AS85" s="209"/>
      <c r="AT85" s="209"/>
      <c r="AU85" s="209"/>
      <c r="AV85" s="209"/>
      <c r="AW85" s="209"/>
      <c r="AX85" s="209"/>
      <c r="AY85" s="209"/>
      <c r="AZ85" s="209"/>
      <c r="BA85" s="209"/>
      <c r="BB85" s="209"/>
      <c r="BC85" s="209"/>
      <c r="BD85" s="209"/>
      <c r="BE85" s="209"/>
      <c r="BF85" s="209"/>
      <c r="BG85" s="209"/>
      <c r="BH85" s="209"/>
      <c r="BI85" s="209"/>
      <c r="BJ85" s="209"/>
      <c r="BK85" s="209"/>
      <c r="BL85" s="209"/>
      <c r="BM85" s="209"/>
      <c r="BN85" s="209"/>
      <c r="BO85" s="209"/>
      <c r="BP85" s="209"/>
      <c r="BQ85" s="209"/>
      <c r="BR85" s="209"/>
      <c r="BS85" s="209"/>
      <c r="BT85" s="209"/>
      <c r="BU85" s="209"/>
      <c r="BV85" s="209"/>
      <c r="BW85" s="209"/>
      <c r="BX85" s="209"/>
      <c r="BY85" s="209"/>
      <c r="BZ85" s="209"/>
      <c r="CA85" s="209"/>
      <c r="CB85" s="209"/>
      <c r="CC85" s="209"/>
      <c r="CD85" s="209"/>
      <c r="CE85" s="209"/>
      <c r="CF85" s="209"/>
      <c r="CG85" s="209"/>
      <c r="CH85" s="209"/>
      <c r="CI85" s="209"/>
      <c r="CJ85" s="209"/>
      <c r="CK85" s="209"/>
      <c r="CL85" s="209"/>
      <c r="CM85" s="209"/>
      <c r="CN85" s="209"/>
      <c r="CO85" s="209"/>
      <c r="CP85" s="209"/>
      <c r="CQ85" s="209"/>
      <c r="CR85" s="209"/>
    </row>
    <row r="86" spans="1:96" s="128" customFormat="1">
      <c r="A86" s="47" t="s">
        <v>170</v>
      </c>
      <c r="B86" s="40" t="s">
        <v>154</v>
      </c>
      <c r="C86" s="40" t="s">
        <v>100</v>
      </c>
      <c r="D86" s="40" t="s">
        <v>39</v>
      </c>
      <c r="E86" s="40" t="s">
        <v>57</v>
      </c>
      <c r="F86" s="324"/>
      <c r="G86" s="15">
        <v>6.4</v>
      </c>
      <c r="H86" s="3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  <c r="AA86" s="209"/>
      <c r="AB86" s="209"/>
      <c r="AC86" s="209"/>
      <c r="AD86" s="209"/>
      <c r="AE86" s="209"/>
      <c r="AF86" s="209"/>
      <c r="AG86" s="209"/>
      <c r="AH86" s="209"/>
      <c r="AI86" s="209"/>
      <c r="AJ86" s="209"/>
      <c r="AK86" s="209"/>
      <c r="AL86" s="209"/>
      <c r="AM86" s="209"/>
      <c r="AN86" s="209"/>
      <c r="AO86" s="209"/>
      <c r="AP86" s="209"/>
      <c r="AQ86" s="209"/>
      <c r="AR86" s="209"/>
      <c r="AS86" s="209"/>
      <c r="AT86" s="209"/>
      <c r="AU86" s="209"/>
      <c r="AV86" s="209"/>
      <c r="AW86" s="209"/>
      <c r="AX86" s="209"/>
      <c r="AY86" s="209"/>
      <c r="AZ86" s="209"/>
      <c r="BA86" s="209"/>
      <c r="BB86" s="209"/>
      <c r="BC86" s="209"/>
      <c r="BD86" s="209"/>
      <c r="BE86" s="209"/>
      <c r="BF86" s="209"/>
      <c r="BG86" s="209"/>
      <c r="BH86" s="209"/>
      <c r="BI86" s="209"/>
      <c r="BJ86" s="209"/>
      <c r="BK86" s="209"/>
      <c r="BL86" s="209"/>
      <c r="BM86" s="209"/>
      <c r="BN86" s="209"/>
      <c r="BO86" s="209"/>
      <c r="BP86" s="209"/>
      <c r="BQ86" s="209"/>
      <c r="BR86" s="209"/>
      <c r="BS86" s="209"/>
      <c r="BT86" s="209"/>
      <c r="BU86" s="209"/>
      <c r="BV86" s="209"/>
      <c r="BW86" s="209"/>
      <c r="BX86" s="209"/>
      <c r="BY86" s="209"/>
      <c r="BZ86" s="209"/>
      <c r="CA86" s="209"/>
      <c r="CB86" s="209"/>
      <c r="CC86" s="209"/>
      <c r="CD86" s="209"/>
      <c r="CE86" s="209"/>
      <c r="CF86" s="209"/>
      <c r="CG86" s="209"/>
      <c r="CH86" s="209"/>
      <c r="CI86" s="209"/>
      <c r="CJ86" s="209"/>
      <c r="CK86" s="209"/>
      <c r="CL86" s="209"/>
      <c r="CM86" s="209"/>
      <c r="CN86" s="209"/>
      <c r="CO86" s="209"/>
      <c r="CP86" s="209"/>
      <c r="CQ86" s="209"/>
      <c r="CR86" s="209"/>
    </row>
    <row r="87" spans="1:96" s="128" customFormat="1">
      <c r="A87" s="47" t="s">
        <v>171</v>
      </c>
      <c r="B87" s="40" t="s">
        <v>172</v>
      </c>
      <c r="C87" s="40" t="s">
        <v>100</v>
      </c>
      <c r="D87" s="40" t="s">
        <v>39</v>
      </c>
      <c r="E87" s="40" t="s">
        <v>57</v>
      </c>
      <c r="F87" s="324"/>
      <c r="G87" s="15">
        <v>6.4</v>
      </c>
      <c r="H87" s="3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09"/>
      <c r="AG87" s="209"/>
      <c r="AH87" s="209"/>
      <c r="AI87" s="209"/>
      <c r="AJ87" s="209"/>
      <c r="AK87" s="209"/>
      <c r="AL87" s="209"/>
      <c r="AM87" s="209"/>
      <c r="AN87" s="209"/>
      <c r="AO87" s="209"/>
      <c r="AP87" s="209"/>
      <c r="AQ87" s="209"/>
      <c r="AR87" s="209"/>
      <c r="AS87" s="209"/>
      <c r="AT87" s="209"/>
      <c r="AU87" s="209"/>
      <c r="AV87" s="209"/>
      <c r="AW87" s="209"/>
      <c r="AX87" s="209"/>
      <c r="AY87" s="209"/>
      <c r="AZ87" s="209"/>
      <c r="BA87" s="209"/>
      <c r="BB87" s="209"/>
      <c r="BC87" s="209"/>
      <c r="BD87" s="209"/>
      <c r="BE87" s="209"/>
      <c r="BF87" s="209"/>
      <c r="BG87" s="209"/>
      <c r="BH87" s="209"/>
      <c r="BI87" s="209"/>
      <c r="BJ87" s="209"/>
      <c r="BK87" s="209"/>
      <c r="BL87" s="209"/>
      <c r="BM87" s="209"/>
      <c r="BN87" s="209"/>
      <c r="BO87" s="209"/>
      <c r="BP87" s="209"/>
      <c r="BQ87" s="209"/>
      <c r="BR87" s="209"/>
      <c r="BS87" s="209"/>
      <c r="BT87" s="209"/>
      <c r="BU87" s="209"/>
      <c r="BV87" s="209"/>
      <c r="BW87" s="209"/>
      <c r="BX87" s="209"/>
      <c r="BY87" s="209"/>
      <c r="BZ87" s="209"/>
      <c r="CA87" s="209"/>
      <c r="CB87" s="209"/>
      <c r="CC87" s="209"/>
      <c r="CD87" s="209"/>
      <c r="CE87" s="209"/>
      <c r="CF87" s="209"/>
      <c r="CG87" s="209"/>
      <c r="CH87" s="209"/>
      <c r="CI87" s="209"/>
      <c r="CJ87" s="209"/>
      <c r="CK87" s="209"/>
      <c r="CL87" s="209"/>
      <c r="CM87" s="209"/>
      <c r="CN87" s="209"/>
      <c r="CO87" s="209"/>
      <c r="CP87" s="209"/>
      <c r="CQ87" s="209"/>
      <c r="CR87" s="209"/>
    </row>
    <row r="88" spans="1:96" s="128" customFormat="1">
      <c r="A88" s="47" t="s">
        <v>173</v>
      </c>
      <c r="B88" s="40" t="s">
        <v>172</v>
      </c>
      <c r="C88" s="40" t="s">
        <v>100</v>
      </c>
      <c r="D88" s="40" t="s">
        <v>39</v>
      </c>
      <c r="E88" s="40" t="s">
        <v>57</v>
      </c>
      <c r="F88" s="324"/>
      <c r="G88" s="15">
        <v>6.4</v>
      </c>
      <c r="H88" s="3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  <c r="AA88" s="209"/>
      <c r="AB88" s="209"/>
      <c r="AC88" s="209"/>
      <c r="AD88" s="209"/>
      <c r="AE88" s="209"/>
      <c r="AF88" s="209"/>
      <c r="AG88" s="209"/>
      <c r="AH88" s="209"/>
      <c r="AI88" s="209"/>
      <c r="AJ88" s="209"/>
      <c r="AK88" s="209"/>
      <c r="AL88" s="209"/>
      <c r="AM88" s="209"/>
      <c r="AN88" s="209"/>
      <c r="AO88" s="209"/>
      <c r="AP88" s="209"/>
      <c r="AQ88" s="209"/>
      <c r="AR88" s="209"/>
      <c r="AS88" s="209"/>
      <c r="AT88" s="209"/>
      <c r="AU88" s="209"/>
      <c r="AV88" s="209"/>
      <c r="AW88" s="209"/>
      <c r="AX88" s="209"/>
      <c r="AY88" s="209"/>
      <c r="AZ88" s="209"/>
      <c r="BA88" s="209"/>
      <c r="BB88" s="209"/>
      <c r="BC88" s="209"/>
      <c r="BD88" s="209"/>
      <c r="BE88" s="209"/>
      <c r="BF88" s="209"/>
      <c r="BG88" s="209"/>
      <c r="BH88" s="209"/>
      <c r="BI88" s="209"/>
      <c r="BJ88" s="209"/>
      <c r="BK88" s="209"/>
      <c r="BL88" s="209"/>
      <c r="BM88" s="209"/>
      <c r="BN88" s="209"/>
      <c r="BO88" s="209"/>
      <c r="BP88" s="209"/>
      <c r="BQ88" s="209"/>
      <c r="BR88" s="209"/>
      <c r="BS88" s="209"/>
      <c r="BT88" s="209"/>
      <c r="BU88" s="209"/>
      <c r="BV88" s="209"/>
      <c r="BW88" s="209"/>
      <c r="BX88" s="209"/>
      <c r="BY88" s="209"/>
      <c r="BZ88" s="209"/>
      <c r="CA88" s="209"/>
      <c r="CB88" s="209"/>
      <c r="CC88" s="209"/>
      <c r="CD88" s="209"/>
      <c r="CE88" s="209"/>
      <c r="CF88" s="209"/>
      <c r="CG88" s="209"/>
      <c r="CH88" s="209"/>
      <c r="CI88" s="209"/>
      <c r="CJ88" s="209"/>
      <c r="CK88" s="209"/>
      <c r="CL88" s="209"/>
      <c r="CM88" s="209"/>
      <c r="CN88" s="209"/>
      <c r="CO88" s="209"/>
      <c r="CP88" s="209"/>
      <c r="CQ88" s="209"/>
      <c r="CR88" s="209"/>
    </row>
    <row r="89" spans="1:96">
      <c r="A89" s="367" t="s">
        <v>290</v>
      </c>
      <c r="B89" s="40" t="s">
        <v>291</v>
      </c>
      <c r="C89" s="40" t="s">
        <v>30</v>
      </c>
      <c r="D89" s="13" t="s">
        <v>231</v>
      </c>
      <c r="E89" s="40" t="s">
        <v>23</v>
      </c>
      <c r="F89" s="324"/>
      <c r="G89" s="15">
        <v>6.4</v>
      </c>
      <c r="H89" s="39"/>
      <c r="I89" s="209">
        <f t="shared" ref="I89:I90" si="147">AU89-AT89</f>
        <v>6.4600000000000364</v>
      </c>
      <c r="J89" s="209">
        <v>1037.06</v>
      </c>
      <c r="K89" s="209">
        <v>1043.52</v>
      </c>
      <c r="L89" s="209">
        <v>1049.98</v>
      </c>
      <c r="M89" s="209">
        <v>1056.45</v>
      </c>
      <c r="N89" s="209">
        <v>1062.9100000000001</v>
      </c>
      <c r="O89" s="209">
        <v>1069.3800000000001</v>
      </c>
      <c r="P89" s="209">
        <v>1075.8399999999999</v>
      </c>
      <c r="Q89" s="209">
        <v>1082.3</v>
      </c>
      <c r="R89" s="209">
        <v>1088.77</v>
      </c>
      <c r="S89" s="209">
        <v>1095.23</v>
      </c>
      <c r="T89" s="209">
        <v>1101.7</v>
      </c>
      <c r="U89" s="209">
        <v>1108.1600000000001</v>
      </c>
      <c r="V89" s="209">
        <v>1114.6199999999999</v>
      </c>
      <c r="W89" s="209">
        <v>1121.0899999999999</v>
      </c>
      <c r="X89" s="209">
        <v>1127.55</v>
      </c>
      <c r="Y89" s="209">
        <v>1134.02</v>
      </c>
      <c r="Z89" s="209">
        <v>1140.48</v>
      </c>
      <c r="AA89" s="209">
        <v>1146.94</v>
      </c>
      <c r="AB89" s="209">
        <v>1153.4100000000001</v>
      </c>
      <c r="AC89" s="209">
        <v>1159.8699999999999</v>
      </c>
      <c r="AD89" s="209">
        <v>1166.3399999999999</v>
      </c>
      <c r="AE89" s="209">
        <v>1172.8</v>
      </c>
      <c r="AF89" s="209">
        <v>1179.26</v>
      </c>
      <c r="AG89" s="209">
        <v>1185.73</v>
      </c>
      <c r="AH89" s="209">
        <v>1192.19</v>
      </c>
      <c r="AI89" s="209">
        <v>1198.6600000000001</v>
      </c>
      <c r="AJ89" s="209">
        <v>1205.1199999999999</v>
      </c>
      <c r="AK89" s="209">
        <v>1211.58</v>
      </c>
      <c r="AL89" s="209">
        <v>1218.05</v>
      </c>
      <c r="AM89" s="209">
        <v>1224.51</v>
      </c>
      <c r="AN89" s="209">
        <v>1230.98</v>
      </c>
      <c r="AO89" s="209">
        <v>1237.44</v>
      </c>
      <c r="AP89" s="209">
        <v>1243.9000000000001</v>
      </c>
      <c r="AQ89" s="209">
        <v>1250.3699999999999</v>
      </c>
      <c r="AR89" s="209">
        <v>1256.83</v>
      </c>
      <c r="AS89" s="209">
        <v>1263.3</v>
      </c>
      <c r="AT89" s="209">
        <v>1269.76</v>
      </c>
      <c r="AU89" s="209">
        <v>1276.22</v>
      </c>
      <c r="AV89" s="209">
        <v>1282.69</v>
      </c>
      <c r="AW89" s="209">
        <v>1289.1500000000001</v>
      </c>
      <c r="AX89" s="209">
        <v>1295.6199999999999</v>
      </c>
      <c r="AY89" s="209">
        <v>1302.08</v>
      </c>
      <c r="AZ89" s="209">
        <v>1308.54</v>
      </c>
      <c r="BA89" s="209">
        <v>1315.01</v>
      </c>
      <c r="BB89" s="209">
        <v>1321.47</v>
      </c>
      <c r="BC89" s="209">
        <v>1327.94</v>
      </c>
      <c r="BD89" s="209">
        <v>1334.4</v>
      </c>
      <c r="BE89" s="209">
        <v>1340.86</v>
      </c>
      <c r="BF89" s="209">
        <v>1347.33</v>
      </c>
      <c r="BG89" s="209">
        <v>1353.79</v>
      </c>
      <c r="BH89" s="209">
        <v>1360.26</v>
      </c>
      <c r="BI89" s="209">
        <v>1366.72</v>
      </c>
      <c r="BJ89" s="209">
        <v>1373.18</v>
      </c>
      <c r="BK89" s="209">
        <v>1379.65</v>
      </c>
      <c r="BL89" s="209">
        <v>1386.11</v>
      </c>
      <c r="BM89" s="209">
        <v>1392.58</v>
      </c>
      <c r="BN89" s="209">
        <v>1399.04</v>
      </c>
      <c r="BO89" s="209">
        <f t="shared" ref="BO89:CD90" si="148">ROUND(BN89+$I89,2)</f>
        <v>1405.5</v>
      </c>
      <c r="BP89" s="209">
        <f t="shared" si="148"/>
        <v>1411.96</v>
      </c>
      <c r="BQ89" s="209">
        <f t="shared" si="148"/>
        <v>1418.42</v>
      </c>
      <c r="BR89" s="209">
        <f t="shared" si="148"/>
        <v>1424.88</v>
      </c>
      <c r="BS89" s="209">
        <f t="shared" si="148"/>
        <v>1431.34</v>
      </c>
      <c r="BT89" s="209">
        <f t="shared" si="148"/>
        <v>1437.8</v>
      </c>
      <c r="BU89" s="209">
        <f t="shared" si="148"/>
        <v>1444.26</v>
      </c>
      <c r="BV89" s="209">
        <f t="shared" si="148"/>
        <v>1450.72</v>
      </c>
      <c r="BW89" s="209">
        <f t="shared" si="148"/>
        <v>1457.18</v>
      </c>
      <c r="BX89" s="209">
        <f t="shared" si="148"/>
        <v>1463.64</v>
      </c>
      <c r="BY89" s="209">
        <f t="shared" si="148"/>
        <v>1470.1</v>
      </c>
      <c r="BZ89" s="209">
        <f t="shared" si="148"/>
        <v>1476.56</v>
      </c>
      <c r="CA89" s="209">
        <f t="shared" si="148"/>
        <v>1483.02</v>
      </c>
      <c r="CB89" s="209">
        <f t="shared" si="148"/>
        <v>1489.48</v>
      </c>
      <c r="CC89" s="209">
        <f t="shared" si="148"/>
        <v>1495.94</v>
      </c>
      <c r="CD89" s="209">
        <f t="shared" si="148"/>
        <v>1502.4</v>
      </c>
      <c r="CE89" s="209">
        <f t="shared" ref="BP89:CG91" si="149">ROUND(CD89+$I89,2)</f>
        <v>1508.86</v>
      </c>
      <c r="CF89" s="209">
        <f t="shared" si="149"/>
        <v>1515.32</v>
      </c>
      <c r="CG89" s="209">
        <f t="shared" si="149"/>
        <v>1521.78</v>
      </c>
      <c r="CH89" s="209">
        <f t="shared" ref="CH89:CH94" si="150">ROUND(CG89+$I89,2)</f>
        <v>1528.24</v>
      </c>
      <c r="CI89" s="209">
        <f t="shared" ref="CI89:CI94" si="151">ROUND(CH89+$I89,2)</f>
        <v>1534.7</v>
      </c>
      <c r="CJ89" s="209">
        <f t="shared" ref="CJ89:CJ94" si="152">ROUND(CI89+$I89,2)</f>
        <v>1541.16</v>
      </c>
      <c r="CK89" s="209">
        <f t="shared" ref="CK89:CK94" si="153">ROUND(CJ89+$I89,2)</f>
        <v>1547.62</v>
      </c>
      <c r="CL89" s="209">
        <f t="shared" ref="CL89:CL94" si="154">ROUND(CK89+$I89,2)</f>
        <v>1554.08</v>
      </c>
      <c r="CM89" s="209">
        <f t="shared" ref="CM89:CM94" si="155">ROUND(CL89+$I89,2)</f>
        <v>1560.54</v>
      </c>
      <c r="CN89" s="209">
        <f t="shared" ref="CN89:CN94" si="156">ROUND(CM89+$I89,2)</f>
        <v>1567</v>
      </c>
      <c r="CO89" s="209">
        <f t="shared" ref="CO89:CO94" si="157">ROUND(CN89+$I89,2)</f>
        <v>1573.46</v>
      </c>
      <c r="CP89" s="209">
        <f t="shared" ref="CP89:CP94" si="158">ROUND(CO89+$I89,2)</f>
        <v>1579.92</v>
      </c>
      <c r="CQ89" s="209">
        <f t="shared" ref="CQ89:CQ94" si="159">ROUND(CP89+$I89,2)</f>
        <v>1586.38</v>
      </c>
      <c r="CR89" s="209">
        <f t="shared" ref="CR89:CR94" si="160">ROUND(CQ89+$I89,2)</f>
        <v>1592.84</v>
      </c>
    </row>
    <row r="90" spans="1:96">
      <c r="A90" s="56" t="s">
        <v>282</v>
      </c>
      <c r="B90" s="40" t="s">
        <v>29</v>
      </c>
      <c r="C90" s="40" t="s">
        <v>90</v>
      </c>
      <c r="D90" s="13" t="s">
        <v>231</v>
      </c>
      <c r="E90" s="40" t="s">
        <v>23</v>
      </c>
      <c r="F90" s="324"/>
      <c r="G90" s="15">
        <v>6.4</v>
      </c>
      <c r="H90" s="39"/>
      <c r="I90" s="209">
        <f t="shared" si="147"/>
        <v>7.8099999999999454</v>
      </c>
      <c r="J90" s="209">
        <v>1256.96</v>
      </c>
      <c r="K90" s="209">
        <v>1264.77</v>
      </c>
      <c r="L90" s="209">
        <v>1272.58</v>
      </c>
      <c r="M90" s="209">
        <v>1280.3800000000001</v>
      </c>
      <c r="N90" s="209">
        <v>1288.19</v>
      </c>
      <c r="O90" s="209">
        <v>1296</v>
      </c>
      <c r="P90" s="209">
        <v>1303.81</v>
      </c>
      <c r="Q90" s="209">
        <v>1311.62</v>
      </c>
      <c r="R90" s="209">
        <v>1319.42</v>
      </c>
      <c r="S90" s="209">
        <v>1327.23</v>
      </c>
      <c r="T90" s="209">
        <v>1335.04</v>
      </c>
      <c r="U90" s="209">
        <v>1342.85</v>
      </c>
      <c r="V90" s="209">
        <v>1350.66</v>
      </c>
      <c r="W90" s="209">
        <v>1358.46</v>
      </c>
      <c r="X90" s="209">
        <v>1366.27</v>
      </c>
      <c r="Y90" s="209">
        <v>1374.08</v>
      </c>
      <c r="Z90" s="209">
        <v>1381.89</v>
      </c>
      <c r="AA90" s="209">
        <v>1389.7</v>
      </c>
      <c r="AB90" s="209">
        <v>1397.5</v>
      </c>
      <c r="AC90" s="209">
        <v>1405.31</v>
      </c>
      <c r="AD90" s="209">
        <v>1413.12</v>
      </c>
      <c r="AE90" s="209">
        <v>1420.93</v>
      </c>
      <c r="AF90" s="209">
        <v>1428.74</v>
      </c>
      <c r="AG90" s="209">
        <v>1436.54</v>
      </c>
      <c r="AH90" s="209">
        <v>1444.35</v>
      </c>
      <c r="AI90" s="209">
        <v>1452.16</v>
      </c>
      <c r="AJ90" s="209">
        <v>1459.97</v>
      </c>
      <c r="AK90" s="209">
        <v>1467.78</v>
      </c>
      <c r="AL90" s="209">
        <v>1475.58</v>
      </c>
      <c r="AM90" s="209">
        <v>1483.39</v>
      </c>
      <c r="AN90" s="209">
        <v>1491.2</v>
      </c>
      <c r="AO90" s="209">
        <v>1499.01</v>
      </c>
      <c r="AP90" s="209">
        <v>1506.82</v>
      </c>
      <c r="AQ90" s="209">
        <v>1514.62</v>
      </c>
      <c r="AR90" s="209">
        <v>1522.43</v>
      </c>
      <c r="AS90" s="209">
        <v>1530.24</v>
      </c>
      <c r="AT90" s="209">
        <v>1538.05</v>
      </c>
      <c r="AU90" s="209">
        <v>1545.86</v>
      </c>
      <c r="AV90" s="209">
        <v>1553.66</v>
      </c>
      <c r="AW90" s="209">
        <v>1561.47</v>
      </c>
      <c r="AX90" s="209">
        <v>1569.28</v>
      </c>
      <c r="AY90" s="209">
        <v>1577.09</v>
      </c>
      <c r="AZ90" s="209">
        <v>1584.9</v>
      </c>
      <c r="BA90" s="209">
        <v>1592.7</v>
      </c>
      <c r="BB90" s="209">
        <v>1600.51</v>
      </c>
      <c r="BC90" s="209">
        <v>1608.32</v>
      </c>
      <c r="BD90" s="209">
        <v>1616.13</v>
      </c>
      <c r="BE90" s="209">
        <v>1623.94</v>
      </c>
      <c r="BF90" s="209">
        <v>1631.74</v>
      </c>
      <c r="BG90" s="209">
        <v>1639.55</v>
      </c>
      <c r="BH90" s="209">
        <v>1647.36</v>
      </c>
      <c r="BI90" s="209">
        <v>1655.17</v>
      </c>
      <c r="BJ90" s="209">
        <v>1662.98</v>
      </c>
      <c r="BK90" s="209">
        <v>1670.78</v>
      </c>
      <c r="BL90" s="209">
        <v>1678.59</v>
      </c>
      <c r="BM90" s="209">
        <v>1686.4</v>
      </c>
      <c r="BN90" s="209">
        <v>1694.21</v>
      </c>
      <c r="BO90" s="209">
        <f t="shared" si="148"/>
        <v>1702.02</v>
      </c>
      <c r="BP90" s="209">
        <f t="shared" si="149"/>
        <v>1709.83</v>
      </c>
      <c r="BQ90" s="209">
        <f t="shared" si="149"/>
        <v>1717.64</v>
      </c>
      <c r="BR90" s="209">
        <f t="shared" si="149"/>
        <v>1725.45</v>
      </c>
      <c r="BS90" s="209">
        <f t="shared" si="149"/>
        <v>1733.26</v>
      </c>
      <c r="BT90" s="209">
        <f t="shared" si="149"/>
        <v>1741.07</v>
      </c>
      <c r="BU90" s="209">
        <f t="shared" si="149"/>
        <v>1748.88</v>
      </c>
      <c r="BV90" s="209">
        <f t="shared" si="149"/>
        <v>1756.69</v>
      </c>
      <c r="BW90" s="209">
        <f t="shared" si="149"/>
        <v>1764.5</v>
      </c>
      <c r="BX90" s="209">
        <f t="shared" si="149"/>
        <v>1772.31</v>
      </c>
      <c r="BY90" s="209">
        <f t="shared" si="149"/>
        <v>1780.12</v>
      </c>
      <c r="BZ90" s="209">
        <f t="shared" si="149"/>
        <v>1787.93</v>
      </c>
      <c r="CA90" s="209">
        <f t="shared" si="149"/>
        <v>1795.74</v>
      </c>
      <c r="CB90" s="209">
        <f t="shared" si="149"/>
        <v>1803.55</v>
      </c>
      <c r="CC90" s="209">
        <f t="shared" si="149"/>
        <v>1811.36</v>
      </c>
      <c r="CD90" s="209">
        <f t="shared" si="149"/>
        <v>1819.17</v>
      </c>
      <c r="CE90" s="209">
        <f t="shared" si="149"/>
        <v>1826.98</v>
      </c>
      <c r="CF90" s="209">
        <f t="shared" si="149"/>
        <v>1834.79</v>
      </c>
      <c r="CG90" s="209">
        <f t="shared" si="149"/>
        <v>1842.6</v>
      </c>
      <c r="CH90" s="209">
        <f t="shared" si="150"/>
        <v>1850.41</v>
      </c>
      <c r="CI90" s="209">
        <f t="shared" si="151"/>
        <v>1858.22</v>
      </c>
      <c r="CJ90" s="209">
        <f t="shared" si="152"/>
        <v>1866.03</v>
      </c>
      <c r="CK90" s="209">
        <f t="shared" si="153"/>
        <v>1873.84</v>
      </c>
      <c r="CL90" s="209">
        <f t="shared" si="154"/>
        <v>1881.65</v>
      </c>
      <c r="CM90" s="209">
        <f t="shared" si="155"/>
        <v>1889.46</v>
      </c>
      <c r="CN90" s="209">
        <f t="shared" si="156"/>
        <v>1897.27</v>
      </c>
      <c r="CO90" s="209">
        <f t="shared" si="157"/>
        <v>1905.08</v>
      </c>
      <c r="CP90" s="209">
        <f t="shared" si="158"/>
        <v>1912.89</v>
      </c>
      <c r="CQ90" s="209">
        <f t="shared" si="159"/>
        <v>1920.7</v>
      </c>
      <c r="CR90" s="209">
        <f t="shared" si="160"/>
        <v>1928.51</v>
      </c>
    </row>
    <row r="91" spans="1:96" s="128" customFormat="1">
      <c r="A91" s="366" t="s">
        <v>292</v>
      </c>
      <c r="B91" s="330" t="s">
        <v>154</v>
      </c>
      <c r="C91" s="330" t="s">
        <v>100</v>
      </c>
      <c r="D91" s="330" t="s">
        <v>75</v>
      </c>
      <c r="E91" s="330" t="s">
        <v>57</v>
      </c>
      <c r="F91" s="325" t="s">
        <v>293</v>
      </c>
      <c r="G91" s="211">
        <v>7.25</v>
      </c>
      <c r="H91" s="39">
        <v>18.5</v>
      </c>
      <c r="I91" s="209">
        <v>13.92</v>
      </c>
      <c r="J91" s="209">
        <f t="shared" ref="J91:AI91" si="161">ROUND(K91-$I91,2)</f>
        <v>5893.38</v>
      </c>
      <c r="K91" s="209">
        <f t="shared" si="161"/>
        <v>5907.3</v>
      </c>
      <c r="L91" s="209">
        <f t="shared" si="161"/>
        <v>5921.22</v>
      </c>
      <c r="M91" s="209">
        <f t="shared" si="161"/>
        <v>5935.14</v>
      </c>
      <c r="N91" s="209">
        <f t="shared" si="161"/>
        <v>5949.06</v>
      </c>
      <c r="O91" s="209">
        <f t="shared" si="161"/>
        <v>5962.98</v>
      </c>
      <c r="P91" s="209">
        <f t="shared" si="161"/>
        <v>5976.9</v>
      </c>
      <c r="Q91" s="209">
        <f t="shared" si="161"/>
        <v>5990.82</v>
      </c>
      <c r="R91" s="209">
        <f t="shared" si="161"/>
        <v>6004.74</v>
      </c>
      <c r="S91" s="209">
        <f t="shared" si="161"/>
        <v>6018.66</v>
      </c>
      <c r="T91" s="209">
        <f t="shared" si="161"/>
        <v>6032.58</v>
      </c>
      <c r="U91" s="209">
        <f t="shared" si="161"/>
        <v>6046.5</v>
      </c>
      <c r="V91" s="209">
        <f t="shared" si="161"/>
        <v>6060.42</v>
      </c>
      <c r="W91" s="209">
        <f t="shared" si="161"/>
        <v>6074.34</v>
      </c>
      <c r="X91" s="209">
        <f t="shared" si="161"/>
        <v>6088.26</v>
      </c>
      <c r="Y91" s="209">
        <f t="shared" si="161"/>
        <v>6102.18</v>
      </c>
      <c r="Z91" s="209">
        <f t="shared" si="161"/>
        <v>6116.1</v>
      </c>
      <c r="AA91" s="209">
        <f t="shared" si="161"/>
        <v>6130.02</v>
      </c>
      <c r="AB91" s="209">
        <f t="shared" si="161"/>
        <v>6143.94</v>
      </c>
      <c r="AC91" s="209">
        <f t="shared" si="161"/>
        <v>6157.86</v>
      </c>
      <c r="AD91" s="209">
        <f t="shared" si="161"/>
        <v>6171.78</v>
      </c>
      <c r="AE91" s="209">
        <f t="shared" si="161"/>
        <v>6185.7</v>
      </c>
      <c r="AF91" s="209">
        <f t="shared" si="161"/>
        <v>6199.62</v>
      </c>
      <c r="AG91" s="209">
        <f t="shared" si="161"/>
        <v>6213.54</v>
      </c>
      <c r="AH91" s="209">
        <f t="shared" si="161"/>
        <v>6227.46</v>
      </c>
      <c r="AI91" s="209">
        <f t="shared" si="161"/>
        <v>6241.38</v>
      </c>
      <c r="AJ91" s="209">
        <f t="shared" ref="AJ91:BQ94" si="162">ROUND(AK91-$I91,2)</f>
        <v>6255.3</v>
      </c>
      <c r="AK91" s="209">
        <f t="shared" si="162"/>
        <v>6269.22</v>
      </c>
      <c r="AL91" s="209">
        <f t="shared" si="162"/>
        <v>6283.14</v>
      </c>
      <c r="AM91" s="209">
        <f t="shared" si="162"/>
        <v>6297.06</v>
      </c>
      <c r="AN91" s="209">
        <f t="shared" si="162"/>
        <v>6310.98</v>
      </c>
      <c r="AO91" s="209">
        <f t="shared" si="162"/>
        <v>6324.9</v>
      </c>
      <c r="AP91" s="209">
        <f t="shared" si="162"/>
        <v>6338.82</v>
      </c>
      <c r="AQ91" s="209">
        <f t="shared" si="162"/>
        <v>6352.74</v>
      </c>
      <c r="AR91" s="209">
        <f t="shared" si="162"/>
        <v>6366.66</v>
      </c>
      <c r="AS91" s="209">
        <f t="shared" si="162"/>
        <v>6380.58</v>
      </c>
      <c r="AT91" s="209">
        <f t="shared" si="162"/>
        <v>6394.5</v>
      </c>
      <c r="AU91" s="209">
        <f t="shared" si="162"/>
        <v>6408.42</v>
      </c>
      <c r="AV91" s="209">
        <f t="shared" si="162"/>
        <v>6422.34</v>
      </c>
      <c r="AW91" s="209">
        <f t="shared" si="162"/>
        <v>6436.26</v>
      </c>
      <c r="AX91" s="209">
        <f t="shared" si="162"/>
        <v>6450.18</v>
      </c>
      <c r="AY91" s="209">
        <f t="shared" si="162"/>
        <v>6464.1</v>
      </c>
      <c r="AZ91" s="209">
        <f t="shared" si="162"/>
        <v>6478.02</v>
      </c>
      <c r="BA91" s="209">
        <f t="shared" si="162"/>
        <v>6491.94</v>
      </c>
      <c r="BB91" s="209">
        <f t="shared" si="162"/>
        <v>6505.86</v>
      </c>
      <c r="BC91" s="209">
        <f t="shared" si="162"/>
        <v>6519.78</v>
      </c>
      <c r="BD91" s="209">
        <f t="shared" si="162"/>
        <v>6533.7</v>
      </c>
      <c r="BE91" s="209">
        <f t="shared" si="162"/>
        <v>6547.62</v>
      </c>
      <c r="BF91" s="209">
        <f t="shared" si="162"/>
        <v>6561.54</v>
      </c>
      <c r="BG91" s="209">
        <f t="shared" si="162"/>
        <v>6575.46</v>
      </c>
      <c r="BH91" s="209">
        <f t="shared" si="162"/>
        <v>6589.38</v>
      </c>
      <c r="BI91" s="209">
        <f t="shared" si="162"/>
        <v>6603.3</v>
      </c>
      <c r="BJ91" s="209">
        <f t="shared" si="162"/>
        <v>6617.22</v>
      </c>
      <c r="BK91" s="209">
        <f t="shared" si="162"/>
        <v>6631.14</v>
      </c>
      <c r="BL91" s="209">
        <f t="shared" si="162"/>
        <v>6645.06</v>
      </c>
      <c r="BM91" s="209">
        <f t="shared" si="162"/>
        <v>6658.98</v>
      </c>
      <c r="BN91" s="209">
        <f t="shared" si="162"/>
        <v>6672.9</v>
      </c>
      <c r="BO91" s="209">
        <f t="shared" si="162"/>
        <v>6686.82</v>
      </c>
      <c r="BP91" s="209">
        <f t="shared" si="162"/>
        <v>6700.74</v>
      </c>
      <c r="BQ91" s="209">
        <f t="shared" si="162"/>
        <v>6714.66</v>
      </c>
      <c r="BR91" s="209">
        <f>ROUND(BS91-$I91,2)</f>
        <v>6728.58</v>
      </c>
      <c r="BS91" s="209">
        <v>6742.5</v>
      </c>
      <c r="BT91" s="209">
        <f t="shared" si="149"/>
        <v>6756.42</v>
      </c>
      <c r="BU91" s="209">
        <f t="shared" ref="BU91:CF91" si="163">ROUND(BT91+$I91,2)</f>
        <v>6770.34</v>
      </c>
      <c r="BV91" s="209">
        <f t="shared" si="163"/>
        <v>6784.26</v>
      </c>
      <c r="BW91" s="209">
        <f t="shared" si="163"/>
        <v>6798.18</v>
      </c>
      <c r="BX91" s="209">
        <f t="shared" si="163"/>
        <v>6812.1</v>
      </c>
      <c r="BY91" s="209">
        <f t="shared" si="163"/>
        <v>6826.02</v>
      </c>
      <c r="BZ91" s="209">
        <f t="shared" si="163"/>
        <v>6839.94</v>
      </c>
      <c r="CA91" s="209">
        <f t="shared" si="163"/>
        <v>6853.86</v>
      </c>
      <c r="CB91" s="209">
        <f t="shared" si="163"/>
        <v>6867.78</v>
      </c>
      <c r="CC91" s="209">
        <f t="shared" si="163"/>
        <v>6881.7</v>
      </c>
      <c r="CD91" s="209">
        <f t="shared" si="163"/>
        <v>6895.62</v>
      </c>
      <c r="CE91" s="209">
        <f t="shared" si="163"/>
        <v>6909.54</v>
      </c>
      <c r="CF91" s="209">
        <f t="shared" si="163"/>
        <v>6923.46</v>
      </c>
      <c r="CG91" s="209">
        <f t="shared" ref="CG91" si="164">ROUND(CF91+$I91,2)</f>
        <v>6937.38</v>
      </c>
      <c r="CH91" s="209">
        <f t="shared" si="150"/>
        <v>6951.3</v>
      </c>
      <c r="CI91" s="209">
        <f t="shared" si="151"/>
        <v>6965.22</v>
      </c>
      <c r="CJ91" s="209">
        <f t="shared" si="152"/>
        <v>6979.14</v>
      </c>
      <c r="CK91" s="209">
        <f t="shared" si="153"/>
        <v>6993.06</v>
      </c>
      <c r="CL91" s="209">
        <f t="shared" si="154"/>
        <v>7006.98</v>
      </c>
      <c r="CM91" s="209">
        <f t="shared" si="155"/>
        <v>7020.9</v>
      </c>
      <c r="CN91" s="209">
        <f t="shared" si="156"/>
        <v>7034.82</v>
      </c>
      <c r="CO91" s="209">
        <f t="shared" si="157"/>
        <v>7048.74</v>
      </c>
      <c r="CP91" s="209">
        <f t="shared" si="158"/>
        <v>7062.66</v>
      </c>
      <c r="CQ91" s="209">
        <f t="shared" si="159"/>
        <v>7076.58</v>
      </c>
      <c r="CR91" s="209">
        <f t="shared" si="160"/>
        <v>7090.5</v>
      </c>
    </row>
    <row r="92" spans="1:96" s="128" customFormat="1">
      <c r="A92" s="56" t="s">
        <v>294</v>
      </c>
      <c r="B92" s="40" t="s">
        <v>154</v>
      </c>
      <c r="C92" s="40" t="s">
        <v>100</v>
      </c>
      <c r="D92" s="40" t="s">
        <v>75</v>
      </c>
      <c r="E92" s="40" t="s">
        <v>57</v>
      </c>
      <c r="F92" s="324"/>
      <c r="G92" s="15">
        <v>7.25</v>
      </c>
      <c r="H92" s="39"/>
      <c r="I92" s="209">
        <v>12.91</v>
      </c>
      <c r="J92" s="209">
        <f t="shared" ref="J92:AI92" si="165">ROUND(K92-$I92,2)</f>
        <v>5809.99</v>
      </c>
      <c r="K92" s="209">
        <f t="shared" si="165"/>
        <v>5822.9</v>
      </c>
      <c r="L92" s="209">
        <f t="shared" si="165"/>
        <v>5835.81</v>
      </c>
      <c r="M92" s="209">
        <f t="shared" si="165"/>
        <v>5848.72</v>
      </c>
      <c r="N92" s="209">
        <f t="shared" si="165"/>
        <v>5861.63</v>
      </c>
      <c r="O92" s="209">
        <f t="shared" si="165"/>
        <v>5874.54</v>
      </c>
      <c r="P92" s="209">
        <f t="shared" si="165"/>
        <v>5887.45</v>
      </c>
      <c r="Q92" s="209">
        <f t="shared" si="165"/>
        <v>5900.36</v>
      </c>
      <c r="R92" s="209">
        <f t="shared" si="165"/>
        <v>5913.27</v>
      </c>
      <c r="S92" s="209">
        <f t="shared" si="165"/>
        <v>5926.18</v>
      </c>
      <c r="T92" s="209">
        <f t="shared" si="165"/>
        <v>5939.09</v>
      </c>
      <c r="U92" s="209">
        <f t="shared" si="165"/>
        <v>5952</v>
      </c>
      <c r="V92" s="209">
        <f t="shared" si="165"/>
        <v>5964.91</v>
      </c>
      <c r="W92" s="209">
        <f t="shared" si="165"/>
        <v>5977.82</v>
      </c>
      <c r="X92" s="209">
        <f t="shared" si="165"/>
        <v>5990.73</v>
      </c>
      <c r="Y92" s="209">
        <f t="shared" si="165"/>
        <v>6003.64</v>
      </c>
      <c r="Z92" s="209">
        <f t="shared" si="165"/>
        <v>6016.55</v>
      </c>
      <c r="AA92" s="209">
        <f t="shared" si="165"/>
        <v>6029.46</v>
      </c>
      <c r="AB92" s="209">
        <f t="shared" si="165"/>
        <v>6042.37</v>
      </c>
      <c r="AC92" s="209">
        <f t="shared" si="165"/>
        <v>6055.28</v>
      </c>
      <c r="AD92" s="209">
        <f t="shared" si="165"/>
        <v>6068.19</v>
      </c>
      <c r="AE92" s="209">
        <f t="shared" si="165"/>
        <v>6081.1</v>
      </c>
      <c r="AF92" s="209">
        <f t="shared" si="165"/>
        <v>6094.01</v>
      </c>
      <c r="AG92" s="209">
        <f t="shared" si="165"/>
        <v>6106.92</v>
      </c>
      <c r="AH92" s="209">
        <f t="shared" si="165"/>
        <v>6119.83</v>
      </c>
      <c r="AI92" s="209">
        <f t="shared" si="165"/>
        <v>6132.74</v>
      </c>
      <c r="AJ92" s="209">
        <f t="shared" si="162"/>
        <v>6145.65</v>
      </c>
      <c r="AK92" s="209">
        <f t="shared" si="162"/>
        <v>6158.56</v>
      </c>
      <c r="AL92" s="209">
        <f t="shared" si="162"/>
        <v>6171.47</v>
      </c>
      <c r="AM92" s="209">
        <f t="shared" si="162"/>
        <v>6184.38</v>
      </c>
      <c r="AN92" s="209">
        <f t="shared" si="162"/>
        <v>6197.29</v>
      </c>
      <c r="AO92" s="209">
        <f t="shared" si="162"/>
        <v>6210.2</v>
      </c>
      <c r="AP92" s="209">
        <f t="shared" si="162"/>
        <v>6223.11</v>
      </c>
      <c r="AQ92" s="209">
        <f t="shared" si="162"/>
        <v>6236.02</v>
      </c>
      <c r="AR92" s="209">
        <f t="shared" si="162"/>
        <v>6248.93</v>
      </c>
      <c r="AS92" s="209">
        <f t="shared" si="162"/>
        <v>6261.84</v>
      </c>
      <c r="AT92" s="209">
        <f t="shared" si="162"/>
        <v>6274.75</v>
      </c>
      <c r="AU92" s="209">
        <f t="shared" si="162"/>
        <v>6287.66</v>
      </c>
      <c r="AV92" s="209">
        <f t="shared" si="162"/>
        <v>6300.57</v>
      </c>
      <c r="AW92" s="209">
        <f t="shared" si="162"/>
        <v>6313.48</v>
      </c>
      <c r="AX92" s="209">
        <f t="shared" si="162"/>
        <v>6326.39</v>
      </c>
      <c r="AY92" s="209">
        <f t="shared" si="162"/>
        <v>6339.3</v>
      </c>
      <c r="AZ92" s="209">
        <f t="shared" si="162"/>
        <v>6352.21</v>
      </c>
      <c r="BA92" s="209">
        <f t="shared" si="162"/>
        <v>6365.12</v>
      </c>
      <c r="BB92" s="209">
        <f t="shared" si="162"/>
        <v>6378.03</v>
      </c>
      <c r="BC92" s="209">
        <f t="shared" si="162"/>
        <v>6390.94</v>
      </c>
      <c r="BD92" s="209">
        <f t="shared" si="162"/>
        <v>6403.85</v>
      </c>
      <c r="BE92" s="209">
        <f t="shared" si="162"/>
        <v>6416.76</v>
      </c>
      <c r="BF92" s="209">
        <f t="shared" si="162"/>
        <v>6429.67</v>
      </c>
      <c r="BG92" s="209">
        <f t="shared" si="162"/>
        <v>6442.58</v>
      </c>
      <c r="BH92" s="209">
        <f t="shared" si="162"/>
        <v>6455.49</v>
      </c>
      <c r="BI92" s="209">
        <f t="shared" si="162"/>
        <v>6468.4</v>
      </c>
      <c r="BJ92" s="209">
        <f t="shared" si="162"/>
        <v>6481.31</v>
      </c>
      <c r="BK92" s="209">
        <f t="shared" si="162"/>
        <v>6494.22</v>
      </c>
      <c r="BL92" s="209">
        <f t="shared" si="162"/>
        <v>6507.13</v>
      </c>
      <c r="BM92" s="209">
        <f t="shared" si="162"/>
        <v>6520.04</v>
      </c>
      <c r="BN92" s="209">
        <f t="shared" si="162"/>
        <v>6532.95</v>
      </c>
      <c r="BO92" s="209">
        <f t="shared" si="162"/>
        <v>6545.86</v>
      </c>
      <c r="BP92" s="209">
        <f t="shared" si="162"/>
        <v>6558.77</v>
      </c>
      <c r="BQ92" s="209">
        <f t="shared" si="162"/>
        <v>6571.68</v>
      </c>
      <c r="BR92" s="209">
        <f t="shared" ref="BR92:BR94" si="166">ROUND(BS92-$I92,2)</f>
        <v>6584.59</v>
      </c>
      <c r="BS92" s="209">
        <v>6597.5</v>
      </c>
      <c r="BT92" s="209">
        <f t="shared" ref="BT92:CF92" si="167">ROUND(BS92+$I92,2)</f>
        <v>6610.41</v>
      </c>
      <c r="BU92" s="209">
        <f t="shared" si="167"/>
        <v>6623.32</v>
      </c>
      <c r="BV92" s="209">
        <f t="shared" si="167"/>
        <v>6636.23</v>
      </c>
      <c r="BW92" s="209">
        <f t="shared" si="167"/>
        <v>6649.14</v>
      </c>
      <c r="BX92" s="209">
        <f t="shared" si="167"/>
        <v>6662.05</v>
      </c>
      <c r="BY92" s="209">
        <f t="shared" si="167"/>
        <v>6674.96</v>
      </c>
      <c r="BZ92" s="209">
        <f t="shared" si="167"/>
        <v>6687.87</v>
      </c>
      <c r="CA92" s="209">
        <f t="shared" si="167"/>
        <v>6700.78</v>
      </c>
      <c r="CB92" s="209">
        <f t="shared" si="167"/>
        <v>6713.69</v>
      </c>
      <c r="CC92" s="209">
        <f t="shared" si="167"/>
        <v>6726.6</v>
      </c>
      <c r="CD92" s="209">
        <f t="shared" si="167"/>
        <v>6739.51</v>
      </c>
      <c r="CE92" s="209">
        <f t="shared" si="167"/>
        <v>6752.42</v>
      </c>
      <c r="CF92" s="209">
        <f t="shared" si="167"/>
        <v>6765.33</v>
      </c>
      <c r="CG92" s="209">
        <f t="shared" ref="CG92" si="168">ROUND(CF92+$I92,2)</f>
        <v>6778.24</v>
      </c>
      <c r="CH92" s="209">
        <f t="shared" si="150"/>
        <v>6791.15</v>
      </c>
      <c r="CI92" s="209">
        <f t="shared" si="151"/>
        <v>6804.06</v>
      </c>
      <c r="CJ92" s="209">
        <f t="shared" si="152"/>
        <v>6816.97</v>
      </c>
      <c r="CK92" s="209">
        <f t="shared" si="153"/>
        <v>6829.88</v>
      </c>
      <c r="CL92" s="209">
        <f t="shared" si="154"/>
        <v>6842.79</v>
      </c>
      <c r="CM92" s="209">
        <f t="shared" si="155"/>
        <v>6855.7</v>
      </c>
      <c r="CN92" s="209">
        <f t="shared" si="156"/>
        <v>6868.61</v>
      </c>
      <c r="CO92" s="209">
        <f t="shared" si="157"/>
        <v>6881.52</v>
      </c>
      <c r="CP92" s="209">
        <f t="shared" si="158"/>
        <v>6894.43</v>
      </c>
      <c r="CQ92" s="209">
        <f t="shared" si="159"/>
        <v>6907.34</v>
      </c>
      <c r="CR92" s="209">
        <f t="shared" si="160"/>
        <v>6920.25</v>
      </c>
    </row>
    <row r="93" spans="1:96" s="128" customFormat="1">
      <c r="A93" s="56" t="s">
        <v>295</v>
      </c>
      <c r="B93" s="40" t="s">
        <v>154</v>
      </c>
      <c r="C93" s="40" t="s">
        <v>100</v>
      </c>
      <c r="D93" s="40" t="s">
        <v>75</v>
      </c>
      <c r="E93" s="40" t="s">
        <v>57</v>
      </c>
      <c r="F93" s="324"/>
      <c r="G93" s="15">
        <v>7.25</v>
      </c>
      <c r="H93" s="39"/>
      <c r="I93" s="209">
        <v>13.92</v>
      </c>
      <c r="J93" s="209">
        <f t="shared" ref="J93:AI93" si="169">ROUND(K93-$I93,2)</f>
        <v>5313.38</v>
      </c>
      <c r="K93" s="209">
        <f t="shared" si="169"/>
        <v>5327.3</v>
      </c>
      <c r="L93" s="209">
        <f t="shared" si="169"/>
        <v>5341.22</v>
      </c>
      <c r="M93" s="209">
        <f t="shared" si="169"/>
        <v>5355.14</v>
      </c>
      <c r="N93" s="209">
        <f t="shared" si="169"/>
        <v>5369.06</v>
      </c>
      <c r="O93" s="209">
        <f t="shared" si="169"/>
        <v>5382.98</v>
      </c>
      <c r="P93" s="209">
        <f t="shared" si="169"/>
        <v>5396.9</v>
      </c>
      <c r="Q93" s="209">
        <f t="shared" si="169"/>
        <v>5410.82</v>
      </c>
      <c r="R93" s="209">
        <f t="shared" si="169"/>
        <v>5424.74</v>
      </c>
      <c r="S93" s="209">
        <f t="shared" si="169"/>
        <v>5438.66</v>
      </c>
      <c r="T93" s="209">
        <f t="shared" si="169"/>
        <v>5452.58</v>
      </c>
      <c r="U93" s="209">
        <f t="shared" si="169"/>
        <v>5466.5</v>
      </c>
      <c r="V93" s="209">
        <f t="shared" si="169"/>
        <v>5480.42</v>
      </c>
      <c r="W93" s="209">
        <f t="shared" si="169"/>
        <v>5494.34</v>
      </c>
      <c r="X93" s="209">
        <f t="shared" si="169"/>
        <v>5508.26</v>
      </c>
      <c r="Y93" s="209">
        <f t="shared" si="169"/>
        <v>5522.18</v>
      </c>
      <c r="Z93" s="209">
        <f t="shared" si="169"/>
        <v>5536.1</v>
      </c>
      <c r="AA93" s="209">
        <f t="shared" si="169"/>
        <v>5550.02</v>
      </c>
      <c r="AB93" s="209">
        <f t="shared" si="169"/>
        <v>5563.94</v>
      </c>
      <c r="AC93" s="209">
        <f t="shared" si="169"/>
        <v>5577.86</v>
      </c>
      <c r="AD93" s="209">
        <f t="shared" si="169"/>
        <v>5591.78</v>
      </c>
      <c r="AE93" s="209">
        <f t="shared" si="169"/>
        <v>5605.7</v>
      </c>
      <c r="AF93" s="209">
        <f t="shared" si="169"/>
        <v>5619.62</v>
      </c>
      <c r="AG93" s="209">
        <f t="shared" si="169"/>
        <v>5633.54</v>
      </c>
      <c r="AH93" s="209">
        <f t="shared" si="169"/>
        <v>5647.46</v>
      </c>
      <c r="AI93" s="209">
        <f t="shared" si="169"/>
        <v>5661.38</v>
      </c>
      <c r="AJ93" s="209">
        <f t="shared" si="162"/>
        <v>5675.3</v>
      </c>
      <c r="AK93" s="209">
        <f t="shared" si="162"/>
        <v>5689.22</v>
      </c>
      <c r="AL93" s="209">
        <f t="shared" si="162"/>
        <v>5703.14</v>
      </c>
      <c r="AM93" s="209">
        <f t="shared" si="162"/>
        <v>5717.06</v>
      </c>
      <c r="AN93" s="209">
        <f t="shared" si="162"/>
        <v>5730.98</v>
      </c>
      <c r="AO93" s="209">
        <f t="shared" si="162"/>
        <v>5744.9</v>
      </c>
      <c r="AP93" s="209">
        <f t="shared" si="162"/>
        <v>5758.82</v>
      </c>
      <c r="AQ93" s="209">
        <f t="shared" si="162"/>
        <v>5772.74</v>
      </c>
      <c r="AR93" s="209">
        <f t="shared" si="162"/>
        <v>5786.66</v>
      </c>
      <c r="AS93" s="209">
        <f t="shared" si="162"/>
        <v>5800.58</v>
      </c>
      <c r="AT93" s="209">
        <f t="shared" si="162"/>
        <v>5814.5</v>
      </c>
      <c r="AU93" s="209">
        <f t="shared" si="162"/>
        <v>5828.42</v>
      </c>
      <c r="AV93" s="209">
        <f t="shared" si="162"/>
        <v>5842.34</v>
      </c>
      <c r="AW93" s="209">
        <f t="shared" si="162"/>
        <v>5856.26</v>
      </c>
      <c r="AX93" s="209">
        <f t="shared" si="162"/>
        <v>5870.18</v>
      </c>
      <c r="AY93" s="209">
        <f t="shared" si="162"/>
        <v>5884.1</v>
      </c>
      <c r="AZ93" s="209">
        <f t="shared" si="162"/>
        <v>5898.02</v>
      </c>
      <c r="BA93" s="209">
        <f t="shared" si="162"/>
        <v>5911.94</v>
      </c>
      <c r="BB93" s="209">
        <f t="shared" si="162"/>
        <v>5925.86</v>
      </c>
      <c r="BC93" s="209">
        <f t="shared" si="162"/>
        <v>5939.78</v>
      </c>
      <c r="BD93" s="209">
        <f t="shared" si="162"/>
        <v>5953.7</v>
      </c>
      <c r="BE93" s="209">
        <f t="shared" si="162"/>
        <v>5967.62</v>
      </c>
      <c r="BF93" s="209">
        <f t="shared" si="162"/>
        <v>5981.54</v>
      </c>
      <c r="BG93" s="209">
        <f t="shared" si="162"/>
        <v>5995.46</v>
      </c>
      <c r="BH93" s="209">
        <f t="shared" si="162"/>
        <v>6009.38</v>
      </c>
      <c r="BI93" s="209">
        <f t="shared" si="162"/>
        <v>6023.3</v>
      </c>
      <c r="BJ93" s="209">
        <f t="shared" si="162"/>
        <v>6037.22</v>
      </c>
      <c r="BK93" s="209">
        <f t="shared" si="162"/>
        <v>6051.14</v>
      </c>
      <c r="BL93" s="209">
        <f t="shared" si="162"/>
        <v>6065.06</v>
      </c>
      <c r="BM93" s="209">
        <f t="shared" si="162"/>
        <v>6078.98</v>
      </c>
      <c r="BN93" s="209">
        <f t="shared" si="162"/>
        <v>6092.9</v>
      </c>
      <c r="BO93" s="209">
        <f t="shared" si="162"/>
        <v>6106.82</v>
      </c>
      <c r="BP93" s="209">
        <f t="shared" si="162"/>
        <v>6120.74</v>
      </c>
      <c r="BQ93" s="209">
        <f t="shared" si="162"/>
        <v>6134.66</v>
      </c>
      <c r="BR93" s="209">
        <f t="shared" si="166"/>
        <v>6148.58</v>
      </c>
      <c r="BS93" s="209">
        <v>6162.5</v>
      </c>
      <c r="BT93" s="209">
        <f t="shared" ref="BT93:CF93" si="170">ROUND(BS93+$I93,2)</f>
        <v>6176.42</v>
      </c>
      <c r="BU93" s="209">
        <f t="shared" si="170"/>
        <v>6190.34</v>
      </c>
      <c r="BV93" s="209">
        <f t="shared" si="170"/>
        <v>6204.26</v>
      </c>
      <c r="BW93" s="209">
        <f t="shared" si="170"/>
        <v>6218.18</v>
      </c>
      <c r="BX93" s="209">
        <f t="shared" si="170"/>
        <v>6232.1</v>
      </c>
      <c r="BY93" s="209">
        <f t="shared" si="170"/>
        <v>6246.02</v>
      </c>
      <c r="BZ93" s="209">
        <f t="shared" si="170"/>
        <v>6259.94</v>
      </c>
      <c r="CA93" s="209">
        <f t="shared" si="170"/>
        <v>6273.86</v>
      </c>
      <c r="CB93" s="209">
        <f t="shared" si="170"/>
        <v>6287.78</v>
      </c>
      <c r="CC93" s="209">
        <f t="shared" si="170"/>
        <v>6301.7</v>
      </c>
      <c r="CD93" s="209">
        <f t="shared" si="170"/>
        <v>6315.62</v>
      </c>
      <c r="CE93" s="209">
        <f t="shared" si="170"/>
        <v>6329.54</v>
      </c>
      <c r="CF93" s="209">
        <f t="shared" si="170"/>
        <v>6343.46</v>
      </c>
      <c r="CG93" s="209">
        <f t="shared" ref="CG93" si="171">ROUND(CF93+$I93,2)</f>
        <v>6357.38</v>
      </c>
      <c r="CH93" s="209">
        <f t="shared" si="150"/>
        <v>6371.3</v>
      </c>
      <c r="CI93" s="209">
        <f t="shared" si="151"/>
        <v>6385.22</v>
      </c>
      <c r="CJ93" s="209">
        <f t="shared" si="152"/>
        <v>6399.14</v>
      </c>
      <c r="CK93" s="209">
        <f t="shared" si="153"/>
        <v>6413.06</v>
      </c>
      <c r="CL93" s="209">
        <f t="shared" si="154"/>
        <v>6426.98</v>
      </c>
      <c r="CM93" s="209">
        <f t="shared" si="155"/>
        <v>6440.9</v>
      </c>
      <c r="CN93" s="209">
        <f t="shared" si="156"/>
        <v>6454.82</v>
      </c>
      <c r="CO93" s="209">
        <f t="shared" si="157"/>
        <v>6468.74</v>
      </c>
      <c r="CP93" s="209">
        <f t="shared" si="158"/>
        <v>6482.66</v>
      </c>
      <c r="CQ93" s="209">
        <f t="shared" si="159"/>
        <v>6496.58</v>
      </c>
      <c r="CR93" s="209">
        <f t="shared" si="160"/>
        <v>6510.5</v>
      </c>
    </row>
    <row r="94" spans="1:96" s="128" customFormat="1">
      <c r="A94" s="56" t="s">
        <v>296</v>
      </c>
      <c r="B94" s="40" t="s">
        <v>154</v>
      </c>
      <c r="C94" s="40" t="s">
        <v>100</v>
      </c>
      <c r="D94" s="40" t="s">
        <v>75</v>
      </c>
      <c r="E94" s="40" t="s">
        <v>57</v>
      </c>
      <c r="F94" s="324"/>
      <c r="G94" s="15">
        <v>7.25</v>
      </c>
      <c r="H94" s="39"/>
      <c r="I94" s="209">
        <v>12.91</v>
      </c>
      <c r="J94" s="209">
        <f t="shared" ref="J94:AI94" si="172">ROUND(K94-$I94,2)</f>
        <v>5229.99</v>
      </c>
      <c r="K94" s="209">
        <f t="shared" si="172"/>
        <v>5242.9</v>
      </c>
      <c r="L94" s="209">
        <f t="shared" si="172"/>
        <v>5255.81</v>
      </c>
      <c r="M94" s="209">
        <f t="shared" si="172"/>
        <v>5268.72</v>
      </c>
      <c r="N94" s="209">
        <f t="shared" si="172"/>
        <v>5281.63</v>
      </c>
      <c r="O94" s="209">
        <f t="shared" si="172"/>
        <v>5294.54</v>
      </c>
      <c r="P94" s="209">
        <f t="shared" si="172"/>
        <v>5307.45</v>
      </c>
      <c r="Q94" s="209">
        <f t="shared" si="172"/>
        <v>5320.36</v>
      </c>
      <c r="R94" s="209">
        <f t="shared" si="172"/>
        <v>5333.27</v>
      </c>
      <c r="S94" s="209">
        <f t="shared" si="172"/>
        <v>5346.18</v>
      </c>
      <c r="T94" s="209">
        <f t="shared" si="172"/>
        <v>5359.09</v>
      </c>
      <c r="U94" s="209">
        <f t="shared" si="172"/>
        <v>5372</v>
      </c>
      <c r="V94" s="209">
        <f t="shared" si="172"/>
        <v>5384.91</v>
      </c>
      <c r="W94" s="209">
        <f t="shared" si="172"/>
        <v>5397.82</v>
      </c>
      <c r="X94" s="209">
        <f t="shared" si="172"/>
        <v>5410.73</v>
      </c>
      <c r="Y94" s="209">
        <f t="shared" si="172"/>
        <v>5423.64</v>
      </c>
      <c r="Z94" s="209">
        <f t="shared" si="172"/>
        <v>5436.55</v>
      </c>
      <c r="AA94" s="209">
        <f t="shared" si="172"/>
        <v>5449.46</v>
      </c>
      <c r="AB94" s="209">
        <f t="shared" si="172"/>
        <v>5462.37</v>
      </c>
      <c r="AC94" s="209">
        <f t="shared" si="172"/>
        <v>5475.28</v>
      </c>
      <c r="AD94" s="209">
        <f t="shared" si="172"/>
        <v>5488.19</v>
      </c>
      <c r="AE94" s="209">
        <f t="shared" si="172"/>
        <v>5501.1</v>
      </c>
      <c r="AF94" s="209">
        <f t="shared" si="172"/>
        <v>5514.01</v>
      </c>
      <c r="AG94" s="209">
        <f t="shared" si="172"/>
        <v>5526.92</v>
      </c>
      <c r="AH94" s="209">
        <f t="shared" si="172"/>
        <v>5539.83</v>
      </c>
      <c r="AI94" s="209">
        <f t="shared" si="172"/>
        <v>5552.74</v>
      </c>
      <c r="AJ94" s="209">
        <f t="shared" si="162"/>
        <v>5565.65</v>
      </c>
      <c r="AK94" s="209">
        <f t="shared" si="162"/>
        <v>5578.56</v>
      </c>
      <c r="AL94" s="209">
        <f t="shared" si="162"/>
        <v>5591.47</v>
      </c>
      <c r="AM94" s="209">
        <f t="shared" si="162"/>
        <v>5604.38</v>
      </c>
      <c r="AN94" s="209">
        <f t="shared" si="162"/>
        <v>5617.29</v>
      </c>
      <c r="AO94" s="209">
        <f t="shared" si="162"/>
        <v>5630.2</v>
      </c>
      <c r="AP94" s="209">
        <f t="shared" si="162"/>
        <v>5643.11</v>
      </c>
      <c r="AQ94" s="209">
        <f t="shared" si="162"/>
        <v>5656.02</v>
      </c>
      <c r="AR94" s="209">
        <f t="shared" si="162"/>
        <v>5668.93</v>
      </c>
      <c r="AS94" s="209">
        <f t="shared" si="162"/>
        <v>5681.84</v>
      </c>
      <c r="AT94" s="209">
        <f t="shared" si="162"/>
        <v>5694.75</v>
      </c>
      <c r="AU94" s="209">
        <f t="shared" si="162"/>
        <v>5707.66</v>
      </c>
      <c r="AV94" s="209">
        <f t="shared" si="162"/>
        <v>5720.57</v>
      </c>
      <c r="AW94" s="209">
        <f t="shared" si="162"/>
        <v>5733.48</v>
      </c>
      <c r="AX94" s="209">
        <f t="shared" si="162"/>
        <v>5746.39</v>
      </c>
      <c r="AY94" s="209">
        <f t="shared" si="162"/>
        <v>5759.3</v>
      </c>
      <c r="AZ94" s="209">
        <f t="shared" si="162"/>
        <v>5772.21</v>
      </c>
      <c r="BA94" s="209">
        <f t="shared" si="162"/>
        <v>5785.12</v>
      </c>
      <c r="BB94" s="209">
        <f t="shared" si="162"/>
        <v>5798.03</v>
      </c>
      <c r="BC94" s="209">
        <f t="shared" si="162"/>
        <v>5810.94</v>
      </c>
      <c r="BD94" s="209">
        <f t="shared" si="162"/>
        <v>5823.85</v>
      </c>
      <c r="BE94" s="209">
        <f t="shared" si="162"/>
        <v>5836.76</v>
      </c>
      <c r="BF94" s="209">
        <f t="shared" si="162"/>
        <v>5849.67</v>
      </c>
      <c r="BG94" s="209">
        <f t="shared" si="162"/>
        <v>5862.58</v>
      </c>
      <c r="BH94" s="209">
        <f t="shared" si="162"/>
        <v>5875.49</v>
      </c>
      <c r="BI94" s="209">
        <f t="shared" si="162"/>
        <v>5888.4</v>
      </c>
      <c r="BJ94" s="209">
        <f t="shared" si="162"/>
        <v>5901.31</v>
      </c>
      <c r="BK94" s="209">
        <f t="shared" si="162"/>
        <v>5914.22</v>
      </c>
      <c r="BL94" s="209">
        <f t="shared" si="162"/>
        <v>5927.13</v>
      </c>
      <c r="BM94" s="209">
        <f t="shared" si="162"/>
        <v>5940.04</v>
      </c>
      <c r="BN94" s="209">
        <f t="shared" si="162"/>
        <v>5952.95</v>
      </c>
      <c r="BO94" s="209">
        <f t="shared" si="162"/>
        <v>5965.86</v>
      </c>
      <c r="BP94" s="209">
        <f t="shared" si="162"/>
        <v>5978.77</v>
      </c>
      <c r="BQ94" s="209">
        <f t="shared" si="162"/>
        <v>5991.68</v>
      </c>
      <c r="BR94" s="209">
        <f t="shared" si="166"/>
        <v>6004.59</v>
      </c>
      <c r="BS94" s="209">
        <v>6017.5</v>
      </c>
      <c r="BT94" s="209">
        <f t="shared" ref="BT94:CF94" si="173">ROUND(BS94+$I94,2)</f>
        <v>6030.41</v>
      </c>
      <c r="BU94" s="209">
        <f t="shared" si="173"/>
        <v>6043.32</v>
      </c>
      <c r="BV94" s="209">
        <f t="shared" si="173"/>
        <v>6056.23</v>
      </c>
      <c r="BW94" s="209">
        <f t="shared" si="173"/>
        <v>6069.14</v>
      </c>
      <c r="BX94" s="209">
        <f t="shared" si="173"/>
        <v>6082.05</v>
      </c>
      <c r="BY94" s="209">
        <f t="shared" si="173"/>
        <v>6094.96</v>
      </c>
      <c r="BZ94" s="209">
        <f t="shared" si="173"/>
        <v>6107.87</v>
      </c>
      <c r="CA94" s="209">
        <f t="shared" si="173"/>
        <v>6120.78</v>
      </c>
      <c r="CB94" s="209">
        <f t="shared" si="173"/>
        <v>6133.69</v>
      </c>
      <c r="CC94" s="209">
        <f t="shared" si="173"/>
        <v>6146.6</v>
      </c>
      <c r="CD94" s="209">
        <f t="shared" si="173"/>
        <v>6159.51</v>
      </c>
      <c r="CE94" s="209">
        <f t="shared" si="173"/>
        <v>6172.42</v>
      </c>
      <c r="CF94" s="209">
        <f t="shared" si="173"/>
        <v>6185.33</v>
      </c>
      <c r="CG94" s="209">
        <f t="shared" ref="CG94" si="174">ROUND(CF94+$I94,2)</f>
        <v>6198.24</v>
      </c>
      <c r="CH94" s="209">
        <f t="shared" si="150"/>
        <v>6211.15</v>
      </c>
      <c r="CI94" s="209">
        <f t="shared" si="151"/>
        <v>6224.06</v>
      </c>
      <c r="CJ94" s="209">
        <f t="shared" si="152"/>
        <v>6236.97</v>
      </c>
      <c r="CK94" s="209">
        <f t="shared" si="153"/>
        <v>6249.88</v>
      </c>
      <c r="CL94" s="209">
        <f t="shared" si="154"/>
        <v>6262.79</v>
      </c>
      <c r="CM94" s="209">
        <f t="shared" si="155"/>
        <v>6275.7</v>
      </c>
      <c r="CN94" s="209">
        <f t="shared" si="156"/>
        <v>6288.61</v>
      </c>
      <c r="CO94" s="209">
        <f t="shared" si="157"/>
        <v>6301.52</v>
      </c>
      <c r="CP94" s="209">
        <f t="shared" si="158"/>
        <v>6314.43</v>
      </c>
      <c r="CQ94" s="209">
        <f t="shared" si="159"/>
        <v>6327.34</v>
      </c>
      <c r="CR94" s="209">
        <f t="shared" si="160"/>
        <v>6340.25</v>
      </c>
    </row>
    <row r="95" spans="1:96" s="282" customFormat="1">
      <c r="A95" s="373" t="s">
        <v>297</v>
      </c>
      <c r="B95" s="280" t="s">
        <v>29</v>
      </c>
      <c r="C95" s="280" t="s">
        <v>30</v>
      </c>
      <c r="D95" s="43" t="s">
        <v>250</v>
      </c>
      <c r="E95" s="281" t="s">
        <v>57</v>
      </c>
      <c r="F95" s="329"/>
      <c r="G95" s="15">
        <v>7.1</v>
      </c>
      <c r="H95" s="331"/>
      <c r="I95" s="209">
        <f>1.11*G95</f>
        <v>7.8810000000000002</v>
      </c>
      <c r="J95" s="209">
        <f t="shared" ref="J95:AR95" si="175">K95-$I95</f>
        <v>1406.2259999999953</v>
      </c>
      <c r="K95" s="209">
        <f t="shared" si="175"/>
        <v>1414.1069999999954</v>
      </c>
      <c r="L95" s="209">
        <f t="shared" si="175"/>
        <v>1421.9879999999955</v>
      </c>
      <c r="M95" s="209">
        <f t="shared" si="175"/>
        <v>1429.8689999999956</v>
      </c>
      <c r="N95" s="209">
        <f t="shared" si="175"/>
        <v>1437.7499999999957</v>
      </c>
      <c r="O95" s="209">
        <f t="shared" si="175"/>
        <v>1445.6309999999958</v>
      </c>
      <c r="P95" s="209">
        <f t="shared" si="175"/>
        <v>1453.5119999999959</v>
      </c>
      <c r="Q95" s="209">
        <f t="shared" si="175"/>
        <v>1461.3929999999959</v>
      </c>
      <c r="R95" s="209">
        <f t="shared" si="175"/>
        <v>1469.273999999996</v>
      </c>
      <c r="S95" s="209">
        <f t="shared" si="175"/>
        <v>1477.1549999999961</v>
      </c>
      <c r="T95" s="209">
        <f t="shared" si="175"/>
        <v>1485.0359999999962</v>
      </c>
      <c r="U95" s="209">
        <f t="shared" si="175"/>
        <v>1492.9169999999963</v>
      </c>
      <c r="V95" s="209">
        <f t="shared" si="175"/>
        <v>1500.7979999999964</v>
      </c>
      <c r="W95" s="209">
        <f t="shared" si="175"/>
        <v>1508.6789999999964</v>
      </c>
      <c r="X95" s="209">
        <f t="shared" si="175"/>
        <v>1516.5599999999965</v>
      </c>
      <c r="Y95" s="209">
        <f t="shared" si="175"/>
        <v>1524.4409999999966</v>
      </c>
      <c r="Z95" s="209">
        <f t="shared" si="175"/>
        <v>1532.3219999999967</v>
      </c>
      <c r="AA95" s="209">
        <f t="shared" si="175"/>
        <v>1540.2029999999968</v>
      </c>
      <c r="AB95" s="209">
        <f t="shared" si="175"/>
        <v>1548.0839999999969</v>
      </c>
      <c r="AC95" s="209">
        <f t="shared" si="175"/>
        <v>1555.964999999997</v>
      </c>
      <c r="AD95" s="209">
        <f t="shared" si="175"/>
        <v>1563.845999999997</v>
      </c>
      <c r="AE95" s="209">
        <f t="shared" si="175"/>
        <v>1571.7269999999971</v>
      </c>
      <c r="AF95" s="209">
        <f t="shared" si="175"/>
        <v>1579.6079999999972</v>
      </c>
      <c r="AG95" s="209">
        <f t="shared" si="175"/>
        <v>1587.4889999999973</v>
      </c>
      <c r="AH95" s="209">
        <f t="shared" si="175"/>
        <v>1595.3699999999974</v>
      </c>
      <c r="AI95" s="209">
        <f t="shared" si="175"/>
        <v>1603.2509999999975</v>
      </c>
      <c r="AJ95" s="209">
        <f t="shared" si="175"/>
        <v>1611.1319999999976</v>
      </c>
      <c r="AK95" s="209">
        <f t="shared" si="175"/>
        <v>1619.0129999999976</v>
      </c>
      <c r="AL95" s="209">
        <f t="shared" si="175"/>
        <v>1626.8939999999977</v>
      </c>
      <c r="AM95" s="209">
        <f t="shared" si="175"/>
        <v>1634.7749999999978</v>
      </c>
      <c r="AN95" s="209">
        <f t="shared" si="175"/>
        <v>1642.6559999999979</v>
      </c>
      <c r="AO95" s="209">
        <f t="shared" si="175"/>
        <v>1650.536999999998</v>
      </c>
      <c r="AP95" s="209">
        <f t="shared" si="175"/>
        <v>1658.4179999999981</v>
      </c>
      <c r="AQ95" s="209">
        <f t="shared" si="175"/>
        <v>1666.2989999999982</v>
      </c>
      <c r="AR95" s="209">
        <f t="shared" si="175"/>
        <v>1674.1799999999982</v>
      </c>
      <c r="AS95" s="209">
        <f>AT95-$I95</f>
        <v>1682.0609999999983</v>
      </c>
      <c r="AT95" s="209">
        <f t="shared" ref="AT95:BJ96" si="176">AU95-$I95</f>
        <v>1689.9419999999984</v>
      </c>
      <c r="AU95" s="209">
        <f t="shared" si="176"/>
        <v>1697.8229999999985</v>
      </c>
      <c r="AV95" s="209">
        <f t="shared" si="176"/>
        <v>1705.7039999999986</v>
      </c>
      <c r="AW95" s="209">
        <f t="shared" si="176"/>
        <v>1713.5849999999987</v>
      </c>
      <c r="AX95" s="209">
        <f t="shared" si="176"/>
        <v>1721.4659999999988</v>
      </c>
      <c r="AY95" s="209">
        <f t="shared" si="176"/>
        <v>1729.3469999999988</v>
      </c>
      <c r="AZ95" s="209">
        <f t="shared" si="176"/>
        <v>1737.2279999999989</v>
      </c>
      <c r="BA95" s="209">
        <f t="shared" si="176"/>
        <v>1745.108999999999</v>
      </c>
      <c r="BB95" s="209">
        <f t="shared" si="176"/>
        <v>1752.9899999999991</v>
      </c>
      <c r="BC95" s="209">
        <f t="shared" si="176"/>
        <v>1760.8709999999992</v>
      </c>
      <c r="BD95" s="209">
        <f t="shared" si="176"/>
        <v>1768.7519999999993</v>
      </c>
      <c r="BE95" s="209">
        <f t="shared" si="176"/>
        <v>1776.6329999999994</v>
      </c>
      <c r="BF95" s="209">
        <f t="shared" si="176"/>
        <v>1784.5139999999994</v>
      </c>
      <c r="BG95" s="209">
        <f t="shared" si="176"/>
        <v>1792.3949999999995</v>
      </c>
      <c r="BH95" s="209">
        <f t="shared" si="176"/>
        <v>1800.2759999999996</v>
      </c>
      <c r="BI95" s="209">
        <f t="shared" si="176"/>
        <v>1808.1569999999997</v>
      </c>
      <c r="BJ95" s="209">
        <f t="shared" si="176"/>
        <v>1816.0379999999998</v>
      </c>
      <c r="BK95" s="209">
        <f>BL95-$I95</f>
        <v>1823.9189999999999</v>
      </c>
      <c r="BL95" s="209">
        <f>258*7.1</f>
        <v>1831.8</v>
      </c>
      <c r="BM95" s="209">
        <f>$I95+BL95</f>
        <v>1839.681</v>
      </c>
      <c r="BN95" s="209">
        <f t="shared" ref="BN95:CF95" si="177">$I95+BM95</f>
        <v>1847.5620000000001</v>
      </c>
      <c r="BO95" s="209">
        <f t="shared" si="177"/>
        <v>1855.4430000000002</v>
      </c>
      <c r="BP95" s="209">
        <f t="shared" si="177"/>
        <v>1863.3240000000003</v>
      </c>
      <c r="BQ95" s="209">
        <f t="shared" si="177"/>
        <v>1871.2050000000004</v>
      </c>
      <c r="BR95" s="209">
        <f t="shared" si="177"/>
        <v>1879.0860000000005</v>
      </c>
      <c r="BS95" s="209">
        <f t="shared" si="177"/>
        <v>1886.9670000000006</v>
      </c>
      <c r="BT95" s="209">
        <f t="shared" si="177"/>
        <v>1894.8480000000006</v>
      </c>
      <c r="BU95" s="209">
        <f t="shared" si="177"/>
        <v>1902.7290000000007</v>
      </c>
      <c r="BV95" s="209">
        <f t="shared" si="177"/>
        <v>1910.6100000000008</v>
      </c>
      <c r="BW95" s="209">
        <f t="shared" si="177"/>
        <v>1918.4910000000009</v>
      </c>
      <c r="BX95" s="209">
        <f t="shared" si="177"/>
        <v>1926.372000000001</v>
      </c>
      <c r="BY95" s="209">
        <f t="shared" si="177"/>
        <v>1934.2530000000011</v>
      </c>
      <c r="BZ95" s="209">
        <f t="shared" si="177"/>
        <v>1942.1340000000012</v>
      </c>
      <c r="CA95" s="209">
        <f t="shared" si="177"/>
        <v>1950.0150000000012</v>
      </c>
      <c r="CB95" s="209">
        <f t="shared" si="177"/>
        <v>1957.8960000000013</v>
      </c>
      <c r="CC95" s="209">
        <f t="shared" si="177"/>
        <v>1965.7770000000014</v>
      </c>
      <c r="CD95" s="209">
        <f t="shared" si="177"/>
        <v>1973.6580000000015</v>
      </c>
      <c r="CE95" s="209">
        <f t="shared" si="177"/>
        <v>1981.5390000000016</v>
      </c>
      <c r="CF95" s="209">
        <f t="shared" si="177"/>
        <v>1989.4200000000017</v>
      </c>
      <c r="CG95" s="209">
        <f>$I95+CF95</f>
        <v>1997.3010000000017</v>
      </c>
      <c r="CH95" s="209">
        <f t="shared" ref="CH95:CR95" si="178">$I95+CG95</f>
        <v>2005.1820000000018</v>
      </c>
      <c r="CI95" s="209">
        <f t="shared" si="178"/>
        <v>2013.0630000000019</v>
      </c>
      <c r="CJ95" s="209">
        <f t="shared" si="178"/>
        <v>2020.944000000002</v>
      </c>
      <c r="CK95" s="209">
        <f t="shared" si="178"/>
        <v>2028.8250000000021</v>
      </c>
      <c r="CL95" s="209">
        <f t="shared" si="178"/>
        <v>2036.7060000000022</v>
      </c>
      <c r="CM95" s="209">
        <f t="shared" si="178"/>
        <v>2044.5870000000023</v>
      </c>
      <c r="CN95" s="209">
        <f t="shared" si="178"/>
        <v>2052.4680000000021</v>
      </c>
      <c r="CO95" s="209">
        <f t="shared" si="178"/>
        <v>2060.349000000002</v>
      </c>
      <c r="CP95" s="209">
        <f t="shared" si="178"/>
        <v>2068.2300000000018</v>
      </c>
      <c r="CQ95" s="209">
        <f t="shared" si="178"/>
        <v>2076.1110000000017</v>
      </c>
      <c r="CR95" s="209">
        <f t="shared" si="178"/>
        <v>2083.9920000000016</v>
      </c>
    </row>
    <row r="96" spans="1:96">
      <c r="A96" s="56" t="s">
        <v>298</v>
      </c>
      <c r="B96" s="40" t="s">
        <v>29</v>
      </c>
      <c r="C96" s="40" t="s">
        <v>21</v>
      </c>
      <c r="D96" s="43" t="s">
        <v>250</v>
      </c>
      <c r="E96" s="40" t="s">
        <v>23</v>
      </c>
      <c r="F96" s="324"/>
      <c r="G96" s="15">
        <v>7.2</v>
      </c>
      <c r="H96" s="39"/>
      <c r="I96" s="209">
        <f>1.18*G96</f>
        <v>8.4960000000000004</v>
      </c>
      <c r="J96" s="209">
        <f t="shared" ref="J96:AR96" si="179">K96-$I96</f>
        <v>1991.0879999999956</v>
      </c>
      <c r="K96" s="209">
        <f t="shared" si="179"/>
        <v>1999.5839999999957</v>
      </c>
      <c r="L96" s="209">
        <f t="shared" si="179"/>
        <v>2008.0799999999958</v>
      </c>
      <c r="M96" s="209">
        <f t="shared" si="179"/>
        <v>2016.5759999999959</v>
      </c>
      <c r="N96" s="209">
        <f t="shared" si="179"/>
        <v>2025.071999999996</v>
      </c>
      <c r="O96" s="209">
        <f t="shared" si="179"/>
        <v>2033.5679999999961</v>
      </c>
      <c r="P96" s="209">
        <f t="shared" si="179"/>
        <v>2042.0639999999962</v>
      </c>
      <c r="Q96" s="209">
        <f t="shared" si="179"/>
        <v>2050.5599999999963</v>
      </c>
      <c r="R96" s="209">
        <f t="shared" si="179"/>
        <v>2059.0559999999964</v>
      </c>
      <c r="S96" s="209">
        <f t="shared" si="179"/>
        <v>2067.5519999999965</v>
      </c>
      <c r="T96" s="209">
        <f t="shared" si="179"/>
        <v>2076.0479999999966</v>
      </c>
      <c r="U96" s="209">
        <f t="shared" si="179"/>
        <v>2084.5439999999967</v>
      </c>
      <c r="V96" s="209">
        <f t="shared" si="179"/>
        <v>2093.0399999999968</v>
      </c>
      <c r="W96" s="209">
        <f t="shared" si="179"/>
        <v>2101.5359999999969</v>
      </c>
      <c r="X96" s="209">
        <f t="shared" si="179"/>
        <v>2110.031999999997</v>
      </c>
      <c r="Y96" s="209">
        <f t="shared" si="179"/>
        <v>2118.5279999999971</v>
      </c>
      <c r="Z96" s="209">
        <f t="shared" si="179"/>
        <v>2127.0239999999972</v>
      </c>
      <c r="AA96" s="209">
        <f t="shared" si="179"/>
        <v>2135.5199999999973</v>
      </c>
      <c r="AB96" s="209">
        <f t="shared" si="179"/>
        <v>2144.0159999999973</v>
      </c>
      <c r="AC96" s="209">
        <f t="shared" si="179"/>
        <v>2152.5119999999974</v>
      </c>
      <c r="AD96" s="209">
        <f t="shared" si="179"/>
        <v>2161.0079999999975</v>
      </c>
      <c r="AE96" s="209">
        <f t="shared" si="179"/>
        <v>2169.5039999999976</v>
      </c>
      <c r="AF96" s="209">
        <f t="shared" si="179"/>
        <v>2177.9999999999977</v>
      </c>
      <c r="AG96" s="209">
        <f t="shared" si="179"/>
        <v>2186.4959999999978</v>
      </c>
      <c r="AH96" s="209">
        <f t="shared" si="179"/>
        <v>2194.9919999999979</v>
      </c>
      <c r="AI96" s="209">
        <f t="shared" si="179"/>
        <v>2203.487999999998</v>
      </c>
      <c r="AJ96" s="209">
        <f t="shared" si="179"/>
        <v>2211.9839999999981</v>
      </c>
      <c r="AK96" s="209">
        <f t="shared" si="179"/>
        <v>2220.4799999999982</v>
      </c>
      <c r="AL96" s="209">
        <f t="shared" si="179"/>
        <v>2228.9759999999983</v>
      </c>
      <c r="AM96" s="209">
        <f t="shared" si="179"/>
        <v>2237.4719999999984</v>
      </c>
      <c r="AN96" s="209">
        <f t="shared" si="179"/>
        <v>2245.9679999999985</v>
      </c>
      <c r="AO96" s="209">
        <f t="shared" si="179"/>
        <v>2254.4639999999986</v>
      </c>
      <c r="AP96" s="209">
        <f t="shared" si="179"/>
        <v>2262.9599999999987</v>
      </c>
      <c r="AQ96" s="209">
        <f t="shared" si="179"/>
        <v>2271.4559999999988</v>
      </c>
      <c r="AR96" s="209">
        <f t="shared" si="179"/>
        <v>2279.9519999999989</v>
      </c>
      <c r="AS96" s="209">
        <f>AT96-$I96</f>
        <v>2288.447999999999</v>
      </c>
      <c r="AT96" s="209">
        <f t="shared" si="176"/>
        <v>2296.9439999999991</v>
      </c>
      <c r="AU96" s="209">
        <f t="shared" si="176"/>
        <v>2305.4399999999991</v>
      </c>
      <c r="AV96" s="209">
        <f t="shared" si="176"/>
        <v>2313.9359999999992</v>
      </c>
      <c r="AW96" s="209">
        <f t="shared" si="176"/>
        <v>2322.4319999999993</v>
      </c>
      <c r="AX96" s="209">
        <f t="shared" si="176"/>
        <v>2330.9279999999994</v>
      </c>
      <c r="AY96" s="209">
        <f t="shared" si="176"/>
        <v>2339.4239999999995</v>
      </c>
      <c r="AZ96" s="209">
        <f t="shared" si="176"/>
        <v>2347.9199999999996</v>
      </c>
      <c r="BA96" s="209">
        <f t="shared" si="176"/>
        <v>2356.4159999999997</v>
      </c>
      <c r="BB96" s="209">
        <f t="shared" si="176"/>
        <v>2364.9119999999998</v>
      </c>
      <c r="BC96" s="209">
        <f t="shared" si="176"/>
        <v>2373.4079999999999</v>
      </c>
      <c r="BD96" s="209">
        <f>BE96-$I96</f>
        <v>2381.904</v>
      </c>
      <c r="BE96" s="209">
        <f>332*7.2</f>
        <v>2390.4</v>
      </c>
      <c r="BF96" s="209">
        <f>I96+$BE96</f>
        <v>2398.8960000000002</v>
      </c>
      <c r="BG96" s="209">
        <f>BF96+$I96</f>
        <v>2407.3920000000003</v>
      </c>
      <c r="BH96" s="209">
        <f t="shared" ref="BH96:CG96" si="180">BG96+$I96</f>
        <v>2415.8880000000004</v>
      </c>
      <c r="BI96" s="209">
        <f t="shared" si="180"/>
        <v>2424.3840000000005</v>
      </c>
      <c r="BJ96" s="209">
        <f t="shared" si="180"/>
        <v>2432.8800000000006</v>
      </c>
      <c r="BK96" s="209">
        <f t="shared" si="180"/>
        <v>2441.3760000000007</v>
      </c>
      <c r="BL96" s="209">
        <f t="shared" si="180"/>
        <v>2449.8720000000008</v>
      </c>
      <c r="BM96" s="209">
        <f t="shared" si="180"/>
        <v>2458.3680000000008</v>
      </c>
      <c r="BN96" s="209">
        <f t="shared" si="180"/>
        <v>2466.8640000000009</v>
      </c>
      <c r="BO96" s="209">
        <f t="shared" si="180"/>
        <v>2475.360000000001</v>
      </c>
      <c r="BP96" s="209">
        <f t="shared" si="180"/>
        <v>2483.8560000000011</v>
      </c>
      <c r="BQ96" s="209">
        <f t="shared" si="180"/>
        <v>2492.3520000000012</v>
      </c>
      <c r="BR96" s="209">
        <f t="shared" si="180"/>
        <v>2500.8480000000013</v>
      </c>
      <c r="BS96" s="209">
        <f t="shared" si="180"/>
        <v>2509.3440000000014</v>
      </c>
      <c r="BT96" s="209">
        <f t="shared" si="180"/>
        <v>2517.8400000000015</v>
      </c>
      <c r="BU96" s="209">
        <f t="shared" si="180"/>
        <v>2526.3360000000016</v>
      </c>
      <c r="BV96" s="209">
        <f t="shared" si="180"/>
        <v>2534.8320000000017</v>
      </c>
      <c r="BW96" s="209">
        <f t="shared" si="180"/>
        <v>2543.3280000000018</v>
      </c>
      <c r="BX96" s="209">
        <f t="shared" si="180"/>
        <v>2551.8240000000019</v>
      </c>
      <c r="BY96" s="209">
        <f t="shared" si="180"/>
        <v>2560.320000000002</v>
      </c>
      <c r="BZ96" s="209">
        <f t="shared" si="180"/>
        <v>2568.8160000000021</v>
      </c>
      <c r="CA96" s="209">
        <f t="shared" si="180"/>
        <v>2577.3120000000022</v>
      </c>
      <c r="CB96" s="209">
        <f t="shared" si="180"/>
        <v>2585.8080000000023</v>
      </c>
      <c r="CC96" s="209">
        <f t="shared" si="180"/>
        <v>2594.3040000000024</v>
      </c>
      <c r="CD96" s="209">
        <f t="shared" si="180"/>
        <v>2602.8000000000025</v>
      </c>
      <c r="CE96" s="209">
        <f t="shared" si="180"/>
        <v>2611.2960000000026</v>
      </c>
      <c r="CF96" s="209">
        <f t="shared" si="180"/>
        <v>2619.7920000000026</v>
      </c>
      <c r="CG96" s="209">
        <f t="shared" si="180"/>
        <v>2628.2880000000027</v>
      </c>
      <c r="CH96" s="209">
        <f t="shared" ref="CH96" si="181">CG96+$I96</f>
        <v>2636.7840000000028</v>
      </c>
      <c r="CI96" s="209">
        <f t="shared" ref="CI96" si="182">CH96+$I96</f>
        <v>2645.2800000000029</v>
      </c>
      <c r="CJ96" s="209">
        <f t="shared" ref="CJ96" si="183">CI96+$I96</f>
        <v>2653.776000000003</v>
      </c>
      <c r="CK96" s="209">
        <f t="shared" ref="CK96" si="184">CJ96+$I96</f>
        <v>2662.2720000000031</v>
      </c>
      <c r="CL96" s="209">
        <f t="shared" ref="CL96" si="185">CK96+$I96</f>
        <v>2670.7680000000032</v>
      </c>
      <c r="CM96" s="209">
        <f t="shared" ref="CM96" si="186">CL96+$I96</f>
        <v>2679.2640000000033</v>
      </c>
      <c r="CN96" s="209">
        <f t="shared" ref="CN96" si="187">CM96+$I96</f>
        <v>2687.7600000000034</v>
      </c>
      <c r="CO96" s="711">
        <f t="shared" ref="CO96" si="188">CN96+$I96</f>
        <v>2696.2560000000035</v>
      </c>
      <c r="CP96" s="209">
        <f t="shared" ref="CP96" si="189">CO96+$I96</f>
        <v>2704.7520000000036</v>
      </c>
      <c r="CQ96" s="209">
        <f t="shared" ref="CQ96" si="190">CP96+$I96</f>
        <v>2713.2480000000037</v>
      </c>
      <c r="CR96" s="209">
        <f t="shared" ref="CR96" si="191">CQ96+$I96</f>
        <v>2721.7440000000038</v>
      </c>
    </row>
    <row r="97" spans="1:96">
      <c r="A97" s="374"/>
      <c r="CH97" s="207"/>
      <c r="CI97" s="207"/>
      <c r="CJ97" s="207"/>
      <c r="CK97" s="207"/>
      <c r="CL97" s="207"/>
      <c r="CM97" s="207"/>
      <c r="CN97" s="207"/>
      <c r="CO97" s="207"/>
      <c r="CP97" s="207"/>
      <c r="CQ97" s="207"/>
      <c r="CR97" s="207"/>
    </row>
    <row r="98" spans="1:96" s="376" customFormat="1">
      <c r="A98" s="376" t="s">
        <v>299</v>
      </c>
      <c r="B98" s="377" t="s">
        <v>149</v>
      </c>
      <c r="C98" s="377" t="s">
        <v>191</v>
      </c>
      <c r="D98" s="377" t="s">
        <v>181</v>
      </c>
      <c r="E98" s="378" t="s">
        <v>57</v>
      </c>
      <c r="F98" s="377"/>
      <c r="G98" s="379"/>
      <c r="H98" s="379"/>
      <c r="I98" s="379">
        <v>2.58</v>
      </c>
      <c r="J98" s="379">
        <f t="shared" ref="J98:BJ98" si="192">K98-$I98</f>
        <v>1270.6800000000039</v>
      </c>
      <c r="K98" s="379">
        <f t="shared" si="192"/>
        <v>1273.2600000000039</v>
      </c>
      <c r="L98" s="379">
        <f t="shared" si="192"/>
        <v>1275.8400000000038</v>
      </c>
      <c r="M98" s="379">
        <f t="shared" si="192"/>
        <v>1278.4200000000037</v>
      </c>
      <c r="N98" s="379">
        <f t="shared" si="192"/>
        <v>1281.0000000000036</v>
      </c>
      <c r="O98" s="379">
        <f t="shared" si="192"/>
        <v>1283.5800000000036</v>
      </c>
      <c r="P98" s="379">
        <f t="shared" si="192"/>
        <v>1286.1600000000035</v>
      </c>
      <c r="Q98" s="379">
        <f t="shared" si="192"/>
        <v>1288.7400000000034</v>
      </c>
      <c r="R98" s="379">
        <f t="shared" si="192"/>
        <v>1291.3200000000033</v>
      </c>
      <c r="S98" s="379">
        <f t="shared" si="192"/>
        <v>1293.9000000000033</v>
      </c>
      <c r="T98" s="379">
        <f t="shared" si="192"/>
        <v>1296.4800000000032</v>
      </c>
      <c r="U98" s="379">
        <f t="shared" si="192"/>
        <v>1299.0600000000031</v>
      </c>
      <c r="V98" s="379">
        <f t="shared" si="192"/>
        <v>1301.6400000000031</v>
      </c>
      <c r="W98" s="379">
        <f t="shared" si="192"/>
        <v>1304.220000000003</v>
      </c>
      <c r="X98" s="379">
        <f t="shared" si="192"/>
        <v>1306.8000000000029</v>
      </c>
      <c r="Y98" s="379">
        <f t="shared" si="192"/>
        <v>1309.3800000000028</v>
      </c>
      <c r="Z98" s="379">
        <f t="shared" si="192"/>
        <v>1311.9600000000028</v>
      </c>
      <c r="AA98" s="379">
        <f t="shared" si="192"/>
        <v>1314.5400000000027</v>
      </c>
      <c r="AB98" s="379">
        <f t="shared" si="192"/>
        <v>1317.1200000000026</v>
      </c>
      <c r="AC98" s="379">
        <f t="shared" si="192"/>
        <v>1319.7000000000025</v>
      </c>
      <c r="AD98" s="379">
        <f t="shared" si="192"/>
        <v>1322.2800000000025</v>
      </c>
      <c r="AE98" s="379">
        <f t="shared" si="192"/>
        <v>1324.8600000000024</v>
      </c>
      <c r="AF98" s="379">
        <f t="shared" si="192"/>
        <v>1327.4400000000023</v>
      </c>
      <c r="AG98" s="379">
        <f t="shared" si="192"/>
        <v>1330.0200000000023</v>
      </c>
      <c r="AH98" s="379">
        <f t="shared" si="192"/>
        <v>1332.6000000000022</v>
      </c>
      <c r="AI98" s="379">
        <f t="shared" si="192"/>
        <v>1335.1800000000021</v>
      </c>
      <c r="AJ98" s="379">
        <f t="shared" si="192"/>
        <v>1337.760000000002</v>
      </c>
      <c r="AK98" s="379">
        <f t="shared" si="192"/>
        <v>1340.340000000002</v>
      </c>
      <c r="AL98" s="379">
        <f t="shared" si="192"/>
        <v>1342.9200000000019</v>
      </c>
      <c r="AM98" s="379">
        <f t="shared" si="192"/>
        <v>1345.5000000000018</v>
      </c>
      <c r="AN98" s="379">
        <f t="shared" si="192"/>
        <v>1348.0800000000017</v>
      </c>
      <c r="AO98" s="379">
        <f t="shared" si="192"/>
        <v>1350.6600000000017</v>
      </c>
      <c r="AP98" s="379">
        <f t="shared" si="192"/>
        <v>1353.2400000000016</v>
      </c>
      <c r="AQ98" s="379">
        <f t="shared" si="192"/>
        <v>1355.8200000000015</v>
      </c>
      <c r="AR98" s="379">
        <f t="shared" si="192"/>
        <v>1358.4000000000015</v>
      </c>
      <c r="AS98" s="379">
        <f t="shared" si="192"/>
        <v>1360.9800000000014</v>
      </c>
      <c r="AT98" s="379">
        <f t="shared" si="192"/>
        <v>1363.5600000000013</v>
      </c>
      <c r="AU98" s="379">
        <f t="shared" si="192"/>
        <v>1366.1400000000012</v>
      </c>
      <c r="AV98" s="379">
        <f t="shared" si="192"/>
        <v>1368.7200000000012</v>
      </c>
      <c r="AW98" s="379">
        <f t="shared" si="192"/>
        <v>1371.3000000000011</v>
      </c>
      <c r="AX98" s="379">
        <f t="shared" si="192"/>
        <v>1373.880000000001</v>
      </c>
      <c r="AY98" s="379">
        <f t="shared" si="192"/>
        <v>1376.4600000000009</v>
      </c>
      <c r="AZ98" s="379">
        <f t="shared" si="192"/>
        <v>1379.0400000000009</v>
      </c>
      <c r="BA98" s="379">
        <f t="shared" si="192"/>
        <v>1381.6200000000008</v>
      </c>
      <c r="BB98" s="379">
        <f t="shared" si="192"/>
        <v>1384.2000000000007</v>
      </c>
      <c r="BC98" s="379">
        <f t="shared" si="192"/>
        <v>1386.7800000000007</v>
      </c>
      <c r="BD98" s="379">
        <f t="shared" si="192"/>
        <v>1389.3600000000006</v>
      </c>
      <c r="BE98" s="379">
        <f t="shared" si="192"/>
        <v>1391.9400000000005</v>
      </c>
      <c r="BF98" s="379">
        <f t="shared" si="192"/>
        <v>1394.5200000000004</v>
      </c>
      <c r="BG98" s="379">
        <f t="shared" si="192"/>
        <v>1397.1000000000004</v>
      </c>
      <c r="BH98" s="379">
        <f t="shared" si="192"/>
        <v>1399.6800000000003</v>
      </c>
      <c r="BI98" s="379">
        <f t="shared" si="192"/>
        <v>1402.2600000000002</v>
      </c>
      <c r="BJ98" s="379">
        <f t="shared" si="192"/>
        <v>1404.8400000000001</v>
      </c>
      <c r="BK98" s="379">
        <f>BL98-$I98</f>
        <v>1407.42</v>
      </c>
      <c r="BL98" s="379">
        <v>1410</v>
      </c>
      <c r="BM98" s="379">
        <f>BL98+$I98</f>
        <v>1412.58</v>
      </c>
      <c r="BN98" s="379">
        <f t="shared" ref="BN98:CG98" si="193">BM98+$I98</f>
        <v>1415.1599999999999</v>
      </c>
      <c r="BO98" s="379">
        <f t="shared" si="193"/>
        <v>1417.7399999999998</v>
      </c>
      <c r="BP98" s="379">
        <f t="shared" si="193"/>
        <v>1420.3199999999997</v>
      </c>
      <c r="BQ98" s="379">
        <f t="shared" si="193"/>
        <v>1422.8999999999996</v>
      </c>
      <c r="BR98" s="379">
        <f t="shared" si="193"/>
        <v>1425.4799999999996</v>
      </c>
      <c r="BS98" s="379">
        <f t="shared" si="193"/>
        <v>1428.0599999999995</v>
      </c>
      <c r="BT98" s="379">
        <f t="shared" si="193"/>
        <v>1430.6399999999994</v>
      </c>
      <c r="BU98" s="379">
        <f t="shared" si="193"/>
        <v>1433.2199999999993</v>
      </c>
      <c r="BV98" s="379">
        <f t="shared" si="193"/>
        <v>1435.7999999999993</v>
      </c>
      <c r="BW98" s="379">
        <f t="shared" si="193"/>
        <v>1438.3799999999992</v>
      </c>
      <c r="BX98" s="379">
        <f t="shared" si="193"/>
        <v>1440.9599999999991</v>
      </c>
      <c r="BY98" s="379">
        <f t="shared" si="193"/>
        <v>1443.5399999999991</v>
      </c>
      <c r="BZ98" s="379">
        <f t="shared" si="193"/>
        <v>1446.119999999999</v>
      </c>
      <c r="CA98" s="379">
        <f t="shared" si="193"/>
        <v>1448.6999999999989</v>
      </c>
      <c r="CB98" s="379">
        <f t="shared" si="193"/>
        <v>1451.2799999999988</v>
      </c>
      <c r="CC98" s="379">
        <f t="shared" si="193"/>
        <v>1453.8599999999988</v>
      </c>
      <c r="CD98" s="379">
        <f t="shared" si="193"/>
        <v>1456.4399999999987</v>
      </c>
      <c r="CE98" s="379">
        <f t="shared" si="193"/>
        <v>1459.0199999999986</v>
      </c>
      <c r="CF98" s="379">
        <f t="shared" si="193"/>
        <v>1461.5999999999985</v>
      </c>
      <c r="CG98" s="379">
        <f t="shared" si="193"/>
        <v>1464.1799999999985</v>
      </c>
      <c r="CH98" s="379">
        <f t="shared" ref="CH98" si="194">CG98+$I98</f>
        <v>1466.7599999999984</v>
      </c>
      <c r="CI98" s="379">
        <f t="shared" ref="CI98" si="195">CH98+$I98</f>
        <v>1469.3399999999983</v>
      </c>
      <c r="CJ98" s="379">
        <f t="shared" ref="CJ98" si="196">CI98+$I98</f>
        <v>1471.9199999999983</v>
      </c>
      <c r="CK98" s="379">
        <f t="shared" ref="CK98" si="197">CJ98+$I98</f>
        <v>1474.4999999999982</v>
      </c>
      <c r="CL98" s="379">
        <f t="shared" ref="CL98" si="198">CK98+$I98</f>
        <v>1477.0799999999981</v>
      </c>
      <c r="CM98" s="379">
        <f t="shared" ref="CM98" si="199">CL98+$I98</f>
        <v>1479.659999999998</v>
      </c>
      <c r="CN98" s="379">
        <f t="shared" ref="CN98" si="200">CM98+$I98</f>
        <v>1482.239999999998</v>
      </c>
      <c r="CO98" s="379">
        <f t="shared" ref="CO98" si="201">CN98+$I98</f>
        <v>1484.8199999999979</v>
      </c>
      <c r="CP98" s="379">
        <f t="shared" ref="CP98" si="202">CO98+$I98</f>
        <v>1487.3999999999978</v>
      </c>
      <c r="CQ98" s="379">
        <f t="shared" ref="CQ98" si="203">CP98+$I98</f>
        <v>1489.9799999999977</v>
      </c>
      <c r="CR98" s="379">
        <f t="shared" ref="CR98" si="204">CQ98+$I98</f>
        <v>1492.5599999999977</v>
      </c>
    </row>
    <row r="99" spans="1:96" s="376" customFormat="1">
      <c r="A99" s="376" t="s">
        <v>299</v>
      </c>
      <c r="B99" s="377" t="s">
        <v>149</v>
      </c>
      <c r="C99" s="377" t="s">
        <v>191</v>
      </c>
      <c r="D99" s="377" t="s">
        <v>181</v>
      </c>
      <c r="E99" s="378" t="s">
        <v>57</v>
      </c>
      <c r="F99" s="377" t="s">
        <v>300</v>
      </c>
      <c r="G99" s="379"/>
      <c r="H99" s="379"/>
      <c r="I99" s="207">
        <f>ROUND(I98*7.25,2)</f>
        <v>18.71</v>
      </c>
      <c r="J99" s="207">
        <f>ROUND(J98*7.25,2)</f>
        <v>9212.43</v>
      </c>
      <c r="K99" s="207">
        <f t="shared" ref="K99:BV99" si="205">ROUND(K98*7.25,2)</f>
        <v>9231.14</v>
      </c>
      <c r="L99" s="207">
        <f t="shared" si="205"/>
        <v>9249.84</v>
      </c>
      <c r="M99" s="207">
        <f t="shared" si="205"/>
        <v>9268.5499999999993</v>
      </c>
      <c r="N99" s="207">
        <f t="shared" si="205"/>
        <v>9287.25</v>
      </c>
      <c r="O99" s="207">
        <f t="shared" si="205"/>
        <v>9305.9599999999991</v>
      </c>
      <c r="P99" s="207">
        <f t="shared" si="205"/>
        <v>9324.66</v>
      </c>
      <c r="Q99" s="207">
        <f t="shared" si="205"/>
        <v>9343.3700000000008</v>
      </c>
      <c r="R99" s="207">
        <f t="shared" si="205"/>
        <v>9362.07</v>
      </c>
      <c r="S99" s="207">
        <f t="shared" si="205"/>
        <v>9380.7800000000007</v>
      </c>
      <c r="T99" s="207">
        <f t="shared" si="205"/>
        <v>9399.48</v>
      </c>
      <c r="U99" s="207">
        <f t="shared" si="205"/>
        <v>9418.19</v>
      </c>
      <c r="V99" s="207">
        <f t="shared" si="205"/>
        <v>9436.89</v>
      </c>
      <c r="W99" s="207">
        <f t="shared" si="205"/>
        <v>9455.6</v>
      </c>
      <c r="X99" s="207">
        <f t="shared" si="205"/>
        <v>9474.2999999999993</v>
      </c>
      <c r="Y99" s="207">
        <f t="shared" si="205"/>
        <v>9493.01</v>
      </c>
      <c r="Z99" s="207">
        <f t="shared" si="205"/>
        <v>9511.7099999999991</v>
      </c>
      <c r="AA99" s="207">
        <f t="shared" si="205"/>
        <v>9530.42</v>
      </c>
      <c r="AB99" s="207">
        <f t="shared" si="205"/>
        <v>9549.1200000000008</v>
      </c>
      <c r="AC99" s="207">
        <f t="shared" si="205"/>
        <v>9567.83</v>
      </c>
      <c r="AD99" s="207">
        <f t="shared" si="205"/>
        <v>9586.5300000000007</v>
      </c>
      <c r="AE99" s="207">
        <f t="shared" si="205"/>
        <v>9605.24</v>
      </c>
      <c r="AF99" s="207">
        <f t="shared" si="205"/>
        <v>9623.94</v>
      </c>
      <c r="AG99" s="207">
        <f t="shared" si="205"/>
        <v>9642.65</v>
      </c>
      <c r="AH99" s="207">
        <f t="shared" si="205"/>
        <v>9661.35</v>
      </c>
      <c r="AI99" s="207">
        <f t="shared" si="205"/>
        <v>9680.06</v>
      </c>
      <c r="AJ99" s="207">
        <f t="shared" si="205"/>
        <v>9698.76</v>
      </c>
      <c r="AK99" s="207">
        <f t="shared" si="205"/>
        <v>9717.4699999999993</v>
      </c>
      <c r="AL99" s="207">
        <f t="shared" si="205"/>
        <v>9736.17</v>
      </c>
      <c r="AM99" s="207">
        <f t="shared" si="205"/>
        <v>9754.8799999999992</v>
      </c>
      <c r="AN99" s="207">
        <f t="shared" si="205"/>
        <v>9773.58</v>
      </c>
      <c r="AO99" s="207">
        <f t="shared" si="205"/>
        <v>9792.2900000000009</v>
      </c>
      <c r="AP99" s="207">
        <f t="shared" si="205"/>
        <v>9810.99</v>
      </c>
      <c r="AQ99" s="207">
        <f t="shared" si="205"/>
        <v>9829.7000000000007</v>
      </c>
      <c r="AR99" s="207">
        <f t="shared" si="205"/>
        <v>9848.4</v>
      </c>
      <c r="AS99" s="207">
        <f t="shared" si="205"/>
        <v>9867.11</v>
      </c>
      <c r="AT99" s="207">
        <f t="shared" si="205"/>
        <v>9885.81</v>
      </c>
      <c r="AU99" s="207">
        <f t="shared" si="205"/>
        <v>9904.52</v>
      </c>
      <c r="AV99" s="207">
        <f t="shared" si="205"/>
        <v>9923.2199999999993</v>
      </c>
      <c r="AW99" s="207">
        <f t="shared" si="205"/>
        <v>9941.93</v>
      </c>
      <c r="AX99" s="207">
        <f t="shared" si="205"/>
        <v>9960.6299999999992</v>
      </c>
      <c r="AY99" s="207">
        <f t="shared" si="205"/>
        <v>9979.34</v>
      </c>
      <c r="AZ99" s="207">
        <f t="shared" si="205"/>
        <v>9998.0400000000009</v>
      </c>
      <c r="BA99" s="207">
        <f t="shared" si="205"/>
        <v>10016.75</v>
      </c>
      <c r="BB99" s="207">
        <f t="shared" si="205"/>
        <v>10035.450000000001</v>
      </c>
      <c r="BC99" s="207">
        <f t="shared" si="205"/>
        <v>10054.16</v>
      </c>
      <c r="BD99" s="207">
        <f t="shared" si="205"/>
        <v>10072.86</v>
      </c>
      <c r="BE99" s="207">
        <f t="shared" si="205"/>
        <v>10091.57</v>
      </c>
      <c r="BF99" s="207">
        <f t="shared" si="205"/>
        <v>10110.27</v>
      </c>
      <c r="BG99" s="207">
        <f t="shared" si="205"/>
        <v>10128.98</v>
      </c>
      <c r="BH99" s="207">
        <f t="shared" si="205"/>
        <v>10147.68</v>
      </c>
      <c r="BI99" s="207">
        <f t="shared" si="205"/>
        <v>10166.39</v>
      </c>
      <c r="BJ99" s="207">
        <f t="shared" si="205"/>
        <v>10185.09</v>
      </c>
      <c r="BK99" s="207">
        <f t="shared" si="205"/>
        <v>10203.799999999999</v>
      </c>
      <c r="BL99" s="207">
        <f t="shared" si="205"/>
        <v>10222.5</v>
      </c>
      <c r="BM99" s="207">
        <f t="shared" si="205"/>
        <v>10241.209999999999</v>
      </c>
      <c r="BN99" s="207">
        <f t="shared" si="205"/>
        <v>10259.91</v>
      </c>
      <c r="BO99" s="207">
        <f t="shared" si="205"/>
        <v>10278.620000000001</v>
      </c>
      <c r="BP99" s="207">
        <f t="shared" si="205"/>
        <v>10297.32</v>
      </c>
      <c r="BQ99" s="207">
        <f t="shared" si="205"/>
        <v>10316.030000000001</v>
      </c>
      <c r="BR99" s="207">
        <f t="shared" si="205"/>
        <v>10334.73</v>
      </c>
      <c r="BS99" s="207">
        <f t="shared" si="205"/>
        <v>10353.44</v>
      </c>
      <c r="BT99" s="207">
        <f t="shared" si="205"/>
        <v>10372.14</v>
      </c>
      <c r="BU99" s="207">
        <f t="shared" si="205"/>
        <v>10390.85</v>
      </c>
      <c r="BV99" s="207">
        <f t="shared" si="205"/>
        <v>10409.549999999999</v>
      </c>
      <c r="BW99" s="207">
        <f t="shared" ref="BW99:CG99" si="206">ROUND(BW98*7.25,2)</f>
        <v>10428.26</v>
      </c>
      <c r="BX99" s="207">
        <f t="shared" si="206"/>
        <v>10446.959999999999</v>
      </c>
      <c r="BY99" s="207">
        <f t="shared" si="206"/>
        <v>10465.67</v>
      </c>
      <c r="BZ99" s="207">
        <f t="shared" si="206"/>
        <v>10484.370000000001</v>
      </c>
      <c r="CA99" s="207">
        <f t="shared" si="206"/>
        <v>10503.08</v>
      </c>
      <c r="CB99" s="207">
        <f t="shared" si="206"/>
        <v>10521.78</v>
      </c>
      <c r="CC99" s="207">
        <f t="shared" si="206"/>
        <v>10540.49</v>
      </c>
      <c r="CD99" s="207">
        <f t="shared" si="206"/>
        <v>10559.19</v>
      </c>
      <c r="CE99" s="207">
        <f t="shared" si="206"/>
        <v>10577.9</v>
      </c>
      <c r="CF99" s="207">
        <f t="shared" si="206"/>
        <v>10596.6</v>
      </c>
      <c r="CG99" s="207">
        <f t="shared" si="206"/>
        <v>10615.31</v>
      </c>
      <c r="CH99" s="207">
        <f t="shared" ref="CH99:CR99" si="207">ROUND(CH98*7.25,2)</f>
        <v>10634.01</v>
      </c>
      <c r="CI99" s="207">
        <f t="shared" si="207"/>
        <v>10652.72</v>
      </c>
      <c r="CJ99" s="207">
        <f t="shared" si="207"/>
        <v>10671.42</v>
      </c>
      <c r="CK99" s="207">
        <f t="shared" si="207"/>
        <v>10690.13</v>
      </c>
      <c r="CL99" s="207">
        <f t="shared" si="207"/>
        <v>10708.83</v>
      </c>
      <c r="CM99" s="207">
        <f t="shared" si="207"/>
        <v>10727.54</v>
      </c>
      <c r="CN99" s="207">
        <f t="shared" si="207"/>
        <v>10746.24</v>
      </c>
      <c r="CO99" s="207">
        <f t="shared" si="207"/>
        <v>10764.95</v>
      </c>
      <c r="CP99" s="207">
        <f t="shared" si="207"/>
        <v>10783.65</v>
      </c>
      <c r="CQ99" s="207">
        <f t="shared" si="207"/>
        <v>10802.36</v>
      </c>
      <c r="CR99" s="207">
        <f t="shared" si="207"/>
        <v>10821.06</v>
      </c>
    </row>
    <row r="103" spans="1:96">
      <c r="A103" s="375" t="s">
        <v>301</v>
      </c>
    </row>
  </sheetData>
  <autoFilter ref="A8:BN96" xr:uid="{945E8DA5-384D-42FE-9251-7A75894B4BB6}"/>
  <phoneticPr fontId="3" type="noConversion"/>
  <pageMargins left="0.7" right="0.7" top="0.75" bottom="0.75" header="0.3" footer="0.3"/>
  <pageSetup paperSize="9" scale="42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1AE7-6ADE-4654-AF53-476FBC3D8142}">
  <dimension ref="B2:L14"/>
  <sheetViews>
    <sheetView zoomScale="90" zoomScaleNormal="9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12" sqref="H12"/>
    </sheetView>
  </sheetViews>
  <sheetFormatPr defaultColWidth="8.33203125" defaultRowHeight="14.5"/>
  <cols>
    <col min="1" max="1" width="8.33203125" style="186"/>
    <col min="2" max="2" width="31.33203125" style="526" customWidth="1"/>
    <col min="3" max="3" width="29.33203125" style="526" customWidth="1"/>
    <col min="4" max="4" width="18.33203125" style="186" customWidth="1"/>
    <col min="5" max="5" width="23.33203125" style="186" customWidth="1"/>
    <col min="6" max="6" width="23.08203125" style="186" bestFit="1" customWidth="1"/>
    <col min="7" max="7" width="24.08203125" style="186" customWidth="1"/>
    <col min="8" max="8" width="19" style="186" customWidth="1"/>
    <col min="9" max="9" width="9.33203125" style="186" bestFit="1" customWidth="1"/>
    <col min="10" max="10" width="14.25" style="186" customWidth="1"/>
    <col min="11" max="11" width="12.08203125" style="186" customWidth="1"/>
    <col min="12" max="16384" width="8.33203125" style="186"/>
  </cols>
  <sheetData>
    <row r="2" spans="2:12" ht="29">
      <c r="H2" s="525" t="s">
        <v>302</v>
      </c>
    </row>
    <row r="3" spans="2:12" ht="21.65" customHeight="1">
      <c r="B3" s="522" t="s">
        <v>303</v>
      </c>
      <c r="C3" s="522" t="s">
        <v>304</v>
      </c>
      <c r="D3" s="518" t="s">
        <v>305</v>
      </c>
      <c r="E3" s="518" t="s">
        <v>306</v>
      </c>
      <c r="F3" s="518" t="s">
        <v>307</v>
      </c>
      <c r="G3" s="519">
        <v>82500</v>
      </c>
      <c r="H3" s="520">
        <v>102000</v>
      </c>
      <c r="I3" s="527"/>
      <c r="J3" s="527"/>
    </row>
    <row r="4" spans="2:12">
      <c r="B4" s="523" t="s">
        <v>308</v>
      </c>
      <c r="C4" s="523" t="s">
        <v>309</v>
      </c>
      <c r="D4" s="453" t="s">
        <v>25</v>
      </c>
      <c r="E4" s="521">
        <v>8.06</v>
      </c>
      <c r="F4" s="521">
        <v>1937.52</v>
      </c>
      <c r="G4" s="521">
        <v>2139.12</v>
      </c>
      <c r="H4" s="528">
        <f>G4+($H$3-$G$3)/500*$E4</f>
        <v>2453.46</v>
      </c>
      <c r="I4" s="529">
        <f>H4/7</f>
        <v>350.4942857142857</v>
      </c>
    </row>
    <row r="5" spans="2:12">
      <c r="B5" s="523" t="s">
        <v>310</v>
      </c>
      <c r="C5" s="523" t="s">
        <v>311</v>
      </c>
      <c r="D5" s="453" t="s">
        <v>27</v>
      </c>
      <c r="E5" s="521">
        <v>8.06</v>
      </c>
      <c r="F5" s="521">
        <v>1940.69</v>
      </c>
      <c r="G5" s="521">
        <v>2142.29</v>
      </c>
      <c r="H5" s="528">
        <f t="shared" ref="H5:H14" si="0">G5+($H$3-$G$3)/500*$E5</f>
        <v>2456.63</v>
      </c>
      <c r="I5" s="529"/>
    </row>
    <row r="6" spans="2:12">
      <c r="B6" s="523" t="s">
        <v>312</v>
      </c>
      <c r="C6" s="523" t="s">
        <v>313</v>
      </c>
      <c r="D6" s="453" t="s">
        <v>25</v>
      </c>
      <c r="E6" s="521">
        <v>16.84</v>
      </c>
      <c r="F6" s="521">
        <v>4010.82</v>
      </c>
      <c r="G6" s="521">
        <v>4431.8500000000004</v>
      </c>
      <c r="H6" s="528">
        <f t="shared" si="0"/>
        <v>5088.6100000000006</v>
      </c>
      <c r="I6" s="529"/>
    </row>
    <row r="7" spans="2:12">
      <c r="B7" s="523" t="s">
        <v>314</v>
      </c>
      <c r="C7" s="523" t="s">
        <v>315</v>
      </c>
      <c r="D7" s="453" t="s">
        <v>25</v>
      </c>
      <c r="E7" s="521">
        <v>10.8</v>
      </c>
      <c r="F7" s="521">
        <v>2219.9</v>
      </c>
      <c r="G7" s="521">
        <v>2489.9</v>
      </c>
      <c r="H7" s="528">
        <f t="shared" si="0"/>
        <v>2911.1000000000004</v>
      </c>
      <c r="I7" s="529"/>
    </row>
    <row r="8" spans="2:12">
      <c r="B8" s="523" t="s">
        <v>316</v>
      </c>
      <c r="C8" s="523" t="s">
        <v>317</v>
      </c>
      <c r="D8" s="453" t="s">
        <v>27</v>
      </c>
      <c r="E8" s="521">
        <v>10.8</v>
      </c>
      <c r="F8" s="521">
        <v>2264.3000000000002</v>
      </c>
      <c r="G8" s="521">
        <v>2534.3000000000002</v>
      </c>
      <c r="H8" s="528">
        <f t="shared" si="0"/>
        <v>2955.5</v>
      </c>
      <c r="I8" s="529"/>
      <c r="J8" s="718"/>
      <c r="K8" s="526"/>
      <c r="L8" s="526"/>
    </row>
    <row r="9" spans="2:12">
      <c r="B9" s="523" t="s">
        <v>318</v>
      </c>
      <c r="C9" s="523" t="s">
        <v>319</v>
      </c>
      <c r="D9" s="453" t="s">
        <v>25</v>
      </c>
      <c r="E9" s="521">
        <v>22.39</v>
      </c>
      <c r="F9" s="521">
        <v>4595.04</v>
      </c>
      <c r="G9" s="521">
        <v>5154.84</v>
      </c>
      <c r="H9" s="528">
        <f t="shared" si="0"/>
        <v>6028.05</v>
      </c>
      <c r="I9" s="529"/>
      <c r="J9" s="458"/>
      <c r="K9" s="526"/>
      <c r="L9" s="526"/>
    </row>
    <row r="10" spans="2:12" ht="6.65" customHeight="1">
      <c r="B10" s="524"/>
      <c r="C10" s="524"/>
      <c r="D10" s="453"/>
      <c r="E10" s="521"/>
      <c r="F10" s="521"/>
      <c r="G10" s="521"/>
      <c r="H10" s="528"/>
      <c r="I10" s="529"/>
      <c r="J10" s="526"/>
      <c r="K10" s="526"/>
      <c r="L10" s="526"/>
    </row>
    <row r="11" spans="2:12">
      <c r="B11" s="523" t="s">
        <v>624</v>
      </c>
      <c r="C11" s="523" t="s">
        <v>309</v>
      </c>
      <c r="D11" s="453" t="s">
        <v>22</v>
      </c>
      <c r="E11" s="521">
        <v>8.06</v>
      </c>
      <c r="F11" s="521"/>
      <c r="G11" s="521">
        <v>2202.62</v>
      </c>
      <c r="H11" s="528">
        <f>G11+($H$3-$G$3)/500*$E11</f>
        <v>2516.96</v>
      </c>
      <c r="I11" s="529"/>
      <c r="J11" s="719"/>
      <c r="K11" s="719"/>
      <c r="L11" s="720"/>
    </row>
    <row r="12" spans="2:12">
      <c r="B12" s="523" t="s">
        <v>312</v>
      </c>
      <c r="C12" s="523" t="s">
        <v>313</v>
      </c>
      <c r="D12" s="453" t="s">
        <v>22</v>
      </c>
      <c r="E12" s="521">
        <v>16.84</v>
      </c>
      <c r="F12" s="521"/>
      <c r="G12" s="521">
        <v>4564.8100000000004</v>
      </c>
      <c r="H12" s="528">
        <f t="shared" si="0"/>
        <v>5221.5700000000006</v>
      </c>
      <c r="I12" s="529"/>
    </row>
    <row r="13" spans="2:12">
      <c r="B13" s="523" t="s">
        <v>314</v>
      </c>
      <c r="C13" s="523" t="s">
        <v>315</v>
      </c>
      <c r="D13" s="453" t="s">
        <v>22</v>
      </c>
      <c r="E13" s="521">
        <v>10.8</v>
      </c>
      <c r="F13" s="521"/>
      <c r="G13" s="521">
        <v>2564.6</v>
      </c>
      <c r="H13" s="528">
        <f t="shared" si="0"/>
        <v>2985.8</v>
      </c>
      <c r="I13" s="529"/>
    </row>
    <row r="14" spans="2:12">
      <c r="B14" s="523" t="s">
        <v>318</v>
      </c>
      <c r="C14" s="523" t="s">
        <v>319</v>
      </c>
      <c r="D14" s="453" t="s">
        <v>22</v>
      </c>
      <c r="E14" s="521">
        <v>22.39</v>
      </c>
      <c r="F14" s="521"/>
      <c r="G14" s="521">
        <v>5309.49</v>
      </c>
      <c r="H14" s="528">
        <f t="shared" si="0"/>
        <v>6182.7</v>
      </c>
      <c r="I14" s="529"/>
      <c r="J14" s="529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  <pageSetUpPr fitToPage="1"/>
  </sheetPr>
  <dimension ref="A1:BX96"/>
  <sheetViews>
    <sheetView zoomScale="85" zoomScaleNormal="85" workbookViewId="0">
      <pane xSplit="10" ySplit="8" topLeftCell="AE54" activePane="bottomRight" state="frozen"/>
      <selection pane="topRight" activeCell="K1" sqref="K1"/>
      <selection pane="bottomLeft" activeCell="A9" sqref="A9"/>
      <selection pane="bottomRight"/>
    </sheetView>
  </sheetViews>
  <sheetFormatPr defaultColWidth="11" defaultRowHeight="14"/>
  <cols>
    <col min="1" max="1" width="55" style="47" customWidth="1"/>
    <col min="2" max="2" width="13.33203125" style="18" customWidth="1"/>
    <col min="3" max="3" width="13.75" style="14" customWidth="1"/>
    <col min="4" max="4" width="13" style="18" customWidth="1"/>
    <col min="5" max="5" width="22.33203125" style="18" customWidth="1"/>
    <col min="6" max="6" width="11" style="18" customWidth="1"/>
    <col min="7" max="7" width="30.33203125" style="14" customWidth="1"/>
    <col min="8" max="8" width="11.08203125" style="18" customWidth="1"/>
    <col min="9" max="9" width="14.08203125" style="447" customWidth="1"/>
    <col min="10" max="10" width="9" style="48" customWidth="1"/>
    <col min="11" max="20" width="11.33203125" style="48" bestFit="1" customWidth="1"/>
    <col min="21" max="48" width="11.33203125" style="18" bestFit="1" customWidth="1"/>
    <col min="49" max="49" width="11.08203125" style="18" customWidth="1"/>
    <col min="50" max="54" width="11.08203125" style="18" bestFit="1" customWidth="1"/>
    <col min="55" max="16384" width="11" style="18"/>
  </cols>
  <sheetData>
    <row r="1" spans="1:76" ht="14.5">
      <c r="A1" s="396" t="s">
        <v>264</v>
      </c>
      <c r="B1" s="430" t="s">
        <v>320</v>
      </c>
      <c r="H1" s="48"/>
      <c r="I1" s="512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76" ht="14.5">
      <c r="A2" s="174" t="s">
        <v>1</v>
      </c>
      <c r="H2" s="48"/>
      <c r="I2" s="513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76" ht="14.5">
      <c r="A3" s="174" t="s">
        <v>321</v>
      </c>
      <c r="H3" s="48"/>
      <c r="I3" s="513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76">
      <c r="A4" s="106" t="s">
        <v>229</v>
      </c>
      <c r="B4" s="11"/>
      <c r="C4" s="125" t="s">
        <v>4</v>
      </c>
      <c r="H4" s="48"/>
      <c r="I4" s="512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76">
      <c r="A5" s="175" t="s">
        <v>322</v>
      </c>
    </row>
    <row r="6" spans="1:76">
      <c r="A6" s="175" t="s">
        <v>323</v>
      </c>
      <c r="AE6" s="17"/>
      <c r="AO6" s="17"/>
    </row>
    <row r="8" spans="1:76" s="54" customFormat="1">
      <c r="A8" s="176" t="s">
        <v>324</v>
      </c>
      <c r="B8" s="49" t="s">
        <v>10</v>
      </c>
      <c r="C8" s="346" t="s">
        <v>11</v>
      </c>
      <c r="D8" s="49" t="s">
        <v>12</v>
      </c>
      <c r="E8" s="49" t="s">
        <v>13</v>
      </c>
      <c r="F8" s="49" t="s">
        <v>16</v>
      </c>
      <c r="G8" s="388" t="s">
        <v>325</v>
      </c>
      <c r="H8" s="50" t="s">
        <v>326</v>
      </c>
      <c r="I8" s="51" t="s">
        <v>327</v>
      </c>
      <c r="J8" s="52" t="s">
        <v>18</v>
      </c>
      <c r="K8" s="53">
        <v>50000</v>
      </c>
      <c r="L8" s="53">
        <v>51000</v>
      </c>
      <c r="M8" s="53">
        <v>52000</v>
      </c>
      <c r="N8" s="53">
        <v>53000</v>
      </c>
      <c r="O8" s="53">
        <v>54000</v>
      </c>
      <c r="P8" s="53">
        <v>55000</v>
      </c>
      <c r="Q8" s="53">
        <v>56000</v>
      </c>
      <c r="R8" s="53">
        <v>57000</v>
      </c>
      <c r="S8" s="53">
        <v>58000</v>
      </c>
      <c r="T8" s="53">
        <v>59000</v>
      </c>
      <c r="U8" s="53">
        <v>60000</v>
      </c>
      <c r="V8" s="53">
        <v>61000</v>
      </c>
      <c r="W8" s="53">
        <v>62000</v>
      </c>
      <c r="X8" s="53">
        <v>63000</v>
      </c>
      <c r="Y8" s="53">
        <v>64000</v>
      </c>
      <c r="Z8" s="53">
        <v>65000</v>
      </c>
      <c r="AA8" s="53">
        <v>66000</v>
      </c>
      <c r="AB8" s="53">
        <v>67000</v>
      </c>
      <c r="AC8" s="53">
        <v>68000</v>
      </c>
      <c r="AD8" s="53">
        <v>69000</v>
      </c>
      <c r="AE8" s="53">
        <v>70000</v>
      </c>
      <c r="AF8" s="53">
        <v>71000</v>
      </c>
      <c r="AG8" s="53">
        <v>72000</v>
      </c>
      <c r="AH8" s="53">
        <v>73000</v>
      </c>
      <c r="AI8" s="53">
        <v>74000</v>
      </c>
      <c r="AJ8" s="53">
        <v>75000</v>
      </c>
      <c r="AK8" s="53">
        <v>76000</v>
      </c>
      <c r="AL8" s="53">
        <v>77000</v>
      </c>
      <c r="AM8" s="53">
        <v>78000</v>
      </c>
      <c r="AN8" s="53">
        <v>79000</v>
      </c>
      <c r="AO8" s="53">
        <v>80000</v>
      </c>
      <c r="AP8" s="53">
        <f>AO8+1000</f>
        <v>81000</v>
      </c>
      <c r="AQ8" s="53">
        <f t="shared" ref="AQ8" si="0">AP8+1000</f>
        <v>82000</v>
      </c>
      <c r="AR8" s="53">
        <f t="shared" ref="AR8" si="1">AQ8+1000</f>
        <v>83000</v>
      </c>
      <c r="AS8" s="53">
        <f t="shared" ref="AS8" si="2">AR8+1000</f>
        <v>84000</v>
      </c>
      <c r="AT8" s="53">
        <f t="shared" ref="AT8" si="3">AS8+1000</f>
        <v>85000</v>
      </c>
      <c r="AU8" s="53">
        <f t="shared" ref="AU8" si="4">AT8+1000</f>
        <v>86000</v>
      </c>
      <c r="AV8" s="53">
        <f t="shared" ref="AV8" si="5">AU8+1000</f>
        <v>87000</v>
      </c>
      <c r="AW8" s="53">
        <f t="shared" ref="AW8" si="6">AV8+1000</f>
        <v>88000</v>
      </c>
      <c r="AX8" s="53">
        <f t="shared" ref="AX8" si="7">AW8+1000</f>
        <v>89000</v>
      </c>
      <c r="AY8" s="53">
        <f t="shared" ref="AY8" si="8">AX8+1000</f>
        <v>90000</v>
      </c>
      <c r="AZ8" s="53">
        <f t="shared" ref="AZ8" si="9">AY8+1000</f>
        <v>91000</v>
      </c>
      <c r="BA8" s="53">
        <f t="shared" ref="BA8" si="10">AZ8+1000</f>
        <v>92000</v>
      </c>
      <c r="BB8" s="53">
        <f t="shared" ref="BB8:BC8" si="11">BA8+1000</f>
        <v>93000</v>
      </c>
      <c r="BC8" s="53">
        <f t="shared" si="11"/>
        <v>94000</v>
      </c>
      <c r="BD8" s="53">
        <f t="shared" ref="BD8" si="12">BC8+1000</f>
        <v>95000</v>
      </c>
      <c r="BE8" s="53">
        <f t="shared" ref="BE8" si="13">BD8+1000</f>
        <v>96000</v>
      </c>
      <c r="BF8" s="53">
        <f t="shared" ref="BF8" si="14">BE8+1000</f>
        <v>97000</v>
      </c>
      <c r="BG8" s="53">
        <f t="shared" ref="BG8" si="15">BF8+1000</f>
        <v>98000</v>
      </c>
      <c r="BH8" s="53">
        <f t="shared" ref="BH8" si="16">BG8+1000</f>
        <v>99000</v>
      </c>
      <c r="BI8" s="53">
        <f t="shared" ref="BI8" si="17">BH8+1000</f>
        <v>100000</v>
      </c>
      <c r="BJ8" s="53">
        <f t="shared" ref="BJ8" si="18">BI8+1000</f>
        <v>101000</v>
      </c>
      <c r="BK8" s="53">
        <f t="shared" ref="BK8" si="19">BJ8+1000</f>
        <v>102000</v>
      </c>
      <c r="BL8" s="53">
        <f t="shared" ref="BL8" si="20">BK8+1000</f>
        <v>103000</v>
      </c>
      <c r="BM8" s="53">
        <f t="shared" ref="BM8" si="21">BL8+1000</f>
        <v>104000</v>
      </c>
      <c r="BN8" s="53">
        <f t="shared" ref="BN8" si="22">BM8+1000</f>
        <v>105000</v>
      </c>
      <c r="BO8" s="53">
        <f t="shared" ref="BO8" si="23">BN8+1000</f>
        <v>106000</v>
      </c>
      <c r="BP8" s="53">
        <f t="shared" ref="BP8" si="24">BO8+1000</f>
        <v>107000</v>
      </c>
      <c r="BQ8" s="53">
        <f t="shared" ref="BQ8" si="25">BP8+1000</f>
        <v>108000</v>
      </c>
      <c r="BR8" s="53">
        <f t="shared" ref="BR8" si="26">BQ8+1000</f>
        <v>109000</v>
      </c>
      <c r="BS8" s="53">
        <f t="shared" ref="BS8" si="27">BR8+1000</f>
        <v>110000</v>
      </c>
      <c r="BT8" s="53">
        <f t="shared" ref="BT8" si="28">BS8+1000</f>
        <v>111000</v>
      </c>
      <c r="BU8" s="53">
        <f t="shared" ref="BU8" si="29">BT8+1000</f>
        <v>112000</v>
      </c>
      <c r="BV8" s="53">
        <f t="shared" ref="BV8" si="30">BU8+1000</f>
        <v>113000</v>
      </c>
      <c r="BW8" s="53">
        <f t="shared" ref="BW8" si="31">BV8+1000</f>
        <v>114000</v>
      </c>
      <c r="BX8" s="53">
        <f t="shared" ref="BX8" si="32">BW8+1000</f>
        <v>115000</v>
      </c>
    </row>
    <row r="9" spans="1:76">
      <c r="A9" s="177" t="s">
        <v>328</v>
      </c>
      <c r="G9" s="110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</row>
    <row r="10" spans="1:76" s="171" customFormat="1">
      <c r="A10" s="178" t="s">
        <v>329</v>
      </c>
      <c r="B10" s="171" t="s">
        <v>79</v>
      </c>
      <c r="C10" s="347" t="s">
        <v>21</v>
      </c>
      <c r="D10" s="172" t="s">
        <v>39</v>
      </c>
      <c r="E10" s="172" t="s">
        <v>330</v>
      </c>
      <c r="F10" s="172">
        <v>6.4</v>
      </c>
      <c r="G10" s="389" t="s">
        <v>331</v>
      </c>
      <c r="H10" s="171" t="s">
        <v>332</v>
      </c>
      <c r="I10" s="514">
        <v>16.8</v>
      </c>
      <c r="J10" s="173">
        <v>13.700000000000045</v>
      </c>
      <c r="K10" s="173">
        <v>1582.08</v>
      </c>
      <c r="L10" s="173">
        <v>1595.78</v>
      </c>
      <c r="M10" s="173">
        <v>1609.47</v>
      </c>
      <c r="N10" s="173">
        <v>1623.17</v>
      </c>
      <c r="O10" s="173">
        <v>1636.86</v>
      </c>
      <c r="P10" s="173">
        <v>1650.56</v>
      </c>
      <c r="Q10" s="173">
        <v>1664.26</v>
      </c>
      <c r="R10" s="173">
        <v>1677.95</v>
      </c>
      <c r="S10" s="173">
        <v>1691.65</v>
      </c>
      <c r="T10" s="173">
        <v>1705.34</v>
      </c>
      <c r="U10" s="173">
        <v>1719.04</v>
      </c>
      <c r="V10" s="173">
        <v>1732.74</v>
      </c>
      <c r="W10" s="173">
        <v>1746.43</v>
      </c>
      <c r="X10" s="173">
        <v>1760.13</v>
      </c>
      <c r="Y10" s="173">
        <v>1773.82</v>
      </c>
      <c r="Z10" s="173">
        <v>1787.52</v>
      </c>
      <c r="AA10" s="173">
        <v>1801.22</v>
      </c>
      <c r="AB10" s="173">
        <v>1814.91</v>
      </c>
      <c r="AC10" s="173">
        <v>1828.61</v>
      </c>
      <c r="AD10" s="173">
        <v>1842.3</v>
      </c>
      <c r="AE10" s="173">
        <v>1856</v>
      </c>
      <c r="AF10" s="173">
        <v>1869.7</v>
      </c>
      <c r="AG10" s="173">
        <v>1883.39</v>
      </c>
      <c r="AH10" s="173">
        <v>1897.09</v>
      </c>
      <c r="AI10" s="173">
        <v>1910.78</v>
      </c>
      <c r="AJ10" s="173">
        <v>1924.48</v>
      </c>
      <c r="AK10" s="173">
        <v>1938.18</v>
      </c>
      <c r="AL10" s="173">
        <v>1951.87</v>
      </c>
      <c r="AM10" s="173">
        <v>1965.57</v>
      </c>
      <c r="AN10" s="173">
        <v>1979.26</v>
      </c>
      <c r="AO10" s="173">
        <v>1992.96</v>
      </c>
      <c r="AP10" s="173">
        <f>AO10+13.8</f>
        <v>2006.76</v>
      </c>
      <c r="AQ10" s="173">
        <f t="shared" ref="AQ10:BC10" si="33">AP10+13.8</f>
        <v>2020.56</v>
      </c>
      <c r="AR10" s="173">
        <f t="shared" si="33"/>
        <v>2034.36</v>
      </c>
      <c r="AS10" s="173">
        <f t="shared" si="33"/>
        <v>2048.16</v>
      </c>
      <c r="AT10" s="173">
        <f t="shared" si="33"/>
        <v>2061.96</v>
      </c>
      <c r="AU10" s="173">
        <f t="shared" si="33"/>
        <v>2075.7600000000002</v>
      </c>
      <c r="AV10" s="173">
        <f t="shared" si="33"/>
        <v>2089.5600000000004</v>
      </c>
      <c r="AW10" s="173">
        <f t="shared" si="33"/>
        <v>2103.3600000000006</v>
      </c>
      <c r="AX10" s="173">
        <f t="shared" si="33"/>
        <v>2117.1600000000008</v>
      </c>
      <c r="AY10" s="173">
        <f t="shared" si="33"/>
        <v>2130.9600000000009</v>
      </c>
      <c r="AZ10" s="173">
        <f t="shared" si="33"/>
        <v>2144.7600000000011</v>
      </c>
      <c r="BA10" s="173">
        <f t="shared" si="33"/>
        <v>2158.5600000000013</v>
      </c>
      <c r="BB10" s="173">
        <f t="shared" si="33"/>
        <v>2172.3600000000015</v>
      </c>
      <c r="BC10" s="173">
        <f t="shared" si="33"/>
        <v>2186.1600000000017</v>
      </c>
      <c r="BD10" s="173">
        <f t="shared" ref="BD10" si="34">BC10+13.8</f>
        <v>2199.9600000000019</v>
      </c>
      <c r="BE10" s="173">
        <f t="shared" ref="BE10" si="35">BD10+13.8</f>
        <v>2213.760000000002</v>
      </c>
      <c r="BF10" s="173">
        <f t="shared" ref="BF10" si="36">BE10+13.8</f>
        <v>2227.5600000000022</v>
      </c>
      <c r="BG10" s="173">
        <f t="shared" ref="BG10" si="37">BF10+13.8</f>
        <v>2241.3600000000024</v>
      </c>
      <c r="BH10" s="173">
        <f t="shared" ref="BH10" si="38">BG10+13.8</f>
        <v>2255.1600000000026</v>
      </c>
      <c r="BI10" s="173">
        <f t="shared" ref="BI10" si="39">BH10+13.8</f>
        <v>2268.9600000000028</v>
      </c>
      <c r="BJ10" s="173">
        <f t="shared" ref="BJ10" si="40">BI10+13.8</f>
        <v>2282.7600000000029</v>
      </c>
      <c r="BK10" s="173">
        <f t="shared" ref="BK10" si="41">BJ10+13.8</f>
        <v>2296.5600000000031</v>
      </c>
      <c r="BL10" s="173">
        <f t="shared" ref="BL10" si="42">BK10+13.8</f>
        <v>2310.3600000000033</v>
      </c>
      <c r="BM10" s="173">
        <f t="shared" ref="BM10" si="43">BL10+13.8</f>
        <v>2324.1600000000035</v>
      </c>
      <c r="BN10" s="173">
        <f t="shared" ref="BN10" si="44">BM10+13.8</f>
        <v>2337.9600000000037</v>
      </c>
      <c r="BO10" s="173">
        <f t="shared" ref="BO10" si="45">BN10+13.8</f>
        <v>2351.7600000000039</v>
      </c>
      <c r="BP10" s="173">
        <f t="shared" ref="BP10" si="46">BO10+13.8</f>
        <v>2365.560000000004</v>
      </c>
      <c r="BQ10" s="173">
        <f t="shared" ref="BQ10" si="47">BP10+13.8</f>
        <v>2379.3600000000042</v>
      </c>
      <c r="BR10" s="173">
        <f t="shared" ref="BR10" si="48">BQ10+13.8</f>
        <v>2393.1600000000044</v>
      </c>
      <c r="BS10" s="173">
        <f t="shared" ref="BS10" si="49">BR10+13.8</f>
        <v>2406.9600000000046</v>
      </c>
      <c r="BT10" s="173">
        <f t="shared" ref="BT10" si="50">BS10+13.8</f>
        <v>2420.7600000000048</v>
      </c>
      <c r="BU10" s="173">
        <f t="shared" ref="BU10" si="51">BT10+13.8</f>
        <v>2434.5600000000049</v>
      </c>
      <c r="BV10" s="173">
        <f t="shared" ref="BV10" si="52">BU10+13.8</f>
        <v>2448.3600000000051</v>
      </c>
      <c r="BW10" s="173">
        <f t="shared" ref="BW10:BX10" si="53">BV10+13.8</f>
        <v>2462.1600000000053</v>
      </c>
      <c r="BX10" s="173">
        <f t="shared" si="53"/>
        <v>2475.9600000000055</v>
      </c>
    </row>
    <row r="11" spans="1:76" s="387" customFormat="1">
      <c r="A11" s="432" t="s">
        <v>333</v>
      </c>
      <c r="B11" s="433" t="s">
        <v>79</v>
      </c>
      <c r="C11" s="434" t="s">
        <v>334</v>
      </c>
      <c r="D11" s="435" t="s">
        <v>39</v>
      </c>
      <c r="E11" s="435" t="s">
        <v>335</v>
      </c>
      <c r="F11" s="435">
        <v>6.4</v>
      </c>
      <c r="G11" s="391" t="s">
        <v>336</v>
      </c>
      <c r="H11" s="433" t="s">
        <v>332</v>
      </c>
      <c r="I11" s="442">
        <v>16.8</v>
      </c>
      <c r="J11" s="440">
        <v>12.799999999999955</v>
      </c>
      <c r="K11" s="440">
        <v>1600</v>
      </c>
      <c r="L11" s="440">
        <v>1612.8</v>
      </c>
      <c r="M11" s="440">
        <v>1625.6</v>
      </c>
      <c r="N11" s="440">
        <v>1638.4</v>
      </c>
      <c r="O11" s="440">
        <v>1651.2</v>
      </c>
      <c r="P11" s="440">
        <v>1664</v>
      </c>
      <c r="Q11" s="440">
        <v>1676.8</v>
      </c>
      <c r="R11" s="440">
        <v>1689.6</v>
      </c>
      <c r="S11" s="440">
        <v>1702.4</v>
      </c>
      <c r="T11" s="440">
        <v>1715.2</v>
      </c>
      <c r="U11" s="440">
        <v>1728</v>
      </c>
      <c r="V11" s="440">
        <v>1740.8</v>
      </c>
      <c r="W11" s="440">
        <v>1753.6</v>
      </c>
      <c r="X11" s="440">
        <v>1766.4</v>
      </c>
      <c r="Y11" s="440">
        <v>1779.2</v>
      </c>
      <c r="Z11" s="440">
        <v>1792</v>
      </c>
      <c r="AA11" s="440">
        <v>1804.8</v>
      </c>
      <c r="AB11" s="440">
        <v>1817.6</v>
      </c>
      <c r="AC11" s="440">
        <v>1830.4</v>
      </c>
      <c r="AD11" s="440">
        <v>1843.2</v>
      </c>
      <c r="AE11" s="440">
        <v>1856</v>
      </c>
      <c r="AF11" s="440">
        <v>1868.8</v>
      </c>
      <c r="AG11" s="440">
        <v>1881.6</v>
      </c>
      <c r="AH11" s="440">
        <v>1894.4</v>
      </c>
      <c r="AI11" s="440">
        <v>1907.2</v>
      </c>
      <c r="AJ11" s="440">
        <v>1920</v>
      </c>
      <c r="AK11" s="440">
        <v>1932.8</v>
      </c>
      <c r="AL11" s="440">
        <v>1945.6</v>
      </c>
      <c r="AM11" s="440">
        <v>1958.4</v>
      </c>
      <c r="AN11" s="440">
        <v>1971.2</v>
      </c>
      <c r="AO11" s="440">
        <v>1984</v>
      </c>
      <c r="AP11" s="440">
        <f>ROUND(AO11+$J11,2)</f>
        <v>1996.8</v>
      </c>
      <c r="AQ11" s="440">
        <f t="shared" ref="AQ11:BC11" si="54">ROUND(AP11+$J11,2)</f>
        <v>2009.6</v>
      </c>
      <c r="AR11" s="440">
        <f t="shared" si="54"/>
        <v>2022.4</v>
      </c>
      <c r="AS11" s="440">
        <f t="shared" si="54"/>
        <v>2035.2</v>
      </c>
      <c r="AT11" s="440">
        <f t="shared" si="54"/>
        <v>2048</v>
      </c>
      <c r="AU11" s="440">
        <f t="shared" si="54"/>
        <v>2060.8000000000002</v>
      </c>
      <c r="AV11" s="440">
        <f t="shared" si="54"/>
        <v>2073.6</v>
      </c>
      <c r="AW11" s="440">
        <f t="shared" si="54"/>
        <v>2086.4</v>
      </c>
      <c r="AX11" s="440">
        <f t="shared" si="54"/>
        <v>2099.1999999999998</v>
      </c>
      <c r="AY11" s="440">
        <f t="shared" si="54"/>
        <v>2112</v>
      </c>
      <c r="AZ11" s="440">
        <f t="shared" si="54"/>
        <v>2124.8000000000002</v>
      </c>
      <c r="BA11" s="440">
        <f t="shared" si="54"/>
        <v>2137.6</v>
      </c>
      <c r="BB11" s="440">
        <f t="shared" si="54"/>
        <v>2150.4</v>
      </c>
      <c r="BC11" s="440">
        <f t="shared" si="54"/>
        <v>2163.1999999999998</v>
      </c>
      <c r="BD11" s="440">
        <f t="shared" ref="BD11:BD13" si="55">ROUND(BC11+$J11,2)</f>
        <v>2176</v>
      </c>
      <c r="BE11" s="440">
        <f t="shared" ref="BE11:BE13" si="56">ROUND(BD11+$J11,2)</f>
        <v>2188.8000000000002</v>
      </c>
      <c r="BF11" s="440">
        <f t="shared" ref="BF11:BF13" si="57">ROUND(BE11+$J11,2)</f>
        <v>2201.6</v>
      </c>
      <c r="BG11" s="440">
        <f t="shared" ref="BG11:BG13" si="58">ROUND(BF11+$J11,2)</f>
        <v>2214.4</v>
      </c>
      <c r="BH11" s="440">
        <f t="shared" ref="BH11:BH13" si="59">ROUND(BG11+$J11,2)</f>
        <v>2227.1999999999998</v>
      </c>
      <c r="BI11" s="440">
        <f t="shared" ref="BI11:BI13" si="60">ROUND(BH11+$J11,2)</f>
        <v>2240</v>
      </c>
      <c r="BJ11" s="440">
        <f t="shared" ref="BJ11:BJ13" si="61">ROUND(BI11+$J11,2)</f>
        <v>2252.8000000000002</v>
      </c>
      <c r="BK11" s="440">
        <f t="shared" ref="BK11:BK13" si="62">ROUND(BJ11+$J11,2)</f>
        <v>2265.6</v>
      </c>
      <c r="BL11" s="440">
        <f t="shared" ref="BL11:BL13" si="63">ROUND(BK11+$J11,2)</f>
        <v>2278.4</v>
      </c>
      <c r="BM11" s="440">
        <f t="shared" ref="BM11:BM13" si="64">ROUND(BL11+$J11,2)</f>
        <v>2291.1999999999998</v>
      </c>
      <c r="BN11" s="440">
        <f t="shared" ref="BN11:BN13" si="65">ROUND(BM11+$J11,2)</f>
        <v>2304</v>
      </c>
      <c r="BO11" s="440">
        <f t="shared" ref="BO11:BO13" si="66">ROUND(BN11+$J11,2)</f>
        <v>2316.8000000000002</v>
      </c>
      <c r="BP11" s="440">
        <f t="shared" ref="BP11:BP13" si="67">ROUND(BO11+$J11,2)</f>
        <v>2329.6</v>
      </c>
      <c r="BQ11" s="440">
        <f t="shared" ref="BQ11:BQ13" si="68">ROUND(BP11+$J11,2)</f>
        <v>2342.4</v>
      </c>
      <c r="BR11" s="440">
        <f t="shared" ref="BR11:BR13" si="69">ROUND(BQ11+$J11,2)</f>
        <v>2355.1999999999998</v>
      </c>
      <c r="BS11" s="440">
        <f t="shared" ref="BS11:BS13" si="70">ROUND(BR11+$J11,2)</f>
        <v>2368</v>
      </c>
      <c r="BT11" s="440">
        <f t="shared" ref="BT11:BT13" si="71">ROUND(BS11+$J11,2)</f>
        <v>2380.8000000000002</v>
      </c>
      <c r="BU11" s="440">
        <f t="shared" ref="BU11:BU13" si="72">ROUND(BT11+$J11,2)</f>
        <v>2393.6</v>
      </c>
      <c r="BV11" s="440">
        <f t="shared" ref="BV11:BV13" si="73">ROUND(BU11+$J11,2)</f>
        <v>2406.4</v>
      </c>
      <c r="BW11" s="440">
        <f t="shared" ref="BW11:BX23" si="74">ROUND(BV11+$J11,2)</f>
        <v>2419.1999999999998</v>
      </c>
      <c r="BX11" s="440">
        <f t="shared" si="74"/>
        <v>2432</v>
      </c>
    </row>
    <row r="12" spans="1:76" s="59" customFormat="1">
      <c r="A12" s="56" t="s">
        <v>337</v>
      </c>
      <c r="B12" s="54" t="s">
        <v>79</v>
      </c>
      <c r="C12" s="110" t="s">
        <v>21</v>
      </c>
      <c r="D12" s="431" t="s">
        <v>39</v>
      </c>
      <c r="E12" s="431" t="s">
        <v>338</v>
      </c>
      <c r="F12" s="431">
        <v>6.4</v>
      </c>
      <c r="G12" s="390" t="s">
        <v>331</v>
      </c>
      <c r="H12" s="54" t="s">
        <v>332</v>
      </c>
      <c r="I12" s="447">
        <v>16.8</v>
      </c>
      <c r="J12" s="17">
        <v>12.799999999999955</v>
      </c>
      <c r="K12" s="17">
        <v>1587.2</v>
      </c>
      <c r="L12" s="17">
        <v>1600</v>
      </c>
      <c r="M12" s="17">
        <v>1612.8</v>
      </c>
      <c r="N12" s="17">
        <v>1625.6</v>
      </c>
      <c r="O12" s="17">
        <v>1638.4</v>
      </c>
      <c r="P12" s="17">
        <v>1651.2</v>
      </c>
      <c r="Q12" s="17">
        <v>1664</v>
      </c>
      <c r="R12" s="17">
        <v>1676.8</v>
      </c>
      <c r="S12" s="17">
        <v>1689.6</v>
      </c>
      <c r="T12" s="17">
        <v>1702.4</v>
      </c>
      <c r="U12" s="17">
        <v>1715.2</v>
      </c>
      <c r="V12" s="17">
        <v>1728</v>
      </c>
      <c r="W12" s="17">
        <v>1740.8</v>
      </c>
      <c r="X12" s="17">
        <v>1753.6</v>
      </c>
      <c r="Y12" s="17">
        <v>1766.4</v>
      </c>
      <c r="Z12" s="17">
        <v>1779.2</v>
      </c>
      <c r="AA12" s="17">
        <v>1792</v>
      </c>
      <c r="AB12" s="17">
        <v>1804.8</v>
      </c>
      <c r="AC12" s="17">
        <v>1817.6</v>
      </c>
      <c r="AD12" s="17">
        <v>1830.4</v>
      </c>
      <c r="AE12" s="17">
        <v>1843.2</v>
      </c>
      <c r="AF12" s="17">
        <v>1856</v>
      </c>
      <c r="AG12" s="17">
        <v>1868.8</v>
      </c>
      <c r="AH12" s="17">
        <v>1881.6</v>
      </c>
      <c r="AI12" s="17">
        <v>1894.4</v>
      </c>
      <c r="AJ12" s="17">
        <v>1907.2</v>
      </c>
      <c r="AK12" s="17">
        <v>1920</v>
      </c>
      <c r="AL12" s="17">
        <v>1932.8</v>
      </c>
      <c r="AM12" s="17">
        <v>1945.6</v>
      </c>
      <c r="AN12" s="17">
        <v>1958.4</v>
      </c>
      <c r="AO12" s="17">
        <v>1971.2</v>
      </c>
      <c r="AP12" s="17">
        <f t="shared" ref="AP12:BC44" si="75">ROUND(AO12+$J12,2)</f>
        <v>1984</v>
      </c>
      <c r="AQ12" s="17">
        <f t="shared" si="75"/>
        <v>1996.8</v>
      </c>
      <c r="AR12" s="17">
        <f t="shared" si="75"/>
        <v>2009.6</v>
      </c>
      <c r="AS12" s="17">
        <f t="shared" si="75"/>
        <v>2022.4</v>
      </c>
      <c r="AT12" s="17">
        <f t="shared" si="75"/>
        <v>2035.2</v>
      </c>
      <c r="AU12" s="17">
        <f t="shared" si="75"/>
        <v>2048</v>
      </c>
      <c r="AV12" s="17">
        <f t="shared" si="75"/>
        <v>2060.8000000000002</v>
      </c>
      <c r="AW12" s="17">
        <f t="shared" si="75"/>
        <v>2073.6</v>
      </c>
      <c r="AX12" s="17">
        <f t="shared" si="75"/>
        <v>2086.4</v>
      </c>
      <c r="AY12" s="17">
        <f t="shared" si="75"/>
        <v>2099.1999999999998</v>
      </c>
      <c r="AZ12" s="17">
        <f t="shared" si="75"/>
        <v>2112</v>
      </c>
      <c r="BA12" s="17">
        <f t="shared" si="75"/>
        <v>2124.8000000000002</v>
      </c>
      <c r="BB12" s="17">
        <f t="shared" si="75"/>
        <v>2137.6</v>
      </c>
      <c r="BC12" s="17">
        <f t="shared" si="75"/>
        <v>2150.4</v>
      </c>
      <c r="BD12" s="17">
        <f t="shared" si="55"/>
        <v>2163.1999999999998</v>
      </c>
      <c r="BE12" s="17">
        <f t="shared" si="56"/>
        <v>2176</v>
      </c>
      <c r="BF12" s="17">
        <f t="shared" si="57"/>
        <v>2188.8000000000002</v>
      </c>
      <c r="BG12" s="17">
        <f t="shared" si="58"/>
        <v>2201.6</v>
      </c>
      <c r="BH12" s="17">
        <f t="shared" si="59"/>
        <v>2214.4</v>
      </c>
      <c r="BI12" s="17">
        <f t="shared" si="60"/>
        <v>2227.1999999999998</v>
      </c>
      <c r="BJ12" s="17">
        <f t="shared" si="61"/>
        <v>2240</v>
      </c>
      <c r="BK12" s="17">
        <f t="shared" si="62"/>
        <v>2252.8000000000002</v>
      </c>
      <c r="BL12" s="17">
        <f t="shared" si="63"/>
        <v>2265.6</v>
      </c>
      <c r="BM12" s="17">
        <f t="shared" si="64"/>
        <v>2278.4</v>
      </c>
      <c r="BN12" s="17">
        <f t="shared" si="65"/>
        <v>2291.1999999999998</v>
      </c>
      <c r="BO12" s="17">
        <f t="shared" si="66"/>
        <v>2304</v>
      </c>
      <c r="BP12" s="17">
        <f t="shared" si="67"/>
        <v>2316.8000000000002</v>
      </c>
      <c r="BQ12" s="17">
        <f t="shared" si="68"/>
        <v>2329.6</v>
      </c>
      <c r="BR12" s="17">
        <f t="shared" si="69"/>
        <v>2342.4</v>
      </c>
      <c r="BS12" s="17">
        <f t="shared" si="70"/>
        <v>2355.1999999999998</v>
      </c>
      <c r="BT12" s="17">
        <f t="shared" si="71"/>
        <v>2368</v>
      </c>
      <c r="BU12" s="17">
        <f t="shared" si="72"/>
        <v>2380.8000000000002</v>
      </c>
      <c r="BV12" s="17">
        <f t="shared" si="73"/>
        <v>2393.6</v>
      </c>
      <c r="BW12" s="17">
        <f t="shared" si="74"/>
        <v>2406.4</v>
      </c>
      <c r="BX12" s="17">
        <f t="shared" si="74"/>
        <v>2419.1999999999998</v>
      </c>
    </row>
    <row r="13" spans="1:76" s="59" customFormat="1">
      <c r="A13" s="56" t="s">
        <v>339</v>
      </c>
      <c r="B13" s="54" t="s">
        <v>79</v>
      </c>
      <c r="C13" s="110" t="s">
        <v>21</v>
      </c>
      <c r="D13" s="431" t="s">
        <v>39</v>
      </c>
      <c r="E13" s="431" t="s">
        <v>338</v>
      </c>
      <c r="F13" s="431">
        <v>6.4</v>
      </c>
      <c r="G13" s="390" t="s">
        <v>331</v>
      </c>
      <c r="H13" s="54" t="s">
        <v>340</v>
      </c>
      <c r="I13" s="447">
        <v>16.8</v>
      </c>
      <c r="J13" s="17">
        <v>12.799999999999955</v>
      </c>
      <c r="K13" s="17">
        <v>1548.8</v>
      </c>
      <c r="L13" s="17">
        <v>1561.6</v>
      </c>
      <c r="M13" s="17">
        <v>1574.4</v>
      </c>
      <c r="N13" s="17">
        <v>1587.2</v>
      </c>
      <c r="O13" s="17">
        <v>1600</v>
      </c>
      <c r="P13" s="17">
        <v>1612.8</v>
      </c>
      <c r="Q13" s="17">
        <v>1625.6</v>
      </c>
      <c r="R13" s="17">
        <v>1638.4</v>
      </c>
      <c r="S13" s="17">
        <v>1651.2</v>
      </c>
      <c r="T13" s="17">
        <v>1664</v>
      </c>
      <c r="U13" s="17">
        <v>1676.8</v>
      </c>
      <c r="V13" s="17">
        <v>1689.6</v>
      </c>
      <c r="W13" s="17">
        <v>1702.4</v>
      </c>
      <c r="X13" s="17">
        <v>1715.2</v>
      </c>
      <c r="Y13" s="17">
        <v>1728</v>
      </c>
      <c r="Z13" s="17">
        <v>1740.8</v>
      </c>
      <c r="AA13" s="17">
        <v>1753.6</v>
      </c>
      <c r="AB13" s="17">
        <v>1766.4</v>
      </c>
      <c r="AC13" s="17">
        <v>1779.2</v>
      </c>
      <c r="AD13" s="17">
        <v>1792</v>
      </c>
      <c r="AE13" s="17">
        <v>1804.8</v>
      </c>
      <c r="AF13" s="17">
        <v>1817.6</v>
      </c>
      <c r="AG13" s="17">
        <v>1830.4</v>
      </c>
      <c r="AH13" s="17">
        <v>1843.2</v>
      </c>
      <c r="AI13" s="17">
        <v>1856</v>
      </c>
      <c r="AJ13" s="17">
        <v>1868.8</v>
      </c>
      <c r="AK13" s="17">
        <v>1881.6</v>
      </c>
      <c r="AL13" s="17">
        <v>1894.4</v>
      </c>
      <c r="AM13" s="17">
        <v>1907.2</v>
      </c>
      <c r="AN13" s="17">
        <v>1920</v>
      </c>
      <c r="AO13" s="17">
        <v>1932.8</v>
      </c>
      <c r="AP13" s="17">
        <f t="shared" si="75"/>
        <v>1945.6</v>
      </c>
      <c r="AQ13" s="17">
        <f t="shared" si="75"/>
        <v>1958.4</v>
      </c>
      <c r="AR13" s="17">
        <f t="shared" si="75"/>
        <v>1971.2</v>
      </c>
      <c r="AS13" s="17">
        <f t="shared" si="75"/>
        <v>1984</v>
      </c>
      <c r="AT13" s="17">
        <f t="shared" si="75"/>
        <v>1996.8</v>
      </c>
      <c r="AU13" s="17">
        <f t="shared" si="75"/>
        <v>2009.6</v>
      </c>
      <c r="AV13" s="17">
        <f t="shared" si="75"/>
        <v>2022.4</v>
      </c>
      <c r="AW13" s="17">
        <f t="shared" si="75"/>
        <v>2035.2</v>
      </c>
      <c r="AX13" s="17">
        <f t="shared" si="75"/>
        <v>2048</v>
      </c>
      <c r="AY13" s="17">
        <f t="shared" si="75"/>
        <v>2060.8000000000002</v>
      </c>
      <c r="AZ13" s="17">
        <f t="shared" si="75"/>
        <v>2073.6</v>
      </c>
      <c r="BA13" s="17">
        <f t="shared" si="75"/>
        <v>2086.4</v>
      </c>
      <c r="BB13" s="17">
        <f t="shared" si="75"/>
        <v>2099.1999999999998</v>
      </c>
      <c r="BC13" s="17">
        <f t="shared" si="75"/>
        <v>2112</v>
      </c>
      <c r="BD13" s="17">
        <f t="shared" si="55"/>
        <v>2124.8000000000002</v>
      </c>
      <c r="BE13" s="17">
        <f t="shared" si="56"/>
        <v>2137.6</v>
      </c>
      <c r="BF13" s="17">
        <f t="shared" si="57"/>
        <v>2150.4</v>
      </c>
      <c r="BG13" s="17">
        <f t="shared" si="58"/>
        <v>2163.1999999999998</v>
      </c>
      <c r="BH13" s="17">
        <f t="shared" si="59"/>
        <v>2176</v>
      </c>
      <c r="BI13" s="17">
        <f t="shared" si="60"/>
        <v>2188.8000000000002</v>
      </c>
      <c r="BJ13" s="17">
        <f t="shared" si="61"/>
        <v>2201.6</v>
      </c>
      <c r="BK13" s="17">
        <f t="shared" si="62"/>
        <v>2214.4</v>
      </c>
      <c r="BL13" s="17">
        <f t="shared" si="63"/>
        <v>2227.1999999999998</v>
      </c>
      <c r="BM13" s="17">
        <f t="shared" si="64"/>
        <v>2240</v>
      </c>
      <c r="BN13" s="17">
        <f t="shared" si="65"/>
        <v>2252.8000000000002</v>
      </c>
      <c r="BO13" s="17">
        <f t="shared" si="66"/>
        <v>2265.6</v>
      </c>
      <c r="BP13" s="17">
        <f t="shared" si="67"/>
        <v>2278.4</v>
      </c>
      <c r="BQ13" s="17">
        <f t="shared" si="68"/>
        <v>2291.1999999999998</v>
      </c>
      <c r="BR13" s="17">
        <f t="shared" si="69"/>
        <v>2304</v>
      </c>
      <c r="BS13" s="17">
        <f t="shared" si="70"/>
        <v>2316.8000000000002</v>
      </c>
      <c r="BT13" s="17">
        <f t="shared" si="71"/>
        <v>2329.6</v>
      </c>
      <c r="BU13" s="17">
        <f t="shared" si="72"/>
        <v>2342.4</v>
      </c>
      <c r="BV13" s="17">
        <f t="shared" si="73"/>
        <v>2355.1999999999998</v>
      </c>
      <c r="BW13" s="17">
        <f t="shared" si="74"/>
        <v>2368</v>
      </c>
      <c r="BX13" s="17">
        <f t="shared" si="74"/>
        <v>2380.8000000000002</v>
      </c>
    </row>
    <row r="14" spans="1:76">
      <c r="A14" s="56"/>
      <c r="B14" s="54"/>
      <c r="C14" s="110"/>
      <c r="D14" s="431"/>
      <c r="E14" s="431"/>
      <c r="F14" s="431"/>
      <c r="G14" s="110"/>
      <c r="H14" s="54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</row>
    <row r="15" spans="1:76">
      <c r="A15" s="105" t="s">
        <v>341</v>
      </c>
      <c r="B15" s="54"/>
      <c r="C15" s="110"/>
      <c r="D15" s="431"/>
      <c r="E15" s="431"/>
      <c r="F15" s="431"/>
      <c r="G15" s="110"/>
      <c r="H15" s="54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</row>
    <row r="16" spans="1:76" s="385" customFormat="1">
      <c r="A16" s="432" t="s">
        <v>342</v>
      </c>
      <c r="B16" s="433" t="s">
        <v>79</v>
      </c>
      <c r="C16" s="434" t="s">
        <v>343</v>
      </c>
      <c r="D16" s="433" t="s">
        <v>31</v>
      </c>
      <c r="E16" s="435" t="s">
        <v>330</v>
      </c>
      <c r="F16" s="435">
        <v>6.4</v>
      </c>
      <c r="G16" s="434" t="s">
        <v>344</v>
      </c>
      <c r="H16" s="435" t="s">
        <v>345</v>
      </c>
      <c r="I16" s="515">
        <v>1.6719999999999999</v>
      </c>
      <c r="J16" s="386">
        <v>0</v>
      </c>
      <c r="K16" s="386">
        <v>939.07</v>
      </c>
      <c r="L16" s="386">
        <v>939.07</v>
      </c>
      <c r="M16" s="386">
        <v>939.07</v>
      </c>
      <c r="N16" s="386">
        <v>939.07</v>
      </c>
      <c r="O16" s="386">
        <v>939.07</v>
      </c>
      <c r="P16" s="386">
        <v>939.07</v>
      </c>
      <c r="Q16" s="386">
        <v>939.07</v>
      </c>
      <c r="R16" s="386">
        <v>939.07</v>
      </c>
      <c r="S16" s="386">
        <v>939.07</v>
      </c>
      <c r="T16" s="386">
        <v>939.07</v>
      </c>
      <c r="U16" s="386">
        <v>939.07</v>
      </c>
      <c r="V16" s="386">
        <v>939.07</v>
      </c>
      <c r="W16" s="386">
        <v>939.07</v>
      </c>
      <c r="X16" s="386">
        <v>939.07</v>
      </c>
      <c r="Y16" s="386">
        <v>939.07</v>
      </c>
      <c r="Z16" s="386">
        <v>939.07</v>
      </c>
      <c r="AA16" s="386">
        <v>939.07</v>
      </c>
      <c r="AB16" s="386">
        <v>939.07</v>
      </c>
      <c r="AC16" s="386">
        <v>939.07</v>
      </c>
      <c r="AD16" s="386">
        <v>939.07</v>
      </c>
      <c r="AE16" s="386">
        <v>939.07</v>
      </c>
      <c r="AF16" s="386">
        <v>939.07</v>
      </c>
      <c r="AG16" s="386">
        <v>939.07</v>
      </c>
      <c r="AH16" s="386">
        <v>939.07</v>
      </c>
      <c r="AI16" s="386">
        <v>939.07</v>
      </c>
      <c r="AJ16" s="386">
        <v>939.07</v>
      </c>
      <c r="AK16" s="386">
        <v>939.07</v>
      </c>
      <c r="AL16" s="386">
        <v>939.07</v>
      </c>
      <c r="AM16" s="386">
        <v>939.07</v>
      </c>
      <c r="AN16" s="386">
        <v>939.07</v>
      </c>
      <c r="AO16" s="386">
        <v>939.07</v>
      </c>
      <c r="AP16" s="386">
        <f t="shared" si="75"/>
        <v>939.07</v>
      </c>
      <c r="AQ16" s="386">
        <f t="shared" si="75"/>
        <v>939.07</v>
      </c>
      <c r="AR16" s="386">
        <f t="shared" si="75"/>
        <v>939.07</v>
      </c>
      <c r="AS16" s="386">
        <f t="shared" si="75"/>
        <v>939.07</v>
      </c>
      <c r="AT16" s="386">
        <f t="shared" si="75"/>
        <v>939.07</v>
      </c>
      <c r="AU16" s="386">
        <f t="shared" si="75"/>
        <v>939.07</v>
      </c>
      <c r="AV16" s="386">
        <f t="shared" si="75"/>
        <v>939.07</v>
      </c>
      <c r="AW16" s="386">
        <f t="shared" si="75"/>
        <v>939.07</v>
      </c>
      <c r="AX16" s="386">
        <f t="shared" si="75"/>
        <v>939.07</v>
      </c>
      <c r="AY16" s="386">
        <f t="shared" si="75"/>
        <v>939.07</v>
      </c>
      <c r="AZ16" s="386">
        <f t="shared" si="75"/>
        <v>939.07</v>
      </c>
      <c r="BA16" s="386">
        <f t="shared" si="75"/>
        <v>939.07</v>
      </c>
      <c r="BB16" s="386">
        <f t="shared" si="75"/>
        <v>939.07</v>
      </c>
      <c r="BC16" s="386">
        <f t="shared" si="75"/>
        <v>939.07</v>
      </c>
      <c r="BD16" s="386">
        <f t="shared" ref="BD16:BD18" si="76">ROUND(BC16+$J16,2)</f>
        <v>939.07</v>
      </c>
      <c r="BE16" s="386">
        <f t="shared" ref="BE16:BE18" si="77">ROUND(BD16+$J16,2)</f>
        <v>939.07</v>
      </c>
      <c r="BF16" s="386">
        <f t="shared" ref="BF16:BF18" si="78">ROUND(BE16+$J16,2)</f>
        <v>939.07</v>
      </c>
      <c r="BG16" s="386">
        <f t="shared" ref="BG16:BG18" si="79">ROUND(BF16+$J16,2)</f>
        <v>939.07</v>
      </c>
      <c r="BH16" s="386">
        <f t="shared" ref="BH16:BH18" si="80">ROUND(BG16+$J16,2)</f>
        <v>939.07</v>
      </c>
      <c r="BI16" s="386">
        <f t="shared" ref="BI16:BI18" si="81">ROUND(BH16+$J16,2)</f>
        <v>939.07</v>
      </c>
      <c r="BJ16" s="386">
        <f t="shared" ref="BJ16:BJ18" si="82">ROUND(BI16+$J16,2)</f>
        <v>939.07</v>
      </c>
      <c r="BK16" s="386">
        <f t="shared" ref="BK16:BK18" si="83">ROUND(BJ16+$J16,2)</f>
        <v>939.07</v>
      </c>
      <c r="BL16" s="386">
        <f t="shared" ref="BL16:BL18" si="84">ROUND(BK16+$J16,2)</f>
        <v>939.07</v>
      </c>
      <c r="BM16" s="386">
        <f t="shared" ref="BM16:BM18" si="85">ROUND(BL16+$J16,2)</f>
        <v>939.07</v>
      </c>
      <c r="BN16" s="386">
        <f t="shared" ref="BN16:BN18" si="86">ROUND(BM16+$J16,2)</f>
        <v>939.07</v>
      </c>
      <c r="BO16" s="386">
        <f t="shared" ref="BO16:BO18" si="87">ROUND(BN16+$J16,2)</f>
        <v>939.07</v>
      </c>
      <c r="BP16" s="386">
        <f t="shared" ref="BP16:BP18" si="88">ROUND(BO16+$J16,2)</f>
        <v>939.07</v>
      </c>
      <c r="BQ16" s="386">
        <f t="shared" ref="BQ16:BQ18" si="89">ROUND(BP16+$J16,2)</f>
        <v>939.07</v>
      </c>
      <c r="BR16" s="386">
        <f t="shared" ref="BR16:BR18" si="90">ROUND(BQ16+$J16,2)</f>
        <v>939.07</v>
      </c>
      <c r="BS16" s="386">
        <f t="shared" ref="BS16:BS18" si="91">ROUND(BR16+$J16,2)</f>
        <v>939.07</v>
      </c>
      <c r="BT16" s="386">
        <f t="shared" ref="BT16:BT18" si="92">ROUND(BS16+$J16,2)</f>
        <v>939.07</v>
      </c>
      <c r="BU16" s="386">
        <f t="shared" ref="BU16:BU18" si="93">ROUND(BT16+$J16,2)</f>
        <v>939.07</v>
      </c>
      <c r="BV16" s="386">
        <f t="shared" ref="BV16:BV18" si="94">ROUND(BU16+$J16,2)</f>
        <v>939.07</v>
      </c>
      <c r="BW16" s="386">
        <f t="shared" ref="BW16:BW18" si="95">ROUND(BV16+$J16,2)</f>
        <v>939.07</v>
      </c>
      <c r="BX16" s="386">
        <f t="shared" si="74"/>
        <v>939.07</v>
      </c>
    </row>
    <row r="17" spans="1:76">
      <c r="A17" s="56" t="s">
        <v>342</v>
      </c>
      <c r="B17" s="54" t="s">
        <v>79</v>
      </c>
      <c r="C17" s="110" t="s">
        <v>343</v>
      </c>
      <c r="D17" s="431" t="s">
        <v>346</v>
      </c>
      <c r="E17" s="431" t="s">
        <v>330</v>
      </c>
      <c r="F17" s="431">
        <v>6.4</v>
      </c>
      <c r="G17" s="390" t="s">
        <v>331</v>
      </c>
      <c r="H17" s="431" t="s">
        <v>345</v>
      </c>
      <c r="I17" s="516">
        <v>1.6719999999999999</v>
      </c>
      <c r="J17" s="17">
        <v>0</v>
      </c>
      <c r="K17" s="17">
        <v>939.07</v>
      </c>
      <c r="L17" s="17">
        <v>939.07</v>
      </c>
      <c r="M17" s="17">
        <v>939.07</v>
      </c>
      <c r="N17" s="17">
        <v>939.07</v>
      </c>
      <c r="O17" s="17">
        <v>939.07</v>
      </c>
      <c r="P17" s="17">
        <v>939.07</v>
      </c>
      <c r="Q17" s="17">
        <v>939.07</v>
      </c>
      <c r="R17" s="17">
        <v>939.07</v>
      </c>
      <c r="S17" s="17">
        <v>939.07</v>
      </c>
      <c r="T17" s="17">
        <v>939.07</v>
      </c>
      <c r="U17" s="17">
        <v>939.07</v>
      </c>
      <c r="V17" s="17">
        <v>939.07</v>
      </c>
      <c r="W17" s="17">
        <v>939.07</v>
      </c>
      <c r="X17" s="17">
        <v>939.07</v>
      </c>
      <c r="Y17" s="17">
        <v>939.07</v>
      </c>
      <c r="Z17" s="17">
        <v>939.07</v>
      </c>
      <c r="AA17" s="17">
        <v>939.07</v>
      </c>
      <c r="AB17" s="17">
        <v>939.07</v>
      </c>
      <c r="AC17" s="17">
        <v>939.07</v>
      </c>
      <c r="AD17" s="17">
        <v>939.07</v>
      </c>
      <c r="AE17" s="17">
        <v>939.07</v>
      </c>
      <c r="AF17" s="17">
        <v>939.07</v>
      </c>
      <c r="AG17" s="17">
        <v>939.07</v>
      </c>
      <c r="AH17" s="17">
        <v>939.07</v>
      </c>
      <c r="AI17" s="17">
        <v>939.07</v>
      </c>
      <c r="AJ17" s="17">
        <v>939.07</v>
      </c>
      <c r="AK17" s="17">
        <v>939.07</v>
      </c>
      <c r="AL17" s="17">
        <v>939.07</v>
      </c>
      <c r="AM17" s="17">
        <v>939.07</v>
      </c>
      <c r="AN17" s="17">
        <v>939.07</v>
      </c>
      <c r="AO17" s="17">
        <v>939.07</v>
      </c>
      <c r="AP17" s="17">
        <f t="shared" si="75"/>
        <v>939.07</v>
      </c>
      <c r="AQ17" s="17">
        <f t="shared" si="75"/>
        <v>939.07</v>
      </c>
      <c r="AR17" s="17">
        <f t="shared" si="75"/>
        <v>939.07</v>
      </c>
      <c r="AS17" s="17">
        <f t="shared" si="75"/>
        <v>939.07</v>
      </c>
      <c r="AT17" s="17">
        <f t="shared" si="75"/>
        <v>939.07</v>
      </c>
      <c r="AU17" s="17">
        <f t="shared" si="75"/>
        <v>939.07</v>
      </c>
      <c r="AV17" s="17">
        <f t="shared" si="75"/>
        <v>939.07</v>
      </c>
      <c r="AW17" s="17">
        <f t="shared" si="75"/>
        <v>939.07</v>
      </c>
      <c r="AX17" s="17">
        <f t="shared" si="75"/>
        <v>939.07</v>
      </c>
      <c r="AY17" s="17">
        <f t="shared" si="75"/>
        <v>939.07</v>
      </c>
      <c r="AZ17" s="17">
        <f t="shared" si="75"/>
        <v>939.07</v>
      </c>
      <c r="BA17" s="17">
        <f t="shared" si="75"/>
        <v>939.07</v>
      </c>
      <c r="BB17" s="17">
        <f t="shared" si="75"/>
        <v>939.07</v>
      </c>
      <c r="BC17" s="17">
        <f t="shared" si="75"/>
        <v>939.07</v>
      </c>
      <c r="BD17" s="17">
        <f t="shared" si="76"/>
        <v>939.07</v>
      </c>
      <c r="BE17" s="17">
        <f t="shared" si="77"/>
        <v>939.07</v>
      </c>
      <c r="BF17" s="17">
        <f t="shared" si="78"/>
        <v>939.07</v>
      </c>
      <c r="BG17" s="17">
        <f t="shared" si="79"/>
        <v>939.07</v>
      </c>
      <c r="BH17" s="17">
        <f t="shared" si="80"/>
        <v>939.07</v>
      </c>
      <c r="BI17" s="17">
        <f t="shared" si="81"/>
        <v>939.07</v>
      </c>
      <c r="BJ17" s="17">
        <f t="shared" si="82"/>
        <v>939.07</v>
      </c>
      <c r="BK17" s="17">
        <f t="shared" si="83"/>
        <v>939.07</v>
      </c>
      <c r="BL17" s="17">
        <f t="shared" si="84"/>
        <v>939.07</v>
      </c>
      <c r="BM17" s="17">
        <f t="shared" si="85"/>
        <v>939.07</v>
      </c>
      <c r="BN17" s="17">
        <f t="shared" si="86"/>
        <v>939.07</v>
      </c>
      <c r="BO17" s="17">
        <f t="shared" si="87"/>
        <v>939.07</v>
      </c>
      <c r="BP17" s="17">
        <f t="shared" si="88"/>
        <v>939.07</v>
      </c>
      <c r="BQ17" s="17">
        <f t="shared" si="89"/>
        <v>939.07</v>
      </c>
      <c r="BR17" s="17">
        <f t="shared" si="90"/>
        <v>939.07</v>
      </c>
      <c r="BS17" s="17">
        <f t="shared" si="91"/>
        <v>939.07</v>
      </c>
      <c r="BT17" s="17">
        <f t="shared" si="92"/>
        <v>939.07</v>
      </c>
      <c r="BU17" s="17">
        <f t="shared" si="93"/>
        <v>939.07</v>
      </c>
      <c r="BV17" s="17">
        <f t="shared" si="94"/>
        <v>939.07</v>
      </c>
      <c r="BW17" s="17">
        <f t="shared" si="95"/>
        <v>939.07</v>
      </c>
      <c r="BX17" s="17">
        <f t="shared" si="74"/>
        <v>939.07</v>
      </c>
    </row>
    <row r="18" spans="1:76">
      <c r="A18" s="436" t="s">
        <v>347</v>
      </c>
      <c r="B18" s="54" t="s">
        <v>79</v>
      </c>
      <c r="C18" s="110" t="s">
        <v>343</v>
      </c>
      <c r="D18" s="437" t="s">
        <v>348</v>
      </c>
      <c r="E18" s="431" t="s">
        <v>330</v>
      </c>
      <c r="F18" s="431">
        <v>6.4</v>
      </c>
      <c r="G18" s="390" t="s">
        <v>331</v>
      </c>
      <c r="H18" s="431" t="s">
        <v>345</v>
      </c>
      <c r="I18" s="516">
        <v>1.6719999999999999</v>
      </c>
      <c r="J18" s="17">
        <v>0</v>
      </c>
      <c r="K18" s="17">
        <v>986.05</v>
      </c>
      <c r="L18" s="17">
        <v>986.05</v>
      </c>
      <c r="M18" s="17">
        <v>986.05</v>
      </c>
      <c r="N18" s="17">
        <v>986.05</v>
      </c>
      <c r="O18" s="17">
        <v>986.05</v>
      </c>
      <c r="P18" s="17">
        <v>986.05</v>
      </c>
      <c r="Q18" s="17">
        <v>986.05</v>
      </c>
      <c r="R18" s="17">
        <v>986.05</v>
      </c>
      <c r="S18" s="17">
        <v>986.05</v>
      </c>
      <c r="T18" s="17">
        <v>986.05</v>
      </c>
      <c r="U18" s="17">
        <v>986.05</v>
      </c>
      <c r="V18" s="17">
        <v>986.05</v>
      </c>
      <c r="W18" s="17">
        <v>986.05</v>
      </c>
      <c r="X18" s="17">
        <v>986.05</v>
      </c>
      <c r="Y18" s="17">
        <v>986.05</v>
      </c>
      <c r="Z18" s="17">
        <v>986.05</v>
      </c>
      <c r="AA18" s="17">
        <v>986.05</v>
      </c>
      <c r="AB18" s="17">
        <v>986.05</v>
      </c>
      <c r="AC18" s="17">
        <v>986.05</v>
      </c>
      <c r="AD18" s="17">
        <v>986.05</v>
      </c>
      <c r="AE18" s="17">
        <v>986.05</v>
      </c>
      <c r="AF18" s="17">
        <v>986.05</v>
      </c>
      <c r="AG18" s="17">
        <v>986.05</v>
      </c>
      <c r="AH18" s="17">
        <v>986.05</v>
      </c>
      <c r="AI18" s="17">
        <v>986.05</v>
      </c>
      <c r="AJ18" s="17">
        <v>986.05</v>
      </c>
      <c r="AK18" s="17">
        <v>986.05</v>
      </c>
      <c r="AL18" s="17">
        <v>986.05</v>
      </c>
      <c r="AM18" s="17">
        <v>986.05</v>
      </c>
      <c r="AN18" s="17">
        <v>986.05</v>
      </c>
      <c r="AO18" s="17">
        <v>986.05</v>
      </c>
      <c r="AP18" s="17">
        <f t="shared" si="75"/>
        <v>986.05</v>
      </c>
      <c r="AQ18" s="17">
        <f t="shared" si="75"/>
        <v>986.05</v>
      </c>
      <c r="AR18" s="17">
        <f t="shared" si="75"/>
        <v>986.05</v>
      </c>
      <c r="AS18" s="17">
        <f t="shared" si="75"/>
        <v>986.05</v>
      </c>
      <c r="AT18" s="17">
        <f t="shared" si="75"/>
        <v>986.05</v>
      </c>
      <c r="AU18" s="17">
        <f t="shared" si="75"/>
        <v>986.05</v>
      </c>
      <c r="AV18" s="17">
        <f t="shared" si="75"/>
        <v>986.05</v>
      </c>
      <c r="AW18" s="17">
        <f t="shared" si="75"/>
        <v>986.05</v>
      </c>
      <c r="AX18" s="17">
        <f t="shared" si="75"/>
        <v>986.05</v>
      </c>
      <c r="AY18" s="17">
        <f t="shared" si="75"/>
        <v>986.05</v>
      </c>
      <c r="AZ18" s="17">
        <f t="shared" si="75"/>
        <v>986.05</v>
      </c>
      <c r="BA18" s="17">
        <f t="shared" si="75"/>
        <v>986.05</v>
      </c>
      <c r="BB18" s="17">
        <f t="shared" si="75"/>
        <v>986.05</v>
      </c>
      <c r="BC18" s="17">
        <f t="shared" si="75"/>
        <v>986.05</v>
      </c>
      <c r="BD18" s="17">
        <f t="shared" si="76"/>
        <v>986.05</v>
      </c>
      <c r="BE18" s="17">
        <f t="shared" si="77"/>
        <v>986.05</v>
      </c>
      <c r="BF18" s="17">
        <f t="shared" si="78"/>
        <v>986.05</v>
      </c>
      <c r="BG18" s="17">
        <f t="shared" si="79"/>
        <v>986.05</v>
      </c>
      <c r="BH18" s="17">
        <f t="shared" si="80"/>
        <v>986.05</v>
      </c>
      <c r="BI18" s="17">
        <f t="shared" si="81"/>
        <v>986.05</v>
      </c>
      <c r="BJ18" s="17">
        <f t="shared" si="82"/>
        <v>986.05</v>
      </c>
      <c r="BK18" s="17">
        <f t="shared" si="83"/>
        <v>986.05</v>
      </c>
      <c r="BL18" s="17">
        <f t="shared" si="84"/>
        <v>986.05</v>
      </c>
      <c r="BM18" s="17">
        <f t="shared" si="85"/>
        <v>986.05</v>
      </c>
      <c r="BN18" s="17">
        <f t="shared" si="86"/>
        <v>986.05</v>
      </c>
      <c r="BO18" s="17">
        <f t="shared" si="87"/>
        <v>986.05</v>
      </c>
      <c r="BP18" s="17">
        <f t="shared" si="88"/>
        <v>986.05</v>
      </c>
      <c r="BQ18" s="17">
        <f t="shared" si="89"/>
        <v>986.05</v>
      </c>
      <c r="BR18" s="17">
        <f t="shared" si="90"/>
        <v>986.05</v>
      </c>
      <c r="BS18" s="17">
        <f t="shared" si="91"/>
        <v>986.05</v>
      </c>
      <c r="BT18" s="17">
        <f t="shared" si="92"/>
        <v>986.05</v>
      </c>
      <c r="BU18" s="17">
        <f t="shared" si="93"/>
        <v>986.05</v>
      </c>
      <c r="BV18" s="17">
        <f t="shared" si="94"/>
        <v>986.05</v>
      </c>
      <c r="BW18" s="17">
        <f t="shared" si="95"/>
        <v>986.05</v>
      </c>
      <c r="BX18" s="17">
        <f t="shared" si="74"/>
        <v>986.05</v>
      </c>
    </row>
    <row r="19" spans="1:76">
      <c r="A19" s="56"/>
      <c r="B19" s="54"/>
      <c r="C19" s="110"/>
      <c r="D19" s="431"/>
      <c r="E19" s="431"/>
      <c r="F19" s="431"/>
      <c r="G19" s="110"/>
      <c r="H19" s="54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</row>
    <row r="20" spans="1:76">
      <c r="A20" s="56" t="s">
        <v>349</v>
      </c>
      <c r="B20" s="54" t="s">
        <v>79</v>
      </c>
      <c r="C20" s="110" t="s">
        <v>350</v>
      </c>
      <c r="D20" s="54" t="s">
        <v>31</v>
      </c>
      <c r="E20" s="431" t="s">
        <v>330</v>
      </c>
      <c r="F20" s="431">
        <v>6.4</v>
      </c>
      <c r="G20" s="390" t="s">
        <v>331</v>
      </c>
      <c r="H20" s="431" t="s">
        <v>345</v>
      </c>
      <c r="I20" s="447">
        <v>1.4079999999999999</v>
      </c>
      <c r="J20" s="17">
        <v>0</v>
      </c>
      <c r="K20" s="17">
        <v>716.8</v>
      </c>
      <c r="L20" s="17">
        <v>716.8</v>
      </c>
      <c r="M20" s="17">
        <v>716.8</v>
      </c>
      <c r="N20" s="17">
        <v>716.8</v>
      </c>
      <c r="O20" s="17">
        <v>716.8</v>
      </c>
      <c r="P20" s="17">
        <v>716.8</v>
      </c>
      <c r="Q20" s="17">
        <v>716.8</v>
      </c>
      <c r="R20" s="17">
        <v>716.8</v>
      </c>
      <c r="S20" s="17">
        <v>716.8</v>
      </c>
      <c r="T20" s="17">
        <v>716.8</v>
      </c>
      <c r="U20" s="17">
        <v>716.8</v>
      </c>
      <c r="V20" s="17">
        <v>716.8</v>
      </c>
      <c r="W20" s="17">
        <v>716.8</v>
      </c>
      <c r="X20" s="17">
        <v>716.8</v>
      </c>
      <c r="Y20" s="17">
        <v>716.8</v>
      </c>
      <c r="Z20" s="17">
        <v>716.8</v>
      </c>
      <c r="AA20" s="17">
        <v>716.8</v>
      </c>
      <c r="AB20" s="17">
        <v>716.8</v>
      </c>
      <c r="AC20" s="17">
        <v>716.8</v>
      </c>
      <c r="AD20" s="17">
        <v>716.8</v>
      </c>
      <c r="AE20" s="17">
        <v>716.8</v>
      </c>
      <c r="AF20" s="17">
        <v>716.8</v>
      </c>
      <c r="AG20" s="17">
        <v>716.8</v>
      </c>
      <c r="AH20" s="17">
        <v>716.8</v>
      </c>
      <c r="AI20" s="17">
        <v>716.8</v>
      </c>
      <c r="AJ20" s="17">
        <v>716.8</v>
      </c>
      <c r="AK20" s="17">
        <v>716.8</v>
      </c>
      <c r="AL20" s="17">
        <v>716.8</v>
      </c>
      <c r="AM20" s="17">
        <v>716.8</v>
      </c>
      <c r="AN20" s="17">
        <v>716.8</v>
      </c>
      <c r="AO20" s="17">
        <v>716.8</v>
      </c>
      <c r="AP20" s="17">
        <f t="shared" si="75"/>
        <v>716.8</v>
      </c>
      <c r="AQ20" s="17">
        <f t="shared" si="75"/>
        <v>716.8</v>
      </c>
      <c r="AR20" s="17">
        <f t="shared" si="75"/>
        <v>716.8</v>
      </c>
      <c r="AS20" s="17">
        <f t="shared" si="75"/>
        <v>716.8</v>
      </c>
      <c r="AT20" s="17">
        <f t="shared" si="75"/>
        <v>716.8</v>
      </c>
      <c r="AU20" s="17">
        <f t="shared" si="75"/>
        <v>716.8</v>
      </c>
      <c r="AV20" s="17">
        <f t="shared" si="75"/>
        <v>716.8</v>
      </c>
      <c r="AW20" s="17">
        <f t="shared" si="75"/>
        <v>716.8</v>
      </c>
      <c r="AX20" s="17">
        <f t="shared" si="75"/>
        <v>716.8</v>
      </c>
      <c r="AY20" s="17">
        <f t="shared" si="75"/>
        <v>716.8</v>
      </c>
      <c r="AZ20" s="17">
        <f t="shared" si="75"/>
        <v>716.8</v>
      </c>
      <c r="BA20" s="17">
        <f t="shared" si="75"/>
        <v>716.8</v>
      </c>
      <c r="BB20" s="17">
        <f t="shared" si="75"/>
        <v>716.8</v>
      </c>
      <c r="BC20" s="17">
        <f t="shared" si="75"/>
        <v>716.8</v>
      </c>
      <c r="BD20" s="17">
        <f t="shared" ref="BD20:BD23" si="96">ROUND(BC20+$J20,2)</f>
        <v>716.8</v>
      </c>
      <c r="BE20" s="17">
        <f t="shared" ref="BE20:BE23" si="97">ROUND(BD20+$J20,2)</f>
        <v>716.8</v>
      </c>
      <c r="BF20" s="17">
        <f t="shared" ref="BF20:BF23" si="98">ROUND(BE20+$J20,2)</f>
        <v>716.8</v>
      </c>
      <c r="BG20" s="17">
        <f t="shared" ref="BG20:BG23" si="99">ROUND(BF20+$J20,2)</f>
        <v>716.8</v>
      </c>
      <c r="BH20" s="17">
        <f t="shared" ref="BH20:BH23" si="100">ROUND(BG20+$J20,2)</f>
        <v>716.8</v>
      </c>
      <c r="BI20" s="17">
        <f t="shared" ref="BI20:BI23" si="101">ROUND(BH20+$J20,2)</f>
        <v>716.8</v>
      </c>
      <c r="BJ20" s="17">
        <f t="shared" ref="BJ20:BJ23" si="102">ROUND(BI20+$J20,2)</f>
        <v>716.8</v>
      </c>
      <c r="BK20" s="17">
        <f t="shared" ref="BK20:BK23" si="103">ROUND(BJ20+$J20,2)</f>
        <v>716.8</v>
      </c>
      <c r="BL20" s="17">
        <f t="shared" ref="BL20:BL23" si="104">ROUND(BK20+$J20,2)</f>
        <v>716.8</v>
      </c>
      <c r="BM20" s="17">
        <f t="shared" ref="BM20:BM23" si="105">ROUND(BL20+$J20,2)</f>
        <v>716.8</v>
      </c>
      <c r="BN20" s="17">
        <f t="shared" ref="BN20:BN23" si="106">ROUND(BM20+$J20,2)</f>
        <v>716.8</v>
      </c>
      <c r="BO20" s="17">
        <f t="shared" ref="BO20:BO23" si="107">ROUND(BN20+$J20,2)</f>
        <v>716.8</v>
      </c>
      <c r="BP20" s="17">
        <f t="shared" ref="BP20:BP23" si="108">ROUND(BO20+$J20,2)</f>
        <v>716.8</v>
      </c>
      <c r="BQ20" s="17">
        <f t="shared" ref="BQ20:BQ23" si="109">ROUND(BP20+$J20,2)</f>
        <v>716.8</v>
      </c>
      <c r="BR20" s="17">
        <f t="shared" ref="BR20:BR23" si="110">ROUND(BQ20+$J20,2)</f>
        <v>716.8</v>
      </c>
      <c r="BS20" s="17">
        <f t="shared" ref="BS20:BS23" si="111">ROUND(BR20+$J20,2)</f>
        <v>716.8</v>
      </c>
      <c r="BT20" s="17">
        <f t="shared" ref="BT20:BT23" si="112">ROUND(BS20+$J20,2)</f>
        <v>716.8</v>
      </c>
      <c r="BU20" s="17">
        <f t="shared" ref="BU20:BU23" si="113">ROUND(BT20+$J20,2)</f>
        <v>716.8</v>
      </c>
      <c r="BV20" s="17">
        <f t="shared" ref="BV20:BV23" si="114">ROUND(BU20+$J20,2)</f>
        <v>716.8</v>
      </c>
      <c r="BW20" s="17">
        <f t="shared" ref="BW20:BW23" si="115">ROUND(BV20+$J20,2)</f>
        <v>716.8</v>
      </c>
      <c r="BX20" s="17">
        <f t="shared" si="74"/>
        <v>716.8</v>
      </c>
    </row>
    <row r="21" spans="1:76">
      <c r="A21" s="56" t="s">
        <v>351</v>
      </c>
      <c r="B21" s="54" t="s">
        <v>79</v>
      </c>
      <c r="C21" s="110" t="s">
        <v>350</v>
      </c>
      <c r="D21" s="54" t="s">
        <v>31</v>
      </c>
      <c r="E21" s="431" t="s">
        <v>352</v>
      </c>
      <c r="F21" s="431">
        <v>6.4</v>
      </c>
      <c r="G21" s="390" t="s">
        <v>331</v>
      </c>
      <c r="H21" s="431" t="s">
        <v>345</v>
      </c>
      <c r="I21" s="447">
        <v>1.4079999999999999</v>
      </c>
      <c r="J21" s="17">
        <v>0</v>
      </c>
      <c r="K21" s="17">
        <v>729.6</v>
      </c>
      <c r="L21" s="17">
        <v>729.6</v>
      </c>
      <c r="M21" s="17">
        <v>729.6</v>
      </c>
      <c r="N21" s="17">
        <v>729.6</v>
      </c>
      <c r="O21" s="17">
        <v>729.6</v>
      </c>
      <c r="P21" s="17">
        <v>729.6</v>
      </c>
      <c r="Q21" s="17">
        <v>729.6</v>
      </c>
      <c r="R21" s="17">
        <v>729.6</v>
      </c>
      <c r="S21" s="17">
        <v>729.6</v>
      </c>
      <c r="T21" s="17">
        <v>729.6</v>
      </c>
      <c r="U21" s="17">
        <v>729.6</v>
      </c>
      <c r="V21" s="17">
        <v>729.6</v>
      </c>
      <c r="W21" s="17">
        <v>729.6</v>
      </c>
      <c r="X21" s="17">
        <v>729.6</v>
      </c>
      <c r="Y21" s="17">
        <v>729.6</v>
      </c>
      <c r="Z21" s="17">
        <v>729.6</v>
      </c>
      <c r="AA21" s="17">
        <v>729.6</v>
      </c>
      <c r="AB21" s="17">
        <v>729.6</v>
      </c>
      <c r="AC21" s="17">
        <v>729.6</v>
      </c>
      <c r="AD21" s="17">
        <v>729.6</v>
      </c>
      <c r="AE21" s="17">
        <v>729.6</v>
      </c>
      <c r="AF21" s="17">
        <v>729.6</v>
      </c>
      <c r="AG21" s="17">
        <v>729.6</v>
      </c>
      <c r="AH21" s="17">
        <v>729.6</v>
      </c>
      <c r="AI21" s="17">
        <v>729.6</v>
      </c>
      <c r="AJ21" s="17">
        <v>729.6</v>
      </c>
      <c r="AK21" s="17">
        <v>729.6</v>
      </c>
      <c r="AL21" s="17">
        <v>729.6</v>
      </c>
      <c r="AM21" s="17">
        <v>729.6</v>
      </c>
      <c r="AN21" s="17">
        <v>729.6</v>
      </c>
      <c r="AO21" s="17">
        <v>729.6</v>
      </c>
      <c r="AP21" s="17">
        <f t="shared" si="75"/>
        <v>729.6</v>
      </c>
      <c r="AQ21" s="17">
        <f t="shared" si="75"/>
        <v>729.6</v>
      </c>
      <c r="AR21" s="17">
        <f t="shared" si="75"/>
        <v>729.6</v>
      </c>
      <c r="AS21" s="17">
        <f t="shared" si="75"/>
        <v>729.6</v>
      </c>
      <c r="AT21" s="17">
        <f t="shared" si="75"/>
        <v>729.6</v>
      </c>
      <c r="AU21" s="17">
        <f t="shared" si="75"/>
        <v>729.6</v>
      </c>
      <c r="AV21" s="17">
        <f t="shared" si="75"/>
        <v>729.6</v>
      </c>
      <c r="AW21" s="17">
        <f t="shared" si="75"/>
        <v>729.6</v>
      </c>
      <c r="AX21" s="17">
        <f t="shared" si="75"/>
        <v>729.6</v>
      </c>
      <c r="AY21" s="17">
        <f t="shared" si="75"/>
        <v>729.6</v>
      </c>
      <c r="AZ21" s="17">
        <f t="shared" si="75"/>
        <v>729.6</v>
      </c>
      <c r="BA21" s="17">
        <f t="shared" si="75"/>
        <v>729.6</v>
      </c>
      <c r="BB21" s="17">
        <f t="shared" si="75"/>
        <v>729.6</v>
      </c>
      <c r="BC21" s="17">
        <f t="shared" si="75"/>
        <v>729.6</v>
      </c>
      <c r="BD21" s="17">
        <f t="shared" si="96"/>
        <v>729.6</v>
      </c>
      <c r="BE21" s="17">
        <f t="shared" si="97"/>
        <v>729.6</v>
      </c>
      <c r="BF21" s="17">
        <f t="shared" si="98"/>
        <v>729.6</v>
      </c>
      <c r="BG21" s="17">
        <f t="shared" si="99"/>
        <v>729.6</v>
      </c>
      <c r="BH21" s="17">
        <f t="shared" si="100"/>
        <v>729.6</v>
      </c>
      <c r="BI21" s="17">
        <f t="shared" si="101"/>
        <v>729.6</v>
      </c>
      <c r="BJ21" s="17">
        <f t="shared" si="102"/>
        <v>729.6</v>
      </c>
      <c r="BK21" s="17">
        <f t="shared" si="103"/>
        <v>729.6</v>
      </c>
      <c r="BL21" s="17">
        <f t="shared" si="104"/>
        <v>729.6</v>
      </c>
      <c r="BM21" s="17">
        <f t="shared" si="105"/>
        <v>729.6</v>
      </c>
      <c r="BN21" s="17">
        <f t="shared" si="106"/>
        <v>729.6</v>
      </c>
      <c r="BO21" s="17">
        <f t="shared" si="107"/>
        <v>729.6</v>
      </c>
      <c r="BP21" s="17">
        <f t="shared" si="108"/>
        <v>729.6</v>
      </c>
      <c r="BQ21" s="17">
        <f t="shared" si="109"/>
        <v>729.6</v>
      </c>
      <c r="BR21" s="17">
        <f t="shared" si="110"/>
        <v>729.6</v>
      </c>
      <c r="BS21" s="17">
        <f t="shared" si="111"/>
        <v>729.6</v>
      </c>
      <c r="BT21" s="17">
        <f t="shared" si="112"/>
        <v>729.6</v>
      </c>
      <c r="BU21" s="17">
        <f t="shared" si="113"/>
        <v>729.6</v>
      </c>
      <c r="BV21" s="17">
        <f t="shared" si="114"/>
        <v>729.6</v>
      </c>
      <c r="BW21" s="17">
        <f t="shared" si="115"/>
        <v>729.6</v>
      </c>
      <c r="BX21" s="17">
        <f t="shared" si="74"/>
        <v>729.6</v>
      </c>
    </row>
    <row r="22" spans="1:76">
      <c r="A22" s="56" t="s">
        <v>353</v>
      </c>
      <c r="B22" s="54" t="s">
        <v>79</v>
      </c>
      <c r="C22" s="110" t="s">
        <v>350</v>
      </c>
      <c r="D22" s="54" t="s">
        <v>27</v>
      </c>
      <c r="E22" s="431" t="s">
        <v>330</v>
      </c>
      <c r="F22" s="431">
        <v>6.4</v>
      </c>
      <c r="G22" s="390" t="s">
        <v>331</v>
      </c>
      <c r="H22" s="431" t="s">
        <v>345</v>
      </c>
      <c r="I22" s="447">
        <v>1.4079999999999999</v>
      </c>
      <c r="J22" s="17">
        <v>0</v>
      </c>
      <c r="K22" s="17">
        <v>691.2</v>
      </c>
      <c r="L22" s="17">
        <v>691.2</v>
      </c>
      <c r="M22" s="17">
        <v>691.2</v>
      </c>
      <c r="N22" s="17">
        <v>691.2</v>
      </c>
      <c r="O22" s="17">
        <v>691.2</v>
      </c>
      <c r="P22" s="17">
        <v>691.2</v>
      </c>
      <c r="Q22" s="17">
        <v>691.2</v>
      </c>
      <c r="R22" s="17">
        <v>691.2</v>
      </c>
      <c r="S22" s="17">
        <v>691.2</v>
      </c>
      <c r="T22" s="17">
        <v>691.2</v>
      </c>
      <c r="U22" s="17">
        <v>691.2</v>
      </c>
      <c r="V22" s="17">
        <v>691.2</v>
      </c>
      <c r="W22" s="17">
        <v>691.2</v>
      </c>
      <c r="X22" s="17">
        <v>691.2</v>
      </c>
      <c r="Y22" s="17">
        <v>691.2</v>
      </c>
      <c r="Z22" s="17">
        <v>691.2</v>
      </c>
      <c r="AA22" s="17">
        <v>691.2</v>
      </c>
      <c r="AB22" s="17">
        <v>691.2</v>
      </c>
      <c r="AC22" s="17">
        <v>691.2</v>
      </c>
      <c r="AD22" s="17">
        <v>691.2</v>
      </c>
      <c r="AE22" s="17">
        <v>691.2</v>
      </c>
      <c r="AF22" s="17">
        <v>691.2</v>
      </c>
      <c r="AG22" s="17">
        <v>691.2</v>
      </c>
      <c r="AH22" s="17">
        <v>691.2</v>
      </c>
      <c r="AI22" s="17">
        <v>691.2</v>
      </c>
      <c r="AJ22" s="17">
        <v>691.2</v>
      </c>
      <c r="AK22" s="17">
        <v>691.2</v>
      </c>
      <c r="AL22" s="17">
        <v>691.2</v>
      </c>
      <c r="AM22" s="17">
        <v>691.2</v>
      </c>
      <c r="AN22" s="17">
        <v>691.2</v>
      </c>
      <c r="AO22" s="17">
        <v>691.2</v>
      </c>
      <c r="AP22" s="17">
        <f t="shared" si="75"/>
        <v>691.2</v>
      </c>
      <c r="AQ22" s="17">
        <f t="shared" si="75"/>
        <v>691.2</v>
      </c>
      <c r="AR22" s="17">
        <f t="shared" si="75"/>
        <v>691.2</v>
      </c>
      <c r="AS22" s="17">
        <f t="shared" si="75"/>
        <v>691.2</v>
      </c>
      <c r="AT22" s="17">
        <f t="shared" si="75"/>
        <v>691.2</v>
      </c>
      <c r="AU22" s="17">
        <f t="shared" si="75"/>
        <v>691.2</v>
      </c>
      <c r="AV22" s="17">
        <f t="shared" si="75"/>
        <v>691.2</v>
      </c>
      <c r="AW22" s="17">
        <f t="shared" si="75"/>
        <v>691.2</v>
      </c>
      <c r="AX22" s="17">
        <f t="shared" si="75"/>
        <v>691.2</v>
      </c>
      <c r="AY22" s="17">
        <f t="shared" si="75"/>
        <v>691.2</v>
      </c>
      <c r="AZ22" s="17">
        <f t="shared" si="75"/>
        <v>691.2</v>
      </c>
      <c r="BA22" s="17">
        <f t="shared" si="75"/>
        <v>691.2</v>
      </c>
      <c r="BB22" s="17">
        <f t="shared" si="75"/>
        <v>691.2</v>
      </c>
      <c r="BC22" s="17">
        <f t="shared" si="75"/>
        <v>691.2</v>
      </c>
      <c r="BD22" s="17">
        <f t="shared" si="96"/>
        <v>691.2</v>
      </c>
      <c r="BE22" s="17">
        <f t="shared" si="97"/>
        <v>691.2</v>
      </c>
      <c r="BF22" s="17">
        <f t="shared" si="98"/>
        <v>691.2</v>
      </c>
      <c r="BG22" s="17">
        <f t="shared" si="99"/>
        <v>691.2</v>
      </c>
      <c r="BH22" s="17">
        <f t="shared" si="100"/>
        <v>691.2</v>
      </c>
      <c r="BI22" s="17">
        <f t="shared" si="101"/>
        <v>691.2</v>
      </c>
      <c r="BJ22" s="17">
        <f t="shared" si="102"/>
        <v>691.2</v>
      </c>
      <c r="BK22" s="17">
        <f t="shared" si="103"/>
        <v>691.2</v>
      </c>
      <c r="BL22" s="17">
        <f t="shared" si="104"/>
        <v>691.2</v>
      </c>
      <c r="BM22" s="17">
        <f t="shared" si="105"/>
        <v>691.2</v>
      </c>
      <c r="BN22" s="17">
        <f t="shared" si="106"/>
        <v>691.2</v>
      </c>
      <c r="BO22" s="17">
        <f t="shared" si="107"/>
        <v>691.2</v>
      </c>
      <c r="BP22" s="17">
        <f t="shared" si="108"/>
        <v>691.2</v>
      </c>
      <c r="BQ22" s="17">
        <f t="shared" si="109"/>
        <v>691.2</v>
      </c>
      <c r="BR22" s="17">
        <f t="shared" si="110"/>
        <v>691.2</v>
      </c>
      <c r="BS22" s="17">
        <f t="shared" si="111"/>
        <v>691.2</v>
      </c>
      <c r="BT22" s="17">
        <f t="shared" si="112"/>
        <v>691.2</v>
      </c>
      <c r="BU22" s="17">
        <f t="shared" si="113"/>
        <v>691.2</v>
      </c>
      <c r="BV22" s="17">
        <f t="shared" si="114"/>
        <v>691.2</v>
      </c>
      <c r="BW22" s="17">
        <f t="shared" si="115"/>
        <v>691.2</v>
      </c>
      <c r="BX22" s="17">
        <f t="shared" si="74"/>
        <v>691.2</v>
      </c>
    </row>
    <row r="23" spans="1:76">
      <c r="A23" s="56" t="s">
        <v>354</v>
      </c>
      <c r="B23" s="54" t="s">
        <v>79</v>
      </c>
      <c r="C23" s="110" t="s">
        <v>350</v>
      </c>
      <c r="D23" s="54" t="s">
        <v>27</v>
      </c>
      <c r="E23" s="431" t="s">
        <v>355</v>
      </c>
      <c r="F23" s="431">
        <v>6.4</v>
      </c>
      <c r="G23" s="390" t="s">
        <v>331</v>
      </c>
      <c r="H23" s="431" t="s">
        <v>345</v>
      </c>
      <c r="I23" s="447">
        <v>1.4079999999999999</v>
      </c>
      <c r="J23" s="17">
        <v>0</v>
      </c>
      <c r="K23" s="17">
        <v>704</v>
      </c>
      <c r="L23" s="17">
        <v>704</v>
      </c>
      <c r="M23" s="17">
        <v>704</v>
      </c>
      <c r="N23" s="17">
        <v>704</v>
      </c>
      <c r="O23" s="17">
        <v>704</v>
      </c>
      <c r="P23" s="17">
        <v>704</v>
      </c>
      <c r="Q23" s="17">
        <v>704</v>
      </c>
      <c r="R23" s="17">
        <v>704</v>
      </c>
      <c r="S23" s="17">
        <v>704</v>
      </c>
      <c r="T23" s="17">
        <v>704</v>
      </c>
      <c r="U23" s="17">
        <v>704</v>
      </c>
      <c r="V23" s="17">
        <v>704</v>
      </c>
      <c r="W23" s="17">
        <v>704</v>
      </c>
      <c r="X23" s="17">
        <v>704</v>
      </c>
      <c r="Y23" s="17">
        <v>704</v>
      </c>
      <c r="Z23" s="17">
        <v>704</v>
      </c>
      <c r="AA23" s="17">
        <v>704</v>
      </c>
      <c r="AB23" s="17">
        <v>704</v>
      </c>
      <c r="AC23" s="17">
        <v>704</v>
      </c>
      <c r="AD23" s="17">
        <v>704</v>
      </c>
      <c r="AE23" s="17">
        <v>704</v>
      </c>
      <c r="AF23" s="17">
        <v>704</v>
      </c>
      <c r="AG23" s="17">
        <v>704</v>
      </c>
      <c r="AH23" s="17">
        <v>704</v>
      </c>
      <c r="AI23" s="17">
        <v>704</v>
      </c>
      <c r="AJ23" s="17">
        <v>704</v>
      </c>
      <c r="AK23" s="17">
        <v>704</v>
      </c>
      <c r="AL23" s="17">
        <v>704</v>
      </c>
      <c r="AM23" s="17">
        <v>704</v>
      </c>
      <c r="AN23" s="17">
        <v>704</v>
      </c>
      <c r="AO23" s="17">
        <v>704</v>
      </c>
      <c r="AP23" s="17">
        <f t="shared" si="75"/>
        <v>704</v>
      </c>
      <c r="AQ23" s="17">
        <f t="shared" si="75"/>
        <v>704</v>
      </c>
      <c r="AR23" s="17">
        <f t="shared" si="75"/>
        <v>704</v>
      </c>
      <c r="AS23" s="17">
        <f t="shared" si="75"/>
        <v>704</v>
      </c>
      <c r="AT23" s="17">
        <f t="shared" si="75"/>
        <v>704</v>
      </c>
      <c r="AU23" s="17">
        <f t="shared" si="75"/>
        <v>704</v>
      </c>
      <c r="AV23" s="17">
        <f t="shared" si="75"/>
        <v>704</v>
      </c>
      <c r="AW23" s="17">
        <f t="shared" si="75"/>
        <v>704</v>
      </c>
      <c r="AX23" s="17">
        <f t="shared" si="75"/>
        <v>704</v>
      </c>
      <c r="AY23" s="17">
        <f t="shared" si="75"/>
        <v>704</v>
      </c>
      <c r="AZ23" s="17">
        <f t="shared" si="75"/>
        <v>704</v>
      </c>
      <c r="BA23" s="17">
        <f t="shared" si="75"/>
        <v>704</v>
      </c>
      <c r="BB23" s="17">
        <f t="shared" si="75"/>
        <v>704</v>
      </c>
      <c r="BC23" s="17">
        <f t="shared" si="75"/>
        <v>704</v>
      </c>
      <c r="BD23" s="17">
        <f t="shared" si="96"/>
        <v>704</v>
      </c>
      <c r="BE23" s="17">
        <f t="shared" si="97"/>
        <v>704</v>
      </c>
      <c r="BF23" s="17">
        <f t="shared" si="98"/>
        <v>704</v>
      </c>
      <c r="BG23" s="17">
        <f t="shared" si="99"/>
        <v>704</v>
      </c>
      <c r="BH23" s="17">
        <f t="shared" si="100"/>
        <v>704</v>
      </c>
      <c r="BI23" s="17">
        <f t="shared" si="101"/>
        <v>704</v>
      </c>
      <c r="BJ23" s="17">
        <f t="shared" si="102"/>
        <v>704</v>
      </c>
      <c r="BK23" s="17">
        <f t="shared" si="103"/>
        <v>704</v>
      </c>
      <c r="BL23" s="17">
        <f t="shared" si="104"/>
        <v>704</v>
      </c>
      <c r="BM23" s="17">
        <f t="shared" si="105"/>
        <v>704</v>
      </c>
      <c r="BN23" s="17">
        <f t="shared" si="106"/>
        <v>704</v>
      </c>
      <c r="BO23" s="17">
        <f t="shared" si="107"/>
        <v>704</v>
      </c>
      <c r="BP23" s="17">
        <f t="shared" si="108"/>
        <v>704</v>
      </c>
      <c r="BQ23" s="17">
        <f t="shared" si="109"/>
        <v>704</v>
      </c>
      <c r="BR23" s="17">
        <f t="shared" si="110"/>
        <v>704</v>
      </c>
      <c r="BS23" s="17">
        <f t="shared" si="111"/>
        <v>704</v>
      </c>
      <c r="BT23" s="17">
        <f t="shared" si="112"/>
        <v>704</v>
      </c>
      <c r="BU23" s="17">
        <f t="shared" si="113"/>
        <v>704</v>
      </c>
      <c r="BV23" s="17">
        <f t="shared" si="114"/>
        <v>704</v>
      </c>
      <c r="BW23" s="17">
        <f t="shared" si="115"/>
        <v>704</v>
      </c>
      <c r="BX23" s="17">
        <f t="shared" si="74"/>
        <v>704</v>
      </c>
    </row>
    <row r="24" spans="1:76">
      <c r="A24" s="56" t="s">
        <v>356</v>
      </c>
      <c r="B24" s="54" t="s">
        <v>79</v>
      </c>
      <c r="C24" s="110" t="s">
        <v>350</v>
      </c>
      <c r="D24" s="54" t="s">
        <v>150</v>
      </c>
      <c r="E24" s="431" t="s">
        <v>330</v>
      </c>
      <c r="F24" s="431">
        <v>6.4</v>
      </c>
      <c r="G24" s="390" t="s">
        <v>331</v>
      </c>
      <c r="H24" s="431" t="s">
        <v>345</v>
      </c>
      <c r="I24" s="447">
        <v>1.4079999999999999</v>
      </c>
      <c r="J24" s="17">
        <v>0</v>
      </c>
      <c r="K24" s="380">
        <v>736</v>
      </c>
      <c r="L24" s="380">
        <v>736</v>
      </c>
      <c r="M24" s="380">
        <v>736</v>
      </c>
      <c r="N24" s="380">
        <v>736</v>
      </c>
      <c r="O24" s="380">
        <v>736</v>
      </c>
      <c r="P24" s="380">
        <v>736</v>
      </c>
      <c r="Q24" s="380">
        <v>736</v>
      </c>
      <c r="R24" s="380">
        <v>736</v>
      </c>
      <c r="S24" s="380">
        <v>736</v>
      </c>
      <c r="T24" s="380">
        <v>736</v>
      </c>
      <c r="U24" s="380">
        <v>736</v>
      </c>
      <c r="V24" s="380">
        <v>736</v>
      </c>
      <c r="W24" s="380">
        <v>736</v>
      </c>
      <c r="X24" s="380">
        <v>736</v>
      </c>
      <c r="Y24" s="380">
        <v>736</v>
      </c>
      <c r="Z24" s="380">
        <v>736</v>
      </c>
      <c r="AA24" s="380">
        <v>736</v>
      </c>
      <c r="AB24" s="380">
        <v>736</v>
      </c>
      <c r="AC24" s="380">
        <v>736</v>
      </c>
      <c r="AD24" s="380">
        <v>736</v>
      </c>
      <c r="AE24" s="380">
        <v>736</v>
      </c>
      <c r="AF24" s="380">
        <v>736</v>
      </c>
      <c r="AG24" s="380">
        <v>736</v>
      </c>
      <c r="AH24" s="380">
        <v>736</v>
      </c>
      <c r="AI24" s="380">
        <v>736</v>
      </c>
      <c r="AJ24" s="380">
        <v>736</v>
      </c>
      <c r="AK24" s="380">
        <v>736</v>
      </c>
      <c r="AL24" s="380">
        <v>736</v>
      </c>
      <c r="AM24" s="380">
        <v>736</v>
      </c>
      <c r="AN24" s="380">
        <v>736</v>
      </c>
      <c r="AO24" s="380">
        <v>736</v>
      </c>
      <c r="AP24" s="380">
        <v>736</v>
      </c>
      <c r="AQ24" s="380">
        <v>736</v>
      </c>
      <c r="AR24" s="380">
        <v>736</v>
      </c>
      <c r="AS24" s="380">
        <v>736</v>
      </c>
      <c r="AT24" s="380">
        <v>736</v>
      </c>
      <c r="AU24" s="380">
        <v>736</v>
      </c>
      <c r="AV24" s="380">
        <v>736</v>
      </c>
      <c r="AW24" s="380">
        <v>736</v>
      </c>
      <c r="AX24" s="380">
        <v>736</v>
      </c>
      <c r="AY24" s="380">
        <v>736</v>
      </c>
      <c r="AZ24" s="380">
        <v>736</v>
      </c>
      <c r="BA24" s="380">
        <v>736</v>
      </c>
      <c r="BB24" s="380">
        <v>736</v>
      </c>
      <c r="BC24" s="380">
        <v>736</v>
      </c>
      <c r="BD24" s="380">
        <v>736</v>
      </c>
      <c r="BE24" s="380">
        <v>736</v>
      </c>
      <c r="BF24" s="380">
        <v>736</v>
      </c>
      <c r="BG24" s="380">
        <v>736</v>
      </c>
      <c r="BH24" s="380">
        <v>736</v>
      </c>
      <c r="BI24" s="380">
        <v>736</v>
      </c>
      <c r="BJ24" s="380">
        <v>736</v>
      </c>
      <c r="BK24" s="380">
        <v>736</v>
      </c>
      <c r="BL24" s="380">
        <v>736</v>
      </c>
      <c r="BM24" s="380">
        <v>736</v>
      </c>
      <c r="BN24" s="380">
        <v>736</v>
      </c>
      <c r="BO24" s="380">
        <v>736</v>
      </c>
      <c r="BP24" s="380">
        <v>736</v>
      </c>
      <c r="BQ24" s="380">
        <v>736</v>
      </c>
      <c r="BR24" s="380">
        <v>736</v>
      </c>
      <c r="BS24" s="380">
        <v>736</v>
      </c>
      <c r="BT24" s="380">
        <v>736</v>
      </c>
      <c r="BU24" s="380">
        <v>736</v>
      </c>
      <c r="BV24" s="380">
        <v>736</v>
      </c>
      <c r="BW24" s="380">
        <v>736</v>
      </c>
      <c r="BX24" s="380">
        <v>736</v>
      </c>
    </row>
    <row r="25" spans="1:76">
      <c r="A25" s="56" t="s">
        <v>357</v>
      </c>
      <c r="B25" s="54" t="s">
        <v>79</v>
      </c>
      <c r="C25" s="110" t="s">
        <v>350</v>
      </c>
      <c r="D25" s="54" t="s">
        <v>150</v>
      </c>
      <c r="E25" s="431" t="s">
        <v>352</v>
      </c>
      <c r="F25" s="431">
        <v>6.4</v>
      </c>
      <c r="G25" s="390" t="s">
        <v>331</v>
      </c>
      <c r="H25" s="431" t="s">
        <v>345</v>
      </c>
      <c r="I25" s="447">
        <v>1.4079999999999999</v>
      </c>
      <c r="J25" s="17">
        <v>0</v>
      </c>
      <c r="K25" s="380">
        <v>751.5</v>
      </c>
      <c r="L25" s="380">
        <v>751.5</v>
      </c>
      <c r="M25" s="380">
        <v>751.5</v>
      </c>
      <c r="N25" s="380">
        <v>751.5</v>
      </c>
      <c r="O25" s="380">
        <v>751.5</v>
      </c>
      <c r="P25" s="380">
        <v>751.5</v>
      </c>
      <c r="Q25" s="380">
        <v>751.5</v>
      </c>
      <c r="R25" s="380">
        <v>751.5</v>
      </c>
      <c r="S25" s="380">
        <v>751.5</v>
      </c>
      <c r="T25" s="380">
        <v>751.5</v>
      </c>
      <c r="U25" s="380">
        <v>751.5</v>
      </c>
      <c r="V25" s="380">
        <v>751.5</v>
      </c>
      <c r="W25" s="380">
        <v>751.5</v>
      </c>
      <c r="X25" s="380">
        <v>751.5</v>
      </c>
      <c r="Y25" s="380">
        <v>751.5</v>
      </c>
      <c r="Z25" s="380">
        <v>751.5</v>
      </c>
      <c r="AA25" s="380">
        <v>751.5</v>
      </c>
      <c r="AB25" s="380">
        <v>751.5</v>
      </c>
      <c r="AC25" s="380">
        <v>751.5</v>
      </c>
      <c r="AD25" s="380">
        <v>751.5</v>
      </c>
      <c r="AE25" s="380">
        <v>751.5</v>
      </c>
      <c r="AF25" s="380">
        <v>751.5</v>
      </c>
      <c r="AG25" s="380">
        <v>751.5</v>
      </c>
      <c r="AH25" s="380">
        <v>751.5</v>
      </c>
      <c r="AI25" s="380">
        <v>751.5</v>
      </c>
      <c r="AJ25" s="380">
        <v>751.5</v>
      </c>
      <c r="AK25" s="380">
        <v>751.5</v>
      </c>
      <c r="AL25" s="380">
        <v>751.5</v>
      </c>
      <c r="AM25" s="380">
        <v>751.5</v>
      </c>
      <c r="AN25" s="380">
        <v>751.5</v>
      </c>
      <c r="AO25" s="380">
        <v>751.5</v>
      </c>
      <c r="AP25" s="380">
        <v>751.5</v>
      </c>
      <c r="AQ25" s="380">
        <v>751.5</v>
      </c>
      <c r="AR25" s="380">
        <v>751.5</v>
      </c>
      <c r="AS25" s="380">
        <v>751.5</v>
      </c>
      <c r="AT25" s="380">
        <v>751.5</v>
      </c>
      <c r="AU25" s="380">
        <v>751.5</v>
      </c>
      <c r="AV25" s="380">
        <v>751.5</v>
      </c>
      <c r="AW25" s="380">
        <v>751.5</v>
      </c>
      <c r="AX25" s="380">
        <v>751.5</v>
      </c>
      <c r="AY25" s="380">
        <v>751.5</v>
      </c>
      <c r="AZ25" s="380">
        <v>751.5</v>
      </c>
      <c r="BA25" s="380">
        <v>751.5</v>
      </c>
      <c r="BB25" s="380">
        <v>751.5</v>
      </c>
      <c r="BC25" s="380">
        <v>751.5</v>
      </c>
      <c r="BD25" s="380">
        <v>751.5</v>
      </c>
      <c r="BE25" s="380">
        <v>751.5</v>
      </c>
      <c r="BF25" s="380">
        <v>751.5</v>
      </c>
      <c r="BG25" s="380">
        <v>751.5</v>
      </c>
      <c r="BH25" s="380">
        <v>751.5</v>
      </c>
      <c r="BI25" s="380">
        <v>751.5</v>
      </c>
      <c r="BJ25" s="380">
        <v>751.5</v>
      </c>
      <c r="BK25" s="380">
        <v>751.5</v>
      </c>
      <c r="BL25" s="380">
        <v>751.5</v>
      </c>
      <c r="BM25" s="380">
        <v>751.5</v>
      </c>
      <c r="BN25" s="380">
        <v>751.5</v>
      </c>
      <c r="BO25" s="380">
        <v>751.5</v>
      </c>
      <c r="BP25" s="380">
        <v>751.5</v>
      </c>
      <c r="BQ25" s="380">
        <v>751.5</v>
      </c>
      <c r="BR25" s="380">
        <v>751.5</v>
      </c>
      <c r="BS25" s="380">
        <v>751.5</v>
      </c>
      <c r="BT25" s="380">
        <v>751.5</v>
      </c>
      <c r="BU25" s="380">
        <v>751.5</v>
      </c>
      <c r="BV25" s="380">
        <v>751.5</v>
      </c>
      <c r="BW25" s="380">
        <v>751.5</v>
      </c>
      <c r="BX25" s="380">
        <v>751.5</v>
      </c>
    </row>
    <row r="26" spans="1:76">
      <c r="A26" s="56"/>
      <c r="B26" s="54"/>
      <c r="C26" s="110"/>
      <c r="D26" s="54"/>
      <c r="E26" s="431"/>
      <c r="F26" s="431"/>
      <c r="G26" s="390"/>
      <c r="H26" s="431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</row>
    <row r="27" spans="1:76" s="385" customFormat="1">
      <c r="A27" s="432" t="s">
        <v>358</v>
      </c>
      <c r="B27" s="433" t="s">
        <v>79</v>
      </c>
      <c r="C27" s="434" t="s">
        <v>350</v>
      </c>
      <c r="D27" s="433" t="s">
        <v>31</v>
      </c>
      <c r="E27" s="435" t="s">
        <v>330</v>
      </c>
      <c r="F27" s="435">
        <v>6.4</v>
      </c>
      <c r="G27" s="434" t="s">
        <v>359</v>
      </c>
      <c r="H27" s="433" t="s">
        <v>360</v>
      </c>
      <c r="I27" s="515">
        <v>0.4</v>
      </c>
      <c r="J27" s="386">
        <v>0</v>
      </c>
      <c r="K27" s="386">
        <v>601.34</v>
      </c>
      <c r="L27" s="386">
        <v>601.34</v>
      </c>
      <c r="M27" s="386">
        <v>601.34</v>
      </c>
      <c r="N27" s="386">
        <v>601.34</v>
      </c>
      <c r="O27" s="386">
        <v>601.34</v>
      </c>
      <c r="P27" s="386">
        <v>601.34</v>
      </c>
      <c r="Q27" s="386">
        <v>601.34</v>
      </c>
      <c r="R27" s="386">
        <v>601.34</v>
      </c>
      <c r="S27" s="386">
        <v>601.34</v>
      </c>
      <c r="T27" s="386">
        <v>601.34</v>
      </c>
      <c r="U27" s="386">
        <v>601.34</v>
      </c>
      <c r="V27" s="386">
        <v>601.34</v>
      </c>
      <c r="W27" s="386">
        <v>601.34</v>
      </c>
      <c r="X27" s="386">
        <v>601.34</v>
      </c>
      <c r="Y27" s="386">
        <v>601.34</v>
      </c>
      <c r="Z27" s="386">
        <v>601.34</v>
      </c>
      <c r="AA27" s="386">
        <v>601.34</v>
      </c>
      <c r="AB27" s="386">
        <v>601.34</v>
      </c>
      <c r="AC27" s="386">
        <v>601.34</v>
      </c>
      <c r="AD27" s="386">
        <v>601.34</v>
      </c>
      <c r="AE27" s="386">
        <v>601.34</v>
      </c>
      <c r="AF27" s="386">
        <v>601.34</v>
      </c>
      <c r="AG27" s="386">
        <v>601.34</v>
      </c>
      <c r="AH27" s="386">
        <v>601.34</v>
      </c>
      <c r="AI27" s="386">
        <v>601.34</v>
      </c>
      <c r="AJ27" s="386">
        <v>601.34</v>
      </c>
      <c r="AK27" s="386">
        <v>601.34</v>
      </c>
      <c r="AL27" s="386">
        <v>601.34</v>
      </c>
      <c r="AM27" s="386">
        <v>601.34</v>
      </c>
      <c r="AN27" s="386">
        <v>601.34</v>
      </c>
      <c r="AO27" s="386">
        <v>601.34</v>
      </c>
      <c r="AP27" s="386">
        <f t="shared" si="75"/>
        <v>601.34</v>
      </c>
      <c r="AQ27" s="386">
        <f t="shared" si="75"/>
        <v>601.34</v>
      </c>
      <c r="AR27" s="386">
        <f t="shared" si="75"/>
        <v>601.34</v>
      </c>
      <c r="AS27" s="386">
        <f t="shared" si="75"/>
        <v>601.34</v>
      </c>
      <c r="AT27" s="386">
        <f t="shared" si="75"/>
        <v>601.34</v>
      </c>
      <c r="AU27" s="386">
        <f t="shared" si="75"/>
        <v>601.34</v>
      </c>
      <c r="AV27" s="386">
        <f t="shared" si="75"/>
        <v>601.34</v>
      </c>
      <c r="AW27" s="386">
        <f t="shared" si="75"/>
        <v>601.34</v>
      </c>
      <c r="AX27" s="386">
        <f t="shared" si="75"/>
        <v>601.34</v>
      </c>
      <c r="AY27" s="386">
        <f t="shared" si="75"/>
        <v>601.34</v>
      </c>
      <c r="AZ27" s="386">
        <f t="shared" si="75"/>
        <v>601.34</v>
      </c>
      <c r="BA27" s="386">
        <f t="shared" si="75"/>
        <v>601.34</v>
      </c>
      <c r="BB27" s="386">
        <f t="shared" si="75"/>
        <v>601.34</v>
      </c>
      <c r="BC27" s="386">
        <f t="shared" si="75"/>
        <v>601.34</v>
      </c>
      <c r="BD27" s="386">
        <f t="shared" ref="BD27:BD30" si="116">ROUND(BC27+$J27,2)</f>
        <v>601.34</v>
      </c>
      <c r="BE27" s="386">
        <f t="shared" ref="BE27:BE30" si="117">ROUND(BD27+$J27,2)</f>
        <v>601.34</v>
      </c>
      <c r="BF27" s="386">
        <f t="shared" ref="BF27:BF30" si="118">ROUND(BE27+$J27,2)</f>
        <v>601.34</v>
      </c>
      <c r="BG27" s="386">
        <f t="shared" ref="BG27:BG30" si="119">ROUND(BF27+$J27,2)</f>
        <v>601.34</v>
      </c>
      <c r="BH27" s="386">
        <f t="shared" ref="BH27:BH30" si="120">ROUND(BG27+$J27,2)</f>
        <v>601.34</v>
      </c>
      <c r="BI27" s="386">
        <f t="shared" ref="BI27:BI30" si="121">ROUND(BH27+$J27,2)</f>
        <v>601.34</v>
      </c>
      <c r="BJ27" s="386">
        <f t="shared" ref="BJ27:BJ30" si="122">ROUND(BI27+$J27,2)</f>
        <v>601.34</v>
      </c>
      <c r="BK27" s="386">
        <f t="shared" ref="BK27:BK30" si="123">ROUND(BJ27+$J27,2)</f>
        <v>601.34</v>
      </c>
      <c r="BL27" s="386">
        <f t="shared" ref="BL27:BL30" si="124">ROUND(BK27+$J27,2)</f>
        <v>601.34</v>
      </c>
      <c r="BM27" s="386">
        <f t="shared" ref="BM27:BM30" si="125">ROUND(BL27+$J27,2)</f>
        <v>601.34</v>
      </c>
      <c r="BN27" s="386">
        <f t="shared" ref="BN27:BN30" si="126">ROUND(BM27+$J27,2)</f>
        <v>601.34</v>
      </c>
      <c r="BO27" s="386">
        <f t="shared" ref="BO27:BO30" si="127">ROUND(BN27+$J27,2)</f>
        <v>601.34</v>
      </c>
      <c r="BP27" s="386">
        <f t="shared" ref="BP27:BP30" si="128">ROUND(BO27+$J27,2)</f>
        <v>601.34</v>
      </c>
      <c r="BQ27" s="386">
        <f t="shared" ref="BQ27:BQ30" si="129">ROUND(BP27+$J27,2)</f>
        <v>601.34</v>
      </c>
      <c r="BR27" s="386">
        <f t="shared" ref="BR27:BR30" si="130">ROUND(BQ27+$J27,2)</f>
        <v>601.34</v>
      </c>
      <c r="BS27" s="386">
        <f t="shared" ref="BS27:BS30" si="131">ROUND(BR27+$J27,2)</f>
        <v>601.34</v>
      </c>
      <c r="BT27" s="386">
        <f t="shared" ref="BT27:BT30" si="132">ROUND(BS27+$J27,2)</f>
        <v>601.34</v>
      </c>
      <c r="BU27" s="386">
        <f t="shared" ref="BU27:BU30" si="133">ROUND(BT27+$J27,2)</f>
        <v>601.34</v>
      </c>
      <c r="BV27" s="386">
        <f t="shared" ref="BV27:BV30" si="134">ROUND(BU27+$J27,2)</f>
        <v>601.34</v>
      </c>
      <c r="BW27" s="386">
        <f t="shared" ref="BW27:BX30" si="135">ROUND(BV27+$J27,2)</f>
        <v>601.34</v>
      </c>
      <c r="BX27" s="386">
        <f t="shared" si="135"/>
        <v>601.34</v>
      </c>
    </row>
    <row r="28" spans="1:76" s="385" customFormat="1">
      <c r="A28" s="432" t="s">
        <v>361</v>
      </c>
      <c r="B28" s="433" t="s">
        <v>79</v>
      </c>
      <c r="C28" s="434" t="s">
        <v>350</v>
      </c>
      <c r="D28" s="433" t="s">
        <v>31</v>
      </c>
      <c r="E28" s="433" t="s">
        <v>352</v>
      </c>
      <c r="F28" s="435">
        <v>6.4</v>
      </c>
      <c r="G28" s="434" t="s">
        <v>362</v>
      </c>
      <c r="H28" s="433" t="s">
        <v>360</v>
      </c>
      <c r="I28" s="515">
        <v>0.4</v>
      </c>
      <c r="J28" s="386">
        <v>0</v>
      </c>
      <c r="K28" s="386">
        <v>615.16999999999996</v>
      </c>
      <c r="L28" s="386">
        <v>615.16999999999996</v>
      </c>
      <c r="M28" s="386">
        <v>615.16999999999996</v>
      </c>
      <c r="N28" s="386">
        <v>615.16999999999996</v>
      </c>
      <c r="O28" s="386">
        <v>615.16999999999996</v>
      </c>
      <c r="P28" s="386">
        <v>615.16999999999996</v>
      </c>
      <c r="Q28" s="386">
        <v>615.16999999999996</v>
      </c>
      <c r="R28" s="386">
        <v>615.16999999999996</v>
      </c>
      <c r="S28" s="386">
        <v>615.16999999999996</v>
      </c>
      <c r="T28" s="386">
        <v>615.16999999999996</v>
      </c>
      <c r="U28" s="386">
        <v>615.16999999999996</v>
      </c>
      <c r="V28" s="386">
        <v>615.16999999999996</v>
      </c>
      <c r="W28" s="386">
        <v>615.16999999999996</v>
      </c>
      <c r="X28" s="386">
        <v>615.16999999999996</v>
      </c>
      <c r="Y28" s="386">
        <v>615.16999999999996</v>
      </c>
      <c r="Z28" s="386">
        <v>615.16999999999996</v>
      </c>
      <c r="AA28" s="386">
        <v>615.16999999999996</v>
      </c>
      <c r="AB28" s="386">
        <v>615.16999999999996</v>
      </c>
      <c r="AC28" s="386">
        <v>615.16999999999996</v>
      </c>
      <c r="AD28" s="386">
        <v>615.16999999999996</v>
      </c>
      <c r="AE28" s="386">
        <v>615.16999999999996</v>
      </c>
      <c r="AF28" s="386">
        <v>615.16999999999996</v>
      </c>
      <c r="AG28" s="386">
        <v>615.16999999999996</v>
      </c>
      <c r="AH28" s="386">
        <v>615.16999999999996</v>
      </c>
      <c r="AI28" s="386">
        <v>615.16999999999996</v>
      </c>
      <c r="AJ28" s="386">
        <v>615.16999999999996</v>
      </c>
      <c r="AK28" s="386">
        <v>615.16999999999996</v>
      </c>
      <c r="AL28" s="386">
        <v>615.16999999999996</v>
      </c>
      <c r="AM28" s="386">
        <v>615.16999999999996</v>
      </c>
      <c r="AN28" s="386">
        <v>615.16999999999996</v>
      </c>
      <c r="AO28" s="386">
        <v>615.16999999999996</v>
      </c>
      <c r="AP28" s="386">
        <f t="shared" si="75"/>
        <v>615.16999999999996</v>
      </c>
      <c r="AQ28" s="386">
        <f t="shared" si="75"/>
        <v>615.16999999999996</v>
      </c>
      <c r="AR28" s="386">
        <f t="shared" si="75"/>
        <v>615.16999999999996</v>
      </c>
      <c r="AS28" s="386">
        <f t="shared" si="75"/>
        <v>615.16999999999996</v>
      </c>
      <c r="AT28" s="386">
        <f t="shared" si="75"/>
        <v>615.16999999999996</v>
      </c>
      <c r="AU28" s="386">
        <f t="shared" si="75"/>
        <v>615.16999999999996</v>
      </c>
      <c r="AV28" s="386">
        <f t="shared" si="75"/>
        <v>615.16999999999996</v>
      </c>
      <c r="AW28" s="386">
        <f t="shared" si="75"/>
        <v>615.16999999999996</v>
      </c>
      <c r="AX28" s="386">
        <f t="shared" si="75"/>
        <v>615.16999999999996</v>
      </c>
      <c r="AY28" s="386">
        <f t="shared" si="75"/>
        <v>615.16999999999996</v>
      </c>
      <c r="AZ28" s="386">
        <f t="shared" si="75"/>
        <v>615.16999999999996</v>
      </c>
      <c r="BA28" s="386">
        <f t="shared" si="75"/>
        <v>615.16999999999996</v>
      </c>
      <c r="BB28" s="386">
        <f t="shared" si="75"/>
        <v>615.16999999999996</v>
      </c>
      <c r="BC28" s="386">
        <f t="shared" si="75"/>
        <v>615.16999999999996</v>
      </c>
      <c r="BD28" s="386">
        <f t="shared" si="116"/>
        <v>615.16999999999996</v>
      </c>
      <c r="BE28" s="386">
        <f t="shared" si="117"/>
        <v>615.16999999999996</v>
      </c>
      <c r="BF28" s="386">
        <f t="shared" si="118"/>
        <v>615.16999999999996</v>
      </c>
      <c r="BG28" s="386">
        <f t="shared" si="119"/>
        <v>615.16999999999996</v>
      </c>
      <c r="BH28" s="386">
        <f t="shared" si="120"/>
        <v>615.16999999999996</v>
      </c>
      <c r="BI28" s="386">
        <f t="shared" si="121"/>
        <v>615.16999999999996</v>
      </c>
      <c r="BJ28" s="386">
        <f t="shared" si="122"/>
        <v>615.16999999999996</v>
      </c>
      <c r="BK28" s="386">
        <f t="shared" si="123"/>
        <v>615.16999999999996</v>
      </c>
      <c r="BL28" s="386">
        <f t="shared" si="124"/>
        <v>615.16999999999996</v>
      </c>
      <c r="BM28" s="386">
        <f t="shared" si="125"/>
        <v>615.16999999999996</v>
      </c>
      <c r="BN28" s="386">
        <f t="shared" si="126"/>
        <v>615.16999999999996</v>
      </c>
      <c r="BO28" s="386">
        <f t="shared" si="127"/>
        <v>615.16999999999996</v>
      </c>
      <c r="BP28" s="386">
        <f t="shared" si="128"/>
        <v>615.16999999999996</v>
      </c>
      <c r="BQ28" s="386">
        <f t="shared" si="129"/>
        <v>615.16999999999996</v>
      </c>
      <c r="BR28" s="386">
        <f t="shared" si="130"/>
        <v>615.16999999999996</v>
      </c>
      <c r="BS28" s="386">
        <f t="shared" si="131"/>
        <v>615.16999999999996</v>
      </c>
      <c r="BT28" s="386">
        <f t="shared" si="132"/>
        <v>615.16999999999996</v>
      </c>
      <c r="BU28" s="386">
        <f t="shared" si="133"/>
        <v>615.16999999999996</v>
      </c>
      <c r="BV28" s="386">
        <f t="shared" si="134"/>
        <v>615.16999999999996</v>
      </c>
      <c r="BW28" s="386">
        <f t="shared" si="135"/>
        <v>615.16999999999996</v>
      </c>
      <c r="BX28" s="386">
        <f t="shared" si="135"/>
        <v>615.16999999999996</v>
      </c>
    </row>
    <row r="29" spans="1:76">
      <c r="A29" s="56" t="s">
        <v>363</v>
      </c>
      <c r="B29" s="54" t="s">
        <v>79</v>
      </c>
      <c r="C29" s="110" t="s">
        <v>350</v>
      </c>
      <c r="D29" s="54" t="s">
        <v>27</v>
      </c>
      <c r="E29" s="431" t="s">
        <v>330</v>
      </c>
      <c r="F29" s="431">
        <v>6.4</v>
      </c>
      <c r="G29" s="390" t="s">
        <v>331</v>
      </c>
      <c r="H29" s="54" t="s">
        <v>360</v>
      </c>
      <c r="I29" s="516">
        <v>0.4</v>
      </c>
      <c r="J29" s="17">
        <v>0</v>
      </c>
      <c r="K29" s="17">
        <v>582.4</v>
      </c>
      <c r="L29" s="17">
        <v>582.4</v>
      </c>
      <c r="M29" s="17">
        <v>582.4</v>
      </c>
      <c r="N29" s="17">
        <v>582.4</v>
      </c>
      <c r="O29" s="17">
        <v>582.4</v>
      </c>
      <c r="P29" s="17">
        <v>582.4</v>
      </c>
      <c r="Q29" s="17">
        <v>582.4</v>
      </c>
      <c r="R29" s="17">
        <v>582.4</v>
      </c>
      <c r="S29" s="17">
        <v>582.4</v>
      </c>
      <c r="T29" s="17">
        <v>582.4</v>
      </c>
      <c r="U29" s="17">
        <v>582.4</v>
      </c>
      <c r="V29" s="17">
        <v>582.4</v>
      </c>
      <c r="W29" s="17">
        <v>582.4</v>
      </c>
      <c r="X29" s="17">
        <v>582.4</v>
      </c>
      <c r="Y29" s="17">
        <v>582.4</v>
      </c>
      <c r="Z29" s="17">
        <v>582.4</v>
      </c>
      <c r="AA29" s="17">
        <v>582.4</v>
      </c>
      <c r="AB29" s="17">
        <v>582.4</v>
      </c>
      <c r="AC29" s="17">
        <v>582.4</v>
      </c>
      <c r="AD29" s="17">
        <v>582.4</v>
      </c>
      <c r="AE29" s="17">
        <v>582.4</v>
      </c>
      <c r="AF29" s="17">
        <v>582.4</v>
      </c>
      <c r="AG29" s="17">
        <v>582.4</v>
      </c>
      <c r="AH29" s="17">
        <v>582.4</v>
      </c>
      <c r="AI29" s="17">
        <v>582.4</v>
      </c>
      <c r="AJ29" s="17">
        <v>582.4</v>
      </c>
      <c r="AK29" s="17">
        <v>582.4</v>
      </c>
      <c r="AL29" s="17">
        <v>582.4</v>
      </c>
      <c r="AM29" s="17">
        <v>582.4</v>
      </c>
      <c r="AN29" s="17">
        <v>582.4</v>
      </c>
      <c r="AO29" s="17">
        <v>582.4</v>
      </c>
      <c r="AP29" s="17">
        <f t="shared" si="75"/>
        <v>582.4</v>
      </c>
      <c r="AQ29" s="17">
        <f t="shared" si="75"/>
        <v>582.4</v>
      </c>
      <c r="AR29" s="17">
        <f t="shared" si="75"/>
        <v>582.4</v>
      </c>
      <c r="AS29" s="17">
        <f t="shared" si="75"/>
        <v>582.4</v>
      </c>
      <c r="AT29" s="17">
        <f t="shared" si="75"/>
        <v>582.4</v>
      </c>
      <c r="AU29" s="17">
        <f t="shared" si="75"/>
        <v>582.4</v>
      </c>
      <c r="AV29" s="17">
        <f t="shared" si="75"/>
        <v>582.4</v>
      </c>
      <c r="AW29" s="17">
        <f t="shared" si="75"/>
        <v>582.4</v>
      </c>
      <c r="AX29" s="17">
        <f t="shared" si="75"/>
        <v>582.4</v>
      </c>
      <c r="AY29" s="17">
        <f t="shared" si="75"/>
        <v>582.4</v>
      </c>
      <c r="AZ29" s="17">
        <f t="shared" si="75"/>
        <v>582.4</v>
      </c>
      <c r="BA29" s="17">
        <f t="shared" si="75"/>
        <v>582.4</v>
      </c>
      <c r="BB29" s="17">
        <f t="shared" si="75"/>
        <v>582.4</v>
      </c>
      <c r="BC29" s="17">
        <f t="shared" si="75"/>
        <v>582.4</v>
      </c>
      <c r="BD29" s="17">
        <f t="shared" si="116"/>
        <v>582.4</v>
      </c>
      <c r="BE29" s="17">
        <f t="shared" si="117"/>
        <v>582.4</v>
      </c>
      <c r="BF29" s="17">
        <f t="shared" si="118"/>
        <v>582.4</v>
      </c>
      <c r="BG29" s="17">
        <f t="shared" si="119"/>
        <v>582.4</v>
      </c>
      <c r="BH29" s="17">
        <f t="shared" si="120"/>
        <v>582.4</v>
      </c>
      <c r="BI29" s="17">
        <f t="shared" si="121"/>
        <v>582.4</v>
      </c>
      <c r="BJ29" s="17">
        <f t="shared" si="122"/>
        <v>582.4</v>
      </c>
      <c r="BK29" s="17">
        <f t="shared" si="123"/>
        <v>582.4</v>
      </c>
      <c r="BL29" s="17">
        <f t="shared" si="124"/>
        <v>582.4</v>
      </c>
      <c r="BM29" s="17">
        <f t="shared" si="125"/>
        <v>582.4</v>
      </c>
      <c r="BN29" s="17">
        <f t="shared" si="126"/>
        <v>582.4</v>
      </c>
      <c r="BO29" s="17">
        <f t="shared" si="127"/>
        <v>582.4</v>
      </c>
      <c r="BP29" s="17">
        <f t="shared" si="128"/>
        <v>582.4</v>
      </c>
      <c r="BQ29" s="17">
        <f t="shared" si="129"/>
        <v>582.4</v>
      </c>
      <c r="BR29" s="17">
        <f t="shared" si="130"/>
        <v>582.4</v>
      </c>
      <c r="BS29" s="17">
        <f t="shared" si="131"/>
        <v>582.4</v>
      </c>
      <c r="BT29" s="17">
        <f t="shared" si="132"/>
        <v>582.4</v>
      </c>
      <c r="BU29" s="17">
        <f t="shared" si="133"/>
        <v>582.4</v>
      </c>
      <c r="BV29" s="17">
        <f t="shared" si="134"/>
        <v>582.4</v>
      </c>
      <c r="BW29" s="17">
        <f t="shared" si="135"/>
        <v>582.4</v>
      </c>
      <c r="BX29" s="17">
        <f t="shared" si="135"/>
        <v>582.4</v>
      </c>
    </row>
    <row r="30" spans="1:76">
      <c r="A30" s="56" t="s">
        <v>364</v>
      </c>
      <c r="B30" s="54" t="s">
        <v>79</v>
      </c>
      <c r="C30" s="110" t="s">
        <v>350</v>
      </c>
      <c r="D30" s="54" t="s">
        <v>27</v>
      </c>
      <c r="E30" s="54" t="s">
        <v>352</v>
      </c>
      <c r="F30" s="431">
        <v>6.4</v>
      </c>
      <c r="G30" s="390" t="s">
        <v>331</v>
      </c>
      <c r="H30" s="54" t="s">
        <v>360</v>
      </c>
      <c r="I30" s="516">
        <v>0.4</v>
      </c>
      <c r="J30" s="17">
        <v>0</v>
      </c>
      <c r="K30" s="17">
        <v>595.20000000000005</v>
      </c>
      <c r="L30" s="17">
        <v>595.20000000000005</v>
      </c>
      <c r="M30" s="17">
        <v>595.20000000000005</v>
      </c>
      <c r="N30" s="17">
        <v>595.20000000000005</v>
      </c>
      <c r="O30" s="17">
        <v>595.20000000000005</v>
      </c>
      <c r="P30" s="17">
        <v>595.20000000000005</v>
      </c>
      <c r="Q30" s="17">
        <v>595.20000000000005</v>
      </c>
      <c r="R30" s="17">
        <v>595.20000000000005</v>
      </c>
      <c r="S30" s="17">
        <v>595.20000000000005</v>
      </c>
      <c r="T30" s="17">
        <v>595.20000000000005</v>
      </c>
      <c r="U30" s="17">
        <v>595.20000000000005</v>
      </c>
      <c r="V30" s="17">
        <v>595.20000000000005</v>
      </c>
      <c r="W30" s="17">
        <v>595.20000000000005</v>
      </c>
      <c r="X30" s="17">
        <v>595.20000000000005</v>
      </c>
      <c r="Y30" s="17">
        <v>595.20000000000005</v>
      </c>
      <c r="Z30" s="17">
        <v>595.20000000000005</v>
      </c>
      <c r="AA30" s="17">
        <v>595.20000000000005</v>
      </c>
      <c r="AB30" s="17">
        <v>595.20000000000005</v>
      </c>
      <c r="AC30" s="17">
        <v>595.20000000000005</v>
      </c>
      <c r="AD30" s="17">
        <v>595.20000000000005</v>
      </c>
      <c r="AE30" s="17">
        <v>595.20000000000005</v>
      </c>
      <c r="AF30" s="17">
        <v>595.20000000000005</v>
      </c>
      <c r="AG30" s="17">
        <v>595.20000000000005</v>
      </c>
      <c r="AH30" s="17">
        <v>595.20000000000005</v>
      </c>
      <c r="AI30" s="17">
        <v>595.20000000000005</v>
      </c>
      <c r="AJ30" s="17">
        <v>595.20000000000005</v>
      </c>
      <c r="AK30" s="17">
        <v>595.20000000000005</v>
      </c>
      <c r="AL30" s="17">
        <v>595.20000000000005</v>
      </c>
      <c r="AM30" s="17">
        <v>595.20000000000005</v>
      </c>
      <c r="AN30" s="17">
        <v>595.20000000000005</v>
      </c>
      <c r="AO30" s="17">
        <v>595.20000000000005</v>
      </c>
      <c r="AP30" s="17">
        <f t="shared" si="75"/>
        <v>595.20000000000005</v>
      </c>
      <c r="AQ30" s="17">
        <f t="shared" si="75"/>
        <v>595.20000000000005</v>
      </c>
      <c r="AR30" s="17">
        <f t="shared" si="75"/>
        <v>595.20000000000005</v>
      </c>
      <c r="AS30" s="17">
        <f t="shared" si="75"/>
        <v>595.20000000000005</v>
      </c>
      <c r="AT30" s="17">
        <f t="shared" si="75"/>
        <v>595.20000000000005</v>
      </c>
      <c r="AU30" s="17">
        <f t="shared" si="75"/>
        <v>595.20000000000005</v>
      </c>
      <c r="AV30" s="17">
        <f t="shared" si="75"/>
        <v>595.20000000000005</v>
      </c>
      <c r="AW30" s="17">
        <f t="shared" si="75"/>
        <v>595.20000000000005</v>
      </c>
      <c r="AX30" s="17">
        <f t="shared" si="75"/>
        <v>595.20000000000005</v>
      </c>
      <c r="AY30" s="17">
        <f t="shared" si="75"/>
        <v>595.20000000000005</v>
      </c>
      <c r="AZ30" s="17">
        <f t="shared" si="75"/>
        <v>595.20000000000005</v>
      </c>
      <c r="BA30" s="17">
        <f t="shared" si="75"/>
        <v>595.20000000000005</v>
      </c>
      <c r="BB30" s="17">
        <f t="shared" si="75"/>
        <v>595.20000000000005</v>
      </c>
      <c r="BC30" s="17">
        <f t="shared" si="75"/>
        <v>595.20000000000005</v>
      </c>
      <c r="BD30" s="17">
        <f t="shared" si="116"/>
        <v>595.20000000000005</v>
      </c>
      <c r="BE30" s="17">
        <f t="shared" si="117"/>
        <v>595.20000000000005</v>
      </c>
      <c r="BF30" s="17">
        <f t="shared" si="118"/>
        <v>595.20000000000005</v>
      </c>
      <c r="BG30" s="17">
        <f t="shared" si="119"/>
        <v>595.20000000000005</v>
      </c>
      <c r="BH30" s="17">
        <f t="shared" si="120"/>
        <v>595.20000000000005</v>
      </c>
      <c r="BI30" s="17">
        <f t="shared" si="121"/>
        <v>595.20000000000005</v>
      </c>
      <c r="BJ30" s="17">
        <f t="shared" si="122"/>
        <v>595.20000000000005</v>
      </c>
      <c r="BK30" s="17">
        <f t="shared" si="123"/>
        <v>595.20000000000005</v>
      </c>
      <c r="BL30" s="17">
        <f t="shared" si="124"/>
        <v>595.20000000000005</v>
      </c>
      <c r="BM30" s="17">
        <f t="shared" si="125"/>
        <v>595.20000000000005</v>
      </c>
      <c r="BN30" s="17">
        <f t="shared" si="126"/>
        <v>595.20000000000005</v>
      </c>
      <c r="BO30" s="17">
        <f t="shared" si="127"/>
        <v>595.20000000000005</v>
      </c>
      <c r="BP30" s="17">
        <f t="shared" si="128"/>
        <v>595.20000000000005</v>
      </c>
      <c r="BQ30" s="17">
        <f t="shared" si="129"/>
        <v>595.20000000000005</v>
      </c>
      <c r="BR30" s="17">
        <f t="shared" si="130"/>
        <v>595.20000000000005</v>
      </c>
      <c r="BS30" s="17">
        <f t="shared" si="131"/>
        <v>595.20000000000005</v>
      </c>
      <c r="BT30" s="17">
        <f t="shared" si="132"/>
        <v>595.20000000000005</v>
      </c>
      <c r="BU30" s="17">
        <f t="shared" si="133"/>
        <v>595.20000000000005</v>
      </c>
      <c r="BV30" s="17">
        <f t="shared" si="134"/>
        <v>595.20000000000005</v>
      </c>
      <c r="BW30" s="17">
        <f t="shared" si="135"/>
        <v>595.20000000000005</v>
      </c>
      <c r="BX30" s="17">
        <f t="shared" si="135"/>
        <v>595.20000000000005</v>
      </c>
    </row>
    <row r="31" spans="1:76">
      <c r="A31" s="56" t="s">
        <v>365</v>
      </c>
      <c r="B31" s="54" t="s">
        <v>79</v>
      </c>
      <c r="C31" s="110" t="s">
        <v>350</v>
      </c>
      <c r="D31" s="54" t="s">
        <v>39</v>
      </c>
      <c r="E31" s="54" t="s">
        <v>330</v>
      </c>
      <c r="F31" s="431">
        <v>6.4</v>
      </c>
      <c r="G31" s="390" t="s">
        <v>331</v>
      </c>
      <c r="H31" s="54" t="s">
        <v>360</v>
      </c>
      <c r="I31" s="516">
        <v>0.4</v>
      </c>
      <c r="J31" s="17">
        <v>0</v>
      </c>
      <c r="K31" s="17">
        <v>625</v>
      </c>
      <c r="L31" s="17">
        <v>625</v>
      </c>
      <c r="M31" s="17">
        <v>625</v>
      </c>
      <c r="N31" s="17">
        <v>625</v>
      </c>
      <c r="O31" s="17">
        <v>625</v>
      </c>
      <c r="P31" s="17">
        <v>625</v>
      </c>
      <c r="Q31" s="17">
        <v>625</v>
      </c>
      <c r="R31" s="17">
        <v>625</v>
      </c>
      <c r="S31" s="17">
        <v>625</v>
      </c>
      <c r="T31" s="17">
        <v>625</v>
      </c>
      <c r="U31" s="17">
        <v>625</v>
      </c>
      <c r="V31" s="17">
        <v>625</v>
      </c>
      <c r="W31" s="17">
        <v>625</v>
      </c>
      <c r="X31" s="17">
        <v>625</v>
      </c>
      <c r="Y31" s="17">
        <v>625</v>
      </c>
      <c r="Z31" s="17">
        <v>625</v>
      </c>
      <c r="AA31" s="17">
        <v>625</v>
      </c>
      <c r="AB31" s="17">
        <v>625</v>
      </c>
      <c r="AC31" s="17">
        <v>625</v>
      </c>
      <c r="AD31" s="17">
        <v>625</v>
      </c>
      <c r="AE31" s="17">
        <v>625</v>
      </c>
      <c r="AF31" s="17">
        <v>625</v>
      </c>
      <c r="AG31" s="17">
        <v>625</v>
      </c>
      <c r="AH31" s="17">
        <v>625</v>
      </c>
      <c r="AI31" s="17">
        <v>625</v>
      </c>
      <c r="AJ31" s="17">
        <v>625</v>
      </c>
      <c r="AK31" s="17">
        <v>625</v>
      </c>
      <c r="AL31" s="17">
        <v>625</v>
      </c>
      <c r="AM31" s="17">
        <v>625</v>
      </c>
      <c r="AN31" s="17">
        <v>625</v>
      </c>
      <c r="AO31" s="17">
        <v>625</v>
      </c>
      <c r="AP31" s="17">
        <v>625</v>
      </c>
      <c r="AQ31" s="17">
        <v>625</v>
      </c>
      <c r="AR31" s="17">
        <v>625</v>
      </c>
      <c r="AS31" s="17">
        <v>625</v>
      </c>
      <c r="AT31" s="17">
        <v>625</v>
      </c>
      <c r="AU31" s="17">
        <v>625</v>
      </c>
      <c r="AV31" s="17">
        <v>625</v>
      </c>
      <c r="AW31" s="17">
        <v>625</v>
      </c>
      <c r="AX31" s="17">
        <v>625</v>
      </c>
      <c r="AY31" s="17">
        <v>625</v>
      </c>
      <c r="AZ31" s="17">
        <v>625</v>
      </c>
      <c r="BA31" s="17">
        <v>625</v>
      </c>
      <c r="BB31" s="17">
        <v>625</v>
      </c>
      <c r="BC31" s="17">
        <v>625</v>
      </c>
      <c r="BD31" s="17">
        <v>625</v>
      </c>
      <c r="BE31" s="17">
        <v>625</v>
      </c>
      <c r="BF31" s="17">
        <v>625</v>
      </c>
      <c r="BG31" s="17">
        <v>625</v>
      </c>
      <c r="BH31" s="17">
        <v>625</v>
      </c>
      <c r="BI31" s="17">
        <v>625</v>
      </c>
      <c r="BJ31" s="17">
        <v>625</v>
      </c>
      <c r="BK31" s="17">
        <v>625</v>
      </c>
      <c r="BL31" s="17">
        <v>625</v>
      </c>
      <c r="BM31" s="17">
        <v>625</v>
      </c>
      <c r="BN31" s="17">
        <v>625</v>
      </c>
      <c r="BO31" s="17">
        <v>625</v>
      </c>
      <c r="BP31" s="17">
        <v>625</v>
      </c>
      <c r="BQ31" s="17">
        <v>625</v>
      </c>
      <c r="BR31" s="17">
        <v>625</v>
      </c>
      <c r="BS31" s="17">
        <v>625</v>
      </c>
      <c r="BT31" s="17">
        <v>625</v>
      </c>
      <c r="BU31" s="17">
        <v>625</v>
      </c>
      <c r="BV31" s="17">
        <v>625</v>
      </c>
      <c r="BW31" s="17">
        <v>625</v>
      </c>
      <c r="BX31" s="17">
        <v>625</v>
      </c>
    </row>
    <row r="32" spans="1:76">
      <c r="A32" s="56" t="s">
        <v>366</v>
      </c>
      <c r="B32" s="54" t="s">
        <v>79</v>
      </c>
      <c r="C32" s="110" t="s">
        <v>350</v>
      </c>
      <c r="D32" s="54" t="s">
        <v>39</v>
      </c>
      <c r="E32" s="54" t="s">
        <v>352</v>
      </c>
      <c r="F32" s="431">
        <v>6.4</v>
      </c>
      <c r="G32" s="390" t="s">
        <v>331</v>
      </c>
      <c r="H32" s="54" t="s">
        <v>360</v>
      </c>
      <c r="I32" s="516">
        <v>0.4</v>
      </c>
      <c r="J32" s="17">
        <v>0</v>
      </c>
      <c r="K32" s="17">
        <v>640</v>
      </c>
      <c r="L32" s="17">
        <v>640</v>
      </c>
      <c r="M32" s="17">
        <v>640</v>
      </c>
      <c r="N32" s="17">
        <v>640</v>
      </c>
      <c r="O32" s="17">
        <v>640</v>
      </c>
      <c r="P32" s="17">
        <v>640</v>
      </c>
      <c r="Q32" s="17">
        <v>640</v>
      </c>
      <c r="R32" s="17">
        <v>640</v>
      </c>
      <c r="S32" s="17">
        <v>640</v>
      </c>
      <c r="T32" s="17">
        <v>640</v>
      </c>
      <c r="U32" s="17">
        <v>640</v>
      </c>
      <c r="V32" s="17">
        <v>640</v>
      </c>
      <c r="W32" s="17">
        <v>640</v>
      </c>
      <c r="X32" s="17">
        <v>640</v>
      </c>
      <c r="Y32" s="17">
        <v>640</v>
      </c>
      <c r="Z32" s="17">
        <v>640</v>
      </c>
      <c r="AA32" s="17">
        <v>640</v>
      </c>
      <c r="AB32" s="17">
        <v>640</v>
      </c>
      <c r="AC32" s="17">
        <v>640</v>
      </c>
      <c r="AD32" s="17">
        <v>640</v>
      </c>
      <c r="AE32" s="17">
        <v>640</v>
      </c>
      <c r="AF32" s="17">
        <v>640</v>
      </c>
      <c r="AG32" s="17">
        <v>640</v>
      </c>
      <c r="AH32" s="17">
        <v>640</v>
      </c>
      <c r="AI32" s="17">
        <v>640</v>
      </c>
      <c r="AJ32" s="17">
        <v>640</v>
      </c>
      <c r="AK32" s="17">
        <v>640</v>
      </c>
      <c r="AL32" s="17">
        <v>640</v>
      </c>
      <c r="AM32" s="17">
        <v>640</v>
      </c>
      <c r="AN32" s="17">
        <v>640</v>
      </c>
      <c r="AO32" s="17">
        <v>640</v>
      </c>
      <c r="AP32" s="17">
        <v>640</v>
      </c>
      <c r="AQ32" s="17">
        <v>640</v>
      </c>
      <c r="AR32" s="17">
        <v>640</v>
      </c>
      <c r="AS32" s="17">
        <v>640</v>
      </c>
      <c r="AT32" s="17">
        <v>640</v>
      </c>
      <c r="AU32" s="17">
        <v>640</v>
      </c>
      <c r="AV32" s="17">
        <v>640</v>
      </c>
      <c r="AW32" s="17">
        <v>640</v>
      </c>
      <c r="AX32" s="17">
        <v>640</v>
      </c>
      <c r="AY32" s="17">
        <v>640</v>
      </c>
      <c r="AZ32" s="17">
        <v>640</v>
      </c>
      <c r="BA32" s="17">
        <v>640</v>
      </c>
      <c r="BB32" s="17">
        <v>640</v>
      </c>
      <c r="BC32" s="17">
        <v>640</v>
      </c>
      <c r="BD32" s="17">
        <v>640</v>
      </c>
      <c r="BE32" s="17">
        <v>640</v>
      </c>
      <c r="BF32" s="17">
        <v>640</v>
      </c>
      <c r="BG32" s="17">
        <v>640</v>
      </c>
      <c r="BH32" s="17">
        <v>640</v>
      </c>
      <c r="BI32" s="17">
        <v>640</v>
      </c>
      <c r="BJ32" s="17">
        <v>640</v>
      </c>
      <c r="BK32" s="17">
        <v>640</v>
      </c>
      <c r="BL32" s="17">
        <v>640</v>
      </c>
      <c r="BM32" s="17">
        <v>640</v>
      </c>
      <c r="BN32" s="17">
        <v>640</v>
      </c>
      <c r="BO32" s="17">
        <v>640</v>
      </c>
      <c r="BP32" s="17">
        <v>640</v>
      </c>
      <c r="BQ32" s="17">
        <v>640</v>
      </c>
      <c r="BR32" s="17">
        <v>640</v>
      </c>
      <c r="BS32" s="17">
        <v>640</v>
      </c>
      <c r="BT32" s="17">
        <v>640</v>
      </c>
      <c r="BU32" s="17">
        <v>640</v>
      </c>
      <c r="BV32" s="17">
        <v>640</v>
      </c>
      <c r="BW32" s="17">
        <v>640</v>
      </c>
      <c r="BX32" s="17">
        <v>640</v>
      </c>
    </row>
    <row r="33" spans="1:76">
      <c r="A33" s="56"/>
      <c r="B33" s="54"/>
      <c r="C33" s="110"/>
      <c r="D33" s="54"/>
      <c r="E33" s="54"/>
      <c r="F33" s="54"/>
      <c r="G33" s="110"/>
      <c r="H33" s="54"/>
      <c r="I33" s="5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</row>
    <row r="34" spans="1:76">
      <c r="A34" s="56" t="s">
        <v>367</v>
      </c>
      <c r="B34" s="54" t="s">
        <v>79</v>
      </c>
      <c r="C34" s="110" t="s">
        <v>343</v>
      </c>
      <c r="D34" s="438" t="s">
        <v>331</v>
      </c>
      <c r="E34" s="431" t="s">
        <v>330</v>
      </c>
      <c r="F34" s="431">
        <v>6.4</v>
      </c>
      <c r="G34" s="390" t="s">
        <v>331</v>
      </c>
      <c r="H34" s="54" t="s">
        <v>360</v>
      </c>
      <c r="I34" s="516">
        <v>0</v>
      </c>
      <c r="J34" s="17">
        <v>0</v>
      </c>
      <c r="K34" s="17">
        <v>720.38</v>
      </c>
      <c r="L34" s="17">
        <v>720.38</v>
      </c>
      <c r="M34" s="17">
        <v>720.38</v>
      </c>
      <c r="N34" s="17">
        <v>720.38</v>
      </c>
      <c r="O34" s="17">
        <v>720.38</v>
      </c>
      <c r="P34" s="17">
        <v>720.38</v>
      </c>
      <c r="Q34" s="17">
        <v>720.38</v>
      </c>
      <c r="R34" s="17">
        <v>720.38</v>
      </c>
      <c r="S34" s="17">
        <v>720.38</v>
      </c>
      <c r="T34" s="17">
        <v>720.38</v>
      </c>
      <c r="U34" s="17">
        <v>720.38</v>
      </c>
      <c r="V34" s="17">
        <v>720.38</v>
      </c>
      <c r="W34" s="17">
        <v>720.38</v>
      </c>
      <c r="X34" s="17">
        <v>720.38</v>
      </c>
      <c r="Y34" s="17">
        <v>720.38</v>
      </c>
      <c r="Z34" s="17">
        <v>720.38</v>
      </c>
      <c r="AA34" s="17">
        <v>720.38</v>
      </c>
      <c r="AB34" s="17">
        <v>720.38</v>
      </c>
      <c r="AC34" s="17">
        <v>720.38</v>
      </c>
      <c r="AD34" s="17">
        <v>720.38</v>
      </c>
      <c r="AE34" s="17">
        <v>720.38</v>
      </c>
      <c r="AF34" s="17">
        <v>720.38</v>
      </c>
      <c r="AG34" s="17">
        <v>720.38</v>
      </c>
      <c r="AH34" s="17">
        <v>720.38</v>
      </c>
      <c r="AI34" s="17">
        <v>720.38</v>
      </c>
      <c r="AJ34" s="17">
        <v>720.38</v>
      </c>
      <c r="AK34" s="17">
        <v>720.38</v>
      </c>
      <c r="AL34" s="17">
        <v>720.38</v>
      </c>
      <c r="AM34" s="17">
        <v>720.38</v>
      </c>
      <c r="AN34" s="17">
        <v>720.38</v>
      </c>
      <c r="AO34" s="17">
        <v>720.38</v>
      </c>
      <c r="AP34" s="17">
        <f t="shared" si="75"/>
        <v>720.38</v>
      </c>
      <c r="AQ34" s="17">
        <f t="shared" si="75"/>
        <v>720.38</v>
      </c>
      <c r="AR34" s="17">
        <f t="shared" si="75"/>
        <v>720.38</v>
      </c>
      <c r="AS34" s="17">
        <f t="shared" si="75"/>
        <v>720.38</v>
      </c>
      <c r="AT34" s="17">
        <f t="shared" si="75"/>
        <v>720.38</v>
      </c>
      <c r="AU34" s="17">
        <f t="shared" si="75"/>
        <v>720.38</v>
      </c>
      <c r="AV34" s="17">
        <f t="shared" si="75"/>
        <v>720.38</v>
      </c>
      <c r="AW34" s="17">
        <f t="shared" si="75"/>
        <v>720.38</v>
      </c>
      <c r="AX34" s="17">
        <f t="shared" si="75"/>
        <v>720.38</v>
      </c>
      <c r="AY34" s="17">
        <f t="shared" si="75"/>
        <v>720.38</v>
      </c>
      <c r="AZ34" s="17">
        <f t="shared" si="75"/>
        <v>720.38</v>
      </c>
      <c r="BA34" s="17">
        <f t="shared" ref="AQ34:BC44" si="136">ROUND(AZ34+$J34,2)</f>
        <v>720.38</v>
      </c>
      <c r="BB34" s="17">
        <f t="shared" si="136"/>
        <v>720.38</v>
      </c>
      <c r="BC34" s="17">
        <f t="shared" si="136"/>
        <v>720.38</v>
      </c>
      <c r="BD34" s="17">
        <f t="shared" ref="BD34:BD35" si="137">ROUND(BC34+$J34,2)</f>
        <v>720.38</v>
      </c>
      <c r="BE34" s="17">
        <f t="shared" ref="BE34:BE35" si="138">ROUND(BD34+$J34,2)</f>
        <v>720.38</v>
      </c>
      <c r="BF34" s="17">
        <f t="shared" ref="BF34:BF35" si="139">ROUND(BE34+$J34,2)</f>
        <v>720.38</v>
      </c>
      <c r="BG34" s="17">
        <f t="shared" ref="BG34:BG35" si="140">ROUND(BF34+$J34,2)</f>
        <v>720.38</v>
      </c>
      <c r="BH34" s="17">
        <f t="shared" ref="BH34:BH35" si="141">ROUND(BG34+$J34,2)</f>
        <v>720.38</v>
      </c>
      <c r="BI34" s="17">
        <f t="shared" ref="BI34:BI35" si="142">ROUND(BH34+$J34,2)</f>
        <v>720.38</v>
      </c>
      <c r="BJ34" s="17">
        <f t="shared" ref="BJ34:BJ35" si="143">ROUND(BI34+$J34,2)</f>
        <v>720.38</v>
      </c>
      <c r="BK34" s="17">
        <f t="shared" ref="BK34:BK35" si="144">ROUND(BJ34+$J34,2)</f>
        <v>720.38</v>
      </c>
      <c r="BL34" s="17">
        <f t="shared" ref="BL34:BL35" si="145">ROUND(BK34+$J34,2)</f>
        <v>720.38</v>
      </c>
      <c r="BM34" s="17">
        <f t="shared" ref="BM34:BM35" si="146">ROUND(BL34+$J34,2)</f>
        <v>720.38</v>
      </c>
      <c r="BN34" s="17">
        <f t="shared" ref="BN34:BN35" si="147">ROUND(BM34+$J34,2)</f>
        <v>720.38</v>
      </c>
      <c r="BO34" s="17">
        <f t="shared" ref="BO34:BO35" si="148">ROUND(BN34+$J34,2)</f>
        <v>720.38</v>
      </c>
      <c r="BP34" s="17">
        <f t="shared" ref="BP34:BP35" si="149">ROUND(BO34+$J34,2)</f>
        <v>720.38</v>
      </c>
      <c r="BQ34" s="17">
        <f t="shared" ref="BQ34:BQ35" si="150">ROUND(BP34+$J34,2)</f>
        <v>720.38</v>
      </c>
      <c r="BR34" s="17">
        <f t="shared" ref="BR34:BR35" si="151">ROUND(BQ34+$J34,2)</f>
        <v>720.38</v>
      </c>
      <c r="BS34" s="17">
        <f t="shared" ref="BS34:BS35" si="152">ROUND(BR34+$J34,2)</f>
        <v>720.38</v>
      </c>
      <c r="BT34" s="17">
        <f t="shared" ref="BT34:BT35" si="153">ROUND(BS34+$J34,2)</f>
        <v>720.38</v>
      </c>
      <c r="BU34" s="17">
        <f t="shared" ref="BU34:BU35" si="154">ROUND(BT34+$J34,2)</f>
        <v>720.38</v>
      </c>
      <c r="BV34" s="17">
        <f t="shared" ref="BV34:BV35" si="155">ROUND(BU34+$J34,2)</f>
        <v>720.38</v>
      </c>
      <c r="BW34" s="17">
        <f t="shared" ref="BW34:BX44" si="156">ROUND(BV34+$J34,2)</f>
        <v>720.38</v>
      </c>
      <c r="BX34" s="17">
        <f t="shared" si="156"/>
        <v>720.38</v>
      </c>
    </row>
    <row r="35" spans="1:76">
      <c r="A35" s="56" t="s">
        <v>368</v>
      </c>
      <c r="B35" s="54" t="s">
        <v>79</v>
      </c>
      <c r="C35" s="110" t="s">
        <v>343</v>
      </c>
      <c r="D35" s="438" t="s">
        <v>331</v>
      </c>
      <c r="E35" s="431" t="s">
        <v>330</v>
      </c>
      <c r="F35" s="431">
        <v>6.4</v>
      </c>
      <c r="G35" s="390" t="s">
        <v>331</v>
      </c>
      <c r="H35" s="54" t="s">
        <v>360</v>
      </c>
      <c r="I35" s="516"/>
      <c r="J35" s="17">
        <v>19.200000000000045</v>
      </c>
      <c r="K35" s="17">
        <v>1292.8</v>
      </c>
      <c r="L35" s="17">
        <v>1312</v>
      </c>
      <c r="M35" s="17">
        <v>1331.2</v>
      </c>
      <c r="N35" s="17">
        <v>1350.4</v>
      </c>
      <c r="O35" s="17">
        <v>1369.6</v>
      </c>
      <c r="P35" s="17">
        <v>1388.8</v>
      </c>
      <c r="Q35" s="17">
        <v>1408</v>
      </c>
      <c r="R35" s="17">
        <v>1427.2</v>
      </c>
      <c r="S35" s="17">
        <v>1446.4</v>
      </c>
      <c r="T35" s="17">
        <v>1465.6</v>
      </c>
      <c r="U35" s="17">
        <v>1484.8</v>
      </c>
      <c r="V35" s="17">
        <v>1504</v>
      </c>
      <c r="W35" s="17">
        <v>1523.2</v>
      </c>
      <c r="X35" s="17">
        <v>1542.4</v>
      </c>
      <c r="Y35" s="17">
        <v>1561.6</v>
      </c>
      <c r="Z35" s="17">
        <v>1580.8</v>
      </c>
      <c r="AA35" s="17">
        <v>1600</v>
      </c>
      <c r="AB35" s="17">
        <v>1619.2</v>
      </c>
      <c r="AC35" s="17">
        <v>1638.4</v>
      </c>
      <c r="AD35" s="17">
        <v>1657.6</v>
      </c>
      <c r="AE35" s="17">
        <v>1676.8</v>
      </c>
      <c r="AF35" s="17">
        <v>1696</v>
      </c>
      <c r="AG35" s="17">
        <v>1715.2</v>
      </c>
      <c r="AH35" s="17">
        <v>1734.4</v>
      </c>
      <c r="AI35" s="17">
        <v>1753.6</v>
      </c>
      <c r="AJ35" s="17">
        <v>1772.8</v>
      </c>
      <c r="AK35" s="17">
        <v>1792</v>
      </c>
      <c r="AL35" s="17">
        <v>1811.2</v>
      </c>
      <c r="AM35" s="17">
        <v>1830.4</v>
      </c>
      <c r="AN35" s="17">
        <v>1849.6</v>
      </c>
      <c r="AO35" s="17">
        <v>1868.8</v>
      </c>
      <c r="AP35" s="17">
        <f t="shared" si="75"/>
        <v>1888</v>
      </c>
      <c r="AQ35" s="17">
        <f t="shared" si="136"/>
        <v>1907.2</v>
      </c>
      <c r="AR35" s="17">
        <f t="shared" si="136"/>
        <v>1926.4</v>
      </c>
      <c r="AS35" s="17">
        <f t="shared" si="136"/>
        <v>1945.6</v>
      </c>
      <c r="AT35" s="17">
        <f t="shared" si="136"/>
        <v>1964.8</v>
      </c>
      <c r="AU35" s="17">
        <f t="shared" si="136"/>
        <v>1984</v>
      </c>
      <c r="AV35" s="17">
        <f t="shared" si="136"/>
        <v>2003.2</v>
      </c>
      <c r="AW35" s="17">
        <f t="shared" si="136"/>
        <v>2022.4</v>
      </c>
      <c r="AX35" s="17">
        <f t="shared" si="136"/>
        <v>2041.6</v>
      </c>
      <c r="AY35" s="17">
        <f t="shared" si="136"/>
        <v>2060.8000000000002</v>
      </c>
      <c r="AZ35" s="17">
        <f t="shared" si="136"/>
        <v>2080</v>
      </c>
      <c r="BA35" s="17">
        <f t="shared" si="136"/>
        <v>2099.1999999999998</v>
      </c>
      <c r="BB35" s="17">
        <f t="shared" si="136"/>
        <v>2118.4</v>
      </c>
      <c r="BC35" s="17">
        <f t="shared" si="136"/>
        <v>2137.6</v>
      </c>
      <c r="BD35" s="17">
        <f t="shared" si="137"/>
        <v>2156.8000000000002</v>
      </c>
      <c r="BE35" s="17">
        <f t="shared" si="138"/>
        <v>2176</v>
      </c>
      <c r="BF35" s="17">
        <f t="shared" si="139"/>
        <v>2195.1999999999998</v>
      </c>
      <c r="BG35" s="17">
        <f t="shared" si="140"/>
        <v>2214.4</v>
      </c>
      <c r="BH35" s="17">
        <f t="shared" si="141"/>
        <v>2233.6</v>
      </c>
      <c r="BI35" s="17">
        <f t="shared" si="142"/>
        <v>2252.8000000000002</v>
      </c>
      <c r="BJ35" s="17">
        <f t="shared" si="143"/>
        <v>2272</v>
      </c>
      <c r="BK35" s="17">
        <f t="shared" si="144"/>
        <v>2291.1999999999998</v>
      </c>
      <c r="BL35" s="17">
        <f t="shared" si="145"/>
        <v>2310.4</v>
      </c>
      <c r="BM35" s="17">
        <f t="shared" si="146"/>
        <v>2329.6</v>
      </c>
      <c r="BN35" s="17">
        <f t="shared" si="147"/>
        <v>2348.8000000000002</v>
      </c>
      <c r="BO35" s="17">
        <f t="shared" si="148"/>
        <v>2368</v>
      </c>
      <c r="BP35" s="17">
        <f t="shared" si="149"/>
        <v>2387.1999999999998</v>
      </c>
      <c r="BQ35" s="17">
        <f t="shared" si="150"/>
        <v>2406.4</v>
      </c>
      <c r="BR35" s="17">
        <f t="shared" si="151"/>
        <v>2425.6</v>
      </c>
      <c r="BS35" s="17">
        <f t="shared" si="152"/>
        <v>2444.8000000000002</v>
      </c>
      <c r="BT35" s="17">
        <f t="shared" si="153"/>
        <v>2464</v>
      </c>
      <c r="BU35" s="17">
        <f t="shared" si="154"/>
        <v>2483.1999999999998</v>
      </c>
      <c r="BV35" s="17">
        <f t="shared" si="155"/>
        <v>2502.4</v>
      </c>
      <c r="BW35" s="17">
        <f t="shared" si="156"/>
        <v>2521.6</v>
      </c>
      <c r="BX35" s="17">
        <f t="shared" si="156"/>
        <v>2540.8000000000002</v>
      </c>
    </row>
    <row r="36" spans="1:76">
      <c r="A36" s="56"/>
      <c r="B36" s="54"/>
      <c r="C36" s="110"/>
      <c r="D36" s="431"/>
      <c r="E36" s="431"/>
      <c r="F36" s="431"/>
      <c r="G36" s="110"/>
      <c r="H36" s="431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</row>
    <row r="37" spans="1:76">
      <c r="A37" s="56" t="s">
        <v>369</v>
      </c>
      <c r="B37" s="54" t="s">
        <v>51</v>
      </c>
      <c r="C37" s="110" t="s">
        <v>350</v>
      </c>
      <c r="D37" s="431" t="s">
        <v>31</v>
      </c>
      <c r="E37" s="431" t="s">
        <v>330</v>
      </c>
      <c r="F37" s="431">
        <v>6.4</v>
      </c>
      <c r="G37" s="390" t="s">
        <v>331</v>
      </c>
      <c r="H37" s="54" t="s">
        <v>345</v>
      </c>
      <c r="I37" s="516">
        <v>0</v>
      </c>
      <c r="J37" s="17">
        <v>0</v>
      </c>
      <c r="K37" s="17">
        <v>513.86</v>
      </c>
      <c r="L37" s="17">
        <v>513.86</v>
      </c>
      <c r="M37" s="17">
        <v>513.86</v>
      </c>
      <c r="N37" s="17">
        <v>513.86</v>
      </c>
      <c r="O37" s="17">
        <v>513.86</v>
      </c>
      <c r="P37" s="17">
        <v>513.86</v>
      </c>
      <c r="Q37" s="17">
        <v>513.86</v>
      </c>
      <c r="R37" s="17">
        <v>513.86</v>
      </c>
      <c r="S37" s="17">
        <v>513.86</v>
      </c>
      <c r="T37" s="17">
        <v>513.86</v>
      </c>
      <c r="U37" s="17">
        <v>513.86</v>
      </c>
      <c r="V37" s="17">
        <v>513.86</v>
      </c>
      <c r="W37" s="17">
        <v>513.86</v>
      </c>
      <c r="X37" s="17">
        <v>513.86</v>
      </c>
      <c r="Y37" s="17">
        <v>513.86</v>
      </c>
      <c r="Z37" s="17">
        <v>513.86</v>
      </c>
      <c r="AA37" s="17">
        <v>513.86</v>
      </c>
      <c r="AB37" s="17">
        <v>513.86</v>
      </c>
      <c r="AC37" s="17">
        <v>513.86</v>
      </c>
      <c r="AD37" s="17">
        <v>513.86</v>
      </c>
      <c r="AE37" s="17">
        <v>513.86</v>
      </c>
      <c r="AF37" s="17">
        <v>513.86</v>
      </c>
      <c r="AG37" s="17">
        <v>513.86</v>
      </c>
      <c r="AH37" s="17">
        <v>513.86</v>
      </c>
      <c r="AI37" s="17">
        <v>513.86</v>
      </c>
      <c r="AJ37" s="17">
        <v>513.86</v>
      </c>
      <c r="AK37" s="17">
        <v>513.86</v>
      </c>
      <c r="AL37" s="17">
        <v>513.86</v>
      </c>
      <c r="AM37" s="17">
        <v>513.86</v>
      </c>
      <c r="AN37" s="17">
        <v>513.86</v>
      </c>
      <c r="AO37" s="17">
        <v>513.86</v>
      </c>
      <c r="AP37" s="17">
        <f t="shared" si="75"/>
        <v>513.86</v>
      </c>
      <c r="AQ37" s="17">
        <f t="shared" si="136"/>
        <v>513.86</v>
      </c>
      <c r="AR37" s="17">
        <f t="shared" si="136"/>
        <v>513.86</v>
      </c>
      <c r="AS37" s="17">
        <f t="shared" si="136"/>
        <v>513.86</v>
      </c>
      <c r="AT37" s="17">
        <f t="shared" si="136"/>
        <v>513.86</v>
      </c>
      <c r="AU37" s="17">
        <f t="shared" si="136"/>
        <v>513.86</v>
      </c>
      <c r="AV37" s="17">
        <f t="shared" si="136"/>
        <v>513.86</v>
      </c>
      <c r="AW37" s="17">
        <f t="shared" si="136"/>
        <v>513.86</v>
      </c>
      <c r="AX37" s="17">
        <f t="shared" si="136"/>
        <v>513.86</v>
      </c>
      <c r="AY37" s="17">
        <f t="shared" si="136"/>
        <v>513.86</v>
      </c>
      <c r="AZ37" s="17">
        <f t="shared" si="136"/>
        <v>513.86</v>
      </c>
      <c r="BA37" s="17">
        <f t="shared" si="136"/>
        <v>513.86</v>
      </c>
      <c r="BB37" s="17">
        <f t="shared" si="136"/>
        <v>513.86</v>
      </c>
      <c r="BC37" s="17">
        <f t="shared" si="136"/>
        <v>513.86</v>
      </c>
      <c r="BD37" s="17">
        <f t="shared" ref="BD37:BD38" si="157">ROUND(BC37+$J37,2)</f>
        <v>513.86</v>
      </c>
      <c r="BE37" s="17">
        <f t="shared" ref="BE37:BE38" si="158">ROUND(BD37+$J37,2)</f>
        <v>513.86</v>
      </c>
      <c r="BF37" s="17">
        <f t="shared" ref="BF37:BF38" si="159">ROUND(BE37+$J37,2)</f>
        <v>513.86</v>
      </c>
      <c r="BG37" s="17">
        <f t="shared" ref="BG37:BG38" si="160">ROUND(BF37+$J37,2)</f>
        <v>513.86</v>
      </c>
      <c r="BH37" s="17">
        <f t="shared" ref="BH37:BH38" si="161">ROUND(BG37+$J37,2)</f>
        <v>513.86</v>
      </c>
      <c r="BI37" s="17">
        <f t="shared" ref="BI37:BI38" si="162">ROUND(BH37+$J37,2)</f>
        <v>513.86</v>
      </c>
      <c r="BJ37" s="17">
        <f t="shared" ref="BJ37:BJ38" si="163">ROUND(BI37+$J37,2)</f>
        <v>513.86</v>
      </c>
      <c r="BK37" s="17">
        <f t="shared" ref="BK37:BK38" si="164">ROUND(BJ37+$J37,2)</f>
        <v>513.86</v>
      </c>
      <c r="BL37" s="17">
        <f t="shared" ref="BL37:BL38" si="165">ROUND(BK37+$J37,2)</f>
        <v>513.86</v>
      </c>
      <c r="BM37" s="17">
        <f t="shared" ref="BM37:BM38" si="166">ROUND(BL37+$J37,2)</f>
        <v>513.86</v>
      </c>
      <c r="BN37" s="17">
        <f t="shared" ref="BN37:BN38" si="167">ROUND(BM37+$J37,2)</f>
        <v>513.86</v>
      </c>
      <c r="BO37" s="17">
        <f t="shared" ref="BO37:BO38" si="168">ROUND(BN37+$J37,2)</f>
        <v>513.86</v>
      </c>
      <c r="BP37" s="17">
        <f t="shared" ref="BP37:BP38" si="169">ROUND(BO37+$J37,2)</f>
        <v>513.86</v>
      </c>
      <c r="BQ37" s="17">
        <f t="shared" ref="BQ37:BQ38" si="170">ROUND(BP37+$J37,2)</f>
        <v>513.86</v>
      </c>
      <c r="BR37" s="17">
        <f t="shared" ref="BR37:BR38" si="171">ROUND(BQ37+$J37,2)</f>
        <v>513.86</v>
      </c>
      <c r="BS37" s="17">
        <f t="shared" ref="BS37:BS38" si="172">ROUND(BR37+$J37,2)</f>
        <v>513.86</v>
      </c>
      <c r="BT37" s="17">
        <f t="shared" ref="BT37:BT38" si="173">ROUND(BS37+$J37,2)</f>
        <v>513.86</v>
      </c>
      <c r="BU37" s="17">
        <f t="shared" ref="BU37:BU38" si="174">ROUND(BT37+$J37,2)</f>
        <v>513.86</v>
      </c>
      <c r="BV37" s="17">
        <f t="shared" ref="BV37:BV38" si="175">ROUND(BU37+$J37,2)</f>
        <v>513.86</v>
      </c>
      <c r="BW37" s="17">
        <f t="shared" ref="BW37:BW38" si="176">ROUND(BV37+$J37,2)</f>
        <v>513.86</v>
      </c>
      <c r="BX37" s="17">
        <f t="shared" si="156"/>
        <v>513.86</v>
      </c>
    </row>
    <row r="38" spans="1:76">
      <c r="A38" s="56" t="s">
        <v>370</v>
      </c>
      <c r="B38" s="54" t="s">
        <v>51</v>
      </c>
      <c r="C38" s="110" t="s">
        <v>371</v>
      </c>
      <c r="D38" s="431" t="s">
        <v>372</v>
      </c>
      <c r="E38" s="431" t="s">
        <v>330</v>
      </c>
      <c r="F38" s="431">
        <v>6.4</v>
      </c>
      <c r="G38" s="390" t="s">
        <v>331</v>
      </c>
      <c r="H38" s="54" t="s">
        <v>332</v>
      </c>
      <c r="I38" s="447">
        <v>15.1</v>
      </c>
      <c r="J38" s="17">
        <v>16.319999999999936</v>
      </c>
      <c r="K38" s="17">
        <v>1328.45</v>
      </c>
      <c r="L38" s="17">
        <v>1344.77</v>
      </c>
      <c r="M38" s="17">
        <v>1361.09</v>
      </c>
      <c r="N38" s="17">
        <v>1377.41</v>
      </c>
      <c r="O38" s="17">
        <v>1393.73</v>
      </c>
      <c r="P38" s="17">
        <v>1410.05</v>
      </c>
      <c r="Q38" s="17">
        <v>1426.37</v>
      </c>
      <c r="R38" s="17">
        <v>1442.69</v>
      </c>
      <c r="S38" s="17">
        <v>1459.01</v>
      </c>
      <c r="T38" s="17">
        <v>1475.33</v>
      </c>
      <c r="U38" s="17">
        <v>1491.65</v>
      </c>
      <c r="V38" s="17">
        <v>1507.97</v>
      </c>
      <c r="W38" s="17">
        <v>1524.29</v>
      </c>
      <c r="X38" s="17">
        <v>1540.61</v>
      </c>
      <c r="Y38" s="17">
        <v>1556.93</v>
      </c>
      <c r="Z38" s="17">
        <v>1573.25</v>
      </c>
      <c r="AA38" s="17">
        <v>1589.57</v>
      </c>
      <c r="AB38" s="17">
        <v>1605.89</v>
      </c>
      <c r="AC38" s="17">
        <v>1622.21</v>
      </c>
      <c r="AD38" s="17">
        <v>1638.53</v>
      </c>
      <c r="AE38" s="17">
        <v>1654.85</v>
      </c>
      <c r="AF38" s="17">
        <v>1671.17</v>
      </c>
      <c r="AG38" s="17">
        <v>1687.49</v>
      </c>
      <c r="AH38" s="17">
        <v>1703.81</v>
      </c>
      <c r="AI38" s="17">
        <v>1720.13</v>
      </c>
      <c r="AJ38" s="17">
        <v>1736.45</v>
      </c>
      <c r="AK38" s="17">
        <v>1752.77</v>
      </c>
      <c r="AL38" s="17">
        <v>1769.09</v>
      </c>
      <c r="AM38" s="17">
        <v>1785.41</v>
      </c>
      <c r="AN38" s="17">
        <v>1801.73</v>
      </c>
      <c r="AO38" s="17">
        <v>1818.05</v>
      </c>
      <c r="AP38" s="17">
        <f t="shared" si="75"/>
        <v>1834.37</v>
      </c>
      <c r="AQ38" s="17">
        <f t="shared" si="136"/>
        <v>1850.69</v>
      </c>
      <c r="AR38" s="17">
        <f t="shared" si="136"/>
        <v>1867.01</v>
      </c>
      <c r="AS38" s="17">
        <f t="shared" si="136"/>
        <v>1883.33</v>
      </c>
      <c r="AT38" s="17">
        <f t="shared" si="136"/>
        <v>1899.65</v>
      </c>
      <c r="AU38" s="17">
        <f t="shared" si="136"/>
        <v>1915.97</v>
      </c>
      <c r="AV38" s="17">
        <f t="shared" si="136"/>
        <v>1932.29</v>
      </c>
      <c r="AW38" s="17">
        <f t="shared" si="136"/>
        <v>1948.61</v>
      </c>
      <c r="AX38" s="17">
        <f t="shared" si="136"/>
        <v>1964.93</v>
      </c>
      <c r="AY38" s="17">
        <f t="shared" si="136"/>
        <v>1981.25</v>
      </c>
      <c r="AZ38" s="17">
        <f t="shared" si="136"/>
        <v>1997.57</v>
      </c>
      <c r="BA38" s="17">
        <f t="shared" si="136"/>
        <v>2013.89</v>
      </c>
      <c r="BB38" s="17">
        <f t="shared" si="136"/>
        <v>2030.21</v>
      </c>
      <c r="BC38" s="17">
        <f t="shared" si="136"/>
        <v>2046.53</v>
      </c>
      <c r="BD38" s="17">
        <f t="shared" si="157"/>
        <v>2062.85</v>
      </c>
      <c r="BE38" s="17">
        <f t="shared" si="158"/>
        <v>2079.17</v>
      </c>
      <c r="BF38" s="17">
        <f t="shared" si="159"/>
        <v>2095.4899999999998</v>
      </c>
      <c r="BG38" s="17">
        <f t="shared" si="160"/>
        <v>2111.81</v>
      </c>
      <c r="BH38" s="17">
        <f t="shared" si="161"/>
        <v>2128.13</v>
      </c>
      <c r="BI38" s="17">
        <f t="shared" si="162"/>
        <v>2144.4499999999998</v>
      </c>
      <c r="BJ38" s="17">
        <f t="shared" si="163"/>
        <v>2160.77</v>
      </c>
      <c r="BK38" s="17">
        <f t="shared" si="164"/>
        <v>2177.09</v>
      </c>
      <c r="BL38" s="17">
        <f t="shared" si="165"/>
        <v>2193.41</v>
      </c>
      <c r="BM38" s="17">
        <f t="shared" si="166"/>
        <v>2209.73</v>
      </c>
      <c r="BN38" s="17">
        <f t="shared" si="167"/>
        <v>2226.0500000000002</v>
      </c>
      <c r="BO38" s="17">
        <f t="shared" si="168"/>
        <v>2242.37</v>
      </c>
      <c r="BP38" s="17">
        <f t="shared" si="169"/>
        <v>2258.69</v>
      </c>
      <c r="BQ38" s="17">
        <f t="shared" si="170"/>
        <v>2275.0100000000002</v>
      </c>
      <c r="BR38" s="17">
        <f t="shared" si="171"/>
        <v>2291.33</v>
      </c>
      <c r="BS38" s="17">
        <f t="shared" si="172"/>
        <v>2307.65</v>
      </c>
      <c r="BT38" s="17">
        <f t="shared" si="173"/>
        <v>2323.9699999999998</v>
      </c>
      <c r="BU38" s="17">
        <f t="shared" si="174"/>
        <v>2340.29</v>
      </c>
      <c r="BV38" s="17">
        <f t="shared" si="175"/>
        <v>2356.61</v>
      </c>
      <c r="BW38" s="17">
        <f t="shared" si="176"/>
        <v>2372.9299999999998</v>
      </c>
      <c r="BX38" s="17">
        <f t="shared" si="156"/>
        <v>2389.25</v>
      </c>
    </row>
    <row r="39" spans="1:76">
      <c r="A39" s="56"/>
      <c r="B39" s="54"/>
      <c r="C39" s="110"/>
      <c r="D39" s="431"/>
      <c r="E39" s="431"/>
      <c r="F39" s="431"/>
      <c r="G39" s="390"/>
      <c r="H39" s="54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</row>
    <row r="40" spans="1:76" s="385" customFormat="1">
      <c r="A40" s="432" t="s">
        <v>373</v>
      </c>
      <c r="B40" s="433" t="s">
        <v>103</v>
      </c>
      <c r="C40" s="434" t="s">
        <v>374</v>
      </c>
      <c r="D40" s="435" t="s">
        <v>31</v>
      </c>
      <c r="E40" s="435" t="s">
        <v>330</v>
      </c>
      <c r="F40" s="435">
        <v>6.4</v>
      </c>
      <c r="G40" s="391" t="s">
        <v>375</v>
      </c>
      <c r="H40" s="433" t="s">
        <v>360</v>
      </c>
      <c r="I40" s="515">
        <v>0</v>
      </c>
      <c r="J40" s="386">
        <v>0</v>
      </c>
      <c r="K40" s="386">
        <v>1356.8</v>
      </c>
      <c r="L40" s="386">
        <v>1356.8</v>
      </c>
      <c r="M40" s="386">
        <v>1356.8</v>
      </c>
      <c r="N40" s="386">
        <v>1356.8</v>
      </c>
      <c r="O40" s="386">
        <v>1356.8</v>
      </c>
      <c r="P40" s="386">
        <v>1356.8</v>
      </c>
      <c r="Q40" s="386">
        <v>1356.8</v>
      </c>
      <c r="R40" s="386">
        <v>1356.8</v>
      </c>
      <c r="S40" s="386">
        <v>1356.8</v>
      </c>
      <c r="T40" s="386">
        <v>1356.8</v>
      </c>
      <c r="U40" s="386">
        <v>1356.8</v>
      </c>
      <c r="V40" s="386">
        <v>1356.8</v>
      </c>
      <c r="W40" s="386">
        <v>1356.8</v>
      </c>
      <c r="X40" s="386">
        <v>1356.8</v>
      </c>
      <c r="Y40" s="386">
        <v>1356.8</v>
      </c>
      <c r="Z40" s="386">
        <v>1356.8</v>
      </c>
      <c r="AA40" s="386">
        <v>1356.8</v>
      </c>
      <c r="AB40" s="386">
        <v>1356.8</v>
      </c>
      <c r="AC40" s="386">
        <v>1356.8</v>
      </c>
      <c r="AD40" s="386">
        <v>1356.8</v>
      </c>
      <c r="AE40" s="386">
        <v>1356.8</v>
      </c>
      <c r="AF40" s="386">
        <v>1356.8</v>
      </c>
      <c r="AG40" s="386">
        <v>1356.8</v>
      </c>
      <c r="AH40" s="386">
        <v>1356.8</v>
      </c>
      <c r="AI40" s="386">
        <v>1356.8</v>
      </c>
      <c r="AJ40" s="386">
        <v>1356.8</v>
      </c>
      <c r="AK40" s="386">
        <v>1356.8</v>
      </c>
      <c r="AL40" s="386">
        <v>1356.8</v>
      </c>
      <c r="AM40" s="386">
        <v>1356.8</v>
      </c>
      <c r="AN40" s="386">
        <v>1356.8</v>
      </c>
      <c r="AO40" s="386">
        <v>1356.8</v>
      </c>
      <c r="AP40" s="386">
        <f t="shared" si="75"/>
        <v>1356.8</v>
      </c>
      <c r="AQ40" s="386">
        <f t="shared" si="136"/>
        <v>1356.8</v>
      </c>
      <c r="AR40" s="386">
        <f t="shared" si="136"/>
        <v>1356.8</v>
      </c>
      <c r="AS40" s="386">
        <f t="shared" si="136"/>
        <v>1356.8</v>
      </c>
      <c r="AT40" s="386">
        <f t="shared" si="136"/>
        <v>1356.8</v>
      </c>
      <c r="AU40" s="386">
        <f t="shared" si="136"/>
        <v>1356.8</v>
      </c>
      <c r="AV40" s="386">
        <f t="shared" si="136"/>
        <v>1356.8</v>
      </c>
      <c r="AW40" s="386">
        <f t="shared" si="136"/>
        <v>1356.8</v>
      </c>
      <c r="AX40" s="386">
        <f t="shared" si="136"/>
        <v>1356.8</v>
      </c>
      <c r="AY40" s="386">
        <f t="shared" si="136"/>
        <v>1356.8</v>
      </c>
      <c r="AZ40" s="386">
        <f t="shared" si="136"/>
        <v>1356.8</v>
      </c>
      <c r="BA40" s="386">
        <f t="shared" si="136"/>
        <v>1356.8</v>
      </c>
      <c r="BB40" s="386">
        <f t="shared" si="136"/>
        <v>1356.8</v>
      </c>
      <c r="BC40" s="386">
        <f t="shared" si="136"/>
        <v>1356.8</v>
      </c>
      <c r="BD40" s="386">
        <f t="shared" ref="BD40:BD41" si="177">ROUND(BC40+$J40,2)</f>
        <v>1356.8</v>
      </c>
      <c r="BE40" s="386">
        <f t="shared" ref="BE40:BE41" si="178">ROUND(BD40+$J40,2)</f>
        <v>1356.8</v>
      </c>
      <c r="BF40" s="386">
        <f t="shared" ref="BF40:BF41" si="179">ROUND(BE40+$J40,2)</f>
        <v>1356.8</v>
      </c>
      <c r="BG40" s="386">
        <f t="shared" ref="BG40:BG41" si="180">ROUND(BF40+$J40,2)</f>
        <v>1356.8</v>
      </c>
      <c r="BH40" s="386">
        <f t="shared" ref="BH40:BH41" si="181">ROUND(BG40+$J40,2)</f>
        <v>1356.8</v>
      </c>
      <c r="BI40" s="386">
        <f t="shared" ref="BI40:BI41" si="182">ROUND(BH40+$J40,2)</f>
        <v>1356.8</v>
      </c>
      <c r="BJ40" s="386">
        <f t="shared" ref="BJ40:BJ41" si="183">ROUND(BI40+$J40,2)</f>
        <v>1356.8</v>
      </c>
      <c r="BK40" s="386">
        <f t="shared" ref="BK40:BK41" si="184">ROUND(BJ40+$J40,2)</f>
        <v>1356.8</v>
      </c>
      <c r="BL40" s="386">
        <f t="shared" ref="BL40:BL41" si="185">ROUND(BK40+$J40,2)</f>
        <v>1356.8</v>
      </c>
      <c r="BM40" s="386">
        <f t="shared" ref="BM40:BM41" si="186">ROUND(BL40+$J40,2)</f>
        <v>1356.8</v>
      </c>
      <c r="BN40" s="386">
        <f t="shared" ref="BN40:BN41" si="187">ROUND(BM40+$J40,2)</f>
        <v>1356.8</v>
      </c>
      <c r="BO40" s="386">
        <f t="shared" ref="BO40:BO41" si="188">ROUND(BN40+$J40,2)</f>
        <v>1356.8</v>
      </c>
      <c r="BP40" s="386">
        <f t="shared" ref="BP40:BP41" si="189">ROUND(BO40+$J40,2)</f>
        <v>1356.8</v>
      </c>
      <c r="BQ40" s="386">
        <f t="shared" ref="BQ40:BQ41" si="190">ROUND(BP40+$J40,2)</f>
        <v>1356.8</v>
      </c>
      <c r="BR40" s="386">
        <f t="shared" ref="BR40:BR41" si="191">ROUND(BQ40+$J40,2)</f>
        <v>1356.8</v>
      </c>
      <c r="BS40" s="386">
        <f t="shared" ref="BS40:BS41" si="192">ROUND(BR40+$J40,2)</f>
        <v>1356.8</v>
      </c>
      <c r="BT40" s="386">
        <f t="shared" ref="BT40:BT41" si="193">ROUND(BS40+$J40,2)</f>
        <v>1356.8</v>
      </c>
      <c r="BU40" s="386">
        <f t="shared" ref="BU40:BU41" si="194">ROUND(BT40+$J40,2)</f>
        <v>1356.8</v>
      </c>
      <c r="BV40" s="386">
        <f t="shared" ref="BV40:BV41" si="195">ROUND(BU40+$J40,2)</f>
        <v>1356.8</v>
      </c>
      <c r="BW40" s="386">
        <f t="shared" ref="BW40:BW41" si="196">ROUND(BV40+$J40,2)</f>
        <v>1356.8</v>
      </c>
      <c r="BX40" s="386">
        <f t="shared" si="156"/>
        <v>1356.8</v>
      </c>
    </row>
    <row r="41" spans="1:76" s="385" customFormat="1">
      <c r="A41" s="432" t="s">
        <v>376</v>
      </c>
      <c r="B41" s="433" t="s">
        <v>103</v>
      </c>
      <c r="C41" s="434" t="s">
        <v>374</v>
      </c>
      <c r="D41" s="435" t="s">
        <v>31</v>
      </c>
      <c r="E41" s="435" t="s">
        <v>330</v>
      </c>
      <c r="F41" s="435">
        <v>6.4</v>
      </c>
      <c r="G41" s="391" t="s">
        <v>377</v>
      </c>
      <c r="H41" s="433" t="s">
        <v>360</v>
      </c>
      <c r="I41" s="515">
        <v>0</v>
      </c>
      <c r="J41" s="386">
        <v>0</v>
      </c>
      <c r="K41" s="386">
        <f t="shared" ref="K41:X41" si="197">ROUND(K40*0.96,2)</f>
        <v>1302.53</v>
      </c>
      <c r="L41" s="386">
        <f t="shared" si="197"/>
        <v>1302.53</v>
      </c>
      <c r="M41" s="386">
        <f t="shared" si="197"/>
        <v>1302.53</v>
      </c>
      <c r="N41" s="386">
        <f t="shared" si="197"/>
        <v>1302.53</v>
      </c>
      <c r="O41" s="386">
        <f t="shared" si="197"/>
        <v>1302.53</v>
      </c>
      <c r="P41" s="386">
        <f t="shared" si="197"/>
        <v>1302.53</v>
      </c>
      <c r="Q41" s="386">
        <f t="shared" si="197"/>
        <v>1302.53</v>
      </c>
      <c r="R41" s="386">
        <f t="shared" si="197"/>
        <v>1302.53</v>
      </c>
      <c r="S41" s="386">
        <f t="shared" si="197"/>
        <v>1302.53</v>
      </c>
      <c r="T41" s="386">
        <f t="shared" si="197"/>
        <v>1302.53</v>
      </c>
      <c r="U41" s="386">
        <f t="shared" si="197"/>
        <v>1302.53</v>
      </c>
      <c r="V41" s="386">
        <f t="shared" si="197"/>
        <v>1302.53</v>
      </c>
      <c r="W41" s="386">
        <f t="shared" si="197"/>
        <v>1302.53</v>
      </c>
      <c r="X41" s="386">
        <f t="shared" si="197"/>
        <v>1302.53</v>
      </c>
      <c r="Y41" s="386">
        <f>ROUND(Y40*0.96,2)</f>
        <v>1302.53</v>
      </c>
      <c r="Z41" s="386">
        <f>ROUND(Z40*0.96,2)</f>
        <v>1302.53</v>
      </c>
      <c r="AA41" s="386">
        <f t="shared" ref="AA41:AO41" si="198">ROUND(AA40*0.96,2)</f>
        <v>1302.53</v>
      </c>
      <c r="AB41" s="386">
        <f t="shared" si="198"/>
        <v>1302.53</v>
      </c>
      <c r="AC41" s="386">
        <f t="shared" si="198"/>
        <v>1302.53</v>
      </c>
      <c r="AD41" s="386">
        <f t="shared" si="198"/>
        <v>1302.53</v>
      </c>
      <c r="AE41" s="386">
        <f t="shared" si="198"/>
        <v>1302.53</v>
      </c>
      <c r="AF41" s="386">
        <f t="shared" si="198"/>
        <v>1302.53</v>
      </c>
      <c r="AG41" s="386">
        <f t="shared" si="198"/>
        <v>1302.53</v>
      </c>
      <c r="AH41" s="386">
        <f t="shared" si="198"/>
        <v>1302.53</v>
      </c>
      <c r="AI41" s="386">
        <f t="shared" si="198"/>
        <v>1302.53</v>
      </c>
      <c r="AJ41" s="386">
        <f t="shared" si="198"/>
        <v>1302.53</v>
      </c>
      <c r="AK41" s="386">
        <f t="shared" si="198"/>
        <v>1302.53</v>
      </c>
      <c r="AL41" s="386">
        <f t="shared" si="198"/>
        <v>1302.53</v>
      </c>
      <c r="AM41" s="386">
        <f t="shared" si="198"/>
        <v>1302.53</v>
      </c>
      <c r="AN41" s="386">
        <f t="shared" si="198"/>
        <v>1302.53</v>
      </c>
      <c r="AO41" s="386">
        <f t="shared" si="198"/>
        <v>1302.53</v>
      </c>
      <c r="AP41" s="386">
        <f t="shared" si="75"/>
        <v>1302.53</v>
      </c>
      <c r="AQ41" s="386">
        <f t="shared" si="136"/>
        <v>1302.53</v>
      </c>
      <c r="AR41" s="386">
        <f t="shared" si="136"/>
        <v>1302.53</v>
      </c>
      <c r="AS41" s="386">
        <f t="shared" si="136"/>
        <v>1302.53</v>
      </c>
      <c r="AT41" s="386">
        <f t="shared" si="136"/>
        <v>1302.53</v>
      </c>
      <c r="AU41" s="386">
        <f t="shared" si="136"/>
        <v>1302.53</v>
      </c>
      <c r="AV41" s="386">
        <f t="shared" si="136"/>
        <v>1302.53</v>
      </c>
      <c r="AW41" s="386">
        <f t="shared" si="136"/>
        <v>1302.53</v>
      </c>
      <c r="AX41" s="386">
        <f t="shared" si="136"/>
        <v>1302.53</v>
      </c>
      <c r="AY41" s="386">
        <f t="shared" si="136"/>
        <v>1302.53</v>
      </c>
      <c r="AZ41" s="386">
        <f t="shared" si="136"/>
        <v>1302.53</v>
      </c>
      <c r="BA41" s="386">
        <f t="shared" si="136"/>
        <v>1302.53</v>
      </c>
      <c r="BB41" s="386">
        <f t="shared" si="136"/>
        <v>1302.53</v>
      </c>
      <c r="BC41" s="386">
        <f t="shared" si="136"/>
        <v>1302.53</v>
      </c>
      <c r="BD41" s="386">
        <f t="shared" si="177"/>
        <v>1302.53</v>
      </c>
      <c r="BE41" s="386">
        <f t="shared" si="178"/>
        <v>1302.53</v>
      </c>
      <c r="BF41" s="386">
        <f t="shared" si="179"/>
        <v>1302.53</v>
      </c>
      <c r="BG41" s="386">
        <f t="shared" si="180"/>
        <v>1302.53</v>
      </c>
      <c r="BH41" s="386">
        <f t="shared" si="181"/>
        <v>1302.53</v>
      </c>
      <c r="BI41" s="386">
        <f t="shared" si="182"/>
        <v>1302.53</v>
      </c>
      <c r="BJ41" s="386">
        <f t="shared" si="183"/>
        <v>1302.53</v>
      </c>
      <c r="BK41" s="386">
        <f t="shared" si="184"/>
        <v>1302.53</v>
      </c>
      <c r="BL41" s="386">
        <f t="shared" si="185"/>
        <v>1302.53</v>
      </c>
      <c r="BM41" s="386">
        <f t="shared" si="186"/>
        <v>1302.53</v>
      </c>
      <c r="BN41" s="386">
        <f t="shared" si="187"/>
        <v>1302.53</v>
      </c>
      <c r="BO41" s="386">
        <f t="shared" si="188"/>
        <v>1302.53</v>
      </c>
      <c r="BP41" s="386">
        <f t="shared" si="189"/>
        <v>1302.53</v>
      </c>
      <c r="BQ41" s="386">
        <f t="shared" si="190"/>
        <v>1302.53</v>
      </c>
      <c r="BR41" s="386">
        <f t="shared" si="191"/>
        <v>1302.53</v>
      </c>
      <c r="BS41" s="386">
        <f t="shared" si="192"/>
        <v>1302.53</v>
      </c>
      <c r="BT41" s="386">
        <f t="shared" si="193"/>
        <v>1302.53</v>
      </c>
      <c r="BU41" s="386">
        <f t="shared" si="194"/>
        <v>1302.53</v>
      </c>
      <c r="BV41" s="386">
        <f t="shared" si="195"/>
        <v>1302.53</v>
      </c>
      <c r="BW41" s="386">
        <f t="shared" si="196"/>
        <v>1302.53</v>
      </c>
      <c r="BX41" s="386">
        <f t="shared" si="156"/>
        <v>1302.53</v>
      </c>
    </row>
    <row r="42" spans="1:76">
      <c r="A42" s="56"/>
      <c r="B42" s="54"/>
      <c r="C42" s="110"/>
      <c r="D42" s="431"/>
      <c r="E42" s="431"/>
      <c r="F42" s="431"/>
      <c r="G42" s="110"/>
      <c r="H42" s="431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</row>
    <row r="43" spans="1:76">
      <c r="A43" s="105" t="s">
        <v>378</v>
      </c>
      <c r="B43" s="54"/>
      <c r="C43" s="110"/>
      <c r="D43" s="431"/>
      <c r="E43" s="431"/>
      <c r="F43" s="431"/>
      <c r="G43" s="110"/>
      <c r="H43" s="54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</row>
    <row r="44" spans="1:76" s="385" customFormat="1">
      <c r="A44" s="381" t="s">
        <v>379</v>
      </c>
      <c r="B44" s="382" t="s">
        <v>29</v>
      </c>
      <c r="C44" s="383" t="s">
        <v>21</v>
      </c>
      <c r="D44" s="384" t="s">
        <v>231</v>
      </c>
      <c r="E44" s="384" t="s">
        <v>338</v>
      </c>
      <c r="F44" s="384">
        <v>6.4</v>
      </c>
      <c r="G44" s="391" t="s">
        <v>331</v>
      </c>
      <c r="H44" s="433" t="s">
        <v>332</v>
      </c>
      <c r="I44" s="442">
        <v>16.8</v>
      </c>
      <c r="J44" s="386">
        <v>12.420000000000073</v>
      </c>
      <c r="K44" s="386">
        <v>1520.96</v>
      </c>
      <c r="L44" s="386">
        <v>1533.38</v>
      </c>
      <c r="M44" s="386">
        <v>1545.79</v>
      </c>
      <c r="N44" s="386">
        <v>1558.21</v>
      </c>
      <c r="O44" s="386">
        <v>1570.62</v>
      </c>
      <c r="P44" s="386">
        <v>1583.04</v>
      </c>
      <c r="Q44" s="386">
        <v>1595.46</v>
      </c>
      <c r="R44" s="386">
        <v>1607.87</v>
      </c>
      <c r="S44" s="386">
        <v>1620.29</v>
      </c>
      <c r="T44" s="386">
        <v>1632.7</v>
      </c>
      <c r="U44" s="386">
        <v>1645.12</v>
      </c>
      <c r="V44" s="386">
        <v>1657.54</v>
      </c>
      <c r="W44" s="386">
        <v>1669.95</v>
      </c>
      <c r="X44" s="386">
        <v>1682.37</v>
      </c>
      <c r="Y44" s="386">
        <v>1694.78</v>
      </c>
      <c r="Z44" s="386">
        <v>1707.2</v>
      </c>
      <c r="AA44" s="386">
        <v>1719.62</v>
      </c>
      <c r="AB44" s="386">
        <v>1732.03</v>
      </c>
      <c r="AC44" s="386">
        <v>1744.45</v>
      </c>
      <c r="AD44" s="386">
        <v>1756.86</v>
      </c>
      <c r="AE44" s="386">
        <v>1769.28</v>
      </c>
      <c r="AF44" s="386">
        <v>1781.7</v>
      </c>
      <c r="AG44" s="386">
        <v>1794.11</v>
      </c>
      <c r="AH44" s="386">
        <v>1806.53</v>
      </c>
      <c r="AI44" s="386">
        <v>1818.94</v>
      </c>
      <c r="AJ44" s="386">
        <v>1831.36</v>
      </c>
      <c r="AK44" s="386">
        <v>1843.78</v>
      </c>
      <c r="AL44" s="386">
        <v>1856.19</v>
      </c>
      <c r="AM44" s="386">
        <v>1868.61</v>
      </c>
      <c r="AN44" s="386">
        <v>1881.02</v>
      </c>
      <c r="AO44" s="386">
        <v>1893.44</v>
      </c>
      <c r="AP44" s="386">
        <f t="shared" si="75"/>
        <v>1905.86</v>
      </c>
      <c r="AQ44" s="386">
        <f t="shared" si="136"/>
        <v>1918.28</v>
      </c>
      <c r="AR44" s="386">
        <f t="shared" si="136"/>
        <v>1930.7</v>
      </c>
      <c r="AS44" s="386">
        <f t="shared" si="136"/>
        <v>1943.12</v>
      </c>
      <c r="AT44" s="386">
        <f t="shared" si="136"/>
        <v>1955.54</v>
      </c>
      <c r="AU44" s="386">
        <f t="shared" si="136"/>
        <v>1967.96</v>
      </c>
      <c r="AV44" s="386">
        <f t="shared" si="136"/>
        <v>1980.38</v>
      </c>
      <c r="AW44" s="386">
        <f t="shared" si="136"/>
        <v>1992.8</v>
      </c>
      <c r="AX44" s="386">
        <f t="shared" si="136"/>
        <v>2005.22</v>
      </c>
      <c r="AY44" s="386">
        <f t="shared" si="136"/>
        <v>2017.64</v>
      </c>
      <c r="AZ44" s="386">
        <f t="shared" si="136"/>
        <v>2030.06</v>
      </c>
      <c r="BA44" s="386">
        <f t="shared" si="136"/>
        <v>2042.48</v>
      </c>
      <c r="BB44" s="386">
        <f t="shared" si="136"/>
        <v>2054.9</v>
      </c>
      <c r="BC44" s="386">
        <f t="shared" si="136"/>
        <v>2067.3200000000002</v>
      </c>
      <c r="BD44" s="386">
        <f t="shared" ref="BD44" si="199">ROUND(BC44+$J44,2)</f>
        <v>2079.7399999999998</v>
      </c>
      <c r="BE44" s="386">
        <f t="shared" ref="BE44" si="200">ROUND(BD44+$J44,2)</f>
        <v>2092.16</v>
      </c>
      <c r="BF44" s="386">
        <f t="shared" ref="BF44" si="201">ROUND(BE44+$J44,2)</f>
        <v>2104.58</v>
      </c>
      <c r="BG44" s="386">
        <f t="shared" ref="BG44" si="202">ROUND(BF44+$J44,2)</f>
        <v>2117</v>
      </c>
      <c r="BH44" s="386">
        <f t="shared" ref="BH44" si="203">ROUND(BG44+$J44,2)</f>
        <v>2129.42</v>
      </c>
      <c r="BI44" s="386">
        <f t="shared" ref="BI44" si="204">ROUND(BH44+$J44,2)</f>
        <v>2141.84</v>
      </c>
      <c r="BJ44" s="386">
        <f t="shared" ref="BJ44" si="205">ROUND(BI44+$J44,2)</f>
        <v>2154.2600000000002</v>
      </c>
      <c r="BK44" s="386">
        <f t="shared" ref="BK44" si="206">ROUND(BJ44+$J44,2)</f>
        <v>2166.6799999999998</v>
      </c>
      <c r="BL44" s="386">
        <f t="shared" ref="BL44" si="207">ROUND(BK44+$J44,2)</f>
        <v>2179.1</v>
      </c>
      <c r="BM44" s="386">
        <f t="shared" ref="BM44" si="208">ROUND(BL44+$J44,2)</f>
        <v>2191.52</v>
      </c>
      <c r="BN44" s="386">
        <f t="shared" ref="BN44" si="209">ROUND(BM44+$J44,2)</f>
        <v>2203.94</v>
      </c>
      <c r="BO44" s="386">
        <f t="shared" ref="BO44" si="210">ROUND(BN44+$J44,2)</f>
        <v>2216.36</v>
      </c>
      <c r="BP44" s="386">
        <f t="shared" ref="BP44" si="211">ROUND(BO44+$J44,2)</f>
        <v>2228.7800000000002</v>
      </c>
      <c r="BQ44" s="386">
        <f t="shared" ref="BQ44" si="212">ROUND(BP44+$J44,2)</f>
        <v>2241.1999999999998</v>
      </c>
      <c r="BR44" s="386">
        <f t="shared" ref="BR44" si="213">ROUND(BQ44+$J44,2)</f>
        <v>2253.62</v>
      </c>
      <c r="BS44" s="386">
        <f t="shared" ref="BS44" si="214">ROUND(BR44+$J44,2)</f>
        <v>2266.04</v>
      </c>
      <c r="BT44" s="386">
        <f t="shared" ref="BT44" si="215">ROUND(BS44+$J44,2)</f>
        <v>2278.46</v>
      </c>
      <c r="BU44" s="386">
        <f t="shared" ref="BU44" si="216">ROUND(BT44+$J44,2)</f>
        <v>2290.88</v>
      </c>
      <c r="BV44" s="386">
        <f t="shared" ref="BV44" si="217">ROUND(BU44+$J44,2)</f>
        <v>2303.3000000000002</v>
      </c>
      <c r="BW44" s="386">
        <f t="shared" ref="BW44" si="218">ROUND(BV44+$J44,2)</f>
        <v>2315.7199999999998</v>
      </c>
      <c r="BX44" s="386">
        <f t="shared" si="156"/>
        <v>2328.14</v>
      </c>
    </row>
    <row r="45" spans="1:76">
      <c r="A45" s="56" t="s">
        <v>380</v>
      </c>
      <c r="B45" s="54" t="s">
        <v>29</v>
      </c>
      <c r="C45" s="110" t="s">
        <v>30</v>
      </c>
      <c r="D45" s="54" t="s">
        <v>252</v>
      </c>
      <c r="E45" s="431" t="s">
        <v>338</v>
      </c>
      <c r="F45" s="124">
        <v>6.4</v>
      </c>
      <c r="G45" s="110"/>
      <c r="H45" s="54" t="s">
        <v>345</v>
      </c>
      <c r="I45" s="54">
        <v>14.42</v>
      </c>
      <c r="J45" s="17">
        <v>15</v>
      </c>
      <c r="K45" s="17">
        <f t="shared" ref="K45:AC45" si="219">L45-$J45</f>
        <v>1046.54</v>
      </c>
      <c r="L45" s="17">
        <f t="shared" si="219"/>
        <v>1061.54</v>
      </c>
      <c r="M45" s="17">
        <f t="shared" si="219"/>
        <v>1076.54</v>
      </c>
      <c r="N45" s="17">
        <f t="shared" si="219"/>
        <v>1091.54</v>
      </c>
      <c r="O45" s="17">
        <f t="shared" si="219"/>
        <v>1106.54</v>
      </c>
      <c r="P45" s="17">
        <f t="shared" si="219"/>
        <v>1121.54</v>
      </c>
      <c r="Q45" s="17">
        <f t="shared" si="219"/>
        <v>1136.54</v>
      </c>
      <c r="R45" s="17">
        <f t="shared" si="219"/>
        <v>1151.54</v>
      </c>
      <c r="S45" s="17">
        <f t="shared" si="219"/>
        <v>1166.54</v>
      </c>
      <c r="T45" s="17">
        <f t="shared" si="219"/>
        <v>1181.54</v>
      </c>
      <c r="U45" s="17">
        <f t="shared" si="219"/>
        <v>1196.54</v>
      </c>
      <c r="V45" s="17">
        <f t="shared" si="219"/>
        <v>1211.54</v>
      </c>
      <c r="W45" s="17">
        <f t="shared" si="219"/>
        <v>1226.54</v>
      </c>
      <c r="X45" s="17">
        <f t="shared" si="219"/>
        <v>1241.54</v>
      </c>
      <c r="Y45" s="17">
        <f t="shared" si="219"/>
        <v>1256.54</v>
      </c>
      <c r="Z45" s="17">
        <f t="shared" si="219"/>
        <v>1271.54</v>
      </c>
      <c r="AA45" s="17">
        <f t="shared" si="219"/>
        <v>1286.54</v>
      </c>
      <c r="AB45" s="17">
        <f t="shared" si="219"/>
        <v>1301.54</v>
      </c>
      <c r="AC45" s="17">
        <f t="shared" si="219"/>
        <v>1316.54</v>
      </c>
      <c r="AD45" s="17">
        <f>AE45-$J45</f>
        <v>1331.54</v>
      </c>
      <c r="AE45" s="17">
        <v>1346.54</v>
      </c>
      <c r="AF45" s="17">
        <f>AE45+$J45</f>
        <v>1361.54</v>
      </c>
      <c r="AG45" s="17">
        <f t="shared" ref="AG45:BC45" si="220">AF45+$J45</f>
        <v>1376.54</v>
      </c>
      <c r="AH45" s="17">
        <f t="shared" si="220"/>
        <v>1391.54</v>
      </c>
      <c r="AI45" s="17">
        <f t="shared" si="220"/>
        <v>1406.54</v>
      </c>
      <c r="AJ45" s="17">
        <f t="shared" si="220"/>
        <v>1421.54</v>
      </c>
      <c r="AK45" s="17">
        <f t="shared" si="220"/>
        <v>1436.54</v>
      </c>
      <c r="AL45" s="17">
        <f t="shared" si="220"/>
        <v>1451.54</v>
      </c>
      <c r="AM45" s="17">
        <f t="shared" si="220"/>
        <v>1466.54</v>
      </c>
      <c r="AN45" s="17">
        <f t="shared" si="220"/>
        <v>1481.54</v>
      </c>
      <c r="AO45" s="17">
        <f t="shared" si="220"/>
        <v>1496.54</v>
      </c>
      <c r="AP45" s="17">
        <f t="shared" si="220"/>
        <v>1511.54</v>
      </c>
      <c r="AQ45" s="17">
        <f t="shared" si="220"/>
        <v>1526.54</v>
      </c>
      <c r="AR45" s="17">
        <f t="shared" si="220"/>
        <v>1541.54</v>
      </c>
      <c r="AS45" s="17">
        <f t="shared" si="220"/>
        <v>1556.54</v>
      </c>
      <c r="AT45" s="17">
        <f t="shared" si="220"/>
        <v>1571.54</v>
      </c>
      <c r="AU45" s="17">
        <f t="shared" si="220"/>
        <v>1586.54</v>
      </c>
      <c r="AV45" s="17">
        <f t="shared" si="220"/>
        <v>1601.54</v>
      </c>
      <c r="AW45" s="17">
        <f t="shared" si="220"/>
        <v>1616.54</v>
      </c>
      <c r="AX45" s="17">
        <f t="shared" si="220"/>
        <v>1631.54</v>
      </c>
      <c r="AY45" s="17">
        <f t="shared" si="220"/>
        <v>1646.54</v>
      </c>
      <c r="AZ45" s="17">
        <f t="shared" si="220"/>
        <v>1661.54</v>
      </c>
      <c r="BA45" s="17">
        <f t="shared" si="220"/>
        <v>1676.54</v>
      </c>
      <c r="BB45" s="17">
        <f t="shared" si="220"/>
        <v>1691.54</v>
      </c>
      <c r="BC45" s="17">
        <f t="shared" si="220"/>
        <v>1706.54</v>
      </c>
      <c r="BD45" s="17">
        <f t="shared" ref="BD45:BD48" si="221">BC45+$J45</f>
        <v>1721.54</v>
      </c>
      <c r="BE45" s="17">
        <f t="shared" ref="BE45:BE48" si="222">BD45+$J45</f>
        <v>1736.54</v>
      </c>
      <c r="BF45" s="17">
        <f t="shared" ref="BF45:BF48" si="223">BE45+$J45</f>
        <v>1751.54</v>
      </c>
      <c r="BG45" s="17">
        <f t="shared" ref="BG45:BG48" si="224">BF45+$J45</f>
        <v>1766.54</v>
      </c>
      <c r="BH45" s="17">
        <f t="shared" ref="BH45:BH48" si="225">BG45+$J45</f>
        <v>1781.54</v>
      </c>
      <c r="BI45" s="17">
        <f t="shared" ref="BI45:BI48" si="226">BH45+$J45</f>
        <v>1796.54</v>
      </c>
      <c r="BJ45" s="17">
        <f t="shared" ref="BJ45:BJ48" si="227">BI45+$J45</f>
        <v>1811.54</v>
      </c>
      <c r="BK45" s="17">
        <f t="shared" ref="BK45:BK48" si="228">BJ45+$J45</f>
        <v>1826.54</v>
      </c>
      <c r="BL45" s="17">
        <f t="shared" ref="BL45:BL48" si="229">BK45+$J45</f>
        <v>1841.54</v>
      </c>
      <c r="BM45" s="17">
        <f t="shared" ref="BM45:BM48" si="230">BL45+$J45</f>
        <v>1856.54</v>
      </c>
      <c r="BN45" s="17">
        <f t="shared" ref="BN45:BN48" si="231">BM45+$J45</f>
        <v>1871.54</v>
      </c>
      <c r="BO45" s="17">
        <f t="shared" ref="BO45:BO48" si="232">BN45+$J45</f>
        <v>1886.54</v>
      </c>
      <c r="BP45" s="17">
        <f t="shared" ref="BP45:BP48" si="233">BO45+$J45</f>
        <v>1901.54</v>
      </c>
      <c r="BQ45" s="17">
        <f t="shared" ref="BQ45:BQ48" si="234">BP45+$J45</f>
        <v>1916.54</v>
      </c>
      <c r="BR45" s="17">
        <f t="shared" ref="BR45:BR48" si="235">BQ45+$J45</f>
        <v>1931.54</v>
      </c>
      <c r="BS45" s="17">
        <f t="shared" ref="BS45:BS48" si="236">BR45+$J45</f>
        <v>1946.54</v>
      </c>
      <c r="BT45" s="17">
        <f t="shared" ref="BT45:BT48" si="237">BS45+$J45</f>
        <v>1961.54</v>
      </c>
      <c r="BU45" s="17">
        <f t="shared" ref="BU45:BU48" si="238">BT45+$J45</f>
        <v>1976.54</v>
      </c>
      <c r="BV45" s="17">
        <f t="shared" ref="BV45:BV48" si="239">BU45+$J45</f>
        <v>1991.54</v>
      </c>
      <c r="BW45" s="17">
        <f t="shared" ref="BW45:BX48" si="240">BV45+$J45</f>
        <v>2006.54</v>
      </c>
      <c r="BX45" s="17">
        <f t="shared" si="240"/>
        <v>2021.54</v>
      </c>
    </row>
    <row r="46" spans="1:76">
      <c r="A46" s="56" t="s">
        <v>381</v>
      </c>
      <c r="B46" s="54" t="s">
        <v>29</v>
      </c>
      <c r="C46" s="110" t="s">
        <v>382</v>
      </c>
      <c r="D46" s="54" t="s">
        <v>383</v>
      </c>
      <c r="E46" s="54"/>
      <c r="F46" s="124">
        <v>6.4</v>
      </c>
      <c r="G46" s="110"/>
      <c r="H46" s="54"/>
      <c r="I46" s="54"/>
      <c r="J46" s="17">
        <v>100</v>
      </c>
      <c r="K46" s="17">
        <f t="shared" ref="K46:AC48" si="241">L46-$J46</f>
        <v>14500</v>
      </c>
      <c r="L46" s="17">
        <f t="shared" si="241"/>
        <v>14600</v>
      </c>
      <c r="M46" s="17">
        <f t="shared" si="241"/>
        <v>14700</v>
      </c>
      <c r="N46" s="17">
        <f t="shared" si="241"/>
        <v>14800</v>
      </c>
      <c r="O46" s="17">
        <f t="shared" si="241"/>
        <v>14900</v>
      </c>
      <c r="P46" s="17">
        <f t="shared" si="241"/>
        <v>15000</v>
      </c>
      <c r="Q46" s="17">
        <f t="shared" si="241"/>
        <v>15100</v>
      </c>
      <c r="R46" s="17">
        <f t="shared" si="241"/>
        <v>15200</v>
      </c>
      <c r="S46" s="17">
        <f t="shared" si="241"/>
        <v>15300</v>
      </c>
      <c r="T46" s="17">
        <f t="shared" si="241"/>
        <v>15400</v>
      </c>
      <c r="U46" s="17">
        <f t="shared" si="241"/>
        <v>15500</v>
      </c>
      <c r="V46" s="17">
        <f t="shared" si="241"/>
        <v>15600</v>
      </c>
      <c r="W46" s="17">
        <f t="shared" si="241"/>
        <v>15700</v>
      </c>
      <c r="X46" s="17">
        <f t="shared" si="241"/>
        <v>15800</v>
      </c>
      <c r="Y46" s="17">
        <f t="shared" si="241"/>
        <v>15900</v>
      </c>
      <c r="Z46" s="17">
        <f t="shared" si="241"/>
        <v>16000</v>
      </c>
      <c r="AA46" s="17">
        <f t="shared" si="241"/>
        <v>16100</v>
      </c>
      <c r="AB46" s="17">
        <f t="shared" si="241"/>
        <v>16200</v>
      </c>
      <c r="AC46" s="17">
        <f t="shared" si="241"/>
        <v>16300</v>
      </c>
      <c r="AD46" s="17">
        <f>AE46-$J46</f>
        <v>16400</v>
      </c>
      <c r="AE46" s="17">
        <v>16500</v>
      </c>
      <c r="AF46" s="17">
        <f>AE46+$J46</f>
        <v>16600</v>
      </c>
      <c r="AG46" s="17">
        <f t="shared" ref="AG46:AZ48" si="242">AF46+$J46</f>
        <v>16700</v>
      </c>
      <c r="AH46" s="17">
        <f t="shared" si="242"/>
        <v>16800</v>
      </c>
      <c r="AI46" s="17">
        <f t="shared" si="242"/>
        <v>16900</v>
      </c>
      <c r="AJ46" s="17">
        <f t="shared" si="242"/>
        <v>17000</v>
      </c>
      <c r="AK46" s="17">
        <f t="shared" si="242"/>
        <v>17100</v>
      </c>
      <c r="AL46" s="17">
        <f t="shared" si="242"/>
        <v>17200</v>
      </c>
      <c r="AM46" s="17">
        <f t="shared" si="242"/>
        <v>17300</v>
      </c>
      <c r="AN46" s="17">
        <f t="shared" si="242"/>
        <v>17400</v>
      </c>
      <c r="AO46" s="17">
        <f t="shared" si="242"/>
        <v>17500</v>
      </c>
      <c r="AP46" s="17">
        <f t="shared" si="242"/>
        <v>17600</v>
      </c>
      <c r="AQ46" s="17">
        <f t="shared" si="242"/>
        <v>17700</v>
      </c>
      <c r="AR46" s="17">
        <f t="shared" si="242"/>
        <v>17800</v>
      </c>
      <c r="AS46" s="17">
        <f t="shared" si="242"/>
        <v>17900</v>
      </c>
      <c r="AT46" s="17">
        <f t="shared" si="242"/>
        <v>18000</v>
      </c>
      <c r="AU46" s="17">
        <f t="shared" si="242"/>
        <v>18100</v>
      </c>
      <c r="AV46" s="17">
        <f t="shared" si="242"/>
        <v>18200</v>
      </c>
      <c r="AW46" s="17">
        <f t="shared" si="242"/>
        <v>18300</v>
      </c>
      <c r="AX46" s="17">
        <f t="shared" si="242"/>
        <v>18400</v>
      </c>
      <c r="AY46" s="17">
        <f t="shared" si="242"/>
        <v>18500</v>
      </c>
      <c r="AZ46" s="17">
        <f t="shared" si="242"/>
        <v>18600</v>
      </c>
      <c r="BA46" s="17">
        <f t="shared" ref="BA46:BA48" si="243">AZ46+$J46</f>
        <v>18700</v>
      </c>
      <c r="BB46" s="17">
        <f t="shared" ref="BB46:BC48" si="244">BA46+$J46</f>
        <v>18800</v>
      </c>
      <c r="BC46" s="17">
        <f t="shared" si="244"/>
        <v>18900</v>
      </c>
      <c r="BD46" s="17">
        <f t="shared" si="221"/>
        <v>19000</v>
      </c>
      <c r="BE46" s="17">
        <f t="shared" si="222"/>
        <v>19100</v>
      </c>
      <c r="BF46" s="17">
        <f t="shared" si="223"/>
        <v>19200</v>
      </c>
      <c r="BG46" s="17">
        <f t="shared" si="224"/>
        <v>19300</v>
      </c>
      <c r="BH46" s="17">
        <f t="shared" si="225"/>
        <v>19400</v>
      </c>
      <c r="BI46" s="17">
        <f t="shared" si="226"/>
        <v>19500</v>
      </c>
      <c r="BJ46" s="17">
        <f t="shared" si="227"/>
        <v>19600</v>
      </c>
      <c r="BK46" s="17">
        <f t="shared" si="228"/>
        <v>19700</v>
      </c>
      <c r="BL46" s="17">
        <f t="shared" si="229"/>
        <v>19800</v>
      </c>
      <c r="BM46" s="17">
        <f t="shared" si="230"/>
        <v>19900</v>
      </c>
      <c r="BN46" s="17">
        <f t="shared" si="231"/>
        <v>20000</v>
      </c>
      <c r="BO46" s="17">
        <f t="shared" si="232"/>
        <v>20100</v>
      </c>
      <c r="BP46" s="17">
        <f t="shared" si="233"/>
        <v>20200</v>
      </c>
      <c r="BQ46" s="17">
        <f t="shared" si="234"/>
        <v>20300</v>
      </c>
      <c r="BR46" s="17">
        <f t="shared" si="235"/>
        <v>20400</v>
      </c>
      <c r="BS46" s="17">
        <f t="shared" si="236"/>
        <v>20500</v>
      </c>
      <c r="BT46" s="17">
        <f t="shared" si="237"/>
        <v>20600</v>
      </c>
      <c r="BU46" s="17">
        <f t="shared" si="238"/>
        <v>20700</v>
      </c>
      <c r="BV46" s="17">
        <f t="shared" si="239"/>
        <v>20800</v>
      </c>
      <c r="BW46" s="17">
        <f t="shared" si="240"/>
        <v>20900</v>
      </c>
      <c r="BX46" s="17">
        <f t="shared" si="240"/>
        <v>21000</v>
      </c>
    </row>
    <row r="47" spans="1:76">
      <c r="A47" s="56" t="s">
        <v>384</v>
      </c>
      <c r="B47" s="54" t="s">
        <v>29</v>
      </c>
      <c r="C47" s="110" t="s">
        <v>382</v>
      </c>
      <c r="D47" s="54" t="s">
        <v>383</v>
      </c>
      <c r="E47" s="54"/>
      <c r="F47" s="124">
        <v>6.4</v>
      </c>
      <c r="G47" s="110"/>
      <c r="H47" s="54"/>
      <c r="I47" s="54"/>
      <c r="J47" s="17">
        <v>100</v>
      </c>
      <c r="K47" s="17">
        <f>L47-$J47</f>
        <v>16000</v>
      </c>
      <c r="L47" s="17">
        <f t="shared" si="241"/>
        <v>16100</v>
      </c>
      <c r="M47" s="17">
        <f t="shared" si="241"/>
        <v>16200</v>
      </c>
      <c r="N47" s="17">
        <f t="shared" si="241"/>
        <v>16300</v>
      </c>
      <c r="O47" s="17">
        <f t="shared" si="241"/>
        <v>16400</v>
      </c>
      <c r="P47" s="17">
        <f t="shared" si="241"/>
        <v>16500</v>
      </c>
      <c r="Q47" s="17">
        <f t="shared" si="241"/>
        <v>16600</v>
      </c>
      <c r="R47" s="17">
        <f t="shared" si="241"/>
        <v>16700</v>
      </c>
      <c r="S47" s="17">
        <f t="shared" si="241"/>
        <v>16800</v>
      </c>
      <c r="T47" s="17">
        <f t="shared" si="241"/>
        <v>16900</v>
      </c>
      <c r="U47" s="17">
        <f t="shared" si="241"/>
        <v>17000</v>
      </c>
      <c r="V47" s="17">
        <f t="shared" si="241"/>
        <v>17100</v>
      </c>
      <c r="W47" s="17">
        <f t="shared" si="241"/>
        <v>17200</v>
      </c>
      <c r="X47" s="17">
        <f t="shared" si="241"/>
        <v>17300</v>
      </c>
      <c r="Y47" s="17">
        <f t="shared" si="241"/>
        <v>17400</v>
      </c>
      <c r="Z47" s="17">
        <f t="shared" si="241"/>
        <v>17500</v>
      </c>
      <c r="AA47" s="17">
        <f t="shared" si="241"/>
        <v>17600</v>
      </c>
      <c r="AB47" s="17">
        <f t="shared" si="241"/>
        <v>17700</v>
      </c>
      <c r="AC47" s="17">
        <f t="shared" si="241"/>
        <v>17800</v>
      </c>
      <c r="AD47" s="17">
        <f>AE47-$J47</f>
        <v>17900</v>
      </c>
      <c r="AE47" s="17">
        <v>18000</v>
      </c>
      <c r="AF47" s="17">
        <f>AE47+$J47</f>
        <v>18100</v>
      </c>
      <c r="AG47" s="17">
        <f t="shared" si="242"/>
        <v>18200</v>
      </c>
      <c r="AH47" s="17">
        <f t="shared" si="242"/>
        <v>18300</v>
      </c>
      <c r="AI47" s="17">
        <f t="shared" si="242"/>
        <v>18400</v>
      </c>
      <c r="AJ47" s="17">
        <f t="shared" si="242"/>
        <v>18500</v>
      </c>
      <c r="AK47" s="17">
        <f t="shared" si="242"/>
        <v>18600</v>
      </c>
      <c r="AL47" s="17">
        <f t="shared" si="242"/>
        <v>18700</v>
      </c>
      <c r="AM47" s="17">
        <f t="shared" si="242"/>
        <v>18800</v>
      </c>
      <c r="AN47" s="17">
        <f t="shared" si="242"/>
        <v>18900</v>
      </c>
      <c r="AO47" s="17">
        <f t="shared" si="242"/>
        <v>19000</v>
      </c>
      <c r="AP47" s="17">
        <f t="shared" si="242"/>
        <v>19100</v>
      </c>
      <c r="AQ47" s="17">
        <f t="shared" si="242"/>
        <v>19200</v>
      </c>
      <c r="AR47" s="17">
        <f t="shared" si="242"/>
        <v>19300</v>
      </c>
      <c r="AS47" s="17">
        <f t="shared" si="242"/>
        <v>19400</v>
      </c>
      <c r="AT47" s="17">
        <f t="shared" si="242"/>
        <v>19500</v>
      </c>
      <c r="AU47" s="17">
        <f t="shared" si="242"/>
        <v>19600</v>
      </c>
      <c r="AV47" s="17">
        <f t="shared" si="242"/>
        <v>19700</v>
      </c>
      <c r="AW47" s="17">
        <f t="shared" si="242"/>
        <v>19800</v>
      </c>
      <c r="AX47" s="17">
        <f t="shared" si="242"/>
        <v>19900</v>
      </c>
      <c r="AY47" s="17">
        <f t="shared" si="242"/>
        <v>20000</v>
      </c>
      <c r="AZ47" s="17">
        <f>AY47+$J47</f>
        <v>20100</v>
      </c>
      <c r="BA47" s="17">
        <f t="shared" si="243"/>
        <v>20200</v>
      </c>
      <c r="BB47" s="17">
        <f t="shared" si="244"/>
        <v>20300</v>
      </c>
      <c r="BC47" s="17">
        <f t="shared" si="244"/>
        <v>20400</v>
      </c>
      <c r="BD47" s="17">
        <f t="shared" si="221"/>
        <v>20500</v>
      </c>
      <c r="BE47" s="17">
        <f t="shared" si="222"/>
        <v>20600</v>
      </c>
      <c r="BF47" s="17">
        <f t="shared" si="223"/>
        <v>20700</v>
      </c>
      <c r="BG47" s="17">
        <f t="shared" si="224"/>
        <v>20800</v>
      </c>
      <c r="BH47" s="17">
        <f t="shared" si="225"/>
        <v>20900</v>
      </c>
      <c r="BI47" s="17">
        <f t="shared" si="226"/>
        <v>21000</v>
      </c>
      <c r="BJ47" s="17">
        <f t="shared" si="227"/>
        <v>21100</v>
      </c>
      <c r="BK47" s="17">
        <f t="shared" si="228"/>
        <v>21200</v>
      </c>
      <c r="BL47" s="17">
        <f t="shared" si="229"/>
        <v>21300</v>
      </c>
      <c r="BM47" s="17">
        <f t="shared" si="230"/>
        <v>21400</v>
      </c>
      <c r="BN47" s="17">
        <f t="shared" si="231"/>
        <v>21500</v>
      </c>
      <c r="BO47" s="17">
        <f t="shared" si="232"/>
        <v>21600</v>
      </c>
      <c r="BP47" s="17">
        <f t="shared" si="233"/>
        <v>21700</v>
      </c>
      <c r="BQ47" s="17">
        <f t="shared" si="234"/>
        <v>21800</v>
      </c>
      <c r="BR47" s="17">
        <f t="shared" si="235"/>
        <v>21900</v>
      </c>
      <c r="BS47" s="17">
        <f t="shared" si="236"/>
        <v>22000</v>
      </c>
      <c r="BT47" s="17">
        <f t="shared" si="237"/>
        <v>22100</v>
      </c>
      <c r="BU47" s="17">
        <f t="shared" si="238"/>
        <v>22200</v>
      </c>
      <c r="BV47" s="17">
        <f t="shared" si="239"/>
        <v>22300</v>
      </c>
      <c r="BW47" s="17">
        <f t="shared" si="240"/>
        <v>22400</v>
      </c>
      <c r="BX47" s="17">
        <f t="shared" si="240"/>
        <v>22500</v>
      </c>
    </row>
    <row r="48" spans="1:76" s="385" customFormat="1">
      <c r="A48" s="432" t="s">
        <v>385</v>
      </c>
      <c r="B48" s="433" t="s">
        <v>29</v>
      </c>
      <c r="C48" s="434" t="s">
        <v>382</v>
      </c>
      <c r="D48" s="433" t="s">
        <v>383</v>
      </c>
      <c r="E48" s="433"/>
      <c r="F48" s="439">
        <v>6.4</v>
      </c>
      <c r="G48" s="434" t="s">
        <v>386</v>
      </c>
      <c r="H48" s="433"/>
      <c r="I48" s="433"/>
      <c r="J48" s="386">
        <v>100</v>
      </c>
      <c r="K48" s="386">
        <f t="shared" ref="K48" si="245">L48-$J48</f>
        <v>14995</v>
      </c>
      <c r="L48" s="386">
        <f t="shared" si="241"/>
        <v>15095</v>
      </c>
      <c r="M48" s="386">
        <f t="shared" si="241"/>
        <v>15195</v>
      </c>
      <c r="N48" s="386">
        <f t="shared" si="241"/>
        <v>15295</v>
      </c>
      <c r="O48" s="386">
        <f t="shared" si="241"/>
        <v>15395</v>
      </c>
      <c r="P48" s="386">
        <f t="shared" si="241"/>
        <v>15495</v>
      </c>
      <c r="Q48" s="386">
        <f t="shared" si="241"/>
        <v>15595</v>
      </c>
      <c r="R48" s="386">
        <f t="shared" si="241"/>
        <v>15695</v>
      </c>
      <c r="S48" s="386">
        <f t="shared" si="241"/>
        <v>15795</v>
      </c>
      <c r="T48" s="386">
        <f t="shared" si="241"/>
        <v>15895</v>
      </c>
      <c r="U48" s="386">
        <f t="shared" si="241"/>
        <v>15995</v>
      </c>
      <c r="V48" s="386">
        <f t="shared" si="241"/>
        <v>16095</v>
      </c>
      <c r="W48" s="386">
        <f t="shared" si="241"/>
        <v>16195</v>
      </c>
      <c r="X48" s="386">
        <f t="shared" si="241"/>
        <v>16295</v>
      </c>
      <c r="Y48" s="386">
        <f t="shared" si="241"/>
        <v>16395</v>
      </c>
      <c r="Z48" s="386">
        <f t="shared" si="241"/>
        <v>16495</v>
      </c>
      <c r="AA48" s="386">
        <f t="shared" si="241"/>
        <v>16595</v>
      </c>
      <c r="AB48" s="386">
        <f t="shared" si="241"/>
        <v>16695</v>
      </c>
      <c r="AC48" s="386">
        <f t="shared" si="241"/>
        <v>16795</v>
      </c>
      <c r="AD48" s="386">
        <f>AE48-$J48</f>
        <v>16895</v>
      </c>
      <c r="AE48" s="386">
        <f>AE46*1.03</f>
        <v>16995</v>
      </c>
      <c r="AF48" s="386">
        <f>AE48+$J48</f>
        <v>17095</v>
      </c>
      <c r="AG48" s="386">
        <f t="shared" si="242"/>
        <v>17195</v>
      </c>
      <c r="AH48" s="386">
        <f t="shared" si="242"/>
        <v>17295</v>
      </c>
      <c r="AI48" s="386">
        <f t="shared" si="242"/>
        <v>17395</v>
      </c>
      <c r="AJ48" s="386">
        <f t="shared" si="242"/>
        <v>17495</v>
      </c>
      <c r="AK48" s="386">
        <f t="shared" si="242"/>
        <v>17595</v>
      </c>
      <c r="AL48" s="386">
        <f t="shared" si="242"/>
        <v>17695</v>
      </c>
      <c r="AM48" s="386">
        <f t="shared" si="242"/>
        <v>17795</v>
      </c>
      <c r="AN48" s="386">
        <f t="shared" si="242"/>
        <v>17895</v>
      </c>
      <c r="AO48" s="386">
        <f t="shared" si="242"/>
        <v>17995</v>
      </c>
      <c r="AP48" s="386">
        <f t="shared" si="242"/>
        <v>18095</v>
      </c>
      <c r="AQ48" s="386">
        <f t="shared" si="242"/>
        <v>18195</v>
      </c>
      <c r="AR48" s="386">
        <f t="shared" si="242"/>
        <v>18295</v>
      </c>
      <c r="AS48" s="386">
        <f t="shared" si="242"/>
        <v>18395</v>
      </c>
      <c r="AT48" s="386">
        <f t="shared" si="242"/>
        <v>18495</v>
      </c>
      <c r="AU48" s="386">
        <f t="shared" si="242"/>
        <v>18595</v>
      </c>
      <c r="AV48" s="386">
        <f t="shared" si="242"/>
        <v>18695</v>
      </c>
      <c r="AW48" s="386">
        <f t="shared" si="242"/>
        <v>18795</v>
      </c>
      <c r="AX48" s="386">
        <f t="shared" si="242"/>
        <v>18895</v>
      </c>
      <c r="AY48" s="386">
        <f t="shared" si="242"/>
        <v>18995</v>
      </c>
      <c r="AZ48" s="386">
        <f t="shared" ref="AZ48" si="246">AY48+$J48</f>
        <v>19095</v>
      </c>
      <c r="BA48" s="386">
        <f t="shared" si="243"/>
        <v>19195</v>
      </c>
      <c r="BB48" s="386">
        <f t="shared" si="244"/>
        <v>19295</v>
      </c>
      <c r="BC48" s="386">
        <f t="shared" si="244"/>
        <v>19395</v>
      </c>
      <c r="BD48" s="386">
        <f t="shared" si="221"/>
        <v>19495</v>
      </c>
      <c r="BE48" s="386">
        <f t="shared" si="222"/>
        <v>19595</v>
      </c>
      <c r="BF48" s="386">
        <f t="shared" si="223"/>
        <v>19695</v>
      </c>
      <c r="BG48" s="386">
        <f t="shared" si="224"/>
        <v>19795</v>
      </c>
      <c r="BH48" s="386">
        <f t="shared" si="225"/>
        <v>19895</v>
      </c>
      <c r="BI48" s="386">
        <f t="shared" si="226"/>
        <v>19995</v>
      </c>
      <c r="BJ48" s="386">
        <f t="shared" si="227"/>
        <v>20095</v>
      </c>
      <c r="BK48" s="386">
        <f t="shared" si="228"/>
        <v>20195</v>
      </c>
      <c r="BL48" s="386">
        <f t="shared" si="229"/>
        <v>20295</v>
      </c>
      <c r="BM48" s="386">
        <f t="shared" si="230"/>
        <v>20395</v>
      </c>
      <c r="BN48" s="386">
        <f t="shared" si="231"/>
        <v>20495</v>
      </c>
      <c r="BO48" s="386">
        <f t="shared" si="232"/>
        <v>20595</v>
      </c>
      <c r="BP48" s="386">
        <f t="shared" si="233"/>
        <v>20695</v>
      </c>
      <c r="BQ48" s="386">
        <f t="shared" si="234"/>
        <v>20795</v>
      </c>
      <c r="BR48" s="386">
        <f t="shared" si="235"/>
        <v>20895</v>
      </c>
      <c r="BS48" s="386">
        <f t="shared" si="236"/>
        <v>20995</v>
      </c>
      <c r="BT48" s="386">
        <f t="shared" si="237"/>
        <v>21095</v>
      </c>
      <c r="BU48" s="386">
        <f t="shared" si="238"/>
        <v>21195</v>
      </c>
      <c r="BV48" s="386">
        <f t="shared" si="239"/>
        <v>21295</v>
      </c>
      <c r="BW48" s="386">
        <f t="shared" si="240"/>
        <v>21395</v>
      </c>
      <c r="BX48" s="386">
        <f t="shared" si="240"/>
        <v>21495</v>
      </c>
    </row>
    <row r="49" spans="1:76">
      <c r="A49" s="56"/>
      <c r="B49" s="54"/>
      <c r="C49" s="110"/>
      <c r="D49" s="54"/>
      <c r="E49" s="54"/>
      <c r="F49" s="124"/>
      <c r="G49" s="110"/>
      <c r="H49" s="54"/>
      <c r="I49" s="54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</row>
    <row r="50" spans="1:76">
      <c r="A50" s="56" t="s">
        <v>387</v>
      </c>
      <c r="B50" s="54" t="s">
        <v>388</v>
      </c>
      <c r="C50" s="110" t="s">
        <v>191</v>
      </c>
      <c r="D50" s="54" t="s">
        <v>389</v>
      </c>
      <c r="E50" s="431" t="s">
        <v>330</v>
      </c>
      <c r="F50" s="124"/>
      <c r="G50" s="110"/>
      <c r="H50" s="54" t="s">
        <v>360</v>
      </c>
      <c r="I50" s="516">
        <v>9.9</v>
      </c>
      <c r="J50" s="17">
        <v>14</v>
      </c>
      <c r="K50" s="17">
        <f t="shared" ref="K50:AN50" si="247">ROUND(L50-$J50,2)</f>
        <v>1530</v>
      </c>
      <c r="L50" s="17">
        <f t="shared" si="247"/>
        <v>1544</v>
      </c>
      <c r="M50" s="17">
        <f t="shared" si="247"/>
        <v>1558</v>
      </c>
      <c r="N50" s="17">
        <f t="shared" si="247"/>
        <v>1572</v>
      </c>
      <c r="O50" s="17">
        <f t="shared" si="247"/>
        <v>1586</v>
      </c>
      <c r="P50" s="17">
        <f t="shared" si="247"/>
        <v>1600</v>
      </c>
      <c r="Q50" s="17">
        <f t="shared" si="247"/>
        <v>1614</v>
      </c>
      <c r="R50" s="17">
        <f t="shared" si="247"/>
        <v>1628</v>
      </c>
      <c r="S50" s="17">
        <f t="shared" si="247"/>
        <v>1642</v>
      </c>
      <c r="T50" s="17">
        <f t="shared" si="247"/>
        <v>1656</v>
      </c>
      <c r="U50" s="17">
        <f t="shared" si="247"/>
        <v>1670</v>
      </c>
      <c r="V50" s="17">
        <f t="shared" si="247"/>
        <v>1684</v>
      </c>
      <c r="W50" s="17">
        <f t="shared" si="247"/>
        <v>1698</v>
      </c>
      <c r="X50" s="17">
        <f t="shared" si="247"/>
        <v>1712</v>
      </c>
      <c r="Y50" s="17">
        <f t="shared" si="247"/>
        <v>1726</v>
      </c>
      <c r="Z50" s="17">
        <f t="shared" si="247"/>
        <v>1740</v>
      </c>
      <c r="AA50" s="17">
        <f t="shared" si="247"/>
        <v>1754</v>
      </c>
      <c r="AB50" s="17">
        <f t="shared" si="247"/>
        <v>1768</v>
      </c>
      <c r="AC50" s="17">
        <f t="shared" si="247"/>
        <v>1782</v>
      </c>
      <c r="AD50" s="17">
        <f t="shared" si="247"/>
        <v>1796</v>
      </c>
      <c r="AE50" s="17">
        <f t="shared" si="247"/>
        <v>1810</v>
      </c>
      <c r="AF50" s="17">
        <f t="shared" si="247"/>
        <v>1824</v>
      </c>
      <c r="AG50" s="17">
        <f t="shared" si="247"/>
        <v>1838</v>
      </c>
      <c r="AH50" s="17">
        <f t="shared" si="247"/>
        <v>1852</v>
      </c>
      <c r="AI50" s="17">
        <f t="shared" si="247"/>
        <v>1866</v>
      </c>
      <c r="AJ50" s="17">
        <f t="shared" si="247"/>
        <v>1880</v>
      </c>
      <c r="AK50" s="17">
        <f t="shared" si="247"/>
        <v>1894</v>
      </c>
      <c r="AL50" s="17">
        <f t="shared" si="247"/>
        <v>1908</v>
      </c>
      <c r="AM50" s="17">
        <f t="shared" si="247"/>
        <v>1922</v>
      </c>
      <c r="AN50" s="17">
        <f t="shared" si="247"/>
        <v>1936</v>
      </c>
      <c r="AO50" s="17">
        <v>1950</v>
      </c>
      <c r="AP50" s="17">
        <f>ROUND(AO50+$J50,2)</f>
        <v>1964</v>
      </c>
      <c r="AQ50" s="17">
        <f t="shared" ref="AQ50:BC50" si="248">ROUND(AP50+$J50,2)</f>
        <v>1978</v>
      </c>
      <c r="AR50" s="17">
        <f t="shared" si="248"/>
        <v>1992</v>
      </c>
      <c r="AS50" s="17">
        <f t="shared" si="248"/>
        <v>2006</v>
      </c>
      <c r="AT50" s="17">
        <f t="shared" si="248"/>
        <v>2020</v>
      </c>
      <c r="AU50" s="17">
        <f t="shared" si="248"/>
        <v>2034</v>
      </c>
      <c r="AV50" s="17">
        <f t="shared" si="248"/>
        <v>2048</v>
      </c>
      <c r="AW50" s="17">
        <f t="shared" si="248"/>
        <v>2062</v>
      </c>
      <c r="AX50" s="17">
        <f t="shared" si="248"/>
        <v>2076</v>
      </c>
      <c r="AY50" s="17">
        <f t="shared" si="248"/>
        <v>2090</v>
      </c>
      <c r="AZ50" s="17">
        <f t="shared" si="248"/>
        <v>2104</v>
      </c>
      <c r="BA50" s="17">
        <f t="shared" si="248"/>
        <v>2118</v>
      </c>
      <c r="BB50" s="17">
        <f t="shared" si="248"/>
        <v>2132</v>
      </c>
      <c r="BC50" s="17">
        <f t="shared" si="248"/>
        <v>2146</v>
      </c>
      <c r="BD50" s="17">
        <f t="shared" ref="BD50:BD53" si="249">ROUND(BC50+$J50,2)</f>
        <v>2160</v>
      </c>
      <c r="BE50" s="17">
        <f t="shared" ref="BE50:BE53" si="250">ROUND(BD50+$J50,2)</f>
        <v>2174</v>
      </c>
      <c r="BF50" s="17">
        <f t="shared" ref="BF50:BF53" si="251">ROUND(BE50+$J50,2)</f>
        <v>2188</v>
      </c>
      <c r="BG50" s="17">
        <f t="shared" ref="BG50:BG53" si="252">ROUND(BF50+$J50,2)</f>
        <v>2202</v>
      </c>
      <c r="BH50" s="17">
        <f t="shared" ref="BH50:BH53" si="253">ROUND(BG50+$J50,2)</f>
        <v>2216</v>
      </c>
      <c r="BI50" s="17">
        <f t="shared" ref="BI50:BI53" si="254">ROUND(BH50+$J50,2)</f>
        <v>2230</v>
      </c>
      <c r="BJ50" s="17">
        <f t="shared" ref="BJ50:BJ53" si="255">ROUND(BI50+$J50,2)</f>
        <v>2244</v>
      </c>
      <c r="BK50" s="17">
        <f t="shared" ref="BK50:BK53" si="256">ROUND(BJ50+$J50,2)</f>
        <v>2258</v>
      </c>
      <c r="BL50" s="17">
        <f t="shared" ref="BL50:BL53" si="257">ROUND(BK50+$J50,2)</f>
        <v>2272</v>
      </c>
      <c r="BM50" s="17">
        <f t="shared" ref="BM50:BM53" si="258">ROUND(BL50+$J50,2)</f>
        <v>2286</v>
      </c>
      <c r="BN50" s="17">
        <f t="shared" ref="BN50:BN53" si="259">ROUND(BM50+$J50,2)</f>
        <v>2300</v>
      </c>
      <c r="BO50" s="17">
        <f t="shared" ref="BO50:BO53" si="260">ROUND(BN50+$J50,2)</f>
        <v>2314</v>
      </c>
      <c r="BP50" s="17">
        <f t="shared" ref="BP50:BP53" si="261">ROUND(BO50+$J50,2)</f>
        <v>2328</v>
      </c>
      <c r="BQ50" s="17">
        <f t="shared" ref="BQ50:BQ53" si="262">ROUND(BP50+$J50,2)</f>
        <v>2342</v>
      </c>
      <c r="BR50" s="17">
        <f t="shared" ref="BR50:BR53" si="263">ROUND(BQ50+$J50,2)</f>
        <v>2356</v>
      </c>
      <c r="BS50" s="17">
        <f t="shared" ref="BS50:BS53" si="264">ROUND(BR50+$J50,2)</f>
        <v>2370</v>
      </c>
      <c r="BT50" s="17">
        <f t="shared" ref="BT50:BT53" si="265">ROUND(BS50+$J50,2)</f>
        <v>2384</v>
      </c>
      <c r="BU50" s="17">
        <f t="shared" ref="BU50:BU53" si="266">ROUND(BT50+$J50,2)</f>
        <v>2398</v>
      </c>
      <c r="BV50" s="17">
        <f t="shared" ref="BV50:BV53" si="267">ROUND(BU50+$J50,2)</f>
        <v>2412</v>
      </c>
      <c r="BW50" s="17">
        <f t="shared" ref="BW50:BX53" si="268">ROUND(BV50+$J50,2)</f>
        <v>2426</v>
      </c>
      <c r="BX50" s="17">
        <f t="shared" si="268"/>
        <v>2440</v>
      </c>
    </row>
    <row r="51" spans="1:76">
      <c r="A51" s="56" t="s">
        <v>390</v>
      </c>
      <c r="B51" s="54" t="s">
        <v>388</v>
      </c>
      <c r="C51" s="110" t="s">
        <v>191</v>
      </c>
      <c r="D51" s="54" t="s">
        <v>389</v>
      </c>
      <c r="E51" s="431" t="s">
        <v>330</v>
      </c>
      <c r="F51" s="124"/>
      <c r="G51" s="110"/>
      <c r="H51" s="54" t="s">
        <v>360</v>
      </c>
      <c r="I51" s="516">
        <v>9.9</v>
      </c>
      <c r="J51" s="17">
        <v>13</v>
      </c>
      <c r="K51" s="17">
        <f t="shared" ref="K51:AN51" si="269">ROUND(L51-$J51,2)</f>
        <v>1480</v>
      </c>
      <c r="L51" s="17">
        <f t="shared" si="269"/>
        <v>1493</v>
      </c>
      <c r="M51" s="17">
        <f t="shared" si="269"/>
        <v>1506</v>
      </c>
      <c r="N51" s="17">
        <f t="shared" si="269"/>
        <v>1519</v>
      </c>
      <c r="O51" s="17">
        <f t="shared" si="269"/>
        <v>1532</v>
      </c>
      <c r="P51" s="17">
        <f t="shared" si="269"/>
        <v>1545</v>
      </c>
      <c r="Q51" s="17">
        <f t="shared" si="269"/>
        <v>1558</v>
      </c>
      <c r="R51" s="17">
        <f t="shared" si="269"/>
        <v>1571</v>
      </c>
      <c r="S51" s="17">
        <f t="shared" si="269"/>
        <v>1584</v>
      </c>
      <c r="T51" s="17">
        <f t="shared" si="269"/>
        <v>1597</v>
      </c>
      <c r="U51" s="17">
        <f t="shared" si="269"/>
        <v>1610</v>
      </c>
      <c r="V51" s="17">
        <f t="shared" si="269"/>
        <v>1623</v>
      </c>
      <c r="W51" s="17">
        <f t="shared" si="269"/>
        <v>1636</v>
      </c>
      <c r="X51" s="17">
        <f t="shared" si="269"/>
        <v>1649</v>
      </c>
      <c r="Y51" s="17">
        <f t="shared" si="269"/>
        <v>1662</v>
      </c>
      <c r="Z51" s="17">
        <f t="shared" si="269"/>
        <v>1675</v>
      </c>
      <c r="AA51" s="17">
        <f t="shared" si="269"/>
        <v>1688</v>
      </c>
      <c r="AB51" s="17">
        <f t="shared" si="269"/>
        <v>1701</v>
      </c>
      <c r="AC51" s="17">
        <f t="shared" si="269"/>
        <v>1714</v>
      </c>
      <c r="AD51" s="17">
        <f t="shared" si="269"/>
        <v>1727</v>
      </c>
      <c r="AE51" s="17">
        <f t="shared" si="269"/>
        <v>1740</v>
      </c>
      <c r="AF51" s="17">
        <f t="shared" si="269"/>
        <v>1753</v>
      </c>
      <c r="AG51" s="17">
        <f t="shared" si="269"/>
        <v>1766</v>
      </c>
      <c r="AH51" s="17">
        <f t="shared" si="269"/>
        <v>1779</v>
      </c>
      <c r="AI51" s="17">
        <f t="shared" si="269"/>
        <v>1792</v>
      </c>
      <c r="AJ51" s="17">
        <f t="shared" si="269"/>
        <v>1805</v>
      </c>
      <c r="AK51" s="17">
        <f t="shared" si="269"/>
        <v>1818</v>
      </c>
      <c r="AL51" s="17">
        <f t="shared" si="269"/>
        <v>1831</v>
      </c>
      <c r="AM51" s="17">
        <f t="shared" si="269"/>
        <v>1844</v>
      </c>
      <c r="AN51" s="17">
        <f t="shared" si="269"/>
        <v>1857</v>
      </c>
      <c r="AO51" s="17">
        <v>1870</v>
      </c>
      <c r="AP51" s="17">
        <f t="shared" ref="AP51:BC51" si="270">ROUND(AO51+$J51,2)</f>
        <v>1883</v>
      </c>
      <c r="AQ51" s="17">
        <f t="shared" si="270"/>
        <v>1896</v>
      </c>
      <c r="AR51" s="17">
        <f t="shared" si="270"/>
        <v>1909</v>
      </c>
      <c r="AS51" s="17">
        <f t="shared" si="270"/>
        <v>1922</v>
      </c>
      <c r="AT51" s="17">
        <f t="shared" si="270"/>
        <v>1935</v>
      </c>
      <c r="AU51" s="17">
        <f t="shared" si="270"/>
        <v>1948</v>
      </c>
      <c r="AV51" s="17">
        <f t="shared" si="270"/>
        <v>1961</v>
      </c>
      <c r="AW51" s="17">
        <f t="shared" si="270"/>
        <v>1974</v>
      </c>
      <c r="AX51" s="17">
        <f t="shared" si="270"/>
        <v>1987</v>
      </c>
      <c r="AY51" s="17">
        <f t="shared" si="270"/>
        <v>2000</v>
      </c>
      <c r="AZ51" s="17">
        <f t="shared" si="270"/>
        <v>2013</v>
      </c>
      <c r="BA51" s="17">
        <f t="shared" si="270"/>
        <v>2026</v>
      </c>
      <c r="BB51" s="17">
        <f t="shared" si="270"/>
        <v>2039</v>
      </c>
      <c r="BC51" s="17">
        <f t="shared" si="270"/>
        <v>2052</v>
      </c>
      <c r="BD51" s="17">
        <f t="shared" si="249"/>
        <v>2065</v>
      </c>
      <c r="BE51" s="17">
        <f t="shared" si="250"/>
        <v>2078</v>
      </c>
      <c r="BF51" s="17">
        <f t="shared" si="251"/>
        <v>2091</v>
      </c>
      <c r="BG51" s="17">
        <f t="shared" si="252"/>
        <v>2104</v>
      </c>
      <c r="BH51" s="17">
        <f t="shared" si="253"/>
        <v>2117</v>
      </c>
      <c r="BI51" s="17">
        <f t="shared" si="254"/>
        <v>2130</v>
      </c>
      <c r="BJ51" s="17">
        <f t="shared" si="255"/>
        <v>2143</v>
      </c>
      <c r="BK51" s="17">
        <f t="shared" si="256"/>
        <v>2156</v>
      </c>
      <c r="BL51" s="17">
        <f t="shared" si="257"/>
        <v>2169</v>
      </c>
      <c r="BM51" s="17">
        <f t="shared" si="258"/>
        <v>2182</v>
      </c>
      <c r="BN51" s="17">
        <f t="shared" si="259"/>
        <v>2195</v>
      </c>
      <c r="BO51" s="17">
        <f t="shared" si="260"/>
        <v>2208</v>
      </c>
      <c r="BP51" s="17">
        <f t="shared" si="261"/>
        <v>2221</v>
      </c>
      <c r="BQ51" s="17">
        <f t="shared" si="262"/>
        <v>2234</v>
      </c>
      <c r="BR51" s="17">
        <f t="shared" si="263"/>
        <v>2247</v>
      </c>
      <c r="BS51" s="17">
        <f t="shared" si="264"/>
        <v>2260</v>
      </c>
      <c r="BT51" s="17">
        <f t="shared" si="265"/>
        <v>2273</v>
      </c>
      <c r="BU51" s="17">
        <f t="shared" si="266"/>
        <v>2286</v>
      </c>
      <c r="BV51" s="17">
        <f t="shared" si="267"/>
        <v>2299</v>
      </c>
      <c r="BW51" s="17">
        <f t="shared" si="268"/>
        <v>2312</v>
      </c>
      <c r="BX51" s="17">
        <f t="shared" si="268"/>
        <v>2325</v>
      </c>
    </row>
    <row r="52" spans="1:76">
      <c r="A52" s="56" t="s">
        <v>391</v>
      </c>
      <c r="B52" s="54" t="s">
        <v>388</v>
      </c>
      <c r="C52" s="110" t="s">
        <v>191</v>
      </c>
      <c r="D52" s="54" t="s">
        <v>389</v>
      </c>
      <c r="E52" s="431" t="s">
        <v>330</v>
      </c>
      <c r="F52" s="124"/>
      <c r="G52" s="110"/>
      <c r="H52" s="54" t="s">
        <v>360</v>
      </c>
      <c r="I52" s="516">
        <v>9.9</v>
      </c>
      <c r="J52" s="17">
        <v>13</v>
      </c>
      <c r="K52" s="17">
        <f t="shared" ref="K52:AN52" si="271">ROUND(L52-$J52,2)</f>
        <v>1465</v>
      </c>
      <c r="L52" s="17">
        <f t="shared" si="271"/>
        <v>1478</v>
      </c>
      <c r="M52" s="17">
        <f t="shared" si="271"/>
        <v>1491</v>
      </c>
      <c r="N52" s="17">
        <f t="shared" si="271"/>
        <v>1504</v>
      </c>
      <c r="O52" s="17">
        <f t="shared" si="271"/>
        <v>1517</v>
      </c>
      <c r="P52" s="17">
        <f t="shared" si="271"/>
        <v>1530</v>
      </c>
      <c r="Q52" s="17">
        <f t="shared" si="271"/>
        <v>1543</v>
      </c>
      <c r="R52" s="17">
        <f t="shared" si="271"/>
        <v>1556</v>
      </c>
      <c r="S52" s="17">
        <f t="shared" si="271"/>
        <v>1569</v>
      </c>
      <c r="T52" s="17">
        <f t="shared" si="271"/>
        <v>1582</v>
      </c>
      <c r="U52" s="17">
        <f t="shared" si="271"/>
        <v>1595</v>
      </c>
      <c r="V52" s="17">
        <f t="shared" si="271"/>
        <v>1608</v>
      </c>
      <c r="W52" s="17">
        <f t="shared" si="271"/>
        <v>1621</v>
      </c>
      <c r="X52" s="17">
        <f t="shared" si="271"/>
        <v>1634</v>
      </c>
      <c r="Y52" s="17">
        <f t="shared" si="271"/>
        <v>1647</v>
      </c>
      <c r="Z52" s="17">
        <f t="shared" si="271"/>
        <v>1660</v>
      </c>
      <c r="AA52" s="17">
        <f t="shared" si="271"/>
        <v>1673</v>
      </c>
      <c r="AB52" s="17">
        <f t="shared" si="271"/>
        <v>1686</v>
      </c>
      <c r="AC52" s="17">
        <f t="shared" si="271"/>
        <v>1699</v>
      </c>
      <c r="AD52" s="17">
        <f t="shared" si="271"/>
        <v>1712</v>
      </c>
      <c r="AE52" s="17">
        <f t="shared" si="271"/>
        <v>1725</v>
      </c>
      <c r="AF52" s="17">
        <f t="shared" si="271"/>
        <v>1738</v>
      </c>
      <c r="AG52" s="17">
        <f t="shared" si="271"/>
        <v>1751</v>
      </c>
      <c r="AH52" s="17">
        <f t="shared" si="271"/>
        <v>1764</v>
      </c>
      <c r="AI52" s="17">
        <f t="shared" si="271"/>
        <v>1777</v>
      </c>
      <c r="AJ52" s="17">
        <f t="shared" si="271"/>
        <v>1790</v>
      </c>
      <c r="AK52" s="17">
        <f t="shared" si="271"/>
        <v>1803</v>
      </c>
      <c r="AL52" s="17">
        <f t="shared" si="271"/>
        <v>1816</v>
      </c>
      <c r="AM52" s="17">
        <f t="shared" si="271"/>
        <v>1829</v>
      </c>
      <c r="AN52" s="17">
        <f t="shared" si="271"/>
        <v>1842</v>
      </c>
      <c r="AO52" s="17">
        <v>1855</v>
      </c>
      <c r="AP52" s="17">
        <f t="shared" ref="AP52:BC52" si="272">ROUND(AO52+$J52,2)</f>
        <v>1868</v>
      </c>
      <c r="AQ52" s="17">
        <f t="shared" si="272"/>
        <v>1881</v>
      </c>
      <c r="AR52" s="17">
        <f t="shared" si="272"/>
        <v>1894</v>
      </c>
      <c r="AS52" s="17">
        <f t="shared" si="272"/>
        <v>1907</v>
      </c>
      <c r="AT52" s="17">
        <f t="shared" si="272"/>
        <v>1920</v>
      </c>
      <c r="AU52" s="17">
        <f t="shared" si="272"/>
        <v>1933</v>
      </c>
      <c r="AV52" s="17">
        <f t="shared" si="272"/>
        <v>1946</v>
      </c>
      <c r="AW52" s="17">
        <f t="shared" si="272"/>
        <v>1959</v>
      </c>
      <c r="AX52" s="17">
        <f t="shared" si="272"/>
        <v>1972</v>
      </c>
      <c r="AY52" s="17">
        <f t="shared" si="272"/>
        <v>1985</v>
      </c>
      <c r="AZ52" s="17">
        <f t="shared" si="272"/>
        <v>1998</v>
      </c>
      <c r="BA52" s="17">
        <f t="shared" si="272"/>
        <v>2011</v>
      </c>
      <c r="BB52" s="17">
        <f t="shared" si="272"/>
        <v>2024</v>
      </c>
      <c r="BC52" s="17">
        <f t="shared" si="272"/>
        <v>2037</v>
      </c>
      <c r="BD52" s="17">
        <f t="shared" si="249"/>
        <v>2050</v>
      </c>
      <c r="BE52" s="17">
        <f t="shared" si="250"/>
        <v>2063</v>
      </c>
      <c r="BF52" s="17">
        <f t="shared" si="251"/>
        <v>2076</v>
      </c>
      <c r="BG52" s="17">
        <f t="shared" si="252"/>
        <v>2089</v>
      </c>
      <c r="BH52" s="17">
        <f t="shared" si="253"/>
        <v>2102</v>
      </c>
      <c r="BI52" s="17">
        <f t="shared" si="254"/>
        <v>2115</v>
      </c>
      <c r="BJ52" s="17">
        <f t="shared" si="255"/>
        <v>2128</v>
      </c>
      <c r="BK52" s="17">
        <f t="shared" si="256"/>
        <v>2141</v>
      </c>
      <c r="BL52" s="17">
        <f t="shared" si="257"/>
        <v>2154</v>
      </c>
      <c r="BM52" s="17">
        <f t="shared" si="258"/>
        <v>2167</v>
      </c>
      <c r="BN52" s="17">
        <f t="shared" si="259"/>
        <v>2180</v>
      </c>
      <c r="BO52" s="17">
        <f t="shared" si="260"/>
        <v>2193</v>
      </c>
      <c r="BP52" s="17">
        <f t="shared" si="261"/>
        <v>2206</v>
      </c>
      <c r="BQ52" s="17">
        <f t="shared" si="262"/>
        <v>2219</v>
      </c>
      <c r="BR52" s="17">
        <f t="shared" si="263"/>
        <v>2232</v>
      </c>
      <c r="BS52" s="17">
        <f t="shared" si="264"/>
        <v>2245</v>
      </c>
      <c r="BT52" s="17">
        <f t="shared" si="265"/>
        <v>2258</v>
      </c>
      <c r="BU52" s="17">
        <f t="shared" si="266"/>
        <v>2271</v>
      </c>
      <c r="BV52" s="17">
        <f t="shared" si="267"/>
        <v>2284</v>
      </c>
      <c r="BW52" s="17">
        <f t="shared" si="268"/>
        <v>2297</v>
      </c>
      <c r="BX52" s="17">
        <f t="shared" si="268"/>
        <v>2310</v>
      </c>
    </row>
    <row r="53" spans="1:76">
      <c r="A53" s="56" t="s">
        <v>392</v>
      </c>
      <c r="B53" s="54" t="s">
        <v>388</v>
      </c>
      <c r="C53" s="110" t="s">
        <v>191</v>
      </c>
      <c r="D53" s="54" t="s">
        <v>389</v>
      </c>
      <c r="E53" s="431" t="s">
        <v>330</v>
      </c>
      <c r="F53" s="124"/>
      <c r="G53" s="110"/>
      <c r="H53" s="54" t="s">
        <v>360</v>
      </c>
      <c r="I53" s="516">
        <v>9.9</v>
      </c>
      <c r="J53" s="17">
        <v>13</v>
      </c>
      <c r="K53" s="17">
        <f t="shared" ref="K53:AN53" si="273">ROUND(L53-$J53,2)</f>
        <v>1295</v>
      </c>
      <c r="L53" s="17">
        <f t="shared" si="273"/>
        <v>1308</v>
      </c>
      <c r="M53" s="17">
        <f t="shared" si="273"/>
        <v>1321</v>
      </c>
      <c r="N53" s="17">
        <f t="shared" si="273"/>
        <v>1334</v>
      </c>
      <c r="O53" s="17">
        <f t="shared" si="273"/>
        <v>1347</v>
      </c>
      <c r="P53" s="17">
        <f t="shared" si="273"/>
        <v>1360</v>
      </c>
      <c r="Q53" s="17">
        <f t="shared" si="273"/>
        <v>1373</v>
      </c>
      <c r="R53" s="17">
        <f t="shared" si="273"/>
        <v>1386</v>
      </c>
      <c r="S53" s="17">
        <f t="shared" si="273"/>
        <v>1399</v>
      </c>
      <c r="T53" s="17">
        <f t="shared" si="273"/>
        <v>1412</v>
      </c>
      <c r="U53" s="17">
        <f t="shared" si="273"/>
        <v>1425</v>
      </c>
      <c r="V53" s="17">
        <f t="shared" si="273"/>
        <v>1438</v>
      </c>
      <c r="W53" s="17">
        <f t="shared" si="273"/>
        <v>1451</v>
      </c>
      <c r="X53" s="17">
        <f t="shared" si="273"/>
        <v>1464</v>
      </c>
      <c r="Y53" s="17">
        <f t="shared" si="273"/>
        <v>1477</v>
      </c>
      <c r="Z53" s="17">
        <f t="shared" si="273"/>
        <v>1490</v>
      </c>
      <c r="AA53" s="17">
        <f t="shared" si="273"/>
        <v>1503</v>
      </c>
      <c r="AB53" s="17">
        <f t="shared" si="273"/>
        <v>1516</v>
      </c>
      <c r="AC53" s="17">
        <f t="shared" si="273"/>
        <v>1529</v>
      </c>
      <c r="AD53" s="17">
        <f t="shared" si="273"/>
        <v>1542</v>
      </c>
      <c r="AE53" s="17">
        <f t="shared" si="273"/>
        <v>1555</v>
      </c>
      <c r="AF53" s="17">
        <f t="shared" si="273"/>
        <v>1568</v>
      </c>
      <c r="AG53" s="17">
        <f t="shared" si="273"/>
        <v>1581</v>
      </c>
      <c r="AH53" s="17">
        <f t="shared" si="273"/>
        <v>1594</v>
      </c>
      <c r="AI53" s="17">
        <f t="shared" si="273"/>
        <v>1607</v>
      </c>
      <c r="AJ53" s="17">
        <f t="shared" si="273"/>
        <v>1620</v>
      </c>
      <c r="AK53" s="17">
        <f t="shared" si="273"/>
        <v>1633</v>
      </c>
      <c r="AL53" s="17">
        <f t="shared" si="273"/>
        <v>1646</v>
      </c>
      <c r="AM53" s="17">
        <f t="shared" si="273"/>
        <v>1659</v>
      </c>
      <c r="AN53" s="17">
        <f t="shared" si="273"/>
        <v>1672</v>
      </c>
      <c r="AO53" s="17">
        <v>1685</v>
      </c>
      <c r="AP53" s="17">
        <f t="shared" ref="AP53:BC53" si="274">ROUND(AO53+$J53,2)</f>
        <v>1698</v>
      </c>
      <c r="AQ53" s="17">
        <f t="shared" si="274"/>
        <v>1711</v>
      </c>
      <c r="AR53" s="17">
        <f t="shared" si="274"/>
        <v>1724</v>
      </c>
      <c r="AS53" s="17">
        <f t="shared" si="274"/>
        <v>1737</v>
      </c>
      <c r="AT53" s="17">
        <f t="shared" si="274"/>
        <v>1750</v>
      </c>
      <c r="AU53" s="17">
        <f t="shared" si="274"/>
        <v>1763</v>
      </c>
      <c r="AV53" s="17">
        <f t="shared" si="274"/>
        <v>1776</v>
      </c>
      <c r="AW53" s="17">
        <f t="shared" si="274"/>
        <v>1789</v>
      </c>
      <c r="AX53" s="17">
        <f t="shared" si="274"/>
        <v>1802</v>
      </c>
      <c r="AY53" s="17">
        <f t="shared" si="274"/>
        <v>1815</v>
      </c>
      <c r="AZ53" s="17">
        <f t="shared" si="274"/>
        <v>1828</v>
      </c>
      <c r="BA53" s="17">
        <f t="shared" si="274"/>
        <v>1841</v>
      </c>
      <c r="BB53" s="17">
        <f t="shared" si="274"/>
        <v>1854</v>
      </c>
      <c r="BC53" s="17">
        <f t="shared" si="274"/>
        <v>1867</v>
      </c>
      <c r="BD53" s="17">
        <f t="shared" si="249"/>
        <v>1880</v>
      </c>
      <c r="BE53" s="17">
        <f t="shared" si="250"/>
        <v>1893</v>
      </c>
      <c r="BF53" s="17">
        <f t="shared" si="251"/>
        <v>1906</v>
      </c>
      <c r="BG53" s="17">
        <f t="shared" si="252"/>
        <v>1919</v>
      </c>
      <c r="BH53" s="17">
        <f t="shared" si="253"/>
        <v>1932</v>
      </c>
      <c r="BI53" s="17">
        <f t="shared" si="254"/>
        <v>1945</v>
      </c>
      <c r="BJ53" s="17">
        <f t="shared" si="255"/>
        <v>1958</v>
      </c>
      <c r="BK53" s="17">
        <f t="shared" si="256"/>
        <v>1971</v>
      </c>
      <c r="BL53" s="17">
        <f t="shared" si="257"/>
        <v>1984</v>
      </c>
      <c r="BM53" s="17">
        <f t="shared" si="258"/>
        <v>1997</v>
      </c>
      <c r="BN53" s="17">
        <f t="shared" si="259"/>
        <v>2010</v>
      </c>
      <c r="BO53" s="17">
        <f t="shared" si="260"/>
        <v>2023</v>
      </c>
      <c r="BP53" s="17">
        <f t="shared" si="261"/>
        <v>2036</v>
      </c>
      <c r="BQ53" s="17">
        <f t="shared" si="262"/>
        <v>2049</v>
      </c>
      <c r="BR53" s="17">
        <f t="shared" si="263"/>
        <v>2062</v>
      </c>
      <c r="BS53" s="17">
        <f t="shared" si="264"/>
        <v>2075</v>
      </c>
      <c r="BT53" s="17">
        <f t="shared" si="265"/>
        <v>2088</v>
      </c>
      <c r="BU53" s="17">
        <f t="shared" si="266"/>
        <v>2101</v>
      </c>
      <c r="BV53" s="17">
        <f t="shared" si="267"/>
        <v>2114</v>
      </c>
      <c r="BW53" s="17">
        <f t="shared" si="268"/>
        <v>2127</v>
      </c>
      <c r="BX53" s="17">
        <f t="shared" si="268"/>
        <v>2140</v>
      </c>
    </row>
    <row r="54" spans="1:76">
      <c r="A54" s="56"/>
      <c r="B54" s="54"/>
      <c r="C54" s="110"/>
      <c r="D54" s="54"/>
      <c r="E54" s="54"/>
      <c r="F54" s="54"/>
      <c r="G54" s="110"/>
      <c r="H54" s="54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</row>
    <row r="55" spans="1:76" s="382" customFormat="1">
      <c r="A55" s="381" t="s">
        <v>393</v>
      </c>
      <c r="B55" s="382" t="s">
        <v>29</v>
      </c>
      <c r="C55" s="383" t="s">
        <v>334</v>
      </c>
      <c r="D55" s="384" t="s">
        <v>175</v>
      </c>
      <c r="E55" s="384" t="s">
        <v>394</v>
      </c>
      <c r="F55" s="384"/>
      <c r="G55" s="393" t="s">
        <v>395</v>
      </c>
      <c r="H55" s="382" t="s">
        <v>332</v>
      </c>
      <c r="I55" s="394">
        <v>15.3</v>
      </c>
      <c r="J55" s="395">
        <v>14</v>
      </c>
      <c r="K55" s="395">
        <f t="shared" ref="K55:AC59" si="275">L55-$J55</f>
        <v>1420</v>
      </c>
      <c r="L55" s="395">
        <f t="shared" si="275"/>
        <v>1434</v>
      </c>
      <c r="M55" s="395">
        <f t="shared" si="275"/>
        <v>1448</v>
      </c>
      <c r="N55" s="395">
        <f t="shared" si="275"/>
        <v>1462</v>
      </c>
      <c r="O55" s="395">
        <f t="shared" si="275"/>
        <v>1476</v>
      </c>
      <c r="P55" s="395">
        <f t="shared" si="275"/>
        <v>1490</v>
      </c>
      <c r="Q55" s="395">
        <f t="shared" si="275"/>
        <v>1504</v>
      </c>
      <c r="R55" s="395">
        <f t="shared" si="275"/>
        <v>1518</v>
      </c>
      <c r="S55" s="395">
        <f t="shared" si="275"/>
        <v>1532</v>
      </c>
      <c r="T55" s="395">
        <f t="shared" si="275"/>
        <v>1546</v>
      </c>
      <c r="U55" s="395">
        <f t="shared" si="275"/>
        <v>1560</v>
      </c>
      <c r="V55" s="395">
        <f t="shared" si="275"/>
        <v>1574</v>
      </c>
      <c r="W55" s="395">
        <f t="shared" si="275"/>
        <v>1588</v>
      </c>
      <c r="X55" s="395">
        <f t="shared" si="275"/>
        <v>1602</v>
      </c>
      <c r="Y55" s="395">
        <f t="shared" si="275"/>
        <v>1616</v>
      </c>
      <c r="Z55" s="395">
        <f t="shared" si="275"/>
        <v>1630</v>
      </c>
      <c r="AA55" s="395">
        <f t="shared" si="275"/>
        <v>1644</v>
      </c>
      <c r="AB55" s="395">
        <f t="shared" si="275"/>
        <v>1658</v>
      </c>
      <c r="AC55" s="395">
        <f t="shared" si="275"/>
        <v>1672</v>
      </c>
      <c r="AD55" s="395">
        <f>AE55-$J55</f>
        <v>1686</v>
      </c>
      <c r="AE55" s="395">
        <v>1700</v>
      </c>
      <c r="AF55" s="395">
        <f>ROUND(AE55+$J55,2)</f>
        <v>1714</v>
      </c>
      <c r="AG55" s="395">
        <f t="shared" ref="AG55:BC55" si="276">ROUND(AF55+$J55,2)</f>
        <v>1728</v>
      </c>
      <c r="AH55" s="395">
        <f t="shared" si="276"/>
        <v>1742</v>
      </c>
      <c r="AI55" s="395">
        <f t="shared" si="276"/>
        <v>1756</v>
      </c>
      <c r="AJ55" s="395">
        <f t="shared" si="276"/>
        <v>1770</v>
      </c>
      <c r="AK55" s="395">
        <f t="shared" si="276"/>
        <v>1784</v>
      </c>
      <c r="AL55" s="395">
        <f t="shared" si="276"/>
        <v>1798</v>
      </c>
      <c r="AM55" s="395">
        <f t="shared" si="276"/>
        <v>1812</v>
      </c>
      <c r="AN55" s="395">
        <f t="shared" si="276"/>
        <v>1826</v>
      </c>
      <c r="AO55" s="395">
        <f t="shared" si="276"/>
        <v>1840</v>
      </c>
      <c r="AP55" s="395">
        <f t="shared" si="276"/>
        <v>1854</v>
      </c>
      <c r="AQ55" s="395">
        <f t="shared" si="276"/>
        <v>1868</v>
      </c>
      <c r="AR55" s="395">
        <f t="shared" si="276"/>
        <v>1882</v>
      </c>
      <c r="AS55" s="395">
        <f t="shared" si="276"/>
        <v>1896</v>
      </c>
      <c r="AT55" s="395">
        <f t="shared" si="276"/>
        <v>1910</v>
      </c>
      <c r="AU55" s="395">
        <f t="shared" si="276"/>
        <v>1924</v>
      </c>
      <c r="AV55" s="395">
        <f t="shared" si="276"/>
        <v>1938</v>
      </c>
      <c r="AW55" s="395">
        <f t="shared" si="276"/>
        <v>1952</v>
      </c>
      <c r="AX55" s="395">
        <f t="shared" si="276"/>
        <v>1966</v>
      </c>
      <c r="AY55" s="395">
        <f t="shared" si="276"/>
        <v>1980</v>
      </c>
      <c r="AZ55" s="395">
        <f t="shared" si="276"/>
        <v>1994</v>
      </c>
      <c r="BA55" s="395">
        <f t="shared" si="276"/>
        <v>2008</v>
      </c>
      <c r="BB55" s="395">
        <f t="shared" si="276"/>
        <v>2022</v>
      </c>
      <c r="BC55" s="395">
        <f t="shared" si="276"/>
        <v>2036</v>
      </c>
      <c r="BD55" s="395">
        <f t="shared" ref="BD55:BD59" si="277">ROUND(BC55+$J55,2)</f>
        <v>2050</v>
      </c>
      <c r="BE55" s="395">
        <f t="shared" ref="BE55:BE59" si="278">ROUND(BD55+$J55,2)</f>
        <v>2064</v>
      </c>
      <c r="BF55" s="395">
        <f t="shared" ref="BF55:BF59" si="279">ROUND(BE55+$J55,2)</f>
        <v>2078</v>
      </c>
      <c r="BG55" s="395">
        <f t="shared" ref="BG55:BG59" si="280">ROUND(BF55+$J55,2)</f>
        <v>2092</v>
      </c>
      <c r="BH55" s="395">
        <f t="shared" ref="BH55:BH59" si="281">ROUND(BG55+$J55,2)</f>
        <v>2106</v>
      </c>
      <c r="BI55" s="395">
        <f t="shared" ref="BI55:BI59" si="282">ROUND(BH55+$J55,2)</f>
        <v>2120</v>
      </c>
      <c r="BJ55" s="395">
        <f t="shared" ref="BJ55:BJ59" si="283">ROUND(BI55+$J55,2)</f>
        <v>2134</v>
      </c>
      <c r="BK55" s="395">
        <f t="shared" ref="BK55:BK59" si="284">ROUND(BJ55+$J55,2)</f>
        <v>2148</v>
      </c>
      <c r="BL55" s="395">
        <f t="shared" ref="BL55:BL59" si="285">ROUND(BK55+$J55,2)</f>
        <v>2162</v>
      </c>
      <c r="BM55" s="395">
        <f t="shared" ref="BM55:BM59" si="286">ROUND(BL55+$J55,2)</f>
        <v>2176</v>
      </c>
      <c r="BN55" s="395">
        <f t="shared" ref="BN55:BN59" si="287">ROUND(BM55+$J55,2)</f>
        <v>2190</v>
      </c>
      <c r="BO55" s="395">
        <f t="shared" ref="BO55:BO59" si="288">ROUND(BN55+$J55,2)</f>
        <v>2204</v>
      </c>
      <c r="BP55" s="395">
        <f t="shared" ref="BP55:BP59" si="289">ROUND(BO55+$J55,2)</f>
        <v>2218</v>
      </c>
      <c r="BQ55" s="395">
        <f t="shared" ref="BQ55:BQ59" si="290">ROUND(BP55+$J55,2)</f>
        <v>2232</v>
      </c>
      <c r="BR55" s="395">
        <f t="shared" ref="BR55:BR59" si="291">ROUND(BQ55+$J55,2)</f>
        <v>2246</v>
      </c>
      <c r="BS55" s="395">
        <f t="shared" ref="BS55:BS59" si="292">ROUND(BR55+$J55,2)</f>
        <v>2260</v>
      </c>
      <c r="BT55" s="395">
        <f t="shared" ref="BT55:BT59" si="293">ROUND(BS55+$J55,2)</f>
        <v>2274</v>
      </c>
      <c r="BU55" s="395">
        <f t="shared" ref="BU55:BU59" si="294">ROUND(BT55+$J55,2)</f>
        <v>2288</v>
      </c>
      <c r="BV55" s="395">
        <f t="shared" ref="BV55:BV59" si="295">ROUND(BU55+$J55,2)</f>
        <v>2302</v>
      </c>
      <c r="BW55" s="395">
        <f t="shared" ref="BW55:BX59" si="296">ROUND(BV55+$J55,2)</f>
        <v>2316</v>
      </c>
      <c r="BX55" s="395">
        <f t="shared" si="296"/>
        <v>2330</v>
      </c>
    </row>
    <row r="56" spans="1:76" s="382" customFormat="1">
      <c r="A56" s="381" t="s">
        <v>396</v>
      </c>
      <c r="B56" s="382" t="s">
        <v>29</v>
      </c>
      <c r="C56" s="383" t="s">
        <v>397</v>
      </c>
      <c r="D56" s="384" t="s">
        <v>175</v>
      </c>
      <c r="E56" s="384" t="s">
        <v>394</v>
      </c>
      <c r="F56" s="384"/>
      <c r="G56" s="393" t="s">
        <v>398</v>
      </c>
      <c r="H56" s="382" t="s">
        <v>332</v>
      </c>
      <c r="I56" s="394">
        <v>15.3</v>
      </c>
      <c r="J56" s="395">
        <v>14</v>
      </c>
      <c r="K56" s="395">
        <f t="shared" si="275"/>
        <v>1446</v>
      </c>
      <c r="L56" s="395">
        <f t="shared" si="275"/>
        <v>1460</v>
      </c>
      <c r="M56" s="395">
        <f t="shared" si="275"/>
        <v>1474</v>
      </c>
      <c r="N56" s="395">
        <f t="shared" si="275"/>
        <v>1488</v>
      </c>
      <c r="O56" s="395">
        <f t="shared" si="275"/>
        <v>1502</v>
      </c>
      <c r="P56" s="395">
        <f t="shared" si="275"/>
        <v>1516</v>
      </c>
      <c r="Q56" s="395">
        <f t="shared" si="275"/>
        <v>1530</v>
      </c>
      <c r="R56" s="395">
        <f t="shared" si="275"/>
        <v>1544</v>
      </c>
      <c r="S56" s="395">
        <f t="shared" si="275"/>
        <v>1558</v>
      </c>
      <c r="T56" s="395">
        <f t="shared" si="275"/>
        <v>1572</v>
      </c>
      <c r="U56" s="395">
        <f t="shared" si="275"/>
        <v>1586</v>
      </c>
      <c r="V56" s="395">
        <f t="shared" si="275"/>
        <v>1600</v>
      </c>
      <c r="W56" s="395">
        <f t="shared" si="275"/>
        <v>1614</v>
      </c>
      <c r="X56" s="395">
        <f t="shared" si="275"/>
        <v>1628</v>
      </c>
      <c r="Y56" s="395">
        <f t="shared" si="275"/>
        <v>1642</v>
      </c>
      <c r="Z56" s="395">
        <f t="shared" si="275"/>
        <v>1656</v>
      </c>
      <c r="AA56" s="395">
        <f t="shared" si="275"/>
        <v>1670</v>
      </c>
      <c r="AB56" s="395">
        <f t="shared" si="275"/>
        <v>1684</v>
      </c>
      <c r="AC56" s="395">
        <f t="shared" si="275"/>
        <v>1698</v>
      </c>
      <c r="AD56" s="395">
        <f t="shared" ref="AD56:AD59" si="297">AE56-$J56</f>
        <v>1712</v>
      </c>
      <c r="AE56" s="395">
        <v>1726</v>
      </c>
      <c r="AF56" s="395">
        <f>ROUND(AE56+$J56,2)</f>
        <v>1740</v>
      </c>
      <c r="AG56" s="395">
        <f t="shared" ref="AG56:BC56" si="298">ROUND(AF56+$J56,2)</f>
        <v>1754</v>
      </c>
      <c r="AH56" s="395">
        <f t="shared" si="298"/>
        <v>1768</v>
      </c>
      <c r="AI56" s="395">
        <f t="shared" si="298"/>
        <v>1782</v>
      </c>
      <c r="AJ56" s="395">
        <f t="shared" si="298"/>
        <v>1796</v>
      </c>
      <c r="AK56" s="395">
        <f t="shared" si="298"/>
        <v>1810</v>
      </c>
      <c r="AL56" s="395">
        <f t="shared" si="298"/>
        <v>1824</v>
      </c>
      <c r="AM56" s="395">
        <f t="shared" si="298"/>
        <v>1838</v>
      </c>
      <c r="AN56" s="395">
        <f t="shared" si="298"/>
        <v>1852</v>
      </c>
      <c r="AO56" s="395">
        <f t="shared" si="298"/>
        <v>1866</v>
      </c>
      <c r="AP56" s="395">
        <f t="shared" si="298"/>
        <v>1880</v>
      </c>
      <c r="AQ56" s="395">
        <f t="shared" si="298"/>
        <v>1894</v>
      </c>
      <c r="AR56" s="395">
        <f t="shared" si="298"/>
        <v>1908</v>
      </c>
      <c r="AS56" s="395">
        <f t="shared" si="298"/>
        <v>1922</v>
      </c>
      <c r="AT56" s="395">
        <f t="shared" si="298"/>
        <v>1936</v>
      </c>
      <c r="AU56" s="395">
        <f t="shared" si="298"/>
        <v>1950</v>
      </c>
      <c r="AV56" s="395">
        <f t="shared" si="298"/>
        <v>1964</v>
      </c>
      <c r="AW56" s="395">
        <f t="shared" si="298"/>
        <v>1978</v>
      </c>
      <c r="AX56" s="395">
        <f t="shared" si="298"/>
        <v>1992</v>
      </c>
      <c r="AY56" s="395">
        <f t="shared" si="298"/>
        <v>2006</v>
      </c>
      <c r="AZ56" s="395">
        <f t="shared" si="298"/>
        <v>2020</v>
      </c>
      <c r="BA56" s="395">
        <f t="shared" si="298"/>
        <v>2034</v>
      </c>
      <c r="BB56" s="395">
        <f t="shared" si="298"/>
        <v>2048</v>
      </c>
      <c r="BC56" s="395">
        <f t="shared" si="298"/>
        <v>2062</v>
      </c>
      <c r="BD56" s="395">
        <f t="shared" si="277"/>
        <v>2076</v>
      </c>
      <c r="BE56" s="395">
        <f t="shared" si="278"/>
        <v>2090</v>
      </c>
      <c r="BF56" s="395">
        <f t="shared" si="279"/>
        <v>2104</v>
      </c>
      <c r="BG56" s="395">
        <f t="shared" si="280"/>
        <v>2118</v>
      </c>
      <c r="BH56" s="395">
        <f t="shared" si="281"/>
        <v>2132</v>
      </c>
      <c r="BI56" s="395">
        <f t="shared" si="282"/>
        <v>2146</v>
      </c>
      <c r="BJ56" s="395">
        <f t="shared" si="283"/>
        <v>2160</v>
      </c>
      <c r="BK56" s="395">
        <f t="shared" si="284"/>
        <v>2174</v>
      </c>
      <c r="BL56" s="395">
        <f t="shared" si="285"/>
        <v>2188</v>
      </c>
      <c r="BM56" s="395">
        <f t="shared" si="286"/>
        <v>2202</v>
      </c>
      <c r="BN56" s="395">
        <f t="shared" si="287"/>
        <v>2216</v>
      </c>
      <c r="BO56" s="395">
        <f t="shared" si="288"/>
        <v>2230</v>
      </c>
      <c r="BP56" s="395">
        <f t="shared" si="289"/>
        <v>2244</v>
      </c>
      <c r="BQ56" s="395">
        <f t="shared" si="290"/>
        <v>2258</v>
      </c>
      <c r="BR56" s="395">
        <f t="shared" si="291"/>
        <v>2272</v>
      </c>
      <c r="BS56" s="395">
        <f t="shared" si="292"/>
        <v>2286</v>
      </c>
      <c r="BT56" s="395">
        <f t="shared" si="293"/>
        <v>2300</v>
      </c>
      <c r="BU56" s="395">
        <f t="shared" si="294"/>
        <v>2314</v>
      </c>
      <c r="BV56" s="395">
        <f t="shared" si="295"/>
        <v>2328</v>
      </c>
      <c r="BW56" s="395">
        <f t="shared" si="296"/>
        <v>2342</v>
      </c>
      <c r="BX56" s="395">
        <f t="shared" si="296"/>
        <v>2356</v>
      </c>
    </row>
    <row r="57" spans="1:76" s="382" customFormat="1">
      <c r="A57" s="381" t="s">
        <v>399</v>
      </c>
      <c r="B57" s="382" t="s">
        <v>29</v>
      </c>
      <c r="C57" s="383" t="s">
        <v>334</v>
      </c>
      <c r="D57" s="384" t="s">
        <v>175</v>
      </c>
      <c r="E57" s="384" t="s">
        <v>394</v>
      </c>
      <c r="F57" s="384"/>
      <c r="G57" s="443" t="s">
        <v>400</v>
      </c>
      <c r="H57" s="382" t="s">
        <v>332</v>
      </c>
      <c r="I57" s="394">
        <v>15.3</v>
      </c>
      <c r="J57" s="395">
        <v>14</v>
      </c>
      <c r="K57" s="395">
        <f t="shared" si="275"/>
        <v>1460</v>
      </c>
      <c r="L57" s="395">
        <f t="shared" si="275"/>
        <v>1474</v>
      </c>
      <c r="M57" s="395">
        <f t="shared" si="275"/>
        <v>1488</v>
      </c>
      <c r="N57" s="395">
        <f t="shared" si="275"/>
        <v>1502</v>
      </c>
      <c r="O57" s="395">
        <f t="shared" si="275"/>
        <v>1516</v>
      </c>
      <c r="P57" s="395">
        <f t="shared" si="275"/>
        <v>1530</v>
      </c>
      <c r="Q57" s="395">
        <f t="shared" si="275"/>
        <v>1544</v>
      </c>
      <c r="R57" s="395">
        <f t="shared" si="275"/>
        <v>1558</v>
      </c>
      <c r="S57" s="395">
        <f t="shared" si="275"/>
        <v>1572</v>
      </c>
      <c r="T57" s="395">
        <f t="shared" si="275"/>
        <v>1586</v>
      </c>
      <c r="U57" s="395">
        <f t="shared" si="275"/>
        <v>1600</v>
      </c>
      <c r="V57" s="395">
        <f t="shared" si="275"/>
        <v>1614</v>
      </c>
      <c r="W57" s="395">
        <f t="shared" si="275"/>
        <v>1628</v>
      </c>
      <c r="X57" s="395">
        <f t="shared" si="275"/>
        <v>1642</v>
      </c>
      <c r="Y57" s="395">
        <f t="shared" si="275"/>
        <v>1656</v>
      </c>
      <c r="Z57" s="395">
        <f t="shared" si="275"/>
        <v>1670</v>
      </c>
      <c r="AA57" s="395">
        <f t="shared" si="275"/>
        <v>1684</v>
      </c>
      <c r="AB57" s="395">
        <f t="shared" si="275"/>
        <v>1698</v>
      </c>
      <c r="AC57" s="395">
        <f t="shared" si="275"/>
        <v>1712</v>
      </c>
      <c r="AD57" s="395">
        <f t="shared" si="297"/>
        <v>1726</v>
      </c>
      <c r="AE57" s="395">
        <v>1740</v>
      </c>
      <c r="AF57" s="395">
        <f>ROUND(AE57+$J57,2)</f>
        <v>1754</v>
      </c>
      <c r="AG57" s="395">
        <f t="shared" ref="AG57:BC59" si="299">ROUND(AF57+$J57,2)</f>
        <v>1768</v>
      </c>
      <c r="AH57" s="395">
        <f t="shared" si="299"/>
        <v>1782</v>
      </c>
      <c r="AI57" s="395">
        <f t="shared" si="299"/>
        <v>1796</v>
      </c>
      <c r="AJ57" s="395">
        <f t="shared" si="299"/>
        <v>1810</v>
      </c>
      <c r="AK57" s="395">
        <f t="shared" si="299"/>
        <v>1824</v>
      </c>
      <c r="AL57" s="395">
        <f t="shared" si="299"/>
        <v>1838</v>
      </c>
      <c r="AM57" s="395">
        <f t="shared" si="299"/>
        <v>1852</v>
      </c>
      <c r="AN57" s="395">
        <f t="shared" si="299"/>
        <v>1866</v>
      </c>
      <c r="AO57" s="395">
        <f t="shared" si="299"/>
        <v>1880</v>
      </c>
      <c r="AP57" s="395">
        <f t="shared" si="299"/>
        <v>1894</v>
      </c>
      <c r="AQ57" s="395">
        <f t="shared" si="299"/>
        <v>1908</v>
      </c>
      <c r="AR57" s="395">
        <f t="shared" si="299"/>
        <v>1922</v>
      </c>
      <c r="AS57" s="395">
        <f t="shared" si="299"/>
        <v>1936</v>
      </c>
      <c r="AT57" s="395">
        <f t="shared" si="299"/>
        <v>1950</v>
      </c>
      <c r="AU57" s="395">
        <f t="shared" si="299"/>
        <v>1964</v>
      </c>
      <c r="AV57" s="395">
        <f t="shared" si="299"/>
        <v>1978</v>
      </c>
      <c r="AW57" s="395">
        <f t="shared" si="299"/>
        <v>1992</v>
      </c>
      <c r="AX57" s="395">
        <f t="shared" si="299"/>
        <v>2006</v>
      </c>
      <c r="AY57" s="395">
        <f t="shared" si="299"/>
        <v>2020</v>
      </c>
      <c r="AZ57" s="395">
        <f t="shared" si="299"/>
        <v>2034</v>
      </c>
      <c r="BA57" s="395">
        <f t="shared" si="299"/>
        <v>2048</v>
      </c>
      <c r="BB57" s="395">
        <f t="shared" si="299"/>
        <v>2062</v>
      </c>
      <c r="BC57" s="395">
        <f t="shared" si="299"/>
        <v>2076</v>
      </c>
      <c r="BD57" s="395">
        <f t="shared" si="277"/>
        <v>2090</v>
      </c>
      <c r="BE57" s="395">
        <f t="shared" si="278"/>
        <v>2104</v>
      </c>
      <c r="BF57" s="395">
        <f t="shared" si="279"/>
        <v>2118</v>
      </c>
      <c r="BG57" s="395">
        <f t="shared" si="280"/>
        <v>2132</v>
      </c>
      <c r="BH57" s="395">
        <f t="shared" si="281"/>
        <v>2146</v>
      </c>
      <c r="BI57" s="395">
        <f t="shared" si="282"/>
        <v>2160</v>
      </c>
      <c r="BJ57" s="395">
        <f t="shared" si="283"/>
        <v>2174</v>
      </c>
      <c r="BK57" s="395">
        <f t="shared" si="284"/>
        <v>2188</v>
      </c>
      <c r="BL57" s="395">
        <f t="shared" si="285"/>
        <v>2202</v>
      </c>
      <c r="BM57" s="395">
        <f t="shared" si="286"/>
        <v>2216</v>
      </c>
      <c r="BN57" s="395">
        <f t="shared" si="287"/>
        <v>2230</v>
      </c>
      <c r="BO57" s="395">
        <f t="shared" si="288"/>
        <v>2244</v>
      </c>
      <c r="BP57" s="395">
        <f t="shared" si="289"/>
        <v>2258</v>
      </c>
      <c r="BQ57" s="395">
        <f t="shared" si="290"/>
        <v>2272</v>
      </c>
      <c r="BR57" s="395">
        <f t="shared" si="291"/>
        <v>2286</v>
      </c>
      <c r="BS57" s="395">
        <f t="shared" si="292"/>
        <v>2300</v>
      </c>
      <c r="BT57" s="395">
        <f t="shared" si="293"/>
        <v>2314</v>
      </c>
      <c r="BU57" s="395">
        <f t="shared" si="294"/>
        <v>2328</v>
      </c>
      <c r="BV57" s="395">
        <f t="shared" si="295"/>
        <v>2342</v>
      </c>
      <c r="BW57" s="395">
        <f t="shared" si="296"/>
        <v>2356</v>
      </c>
      <c r="BX57" s="395">
        <f t="shared" si="296"/>
        <v>2370</v>
      </c>
    </row>
    <row r="58" spans="1:76" s="382" customFormat="1">
      <c r="A58" s="381" t="s">
        <v>399</v>
      </c>
      <c r="B58" s="382" t="s">
        <v>29</v>
      </c>
      <c r="C58" s="383" t="s">
        <v>334</v>
      </c>
      <c r="D58" s="384" t="s">
        <v>175</v>
      </c>
      <c r="E58" s="384" t="s">
        <v>401</v>
      </c>
      <c r="F58" s="384"/>
      <c r="G58" s="443" t="s">
        <v>402</v>
      </c>
      <c r="H58" s="382" t="s">
        <v>332</v>
      </c>
      <c r="I58" s="394">
        <v>15.3</v>
      </c>
      <c r="J58" s="395">
        <v>14</v>
      </c>
      <c r="K58" s="395">
        <f t="shared" si="275"/>
        <v>1485</v>
      </c>
      <c r="L58" s="395">
        <f t="shared" si="275"/>
        <v>1499</v>
      </c>
      <c r="M58" s="395">
        <f t="shared" si="275"/>
        <v>1513</v>
      </c>
      <c r="N58" s="395">
        <f t="shared" si="275"/>
        <v>1527</v>
      </c>
      <c r="O58" s="395">
        <f t="shared" si="275"/>
        <v>1541</v>
      </c>
      <c r="P58" s="395">
        <f t="shared" si="275"/>
        <v>1555</v>
      </c>
      <c r="Q58" s="395">
        <f t="shared" si="275"/>
        <v>1569</v>
      </c>
      <c r="R58" s="395">
        <f t="shared" si="275"/>
        <v>1583</v>
      </c>
      <c r="S58" s="395">
        <f t="shared" si="275"/>
        <v>1597</v>
      </c>
      <c r="T58" s="395">
        <f t="shared" si="275"/>
        <v>1611</v>
      </c>
      <c r="U58" s="395">
        <f t="shared" si="275"/>
        <v>1625</v>
      </c>
      <c r="V58" s="395">
        <f t="shared" si="275"/>
        <v>1639</v>
      </c>
      <c r="W58" s="395">
        <f t="shared" si="275"/>
        <v>1653</v>
      </c>
      <c r="X58" s="395">
        <f t="shared" si="275"/>
        <v>1667</v>
      </c>
      <c r="Y58" s="395">
        <f t="shared" si="275"/>
        <v>1681</v>
      </c>
      <c r="Z58" s="395">
        <f t="shared" si="275"/>
        <v>1695</v>
      </c>
      <c r="AA58" s="395">
        <f t="shared" si="275"/>
        <v>1709</v>
      </c>
      <c r="AB58" s="395">
        <f t="shared" si="275"/>
        <v>1723</v>
      </c>
      <c r="AC58" s="395">
        <f t="shared" si="275"/>
        <v>1737</v>
      </c>
      <c r="AD58" s="395">
        <f t="shared" si="297"/>
        <v>1751</v>
      </c>
      <c r="AE58" s="395">
        <v>1765</v>
      </c>
      <c r="AF58" s="395">
        <f>ROUND(AE58+$J58,2)</f>
        <v>1779</v>
      </c>
      <c r="AG58" s="395">
        <f t="shared" si="299"/>
        <v>1793</v>
      </c>
      <c r="AH58" s="395">
        <f t="shared" si="299"/>
        <v>1807</v>
      </c>
      <c r="AI58" s="395">
        <f t="shared" si="299"/>
        <v>1821</v>
      </c>
      <c r="AJ58" s="395">
        <f t="shared" si="299"/>
        <v>1835</v>
      </c>
      <c r="AK58" s="395">
        <f t="shared" si="299"/>
        <v>1849</v>
      </c>
      <c r="AL58" s="395">
        <f t="shared" si="299"/>
        <v>1863</v>
      </c>
      <c r="AM58" s="395">
        <f t="shared" si="299"/>
        <v>1877</v>
      </c>
      <c r="AN58" s="395">
        <f t="shared" si="299"/>
        <v>1891</v>
      </c>
      <c r="AO58" s="395">
        <f t="shared" si="299"/>
        <v>1905</v>
      </c>
      <c r="AP58" s="395">
        <f t="shared" si="299"/>
        <v>1919</v>
      </c>
      <c r="AQ58" s="395">
        <f t="shared" si="299"/>
        <v>1933</v>
      </c>
      <c r="AR58" s="395">
        <f t="shared" si="299"/>
        <v>1947</v>
      </c>
      <c r="AS58" s="395">
        <f t="shared" si="299"/>
        <v>1961</v>
      </c>
      <c r="AT58" s="395">
        <f t="shared" si="299"/>
        <v>1975</v>
      </c>
      <c r="AU58" s="395">
        <f t="shared" si="299"/>
        <v>1989</v>
      </c>
      <c r="AV58" s="395">
        <f t="shared" si="299"/>
        <v>2003</v>
      </c>
      <c r="AW58" s="395">
        <f t="shared" si="299"/>
        <v>2017</v>
      </c>
      <c r="AX58" s="395">
        <f t="shared" si="299"/>
        <v>2031</v>
      </c>
      <c r="AY58" s="395">
        <f t="shared" si="299"/>
        <v>2045</v>
      </c>
      <c r="AZ58" s="395">
        <f t="shared" si="299"/>
        <v>2059</v>
      </c>
      <c r="BA58" s="395">
        <f t="shared" si="299"/>
        <v>2073</v>
      </c>
      <c r="BB58" s="395">
        <f t="shared" si="299"/>
        <v>2087</v>
      </c>
      <c r="BC58" s="395">
        <f t="shared" si="299"/>
        <v>2101</v>
      </c>
      <c r="BD58" s="395">
        <f t="shared" si="277"/>
        <v>2115</v>
      </c>
      <c r="BE58" s="395">
        <f t="shared" si="278"/>
        <v>2129</v>
      </c>
      <c r="BF58" s="395">
        <f t="shared" si="279"/>
        <v>2143</v>
      </c>
      <c r="BG58" s="395">
        <f t="shared" si="280"/>
        <v>2157</v>
      </c>
      <c r="BH58" s="395">
        <f t="shared" si="281"/>
        <v>2171</v>
      </c>
      <c r="BI58" s="395">
        <f t="shared" si="282"/>
        <v>2185</v>
      </c>
      <c r="BJ58" s="395">
        <f t="shared" si="283"/>
        <v>2199</v>
      </c>
      <c r="BK58" s="395">
        <f t="shared" si="284"/>
        <v>2213</v>
      </c>
      <c r="BL58" s="395">
        <f t="shared" si="285"/>
        <v>2227</v>
      </c>
      <c r="BM58" s="395">
        <f t="shared" si="286"/>
        <v>2241</v>
      </c>
      <c r="BN58" s="395">
        <f t="shared" si="287"/>
        <v>2255</v>
      </c>
      <c r="BO58" s="395">
        <f t="shared" si="288"/>
        <v>2269</v>
      </c>
      <c r="BP58" s="395">
        <f t="shared" si="289"/>
        <v>2283</v>
      </c>
      <c r="BQ58" s="395">
        <f t="shared" si="290"/>
        <v>2297</v>
      </c>
      <c r="BR58" s="395">
        <f t="shared" si="291"/>
        <v>2311</v>
      </c>
      <c r="BS58" s="395">
        <f t="shared" si="292"/>
        <v>2325</v>
      </c>
      <c r="BT58" s="395">
        <f t="shared" si="293"/>
        <v>2339</v>
      </c>
      <c r="BU58" s="395">
        <f t="shared" si="294"/>
        <v>2353</v>
      </c>
      <c r="BV58" s="395">
        <f t="shared" si="295"/>
        <v>2367</v>
      </c>
      <c r="BW58" s="395">
        <f t="shared" si="296"/>
        <v>2381</v>
      </c>
      <c r="BX58" s="395">
        <f t="shared" si="296"/>
        <v>2395</v>
      </c>
    </row>
    <row r="59" spans="1:76" s="517" customFormat="1">
      <c r="A59" s="432" t="s">
        <v>221</v>
      </c>
      <c r="B59" s="433" t="s">
        <v>79</v>
      </c>
      <c r="C59" s="434" t="s">
        <v>403</v>
      </c>
      <c r="D59" s="435" t="s">
        <v>75</v>
      </c>
      <c r="E59" s="435" t="s">
        <v>404</v>
      </c>
      <c r="F59" s="435"/>
      <c r="G59" s="391" t="s">
        <v>405</v>
      </c>
      <c r="H59" s="433" t="s">
        <v>332</v>
      </c>
      <c r="I59" s="442">
        <v>16.8</v>
      </c>
      <c r="J59" s="440">
        <v>14</v>
      </c>
      <c r="K59" s="440">
        <f t="shared" si="275"/>
        <v>1520</v>
      </c>
      <c r="L59" s="440">
        <f t="shared" si="275"/>
        <v>1534</v>
      </c>
      <c r="M59" s="440">
        <f t="shared" si="275"/>
        <v>1548</v>
      </c>
      <c r="N59" s="440">
        <f t="shared" si="275"/>
        <v>1562</v>
      </c>
      <c r="O59" s="440">
        <f t="shared" si="275"/>
        <v>1576</v>
      </c>
      <c r="P59" s="440">
        <f t="shared" si="275"/>
        <v>1590</v>
      </c>
      <c r="Q59" s="440">
        <f t="shared" si="275"/>
        <v>1604</v>
      </c>
      <c r="R59" s="440">
        <f t="shared" si="275"/>
        <v>1618</v>
      </c>
      <c r="S59" s="440">
        <f t="shared" si="275"/>
        <v>1632</v>
      </c>
      <c r="T59" s="440">
        <f t="shared" si="275"/>
        <v>1646</v>
      </c>
      <c r="U59" s="440">
        <f t="shared" si="275"/>
        <v>1660</v>
      </c>
      <c r="V59" s="440">
        <f t="shared" si="275"/>
        <v>1674</v>
      </c>
      <c r="W59" s="440">
        <f t="shared" si="275"/>
        <v>1688</v>
      </c>
      <c r="X59" s="440">
        <f t="shared" si="275"/>
        <v>1702</v>
      </c>
      <c r="Y59" s="440">
        <f t="shared" si="275"/>
        <v>1716</v>
      </c>
      <c r="Z59" s="440">
        <f t="shared" si="275"/>
        <v>1730</v>
      </c>
      <c r="AA59" s="440">
        <f t="shared" si="275"/>
        <v>1744</v>
      </c>
      <c r="AB59" s="440">
        <f t="shared" si="275"/>
        <v>1758</v>
      </c>
      <c r="AC59" s="440">
        <f t="shared" si="275"/>
        <v>1772</v>
      </c>
      <c r="AD59" s="440">
        <f t="shared" si="297"/>
        <v>1786</v>
      </c>
      <c r="AE59" s="440">
        <v>1800</v>
      </c>
      <c r="AF59" s="440">
        <f>ROUND(AE59+$J59,2)</f>
        <v>1814</v>
      </c>
      <c r="AG59" s="440">
        <f t="shared" si="299"/>
        <v>1828</v>
      </c>
      <c r="AH59" s="440">
        <f t="shared" si="299"/>
        <v>1842</v>
      </c>
      <c r="AI59" s="440">
        <f t="shared" si="299"/>
        <v>1856</v>
      </c>
      <c r="AJ59" s="440">
        <f t="shared" si="299"/>
        <v>1870</v>
      </c>
      <c r="AK59" s="440">
        <f t="shared" si="299"/>
        <v>1884</v>
      </c>
      <c r="AL59" s="440">
        <f t="shared" si="299"/>
        <v>1898</v>
      </c>
      <c r="AM59" s="440">
        <f t="shared" si="299"/>
        <v>1912</v>
      </c>
      <c r="AN59" s="440">
        <f t="shared" si="299"/>
        <v>1926</v>
      </c>
      <c r="AO59" s="440">
        <f t="shared" si="299"/>
        <v>1940</v>
      </c>
      <c r="AP59" s="440">
        <f t="shared" si="299"/>
        <v>1954</v>
      </c>
      <c r="AQ59" s="440">
        <f t="shared" si="299"/>
        <v>1968</v>
      </c>
      <c r="AR59" s="440">
        <f t="shared" si="299"/>
        <v>1982</v>
      </c>
      <c r="AS59" s="440">
        <f t="shared" si="299"/>
        <v>1996</v>
      </c>
      <c r="AT59" s="440">
        <f t="shared" si="299"/>
        <v>2010</v>
      </c>
      <c r="AU59" s="440">
        <f t="shared" si="299"/>
        <v>2024</v>
      </c>
      <c r="AV59" s="440">
        <f t="shared" si="299"/>
        <v>2038</v>
      </c>
      <c r="AW59" s="440">
        <f t="shared" si="299"/>
        <v>2052</v>
      </c>
      <c r="AX59" s="440">
        <f t="shared" si="299"/>
        <v>2066</v>
      </c>
      <c r="AY59" s="440">
        <f t="shared" si="299"/>
        <v>2080</v>
      </c>
      <c r="AZ59" s="440">
        <f t="shared" si="299"/>
        <v>2094</v>
      </c>
      <c r="BA59" s="440">
        <f t="shared" si="299"/>
        <v>2108</v>
      </c>
      <c r="BB59" s="440">
        <f t="shared" si="299"/>
        <v>2122</v>
      </c>
      <c r="BC59" s="440">
        <f t="shared" si="299"/>
        <v>2136</v>
      </c>
      <c r="BD59" s="440">
        <f t="shared" si="277"/>
        <v>2150</v>
      </c>
      <c r="BE59" s="440">
        <f t="shared" si="278"/>
        <v>2164</v>
      </c>
      <c r="BF59" s="440">
        <f t="shared" si="279"/>
        <v>2178</v>
      </c>
      <c r="BG59" s="440">
        <f t="shared" si="280"/>
        <v>2192</v>
      </c>
      <c r="BH59" s="440">
        <f t="shared" si="281"/>
        <v>2206</v>
      </c>
      <c r="BI59" s="440">
        <f t="shared" si="282"/>
        <v>2220</v>
      </c>
      <c r="BJ59" s="440">
        <f t="shared" si="283"/>
        <v>2234</v>
      </c>
      <c r="BK59" s="440">
        <f t="shared" si="284"/>
        <v>2248</v>
      </c>
      <c r="BL59" s="440">
        <f t="shared" si="285"/>
        <v>2262</v>
      </c>
      <c r="BM59" s="440">
        <f t="shared" si="286"/>
        <v>2276</v>
      </c>
      <c r="BN59" s="440">
        <f t="shared" si="287"/>
        <v>2290</v>
      </c>
      <c r="BO59" s="440">
        <f t="shared" si="288"/>
        <v>2304</v>
      </c>
      <c r="BP59" s="440">
        <f t="shared" si="289"/>
        <v>2318</v>
      </c>
      <c r="BQ59" s="440">
        <f t="shared" si="290"/>
        <v>2332</v>
      </c>
      <c r="BR59" s="440">
        <f t="shared" si="291"/>
        <v>2346</v>
      </c>
      <c r="BS59" s="440">
        <f t="shared" si="292"/>
        <v>2360</v>
      </c>
      <c r="BT59" s="440">
        <f t="shared" si="293"/>
        <v>2374</v>
      </c>
      <c r="BU59" s="440">
        <f t="shared" si="294"/>
        <v>2388</v>
      </c>
      <c r="BV59" s="440">
        <f t="shared" si="295"/>
        <v>2402</v>
      </c>
      <c r="BW59" s="440">
        <f t="shared" si="296"/>
        <v>2416</v>
      </c>
      <c r="BX59" s="440">
        <f t="shared" si="296"/>
        <v>2430</v>
      </c>
    </row>
    <row r="60" spans="1:76" s="58" customFormat="1">
      <c r="A60" s="56"/>
      <c r="B60" s="54"/>
      <c r="C60" s="110"/>
      <c r="D60" s="431"/>
      <c r="E60" s="431"/>
      <c r="F60" s="431"/>
      <c r="G60" s="390"/>
      <c r="H60" s="54"/>
      <c r="I60" s="447"/>
      <c r="J60" s="446"/>
      <c r="K60" s="446"/>
      <c r="L60" s="446"/>
      <c r="M60" s="446"/>
      <c r="N60" s="446"/>
      <c r="O60" s="446"/>
      <c r="P60" s="446"/>
      <c r="Q60" s="446"/>
      <c r="R60" s="446"/>
      <c r="S60" s="446"/>
      <c r="T60" s="446"/>
      <c r="U60" s="446"/>
      <c r="V60" s="446"/>
      <c r="W60" s="446"/>
      <c r="X60" s="446"/>
      <c r="Y60" s="446"/>
      <c r="Z60" s="446"/>
      <c r="AA60" s="446"/>
      <c r="AB60" s="446"/>
      <c r="AC60" s="446"/>
      <c r="AD60" s="446"/>
      <c r="AE60" s="446"/>
      <c r="AF60" s="446"/>
      <c r="AG60" s="446"/>
      <c r="AH60" s="446"/>
      <c r="AI60" s="446"/>
      <c r="AJ60" s="446"/>
      <c r="AK60" s="446"/>
      <c r="AL60" s="446"/>
      <c r="AM60" s="446"/>
      <c r="AN60" s="446"/>
      <c r="AO60" s="446"/>
      <c r="AP60" s="446"/>
      <c r="AQ60" s="446"/>
      <c r="AR60" s="446"/>
      <c r="AS60" s="446"/>
      <c r="AT60" s="446"/>
      <c r="AU60" s="446"/>
      <c r="AV60" s="446"/>
      <c r="AW60" s="446"/>
      <c r="AX60" s="446"/>
      <c r="AY60" s="446"/>
      <c r="AZ60" s="446"/>
      <c r="BA60" s="446"/>
      <c r="BB60" s="446"/>
    </row>
    <row r="61" spans="1:76">
      <c r="G61" s="110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AE61" s="54">
        <v>70000</v>
      </c>
      <c r="AF61" s="444" t="s">
        <v>406</v>
      </c>
      <c r="AG61" s="444"/>
      <c r="AH61" s="444"/>
      <c r="AI61" s="444"/>
      <c r="AJ61" s="444"/>
      <c r="AK61" s="444"/>
      <c r="AL61" s="444"/>
      <c r="AM61" s="444"/>
      <c r="AN61" s="444"/>
      <c r="AO61" s="444"/>
    </row>
    <row r="62" spans="1:76">
      <c r="G62" s="110"/>
      <c r="J62" s="18" t="s">
        <v>213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AE62" s="446">
        <v>2041.16</v>
      </c>
      <c r="AF62" s="441">
        <f>AE59/AE62-1</f>
        <v>-0.11814850379196151</v>
      </c>
      <c r="AO62" s="17"/>
    </row>
    <row r="63" spans="1:76">
      <c r="G63" s="110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AE63" s="445"/>
      <c r="AF63" s="445"/>
      <c r="AG63" s="445"/>
      <c r="AH63" s="445"/>
      <c r="AI63" s="445"/>
      <c r="AJ63" s="445"/>
      <c r="AK63" s="445"/>
      <c r="AL63" s="445"/>
      <c r="AM63" s="445"/>
      <c r="AN63" s="445"/>
      <c r="AO63" s="445"/>
      <c r="AP63" s="445"/>
      <c r="AQ63" s="445"/>
      <c r="AR63" s="445"/>
      <c r="AS63" s="445"/>
    </row>
    <row r="64" spans="1:76">
      <c r="G64" s="110"/>
      <c r="H64" s="55"/>
      <c r="J64" s="48" t="s">
        <v>407</v>
      </c>
      <c r="AE64" s="446">
        <v>1999.51</v>
      </c>
      <c r="AF64" s="441">
        <f>AE59/AE64-1</f>
        <v>-9.9779445964261249E-2</v>
      </c>
      <c r="AG64" s="444"/>
      <c r="AH64" s="444"/>
      <c r="AI64" s="444"/>
      <c r="AJ64" s="444"/>
      <c r="AK64" s="444"/>
      <c r="AL64" s="444"/>
      <c r="AM64" s="444"/>
      <c r="AN64" s="444"/>
      <c r="AO64" s="444"/>
    </row>
    <row r="65" spans="7:41">
      <c r="G65" s="110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O65" s="17"/>
    </row>
    <row r="66" spans="7:41">
      <c r="G66" s="110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</row>
    <row r="67" spans="7:41">
      <c r="G67" s="110"/>
    </row>
    <row r="68" spans="7:41">
      <c r="G68" s="110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</row>
    <row r="69" spans="7:41">
      <c r="G69" s="110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</row>
    <row r="70" spans="7:41">
      <c r="G70" s="110"/>
    </row>
    <row r="71" spans="7:41">
      <c r="G71" s="110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</row>
    <row r="72" spans="7:41">
      <c r="G72" s="110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</row>
    <row r="73" spans="7:41">
      <c r="G73" s="110"/>
    </row>
    <row r="74" spans="7:41">
      <c r="G74" s="110"/>
    </row>
    <row r="75" spans="7:41">
      <c r="G75" s="110"/>
    </row>
    <row r="76" spans="7:41">
      <c r="G76" s="110"/>
    </row>
    <row r="77" spans="7:41">
      <c r="G77" s="110"/>
    </row>
    <row r="78" spans="7:41">
      <c r="G78" s="110"/>
    </row>
    <row r="79" spans="7:41">
      <c r="G79" s="110"/>
    </row>
    <row r="80" spans="7:41">
      <c r="G80" s="110"/>
    </row>
    <row r="81" spans="7:7">
      <c r="G81" s="110"/>
    </row>
    <row r="82" spans="7:7">
      <c r="G82" s="110"/>
    </row>
    <row r="83" spans="7:7">
      <c r="G83" s="110"/>
    </row>
    <row r="84" spans="7:7">
      <c r="G84" s="110"/>
    </row>
    <row r="85" spans="7:7">
      <c r="G85" s="110"/>
    </row>
    <row r="86" spans="7:7">
      <c r="G86" s="110"/>
    </row>
    <row r="87" spans="7:7">
      <c r="G87" s="110"/>
    </row>
    <row r="88" spans="7:7">
      <c r="G88" s="110"/>
    </row>
    <row r="89" spans="7:7">
      <c r="G89" s="110"/>
    </row>
    <row r="90" spans="7:7">
      <c r="G90" s="110"/>
    </row>
    <row r="91" spans="7:7">
      <c r="G91" s="110"/>
    </row>
    <row r="92" spans="7:7">
      <c r="G92" s="110"/>
    </row>
    <row r="93" spans="7:7">
      <c r="G93" s="110"/>
    </row>
    <row r="94" spans="7:7">
      <c r="G94" s="110"/>
    </row>
    <row r="95" spans="7:7">
      <c r="G95" s="110"/>
    </row>
    <row r="96" spans="7:7">
      <c r="G96" s="110"/>
    </row>
  </sheetData>
  <phoneticPr fontId="3" type="noConversion"/>
  <pageMargins left="0.7" right="0.7" top="0.75" bottom="0.75" header="0.3" footer="0.3"/>
  <pageSetup paperSize="9" scale="4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A781-5482-4C0B-8905-0BBBBEC7A3ED}">
  <sheetPr>
    <tabColor rgb="FF92D050"/>
  </sheetPr>
  <dimension ref="A2:P44"/>
  <sheetViews>
    <sheetView zoomScale="80" zoomScaleNormal="8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40" sqref="C40"/>
    </sheetView>
  </sheetViews>
  <sheetFormatPr defaultColWidth="8.33203125" defaultRowHeight="13"/>
  <cols>
    <col min="1" max="1" width="6.33203125" style="479" customWidth="1"/>
    <col min="2" max="2" width="59.33203125" style="479" bestFit="1" customWidth="1"/>
    <col min="3" max="3" width="13.33203125" style="479" customWidth="1"/>
    <col min="4" max="4" width="11.33203125" style="479" customWidth="1"/>
    <col min="5" max="5" width="14.33203125" style="479" customWidth="1"/>
    <col min="6" max="6" width="22.33203125" style="492" customWidth="1"/>
    <col min="7" max="7" width="16.33203125" style="492" customWidth="1"/>
    <col min="8" max="8" width="16.33203125" style="479" customWidth="1"/>
    <col min="9" max="9" width="15.33203125" style="479" customWidth="1"/>
    <col min="10" max="10" width="9.33203125" style="479" customWidth="1"/>
    <col min="11" max="11" width="20.08203125" style="479" customWidth="1"/>
    <col min="12" max="12" width="25.33203125" style="479" customWidth="1"/>
    <col min="13" max="13" width="14.33203125" style="479" customWidth="1"/>
    <col min="14" max="14" width="18" style="479" customWidth="1"/>
    <col min="15" max="15" width="16.33203125" style="479" customWidth="1"/>
    <col min="16" max="16384" width="8.33203125" style="479"/>
  </cols>
  <sheetData>
    <row r="2" spans="1:16" s="480" customFormat="1" ht="26.15" customHeight="1">
      <c r="B2" s="478" t="s">
        <v>408</v>
      </c>
      <c r="C2" s="472" t="s">
        <v>10</v>
      </c>
      <c r="D2" s="473" t="s">
        <v>11</v>
      </c>
      <c r="E2" s="472" t="s">
        <v>12</v>
      </c>
      <c r="F2" s="473" t="s">
        <v>409</v>
      </c>
      <c r="G2" s="473" t="s">
        <v>410</v>
      </c>
      <c r="H2" s="474" t="s">
        <v>326</v>
      </c>
      <c r="I2" s="475" t="s">
        <v>17</v>
      </c>
      <c r="J2" s="476" t="s">
        <v>18</v>
      </c>
      <c r="K2" s="477" t="s">
        <v>411</v>
      </c>
      <c r="L2" s="477" t="s">
        <v>412</v>
      </c>
      <c r="M2" s="477" t="s">
        <v>413</v>
      </c>
      <c r="N2" s="477" t="s">
        <v>414</v>
      </c>
    </row>
    <row r="3" spans="1:16" s="480" customFormat="1">
      <c r="B3" s="481" t="s">
        <v>349</v>
      </c>
      <c r="C3" s="482" t="s">
        <v>79</v>
      </c>
      <c r="D3" s="483" t="s">
        <v>350</v>
      </c>
      <c r="E3" s="482" t="s">
        <v>31</v>
      </c>
      <c r="F3" s="488" t="s">
        <v>415</v>
      </c>
      <c r="G3" s="485" t="s">
        <v>331</v>
      </c>
      <c r="H3" s="484" t="s">
        <v>345</v>
      </c>
      <c r="I3" s="486">
        <v>1.4079999999999999</v>
      </c>
      <c r="J3" s="482">
        <v>0</v>
      </c>
      <c r="K3" s="489">
        <v>716.8</v>
      </c>
      <c r="L3" s="489" t="s">
        <v>416</v>
      </c>
      <c r="M3" s="482">
        <v>12</v>
      </c>
      <c r="N3" s="482" t="s">
        <v>417</v>
      </c>
    </row>
    <row r="4" spans="1:16" s="480" customFormat="1">
      <c r="B4" s="481" t="s">
        <v>349</v>
      </c>
      <c r="C4" s="482" t="s">
        <v>79</v>
      </c>
      <c r="D4" s="483" t="s">
        <v>350</v>
      </c>
      <c r="E4" s="482" t="s">
        <v>31</v>
      </c>
      <c r="F4" s="488" t="s">
        <v>418</v>
      </c>
      <c r="G4" s="485" t="s">
        <v>331</v>
      </c>
      <c r="H4" s="484" t="s">
        <v>345</v>
      </c>
      <c r="I4" s="486">
        <v>1.4079999999999999</v>
      </c>
      <c r="J4" s="482">
        <v>0</v>
      </c>
      <c r="K4" s="489">
        <v>716.8</v>
      </c>
      <c r="L4" s="489" t="s">
        <v>419</v>
      </c>
      <c r="M4" s="482">
        <v>12</v>
      </c>
      <c r="N4" s="482" t="s">
        <v>420</v>
      </c>
    </row>
    <row r="5" spans="1:16" s="480" customFormat="1">
      <c r="B5" s="481" t="s">
        <v>421</v>
      </c>
      <c r="C5" s="482" t="s">
        <v>79</v>
      </c>
      <c r="D5" s="483" t="s">
        <v>350</v>
      </c>
      <c r="E5" s="482" t="s">
        <v>31</v>
      </c>
      <c r="F5" s="488" t="s">
        <v>352</v>
      </c>
      <c r="G5" s="485" t="s">
        <v>331</v>
      </c>
      <c r="H5" s="484" t="s">
        <v>345</v>
      </c>
      <c r="I5" s="486">
        <v>1.4079999999999999</v>
      </c>
      <c r="J5" s="482">
        <v>0</v>
      </c>
      <c r="K5" s="489">
        <f>K4+14</f>
        <v>730.8</v>
      </c>
      <c r="L5" s="489" t="s">
        <v>422</v>
      </c>
      <c r="M5" s="482">
        <v>6.1</v>
      </c>
      <c r="N5" s="482" t="s">
        <v>423</v>
      </c>
      <c r="O5" s="482" t="s">
        <v>424</v>
      </c>
      <c r="P5" s="496"/>
    </row>
    <row r="6" spans="1:16" s="480" customFormat="1">
      <c r="B6" s="481" t="s">
        <v>353</v>
      </c>
      <c r="C6" s="482" t="s">
        <v>79</v>
      </c>
      <c r="D6" s="483" t="s">
        <v>350</v>
      </c>
      <c r="E6" s="482" t="s">
        <v>27</v>
      </c>
      <c r="F6" s="488" t="s">
        <v>425</v>
      </c>
      <c r="G6" s="485" t="s">
        <v>331</v>
      </c>
      <c r="H6" s="484" t="s">
        <v>345</v>
      </c>
      <c r="I6" s="486">
        <v>1.4079999999999999</v>
      </c>
      <c r="J6" s="482">
        <v>0</v>
      </c>
      <c r="K6" s="489">
        <v>691.2</v>
      </c>
      <c r="L6" s="489" t="s">
        <v>416</v>
      </c>
      <c r="M6" s="482">
        <v>12</v>
      </c>
      <c r="N6" s="482" t="s">
        <v>417</v>
      </c>
    </row>
    <row r="7" spans="1:16" s="497" customFormat="1" ht="14">
      <c r="A7" s="480"/>
      <c r="B7" s="481" t="s">
        <v>353</v>
      </c>
      <c r="C7" s="482" t="s">
        <v>79</v>
      </c>
      <c r="D7" s="483" t="s">
        <v>350</v>
      </c>
      <c r="E7" s="482" t="s">
        <v>27</v>
      </c>
      <c r="F7" s="488" t="s">
        <v>418</v>
      </c>
      <c r="G7" s="485" t="s">
        <v>331</v>
      </c>
      <c r="H7" s="484" t="s">
        <v>345</v>
      </c>
      <c r="I7" s="486">
        <v>1.4079999999999999</v>
      </c>
      <c r="J7" s="482">
        <v>0</v>
      </c>
      <c r="K7" s="489">
        <v>691.2</v>
      </c>
      <c r="L7" s="489" t="s">
        <v>419</v>
      </c>
      <c r="M7" s="482">
        <v>12</v>
      </c>
      <c r="N7" s="482" t="s">
        <v>420</v>
      </c>
      <c r="O7" s="491"/>
    </row>
    <row r="8" spans="1:16" s="480" customFormat="1">
      <c r="B8" s="481" t="s">
        <v>426</v>
      </c>
      <c r="C8" s="482" t="s">
        <v>79</v>
      </c>
      <c r="D8" s="483" t="s">
        <v>350</v>
      </c>
      <c r="E8" s="482" t="s">
        <v>27</v>
      </c>
      <c r="F8" s="488" t="s">
        <v>427</v>
      </c>
      <c r="G8" s="485" t="s">
        <v>331</v>
      </c>
      <c r="H8" s="484" t="s">
        <v>345</v>
      </c>
      <c r="I8" s="486">
        <v>1.4079999999999999</v>
      </c>
      <c r="J8" s="482">
        <v>0</v>
      </c>
      <c r="K8" s="489">
        <v>704</v>
      </c>
      <c r="L8" s="489" t="s">
        <v>428</v>
      </c>
      <c r="M8" s="482">
        <v>9.15</v>
      </c>
      <c r="N8" s="482" t="s">
        <v>429</v>
      </c>
    </row>
    <row r="9" spans="1:16" s="480" customFormat="1">
      <c r="B9" s="481" t="s">
        <v>430</v>
      </c>
      <c r="C9" s="482" t="s">
        <v>79</v>
      </c>
      <c r="D9" s="483" t="s">
        <v>350</v>
      </c>
      <c r="E9" s="482" t="s">
        <v>129</v>
      </c>
      <c r="F9" s="488" t="s">
        <v>425</v>
      </c>
      <c r="G9" s="485" t="s">
        <v>331</v>
      </c>
      <c r="H9" s="484" t="s">
        <v>345</v>
      </c>
      <c r="I9" s="486">
        <v>1.4079999999999999</v>
      </c>
      <c r="J9" s="482">
        <v>0</v>
      </c>
      <c r="K9" s="489">
        <v>736</v>
      </c>
      <c r="L9" s="489" t="s">
        <v>416</v>
      </c>
      <c r="M9" s="482">
        <v>12</v>
      </c>
      <c r="N9" s="482" t="s">
        <v>417</v>
      </c>
    </row>
    <row r="10" spans="1:16" s="480" customFormat="1">
      <c r="B10" s="481" t="s">
        <v>430</v>
      </c>
      <c r="C10" s="482" t="s">
        <v>79</v>
      </c>
      <c r="D10" s="483" t="s">
        <v>350</v>
      </c>
      <c r="E10" s="482" t="s">
        <v>129</v>
      </c>
      <c r="F10" s="488" t="s">
        <v>418</v>
      </c>
      <c r="G10" s="485" t="s">
        <v>331</v>
      </c>
      <c r="H10" s="484" t="s">
        <v>345</v>
      </c>
      <c r="I10" s="486">
        <v>1.4079999999999999</v>
      </c>
      <c r="J10" s="482">
        <v>0</v>
      </c>
      <c r="K10" s="489">
        <v>736</v>
      </c>
      <c r="L10" s="489" t="s">
        <v>419</v>
      </c>
      <c r="M10" s="482">
        <v>12</v>
      </c>
      <c r="N10" s="482" t="s">
        <v>420</v>
      </c>
    </row>
    <row r="11" spans="1:16" s="498" customFormat="1">
      <c r="B11" s="499" t="s">
        <v>431</v>
      </c>
      <c r="C11" s="500" t="s">
        <v>79</v>
      </c>
      <c r="D11" s="501" t="s">
        <v>350</v>
      </c>
      <c r="E11" s="500" t="s">
        <v>129</v>
      </c>
      <c r="F11" s="502" t="s">
        <v>352</v>
      </c>
      <c r="G11" s="503" t="s">
        <v>331</v>
      </c>
      <c r="H11" s="504" t="s">
        <v>345</v>
      </c>
      <c r="I11" s="505">
        <v>1.4079999999999999</v>
      </c>
      <c r="J11" s="500">
        <v>0</v>
      </c>
      <c r="K11" s="506">
        <f>K10+14</f>
        <v>750</v>
      </c>
      <c r="L11" s="506" t="s">
        <v>432</v>
      </c>
      <c r="M11" s="500">
        <v>6.1</v>
      </c>
      <c r="N11" s="500" t="s">
        <v>433</v>
      </c>
    </row>
    <row r="12" spans="1:16" s="480" customFormat="1">
      <c r="B12" s="481"/>
      <c r="C12" s="482"/>
      <c r="D12" s="483"/>
      <c r="E12" s="482"/>
      <c r="F12" s="488"/>
      <c r="G12" s="483"/>
      <c r="H12" s="484"/>
      <c r="I12" s="486"/>
      <c r="J12" s="482"/>
      <c r="K12" s="489"/>
      <c r="L12" s="489"/>
      <c r="M12" s="482"/>
      <c r="N12" s="482"/>
    </row>
    <row r="13" spans="1:16" s="480" customFormat="1">
      <c r="B13" s="481" t="s">
        <v>358</v>
      </c>
      <c r="C13" s="482" t="s">
        <v>79</v>
      </c>
      <c r="D13" s="483" t="s">
        <v>350</v>
      </c>
      <c r="E13" s="482" t="s">
        <v>31</v>
      </c>
      <c r="F13" s="488" t="s">
        <v>425</v>
      </c>
      <c r="G13" s="483" t="s">
        <v>359</v>
      </c>
      <c r="H13" s="482" t="s">
        <v>360</v>
      </c>
      <c r="I13" s="487">
        <v>0.4</v>
      </c>
      <c r="J13" s="482">
        <v>0</v>
      </c>
      <c r="K13" s="489">
        <v>601.34</v>
      </c>
      <c r="L13" s="489" t="s">
        <v>416</v>
      </c>
      <c r="M13" s="482">
        <v>12</v>
      </c>
      <c r="N13" s="482" t="s">
        <v>417</v>
      </c>
    </row>
    <row r="14" spans="1:16" s="480" customFormat="1">
      <c r="B14" s="481" t="s">
        <v>358</v>
      </c>
      <c r="C14" s="482" t="s">
        <v>79</v>
      </c>
      <c r="D14" s="483" t="s">
        <v>350</v>
      </c>
      <c r="E14" s="482" t="s">
        <v>31</v>
      </c>
      <c r="F14" s="488" t="s">
        <v>418</v>
      </c>
      <c r="G14" s="483" t="s">
        <v>434</v>
      </c>
      <c r="H14" s="482" t="s">
        <v>360</v>
      </c>
      <c r="I14" s="487">
        <v>0.4</v>
      </c>
      <c r="J14" s="482">
        <v>0</v>
      </c>
      <c r="K14" s="489">
        <v>601.34</v>
      </c>
      <c r="L14" s="489" t="s">
        <v>419</v>
      </c>
      <c r="M14" s="482">
        <v>12</v>
      </c>
      <c r="N14" s="482" t="s">
        <v>420</v>
      </c>
    </row>
    <row r="15" spans="1:16" s="480" customFormat="1">
      <c r="B15" s="481" t="s">
        <v>435</v>
      </c>
      <c r="C15" s="482" t="s">
        <v>79</v>
      </c>
      <c r="D15" s="483" t="s">
        <v>350</v>
      </c>
      <c r="E15" s="482" t="s">
        <v>31</v>
      </c>
      <c r="F15" s="483" t="s">
        <v>352</v>
      </c>
      <c r="G15" s="483" t="s">
        <v>362</v>
      </c>
      <c r="H15" s="482" t="s">
        <v>360</v>
      </c>
      <c r="I15" s="487">
        <v>0.4</v>
      </c>
      <c r="J15" s="482">
        <v>0</v>
      </c>
      <c r="K15" s="489">
        <v>615.16999999999996</v>
      </c>
      <c r="L15" s="489" t="s">
        <v>422</v>
      </c>
      <c r="M15" s="482">
        <v>6.1</v>
      </c>
      <c r="N15" s="482" t="s">
        <v>423</v>
      </c>
      <c r="O15" s="482" t="s">
        <v>424</v>
      </c>
    </row>
    <row r="16" spans="1:16" s="480" customFormat="1">
      <c r="B16" s="481" t="s">
        <v>363</v>
      </c>
      <c r="C16" s="482" t="s">
        <v>79</v>
      </c>
      <c r="D16" s="483" t="s">
        <v>350</v>
      </c>
      <c r="E16" s="482" t="s">
        <v>27</v>
      </c>
      <c r="F16" s="488" t="s">
        <v>425</v>
      </c>
      <c r="G16" s="485" t="s">
        <v>331</v>
      </c>
      <c r="H16" s="482" t="s">
        <v>360</v>
      </c>
      <c r="I16" s="487">
        <v>0.4</v>
      </c>
      <c r="J16" s="482">
        <v>0</v>
      </c>
      <c r="K16" s="489">
        <v>582.4</v>
      </c>
      <c r="L16" s="489" t="s">
        <v>416</v>
      </c>
      <c r="M16" s="482">
        <v>12</v>
      </c>
      <c r="N16" s="482" t="s">
        <v>417</v>
      </c>
      <c r="P16" s="496"/>
    </row>
    <row r="17" spans="1:15" s="497" customFormat="1" ht="14">
      <c r="A17" s="480"/>
      <c r="B17" s="481" t="s">
        <v>363</v>
      </c>
      <c r="C17" s="482" t="s">
        <v>79</v>
      </c>
      <c r="D17" s="483" t="s">
        <v>350</v>
      </c>
      <c r="E17" s="482" t="s">
        <v>27</v>
      </c>
      <c r="F17" s="488" t="s">
        <v>418</v>
      </c>
      <c r="G17" s="485" t="s">
        <v>331</v>
      </c>
      <c r="H17" s="482" t="s">
        <v>360</v>
      </c>
      <c r="I17" s="487">
        <v>0.4</v>
      </c>
      <c r="J17" s="482">
        <v>0</v>
      </c>
      <c r="K17" s="489">
        <v>582.4</v>
      </c>
      <c r="L17" s="489" t="s">
        <v>419</v>
      </c>
      <c r="M17" s="482">
        <v>12</v>
      </c>
      <c r="N17" s="482" t="s">
        <v>420</v>
      </c>
      <c r="O17" s="491"/>
    </row>
    <row r="18" spans="1:15" s="480" customFormat="1">
      <c r="B18" s="481" t="s">
        <v>436</v>
      </c>
      <c r="C18" s="482" t="s">
        <v>79</v>
      </c>
      <c r="D18" s="483" t="s">
        <v>350</v>
      </c>
      <c r="E18" s="482" t="s">
        <v>27</v>
      </c>
      <c r="F18" s="488" t="s">
        <v>437</v>
      </c>
      <c r="G18" s="485" t="s">
        <v>331</v>
      </c>
      <c r="H18" s="482" t="s">
        <v>360</v>
      </c>
      <c r="I18" s="487">
        <v>0.4</v>
      </c>
      <c r="J18" s="482">
        <v>0</v>
      </c>
      <c r="K18" s="489">
        <v>595.20000000000005</v>
      </c>
      <c r="L18" s="489" t="s">
        <v>428</v>
      </c>
      <c r="M18" s="482">
        <v>9.15</v>
      </c>
      <c r="N18" s="482" t="s">
        <v>429</v>
      </c>
    </row>
    <row r="19" spans="1:15" s="480" customFormat="1">
      <c r="B19" s="481" t="s">
        <v>365</v>
      </c>
      <c r="C19" s="482" t="s">
        <v>79</v>
      </c>
      <c r="D19" s="483" t="s">
        <v>350</v>
      </c>
      <c r="E19" s="482" t="s">
        <v>39</v>
      </c>
      <c r="F19" s="483" t="s">
        <v>425</v>
      </c>
      <c r="G19" s="485" t="s">
        <v>331</v>
      </c>
      <c r="H19" s="482" t="s">
        <v>360</v>
      </c>
      <c r="I19" s="487">
        <v>0.4</v>
      </c>
      <c r="J19" s="482">
        <v>0</v>
      </c>
      <c r="K19" s="489">
        <v>625</v>
      </c>
      <c r="L19" s="489" t="s">
        <v>416</v>
      </c>
      <c r="M19" s="482">
        <v>12</v>
      </c>
      <c r="N19" s="482" t="s">
        <v>417</v>
      </c>
    </row>
    <row r="20" spans="1:15" s="480" customFormat="1">
      <c r="B20" s="481" t="s">
        <v>365</v>
      </c>
      <c r="C20" s="482" t="s">
        <v>79</v>
      </c>
      <c r="D20" s="483" t="s">
        <v>350</v>
      </c>
      <c r="E20" s="482" t="s">
        <v>39</v>
      </c>
      <c r="F20" s="483" t="s">
        <v>418</v>
      </c>
      <c r="G20" s="485" t="s">
        <v>331</v>
      </c>
      <c r="H20" s="482" t="s">
        <v>360</v>
      </c>
      <c r="I20" s="487">
        <v>0.4</v>
      </c>
      <c r="J20" s="482">
        <v>0</v>
      </c>
      <c r="K20" s="489">
        <v>625</v>
      </c>
      <c r="L20" s="489" t="s">
        <v>419</v>
      </c>
      <c r="M20" s="482">
        <v>12</v>
      </c>
      <c r="N20" s="482" t="s">
        <v>420</v>
      </c>
    </row>
    <row r="21" spans="1:15" s="498" customFormat="1">
      <c r="B21" s="499" t="s">
        <v>438</v>
      </c>
      <c r="C21" s="500" t="s">
        <v>79</v>
      </c>
      <c r="D21" s="501" t="s">
        <v>350</v>
      </c>
      <c r="E21" s="500" t="s">
        <v>39</v>
      </c>
      <c r="F21" s="501" t="s">
        <v>352</v>
      </c>
      <c r="G21" s="503" t="s">
        <v>331</v>
      </c>
      <c r="H21" s="500" t="s">
        <v>360</v>
      </c>
      <c r="I21" s="507">
        <v>0.4</v>
      </c>
      <c r="J21" s="500">
        <v>0</v>
      </c>
      <c r="K21" s="506">
        <f>K20+14</f>
        <v>639</v>
      </c>
      <c r="L21" s="506" t="s">
        <v>432</v>
      </c>
      <c r="M21" s="500">
        <v>6.1</v>
      </c>
      <c r="N21" s="500" t="s">
        <v>433</v>
      </c>
    </row>
    <row r="22" spans="1:15" s="480" customFormat="1">
      <c r="F22" s="508"/>
      <c r="G22" s="508"/>
      <c r="K22" s="509"/>
      <c r="L22" s="489"/>
      <c r="M22" s="482"/>
      <c r="N22" s="482"/>
    </row>
    <row r="23" spans="1:15" s="480" customFormat="1">
      <c r="B23" s="481" t="s">
        <v>439</v>
      </c>
      <c r="C23" s="482" t="s">
        <v>79</v>
      </c>
      <c r="D23" s="483" t="s">
        <v>350</v>
      </c>
      <c r="E23" s="482" t="s">
        <v>31</v>
      </c>
      <c r="F23" s="488" t="s">
        <v>425</v>
      </c>
      <c r="G23" s="485" t="s">
        <v>331</v>
      </c>
      <c r="H23" s="484" t="s">
        <v>440</v>
      </c>
      <c r="I23" s="486">
        <v>1.38</v>
      </c>
      <c r="J23" s="482">
        <v>0</v>
      </c>
      <c r="K23" s="494">
        <v>702</v>
      </c>
      <c r="L23" s="489" t="s">
        <v>416</v>
      </c>
      <c r="M23" s="482">
        <v>12</v>
      </c>
      <c r="N23" s="482" t="s">
        <v>417</v>
      </c>
    </row>
    <row r="24" spans="1:15" s="480" customFormat="1">
      <c r="B24" s="481" t="s">
        <v>439</v>
      </c>
      <c r="C24" s="482" t="s">
        <v>79</v>
      </c>
      <c r="D24" s="483" t="s">
        <v>350</v>
      </c>
      <c r="E24" s="482" t="s">
        <v>31</v>
      </c>
      <c r="F24" s="488" t="s">
        <v>418</v>
      </c>
      <c r="G24" s="485" t="s">
        <v>331</v>
      </c>
      <c r="H24" s="484" t="s">
        <v>440</v>
      </c>
      <c r="I24" s="486">
        <v>1.38</v>
      </c>
      <c r="J24" s="482">
        <v>0</v>
      </c>
      <c r="K24" s="494">
        <v>702</v>
      </c>
      <c r="L24" s="489" t="s">
        <v>419</v>
      </c>
      <c r="M24" s="482">
        <v>12</v>
      </c>
      <c r="N24" s="482" t="s">
        <v>420</v>
      </c>
    </row>
    <row r="25" spans="1:15" s="480" customFormat="1">
      <c r="B25" s="481" t="s">
        <v>441</v>
      </c>
      <c r="C25" s="482" t="s">
        <v>79</v>
      </c>
      <c r="D25" s="483" t="s">
        <v>350</v>
      </c>
      <c r="E25" s="482" t="s">
        <v>31</v>
      </c>
      <c r="F25" s="488" t="s">
        <v>352</v>
      </c>
      <c r="G25" s="485" t="s">
        <v>331</v>
      </c>
      <c r="H25" s="484" t="s">
        <v>440</v>
      </c>
      <c r="I25" s="486">
        <v>1.38</v>
      </c>
      <c r="J25" s="482">
        <v>0</v>
      </c>
      <c r="K25" s="494">
        <v>715</v>
      </c>
      <c r="L25" s="489" t="s">
        <v>422</v>
      </c>
      <c r="M25" s="482">
        <v>6.1</v>
      </c>
      <c r="N25" s="482" t="s">
        <v>423</v>
      </c>
      <c r="O25" s="482" t="s">
        <v>424</v>
      </c>
    </row>
    <row r="26" spans="1:15" s="480" customFormat="1">
      <c r="B26" s="481" t="s">
        <v>442</v>
      </c>
      <c r="C26" s="482" t="s">
        <v>79</v>
      </c>
      <c r="D26" s="483" t="s">
        <v>350</v>
      </c>
      <c r="E26" s="482" t="s">
        <v>27</v>
      </c>
      <c r="F26" s="488" t="s">
        <v>425</v>
      </c>
      <c r="G26" s="485" t="s">
        <v>331</v>
      </c>
      <c r="H26" s="484" t="s">
        <v>440</v>
      </c>
      <c r="I26" s="486">
        <v>1.38</v>
      </c>
      <c r="J26" s="482">
        <v>0</v>
      </c>
      <c r="K26" s="494">
        <v>678</v>
      </c>
      <c r="L26" s="489" t="s">
        <v>416</v>
      </c>
      <c r="M26" s="482">
        <v>12</v>
      </c>
      <c r="N26" s="482" t="s">
        <v>417</v>
      </c>
    </row>
    <row r="27" spans="1:15" s="497" customFormat="1" ht="14">
      <c r="A27" s="480"/>
      <c r="B27" s="481" t="s">
        <v>442</v>
      </c>
      <c r="C27" s="482" t="s">
        <v>79</v>
      </c>
      <c r="D27" s="483" t="s">
        <v>350</v>
      </c>
      <c r="E27" s="482" t="s">
        <v>27</v>
      </c>
      <c r="F27" s="488" t="s">
        <v>418</v>
      </c>
      <c r="G27" s="485" t="s">
        <v>331</v>
      </c>
      <c r="H27" s="484" t="s">
        <v>440</v>
      </c>
      <c r="I27" s="486">
        <v>1.38</v>
      </c>
      <c r="J27" s="482">
        <v>0</v>
      </c>
      <c r="K27" s="494">
        <v>678</v>
      </c>
      <c r="L27" s="489" t="s">
        <v>419</v>
      </c>
      <c r="M27" s="482">
        <v>12</v>
      </c>
      <c r="N27" s="482" t="s">
        <v>420</v>
      </c>
      <c r="O27" s="491"/>
    </row>
    <row r="28" spans="1:15" s="480" customFormat="1">
      <c r="B28" s="481" t="s">
        <v>443</v>
      </c>
      <c r="C28" s="482" t="s">
        <v>79</v>
      </c>
      <c r="D28" s="483" t="s">
        <v>350</v>
      </c>
      <c r="E28" s="482" t="s">
        <v>27</v>
      </c>
      <c r="F28" s="488" t="s">
        <v>437</v>
      </c>
      <c r="G28" s="485" t="s">
        <v>331</v>
      </c>
      <c r="H28" s="484" t="s">
        <v>440</v>
      </c>
      <c r="I28" s="486">
        <v>1.38</v>
      </c>
      <c r="J28" s="482">
        <v>0</v>
      </c>
      <c r="K28" s="494">
        <f>K26+13</f>
        <v>691</v>
      </c>
      <c r="L28" s="489" t="s">
        <v>428</v>
      </c>
      <c r="M28" s="482">
        <v>9.15</v>
      </c>
      <c r="N28" s="482" t="s">
        <v>429</v>
      </c>
    </row>
    <row r="29" spans="1:15" s="480" customFormat="1">
      <c r="B29" s="481" t="s">
        <v>444</v>
      </c>
      <c r="C29" s="482" t="s">
        <v>79</v>
      </c>
      <c r="D29" s="483" t="s">
        <v>350</v>
      </c>
      <c r="E29" s="482" t="s">
        <v>129</v>
      </c>
      <c r="F29" s="488" t="s">
        <v>425</v>
      </c>
      <c r="G29" s="485" t="s">
        <v>331</v>
      </c>
      <c r="H29" s="484" t="s">
        <v>440</v>
      </c>
      <c r="I29" s="486">
        <v>1.38</v>
      </c>
      <c r="J29" s="482">
        <v>0</v>
      </c>
      <c r="K29" s="494">
        <v>722</v>
      </c>
      <c r="L29" s="489" t="s">
        <v>416</v>
      </c>
      <c r="M29" s="482">
        <v>12</v>
      </c>
      <c r="N29" s="482" t="s">
        <v>417</v>
      </c>
    </row>
    <row r="30" spans="1:15" s="480" customFormat="1">
      <c r="B30" s="481" t="s">
        <v>444</v>
      </c>
      <c r="C30" s="482" t="s">
        <v>79</v>
      </c>
      <c r="D30" s="483" t="s">
        <v>350</v>
      </c>
      <c r="E30" s="482" t="s">
        <v>129</v>
      </c>
      <c r="F30" s="488" t="s">
        <v>418</v>
      </c>
      <c r="G30" s="485" t="s">
        <v>331</v>
      </c>
      <c r="H30" s="484" t="s">
        <v>440</v>
      </c>
      <c r="I30" s="486">
        <v>1.38</v>
      </c>
      <c r="J30" s="482">
        <v>0</v>
      </c>
      <c r="K30" s="494">
        <v>722</v>
      </c>
      <c r="L30" s="489" t="s">
        <v>419</v>
      </c>
      <c r="M30" s="482">
        <v>12</v>
      </c>
      <c r="N30" s="482" t="s">
        <v>420</v>
      </c>
    </row>
    <row r="31" spans="1:15" s="498" customFormat="1">
      <c r="B31" s="499" t="s">
        <v>445</v>
      </c>
      <c r="C31" s="500" t="s">
        <v>79</v>
      </c>
      <c r="D31" s="501" t="s">
        <v>350</v>
      </c>
      <c r="E31" s="500" t="s">
        <v>129</v>
      </c>
      <c r="F31" s="502" t="s">
        <v>352</v>
      </c>
      <c r="G31" s="503" t="s">
        <v>331</v>
      </c>
      <c r="H31" s="504" t="s">
        <v>440</v>
      </c>
      <c r="I31" s="505">
        <v>1.38</v>
      </c>
      <c r="J31" s="500">
        <v>0</v>
      </c>
      <c r="K31" s="510">
        <f>K30+14</f>
        <v>736</v>
      </c>
      <c r="L31" s="506" t="s">
        <v>432</v>
      </c>
      <c r="M31" s="500">
        <v>6.1</v>
      </c>
      <c r="N31" s="500" t="s">
        <v>433</v>
      </c>
    </row>
    <row r="32" spans="1:15" s="480" customFormat="1">
      <c r="F32" s="508"/>
      <c r="G32" s="508"/>
      <c r="I32" s="486"/>
      <c r="K32" s="509"/>
      <c r="L32" s="489"/>
      <c r="M32" s="482"/>
      <c r="N32" s="482"/>
    </row>
    <row r="33" spans="1:15" s="480" customFormat="1">
      <c r="B33" s="481" t="s">
        <v>446</v>
      </c>
      <c r="C33" s="482" t="s">
        <v>79</v>
      </c>
      <c r="D33" s="483" t="s">
        <v>350</v>
      </c>
      <c r="E33" s="482" t="s">
        <v>31</v>
      </c>
      <c r="F33" s="488" t="s">
        <v>425</v>
      </c>
      <c r="G33" s="485" t="s">
        <v>331</v>
      </c>
      <c r="H33" s="484" t="s">
        <v>440</v>
      </c>
      <c r="I33" s="487">
        <v>0.36</v>
      </c>
      <c r="J33" s="482">
        <v>0</v>
      </c>
      <c r="K33" s="489">
        <v>585</v>
      </c>
      <c r="L33" s="489" t="s">
        <v>416</v>
      </c>
      <c r="M33" s="482">
        <v>12</v>
      </c>
      <c r="N33" s="482" t="s">
        <v>417</v>
      </c>
    </row>
    <row r="34" spans="1:15" s="480" customFormat="1">
      <c r="B34" s="481" t="s">
        <v>446</v>
      </c>
      <c r="C34" s="482" t="s">
        <v>79</v>
      </c>
      <c r="D34" s="483" t="s">
        <v>350</v>
      </c>
      <c r="E34" s="482" t="s">
        <v>31</v>
      </c>
      <c r="F34" s="488" t="s">
        <v>418</v>
      </c>
      <c r="G34" s="485" t="s">
        <v>331</v>
      </c>
      <c r="H34" s="484" t="s">
        <v>440</v>
      </c>
      <c r="I34" s="487">
        <v>0.36</v>
      </c>
      <c r="J34" s="482">
        <v>0</v>
      </c>
      <c r="K34" s="489">
        <v>585</v>
      </c>
      <c r="L34" s="489" t="s">
        <v>419</v>
      </c>
      <c r="M34" s="482">
        <v>12</v>
      </c>
      <c r="N34" s="482" t="s">
        <v>420</v>
      </c>
    </row>
    <row r="35" spans="1:15" s="480" customFormat="1">
      <c r="B35" s="481" t="s">
        <v>447</v>
      </c>
      <c r="C35" s="482" t="s">
        <v>79</v>
      </c>
      <c r="D35" s="483" t="s">
        <v>350</v>
      </c>
      <c r="E35" s="482" t="s">
        <v>31</v>
      </c>
      <c r="F35" s="488" t="s">
        <v>352</v>
      </c>
      <c r="G35" s="485" t="s">
        <v>331</v>
      </c>
      <c r="H35" s="484" t="s">
        <v>440</v>
      </c>
      <c r="I35" s="487">
        <v>0.36</v>
      </c>
      <c r="J35" s="482">
        <v>0</v>
      </c>
      <c r="K35" s="489">
        <f>K34+14</f>
        <v>599</v>
      </c>
      <c r="L35" s="489" t="s">
        <v>422</v>
      </c>
      <c r="M35" s="482">
        <v>6.1</v>
      </c>
      <c r="N35" s="482" t="s">
        <v>423</v>
      </c>
      <c r="O35" s="482" t="s">
        <v>424</v>
      </c>
    </row>
    <row r="36" spans="1:15" s="480" customFormat="1">
      <c r="B36" s="481" t="s">
        <v>448</v>
      </c>
      <c r="C36" s="482" t="s">
        <v>79</v>
      </c>
      <c r="D36" s="483" t="s">
        <v>350</v>
      </c>
      <c r="E36" s="482" t="s">
        <v>27</v>
      </c>
      <c r="F36" s="488" t="s">
        <v>425</v>
      </c>
      <c r="G36" s="485" t="s">
        <v>331</v>
      </c>
      <c r="H36" s="484" t="s">
        <v>440</v>
      </c>
      <c r="I36" s="487">
        <v>0.36</v>
      </c>
      <c r="J36" s="482">
        <v>0</v>
      </c>
      <c r="K36" s="489">
        <v>570</v>
      </c>
      <c r="L36" s="489" t="s">
        <v>416</v>
      </c>
      <c r="M36" s="482">
        <v>12</v>
      </c>
      <c r="N36" s="482" t="s">
        <v>417</v>
      </c>
    </row>
    <row r="37" spans="1:15" s="497" customFormat="1" ht="14">
      <c r="A37" s="480"/>
      <c r="B37" s="481" t="s">
        <v>448</v>
      </c>
      <c r="C37" s="482" t="s">
        <v>79</v>
      </c>
      <c r="D37" s="483" t="s">
        <v>350</v>
      </c>
      <c r="E37" s="482" t="s">
        <v>27</v>
      </c>
      <c r="F37" s="488" t="s">
        <v>418</v>
      </c>
      <c r="G37" s="485" t="s">
        <v>331</v>
      </c>
      <c r="H37" s="484" t="s">
        <v>440</v>
      </c>
      <c r="I37" s="487">
        <v>0.36</v>
      </c>
      <c r="J37" s="482">
        <v>0</v>
      </c>
      <c r="K37" s="489">
        <v>570</v>
      </c>
      <c r="L37" s="489" t="s">
        <v>419</v>
      </c>
      <c r="M37" s="482">
        <v>12</v>
      </c>
      <c r="N37" s="482" t="s">
        <v>420</v>
      </c>
      <c r="O37" s="491"/>
    </row>
    <row r="38" spans="1:15" s="480" customFormat="1">
      <c r="B38" s="481" t="s">
        <v>449</v>
      </c>
      <c r="C38" s="482" t="s">
        <v>79</v>
      </c>
      <c r="D38" s="483" t="s">
        <v>350</v>
      </c>
      <c r="E38" s="482" t="s">
        <v>27</v>
      </c>
      <c r="F38" s="488" t="s">
        <v>437</v>
      </c>
      <c r="G38" s="485" t="s">
        <v>331</v>
      </c>
      <c r="H38" s="484" t="s">
        <v>440</v>
      </c>
      <c r="I38" s="487">
        <v>0.36</v>
      </c>
      <c r="J38" s="482">
        <v>0</v>
      </c>
      <c r="K38" s="489">
        <f>K36+13</f>
        <v>583</v>
      </c>
      <c r="L38" s="489" t="s">
        <v>428</v>
      </c>
      <c r="M38" s="482">
        <v>9.15</v>
      </c>
      <c r="N38" s="482" t="s">
        <v>429</v>
      </c>
    </row>
    <row r="39" spans="1:15" s="480" customFormat="1">
      <c r="B39" s="481" t="s">
        <v>450</v>
      </c>
      <c r="C39" s="482" t="s">
        <v>79</v>
      </c>
      <c r="D39" s="483" t="s">
        <v>350</v>
      </c>
      <c r="E39" s="482" t="s">
        <v>129</v>
      </c>
      <c r="F39" s="488" t="s">
        <v>425</v>
      </c>
      <c r="G39" s="485" t="s">
        <v>331</v>
      </c>
      <c r="H39" s="484" t="s">
        <v>440</v>
      </c>
      <c r="I39" s="487">
        <v>0.36</v>
      </c>
      <c r="J39" s="482">
        <v>0</v>
      </c>
      <c r="K39" s="489">
        <v>602</v>
      </c>
      <c r="L39" s="489" t="s">
        <v>416</v>
      </c>
      <c r="M39" s="482">
        <v>12</v>
      </c>
      <c r="N39" s="482" t="s">
        <v>417</v>
      </c>
    </row>
    <row r="40" spans="1:15">
      <c r="B40" s="481" t="s">
        <v>450</v>
      </c>
      <c r="C40" s="482" t="s">
        <v>79</v>
      </c>
      <c r="D40" s="483" t="s">
        <v>350</v>
      </c>
      <c r="E40" s="482" t="s">
        <v>129</v>
      </c>
      <c r="F40" s="488" t="s">
        <v>418</v>
      </c>
      <c r="G40" s="485" t="s">
        <v>331</v>
      </c>
      <c r="H40" s="484" t="s">
        <v>440</v>
      </c>
      <c r="I40" s="487">
        <v>0.36</v>
      </c>
      <c r="J40" s="482">
        <v>0</v>
      </c>
      <c r="K40" s="489">
        <v>602</v>
      </c>
      <c r="L40" s="489" t="s">
        <v>419</v>
      </c>
      <c r="M40" s="482">
        <v>12</v>
      </c>
      <c r="N40" s="482" t="s">
        <v>420</v>
      </c>
      <c r="O40" s="480"/>
    </row>
    <row r="41" spans="1:15" s="511" customFormat="1">
      <c r="B41" s="499" t="s">
        <v>451</v>
      </c>
      <c r="C41" s="500" t="s">
        <v>79</v>
      </c>
      <c r="D41" s="501" t="s">
        <v>350</v>
      </c>
      <c r="E41" s="500" t="s">
        <v>129</v>
      </c>
      <c r="F41" s="502" t="s">
        <v>352</v>
      </c>
      <c r="G41" s="503" t="s">
        <v>331</v>
      </c>
      <c r="H41" s="504" t="s">
        <v>440</v>
      </c>
      <c r="I41" s="507">
        <v>0.36</v>
      </c>
      <c r="J41" s="500">
        <v>0</v>
      </c>
      <c r="K41" s="506">
        <f>K40+14</f>
        <v>616</v>
      </c>
      <c r="L41" s="506" t="s">
        <v>432</v>
      </c>
      <c r="M41" s="500">
        <v>6.1</v>
      </c>
      <c r="N41" s="500" t="s">
        <v>433</v>
      </c>
      <c r="O41" s="498"/>
    </row>
    <row r="42" spans="1:15">
      <c r="K42" s="490"/>
      <c r="L42" s="493"/>
      <c r="M42" s="493"/>
      <c r="N42" s="493"/>
    </row>
    <row r="43" spans="1:15">
      <c r="K43" s="495"/>
    </row>
    <row r="44" spans="1:15">
      <c r="K44" s="495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4AC7-703A-42DA-B597-E54E075E1EE2}">
  <sheetPr filterMode="1"/>
  <dimension ref="A1:XEV89"/>
  <sheetViews>
    <sheetView topLeftCell="A41" zoomScale="85" zoomScaleNormal="85" workbookViewId="0">
      <pane xSplit="65" ySplit="6" topLeftCell="BP56" activePane="bottomRight" state="frozen"/>
      <selection activeCell="A41" sqref="A41"/>
      <selection pane="topRight" activeCell="BN41" sqref="BN41"/>
      <selection pane="bottomLeft" activeCell="A47" sqref="A47"/>
      <selection pane="bottomRight" activeCell="AX65" sqref="AX65"/>
    </sheetView>
  </sheetViews>
  <sheetFormatPr defaultColWidth="8.33203125" defaultRowHeight="14"/>
  <cols>
    <col min="1" max="1" width="69" style="46" customWidth="1"/>
    <col min="2" max="2" width="12.33203125" style="46" customWidth="1"/>
    <col min="3" max="3" width="19.33203125" style="46" customWidth="1"/>
    <col min="4" max="4" width="21.08203125" style="42" customWidth="1"/>
    <col min="5" max="5" width="9.33203125" style="46" bestFit="1" customWidth="1"/>
    <col min="6" max="49" width="11" style="42" hidden="1" customWidth="1"/>
    <col min="50" max="56" width="12.08203125" style="42" customWidth="1"/>
    <col min="57" max="65" width="12.08203125" style="46" customWidth="1"/>
    <col min="66" max="70" width="12.33203125" style="46" customWidth="1"/>
    <col min="71" max="71" width="12.33203125" style="42" customWidth="1"/>
    <col min="72" max="80" width="12.33203125" style="46" customWidth="1"/>
    <col min="81" max="16375" width="8.33203125" style="46"/>
    <col min="16376" max="16376" width="8.33203125" style="46" bestFit="1" customWidth="1"/>
    <col min="16377" max="16384" width="8.33203125" style="46" customWidth="1"/>
  </cols>
  <sheetData>
    <row r="1" spans="1:80" s="66" customFormat="1" hidden="1">
      <c r="A1" s="65" t="s">
        <v>452</v>
      </c>
      <c r="C1" s="67"/>
      <c r="D1" s="67"/>
      <c r="E1" s="68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W1" s="67"/>
      <c r="X1" s="67"/>
      <c r="Y1" s="67"/>
      <c r="Z1" s="67"/>
      <c r="AA1" s="67"/>
      <c r="AB1" s="67"/>
      <c r="AC1" s="69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S1" s="67"/>
    </row>
    <row r="2" spans="1:80" s="66" customFormat="1" hidden="1">
      <c r="A2" s="70" t="s">
        <v>453</v>
      </c>
      <c r="C2" s="67"/>
      <c r="D2" s="67"/>
      <c r="E2" s="68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7"/>
      <c r="X2" s="67"/>
      <c r="Y2" s="67"/>
      <c r="Z2" s="67"/>
      <c r="AA2" s="67"/>
      <c r="AB2" s="67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S2" s="67"/>
    </row>
    <row r="3" spans="1:80" s="66" customFormat="1" hidden="1">
      <c r="A3" s="71" t="s">
        <v>454</v>
      </c>
      <c r="B3" s="72"/>
      <c r="C3" s="73"/>
      <c r="D3" s="67"/>
      <c r="E3" s="68"/>
      <c r="F3" s="67"/>
      <c r="G3" s="67"/>
      <c r="H3" s="67"/>
      <c r="I3" s="74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S3" s="67"/>
    </row>
    <row r="4" spans="1:80" s="66" customFormat="1" hidden="1">
      <c r="A4" s="75" t="s">
        <v>455</v>
      </c>
      <c r="B4" s="72"/>
      <c r="C4" s="73"/>
      <c r="D4" s="67"/>
      <c r="E4" s="68"/>
      <c r="F4" s="67"/>
      <c r="G4" s="67"/>
      <c r="H4" s="67"/>
      <c r="I4" s="74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76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S4" s="67"/>
    </row>
    <row r="5" spans="1:80" s="66" customFormat="1" hidden="1">
      <c r="A5" s="77" t="s">
        <v>456</v>
      </c>
      <c r="B5" s="78"/>
      <c r="C5" s="79"/>
      <c r="D5" s="67"/>
      <c r="E5" s="68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7"/>
      <c r="R5" s="67"/>
      <c r="S5" s="80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S5" s="67"/>
    </row>
    <row r="6" spans="1:80" s="66" customFormat="1" hidden="1">
      <c r="A6" s="81" t="s">
        <v>457</v>
      </c>
      <c r="B6" s="82" t="s">
        <v>458</v>
      </c>
      <c r="C6" s="83" t="s">
        <v>327</v>
      </c>
      <c r="D6" s="85" t="s">
        <v>459</v>
      </c>
      <c r="E6" s="84" t="s">
        <v>460</v>
      </c>
      <c r="F6" s="85">
        <v>35000</v>
      </c>
      <c r="G6" s="85">
        <v>36000</v>
      </c>
      <c r="H6" s="85">
        <v>37000</v>
      </c>
      <c r="I6" s="83">
        <v>38000</v>
      </c>
      <c r="J6" s="85">
        <v>39000</v>
      </c>
      <c r="K6" s="85">
        <v>40000</v>
      </c>
      <c r="L6" s="85">
        <v>41000</v>
      </c>
      <c r="M6" s="85">
        <v>42000</v>
      </c>
      <c r="N6" s="85">
        <v>43000</v>
      </c>
      <c r="O6" s="85">
        <v>44000</v>
      </c>
      <c r="P6" s="85">
        <v>45000</v>
      </c>
      <c r="Q6" s="85">
        <v>46000</v>
      </c>
      <c r="R6" s="85">
        <v>47000</v>
      </c>
      <c r="S6" s="85">
        <v>48000</v>
      </c>
      <c r="T6" s="86">
        <v>49000</v>
      </c>
      <c r="U6" s="86">
        <v>50000</v>
      </c>
      <c r="V6" s="86">
        <v>51000</v>
      </c>
      <c r="W6" s="86">
        <v>52000</v>
      </c>
      <c r="X6" s="86">
        <v>53000</v>
      </c>
      <c r="Y6" s="86">
        <v>54000</v>
      </c>
      <c r="Z6" s="86">
        <v>55000</v>
      </c>
      <c r="AA6" s="86">
        <v>56000</v>
      </c>
      <c r="AB6" s="86">
        <v>57000</v>
      </c>
      <c r="AC6" s="86">
        <v>58000</v>
      </c>
      <c r="AD6" s="86">
        <v>59000</v>
      </c>
      <c r="AE6" s="86">
        <v>60000</v>
      </c>
      <c r="AF6" s="86">
        <v>61000</v>
      </c>
      <c r="AG6" s="86">
        <v>62000</v>
      </c>
      <c r="AH6" s="86">
        <v>63000</v>
      </c>
      <c r="AI6" s="86">
        <v>64000</v>
      </c>
      <c r="AJ6" s="86">
        <v>65000</v>
      </c>
      <c r="AK6" s="86">
        <v>66000</v>
      </c>
      <c r="AL6" s="86">
        <v>67000</v>
      </c>
      <c r="AM6" s="86">
        <v>68000</v>
      </c>
      <c r="AN6" s="86">
        <v>69000</v>
      </c>
      <c r="AO6" s="86">
        <v>70000</v>
      </c>
      <c r="AP6" s="86">
        <f>AO6+1000</f>
        <v>71000</v>
      </c>
      <c r="AQ6" s="86">
        <f t="shared" ref="AQ6:BD6" si="0">AP6+1000</f>
        <v>72000</v>
      </c>
      <c r="AR6" s="86">
        <f t="shared" si="0"/>
        <v>73000</v>
      </c>
      <c r="AS6" s="86">
        <f t="shared" si="0"/>
        <v>74000</v>
      </c>
      <c r="AT6" s="86">
        <f t="shared" si="0"/>
        <v>75000</v>
      </c>
      <c r="AU6" s="86">
        <f t="shared" si="0"/>
        <v>76000</v>
      </c>
      <c r="AV6" s="86">
        <f t="shared" si="0"/>
        <v>77000</v>
      </c>
      <c r="AW6" s="86">
        <f t="shared" si="0"/>
        <v>78000</v>
      </c>
      <c r="AX6" s="86">
        <f t="shared" si="0"/>
        <v>79000</v>
      </c>
      <c r="AY6" s="86">
        <f t="shared" si="0"/>
        <v>80000</v>
      </c>
      <c r="AZ6" s="86">
        <f t="shared" si="0"/>
        <v>81000</v>
      </c>
      <c r="BA6" s="86">
        <f t="shared" si="0"/>
        <v>82000</v>
      </c>
      <c r="BB6" s="86">
        <f t="shared" si="0"/>
        <v>83000</v>
      </c>
      <c r="BC6" s="86">
        <f t="shared" si="0"/>
        <v>84000</v>
      </c>
      <c r="BD6" s="86">
        <f t="shared" si="0"/>
        <v>85000</v>
      </c>
      <c r="BE6" s="86">
        <f t="shared" ref="BE6" si="1">BD6+1000</f>
        <v>86000</v>
      </c>
      <c r="BF6" s="86">
        <f t="shared" ref="BF6" si="2">BE6+1000</f>
        <v>87000</v>
      </c>
      <c r="BG6" s="86">
        <f t="shared" ref="BG6" si="3">BF6+1000</f>
        <v>88000</v>
      </c>
      <c r="BH6" s="86">
        <f t="shared" ref="BH6" si="4">BG6+1000</f>
        <v>89000</v>
      </c>
      <c r="BI6" s="86">
        <f t="shared" ref="BI6" si="5">BH6+1000</f>
        <v>90000</v>
      </c>
      <c r="BJ6" s="86">
        <f t="shared" ref="BJ6" si="6">BI6+1000</f>
        <v>91000</v>
      </c>
      <c r="BK6" s="86">
        <f t="shared" ref="BK6" si="7">BJ6+1000</f>
        <v>92000</v>
      </c>
      <c r="BL6" s="86">
        <f t="shared" ref="BL6" si="8">BK6+1000</f>
        <v>93000</v>
      </c>
      <c r="BM6" s="86">
        <f t="shared" ref="BM6" si="9">BL6+1000</f>
        <v>94000</v>
      </c>
      <c r="BN6" s="86">
        <f t="shared" ref="BN6" si="10">BM6+1000</f>
        <v>95000</v>
      </c>
      <c r="BO6" s="86">
        <f t="shared" ref="BO6" si="11">BN6+1000</f>
        <v>96000</v>
      </c>
      <c r="BP6" s="86">
        <f t="shared" ref="BP6" si="12">BO6+1000</f>
        <v>97000</v>
      </c>
      <c r="BQ6" s="86">
        <f t="shared" ref="BQ6" si="13">BP6+1000</f>
        <v>98000</v>
      </c>
      <c r="BR6" s="86">
        <f t="shared" ref="BR6" si="14">BQ6+1000</f>
        <v>99000</v>
      </c>
      <c r="BS6" s="86">
        <f t="shared" ref="BS6" si="15">BR6+1000</f>
        <v>100000</v>
      </c>
      <c r="BT6" s="86">
        <f t="shared" ref="BT6" si="16">BS6+1000</f>
        <v>101000</v>
      </c>
      <c r="BU6" s="86">
        <f t="shared" ref="BU6" si="17">BT6+1000</f>
        <v>102000</v>
      </c>
      <c r="BV6" s="86">
        <f t="shared" ref="BV6" si="18">BU6+1000</f>
        <v>103000</v>
      </c>
      <c r="BW6" s="86">
        <f t="shared" ref="BW6" si="19">BV6+1000</f>
        <v>104000</v>
      </c>
      <c r="BX6" s="86">
        <f t="shared" ref="BX6" si="20">BW6+1000</f>
        <v>105000</v>
      </c>
      <c r="BY6" s="86">
        <f t="shared" ref="BY6" si="21">BX6+1000</f>
        <v>106000</v>
      </c>
      <c r="BZ6" s="86">
        <f t="shared" ref="BZ6" si="22">BY6+1000</f>
        <v>107000</v>
      </c>
      <c r="CA6" s="86">
        <f t="shared" ref="CA6" si="23">BZ6+1000</f>
        <v>108000</v>
      </c>
      <c r="CB6" s="86" t="s">
        <v>461</v>
      </c>
    </row>
    <row r="7" spans="1:80" s="66" customFormat="1" hidden="1">
      <c r="A7" s="87" t="s">
        <v>462</v>
      </c>
      <c r="B7" s="88" t="s">
        <v>150</v>
      </c>
      <c r="C7" s="89"/>
      <c r="D7" s="67">
        <v>2.19</v>
      </c>
      <c r="E7" s="68" t="s">
        <v>345</v>
      </c>
      <c r="F7" s="224">
        <v>184</v>
      </c>
      <c r="G7" s="224">
        <v>186.19</v>
      </c>
      <c r="H7" s="224">
        <v>188.39</v>
      </c>
      <c r="I7" s="224">
        <v>190.58</v>
      </c>
      <c r="J7" s="224">
        <v>192.77</v>
      </c>
      <c r="K7" s="224">
        <v>194.96</v>
      </c>
      <c r="L7" s="224">
        <v>197.16</v>
      </c>
      <c r="M7" s="224">
        <v>199.36</v>
      </c>
      <c r="N7" s="224">
        <v>201.54</v>
      </c>
      <c r="O7" s="224">
        <v>203.73</v>
      </c>
      <c r="P7" s="224">
        <v>205.93</v>
      </c>
      <c r="Q7" s="224">
        <v>208.13</v>
      </c>
      <c r="R7" s="224">
        <v>210.32</v>
      </c>
      <c r="S7" s="224">
        <v>212.51</v>
      </c>
      <c r="T7" s="224">
        <v>214.7</v>
      </c>
      <c r="U7" s="224">
        <v>216.89</v>
      </c>
      <c r="V7" s="224">
        <v>219.1</v>
      </c>
      <c r="W7" s="224">
        <v>221.3</v>
      </c>
      <c r="X7" s="224">
        <v>223.49</v>
      </c>
      <c r="Y7" s="224">
        <v>225.67</v>
      </c>
      <c r="Z7" s="224">
        <v>227.87</v>
      </c>
      <c r="AA7" s="224">
        <v>230.07</v>
      </c>
      <c r="AB7" s="224">
        <v>232.25</v>
      </c>
      <c r="AC7" s="224">
        <v>234.45</v>
      </c>
      <c r="AD7" s="224">
        <v>236.64</v>
      </c>
      <c r="AE7" s="224">
        <v>238.84</v>
      </c>
      <c r="AF7" s="224">
        <v>241.03</v>
      </c>
      <c r="AG7" s="224">
        <v>243.22</v>
      </c>
      <c r="AH7" s="224">
        <v>245.42</v>
      </c>
      <c r="AI7" s="224">
        <v>247.61</v>
      </c>
      <c r="AJ7" s="224">
        <v>249.8</v>
      </c>
      <c r="AK7" s="224">
        <v>252</v>
      </c>
      <c r="AL7" s="224">
        <v>254.19</v>
      </c>
      <c r="AM7" s="224">
        <v>256.38</v>
      </c>
      <c r="AN7" s="224">
        <v>258.57</v>
      </c>
      <c r="AO7" s="224">
        <v>260.77</v>
      </c>
      <c r="AP7" s="224">
        <v>262.97000000000003</v>
      </c>
      <c r="AQ7" s="224">
        <v>265.16000000000003</v>
      </c>
      <c r="AR7" s="224">
        <v>267.36</v>
      </c>
      <c r="AS7" s="224">
        <v>269.55</v>
      </c>
      <c r="AT7" s="224">
        <v>271.74</v>
      </c>
      <c r="AU7" s="224">
        <v>273.95</v>
      </c>
      <c r="AV7" s="224">
        <v>276.14</v>
      </c>
      <c r="AW7" s="224">
        <v>278.33999999999997</v>
      </c>
      <c r="AX7" s="224">
        <v>280.52999999999997</v>
      </c>
      <c r="AY7" s="224">
        <v>282.74</v>
      </c>
      <c r="AZ7" s="224">
        <v>284.93</v>
      </c>
      <c r="BA7" s="224">
        <v>287.12</v>
      </c>
      <c r="BB7" s="224">
        <v>289.32</v>
      </c>
      <c r="BC7" s="224">
        <v>291.51</v>
      </c>
      <c r="BD7" s="224">
        <v>293.70999999999998</v>
      </c>
      <c r="BE7" s="714">
        <f t="shared" ref="BE7:BQ7" si="24">ROUND(BD7+$CB7,2)</f>
        <v>295.91000000000003</v>
      </c>
      <c r="BF7" s="714">
        <f t="shared" si="24"/>
        <v>298.11</v>
      </c>
      <c r="BG7" s="714">
        <f t="shared" si="24"/>
        <v>300.31</v>
      </c>
      <c r="BH7" s="714">
        <f t="shared" si="24"/>
        <v>302.51</v>
      </c>
      <c r="BI7" s="714">
        <f t="shared" si="24"/>
        <v>304.70999999999998</v>
      </c>
      <c r="BJ7" s="714">
        <f t="shared" si="24"/>
        <v>306.91000000000003</v>
      </c>
      <c r="BK7" s="714">
        <f t="shared" si="24"/>
        <v>309.11</v>
      </c>
      <c r="BL7" s="714">
        <f t="shared" si="24"/>
        <v>311.31</v>
      </c>
      <c r="BM7" s="714">
        <f t="shared" si="24"/>
        <v>313.51</v>
      </c>
      <c r="BN7" s="714">
        <f t="shared" si="24"/>
        <v>315.70999999999998</v>
      </c>
      <c r="BO7" s="714">
        <f t="shared" si="24"/>
        <v>317.91000000000003</v>
      </c>
      <c r="BP7" s="714">
        <f t="shared" si="24"/>
        <v>320.11</v>
      </c>
      <c r="BQ7" s="714">
        <f t="shared" si="24"/>
        <v>322.31</v>
      </c>
      <c r="BR7" s="714">
        <f t="shared" ref="BR7:CA7" si="25">ROUND(BQ7+$CB7,2)</f>
        <v>324.51</v>
      </c>
      <c r="BS7" s="714">
        <f t="shared" si="25"/>
        <v>326.70999999999998</v>
      </c>
      <c r="BT7" s="714">
        <f t="shared" si="25"/>
        <v>328.91</v>
      </c>
      <c r="BU7" s="714">
        <f t="shared" si="25"/>
        <v>331.11</v>
      </c>
      <c r="BV7" s="714">
        <f t="shared" si="25"/>
        <v>333.31</v>
      </c>
      <c r="BW7" s="714">
        <f t="shared" si="25"/>
        <v>335.51</v>
      </c>
      <c r="BX7" s="714">
        <f t="shared" si="25"/>
        <v>337.71</v>
      </c>
      <c r="BY7" s="714">
        <f t="shared" si="25"/>
        <v>339.91</v>
      </c>
      <c r="BZ7" s="714">
        <f t="shared" si="25"/>
        <v>342.11</v>
      </c>
      <c r="CA7" s="714">
        <f t="shared" si="25"/>
        <v>344.31</v>
      </c>
      <c r="CB7" s="224">
        <f t="shared" ref="CB7:CB36" si="26">ROUND(BD7-BC7,2)</f>
        <v>2.2000000000000002</v>
      </c>
    </row>
    <row r="8" spans="1:80" s="66" customFormat="1" hidden="1">
      <c r="A8" s="87" t="s">
        <v>463</v>
      </c>
      <c r="B8" s="88" t="s">
        <v>250</v>
      </c>
      <c r="C8" s="89"/>
      <c r="D8" s="67">
        <v>2.2000000000000002</v>
      </c>
      <c r="E8" s="68" t="s">
        <v>345</v>
      </c>
      <c r="F8" s="224">
        <v>180.14</v>
      </c>
      <c r="G8" s="224">
        <v>182.34</v>
      </c>
      <c r="H8" s="224">
        <v>184.52</v>
      </c>
      <c r="I8" s="224">
        <v>186.72</v>
      </c>
      <c r="J8" s="224">
        <v>188.91</v>
      </c>
      <c r="K8" s="224">
        <v>191.11</v>
      </c>
      <c r="L8" s="224">
        <v>193.3</v>
      </c>
      <c r="M8" s="224">
        <v>195.49</v>
      </c>
      <c r="N8" s="224">
        <v>197.69</v>
      </c>
      <c r="O8" s="224">
        <v>199.88</v>
      </c>
      <c r="P8" s="224">
        <v>202.07</v>
      </c>
      <c r="Q8" s="224">
        <v>204.27</v>
      </c>
      <c r="R8" s="224">
        <v>206.46</v>
      </c>
      <c r="S8" s="224">
        <v>208.65</v>
      </c>
      <c r="T8" s="224">
        <v>210.84</v>
      </c>
      <c r="U8" s="224">
        <v>213.03</v>
      </c>
      <c r="V8" s="224">
        <v>215.24</v>
      </c>
      <c r="W8" s="224">
        <v>217.42</v>
      </c>
      <c r="X8" s="224">
        <v>219.62</v>
      </c>
      <c r="Y8" s="224">
        <v>221.81</v>
      </c>
      <c r="Z8" s="224">
        <v>223.99</v>
      </c>
      <c r="AA8" s="224">
        <v>226.2</v>
      </c>
      <c r="AB8" s="224">
        <v>228.39</v>
      </c>
      <c r="AC8" s="224">
        <v>230.59</v>
      </c>
      <c r="AD8" s="224">
        <v>232.77</v>
      </c>
      <c r="AE8" s="224">
        <v>234.96</v>
      </c>
      <c r="AF8" s="224">
        <v>237.17</v>
      </c>
      <c r="AG8" s="224">
        <v>239.35</v>
      </c>
      <c r="AH8" s="224">
        <v>241.55</v>
      </c>
      <c r="AI8" s="224">
        <v>243.74</v>
      </c>
      <c r="AJ8" s="224">
        <v>245.93</v>
      </c>
      <c r="AK8" s="224">
        <v>248.13</v>
      </c>
      <c r="AL8" s="224">
        <v>250.32</v>
      </c>
      <c r="AM8" s="224">
        <v>252.51</v>
      </c>
      <c r="AN8" s="224">
        <v>254.71</v>
      </c>
      <c r="AO8" s="224">
        <v>256.89</v>
      </c>
      <c r="AP8" s="224">
        <v>259.08999999999997</v>
      </c>
      <c r="AQ8" s="224">
        <v>261.27</v>
      </c>
      <c r="AR8" s="224">
        <v>263.45</v>
      </c>
      <c r="AS8" s="224">
        <v>265.64</v>
      </c>
      <c r="AT8" s="224">
        <v>267.82</v>
      </c>
      <c r="AU8" s="224">
        <v>270.01</v>
      </c>
      <c r="AV8" s="224">
        <v>272.2</v>
      </c>
      <c r="AW8" s="224">
        <v>274.38</v>
      </c>
      <c r="AX8" s="224">
        <v>276.57</v>
      </c>
      <c r="AY8" s="224">
        <v>278.75</v>
      </c>
      <c r="AZ8" s="224">
        <v>280.93</v>
      </c>
      <c r="BA8" s="224">
        <v>283.13</v>
      </c>
      <c r="BB8" s="224">
        <v>285.31</v>
      </c>
      <c r="BC8" s="224">
        <v>287.49</v>
      </c>
      <c r="BD8" s="224">
        <v>289.68</v>
      </c>
      <c r="BE8" s="714">
        <f t="shared" ref="BE8:BQ8" si="27">ROUND(BD8+$CB8,2)</f>
        <v>291.87</v>
      </c>
      <c r="BF8" s="714">
        <f t="shared" si="27"/>
        <v>294.06</v>
      </c>
      <c r="BG8" s="714">
        <f t="shared" si="27"/>
        <v>296.25</v>
      </c>
      <c r="BH8" s="714">
        <f t="shared" si="27"/>
        <v>298.44</v>
      </c>
      <c r="BI8" s="714">
        <f t="shared" si="27"/>
        <v>300.63</v>
      </c>
      <c r="BJ8" s="714">
        <f t="shared" si="27"/>
        <v>302.82</v>
      </c>
      <c r="BK8" s="714">
        <f t="shared" si="27"/>
        <v>305.01</v>
      </c>
      <c r="BL8" s="714">
        <f t="shared" si="27"/>
        <v>307.2</v>
      </c>
      <c r="BM8" s="714">
        <f t="shared" si="27"/>
        <v>309.39</v>
      </c>
      <c r="BN8" s="714">
        <f t="shared" si="27"/>
        <v>311.58</v>
      </c>
      <c r="BO8" s="714">
        <f t="shared" si="27"/>
        <v>313.77</v>
      </c>
      <c r="BP8" s="714">
        <f t="shared" si="27"/>
        <v>315.95999999999998</v>
      </c>
      <c r="BQ8" s="714">
        <f t="shared" si="27"/>
        <v>318.14999999999998</v>
      </c>
      <c r="BR8" s="714">
        <f t="shared" ref="BR8:CA8" si="28">ROUND(BQ8+$CB8,2)</f>
        <v>320.33999999999997</v>
      </c>
      <c r="BS8" s="714">
        <f t="shared" si="28"/>
        <v>322.52999999999997</v>
      </c>
      <c r="BT8" s="714">
        <f t="shared" si="28"/>
        <v>324.72000000000003</v>
      </c>
      <c r="BU8" s="714">
        <f t="shared" si="28"/>
        <v>326.91000000000003</v>
      </c>
      <c r="BV8" s="714">
        <f t="shared" si="28"/>
        <v>329.1</v>
      </c>
      <c r="BW8" s="714">
        <f t="shared" si="28"/>
        <v>331.29</v>
      </c>
      <c r="BX8" s="714">
        <f t="shared" si="28"/>
        <v>333.48</v>
      </c>
      <c r="BY8" s="714">
        <f t="shared" si="28"/>
        <v>335.67</v>
      </c>
      <c r="BZ8" s="714">
        <f t="shared" si="28"/>
        <v>337.86</v>
      </c>
      <c r="CA8" s="714">
        <f t="shared" si="28"/>
        <v>340.05</v>
      </c>
      <c r="CB8" s="224">
        <f t="shared" si="26"/>
        <v>2.19</v>
      </c>
    </row>
    <row r="9" spans="1:80" s="66" customFormat="1" hidden="1">
      <c r="A9" s="87" t="s">
        <v>464</v>
      </c>
      <c r="B9" s="88" t="s">
        <v>150</v>
      </c>
      <c r="C9" s="89"/>
      <c r="D9" s="67">
        <v>1.71</v>
      </c>
      <c r="E9" s="68" t="s">
        <v>345</v>
      </c>
      <c r="F9" s="224">
        <v>109.66</v>
      </c>
      <c r="G9" s="224">
        <v>111.37</v>
      </c>
      <c r="H9" s="224">
        <v>113.07</v>
      </c>
      <c r="I9" s="224">
        <v>114.78</v>
      </c>
      <c r="J9" s="224">
        <v>116.48</v>
      </c>
      <c r="K9" s="224">
        <v>118.18</v>
      </c>
      <c r="L9" s="224">
        <v>119.89</v>
      </c>
      <c r="M9" s="224">
        <v>121.6</v>
      </c>
      <c r="N9" s="224">
        <v>123.31</v>
      </c>
      <c r="O9" s="224">
        <v>125</v>
      </c>
      <c r="P9" s="224">
        <v>126.71</v>
      </c>
      <c r="Q9" s="224">
        <v>128.41999999999999</v>
      </c>
      <c r="R9" s="224">
        <v>130.12</v>
      </c>
      <c r="S9" s="224">
        <v>131.83000000000001</v>
      </c>
      <c r="T9" s="224">
        <v>133.54</v>
      </c>
      <c r="U9" s="224">
        <v>135.22999999999999</v>
      </c>
      <c r="V9" s="224">
        <v>136.94</v>
      </c>
      <c r="W9" s="224">
        <v>138.65</v>
      </c>
      <c r="X9" s="224">
        <v>140.35</v>
      </c>
      <c r="Y9" s="224">
        <v>142.06</v>
      </c>
      <c r="Z9" s="224">
        <v>143.77000000000001</v>
      </c>
      <c r="AA9" s="224">
        <v>145.46</v>
      </c>
      <c r="AB9" s="224">
        <v>147.16999999999999</v>
      </c>
      <c r="AC9" s="224">
        <v>148.88</v>
      </c>
      <c r="AD9" s="224">
        <v>150.58000000000001</v>
      </c>
      <c r="AE9" s="224">
        <v>152.29</v>
      </c>
      <c r="AF9" s="224">
        <v>153.99</v>
      </c>
      <c r="AG9" s="224">
        <v>155.68</v>
      </c>
      <c r="AH9" s="224">
        <v>157.38999999999999</v>
      </c>
      <c r="AI9" s="224">
        <v>159.1</v>
      </c>
      <c r="AJ9" s="224">
        <v>160.80000000000001</v>
      </c>
      <c r="AK9" s="224">
        <v>162.51</v>
      </c>
      <c r="AL9" s="224">
        <v>164.21</v>
      </c>
      <c r="AM9" s="224">
        <v>165.92</v>
      </c>
      <c r="AN9" s="224">
        <v>167.62</v>
      </c>
      <c r="AO9" s="224">
        <v>169.33</v>
      </c>
      <c r="AP9" s="224">
        <v>171.04</v>
      </c>
      <c r="AQ9" s="224">
        <v>172.74</v>
      </c>
      <c r="AR9" s="224">
        <v>174.45</v>
      </c>
      <c r="AS9" s="224">
        <v>176.16</v>
      </c>
      <c r="AT9" s="224">
        <v>177.87</v>
      </c>
      <c r="AU9" s="224">
        <v>179.58</v>
      </c>
      <c r="AV9" s="224">
        <v>181.29</v>
      </c>
      <c r="AW9" s="224">
        <v>182.99</v>
      </c>
      <c r="AX9" s="224">
        <v>184.7</v>
      </c>
      <c r="AY9" s="224">
        <v>186.41</v>
      </c>
      <c r="AZ9" s="224">
        <v>188.12</v>
      </c>
      <c r="BA9" s="224">
        <v>189.83</v>
      </c>
      <c r="BB9" s="224">
        <v>191.54</v>
      </c>
      <c r="BC9" s="224">
        <v>193.24</v>
      </c>
      <c r="BD9" s="224">
        <v>194.95</v>
      </c>
      <c r="BE9" s="714">
        <f t="shared" ref="BE9:BQ9" si="29">ROUND(BD9+$CB9,2)</f>
        <v>196.66</v>
      </c>
      <c r="BF9" s="714">
        <f t="shared" si="29"/>
        <v>198.37</v>
      </c>
      <c r="BG9" s="714">
        <f t="shared" si="29"/>
        <v>200.08</v>
      </c>
      <c r="BH9" s="714">
        <f t="shared" si="29"/>
        <v>201.79</v>
      </c>
      <c r="BI9" s="714">
        <f t="shared" si="29"/>
        <v>203.5</v>
      </c>
      <c r="BJ9" s="714">
        <f t="shared" si="29"/>
        <v>205.21</v>
      </c>
      <c r="BK9" s="714">
        <f t="shared" si="29"/>
        <v>206.92</v>
      </c>
      <c r="BL9" s="714">
        <f t="shared" si="29"/>
        <v>208.63</v>
      </c>
      <c r="BM9" s="714">
        <f t="shared" si="29"/>
        <v>210.34</v>
      </c>
      <c r="BN9" s="714">
        <f t="shared" si="29"/>
        <v>212.05</v>
      </c>
      <c r="BO9" s="714">
        <f t="shared" si="29"/>
        <v>213.76</v>
      </c>
      <c r="BP9" s="714">
        <f t="shared" si="29"/>
        <v>215.47</v>
      </c>
      <c r="BQ9" s="714">
        <f t="shared" si="29"/>
        <v>217.18</v>
      </c>
      <c r="BR9" s="714">
        <f t="shared" ref="BR9:CA9" si="30">ROUND(BQ9+$CB9,2)</f>
        <v>218.89</v>
      </c>
      <c r="BS9" s="714">
        <f t="shared" si="30"/>
        <v>220.6</v>
      </c>
      <c r="BT9" s="714">
        <f t="shared" si="30"/>
        <v>222.31</v>
      </c>
      <c r="BU9" s="714">
        <f t="shared" si="30"/>
        <v>224.02</v>
      </c>
      <c r="BV9" s="714">
        <f t="shared" si="30"/>
        <v>225.73</v>
      </c>
      <c r="BW9" s="714">
        <f t="shared" si="30"/>
        <v>227.44</v>
      </c>
      <c r="BX9" s="714">
        <f t="shared" si="30"/>
        <v>229.15</v>
      </c>
      <c r="BY9" s="714">
        <f t="shared" si="30"/>
        <v>230.86</v>
      </c>
      <c r="BZ9" s="714">
        <f t="shared" si="30"/>
        <v>232.57</v>
      </c>
      <c r="CA9" s="714">
        <f t="shared" si="30"/>
        <v>234.28</v>
      </c>
      <c r="CB9" s="224">
        <f t="shared" si="26"/>
        <v>1.71</v>
      </c>
    </row>
    <row r="10" spans="1:80" s="66" customFormat="1" hidden="1">
      <c r="A10" s="87" t="s">
        <v>465</v>
      </c>
      <c r="B10" s="88" t="s">
        <v>150</v>
      </c>
      <c r="C10" s="89">
        <v>13.29</v>
      </c>
      <c r="D10" s="67">
        <v>2</v>
      </c>
      <c r="E10" s="68" t="s">
        <v>345</v>
      </c>
      <c r="F10" s="224">
        <v>124.26</v>
      </c>
      <c r="G10" s="224">
        <v>126.26</v>
      </c>
      <c r="H10" s="224">
        <v>128.25</v>
      </c>
      <c r="I10" s="224">
        <v>130.22999999999999</v>
      </c>
      <c r="J10" s="224">
        <v>132.22</v>
      </c>
      <c r="K10" s="224">
        <v>134.21</v>
      </c>
      <c r="L10" s="224">
        <v>136.19999999999999</v>
      </c>
      <c r="M10" s="224">
        <v>138.18</v>
      </c>
      <c r="N10" s="224">
        <v>140.16999999999999</v>
      </c>
      <c r="O10" s="224">
        <v>142.16</v>
      </c>
      <c r="P10" s="224">
        <v>144.16</v>
      </c>
      <c r="Q10" s="224">
        <v>146.13999999999999</v>
      </c>
      <c r="R10" s="224">
        <v>148.13</v>
      </c>
      <c r="S10" s="224">
        <v>150.12</v>
      </c>
      <c r="T10" s="224">
        <v>152.11000000000001</v>
      </c>
      <c r="U10" s="224">
        <v>154.1</v>
      </c>
      <c r="V10" s="224">
        <v>156.09</v>
      </c>
      <c r="W10" s="224">
        <v>158.07</v>
      </c>
      <c r="X10" s="224">
        <v>160.06</v>
      </c>
      <c r="Y10" s="224">
        <v>162.05000000000001</v>
      </c>
      <c r="Z10" s="224">
        <v>164.04</v>
      </c>
      <c r="AA10" s="224">
        <v>166.04</v>
      </c>
      <c r="AB10" s="224">
        <v>168.01</v>
      </c>
      <c r="AC10" s="224">
        <v>170.01</v>
      </c>
      <c r="AD10" s="224">
        <v>171.99</v>
      </c>
      <c r="AE10" s="224">
        <v>173.99</v>
      </c>
      <c r="AF10" s="224">
        <v>175.98</v>
      </c>
      <c r="AG10" s="224">
        <v>177.96</v>
      </c>
      <c r="AH10" s="224">
        <v>179.95</v>
      </c>
      <c r="AI10" s="224">
        <v>181.95</v>
      </c>
      <c r="AJ10" s="224">
        <v>183.93</v>
      </c>
      <c r="AK10" s="224">
        <v>185.92</v>
      </c>
      <c r="AL10" s="224">
        <v>187.9</v>
      </c>
      <c r="AM10" s="224">
        <v>189.89</v>
      </c>
      <c r="AN10" s="224">
        <v>191.89</v>
      </c>
      <c r="AO10" s="224">
        <v>193.87</v>
      </c>
      <c r="AP10" s="224">
        <v>195.85</v>
      </c>
      <c r="AQ10" s="224">
        <v>197.83</v>
      </c>
      <c r="AR10" s="224">
        <v>199.82</v>
      </c>
      <c r="AS10" s="224">
        <v>201.81</v>
      </c>
      <c r="AT10" s="224">
        <v>203.79</v>
      </c>
      <c r="AU10" s="224">
        <v>205.77</v>
      </c>
      <c r="AV10" s="224">
        <v>207.75</v>
      </c>
      <c r="AW10" s="224">
        <v>209.74</v>
      </c>
      <c r="AX10" s="224">
        <v>211.73</v>
      </c>
      <c r="AY10" s="224">
        <v>213.7</v>
      </c>
      <c r="AZ10" s="224">
        <v>215.69</v>
      </c>
      <c r="BA10" s="224">
        <v>217.68</v>
      </c>
      <c r="BB10" s="224">
        <v>219.66</v>
      </c>
      <c r="BC10" s="224">
        <v>221.65</v>
      </c>
      <c r="BD10" s="224">
        <v>223.62</v>
      </c>
      <c r="BE10" s="714">
        <f t="shared" ref="BE10:BQ10" si="31">ROUND(BD10+$CB10,2)</f>
        <v>225.59</v>
      </c>
      <c r="BF10" s="714">
        <f t="shared" si="31"/>
        <v>227.56</v>
      </c>
      <c r="BG10" s="714">
        <f t="shared" si="31"/>
        <v>229.53</v>
      </c>
      <c r="BH10" s="714">
        <f t="shared" si="31"/>
        <v>231.5</v>
      </c>
      <c r="BI10" s="714">
        <f t="shared" si="31"/>
        <v>233.47</v>
      </c>
      <c r="BJ10" s="714">
        <f t="shared" si="31"/>
        <v>235.44</v>
      </c>
      <c r="BK10" s="714">
        <f t="shared" si="31"/>
        <v>237.41</v>
      </c>
      <c r="BL10" s="714">
        <f t="shared" si="31"/>
        <v>239.38</v>
      </c>
      <c r="BM10" s="714">
        <f t="shared" si="31"/>
        <v>241.35</v>
      </c>
      <c r="BN10" s="714">
        <f t="shared" si="31"/>
        <v>243.32</v>
      </c>
      <c r="BO10" s="714">
        <f t="shared" si="31"/>
        <v>245.29</v>
      </c>
      <c r="BP10" s="714">
        <f t="shared" si="31"/>
        <v>247.26</v>
      </c>
      <c r="BQ10" s="714">
        <f t="shared" si="31"/>
        <v>249.23</v>
      </c>
      <c r="BR10" s="714">
        <f t="shared" ref="BR10:CA10" si="32">ROUND(BQ10+$CB10,2)</f>
        <v>251.2</v>
      </c>
      <c r="BS10" s="714">
        <f t="shared" si="32"/>
        <v>253.17</v>
      </c>
      <c r="BT10" s="714">
        <f t="shared" si="32"/>
        <v>255.14</v>
      </c>
      <c r="BU10" s="714">
        <f t="shared" si="32"/>
        <v>257.11</v>
      </c>
      <c r="BV10" s="714">
        <f t="shared" si="32"/>
        <v>259.08</v>
      </c>
      <c r="BW10" s="714">
        <f t="shared" si="32"/>
        <v>261.05</v>
      </c>
      <c r="BX10" s="714">
        <f t="shared" si="32"/>
        <v>263.02</v>
      </c>
      <c r="BY10" s="714">
        <f t="shared" si="32"/>
        <v>264.99</v>
      </c>
      <c r="BZ10" s="714">
        <f t="shared" si="32"/>
        <v>266.95999999999998</v>
      </c>
      <c r="CA10" s="714">
        <f t="shared" si="32"/>
        <v>268.93</v>
      </c>
      <c r="CB10" s="224">
        <f t="shared" si="26"/>
        <v>1.97</v>
      </c>
    </row>
    <row r="11" spans="1:80" s="66" customFormat="1" hidden="1">
      <c r="A11" s="87" t="s">
        <v>466</v>
      </c>
      <c r="B11" s="88" t="s">
        <v>27</v>
      </c>
      <c r="C11" s="89">
        <v>13.29</v>
      </c>
      <c r="D11" s="67">
        <v>2</v>
      </c>
      <c r="E11" s="68" t="s">
        <v>345</v>
      </c>
      <c r="F11" s="224">
        <v>124.26</v>
      </c>
      <c r="G11" s="224">
        <v>126.26</v>
      </c>
      <c r="H11" s="224">
        <v>128.25</v>
      </c>
      <c r="I11" s="224">
        <v>130.22999999999999</v>
      </c>
      <c r="J11" s="224">
        <v>132.22</v>
      </c>
      <c r="K11" s="224">
        <v>134.21</v>
      </c>
      <c r="L11" s="224">
        <v>136.19999999999999</v>
      </c>
      <c r="M11" s="224">
        <v>138.18</v>
      </c>
      <c r="N11" s="224">
        <v>140.16999999999999</v>
      </c>
      <c r="O11" s="224">
        <v>142.16</v>
      </c>
      <c r="P11" s="224">
        <v>144.16</v>
      </c>
      <c r="Q11" s="224">
        <v>146.13999999999999</v>
      </c>
      <c r="R11" s="224">
        <v>148.13</v>
      </c>
      <c r="S11" s="224">
        <v>150.12</v>
      </c>
      <c r="T11" s="224">
        <v>152.11000000000001</v>
      </c>
      <c r="U11" s="224">
        <v>154.1</v>
      </c>
      <c r="V11" s="224">
        <v>156.09</v>
      </c>
      <c r="W11" s="224">
        <v>158.07</v>
      </c>
      <c r="X11" s="224">
        <v>160.06</v>
      </c>
      <c r="Y11" s="224">
        <v>162.05000000000001</v>
      </c>
      <c r="Z11" s="224">
        <v>164.04</v>
      </c>
      <c r="AA11" s="224">
        <v>166.04</v>
      </c>
      <c r="AB11" s="224">
        <v>168.01</v>
      </c>
      <c r="AC11" s="224">
        <v>170.01</v>
      </c>
      <c r="AD11" s="224">
        <v>171.99</v>
      </c>
      <c r="AE11" s="224">
        <v>173.99</v>
      </c>
      <c r="AF11" s="224">
        <v>175.98</v>
      </c>
      <c r="AG11" s="224">
        <v>177.96</v>
      </c>
      <c r="AH11" s="224">
        <v>179.95</v>
      </c>
      <c r="AI11" s="224">
        <v>181.95</v>
      </c>
      <c r="AJ11" s="224">
        <v>183.93</v>
      </c>
      <c r="AK11" s="224">
        <v>185.92</v>
      </c>
      <c r="AL11" s="224">
        <v>187.9</v>
      </c>
      <c r="AM11" s="224">
        <v>189.89</v>
      </c>
      <c r="AN11" s="224">
        <v>191.89</v>
      </c>
      <c r="AO11" s="224">
        <v>193.87</v>
      </c>
      <c r="AP11" s="224">
        <v>195.85</v>
      </c>
      <c r="AQ11" s="224">
        <v>197.83</v>
      </c>
      <c r="AR11" s="224">
        <v>199.82</v>
      </c>
      <c r="AS11" s="224">
        <v>201.81</v>
      </c>
      <c r="AT11" s="224">
        <v>203.79</v>
      </c>
      <c r="AU11" s="224">
        <v>205.77</v>
      </c>
      <c r="AV11" s="224">
        <v>207.75</v>
      </c>
      <c r="AW11" s="224">
        <v>209.74</v>
      </c>
      <c r="AX11" s="224">
        <v>211.73</v>
      </c>
      <c r="AY11" s="224">
        <v>213.7</v>
      </c>
      <c r="AZ11" s="224">
        <v>215.69</v>
      </c>
      <c r="BA11" s="224">
        <v>217.68</v>
      </c>
      <c r="BB11" s="224">
        <v>219.66</v>
      </c>
      <c r="BC11" s="224">
        <v>221.65</v>
      </c>
      <c r="BD11" s="224">
        <v>223.62</v>
      </c>
      <c r="BE11" s="714">
        <f t="shared" ref="BE11:BQ11" si="33">ROUND(BD11+$CB11,2)</f>
        <v>225.59</v>
      </c>
      <c r="BF11" s="714">
        <f t="shared" si="33"/>
        <v>227.56</v>
      </c>
      <c r="BG11" s="714">
        <f t="shared" si="33"/>
        <v>229.53</v>
      </c>
      <c r="BH11" s="714">
        <f t="shared" si="33"/>
        <v>231.5</v>
      </c>
      <c r="BI11" s="714">
        <f t="shared" si="33"/>
        <v>233.47</v>
      </c>
      <c r="BJ11" s="714">
        <f t="shared" si="33"/>
        <v>235.44</v>
      </c>
      <c r="BK11" s="714">
        <f t="shared" si="33"/>
        <v>237.41</v>
      </c>
      <c r="BL11" s="714">
        <f t="shared" si="33"/>
        <v>239.38</v>
      </c>
      <c r="BM11" s="714">
        <f t="shared" si="33"/>
        <v>241.35</v>
      </c>
      <c r="BN11" s="714">
        <f t="shared" si="33"/>
        <v>243.32</v>
      </c>
      <c r="BO11" s="714">
        <f t="shared" si="33"/>
        <v>245.29</v>
      </c>
      <c r="BP11" s="714">
        <f t="shared" si="33"/>
        <v>247.26</v>
      </c>
      <c r="BQ11" s="714">
        <f t="shared" si="33"/>
        <v>249.23</v>
      </c>
      <c r="BR11" s="714">
        <f t="shared" ref="BR11:CA11" si="34">ROUND(BQ11+$CB11,2)</f>
        <v>251.2</v>
      </c>
      <c r="BS11" s="714">
        <f t="shared" si="34"/>
        <v>253.17</v>
      </c>
      <c r="BT11" s="714">
        <f t="shared" si="34"/>
        <v>255.14</v>
      </c>
      <c r="BU11" s="714">
        <f t="shared" si="34"/>
        <v>257.11</v>
      </c>
      <c r="BV11" s="714">
        <f t="shared" si="34"/>
        <v>259.08</v>
      </c>
      <c r="BW11" s="714">
        <f t="shared" si="34"/>
        <v>261.05</v>
      </c>
      <c r="BX11" s="714">
        <f t="shared" si="34"/>
        <v>263.02</v>
      </c>
      <c r="BY11" s="714">
        <f t="shared" si="34"/>
        <v>264.99</v>
      </c>
      <c r="BZ11" s="714">
        <f t="shared" si="34"/>
        <v>266.95999999999998</v>
      </c>
      <c r="CA11" s="714">
        <f t="shared" si="34"/>
        <v>268.93</v>
      </c>
      <c r="CB11" s="224">
        <f t="shared" si="26"/>
        <v>1.97</v>
      </c>
    </row>
    <row r="12" spans="1:80" s="66" customFormat="1" hidden="1">
      <c r="A12" s="87" t="s">
        <v>467</v>
      </c>
      <c r="B12" s="88" t="s">
        <v>250</v>
      </c>
      <c r="C12" s="89"/>
      <c r="D12" s="67">
        <v>1.71</v>
      </c>
      <c r="E12" s="68" t="s">
        <v>345</v>
      </c>
      <c r="F12" s="224">
        <v>100.57</v>
      </c>
      <c r="G12" s="224">
        <v>102.28</v>
      </c>
      <c r="H12" s="224">
        <v>103.98</v>
      </c>
      <c r="I12" s="224">
        <v>105.69</v>
      </c>
      <c r="J12" s="224">
        <v>107.4</v>
      </c>
      <c r="K12" s="224">
        <v>109.11</v>
      </c>
      <c r="L12" s="224">
        <v>110.8</v>
      </c>
      <c r="M12" s="224">
        <v>112.51</v>
      </c>
      <c r="N12" s="224">
        <v>114.22</v>
      </c>
      <c r="O12" s="224">
        <v>115.92</v>
      </c>
      <c r="P12" s="224">
        <v>117.63</v>
      </c>
      <c r="Q12" s="224">
        <v>119.33</v>
      </c>
      <c r="R12" s="224">
        <v>121.03</v>
      </c>
      <c r="S12" s="224">
        <v>122.73</v>
      </c>
      <c r="T12" s="224">
        <v>124.44</v>
      </c>
      <c r="U12" s="224">
        <v>126.14</v>
      </c>
      <c r="V12" s="224">
        <v>127.85</v>
      </c>
      <c r="W12" s="224">
        <v>129.55000000000001</v>
      </c>
      <c r="X12" s="224">
        <v>131.25</v>
      </c>
      <c r="Y12" s="224">
        <v>132.96</v>
      </c>
      <c r="Z12" s="224">
        <v>134.66999999999999</v>
      </c>
      <c r="AA12" s="224">
        <v>136.37</v>
      </c>
      <c r="AB12" s="224">
        <v>138.07</v>
      </c>
      <c r="AC12" s="224">
        <v>139.78</v>
      </c>
      <c r="AD12" s="224">
        <v>141.47999999999999</v>
      </c>
      <c r="AE12" s="224">
        <v>143.19</v>
      </c>
      <c r="AF12" s="224">
        <v>144.9</v>
      </c>
      <c r="AG12" s="224">
        <v>146.6</v>
      </c>
      <c r="AH12" s="224">
        <v>148.30000000000001</v>
      </c>
      <c r="AI12" s="224">
        <v>150.01</v>
      </c>
      <c r="AJ12" s="224">
        <v>151.72</v>
      </c>
      <c r="AK12" s="224">
        <v>153.41999999999999</v>
      </c>
      <c r="AL12" s="224">
        <v>155.13</v>
      </c>
      <c r="AM12" s="224">
        <v>156.83000000000001</v>
      </c>
      <c r="AN12" s="224">
        <v>158.53</v>
      </c>
      <c r="AO12" s="224">
        <v>160.24</v>
      </c>
      <c r="AP12" s="224">
        <v>161.94999999999999</v>
      </c>
      <c r="AQ12" s="224">
        <v>163.66</v>
      </c>
      <c r="AR12" s="224">
        <v>165.37</v>
      </c>
      <c r="AS12" s="224">
        <v>167.07</v>
      </c>
      <c r="AT12" s="224">
        <v>168.78</v>
      </c>
      <c r="AU12" s="224">
        <v>170.49</v>
      </c>
      <c r="AV12" s="224">
        <v>172.2</v>
      </c>
      <c r="AW12" s="224">
        <v>173.91</v>
      </c>
      <c r="AX12" s="224">
        <v>175.62</v>
      </c>
      <c r="AY12" s="224">
        <v>177.31</v>
      </c>
      <c r="AZ12" s="224">
        <v>179.02</v>
      </c>
      <c r="BA12" s="224">
        <v>180.73</v>
      </c>
      <c r="BB12" s="224">
        <v>182.44</v>
      </c>
      <c r="BC12" s="224">
        <v>184.15</v>
      </c>
      <c r="BD12" s="224">
        <v>185.86</v>
      </c>
      <c r="BE12" s="714">
        <f t="shared" ref="BE12:BQ12" si="35">ROUND(BD12+$CB12,2)</f>
        <v>187.57</v>
      </c>
      <c r="BF12" s="714">
        <f t="shared" si="35"/>
        <v>189.28</v>
      </c>
      <c r="BG12" s="714">
        <f t="shared" si="35"/>
        <v>190.99</v>
      </c>
      <c r="BH12" s="714">
        <f t="shared" si="35"/>
        <v>192.7</v>
      </c>
      <c r="BI12" s="714">
        <f t="shared" si="35"/>
        <v>194.41</v>
      </c>
      <c r="BJ12" s="714">
        <f t="shared" si="35"/>
        <v>196.12</v>
      </c>
      <c r="BK12" s="714">
        <f t="shared" si="35"/>
        <v>197.83</v>
      </c>
      <c r="BL12" s="714">
        <f t="shared" si="35"/>
        <v>199.54</v>
      </c>
      <c r="BM12" s="714">
        <f t="shared" si="35"/>
        <v>201.25</v>
      </c>
      <c r="BN12" s="714">
        <f t="shared" si="35"/>
        <v>202.96</v>
      </c>
      <c r="BO12" s="714">
        <f t="shared" si="35"/>
        <v>204.67</v>
      </c>
      <c r="BP12" s="714">
        <f t="shared" si="35"/>
        <v>206.38</v>
      </c>
      <c r="BQ12" s="714">
        <f t="shared" si="35"/>
        <v>208.09</v>
      </c>
      <c r="BR12" s="714">
        <f t="shared" ref="BR12:CA12" si="36">ROUND(BQ12+$CB12,2)</f>
        <v>209.8</v>
      </c>
      <c r="BS12" s="714">
        <f t="shared" si="36"/>
        <v>211.51</v>
      </c>
      <c r="BT12" s="714">
        <f t="shared" si="36"/>
        <v>213.22</v>
      </c>
      <c r="BU12" s="714">
        <f t="shared" si="36"/>
        <v>214.93</v>
      </c>
      <c r="BV12" s="714">
        <f t="shared" si="36"/>
        <v>216.64</v>
      </c>
      <c r="BW12" s="714">
        <f t="shared" si="36"/>
        <v>218.35</v>
      </c>
      <c r="BX12" s="714">
        <f t="shared" si="36"/>
        <v>220.06</v>
      </c>
      <c r="BY12" s="714">
        <f t="shared" si="36"/>
        <v>221.77</v>
      </c>
      <c r="BZ12" s="714">
        <f t="shared" si="36"/>
        <v>223.48</v>
      </c>
      <c r="CA12" s="714">
        <f t="shared" si="36"/>
        <v>225.19</v>
      </c>
      <c r="CB12" s="224">
        <f t="shared" si="26"/>
        <v>1.71</v>
      </c>
    </row>
    <row r="13" spans="1:80" s="66" customFormat="1" hidden="1">
      <c r="A13" s="87" t="s">
        <v>468</v>
      </c>
      <c r="B13" s="88" t="s">
        <v>250</v>
      </c>
      <c r="C13" s="89">
        <v>13.29</v>
      </c>
      <c r="D13" s="67">
        <v>1.99</v>
      </c>
      <c r="E13" s="68" t="s">
        <v>345</v>
      </c>
      <c r="F13" s="224">
        <v>115.48</v>
      </c>
      <c r="G13" s="224">
        <v>117.47</v>
      </c>
      <c r="H13" s="224">
        <v>119.46</v>
      </c>
      <c r="I13" s="224">
        <v>121.44</v>
      </c>
      <c r="J13" s="224">
        <v>123.44</v>
      </c>
      <c r="K13" s="224">
        <v>125.42</v>
      </c>
      <c r="L13" s="224">
        <v>127.41</v>
      </c>
      <c r="M13" s="224">
        <v>129.4</v>
      </c>
      <c r="N13" s="224">
        <v>131.4</v>
      </c>
      <c r="O13" s="224">
        <v>133.37</v>
      </c>
      <c r="P13" s="224">
        <v>135.37</v>
      </c>
      <c r="Q13" s="224">
        <v>137.35</v>
      </c>
      <c r="R13" s="224">
        <v>139.35</v>
      </c>
      <c r="S13" s="224">
        <v>141.34</v>
      </c>
      <c r="T13" s="224">
        <v>143.31</v>
      </c>
      <c r="U13" s="224">
        <v>145.31</v>
      </c>
      <c r="V13" s="224">
        <v>147.30000000000001</v>
      </c>
      <c r="W13" s="224">
        <v>149.29</v>
      </c>
      <c r="X13" s="224">
        <v>151.28</v>
      </c>
      <c r="Y13" s="224">
        <v>153.26</v>
      </c>
      <c r="Z13" s="224">
        <v>155.25</v>
      </c>
      <c r="AA13" s="224">
        <v>157.25</v>
      </c>
      <c r="AB13" s="224">
        <v>159.22999999999999</v>
      </c>
      <c r="AC13" s="224">
        <v>161.22999999999999</v>
      </c>
      <c r="AD13" s="224">
        <v>163.21</v>
      </c>
      <c r="AE13" s="224">
        <v>165.2</v>
      </c>
      <c r="AF13" s="224">
        <v>167.19</v>
      </c>
      <c r="AG13" s="224">
        <v>169.17</v>
      </c>
      <c r="AH13" s="224">
        <v>171.17</v>
      </c>
      <c r="AI13" s="224">
        <v>173.15</v>
      </c>
      <c r="AJ13" s="224">
        <v>175.14</v>
      </c>
      <c r="AK13" s="224">
        <v>177.13</v>
      </c>
      <c r="AL13" s="224">
        <v>179.13</v>
      </c>
      <c r="AM13" s="224">
        <v>181.1</v>
      </c>
      <c r="AN13" s="224">
        <v>183.1</v>
      </c>
      <c r="AO13" s="224">
        <v>185.08</v>
      </c>
      <c r="AP13" s="224">
        <v>187.07</v>
      </c>
      <c r="AQ13" s="224">
        <v>189.06</v>
      </c>
      <c r="AR13" s="224">
        <v>191.03</v>
      </c>
      <c r="AS13" s="224">
        <v>193.02</v>
      </c>
      <c r="AT13" s="224">
        <v>195</v>
      </c>
      <c r="AU13" s="224">
        <v>196.99</v>
      </c>
      <c r="AV13" s="224">
        <v>198.98</v>
      </c>
      <c r="AW13" s="224">
        <v>200.95</v>
      </c>
      <c r="AX13" s="224">
        <v>202.94</v>
      </c>
      <c r="AY13" s="224">
        <v>204.92</v>
      </c>
      <c r="AZ13" s="224">
        <v>206.91</v>
      </c>
      <c r="BA13" s="224">
        <v>208.89</v>
      </c>
      <c r="BB13" s="224">
        <v>210.87</v>
      </c>
      <c r="BC13" s="224">
        <v>212.86</v>
      </c>
      <c r="BD13" s="224">
        <v>214.85</v>
      </c>
      <c r="BE13" s="714">
        <f t="shared" ref="BE13:BQ13" si="37">ROUND(BD13+$CB13,2)</f>
        <v>216.84</v>
      </c>
      <c r="BF13" s="714">
        <f t="shared" si="37"/>
        <v>218.83</v>
      </c>
      <c r="BG13" s="714">
        <f t="shared" si="37"/>
        <v>220.82</v>
      </c>
      <c r="BH13" s="714">
        <f t="shared" si="37"/>
        <v>222.81</v>
      </c>
      <c r="BI13" s="714">
        <f t="shared" si="37"/>
        <v>224.8</v>
      </c>
      <c r="BJ13" s="714">
        <f t="shared" si="37"/>
        <v>226.79</v>
      </c>
      <c r="BK13" s="714">
        <f t="shared" si="37"/>
        <v>228.78</v>
      </c>
      <c r="BL13" s="714">
        <f t="shared" si="37"/>
        <v>230.77</v>
      </c>
      <c r="BM13" s="714">
        <f t="shared" si="37"/>
        <v>232.76</v>
      </c>
      <c r="BN13" s="714">
        <f t="shared" si="37"/>
        <v>234.75</v>
      </c>
      <c r="BO13" s="714">
        <f t="shared" si="37"/>
        <v>236.74</v>
      </c>
      <c r="BP13" s="714">
        <f t="shared" si="37"/>
        <v>238.73</v>
      </c>
      <c r="BQ13" s="714">
        <f t="shared" si="37"/>
        <v>240.72</v>
      </c>
      <c r="BR13" s="714">
        <f t="shared" ref="BR13:CA13" si="38">ROUND(BQ13+$CB13,2)</f>
        <v>242.71</v>
      </c>
      <c r="BS13" s="714">
        <f t="shared" si="38"/>
        <v>244.7</v>
      </c>
      <c r="BT13" s="714">
        <f t="shared" si="38"/>
        <v>246.69</v>
      </c>
      <c r="BU13" s="714">
        <f t="shared" si="38"/>
        <v>248.68</v>
      </c>
      <c r="BV13" s="714">
        <f t="shared" si="38"/>
        <v>250.67</v>
      </c>
      <c r="BW13" s="714">
        <f t="shared" si="38"/>
        <v>252.66</v>
      </c>
      <c r="BX13" s="714">
        <f t="shared" si="38"/>
        <v>254.65</v>
      </c>
      <c r="BY13" s="714">
        <f t="shared" si="38"/>
        <v>256.64</v>
      </c>
      <c r="BZ13" s="714">
        <f t="shared" si="38"/>
        <v>258.63</v>
      </c>
      <c r="CA13" s="714">
        <f t="shared" si="38"/>
        <v>260.62</v>
      </c>
      <c r="CB13" s="224">
        <f t="shared" si="26"/>
        <v>1.99</v>
      </c>
    </row>
    <row r="14" spans="1:80" s="66" customFormat="1" hidden="1">
      <c r="A14" s="90" t="s">
        <v>469</v>
      </c>
      <c r="B14" s="91" t="s">
        <v>250</v>
      </c>
      <c r="C14" s="92">
        <v>13.29</v>
      </c>
      <c r="D14" s="348">
        <v>1.99</v>
      </c>
      <c r="E14" s="93" t="s">
        <v>345</v>
      </c>
      <c r="F14" s="225">
        <f>F13+2.5</f>
        <v>117.98</v>
      </c>
      <c r="G14" s="225">
        <f t="shared" ref="G14:BC14" si="39">G13+2.5</f>
        <v>119.97</v>
      </c>
      <c r="H14" s="225">
        <f t="shared" si="39"/>
        <v>121.96</v>
      </c>
      <c r="I14" s="225">
        <f t="shared" si="39"/>
        <v>123.94</v>
      </c>
      <c r="J14" s="225">
        <f t="shared" si="39"/>
        <v>125.94</v>
      </c>
      <c r="K14" s="225">
        <f t="shared" si="39"/>
        <v>127.92</v>
      </c>
      <c r="L14" s="225">
        <f t="shared" si="39"/>
        <v>129.91</v>
      </c>
      <c r="M14" s="225">
        <f t="shared" si="39"/>
        <v>131.9</v>
      </c>
      <c r="N14" s="225">
        <f t="shared" si="39"/>
        <v>133.9</v>
      </c>
      <c r="O14" s="225">
        <f t="shared" si="39"/>
        <v>135.87</v>
      </c>
      <c r="P14" s="225">
        <f t="shared" si="39"/>
        <v>137.87</v>
      </c>
      <c r="Q14" s="225">
        <f t="shared" si="39"/>
        <v>139.85</v>
      </c>
      <c r="R14" s="225">
        <f t="shared" si="39"/>
        <v>141.85</v>
      </c>
      <c r="S14" s="225">
        <f t="shared" si="39"/>
        <v>143.84</v>
      </c>
      <c r="T14" s="225">
        <f t="shared" si="39"/>
        <v>145.81</v>
      </c>
      <c r="U14" s="225">
        <f t="shared" si="39"/>
        <v>147.81</v>
      </c>
      <c r="V14" s="225">
        <f t="shared" si="39"/>
        <v>149.80000000000001</v>
      </c>
      <c r="W14" s="225">
        <f t="shared" si="39"/>
        <v>151.79</v>
      </c>
      <c r="X14" s="225">
        <f t="shared" si="39"/>
        <v>153.78</v>
      </c>
      <c r="Y14" s="225">
        <f t="shared" si="39"/>
        <v>155.76</v>
      </c>
      <c r="Z14" s="225">
        <f t="shared" si="39"/>
        <v>157.75</v>
      </c>
      <c r="AA14" s="225">
        <f t="shared" si="39"/>
        <v>159.75</v>
      </c>
      <c r="AB14" s="225">
        <f t="shared" si="39"/>
        <v>161.72999999999999</v>
      </c>
      <c r="AC14" s="225">
        <f t="shared" si="39"/>
        <v>163.72999999999999</v>
      </c>
      <c r="AD14" s="225">
        <f t="shared" si="39"/>
        <v>165.71</v>
      </c>
      <c r="AE14" s="225">
        <f t="shared" si="39"/>
        <v>167.7</v>
      </c>
      <c r="AF14" s="225">
        <f t="shared" si="39"/>
        <v>169.69</v>
      </c>
      <c r="AG14" s="225">
        <f t="shared" si="39"/>
        <v>171.67</v>
      </c>
      <c r="AH14" s="225">
        <f t="shared" si="39"/>
        <v>173.67</v>
      </c>
      <c r="AI14" s="225">
        <f t="shared" si="39"/>
        <v>175.65</v>
      </c>
      <c r="AJ14" s="225">
        <f t="shared" si="39"/>
        <v>177.64</v>
      </c>
      <c r="AK14" s="225">
        <f t="shared" si="39"/>
        <v>179.63</v>
      </c>
      <c r="AL14" s="225">
        <f t="shared" si="39"/>
        <v>181.63</v>
      </c>
      <c r="AM14" s="225">
        <f t="shared" si="39"/>
        <v>183.6</v>
      </c>
      <c r="AN14" s="225">
        <f t="shared" si="39"/>
        <v>185.6</v>
      </c>
      <c r="AO14" s="225">
        <f t="shared" si="39"/>
        <v>187.58</v>
      </c>
      <c r="AP14" s="225">
        <f t="shared" si="39"/>
        <v>189.57</v>
      </c>
      <c r="AQ14" s="225">
        <f t="shared" si="39"/>
        <v>191.56</v>
      </c>
      <c r="AR14" s="225">
        <f t="shared" si="39"/>
        <v>193.53</v>
      </c>
      <c r="AS14" s="225">
        <f t="shared" si="39"/>
        <v>195.52</v>
      </c>
      <c r="AT14" s="225">
        <f t="shared" si="39"/>
        <v>197.5</v>
      </c>
      <c r="AU14" s="225">
        <f t="shared" si="39"/>
        <v>199.49</v>
      </c>
      <c r="AV14" s="225">
        <f t="shared" si="39"/>
        <v>201.48</v>
      </c>
      <c r="AW14" s="225">
        <f t="shared" si="39"/>
        <v>203.45</v>
      </c>
      <c r="AX14" s="225">
        <f t="shared" si="39"/>
        <v>205.44</v>
      </c>
      <c r="AY14" s="225">
        <f t="shared" si="39"/>
        <v>207.42</v>
      </c>
      <c r="AZ14" s="225">
        <f t="shared" si="39"/>
        <v>209.41</v>
      </c>
      <c r="BA14" s="225">
        <f t="shared" si="39"/>
        <v>211.39</v>
      </c>
      <c r="BB14" s="225">
        <f t="shared" si="39"/>
        <v>213.37</v>
      </c>
      <c r="BC14" s="225">
        <f t="shared" si="39"/>
        <v>215.36</v>
      </c>
      <c r="BD14" s="225">
        <f>BD13+2.5</f>
        <v>217.35</v>
      </c>
      <c r="BE14" s="714">
        <f t="shared" ref="BE14:BQ14" si="40">ROUND(BD14+$CB14,2)</f>
        <v>219.34</v>
      </c>
      <c r="BF14" s="714">
        <f t="shared" si="40"/>
        <v>221.33</v>
      </c>
      <c r="BG14" s="714">
        <f t="shared" si="40"/>
        <v>223.32</v>
      </c>
      <c r="BH14" s="714">
        <f t="shared" si="40"/>
        <v>225.31</v>
      </c>
      <c r="BI14" s="714">
        <f t="shared" si="40"/>
        <v>227.3</v>
      </c>
      <c r="BJ14" s="714">
        <f t="shared" si="40"/>
        <v>229.29</v>
      </c>
      <c r="BK14" s="714">
        <f t="shared" si="40"/>
        <v>231.28</v>
      </c>
      <c r="BL14" s="714">
        <f t="shared" si="40"/>
        <v>233.27</v>
      </c>
      <c r="BM14" s="714">
        <f t="shared" si="40"/>
        <v>235.26</v>
      </c>
      <c r="BN14" s="714">
        <f t="shared" si="40"/>
        <v>237.25</v>
      </c>
      <c r="BO14" s="714">
        <f t="shared" si="40"/>
        <v>239.24</v>
      </c>
      <c r="BP14" s="714">
        <f t="shared" si="40"/>
        <v>241.23</v>
      </c>
      <c r="BQ14" s="714">
        <f t="shared" si="40"/>
        <v>243.22</v>
      </c>
      <c r="BR14" s="714">
        <f t="shared" ref="BR14:CA14" si="41">ROUND(BQ14+$CB14,2)</f>
        <v>245.21</v>
      </c>
      <c r="BS14" s="714">
        <f t="shared" si="41"/>
        <v>247.2</v>
      </c>
      <c r="BT14" s="714">
        <f t="shared" si="41"/>
        <v>249.19</v>
      </c>
      <c r="BU14" s="714">
        <f t="shared" si="41"/>
        <v>251.18</v>
      </c>
      <c r="BV14" s="714">
        <f t="shared" si="41"/>
        <v>253.17</v>
      </c>
      <c r="BW14" s="714">
        <f t="shared" si="41"/>
        <v>255.16</v>
      </c>
      <c r="BX14" s="714">
        <f t="shared" si="41"/>
        <v>257.14999999999998</v>
      </c>
      <c r="BY14" s="714">
        <f t="shared" si="41"/>
        <v>259.14</v>
      </c>
      <c r="BZ14" s="714">
        <f t="shared" si="41"/>
        <v>261.13</v>
      </c>
      <c r="CA14" s="714">
        <f t="shared" si="41"/>
        <v>263.12</v>
      </c>
      <c r="CB14" s="224">
        <f t="shared" si="26"/>
        <v>1.99</v>
      </c>
    </row>
    <row r="15" spans="1:80" s="66" customFormat="1" hidden="1">
      <c r="A15" s="87" t="s">
        <v>470</v>
      </c>
      <c r="B15" s="88" t="s">
        <v>150</v>
      </c>
      <c r="C15" s="89"/>
      <c r="D15" s="67">
        <v>2.39</v>
      </c>
      <c r="E15" s="68" t="s">
        <v>345</v>
      </c>
      <c r="F15" s="224">
        <v>221.83</v>
      </c>
      <c r="G15" s="224">
        <v>224.22</v>
      </c>
      <c r="H15" s="224">
        <v>226.61</v>
      </c>
      <c r="I15" s="224">
        <v>229</v>
      </c>
      <c r="J15" s="224">
        <v>231.37</v>
      </c>
      <c r="K15" s="224">
        <v>233.77</v>
      </c>
      <c r="L15" s="224">
        <v>236.15</v>
      </c>
      <c r="M15" s="224">
        <v>238.55</v>
      </c>
      <c r="N15" s="224">
        <v>240.92</v>
      </c>
      <c r="O15" s="224">
        <v>243.31</v>
      </c>
      <c r="P15" s="224">
        <v>245.71</v>
      </c>
      <c r="Q15" s="224">
        <v>248.09</v>
      </c>
      <c r="R15" s="224">
        <v>250.48</v>
      </c>
      <c r="S15" s="224">
        <v>252.85</v>
      </c>
      <c r="T15" s="224">
        <v>255.24</v>
      </c>
      <c r="U15" s="224">
        <v>257.63</v>
      </c>
      <c r="V15" s="224">
        <v>260.01</v>
      </c>
      <c r="W15" s="224">
        <v>262.39999999999998</v>
      </c>
      <c r="X15" s="224">
        <v>264.79000000000002</v>
      </c>
      <c r="Y15" s="224">
        <v>267.18</v>
      </c>
      <c r="Z15" s="224">
        <v>269.56</v>
      </c>
      <c r="AA15" s="224">
        <v>271.95</v>
      </c>
      <c r="AB15" s="224">
        <v>274.33999999999997</v>
      </c>
      <c r="AC15" s="224">
        <v>276.73</v>
      </c>
      <c r="AD15" s="224">
        <v>279.10000000000002</v>
      </c>
      <c r="AE15" s="224">
        <v>281.5</v>
      </c>
      <c r="AF15" s="224">
        <v>283.88</v>
      </c>
      <c r="AG15" s="224">
        <v>286.27999999999997</v>
      </c>
      <c r="AH15" s="224">
        <v>288.64999999999998</v>
      </c>
      <c r="AI15" s="224">
        <v>291.04000000000002</v>
      </c>
      <c r="AJ15" s="224">
        <v>293.44</v>
      </c>
      <c r="AK15" s="224">
        <v>295.81</v>
      </c>
      <c r="AL15" s="224">
        <v>298.20999999999998</v>
      </c>
      <c r="AM15" s="224">
        <v>300.58</v>
      </c>
      <c r="AN15" s="224">
        <v>302.97000000000003</v>
      </c>
      <c r="AO15" s="224">
        <v>305.35000000000002</v>
      </c>
      <c r="AP15" s="224">
        <v>307.74</v>
      </c>
      <c r="AQ15" s="224">
        <v>310.13</v>
      </c>
      <c r="AR15" s="224">
        <v>312.52</v>
      </c>
      <c r="AS15" s="224">
        <v>314.89999999999998</v>
      </c>
      <c r="AT15" s="224">
        <v>317.29000000000002</v>
      </c>
      <c r="AU15" s="224">
        <v>319.68</v>
      </c>
      <c r="AV15" s="224">
        <v>322.07</v>
      </c>
      <c r="AW15" s="224">
        <v>324.45</v>
      </c>
      <c r="AX15" s="224">
        <v>326.83999999999997</v>
      </c>
      <c r="AY15" s="224">
        <v>329.23</v>
      </c>
      <c r="AZ15" s="224">
        <v>331.62</v>
      </c>
      <c r="BA15" s="224">
        <v>334</v>
      </c>
      <c r="BB15" s="224">
        <v>336.39</v>
      </c>
      <c r="BC15" s="224">
        <v>338.78</v>
      </c>
      <c r="BD15" s="224">
        <v>341.17</v>
      </c>
      <c r="BE15" s="714">
        <f t="shared" ref="BE15:BQ15" si="42">ROUND(BD15+$CB15,2)</f>
        <v>343.56</v>
      </c>
      <c r="BF15" s="714">
        <f t="shared" si="42"/>
        <v>345.95</v>
      </c>
      <c r="BG15" s="714">
        <f t="shared" si="42"/>
        <v>348.34</v>
      </c>
      <c r="BH15" s="714">
        <f t="shared" si="42"/>
        <v>350.73</v>
      </c>
      <c r="BI15" s="714">
        <f t="shared" si="42"/>
        <v>353.12</v>
      </c>
      <c r="BJ15" s="714">
        <f t="shared" si="42"/>
        <v>355.51</v>
      </c>
      <c r="BK15" s="714">
        <f t="shared" si="42"/>
        <v>357.9</v>
      </c>
      <c r="BL15" s="714">
        <f t="shared" si="42"/>
        <v>360.29</v>
      </c>
      <c r="BM15" s="714">
        <f t="shared" si="42"/>
        <v>362.68</v>
      </c>
      <c r="BN15" s="714">
        <f t="shared" si="42"/>
        <v>365.07</v>
      </c>
      <c r="BO15" s="714">
        <f t="shared" si="42"/>
        <v>367.46</v>
      </c>
      <c r="BP15" s="714">
        <f t="shared" si="42"/>
        <v>369.85</v>
      </c>
      <c r="BQ15" s="714">
        <f t="shared" si="42"/>
        <v>372.24</v>
      </c>
      <c r="BR15" s="714">
        <f t="shared" ref="BR15:CA15" si="43">ROUND(BQ15+$CB15,2)</f>
        <v>374.63</v>
      </c>
      <c r="BS15" s="714">
        <f t="shared" si="43"/>
        <v>377.02</v>
      </c>
      <c r="BT15" s="714">
        <f t="shared" si="43"/>
        <v>379.41</v>
      </c>
      <c r="BU15" s="714">
        <f t="shared" si="43"/>
        <v>381.8</v>
      </c>
      <c r="BV15" s="714">
        <f t="shared" si="43"/>
        <v>384.19</v>
      </c>
      <c r="BW15" s="714">
        <f t="shared" si="43"/>
        <v>386.58</v>
      </c>
      <c r="BX15" s="714">
        <f t="shared" si="43"/>
        <v>388.97</v>
      </c>
      <c r="BY15" s="714">
        <f t="shared" si="43"/>
        <v>391.36</v>
      </c>
      <c r="BZ15" s="714">
        <f t="shared" si="43"/>
        <v>393.75</v>
      </c>
      <c r="CA15" s="714">
        <f t="shared" si="43"/>
        <v>396.14</v>
      </c>
      <c r="CB15" s="224">
        <f t="shared" si="26"/>
        <v>2.39</v>
      </c>
    </row>
    <row r="16" spans="1:80" s="66" customFormat="1" hidden="1">
      <c r="A16" s="87" t="s">
        <v>471</v>
      </c>
      <c r="B16" s="88" t="s">
        <v>250</v>
      </c>
      <c r="C16" s="89"/>
      <c r="D16" s="67">
        <v>2.37</v>
      </c>
      <c r="E16" s="68" t="s">
        <v>345</v>
      </c>
      <c r="F16" s="224">
        <v>214.15</v>
      </c>
      <c r="G16" s="224">
        <v>216.52</v>
      </c>
      <c r="H16" s="224">
        <v>218.92</v>
      </c>
      <c r="I16" s="224">
        <v>221.31</v>
      </c>
      <c r="J16" s="224">
        <v>223.69</v>
      </c>
      <c r="K16" s="224">
        <v>226.07</v>
      </c>
      <c r="L16" s="224">
        <v>228.45</v>
      </c>
      <c r="M16" s="224">
        <v>230.85</v>
      </c>
      <c r="N16" s="224">
        <v>233.23</v>
      </c>
      <c r="O16" s="224">
        <v>235.61</v>
      </c>
      <c r="P16" s="224">
        <v>238</v>
      </c>
      <c r="Q16" s="224">
        <v>240.39</v>
      </c>
      <c r="R16" s="224">
        <v>242.79</v>
      </c>
      <c r="S16" s="224">
        <v>245.16</v>
      </c>
      <c r="T16" s="224">
        <v>247.55</v>
      </c>
      <c r="U16" s="224">
        <v>249.94</v>
      </c>
      <c r="V16" s="224">
        <v>252.33</v>
      </c>
      <c r="W16" s="224">
        <v>254.71</v>
      </c>
      <c r="X16" s="224">
        <v>257.10000000000002</v>
      </c>
      <c r="Y16" s="224">
        <v>259.48</v>
      </c>
      <c r="Z16" s="224">
        <v>261.88</v>
      </c>
      <c r="AA16" s="224">
        <v>264.25</v>
      </c>
      <c r="AB16" s="224">
        <v>266.64999999999998</v>
      </c>
      <c r="AC16" s="224">
        <v>269.04000000000002</v>
      </c>
      <c r="AD16" s="224">
        <v>271.41000000000003</v>
      </c>
      <c r="AE16" s="224">
        <v>273.8</v>
      </c>
      <c r="AF16" s="224">
        <v>276.18</v>
      </c>
      <c r="AG16" s="224">
        <v>278.58</v>
      </c>
      <c r="AH16" s="224">
        <v>280.95</v>
      </c>
      <c r="AI16" s="224">
        <v>283.33999999999997</v>
      </c>
      <c r="AJ16" s="224">
        <v>285.73</v>
      </c>
      <c r="AK16" s="224">
        <v>288.12</v>
      </c>
      <c r="AL16" s="224">
        <v>290.52</v>
      </c>
      <c r="AM16" s="224">
        <v>292.89</v>
      </c>
      <c r="AN16" s="224">
        <v>295.27999999999997</v>
      </c>
      <c r="AO16" s="224">
        <v>297.67</v>
      </c>
      <c r="AP16" s="224">
        <v>300.05</v>
      </c>
      <c r="AQ16" s="224">
        <v>302.44</v>
      </c>
      <c r="AR16" s="224">
        <v>304.83</v>
      </c>
      <c r="AS16" s="224">
        <v>307.22000000000003</v>
      </c>
      <c r="AT16" s="224">
        <v>309.60000000000002</v>
      </c>
      <c r="AU16" s="224">
        <v>311.99</v>
      </c>
      <c r="AV16" s="224">
        <v>314.38</v>
      </c>
      <c r="AW16" s="224">
        <v>316.77</v>
      </c>
      <c r="AX16" s="224">
        <v>319.14999999999998</v>
      </c>
      <c r="AY16" s="224">
        <v>321.54000000000002</v>
      </c>
      <c r="AZ16" s="224">
        <v>323.92</v>
      </c>
      <c r="BA16" s="224">
        <v>326.31</v>
      </c>
      <c r="BB16" s="224">
        <v>328.69</v>
      </c>
      <c r="BC16" s="224">
        <v>331.08</v>
      </c>
      <c r="BD16" s="224">
        <v>333.47</v>
      </c>
      <c r="BE16" s="714">
        <f t="shared" ref="BE16:BQ16" si="44">ROUND(BD16+$CB16,2)</f>
        <v>335.86</v>
      </c>
      <c r="BF16" s="714">
        <f t="shared" si="44"/>
        <v>338.25</v>
      </c>
      <c r="BG16" s="714">
        <f t="shared" si="44"/>
        <v>340.64</v>
      </c>
      <c r="BH16" s="714">
        <f t="shared" si="44"/>
        <v>343.03</v>
      </c>
      <c r="BI16" s="714">
        <f t="shared" si="44"/>
        <v>345.42</v>
      </c>
      <c r="BJ16" s="714">
        <f t="shared" si="44"/>
        <v>347.81</v>
      </c>
      <c r="BK16" s="714">
        <f t="shared" si="44"/>
        <v>350.2</v>
      </c>
      <c r="BL16" s="714">
        <f t="shared" si="44"/>
        <v>352.59</v>
      </c>
      <c r="BM16" s="714">
        <f t="shared" si="44"/>
        <v>354.98</v>
      </c>
      <c r="BN16" s="714">
        <f t="shared" si="44"/>
        <v>357.37</v>
      </c>
      <c r="BO16" s="714">
        <f t="shared" si="44"/>
        <v>359.76</v>
      </c>
      <c r="BP16" s="714">
        <f t="shared" si="44"/>
        <v>362.15</v>
      </c>
      <c r="BQ16" s="714">
        <f t="shared" si="44"/>
        <v>364.54</v>
      </c>
      <c r="BR16" s="714">
        <f t="shared" ref="BR16:CA16" si="45">ROUND(BQ16+$CB16,2)</f>
        <v>366.93</v>
      </c>
      <c r="BS16" s="714">
        <f t="shared" si="45"/>
        <v>369.32</v>
      </c>
      <c r="BT16" s="714">
        <f t="shared" si="45"/>
        <v>371.71</v>
      </c>
      <c r="BU16" s="714">
        <f t="shared" si="45"/>
        <v>374.1</v>
      </c>
      <c r="BV16" s="714">
        <f t="shared" si="45"/>
        <v>376.49</v>
      </c>
      <c r="BW16" s="714">
        <f t="shared" si="45"/>
        <v>378.88</v>
      </c>
      <c r="BX16" s="714">
        <f t="shared" si="45"/>
        <v>381.27</v>
      </c>
      <c r="BY16" s="714">
        <f t="shared" si="45"/>
        <v>383.66</v>
      </c>
      <c r="BZ16" s="714">
        <f t="shared" si="45"/>
        <v>386.05</v>
      </c>
      <c r="CA16" s="714">
        <f t="shared" si="45"/>
        <v>388.44</v>
      </c>
      <c r="CB16" s="224">
        <f t="shared" si="26"/>
        <v>2.39</v>
      </c>
    </row>
    <row r="17" spans="1:80" s="66" customFormat="1" hidden="1">
      <c r="A17" s="87" t="s">
        <v>472</v>
      </c>
      <c r="B17" s="88" t="s">
        <v>150</v>
      </c>
      <c r="C17" s="89"/>
      <c r="D17" s="67">
        <v>2.2599999999999998</v>
      </c>
      <c r="E17" s="68" t="s">
        <v>332</v>
      </c>
      <c r="F17" s="224">
        <v>157.78</v>
      </c>
      <c r="G17" s="224">
        <v>160.04</v>
      </c>
      <c r="H17" s="224">
        <v>162.31</v>
      </c>
      <c r="I17" s="224">
        <v>164.56</v>
      </c>
      <c r="J17" s="224">
        <v>166.83</v>
      </c>
      <c r="K17" s="224">
        <v>169.08</v>
      </c>
      <c r="L17" s="224">
        <v>171.35</v>
      </c>
      <c r="M17" s="224">
        <v>173.62</v>
      </c>
      <c r="N17" s="224">
        <v>175.87</v>
      </c>
      <c r="O17" s="224">
        <v>178.15</v>
      </c>
      <c r="P17" s="224">
        <v>180.4</v>
      </c>
      <c r="Q17" s="224">
        <v>182.68</v>
      </c>
      <c r="R17" s="224">
        <v>184.95</v>
      </c>
      <c r="S17" s="224">
        <v>187.2</v>
      </c>
      <c r="T17" s="224">
        <v>189.47</v>
      </c>
      <c r="U17" s="224">
        <v>191.72</v>
      </c>
      <c r="V17" s="224">
        <v>194.01</v>
      </c>
      <c r="W17" s="224">
        <v>196.27</v>
      </c>
      <c r="X17" s="224">
        <v>198.52</v>
      </c>
      <c r="Y17" s="224">
        <v>200.8</v>
      </c>
      <c r="Z17" s="224">
        <v>203.05</v>
      </c>
      <c r="AA17" s="224">
        <v>205.33</v>
      </c>
      <c r="AB17" s="224">
        <v>207.59</v>
      </c>
      <c r="AC17" s="224">
        <v>209.85</v>
      </c>
      <c r="AD17" s="224">
        <v>212.12</v>
      </c>
      <c r="AE17" s="224">
        <v>214.38</v>
      </c>
      <c r="AF17" s="224">
        <v>216.65</v>
      </c>
      <c r="AG17" s="224">
        <v>218.9</v>
      </c>
      <c r="AH17" s="224">
        <v>221.15</v>
      </c>
      <c r="AI17" s="224">
        <v>223.42</v>
      </c>
      <c r="AJ17" s="224">
        <v>225.68</v>
      </c>
      <c r="AK17" s="224">
        <v>227.95</v>
      </c>
      <c r="AL17" s="224">
        <v>230.21</v>
      </c>
      <c r="AM17" s="224">
        <v>232.46</v>
      </c>
      <c r="AN17" s="224">
        <v>234.73</v>
      </c>
      <c r="AO17" s="224">
        <v>236.99</v>
      </c>
      <c r="AP17" s="224">
        <v>239.27</v>
      </c>
      <c r="AQ17" s="224">
        <v>241.54</v>
      </c>
      <c r="AR17" s="224">
        <v>243.8</v>
      </c>
      <c r="AS17" s="224">
        <v>246.08</v>
      </c>
      <c r="AT17" s="224">
        <v>248.34</v>
      </c>
      <c r="AU17" s="224">
        <v>250.62</v>
      </c>
      <c r="AV17" s="224">
        <v>252.89</v>
      </c>
      <c r="AW17" s="224">
        <v>255.16</v>
      </c>
      <c r="AX17" s="224">
        <v>257.43</v>
      </c>
      <c r="AY17" s="224">
        <v>259.69</v>
      </c>
      <c r="AZ17" s="224">
        <v>261.97000000000003</v>
      </c>
      <c r="BA17" s="224">
        <v>264.24</v>
      </c>
      <c r="BB17" s="224">
        <v>266.51</v>
      </c>
      <c r="BC17" s="224">
        <v>268.77999999999997</v>
      </c>
      <c r="BD17" s="224">
        <v>271.04000000000002</v>
      </c>
      <c r="BE17" s="714">
        <f t="shared" ref="BE17:BQ17" si="46">ROUND(BD17+$CB17,2)</f>
        <v>273.3</v>
      </c>
      <c r="BF17" s="714">
        <f t="shared" si="46"/>
        <v>275.56</v>
      </c>
      <c r="BG17" s="714">
        <f t="shared" si="46"/>
        <v>277.82</v>
      </c>
      <c r="BH17" s="714">
        <f t="shared" si="46"/>
        <v>280.08</v>
      </c>
      <c r="BI17" s="714">
        <f t="shared" si="46"/>
        <v>282.33999999999997</v>
      </c>
      <c r="BJ17" s="714">
        <f t="shared" si="46"/>
        <v>284.60000000000002</v>
      </c>
      <c r="BK17" s="714">
        <f t="shared" si="46"/>
        <v>286.86</v>
      </c>
      <c r="BL17" s="714">
        <f t="shared" si="46"/>
        <v>289.12</v>
      </c>
      <c r="BM17" s="714">
        <f t="shared" si="46"/>
        <v>291.38</v>
      </c>
      <c r="BN17" s="714">
        <f t="shared" si="46"/>
        <v>293.64</v>
      </c>
      <c r="BO17" s="714">
        <f t="shared" si="46"/>
        <v>295.89999999999998</v>
      </c>
      <c r="BP17" s="714">
        <f t="shared" si="46"/>
        <v>298.16000000000003</v>
      </c>
      <c r="BQ17" s="714">
        <f t="shared" si="46"/>
        <v>300.42</v>
      </c>
      <c r="BR17" s="714">
        <f t="shared" ref="BR17:CA17" si="47">ROUND(BQ17+$CB17,2)</f>
        <v>302.68</v>
      </c>
      <c r="BS17" s="714">
        <f t="shared" si="47"/>
        <v>304.94</v>
      </c>
      <c r="BT17" s="714">
        <f t="shared" si="47"/>
        <v>307.2</v>
      </c>
      <c r="BU17" s="714">
        <f t="shared" si="47"/>
        <v>309.45999999999998</v>
      </c>
      <c r="BV17" s="714">
        <f t="shared" si="47"/>
        <v>311.72000000000003</v>
      </c>
      <c r="BW17" s="714">
        <f t="shared" si="47"/>
        <v>313.98</v>
      </c>
      <c r="BX17" s="714">
        <f t="shared" si="47"/>
        <v>316.24</v>
      </c>
      <c r="BY17" s="714">
        <f t="shared" si="47"/>
        <v>318.5</v>
      </c>
      <c r="BZ17" s="714">
        <f t="shared" si="47"/>
        <v>320.76</v>
      </c>
      <c r="CA17" s="714">
        <f t="shared" si="47"/>
        <v>323.02</v>
      </c>
      <c r="CB17" s="224">
        <f t="shared" si="26"/>
        <v>2.2599999999999998</v>
      </c>
    </row>
    <row r="18" spans="1:80" s="66" customFormat="1" hidden="1">
      <c r="A18" s="87" t="s">
        <v>473</v>
      </c>
      <c r="B18" s="88" t="s">
        <v>150</v>
      </c>
      <c r="C18" s="89">
        <v>14.42</v>
      </c>
      <c r="D18" s="67">
        <v>2.12</v>
      </c>
      <c r="E18" s="68" t="s">
        <v>345</v>
      </c>
      <c r="F18" s="224">
        <v>148.84</v>
      </c>
      <c r="G18" s="224">
        <v>150.96</v>
      </c>
      <c r="H18" s="224">
        <v>153.1</v>
      </c>
      <c r="I18" s="224">
        <v>155.22999999999999</v>
      </c>
      <c r="J18" s="224">
        <v>157.37</v>
      </c>
      <c r="K18" s="224">
        <v>159.51</v>
      </c>
      <c r="L18" s="224">
        <v>161.65</v>
      </c>
      <c r="M18" s="224">
        <v>163.78</v>
      </c>
      <c r="N18" s="224">
        <v>165.92</v>
      </c>
      <c r="O18" s="224">
        <v>168.05</v>
      </c>
      <c r="P18" s="224">
        <v>170.19</v>
      </c>
      <c r="Q18" s="224">
        <v>172.33</v>
      </c>
      <c r="R18" s="224">
        <v>174.46</v>
      </c>
      <c r="S18" s="224">
        <v>176.6</v>
      </c>
      <c r="T18" s="224">
        <v>178.74</v>
      </c>
      <c r="U18" s="224">
        <v>180.89</v>
      </c>
      <c r="V18" s="224">
        <v>183.01</v>
      </c>
      <c r="W18" s="224">
        <v>185.15</v>
      </c>
      <c r="X18" s="224">
        <v>187.28</v>
      </c>
      <c r="Y18" s="224">
        <v>189.43</v>
      </c>
      <c r="Z18" s="224">
        <v>191.56</v>
      </c>
      <c r="AA18" s="224">
        <v>193.7</v>
      </c>
      <c r="AB18" s="224">
        <v>195.83</v>
      </c>
      <c r="AC18" s="224">
        <v>197.98</v>
      </c>
      <c r="AD18" s="224">
        <v>200.1</v>
      </c>
      <c r="AE18" s="224">
        <v>202.24</v>
      </c>
      <c r="AF18" s="224">
        <v>204.37</v>
      </c>
      <c r="AG18" s="224">
        <v>206.52</v>
      </c>
      <c r="AH18" s="224">
        <v>208.65</v>
      </c>
      <c r="AI18" s="224">
        <v>210.79</v>
      </c>
      <c r="AJ18" s="224">
        <v>212.92</v>
      </c>
      <c r="AK18" s="224">
        <v>215.05</v>
      </c>
      <c r="AL18" s="224">
        <v>217.19</v>
      </c>
      <c r="AM18" s="224">
        <v>219.33</v>
      </c>
      <c r="AN18" s="224">
        <v>221.47</v>
      </c>
      <c r="AO18" s="224">
        <v>223.6</v>
      </c>
      <c r="AP18" s="224">
        <v>225.73</v>
      </c>
      <c r="AQ18" s="224">
        <v>227.87</v>
      </c>
      <c r="AR18" s="224">
        <v>230</v>
      </c>
      <c r="AS18" s="224">
        <v>232.13</v>
      </c>
      <c r="AT18" s="224">
        <v>234.26</v>
      </c>
      <c r="AU18" s="224">
        <v>236.4</v>
      </c>
      <c r="AV18" s="224">
        <v>238.54</v>
      </c>
      <c r="AW18" s="224">
        <v>240.67</v>
      </c>
      <c r="AX18" s="224">
        <v>242.8</v>
      </c>
      <c r="AY18" s="224">
        <v>244.93</v>
      </c>
      <c r="AZ18" s="224">
        <v>247.07</v>
      </c>
      <c r="BA18" s="224">
        <v>249.2</v>
      </c>
      <c r="BB18" s="224">
        <v>251.33</v>
      </c>
      <c r="BC18" s="224">
        <v>253.46</v>
      </c>
      <c r="BD18" s="224">
        <v>255.59</v>
      </c>
      <c r="BE18" s="714">
        <f t="shared" ref="BE18:BQ18" si="48">ROUND(BD18+$CB18,2)</f>
        <v>257.72000000000003</v>
      </c>
      <c r="BF18" s="714">
        <f t="shared" si="48"/>
        <v>259.85000000000002</v>
      </c>
      <c r="BG18" s="714">
        <f t="shared" si="48"/>
        <v>261.98</v>
      </c>
      <c r="BH18" s="714">
        <f t="shared" si="48"/>
        <v>264.11</v>
      </c>
      <c r="BI18" s="714">
        <f t="shared" si="48"/>
        <v>266.24</v>
      </c>
      <c r="BJ18" s="714">
        <f t="shared" si="48"/>
        <v>268.37</v>
      </c>
      <c r="BK18" s="714">
        <f t="shared" si="48"/>
        <v>270.5</v>
      </c>
      <c r="BL18" s="714">
        <f t="shared" si="48"/>
        <v>272.63</v>
      </c>
      <c r="BM18" s="714">
        <f t="shared" si="48"/>
        <v>274.76</v>
      </c>
      <c r="BN18" s="714">
        <f t="shared" si="48"/>
        <v>276.89</v>
      </c>
      <c r="BO18" s="714">
        <f t="shared" si="48"/>
        <v>279.02</v>
      </c>
      <c r="BP18" s="714">
        <f t="shared" si="48"/>
        <v>281.14999999999998</v>
      </c>
      <c r="BQ18" s="714">
        <f t="shared" si="48"/>
        <v>283.27999999999997</v>
      </c>
      <c r="BR18" s="714">
        <f t="shared" ref="BR18:CA18" si="49">ROUND(BQ18+$CB18,2)</f>
        <v>285.41000000000003</v>
      </c>
      <c r="BS18" s="714">
        <f t="shared" si="49"/>
        <v>287.54000000000002</v>
      </c>
      <c r="BT18" s="714">
        <f t="shared" si="49"/>
        <v>289.67</v>
      </c>
      <c r="BU18" s="714">
        <f t="shared" si="49"/>
        <v>291.8</v>
      </c>
      <c r="BV18" s="714">
        <f t="shared" si="49"/>
        <v>293.93</v>
      </c>
      <c r="BW18" s="714">
        <f t="shared" si="49"/>
        <v>296.06</v>
      </c>
      <c r="BX18" s="714">
        <f t="shared" si="49"/>
        <v>298.19</v>
      </c>
      <c r="BY18" s="714">
        <f t="shared" si="49"/>
        <v>300.32</v>
      </c>
      <c r="BZ18" s="714">
        <f t="shared" si="49"/>
        <v>302.45</v>
      </c>
      <c r="CA18" s="714">
        <f t="shared" si="49"/>
        <v>304.58</v>
      </c>
      <c r="CB18" s="224">
        <f t="shared" si="26"/>
        <v>2.13</v>
      </c>
    </row>
    <row r="19" spans="1:80" s="66" customFormat="1" hidden="1">
      <c r="A19" s="94" t="s">
        <v>474</v>
      </c>
      <c r="B19" s="88" t="s">
        <v>150</v>
      </c>
      <c r="C19" s="89">
        <v>14.42</v>
      </c>
      <c r="D19" s="67">
        <v>2.1800000000000002</v>
      </c>
      <c r="E19" s="95" t="s">
        <v>345</v>
      </c>
      <c r="F19" s="226">
        <v>153.31</v>
      </c>
      <c r="G19" s="226">
        <v>155.49</v>
      </c>
      <c r="H19" s="226">
        <v>157.69</v>
      </c>
      <c r="I19" s="226">
        <v>159.88999999999999</v>
      </c>
      <c r="J19" s="226">
        <v>162.09</v>
      </c>
      <c r="K19" s="226">
        <v>164.3</v>
      </c>
      <c r="L19" s="226">
        <v>166.5</v>
      </c>
      <c r="M19" s="226">
        <v>168.69</v>
      </c>
      <c r="N19" s="226">
        <v>170.9</v>
      </c>
      <c r="O19" s="226">
        <v>173.09</v>
      </c>
      <c r="P19" s="226">
        <v>175.3</v>
      </c>
      <c r="Q19" s="226">
        <v>177.5</v>
      </c>
      <c r="R19" s="226">
        <v>179.69</v>
      </c>
      <c r="S19" s="226">
        <v>181.9</v>
      </c>
      <c r="T19" s="226">
        <v>184.1</v>
      </c>
      <c r="U19" s="226">
        <v>186.32</v>
      </c>
      <c r="V19" s="226">
        <v>188.5</v>
      </c>
      <c r="W19" s="226">
        <v>190.7</v>
      </c>
      <c r="X19" s="226">
        <v>192.9</v>
      </c>
      <c r="Y19" s="226">
        <v>195.11</v>
      </c>
      <c r="Z19" s="226">
        <v>197.31</v>
      </c>
      <c r="AA19" s="226">
        <v>199.51</v>
      </c>
      <c r="AB19" s="226">
        <v>201.7</v>
      </c>
      <c r="AC19" s="226">
        <v>203.92</v>
      </c>
      <c r="AD19" s="226">
        <v>206.1</v>
      </c>
      <c r="AE19" s="226">
        <v>208.31</v>
      </c>
      <c r="AF19" s="226">
        <v>210.5</v>
      </c>
      <c r="AG19" s="226">
        <v>212.72</v>
      </c>
      <c r="AH19" s="226">
        <v>214.91</v>
      </c>
      <c r="AI19" s="226">
        <v>217.11</v>
      </c>
      <c r="AJ19" s="226">
        <v>219.31</v>
      </c>
      <c r="AK19" s="226">
        <v>221.5</v>
      </c>
      <c r="AL19" s="226">
        <v>223.71</v>
      </c>
      <c r="AM19" s="226">
        <v>225.91</v>
      </c>
      <c r="AN19" s="226">
        <v>228.11</v>
      </c>
      <c r="AO19" s="226">
        <v>230.31</v>
      </c>
      <c r="AP19" s="226">
        <v>232.5</v>
      </c>
      <c r="AQ19" s="226">
        <v>234.71</v>
      </c>
      <c r="AR19" s="226">
        <v>236.9</v>
      </c>
      <c r="AS19" s="226">
        <v>239.09</v>
      </c>
      <c r="AT19" s="226">
        <v>241.29</v>
      </c>
      <c r="AU19" s="226">
        <v>243.49</v>
      </c>
      <c r="AV19" s="226">
        <v>245.69</v>
      </c>
      <c r="AW19" s="226">
        <v>247.88</v>
      </c>
      <c r="AX19" s="226">
        <v>250.07</v>
      </c>
      <c r="AY19" s="226">
        <v>252.27</v>
      </c>
      <c r="AZ19" s="226">
        <v>254.47</v>
      </c>
      <c r="BA19" s="226">
        <v>256.67</v>
      </c>
      <c r="BB19" s="226">
        <v>258.86</v>
      </c>
      <c r="BC19" s="226">
        <v>261.05</v>
      </c>
      <c r="BD19" s="226">
        <v>263.25</v>
      </c>
      <c r="BE19" s="714">
        <f t="shared" ref="BE19:BQ19" si="50">ROUND(BD19+$CB19,2)</f>
        <v>265.45</v>
      </c>
      <c r="BF19" s="714">
        <f t="shared" si="50"/>
        <v>267.64999999999998</v>
      </c>
      <c r="BG19" s="714">
        <f t="shared" si="50"/>
        <v>269.85000000000002</v>
      </c>
      <c r="BH19" s="714">
        <f t="shared" si="50"/>
        <v>272.05</v>
      </c>
      <c r="BI19" s="714">
        <f t="shared" si="50"/>
        <v>274.25</v>
      </c>
      <c r="BJ19" s="714">
        <f t="shared" si="50"/>
        <v>276.45</v>
      </c>
      <c r="BK19" s="714">
        <f t="shared" si="50"/>
        <v>278.64999999999998</v>
      </c>
      <c r="BL19" s="714">
        <f t="shared" si="50"/>
        <v>280.85000000000002</v>
      </c>
      <c r="BM19" s="714">
        <f t="shared" si="50"/>
        <v>283.05</v>
      </c>
      <c r="BN19" s="714">
        <f t="shared" si="50"/>
        <v>285.25</v>
      </c>
      <c r="BO19" s="714">
        <f t="shared" si="50"/>
        <v>287.45</v>
      </c>
      <c r="BP19" s="714">
        <f t="shared" si="50"/>
        <v>289.64999999999998</v>
      </c>
      <c r="BQ19" s="714">
        <f t="shared" si="50"/>
        <v>291.85000000000002</v>
      </c>
      <c r="BR19" s="714">
        <f t="shared" ref="BR19:CA19" si="51">ROUND(BQ19+$CB19,2)</f>
        <v>294.05</v>
      </c>
      <c r="BS19" s="714">
        <f t="shared" si="51"/>
        <v>296.25</v>
      </c>
      <c r="BT19" s="714">
        <f t="shared" si="51"/>
        <v>298.45</v>
      </c>
      <c r="BU19" s="714">
        <f t="shared" si="51"/>
        <v>300.64999999999998</v>
      </c>
      <c r="BV19" s="714">
        <f t="shared" si="51"/>
        <v>302.85000000000002</v>
      </c>
      <c r="BW19" s="714">
        <f t="shared" si="51"/>
        <v>305.05</v>
      </c>
      <c r="BX19" s="714">
        <f t="shared" si="51"/>
        <v>307.25</v>
      </c>
      <c r="BY19" s="714">
        <f t="shared" si="51"/>
        <v>309.45</v>
      </c>
      <c r="BZ19" s="714">
        <f t="shared" si="51"/>
        <v>311.64999999999998</v>
      </c>
      <c r="CA19" s="714">
        <f t="shared" si="51"/>
        <v>313.85000000000002</v>
      </c>
      <c r="CB19" s="224">
        <f t="shared" si="26"/>
        <v>2.2000000000000002</v>
      </c>
    </row>
    <row r="20" spans="1:80" s="66" customFormat="1" hidden="1">
      <c r="A20" s="87" t="s">
        <v>475</v>
      </c>
      <c r="B20" s="88" t="s">
        <v>150</v>
      </c>
      <c r="C20" s="89">
        <v>14.42</v>
      </c>
      <c r="D20" s="67">
        <v>2.13</v>
      </c>
      <c r="E20" s="68" t="s">
        <v>345</v>
      </c>
      <c r="F20" s="224">
        <v>151.66999999999999</v>
      </c>
      <c r="G20" s="224">
        <v>153.80000000000001</v>
      </c>
      <c r="H20" s="224">
        <v>155.94</v>
      </c>
      <c r="I20" s="224">
        <v>158.07</v>
      </c>
      <c r="J20" s="224">
        <v>160.22</v>
      </c>
      <c r="K20" s="224">
        <v>162.35</v>
      </c>
      <c r="L20" s="224">
        <v>164.49</v>
      </c>
      <c r="M20" s="224">
        <v>166.61</v>
      </c>
      <c r="N20" s="224">
        <v>168.76</v>
      </c>
      <c r="O20" s="224">
        <v>170.9</v>
      </c>
      <c r="P20" s="224">
        <v>173.03</v>
      </c>
      <c r="Q20" s="224">
        <v>175.17</v>
      </c>
      <c r="R20" s="224">
        <v>177.3</v>
      </c>
      <c r="S20" s="224">
        <v>179.45</v>
      </c>
      <c r="T20" s="224">
        <v>181.58</v>
      </c>
      <c r="U20" s="224">
        <v>183.72</v>
      </c>
      <c r="V20" s="224">
        <v>185.85</v>
      </c>
      <c r="W20" s="224">
        <v>188</v>
      </c>
      <c r="X20" s="224">
        <v>190.13</v>
      </c>
      <c r="Y20" s="224">
        <v>192.27</v>
      </c>
      <c r="Z20" s="224">
        <v>194.4</v>
      </c>
      <c r="AA20" s="224">
        <v>196.54</v>
      </c>
      <c r="AB20" s="224">
        <v>198.67</v>
      </c>
      <c r="AC20" s="224">
        <v>200.81</v>
      </c>
      <c r="AD20" s="224">
        <v>202.94</v>
      </c>
      <c r="AE20" s="224">
        <v>205.08</v>
      </c>
      <c r="AF20" s="224">
        <v>207.22</v>
      </c>
      <c r="AG20" s="224">
        <v>209.36</v>
      </c>
      <c r="AH20" s="224">
        <v>211.49</v>
      </c>
      <c r="AI20" s="224">
        <v>213.63</v>
      </c>
      <c r="AJ20" s="224">
        <v>215.75</v>
      </c>
      <c r="AK20" s="224">
        <v>217.9</v>
      </c>
      <c r="AL20" s="224">
        <v>220.03</v>
      </c>
      <c r="AM20" s="224">
        <v>222.17</v>
      </c>
      <c r="AN20" s="224">
        <v>224.31</v>
      </c>
      <c r="AO20" s="224">
        <v>226.45</v>
      </c>
      <c r="AP20" s="224">
        <v>228.58</v>
      </c>
      <c r="AQ20" s="224">
        <v>230.71</v>
      </c>
      <c r="AR20" s="224">
        <v>232.84</v>
      </c>
      <c r="AS20" s="224">
        <v>234.97</v>
      </c>
      <c r="AT20" s="224">
        <v>237.12</v>
      </c>
      <c r="AU20" s="224">
        <v>239.25</v>
      </c>
      <c r="AV20" s="224">
        <v>241.38</v>
      </c>
      <c r="AW20" s="224">
        <v>243.51</v>
      </c>
      <c r="AX20" s="224">
        <v>245.64</v>
      </c>
      <c r="AY20" s="224">
        <v>247.78</v>
      </c>
      <c r="AZ20" s="224">
        <v>249.91</v>
      </c>
      <c r="BA20" s="224">
        <v>252.04</v>
      </c>
      <c r="BB20" s="224">
        <v>254.17</v>
      </c>
      <c r="BC20" s="224">
        <v>256.31</v>
      </c>
      <c r="BD20" s="224">
        <v>258.44</v>
      </c>
      <c r="BE20" s="714">
        <f t="shared" ref="BE20:BQ20" si="52">ROUND(BD20+$CB20,2)</f>
        <v>260.57</v>
      </c>
      <c r="BF20" s="714">
        <f t="shared" si="52"/>
        <v>262.7</v>
      </c>
      <c r="BG20" s="714">
        <f t="shared" si="52"/>
        <v>264.83</v>
      </c>
      <c r="BH20" s="714">
        <f t="shared" si="52"/>
        <v>266.95999999999998</v>
      </c>
      <c r="BI20" s="714">
        <f t="shared" si="52"/>
        <v>269.08999999999997</v>
      </c>
      <c r="BJ20" s="714">
        <f t="shared" si="52"/>
        <v>271.22000000000003</v>
      </c>
      <c r="BK20" s="714">
        <f t="shared" si="52"/>
        <v>273.35000000000002</v>
      </c>
      <c r="BL20" s="714">
        <f t="shared" si="52"/>
        <v>275.48</v>
      </c>
      <c r="BM20" s="714">
        <f t="shared" si="52"/>
        <v>277.61</v>
      </c>
      <c r="BN20" s="714">
        <f t="shared" si="52"/>
        <v>279.74</v>
      </c>
      <c r="BO20" s="714">
        <f t="shared" si="52"/>
        <v>281.87</v>
      </c>
      <c r="BP20" s="714">
        <f t="shared" si="52"/>
        <v>284</v>
      </c>
      <c r="BQ20" s="714">
        <f t="shared" si="52"/>
        <v>286.13</v>
      </c>
      <c r="BR20" s="714">
        <f t="shared" ref="BR20:CA20" si="53">ROUND(BQ20+$CB20,2)</f>
        <v>288.26</v>
      </c>
      <c r="BS20" s="714">
        <f t="shared" si="53"/>
        <v>290.39</v>
      </c>
      <c r="BT20" s="714">
        <f t="shared" si="53"/>
        <v>292.52</v>
      </c>
      <c r="BU20" s="714">
        <f t="shared" si="53"/>
        <v>294.64999999999998</v>
      </c>
      <c r="BV20" s="714">
        <f t="shared" si="53"/>
        <v>296.77999999999997</v>
      </c>
      <c r="BW20" s="714">
        <f t="shared" si="53"/>
        <v>298.91000000000003</v>
      </c>
      <c r="BX20" s="714">
        <f t="shared" si="53"/>
        <v>301.04000000000002</v>
      </c>
      <c r="BY20" s="714">
        <f t="shared" si="53"/>
        <v>303.17</v>
      </c>
      <c r="BZ20" s="714">
        <f t="shared" si="53"/>
        <v>305.3</v>
      </c>
      <c r="CA20" s="714">
        <f t="shared" si="53"/>
        <v>307.43</v>
      </c>
      <c r="CB20" s="224">
        <f t="shared" si="26"/>
        <v>2.13</v>
      </c>
    </row>
    <row r="21" spans="1:80" s="66" customFormat="1" hidden="1">
      <c r="A21" s="90" t="s">
        <v>476</v>
      </c>
      <c r="B21" s="91" t="s">
        <v>150</v>
      </c>
      <c r="C21" s="92">
        <v>14.42</v>
      </c>
      <c r="D21" s="348">
        <v>2.1800000000000002</v>
      </c>
      <c r="E21" s="93" t="s">
        <v>345</v>
      </c>
      <c r="F21" s="225">
        <f>F19+2.5</f>
        <v>155.81</v>
      </c>
      <c r="G21" s="225">
        <f t="shared" ref="G21:BC21" si="54">G19+2.5</f>
        <v>157.99</v>
      </c>
      <c r="H21" s="225">
        <f t="shared" si="54"/>
        <v>160.19</v>
      </c>
      <c r="I21" s="225">
        <f t="shared" si="54"/>
        <v>162.38999999999999</v>
      </c>
      <c r="J21" s="225">
        <f t="shared" si="54"/>
        <v>164.59</v>
      </c>
      <c r="K21" s="225">
        <f t="shared" si="54"/>
        <v>166.8</v>
      </c>
      <c r="L21" s="225">
        <f t="shared" si="54"/>
        <v>169</v>
      </c>
      <c r="M21" s="225">
        <f t="shared" si="54"/>
        <v>171.19</v>
      </c>
      <c r="N21" s="225">
        <f t="shared" si="54"/>
        <v>173.4</v>
      </c>
      <c r="O21" s="225">
        <f t="shared" si="54"/>
        <v>175.59</v>
      </c>
      <c r="P21" s="225">
        <f t="shared" si="54"/>
        <v>177.8</v>
      </c>
      <c r="Q21" s="225">
        <f t="shared" si="54"/>
        <v>180</v>
      </c>
      <c r="R21" s="225">
        <f t="shared" si="54"/>
        <v>182.19</v>
      </c>
      <c r="S21" s="225">
        <f t="shared" si="54"/>
        <v>184.4</v>
      </c>
      <c r="T21" s="225">
        <f t="shared" si="54"/>
        <v>186.6</v>
      </c>
      <c r="U21" s="225">
        <f t="shared" si="54"/>
        <v>188.82</v>
      </c>
      <c r="V21" s="225">
        <f t="shared" si="54"/>
        <v>191</v>
      </c>
      <c r="W21" s="225">
        <f t="shared" si="54"/>
        <v>193.2</v>
      </c>
      <c r="X21" s="225">
        <f t="shared" si="54"/>
        <v>195.4</v>
      </c>
      <c r="Y21" s="225">
        <f t="shared" si="54"/>
        <v>197.61</v>
      </c>
      <c r="Z21" s="225">
        <f t="shared" si="54"/>
        <v>199.81</v>
      </c>
      <c r="AA21" s="225">
        <f t="shared" si="54"/>
        <v>202.01</v>
      </c>
      <c r="AB21" s="225">
        <f t="shared" si="54"/>
        <v>204.2</v>
      </c>
      <c r="AC21" s="225">
        <f t="shared" si="54"/>
        <v>206.42</v>
      </c>
      <c r="AD21" s="225">
        <f t="shared" si="54"/>
        <v>208.6</v>
      </c>
      <c r="AE21" s="225">
        <f t="shared" si="54"/>
        <v>210.81</v>
      </c>
      <c r="AF21" s="225">
        <f t="shared" si="54"/>
        <v>213</v>
      </c>
      <c r="AG21" s="225">
        <f t="shared" si="54"/>
        <v>215.22</v>
      </c>
      <c r="AH21" s="225">
        <f>AH19+2.5</f>
        <v>217.41</v>
      </c>
      <c r="AI21" s="225">
        <f t="shared" si="54"/>
        <v>219.61</v>
      </c>
      <c r="AJ21" s="225">
        <f t="shared" si="54"/>
        <v>221.81</v>
      </c>
      <c r="AK21" s="225">
        <f t="shared" si="54"/>
        <v>224</v>
      </c>
      <c r="AL21" s="225">
        <f t="shared" si="54"/>
        <v>226.21</v>
      </c>
      <c r="AM21" s="225">
        <f t="shared" si="54"/>
        <v>228.41</v>
      </c>
      <c r="AN21" s="225">
        <f t="shared" si="54"/>
        <v>230.61</v>
      </c>
      <c r="AO21" s="225">
        <f t="shared" si="54"/>
        <v>232.81</v>
      </c>
      <c r="AP21" s="225">
        <f t="shared" si="54"/>
        <v>235</v>
      </c>
      <c r="AQ21" s="225">
        <f t="shared" si="54"/>
        <v>237.21</v>
      </c>
      <c r="AR21" s="225">
        <f t="shared" si="54"/>
        <v>239.4</v>
      </c>
      <c r="AS21" s="225">
        <f t="shared" si="54"/>
        <v>241.59</v>
      </c>
      <c r="AT21" s="225">
        <f t="shared" si="54"/>
        <v>243.79</v>
      </c>
      <c r="AU21" s="225">
        <f t="shared" si="54"/>
        <v>245.99</v>
      </c>
      <c r="AV21" s="225">
        <f t="shared" si="54"/>
        <v>248.19</v>
      </c>
      <c r="AW21" s="225">
        <f t="shared" si="54"/>
        <v>250.38</v>
      </c>
      <c r="AX21" s="225">
        <f t="shared" si="54"/>
        <v>252.57</v>
      </c>
      <c r="AY21" s="225">
        <f t="shared" si="54"/>
        <v>254.77</v>
      </c>
      <c r="AZ21" s="225">
        <f t="shared" si="54"/>
        <v>256.97000000000003</v>
      </c>
      <c r="BA21" s="225">
        <f t="shared" si="54"/>
        <v>259.17</v>
      </c>
      <c r="BB21" s="225">
        <f t="shared" si="54"/>
        <v>261.36</v>
      </c>
      <c r="BC21" s="225">
        <f t="shared" si="54"/>
        <v>263.55</v>
      </c>
      <c r="BD21" s="225">
        <f>BD19+2.5</f>
        <v>265.75</v>
      </c>
      <c r="BE21" s="714">
        <f t="shared" ref="BE21:BQ21" si="55">ROUND(BD21+$CB21,2)</f>
        <v>267.95</v>
      </c>
      <c r="BF21" s="714">
        <f t="shared" si="55"/>
        <v>270.14999999999998</v>
      </c>
      <c r="BG21" s="714">
        <f t="shared" si="55"/>
        <v>272.35000000000002</v>
      </c>
      <c r="BH21" s="714">
        <f t="shared" si="55"/>
        <v>274.55</v>
      </c>
      <c r="BI21" s="714">
        <f t="shared" si="55"/>
        <v>276.75</v>
      </c>
      <c r="BJ21" s="714">
        <f t="shared" si="55"/>
        <v>278.95</v>
      </c>
      <c r="BK21" s="714">
        <f t="shared" si="55"/>
        <v>281.14999999999998</v>
      </c>
      <c r="BL21" s="714">
        <f t="shared" si="55"/>
        <v>283.35000000000002</v>
      </c>
      <c r="BM21" s="714">
        <f t="shared" si="55"/>
        <v>285.55</v>
      </c>
      <c r="BN21" s="714">
        <f t="shared" si="55"/>
        <v>287.75</v>
      </c>
      <c r="BO21" s="714">
        <f t="shared" si="55"/>
        <v>289.95</v>
      </c>
      <c r="BP21" s="714">
        <f t="shared" si="55"/>
        <v>292.14999999999998</v>
      </c>
      <c r="BQ21" s="714">
        <f t="shared" si="55"/>
        <v>294.35000000000002</v>
      </c>
      <c r="BR21" s="714">
        <f t="shared" ref="BR21:CA21" si="56">ROUND(BQ21+$CB21,2)</f>
        <v>296.55</v>
      </c>
      <c r="BS21" s="714">
        <f t="shared" si="56"/>
        <v>298.75</v>
      </c>
      <c r="BT21" s="714">
        <f t="shared" si="56"/>
        <v>300.95</v>
      </c>
      <c r="BU21" s="714">
        <f t="shared" si="56"/>
        <v>303.14999999999998</v>
      </c>
      <c r="BV21" s="714">
        <f t="shared" si="56"/>
        <v>305.35000000000002</v>
      </c>
      <c r="BW21" s="714">
        <f t="shared" si="56"/>
        <v>307.55</v>
      </c>
      <c r="BX21" s="714">
        <f t="shared" si="56"/>
        <v>309.75</v>
      </c>
      <c r="BY21" s="714">
        <f t="shared" si="56"/>
        <v>311.95</v>
      </c>
      <c r="BZ21" s="714">
        <f t="shared" si="56"/>
        <v>314.14999999999998</v>
      </c>
      <c r="CA21" s="714">
        <f t="shared" si="56"/>
        <v>316.35000000000002</v>
      </c>
      <c r="CB21" s="224">
        <f t="shared" si="26"/>
        <v>2.2000000000000002</v>
      </c>
    </row>
    <row r="22" spans="1:80" s="66" customFormat="1" hidden="1">
      <c r="A22" s="87" t="s">
        <v>477</v>
      </c>
      <c r="B22" s="88" t="s">
        <v>250</v>
      </c>
      <c r="C22" s="89">
        <v>14.42</v>
      </c>
      <c r="D22" s="67">
        <v>2.13</v>
      </c>
      <c r="E22" s="68" t="s">
        <v>345</v>
      </c>
      <c r="F22" s="224">
        <v>137.53</v>
      </c>
      <c r="G22" s="224">
        <v>139.66</v>
      </c>
      <c r="H22" s="224">
        <v>141.79</v>
      </c>
      <c r="I22" s="224">
        <v>143.93</v>
      </c>
      <c r="J22" s="224">
        <v>146.06</v>
      </c>
      <c r="K22" s="224">
        <v>148.21</v>
      </c>
      <c r="L22" s="224">
        <v>150.34</v>
      </c>
      <c r="M22" s="224">
        <v>152.47999999999999</v>
      </c>
      <c r="N22" s="224">
        <v>154.6</v>
      </c>
      <c r="O22" s="224">
        <v>156.75</v>
      </c>
      <c r="P22" s="224">
        <v>158.88</v>
      </c>
      <c r="Q22" s="224">
        <v>161.02000000000001</v>
      </c>
      <c r="R22" s="224">
        <v>163.15</v>
      </c>
      <c r="S22" s="224">
        <v>165.29</v>
      </c>
      <c r="T22" s="224">
        <v>167.43</v>
      </c>
      <c r="U22" s="224">
        <v>169.58</v>
      </c>
      <c r="V22" s="224">
        <v>171.7</v>
      </c>
      <c r="W22" s="224">
        <v>173.84</v>
      </c>
      <c r="X22" s="224">
        <v>175.98</v>
      </c>
      <c r="Y22" s="224">
        <v>178.12</v>
      </c>
      <c r="Z22" s="224">
        <v>180.25</v>
      </c>
      <c r="AA22" s="224">
        <v>182.39</v>
      </c>
      <c r="AB22" s="224">
        <v>184.52</v>
      </c>
      <c r="AC22" s="224">
        <v>186.66</v>
      </c>
      <c r="AD22" s="224">
        <v>188.8</v>
      </c>
      <c r="AE22" s="224">
        <v>190.93</v>
      </c>
      <c r="AF22" s="224">
        <v>193.07</v>
      </c>
      <c r="AG22" s="224">
        <v>195.21</v>
      </c>
      <c r="AH22" s="224">
        <v>197.35</v>
      </c>
      <c r="AI22" s="224">
        <v>199.48</v>
      </c>
      <c r="AJ22" s="224">
        <v>201.62</v>
      </c>
      <c r="AK22" s="224">
        <v>203.74</v>
      </c>
      <c r="AL22" s="224">
        <v>205.89</v>
      </c>
      <c r="AM22" s="224">
        <v>208.02</v>
      </c>
      <c r="AN22" s="224">
        <v>210.16</v>
      </c>
      <c r="AO22" s="224">
        <v>212.29</v>
      </c>
      <c r="AP22" s="224">
        <v>214.43</v>
      </c>
      <c r="AQ22" s="224">
        <v>216.56</v>
      </c>
      <c r="AR22" s="224">
        <v>218.69</v>
      </c>
      <c r="AS22" s="224">
        <v>220.82</v>
      </c>
      <c r="AT22" s="224">
        <v>222.95</v>
      </c>
      <c r="AU22" s="224">
        <v>225.1</v>
      </c>
      <c r="AV22" s="224">
        <v>227.23</v>
      </c>
      <c r="AW22" s="224">
        <v>229.36</v>
      </c>
      <c r="AX22" s="224">
        <v>231.49</v>
      </c>
      <c r="AY22" s="224">
        <v>233.62</v>
      </c>
      <c r="AZ22" s="224">
        <v>235.76</v>
      </c>
      <c r="BA22" s="224">
        <v>237.89</v>
      </c>
      <c r="BB22" s="224">
        <v>240.02</v>
      </c>
      <c r="BC22" s="224">
        <v>242.15</v>
      </c>
      <c r="BD22" s="224">
        <v>244.29</v>
      </c>
      <c r="BE22" s="714">
        <f t="shared" ref="BE22:BQ22" si="57">ROUND(BD22+$CB22,2)</f>
        <v>246.43</v>
      </c>
      <c r="BF22" s="714">
        <f t="shared" si="57"/>
        <v>248.57</v>
      </c>
      <c r="BG22" s="714">
        <f t="shared" si="57"/>
        <v>250.71</v>
      </c>
      <c r="BH22" s="714">
        <f t="shared" si="57"/>
        <v>252.85</v>
      </c>
      <c r="BI22" s="714">
        <f t="shared" si="57"/>
        <v>254.99</v>
      </c>
      <c r="BJ22" s="714">
        <f t="shared" si="57"/>
        <v>257.13</v>
      </c>
      <c r="BK22" s="714">
        <f t="shared" si="57"/>
        <v>259.27</v>
      </c>
      <c r="BL22" s="714">
        <f t="shared" si="57"/>
        <v>261.41000000000003</v>
      </c>
      <c r="BM22" s="714">
        <f t="shared" si="57"/>
        <v>263.55</v>
      </c>
      <c r="BN22" s="714">
        <f t="shared" si="57"/>
        <v>265.69</v>
      </c>
      <c r="BO22" s="714">
        <f t="shared" si="57"/>
        <v>267.83</v>
      </c>
      <c r="BP22" s="714">
        <f t="shared" si="57"/>
        <v>269.97000000000003</v>
      </c>
      <c r="BQ22" s="714">
        <f t="shared" si="57"/>
        <v>272.11</v>
      </c>
      <c r="BR22" s="714">
        <f t="shared" ref="BR22:CA22" si="58">ROUND(BQ22+$CB22,2)</f>
        <v>274.25</v>
      </c>
      <c r="BS22" s="714">
        <f t="shared" si="58"/>
        <v>276.39</v>
      </c>
      <c r="BT22" s="714">
        <f t="shared" si="58"/>
        <v>278.52999999999997</v>
      </c>
      <c r="BU22" s="714">
        <f t="shared" si="58"/>
        <v>280.67</v>
      </c>
      <c r="BV22" s="714">
        <f t="shared" si="58"/>
        <v>282.81</v>
      </c>
      <c r="BW22" s="714">
        <f t="shared" si="58"/>
        <v>284.95</v>
      </c>
      <c r="BX22" s="714">
        <f t="shared" si="58"/>
        <v>287.08999999999997</v>
      </c>
      <c r="BY22" s="714">
        <f t="shared" si="58"/>
        <v>289.23</v>
      </c>
      <c r="BZ22" s="714">
        <f t="shared" si="58"/>
        <v>291.37</v>
      </c>
      <c r="CA22" s="714">
        <f t="shared" si="58"/>
        <v>293.51</v>
      </c>
      <c r="CB22" s="224">
        <f t="shared" si="26"/>
        <v>2.14</v>
      </c>
    </row>
    <row r="23" spans="1:80" s="66" customFormat="1" hidden="1">
      <c r="A23" s="90" t="s">
        <v>478</v>
      </c>
      <c r="B23" s="91" t="s">
        <v>250</v>
      </c>
      <c r="C23" s="92">
        <v>14.42</v>
      </c>
      <c r="D23" s="348">
        <v>2.21</v>
      </c>
      <c r="E23" s="93" t="s">
        <v>345</v>
      </c>
      <c r="F23" s="225">
        <f>F25+2.5</f>
        <v>141.22</v>
      </c>
      <c r="G23" s="225">
        <f t="shared" ref="G23:BD23" si="59">G25+2.5</f>
        <v>143.43</v>
      </c>
      <c r="H23" s="225">
        <f t="shared" si="59"/>
        <v>145.62</v>
      </c>
      <c r="I23" s="225">
        <f t="shared" si="59"/>
        <v>147.82</v>
      </c>
      <c r="J23" s="225">
        <f t="shared" si="59"/>
        <v>150.02000000000001</v>
      </c>
      <c r="K23" s="225">
        <f t="shared" si="59"/>
        <v>152.22</v>
      </c>
      <c r="L23" s="225">
        <f t="shared" si="59"/>
        <v>154.43</v>
      </c>
      <c r="M23" s="225">
        <f t="shared" si="59"/>
        <v>156.63</v>
      </c>
      <c r="N23" s="225">
        <f t="shared" si="59"/>
        <v>158.83000000000001</v>
      </c>
      <c r="O23" s="225">
        <f t="shared" si="59"/>
        <v>161.03</v>
      </c>
      <c r="P23" s="225">
        <f t="shared" si="59"/>
        <v>163.22999999999999</v>
      </c>
      <c r="Q23" s="225">
        <f t="shared" si="59"/>
        <v>165.43</v>
      </c>
      <c r="R23" s="225">
        <f t="shared" si="59"/>
        <v>167.63</v>
      </c>
      <c r="S23" s="225">
        <f t="shared" si="59"/>
        <v>169.82</v>
      </c>
      <c r="T23" s="225">
        <f t="shared" si="59"/>
        <v>172.03</v>
      </c>
      <c r="U23" s="225">
        <f t="shared" si="59"/>
        <v>174.23</v>
      </c>
      <c r="V23" s="225">
        <f t="shared" si="59"/>
        <v>176.45</v>
      </c>
      <c r="W23" s="225">
        <f t="shared" si="59"/>
        <v>178.63</v>
      </c>
      <c r="X23" s="225">
        <f t="shared" si="59"/>
        <v>180.83</v>
      </c>
      <c r="Y23" s="225">
        <f t="shared" si="59"/>
        <v>183.04</v>
      </c>
      <c r="Z23" s="225">
        <f t="shared" si="59"/>
        <v>185.24</v>
      </c>
      <c r="AA23" s="225">
        <f t="shared" si="59"/>
        <v>187.44</v>
      </c>
      <c r="AB23" s="225">
        <f t="shared" si="59"/>
        <v>189.64</v>
      </c>
      <c r="AC23" s="225">
        <f t="shared" si="59"/>
        <v>191.83</v>
      </c>
      <c r="AD23" s="225">
        <f t="shared" si="59"/>
        <v>194.05</v>
      </c>
      <c r="AE23" s="225">
        <f t="shared" si="59"/>
        <v>196.23</v>
      </c>
      <c r="AF23" s="225">
        <f t="shared" si="59"/>
        <v>198.44</v>
      </c>
      <c r="AG23" s="225">
        <f t="shared" si="59"/>
        <v>200.63</v>
      </c>
      <c r="AH23" s="225">
        <f t="shared" si="59"/>
        <v>202.85</v>
      </c>
      <c r="AI23" s="225">
        <f t="shared" si="59"/>
        <v>205.04</v>
      </c>
      <c r="AJ23" s="225">
        <f t="shared" si="59"/>
        <v>207.24</v>
      </c>
      <c r="AK23" s="225">
        <f t="shared" si="59"/>
        <v>209.44</v>
      </c>
      <c r="AL23" s="225">
        <f t="shared" si="59"/>
        <v>211.63</v>
      </c>
      <c r="AM23" s="225">
        <f t="shared" si="59"/>
        <v>213.85</v>
      </c>
      <c r="AN23" s="225">
        <f t="shared" si="59"/>
        <v>216.04</v>
      </c>
      <c r="AO23" s="225">
        <f t="shared" si="59"/>
        <v>218.24</v>
      </c>
      <c r="AP23" s="225">
        <f t="shared" si="59"/>
        <v>220.45</v>
      </c>
      <c r="AQ23" s="225">
        <f t="shared" si="59"/>
        <v>222.66</v>
      </c>
      <c r="AR23" s="225">
        <f t="shared" si="59"/>
        <v>224.87</v>
      </c>
      <c r="AS23" s="225">
        <f t="shared" si="59"/>
        <v>227.07</v>
      </c>
      <c r="AT23" s="225">
        <f t="shared" si="59"/>
        <v>229.28</v>
      </c>
      <c r="AU23" s="225">
        <f t="shared" si="59"/>
        <v>231.49</v>
      </c>
      <c r="AV23" s="225">
        <f t="shared" si="59"/>
        <v>233.69</v>
      </c>
      <c r="AW23" s="225">
        <f t="shared" si="59"/>
        <v>235.9</v>
      </c>
      <c r="AX23" s="225">
        <f t="shared" si="59"/>
        <v>238.1</v>
      </c>
      <c r="AY23" s="225">
        <f t="shared" si="59"/>
        <v>240.31</v>
      </c>
      <c r="AZ23" s="225">
        <f t="shared" si="59"/>
        <v>242.52</v>
      </c>
      <c r="BA23" s="225">
        <f t="shared" si="59"/>
        <v>244.73</v>
      </c>
      <c r="BB23" s="225">
        <f t="shared" si="59"/>
        <v>246.93</v>
      </c>
      <c r="BC23" s="225">
        <f t="shared" si="59"/>
        <v>249.13</v>
      </c>
      <c r="BD23" s="225">
        <f t="shared" si="59"/>
        <v>251.35</v>
      </c>
      <c r="BE23" s="714">
        <f t="shared" ref="BE23:BQ23" si="60">ROUND(BD23+$CB23,2)</f>
        <v>253.57</v>
      </c>
      <c r="BF23" s="714">
        <f t="shared" si="60"/>
        <v>255.79</v>
      </c>
      <c r="BG23" s="714">
        <f t="shared" si="60"/>
        <v>258.01</v>
      </c>
      <c r="BH23" s="714">
        <f t="shared" si="60"/>
        <v>260.23</v>
      </c>
      <c r="BI23" s="714">
        <f t="shared" si="60"/>
        <v>262.45</v>
      </c>
      <c r="BJ23" s="714">
        <f t="shared" si="60"/>
        <v>264.67</v>
      </c>
      <c r="BK23" s="714">
        <f t="shared" si="60"/>
        <v>266.89</v>
      </c>
      <c r="BL23" s="714">
        <f t="shared" si="60"/>
        <v>269.11</v>
      </c>
      <c r="BM23" s="714">
        <f t="shared" si="60"/>
        <v>271.33</v>
      </c>
      <c r="BN23" s="714">
        <f t="shared" si="60"/>
        <v>273.55</v>
      </c>
      <c r="BO23" s="714">
        <f t="shared" si="60"/>
        <v>275.77</v>
      </c>
      <c r="BP23" s="714">
        <f t="shared" si="60"/>
        <v>277.99</v>
      </c>
      <c r="BQ23" s="714">
        <f t="shared" si="60"/>
        <v>280.20999999999998</v>
      </c>
      <c r="BR23" s="714">
        <f t="shared" ref="BR23:CA23" si="61">ROUND(BQ23+$CB23,2)</f>
        <v>282.43</v>
      </c>
      <c r="BS23" s="714">
        <f t="shared" si="61"/>
        <v>284.64999999999998</v>
      </c>
      <c r="BT23" s="714">
        <f t="shared" si="61"/>
        <v>286.87</v>
      </c>
      <c r="BU23" s="714">
        <f t="shared" si="61"/>
        <v>289.08999999999997</v>
      </c>
      <c r="BV23" s="714">
        <f t="shared" si="61"/>
        <v>291.31</v>
      </c>
      <c r="BW23" s="714">
        <f t="shared" si="61"/>
        <v>293.52999999999997</v>
      </c>
      <c r="BX23" s="714">
        <f t="shared" si="61"/>
        <v>295.75</v>
      </c>
      <c r="BY23" s="714">
        <f t="shared" si="61"/>
        <v>297.97000000000003</v>
      </c>
      <c r="BZ23" s="714">
        <f t="shared" si="61"/>
        <v>300.19</v>
      </c>
      <c r="CA23" s="714">
        <f t="shared" si="61"/>
        <v>302.41000000000003</v>
      </c>
      <c r="CB23" s="224">
        <f t="shared" si="26"/>
        <v>2.2200000000000002</v>
      </c>
    </row>
    <row r="24" spans="1:80" s="66" customFormat="1" hidden="1">
      <c r="A24" s="87" t="s">
        <v>479</v>
      </c>
      <c r="B24" s="88" t="s">
        <v>250</v>
      </c>
      <c r="C24" s="89">
        <v>14.42</v>
      </c>
      <c r="D24" s="67">
        <v>2.15</v>
      </c>
      <c r="E24" s="68" t="s">
        <v>345</v>
      </c>
      <c r="F24" s="224">
        <v>134.68</v>
      </c>
      <c r="G24" s="224">
        <v>136.83000000000001</v>
      </c>
      <c r="H24" s="224">
        <v>138.94999999999999</v>
      </c>
      <c r="I24" s="224">
        <v>141.09</v>
      </c>
      <c r="J24" s="224">
        <v>143.22</v>
      </c>
      <c r="K24" s="224">
        <v>145.36000000000001</v>
      </c>
      <c r="L24" s="224">
        <v>147.5</v>
      </c>
      <c r="M24" s="224">
        <v>149.63999999999999</v>
      </c>
      <c r="N24" s="224">
        <v>151.78</v>
      </c>
      <c r="O24" s="224">
        <v>153.91</v>
      </c>
      <c r="P24" s="224">
        <v>156.05000000000001</v>
      </c>
      <c r="Q24" s="224">
        <v>158.18</v>
      </c>
      <c r="R24" s="224">
        <v>160.32</v>
      </c>
      <c r="S24" s="224">
        <v>162.44999999999999</v>
      </c>
      <c r="T24" s="224">
        <v>164.59</v>
      </c>
      <c r="U24" s="224">
        <v>166.73</v>
      </c>
      <c r="V24" s="224">
        <v>168.88</v>
      </c>
      <c r="W24" s="224">
        <v>171</v>
      </c>
      <c r="X24" s="224">
        <v>173.14</v>
      </c>
      <c r="Y24" s="224">
        <v>175.28</v>
      </c>
      <c r="Z24" s="224">
        <v>177.42</v>
      </c>
      <c r="AA24" s="224">
        <v>179.55</v>
      </c>
      <c r="AB24" s="224">
        <v>181.69</v>
      </c>
      <c r="AC24" s="224">
        <v>183.82</v>
      </c>
      <c r="AD24" s="224">
        <v>185.97</v>
      </c>
      <c r="AE24" s="224">
        <v>188.09</v>
      </c>
      <c r="AF24" s="224">
        <v>190.23</v>
      </c>
      <c r="AG24" s="224">
        <v>192.36</v>
      </c>
      <c r="AH24" s="224">
        <v>194.51</v>
      </c>
      <c r="AI24" s="224">
        <v>196.64</v>
      </c>
      <c r="AJ24" s="224">
        <v>198.78</v>
      </c>
      <c r="AK24" s="224">
        <v>200.91</v>
      </c>
      <c r="AL24" s="224">
        <v>203.04</v>
      </c>
      <c r="AM24" s="224">
        <v>205.19</v>
      </c>
      <c r="AN24" s="224">
        <v>207.32</v>
      </c>
      <c r="AO24" s="224">
        <v>209.46</v>
      </c>
      <c r="AP24" s="224">
        <v>211.6</v>
      </c>
      <c r="AQ24" s="224">
        <v>213.75</v>
      </c>
      <c r="AR24" s="224">
        <v>215.9</v>
      </c>
      <c r="AS24" s="224">
        <v>218.04</v>
      </c>
      <c r="AT24" s="224">
        <v>220.18</v>
      </c>
      <c r="AU24" s="224">
        <v>222.33</v>
      </c>
      <c r="AV24" s="224">
        <v>224.47</v>
      </c>
      <c r="AW24" s="224">
        <v>226.61</v>
      </c>
      <c r="AX24" s="224">
        <v>228.75</v>
      </c>
      <c r="AY24" s="224">
        <v>230.9</v>
      </c>
      <c r="AZ24" s="224">
        <v>233.04</v>
      </c>
      <c r="BA24" s="224">
        <v>235.18</v>
      </c>
      <c r="BB24" s="224">
        <v>237.32</v>
      </c>
      <c r="BC24" s="224">
        <v>239.46</v>
      </c>
      <c r="BD24" s="224">
        <v>241.61</v>
      </c>
      <c r="BE24" s="714">
        <f t="shared" ref="BE24:BQ24" si="62">ROUND(BD24+$CB24,2)</f>
        <v>243.76</v>
      </c>
      <c r="BF24" s="714">
        <f t="shared" si="62"/>
        <v>245.91</v>
      </c>
      <c r="BG24" s="714">
        <f t="shared" si="62"/>
        <v>248.06</v>
      </c>
      <c r="BH24" s="714">
        <f t="shared" si="62"/>
        <v>250.21</v>
      </c>
      <c r="BI24" s="714">
        <f t="shared" si="62"/>
        <v>252.36</v>
      </c>
      <c r="BJ24" s="714">
        <f t="shared" si="62"/>
        <v>254.51</v>
      </c>
      <c r="BK24" s="714">
        <f t="shared" si="62"/>
        <v>256.66000000000003</v>
      </c>
      <c r="BL24" s="714">
        <f t="shared" si="62"/>
        <v>258.81</v>
      </c>
      <c r="BM24" s="714">
        <f t="shared" si="62"/>
        <v>260.95999999999998</v>
      </c>
      <c r="BN24" s="714">
        <f t="shared" si="62"/>
        <v>263.11</v>
      </c>
      <c r="BO24" s="714">
        <f t="shared" si="62"/>
        <v>265.26</v>
      </c>
      <c r="BP24" s="714">
        <f t="shared" si="62"/>
        <v>267.41000000000003</v>
      </c>
      <c r="BQ24" s="714">
        <f t="shared" si="62"/>
        <v>269.56</v>
      </c>
      <c r="BR24" s="714">
        <f t="shared" ref="BR24:CA24" si="63">ROUND(BQ24+$CB24,2)</f>
        <v>271.70999999999998</v>
      </c>
      <c r="BS24" s="714">
        <f t="shared" si="63"/>
        <v>273.86</v>
      </c>
      <c r="BT24" s="714">
        <f t="shared" si="63"/>
        <v>276.01</v>
      </c>
      <c r="BU24" s="714">
        <f t="shared" si="63"/>
        <v>278.16000000000003</v>
      </c>
      <c r="BV24" s="714">
        <f t="shared" si="63"/>
        <v>280.31</v>
      </c>
      <c r="BW24" s="714">
        <f t="shared" si="63"/>
        <v>282.45999999999998</v>
      </c>
      <c r="BX24" s="714">
        <f t="shared" si="63"/>
        <v>284.61</v>
      </c>
      <c r="BY24" s="714">
        <f t="shared" si="63"/>
        <v>286.76</v>
      </c>
      <c r="BZ24" s="714">
        <f t="shared" si="63"/>
        <v>288.91000000000003</v>
      </c>
      <c r="CA24" s="714">
        <f t="shared" si="63"/>
        <v>291.06</v>
      </c>
      <c r="CB24" s="224">
        <f t="shared" si="26"/>
        <v>2.15</v>
      </c>
    </row>
    <row r="25" spans="1:80" s="66" customFormat="1" hidden="1">
      <c r="A25" s="90" t="s">
        <v>480</v>
      </c>
      <c r="B25" s="91" t="s">
        <v>250</v>
      </c>
      <c r="C25" s="92">
        <v>14.42</v>
      </c>
      <c r="D25" s="348">
        <v>2.21</v>
      </c>
      <c r="E25" s="93" t="s">
        <v>345</v>
      </c>
      <c r="F25" s="225">
        <v>138.72</v>
      </c>
      <c r="G25" s="225">
        <v>140.93</v>
      </c>
      <c r="H25" s="225">
        <v>143.12</v>
      </c>
      <c r="I25" s="225">
        <v>145.32</v>
      </c>
      <c r="J25" s="225">
        <v>147.52000000000001</v>
      </c>
      <c r="K25" s="225">
        <v>149.72</v>
      </c>
      <c r="L25" s="225">
        <v>151.93</v>
      </c>
      <c r="M25" s="225">
        <v>154.13</v>
      </c>
      <c r="N25" s="225">
        <v>156.33000000000001</v>
      </c>
      <c r="O25" s="225">
        <v>158.53</v>
      </c>
      <c r="P25" s="225">
        <v>160.72999999999999</v>
      </c>
      <c r="Q25" s="225">
        <v>162.93</v>
      </c>
      <c r="R25" s="225">
        <v>165.13</v>
      </c>
      <c r="S25" s="225">
        <v>167.32</v>
      </c>
      <c r="T25" s="225">
        <v>169.53</v>
      </c>
      <c r="U25" s="225">
        <v>171.73</v>
      </c>
      <c r="V25" s="225">
        <v>173.95</v>
      </c>
      <c r="W25" s="225">
        <v>176.13</v>
      </c>
      <c r="X25" s="225">
        <v>178.33</v>
      </c>
      <c r="Y25" s="225">
        <v>180.54</v>
      </c>
      <c r="Z25" s="225">
        <v>182.74</v>
      </c>
      <c r="AA25" s="225">
        <v>184.94</v>
      </c>
      <c r="AB25" s="225">
        <v>187.14</v>
      </c>
      <c r="AC25" s="225">
        <v>189.33</v>
      </c>
      <c r="AD25" s="225">
        <v>191.55</v>
      </c>
      <c r="AE25" s="225">
        <v>193.73</v>
      </c>
      <c r="AF25" s="225">
        <v>195.94</v>
      </c>
      <c r="AG25" s="225">
        <v>198.13</v>
      </c>
      <c r="AH25" s="225">
        <v>200.35</v>
      </c>
      <c r="AI25" s="225">
        <v>202.54</v>
      </c>
      <c r="AJ25" s="225">
        <v>204.74</v>
      </c>
      <c r="AK25" s="225">
        <v>206.94</v>
      </c>
      <c r="AL25" s="225">
        <v>209.13</v>
      </c>
      <c r="AM25" s="225">
        <v>211.35</v>
      </c>
      <c r="AN25" s="225">
        <v>213.54</v>
      </c>
      <c r="AO25" s="225">
        <v>215.74</v>
      </c>
      <c r="AP25" s="225">
        <v>217.95</v>
      </c>
      <c r="AQ25" s="225">
        <v>220.16</v>
      </c>
      <c r="AR25" s="225">
        <v>222.37</v>
      </c>
      <c r="AS25" s="225">
        <v>224.57</v>
      </c>
      <c r="AT25" s="225">
        <v>226.78</v>
      </c>
      <c r="AU25" s="225">
        <v>228.99</v>
      </c>
      <c r="AV25" s="225">
        <v>231.19</v>
      </c>
      <c r="AW25" s="225">
        <v>233.4</v>
      </c>
      <c r="AX25" s="225">
        <v>235.6</v>
      </c>
      <c r="AY25" s="225">
        <v>237.81</v>
      </c>
      <c r="AZ25" s="225">
        <v>240.02</v>
      </c>
      <c r="BA25" s="225">
        <v>242.23</v>
      </c>
      <c r="BB25" s="225">
        <v>244.43</v>
      </c>
      <c r="BC25" s="225">
        <v>246.63</v>
      </c>
      <c r="BD25" s="225">
        <v>248.85</v>
      </c>
      <c r="BE25" s="714">
        <f t="shared" ref="BE25:BQ25" si="64">ROUND(BD25+$CB25,2)</f>
        <v>251.07</v>
      </c>
      <c r="BF25" s="714">
        <f t="shared" si="64"/>
        <v>253.29</v>
      </c>
      <c r="BG25" s="714">
        <f t="shared" si="64"/>
        <v>255.51</v>
      </c>
      <c r="BH25" s="714">
        <f t="shared" si="64"/>
        <v>257.73</v>
      </c>
      <c r="BI25" s="714">
        <f t="shared" si="64"/>
        <v>259.95</v>
      </c>
      <c r="BJ25" s="714">
        <f t="shared" si="64"/>
        <v>262.17</v>
      </c>
      <c r="BK25" s="714">
        <f t="shared" si="64"/>
        <v>264.39</v>
      </c>
      <c r="BL25" s="714">
        <f t="shared" si="64"/>
        <v>266.61</v>
      </c>
      <c r="BM25" s="714">
        <f t="shared" si="64"/>
        <v>268.83</v>
      </c>
      <c r="BN25" s="714">
        <f t="shared" si="64"/>
        <v>271.05</v>
      </c>
      <c r="BO25" s="714">
        <f t="shared" si="64"/>
        <v>273.27</v>
      </c>
      <c r="BP25" s="714">
        <f t="shared" si="64"/>
        <v>275.49</v>
      </c>
      <c r="BQ25" s="714">
        <f t="shared" si="64"/>
        <v>277.70999999999998</v>
      </c>
      <c r="BR25" s="714">
        <f t="shared" ref="BR25:CA25" si="65">ROUND(BQ25+$CB25,2)</f>
        <v>279.93</v>
      </c>
      <c r="BS25" s="714">
        <f t="shared" si="65"/>
        <v>282.14999999999998</v>
      </c>
      <c r="BT25" s="714">
        <f t="shared" si="65"/>
        <v>284.37</v>
      </c>
      <c r="BU25" s="714">
        <f t="shared" si="65"/>
        <v>286.58999999999997</v>
      </c>
      <c r="BV25" s="714">
        <f t="shared" si="65"/>
        <v>288.81</v>
      </c>
      <c r="BW25" s="714">
        <f t="shared" si="65"/>
        <v>291.02999999999997</v>
      </c>
      <c r="BX25" s="714">
        <f t="shared" si="65"/>
        <v>293.25</v>
      </c>
      <c r="BY25" s="714">
        <f t="shared" si="65"/>
        <v>295.47000000000003</v>
      </c>
      <c r="BZ25" s="714">
        <f t="shared" si="65"/>
        <v>297.69</v>
      </c>
      <c r="CA25" s="714">
        <f t="shared" si="65"/>
        <v>299.91000000000003</v>
      </c>
      <c r="CB25" s="224">
        <f t="shared" si="26"/>
        <v>2.2200000000000002</v>
      </c>
    </row>
    <row r="26" spans="1:80" s="66" customFormat="1" hidden="1">
      <c r="A26" s="87" t="s">
        <v>481</v>
      </c>
      <c r="B26" s="88" t="s">
        <v>75</v>
      </c>
      <c r="C26" s="89"/>
      <c r="D26" s="67">
        <v>2.4300000000000002</v>
      </c>
      <c r="E26" s="68" t="s">
        <v>332</v>
      </c>
      <c r="F26" s="224">
        <v>164.01</v>
      </c>
      <c r="G26" s="224">
        <v>166.44</v>
      </c>
      <c r="H26" s="224">
        <v>168.87</v>
      </c>
      <c r="I26" s="224">
        <v>171.28</v>
      </c>
      <c r="J26" s="224">
        <v>173.71</v>
      </c>
      <c r="K26" s="224">
        <v>176.15</v>
      </c>
      <c r="L26" s="224">
        <v>178.58</v>
      </c>
      <c r="M26" s="224">
        <v>181.01</v>
      </c>
      <c r="N26" s="224">
        <v>183.45</v>
      </c>
      <c r="O26" s="224">
        <v>185.87</v>
      </c>
      <c r="P26" s="224">
        <v>188.31</v>
      </c>
      <c r="Q26" s="224">
        <v>190.74</v>
      </c>
      <c r="R26" s="224">
        <v>193.17</v>
      </c>
      <c r="S26" s="224">
        <v>195.6</v>
      </c>
      <c r="T26" s="224">
        <v>198.04</v>
      </c>
      <c r="U26" s="224">
        <v>200.47</v>
      </c>
      <c r="V26" s="224">
        <v>202.9</v>
      </c>
      <c r="W26" s="224">
        <v>205.34</v>
      </c>
      <c r="X26" s="224">
        <v>207.75</v>
      </c>
      <c r="Y26" s="224">
        <v>210.19</v>
      </c>
      <c r="Z26" s="224">
        <v>212.62</v>
      </c>
      <c r="AA26" s="224">
        <v>215.05</v>
      </c>
      <c r="AB26" s="224">
        <v>217.49</v>
      </c>
      <c r="AC26" s="224">
        <v>219.93</v>
      </c>
      <c r="AD26" s="224">
        <v>222.36</v>
      </c>
      <c r="AE26" s="224">
        <v>224.79</v>
      </c>
      <c r="AF26" s="224">
        <v>227.23</v>
      </c>
      <c r="AG26" s="224">
        <v>229.64</v>
      </c>
      <c r="AH26" s="224">
        <v>232.08</v>
      </c>
      <c r="AI26" s="224">
        <v>234.51</v>
      </c>
      <c r="AJ26" s="224">
        <v>236.95</v>
      </c>
      <c r="AK26" s="224">
        <v>239.38</v>
      </c>
      <c r="AL26" s="224">
        <v>241.81</v>
      </c>
      <c r="AM26" s="224">
        <v>244.25</v>
      </c>
      <c r="AN26" s="224">
        <v>246.67</v>
      </c>
      <c r="AO26" s="224">
        <v>249.11</v>
      </c>
      <c r="AP26" s="224">
        <v>251.55</v>
      </c>
      <c r="AQ26" s="224">
        <v>253.99</v>
      </c>
      <c r="AR26" s="224">
        <v>256.43</v>
      </c>
      <c r="AS26" s="224">
        <v>258.87</v>
      </c>
      <c r="AT26" s="224">
        <v>261.31</v>
      </c>
      <c r="AU26" s="224">
        <v>263.75</v>
      </c>
      <c r="AV26" s="224">
        <v>266.19</v>
      </c>
      <c r="AW26" s="224">
        <v>268.63</v>
      </c>
      <c r="AX26" s="224">
        <v>271.08</v>
      </c>
      <c r="AY26" s="224">
        <v>273.51</v>
      </c>
      <c r="AZ26" s="224">
        <v>275.95</v>
      </c>
      <c r="BA26" s="224">
        <v>278.39</v>
      </c>
      <c r="BB26" s="224">
        <v>280.83</v>
      </c>
      <c r="BC26" s="224">
        <v>283.27</v>
      </c>
      <c r="BD26" s="224">
        <v>285.70999999999998</v>
      </c>
      <c r="BE26" s="714">
        <f t="shared" ref="BE26:BQ26" si="66">ROUND(BD26+$CB26,2)</f>
        <v>288.14999999999998</v>
      </c>
      <c r="BF26" s="714">
        <f t="shared" si="66"/>
        <v>290.58999999999997</v>
      </c>
      <c r="BG26" s="714">
        <f t="shared" si="66"/>
        <v>293.02999999999997</v>
      </c>
      <c r="BH26" s="714">
        <f t="shared" si="66"/>
        <v>295.47000000000003</v>
      </c>
      <c r="BI26" s="714">
        <f t="shared" si="66"/>
        <v>297.91000000000003</v>
      </c>
      <c r="BJ26" s="714">
        <f t="shared" si="66"/>
        <v>300.35000000000002</v>
      </c>
      <c r="BK26" s="714">
        <f t="shared" si="66"/>
        <v>302.79000000000002</v>
      </c>
      <c r="BL26" s="714">
        <f t="shared" si="66"/>
        <v>305.23</v>
      </c>
      <c r="BM26" s="714">
        <f t="shared" si="66"/>
        <v>307.67</v>
      </c>
      <c r="BN26" s="714">
        <f t="shared" si="66"/>
        <v>310.11</v>
      </c>
      <c r="BO26" s="714">
        <f t="shared" si="66"/>
        <v>312.55</v>
      </c>
      <c r="BP26" s="714">
        <f t="shared" si="66"/>
        <v>314.99</v>
      </c>
      <c r="BQ26" s="714">
        <f t="shared" si="66"/>
        <v>317.43</v>
      </c>
      <c r="BR26" s="714">
        <f t="shared" ref="BR26:CA26" si="67">ROUND(BQ26+$CB26,2)</f>
        <v>319.87</v>
      </c>
      <c r="BS26" s="714">
        <f t="shared" si="67"/>
        <v>322.31</v>
      </c>
      <c r="BT26" s="714">
        <f t="shared" si="67"/>
        <v>324.75</v>
      </c>
      <c r="BU26" s="714">
        <f t="shared" si="67"/>
        <v>327.19</v>
      </c>
      <c r="BV26" s="714">
        <f t="shared" si="67"/>
        <v>329.63</v>
      </c>
      <c r="BW26" s="714">
        <f t="shared" si="67"/>
        <v>332.07</v>
      </c>
      <c r="BX26" s="714">
        <f t="shared" si="67"/>
        <v>334.51</v>
      </c>
      <c r="BY26" s="714">
        <f t="shared" si="67"/>
        <v>336.95</v>
      </c>
      <c r="BZ26" s="714">
        <f t="shared" si="67"/>
        <v>339.39</v>
      </c>
      <c r="CA26" s="714">
        <f t="shared" si="67"/>
        <v>341.83</v>
      </c>
      <c r="CB26" s="224">
        <f t="shared" si="26"/>
        <v>2.44</v>
      </c>
    </row>
    <row r="27" spans="1:80" s="66" customFormat="1" hidden="1">
      <c r="A27" s="96" t="s">
        <v>482</v>
      </c>
      <c r="B27" s="97" t="s">
        <v>250</v>
      </c>
      <c r="C27" s="98">
        <v>14.42</v>
      </c>
      <c r="D27" s="349">
        <v>2.13</v>
      </c>
      <c r="E27" s="99" t="s">
        <v>345</v>
      </c>
      <c r="F27" s="227">
        <v>136.84</v>
      </c>
      <c r="G27" s="227">
        <v>138.97</v>
      </c>
      <c r="H27" s="227">
        <v>141.08000000000001</v>
      </c>
      <c r="I27" s="227">
        <v>143.21</v>
      </c>
      <c r="J27" s="227">
        <v>145.33000000000001</v>
      </c>
      <c r="K27" s="227">
        <v>147.47</v>
      </c>
      <c r="L27" s="227">
        <v>149.59</v>
      </c>
      <c r="M27" s="227">
        <v>151.72</v>
      </c>
      <c r="N27" s="227">
        <v>153.83000000000001</v>
      </c>
      <c r="O27" s="227">
        <v>155.96</v>
      </c>
      <c r="P27" s="227">
        <v>158.09</v>
      </c>
      <c r="Q27" s="227">
        <v>160.22</v>
      </c>
      <c r="R27" s="227">
        <v>162.35</v>
      </c>
      <c r="S27" s="227">
        <v>164.47</v>
      </c>
      <c r="T27" s="227">
        <v>166.59</v>
      </c>
      <c r="U27" s="227">
        <v>168.71</v>
      </c>
      <c r="V27" s="227">
        <v>170.85</v>
      </c>
      <c r="W27" s="227">
        <v>172.97</v>
      </c>
      <c r="X27" s="227">
        <v>175.1</v>
      </c>
      <c r="Y27" s="227">
        <v>177.22</v>
      </c>
      <c r="Z27" s="227">
        <v>179.34</v>
      </c>
      <c r="AA27" s="227">
        <v>181.48</v>
      </c>
      <c r="AB27" s="227">
        <v>183.6</v>
      </c>
      <c r="AC27" s="227">
        <v>185.73</v>
      </c>
      <c r="AD27" s="227">
        <v>187.85</v>
      </c>
      <c r="AE27" s="227">
        <v>189.98</v>
      </c>
      <c r="AF27" s="227">
        <v>192.11</v>
      </c>
      <c r="AG27" s="227">
        <v>194.25</v>
      </c>
      <c r="AH27" s="227">
        <v>196.38</v>
      </c>
      <c r="AI27" s="227">
        <v>198.52</v>
      </c>
      <c r="AJ27" s="227">
        <v>200.65</v>
      </c>
      <c r="AK27" s="227">
        <v>202.8</v>
      </c>
      <c r="AL27" s="227">
        <v>204.94</v>
      </c>
      <c r="AM27" s="227">
        <v>207.08</v>
      </c>
      <c r="AN27" s="227">
        <v>209.2</v>
      </c>
      <c r="AO27" s="227">
        <v>211.35</v>
      </c>
      <c r="AP27" s="227">
        <v>213.49</v>
      </c>
      <c r="AQ27" s="227">
        <v>215.63</v>
      </c>
      <c r="AR27" s="227">
        <v>217.77</v>
      </c>
      <c r="AS27" s="227">
        <v>219.92</v>
      </c>
      <c r="AT27" s="227">
        <v>222.06</v>
      </c>
      <c r="AU27" s="227">
        <v>224.2</v>
      </c>
      <c r="AV27" s="227">
        <v>226.34</v>
      </c>
      <c r="AW27" s="227">
        <v>228.48</v>
      </c>
      <c r="AX27" s="227">
        <v>230.63</v>
      </c>
      <c r="AY27" s="227">
        <v>232.77</v>
      </c>
      <c r="AZ27" s="227">
        <v>234.91</v>
      </c>
      <c r="BA27" s="227">
        <v>237.05</v>
      </c>
      <c r="BB27" s="227">
        <v>239.2</v>
      </c>
      <c r="BC27" s="227">
        <v>241.34</v>
      </c>
      <c r="BD27" s="227">
        <v>243.49</v>
      </c>
      <c r="BE27" s="714">
        <f t="shared" ref="BE27:BQ27" si="68">ROUND(BD27+$CB27,2)</f>
        <v>245.64</v>
      </c>
      <c r="BF27" s="714">
        <f t="shared" si="68"/>
        <v>247.79</v>
      </c>
      <c r="BG27" s="714">
        <f t="shared" si="68"/>
        <v>249.94</v>
      </c>
      <c r="BH27" s="714">
        <f t="shared" si="68"/>
        <v>252.09</v>
      </c>
      <c r="BI27" s="714">
        <f t="shared" si="68"/>
        <v>254.24</v>
      </c>
      <c r="BJ27" s="714">
        <f t="shared" si="68"/>
        <v>256.39</v>
      </c>
      <c r="BK27" s="714">
        <f t="shared" si="68"/>
        <v>258.54000000000002</v>
      </c>
      <c r="BL27" s="714">
        <f t="shared" si="68"/>
        <v>260.69</v>
      </c>
      <c r="BM27" s="714">
        <f t="shared" si="68"/>
        <v>262.83999999999997</v>
      </c>
      <c r="BN27" s="714">
        <f t="shared" si="68"/>
        <v>264.99</v>
      </c>
      <c r="BO27" s="714">
        <f t="shared" si="68"/>
        <v>267.14</v>
      </c>
      <c r="BP27" s="714">
        <f t="shared" si="68"/>
        <v>269.29000000000002</v>
      </c>
      <c r="BQ27" s="714">
        <f t="shared" si="68"/>
        <v>271.44</v>
      </c>
      <c r="BR27" s="714">
        <f t="shared" ref="BR27:CA27" si="69">ROUND(BQ27+$CB27,2)</f>
        <v>273.58999999999997</v>
      </c>
      <c r="BS27" s="714">
        <f t="shared" si="69"/>
        <v>275.74</v>
      </c>
      <c r="BT27" s="714">
        <f t="shared" si="69"/>
        <v>277.89</v>
      </c>
      <c r="BU27" s="714">
        <f t="shared" si="69"/>
        <v>280.04000000000002</v>
      </c>
      <c r="BV27" s="714">
        <f t="shared" si="69"/>
        <v>282.19</v>
      </c>
      <c r="BW27" s="714">
        <f t="shared" si="69"/>
        <v>284.33999999999997</v>
      </c>
      <c r="BX27" s="714">
        <f t="shared" si="69"/>
        <v>286.49</v>
      </c>
      <c r="BY27" s="714">
        <f t="shared" si="69"/>
        <v>288.64</v>
      </c>
      <c r="BZ27" s="714">
        <f t="shared" si="69"/>
        <v>290.79000000000002</v>
      </c>
      <c r="CA27" s="714">
        <f t="shared" si="69"/>
        <v>292.94</v>
      </c>
      <c r="CB27" s="224">
        <f t="shared" si="26"/>
        <v>2.15</v>
      </c>
    </row>
    <row r="28" spans="1:80" s="66" customFormat="1" hidden="1">
      <c r="A28" s="87" t="s">
        <v>483</v>
      </c>
      <c r="B28" s="88" t="s">
        <v>250</v>
      </c>
      <c r="C28" s="89"/>
      <c r="D28" s="67">
        <v>2.25</v>
      </c>
      <c r="E28" s="68" t="s">
        <v>332</v>
      </c>
      <c r="F28" s="224">
        <v>142.79</v>
      </c>
      <c r="G28" s="224">
        <v>145.04</v>
      </c>
      <c r="H28" s="224">
        <v>147.31</v>
      </c>
      <c r="I28" s="224">
        <v>149.58000000000001</v>
      </c>
      <c r="J28" s="224">
        <v>151.83000000000001</v>
      </c>
      <c r="K28" s="224">
        <v>154.1</v>
      </c>
      <c r="L28" s="224">
        <v>156.35</v>
      </c>
      <c r="M28" s="224">
        <v>158.62</v>
      </c>
      <c r="N28" s="224">
        <v>160.88999999999999</v>
      </c>
      <c r="O28" s="224">
        <v>163.13999999999999</v>
      </c>
      <c r="P28" s="224">
        <v>165.41</v>
      </c>
      <c r="Q28" s="224">
        <v>167.67</v>
      </c>
      <c r="R28" s="224">
        <v>169.95</v>
      </c>
      <c r="S28" s="224">
        <v>172.21</v>
      </c>
      <c r="T28" s="224">
        <v>174.46</v>
      </c>
      <c r="U28" s="224">
        <v>176.74</v>
      </c>
      <c r="V28" s="224">
        <v>178.99</v>
      </c>
      <c r="W28" s="224">
        <v>181.27</v>
      </c>
      <c r="X28" s="224">
        <v>183.53</v>
      </c>
      <c r="Y28" s="224">
        <v>185.79</v>
      </c>
      <c r="Z28" s="224">
        <v>188.06</v>
      </c>
      <c r="AA28" s="224">
        <v>190.32</v>
      </c>
      <c r="AB28" s="224">
        <v>192.59</v>
      </c>
      <c r="AC28" s="224">
        <v>194.86</v>
      </c>
      <c r="AD28" s="224">
        <v>197.11</v>
      </c>
      <c r="AE28" s="224">
        <v>199.38</v>
      </c>
      <c r="AF28" s="224">
        <v>201.64</v>
      </c>
      <c r="AG28" s="224">
        <v>203.91</v>
      </c>
      <c r="AH28" s="224">
        <v>206.16</v>
      </c>
      <c r="AI28" s="224">
        <v>208.42</v>
      </c>
      <c r="AJ28" s="224">
        <v>210.69</v>
      </c>
      <c r="AK28" s="224">
        <v>212.95</v>
      </c>
      <c r="AL28" s="224">
        <v>215.22</v>
      </c>
      <c r="AM28" s="224">
        <v>217.47</v>
      </c>
      <c r="AN28" s="224">
        <v>219.73</v>
      </c>
      <c r="AO28" s="224">
        <v>222</v>
      </c>
      <c r="AP28" s="224">
        <v>224.25</v>
      </c>
      <c r="AQ28" s="224">
        <v>226.52</v>
      </c>
      <c r="AR28" s="224">
        <v>228.77</v>
      </c>
      <c r="AS28" s="224">
        <v>231.03</v>
      </c>
      <c r="AT28" s="224">
        <v>233.3</v>
      </c>
      <c r="AU28" s="224">
        <v>235.55</v>
      </c>
      <c r="AV28" s="224">
        <v>237.81</v>
      </c>
      <c r="AW28" s="224">
        <v>240.07</v>
      </c>
      <c r="AX28" s="224">
        <v>242.33</v>
      </c>
      <c r="AY28" s="224">
        <v>244.59</v>
      </c>
      <c r="AZ28" s="224">
        <v>246.85</v>
      </c>
      <c r="BA28" s="224">
        <v>249.11</v>
      </c>
      <c r="BB28" s="224">
        <v>251.37</v>
      </c>
      <c r="BC28" s="224">
        <v>253.63</v>
      </c>
      <c r="BD28" s="224">
        <v>255.89</v>
      </c>
      <c r="BE28" s="714">
        <f t="shared" ref="BE28:BQ28" si="70">ROUND(BD28+$CB28,2)</f>
        <v>258.14999999999998</v>
      </c>
      <c r="BF28" s="714">
        <f t="shared" si="70"/>
        <v>260.41000000000003</v>
      </c>
      <c r="BG28" s="714">
        <f t="shared" si="70"/>
        <v>262.67</v>
      </c>
      <c r="BH28" s="714">
        <f t="shared" si="70"/>
        <v>264.93</v>
      </c>
      <c r="BI28" s="714">
        <f t="shared" si="70"/>
        <v>267.19</v>
      </c>
      <c r="BJ28" s="714">
        <f t="shared" si="70"/>
        <v>269.45</v>
      </c>
      <c r="BK28" s="714">
        <f t="shared" si="70"/>
        <v>271.70999999999998</v>
      </c>
      <c r="BL28" s="714">
        <f t="shared" si="70"/>
        <v>273.97000000000003</v>
      </c>
      <c r="BM28" s="714">
        <f t="shared" si="70"/>
        <v>276.23</v>
      </c>
      <c r="BN28" s="714">
        <f t="shared" si="70"/>
        <v>278.49</v>
      </c>
      <c r="BO28" s="714">
        <f t="shared" si="70"/>
        <v>280.75</v>
      </c>
      <c r="BP28" s="714">
        <f t="shared" si="70"/>
        <v>283.01</v>
      </c>
      <c r="BQ28" s="714">
        <f t="shared" si="70"/>
        <v>285.27</v>
      </c>
      <c r="BR28" s="714">
        <f t="shared" ref="BR28:CA28" si="71">ROUND(BQ28+$CB28,2)</f>
        <v>287.52999999999997</v>
      </c>
      <c r="BS28" s="714">
        <f t="shared" si="71"/>
        <v>289.79000000000002</v>
      </c>
      <c r="BT28" s="714">
        <f t="shared" si="71"/>
        <v>292.05</v>
      </c>
      <c r="BU28" s="714">
        <f t="shared" si="71"/>
        <v>294.31</v>
      </c>
      <c r="BV28" s="714">
        <f t="shared" si="71"/>
        <v>296.57</v>
      </c>
      <c r="BW28" s="714">
        <f t="shared" si="71"/>
        <v>298.83</v>
      </c>
      <c r="BX28" s="714">
        <f t="shared" si="71"/>
        <v>301.08999999999997</v>
      </c>
      <c r="BY28" s="714">
        <f t="shared" si="71"/>
        <v>303.35000000000002</v>
      </c>
      <c r="BZ28" s="714">
        <f t="shared" si="71"/>
        <v>305.61</v>
      </c>
      <c r="CA28" s="714">
        <f t="shared" si="71"/>
        <v>307.87</v>
      </c>
      <c r="CB28" s="224">
        <f t="shared" si="26"/>
        <v>2.2599999999999998</v>
      </c>
    </row>
    <row r="29" spans="1:80" s="66" customFormat="1" hidden="1">
      <c r="A29" s="87" t="s">
        <v>484</v>
      </c>
      <c r="B29" s="88" t="s">
        <v>150</v>
      </c>
      <c r="C29" s="89"/>
      <c r="D29" s="67">
        <v>2.5499999999999998</v>
      </c>
      <c r="E29" s="68" t="s">
        <v>345</v>
      </c>
      <c r="F29" s="224">
        <v>258.83</v>
      </c>
      <c r="G29" s="224">
        <v>261.38</v>
      </c>
      <c r="H29" s="224">
        <v>263.94</v>
      </c>
      <c r="I29" s="224">
        <v>266.5</v>
      </c>
      <c r="J29" s="224">
        <v>269.06</v>
      </c>
      <c r="K29" s="224">
        <v>271.61</v>
      </c>
      <c r="L29" s="224">
        <v>274.17</v>
      </c>
      <c r="M29" s="224">
        <v>276.73</v>
      </c>
      <c r="N29" s="224">
        <v>279.27999999999997</v>
      </c>
      <c r="O29" s="224">
        <v>281.83999999999997</v>
      </c>
      <c r="P29" s="224">
        <v>284.39</v>
      </c>
      <c r="Q29" s="224">
        <v>286.95</v>
      </c>
      <c r="R29" s="224">
        <v>289.51</v>
      </c>
      <c r="S29" s="224">
        <v>292.07</v>
      </c>
      <c r="T29" s="224">
        <v>294.62</v>
      </c>
      <c r="U29" s="224">
        <v>297.18</v>
      </c>
      <c r="V29" s="224">
        <v>299.74</v>
      </c>
      <c r="W29" s="224">
        <v>302.29000000000002</v>
      </c>
      <c r="X29" s="224">
        <v>304.85000000000002</v>
      </c>
      <c r="Y29" s="224">
        <v>307.39999999999998</v>
      </c>
      <c r="Z29" s="224">
        <v>309.97000000000003</v>
      </c>
      <c r="AA29" s="224">
        <v>312.52</v>
      </c>
      <c r="AB29" s="224">
        <v>315.08</v>
      </c>
      <c r="AC29" s="224">
        <v>317.63</v>
      </c>
      <c r="AD29" s="224">
        <v>320.19</v>
      </c>
      <c r="AE29" s="224">
        <v>322.75</v>
      </c>
      <c r="AF29" s="224">
        <v>325.3</v>
      </c>
      <c r="AG29" s="224">
        <v>327.86</v>
      </c>
      <c r="AH29" s="224">
        <v>330.41</v>
      </c>
      <c r="AI29" s="224">
        <v>332.98</v>
      </c>
      <c r="AJ29" s="224">
        <v>335.53</v>
      </c>
      <c r="AK29" s="224">
        <v>338.09</v>
      </c>
      <c r="AL29" s="224">
        <v>340.64</v>
      </c>
      <c r="AM29" s="224">
        <v>343.21</v>
      </c>
      <c r="AN29" s="224">
        <v>345.76</v>
      </c>
      <c r="AO29" s="224">
        <v>348.32</v>
      </c>
      <c r="AP29" s="224">
        <v>350.87</v>
      </c>
      <c r="AQ29" s="224">
        <v>353.42</v>
      </c>
      <c r="AR29" s="224">
        <v>355.99</v>
      </c>
      <c r="AS29" s="224">
        <v>358.54</v>
      </c>
      <c r="AT29" s="224">
        <v>361.1</v>
      </c>
      <c r="AU29" s="224">
        <v>363.65</v>
      </c>
      <c r="AV29" s="224">
        <v>366.22</v>
      </c>
      <c r="AW29" s="224">
        <v>368.77</v>
      </c>
      <c r="AX29" s="224">
        <v>371.33</v>
      </c>
      <c r="AY29" s="224">
        <v>373.88</v>
      </c>
      <c r="AZ29" s="224">
        <v>376.43</v>
      </c>
      <c r="BA29" s="224">
        <v>379</v>
      </c>
      <c r="BB29" s="224">
        <v>381.55</v>
      </c>
      <c r="BC29" s="224">
        <v>384.11</v>
      </c>
      <c r="BD29" s="224">
        <v>386.66</v>
      </c>
      <c r="BE29" s="714">
        <f t="shared" ref="BE29:BQ29" si="72">ROUND(BD29+$CB29,2)</f>
        <v>389.21</v>
      </c>
      <c r="BF29" s="714">
        <f t="shared" si="72"/>
        <v>391.76</v>
      </c>
      <c r="BG29" s="714">
        <f t="shared" si="72"/>
        <v>394.31</v>
      </c>
      <c r="BH29" s="714">
        <f t="shared" si="72"/>
        <v>396.86</v>
      </c>
      <c r="BI29" s="714">
        <f t="shared" si="72"/>
        <v>399.41</v>
      </c>
      <c r="BJ29" s="714">
        <f t="shared" si="72"/>
        <v>401.96</v>
      </c>
      <c r="BK29" s="714">
        <f t="shared" si="72"/>
        <v>404.51</v>
      </c>
      <c r="BL29" s="714">
        <f t="shared" si="72"/>
        <v>407.06</v>
      </c>
      <c r="BM29" s="714">
        <f t="shared" si="72"/>
        <v>409.61</v>
      </c>
      <c r="BN29" s="714">
        <f t="shared" si="72"/>
        <v>412.16</v>
      </c>
      <c r="BO29" s="714">
        <f t="shared" si="72"/>
        <v>414.71</v>
      </c>
      <c r="BP29" s="714">
        <f t="shared" si="72"/>
        <v>417.26</v>
      </c>
      <c r="BQ29" s="714">
        <f t="shared" si="72"/>
        <v>419.81</v>
      </c>
      <c r="BR29" s="714">
        <f t="shared" ref="BR29:CA29" si="73">ROUND(BQ29+$CB29,2)</f>
        <v>422.36</v>
      </c>
      <c r="BS29" s="714">
        <f t="shared" si="73"/>
        <v>424.91</v>
      </c>
      <c r="BT29" s="714">
        <f t="shared" si="73"/>
        <v>427.46</v>
      </c>
      <c r="BU29" s="714">
        <f t="shared" si="73"/>
        <v>430.01</v>
      </c>
      <c r="BV29" s="714">
        <f t="shared" si="73"/>
        <v>432.56</v>
      </c>
      <c r="BW29" s="714">
        <f t="shared" si="73"/>
        <v>435.11</v>
      </c>
      <c r="BX29" s="714">
        <f t="shared" si="73"/>
        <v>437.66</v>
      </c>
      <c r="BY29" s="714">
        <f t="shared" si="73"/>
        <v>440.21</v>
      </c>
      <c r="BZ29" s="714">
        <f t="shared" si="73"/>
        <v>442.76</v>
      </c>
      <c r="CA29" s="714">
        <f t="shared" si="73"/>
        <v>445.31</v>
      </c>
      <c r="CB29" s="224">
        <f t="shared" si="26"/>
        <v>2.5499999999999998</v>
      </c>
    </row>
    <row r="30" spans="1:80" s="66" customFormat="1" hidden="1">
      <c r="A30" s="87" t="s">
        <v>485</v>
      </c>
      <c r="B30" s="88" t="s">
        <v>250</v>
      </c>
      <c r="C30" s="89"/>
      <c r="D30" s="67">
        <v>2.56</v>
      </c>
      <c r="E30" s="68" t="s">
        <v>345</v>
      </c>
      <c r="F30" s="224">
        <v>253.14</v>
      </c>
      <c r="G30" s="224">
        <v>255.7</v>
      </c>
      <c r="H30" s="224">
        <v>258.25</v>
      </c>
      <c r="I30" s="224">
        <v>260.82</v>
      </c>
      <c r="J30" s="224">
        <v>263.37</v>
      </c>
      <c r="K30" s="224">
        <v>265.93</v>
      </c>
      <c r="L30" s="224">
        <v>268.48</v>
      </c>
      <c r="M30" s="224">
        <v>271.02999999999997</v>
      </c>
      <c r="N30" s="224">
        <v>273.60000000000002</v>
      </c>
      <c r="O30" s="224">
        <v>276.14999999999998</v>
      </c>
      <c r="P30" s="224">
        <v>278.70999999999998</v>
      </c>
      <c r="Q30" s="224">
        <v>281.26</v>
      </c>
      <c r="R30" s="224">
        <v>283.83</v>
      </c>
      <c r="S30" s="224">
        <v>286.38</v>
      </c>
      <c r="T30" s="224">
        <v>288.94</v>
      </c>
      <c r="U30" s="224">
        <v>291.49</v>
      </c>
      <c r="V30" s="224">
        <v>294.05</v>
      </c>
      <c r="W30" s="224">
        <v>296.61</v>
      </c>
      <c r="X30" s="224">
        <v>299.16000000000003</v>
      </c>
      <c r="Y30" s="224">
        <v>301.72000000000003</v>
      </c>
      <c r="Z30" s="224">
        <v>304.27</v>
      </c>
      <c r="AA30" s="224">
        <v>306.83999999999997</v>
      </c>
      <c r="AB30" s="224">
        <v>309.39</v>
      </c>
      <c r="AC30" s="224">
        <v>311.95</v>
      </c>
      <c r="AD30" s="224">
        <v>314.5</v>
      </c>
      <c r="AE30" s="224">
        <v>317.06</v>
      </c>
      <c r="AF30" s="224">
        <v>319.63</v>
      </c>
      <c r="AG30" s="224">
        <v>322.18</v>
      </c>
      <c r="AH30" s="224">
        <v>324.74</v>
      </c>
      <c r="AI30" s="224">
        <v>327.3</v>
      </c>
      <c r="AJ30" s="224">
        <v>329.86</v>
      </c>
      <c r="AK30" s="224">
        <v>332.41</v>
      </c>
      <c r="AL30" s="224">
        <v>334.97</v>
      </c>
      <c r="AM30" s="224">
        <v>337.52</v>
      </c>
      <c r="AN30" s="224">
        <v>340.09</v>
      </c>
      <c r="AO30" s="224">
        <v>342.64</v>
      </c>
      <c r="AP30" s="224">
        <v>345.19</v>
      </c>
      <c r="AQ30" s="224">
        <v>347.75</v>
      </c>
      <c r="AR30" s="224">
        <v>350.31</v>
      </c>
      <c r="AS30" s="224">
        <v>352.87</v>
      </c>
      <c r="AT30" s="224">
        <v>355.42</v>
      </c>
      <c r="AU30" s="224">
        <v>357.98</v>
      </c>
      <c r="AV30" s="224">
        <v>360.54</v>
      </c>
      <c r="AW30" s="224">
        <v>363.1</v>
      </c>
      <c r="AX30" s="224">
        <v>365.65</v>
      </c>
      <c r="AY30" s="224">
        <v>368.2</v>
      </c>
      <c r="AZ30" s="224">
        <v>370.76</v>
      </c>
      <c r="BA30" s="224">
        <v>373.32</v>
      </c>
      <c r="BB30" s="224">
        <v>375.88</v>
      </c>
      <c r="BC30" s="224">
        <v>378.43</v>
      </c>
      <c r="BD30" s="224">
        <v>380.99</v>
      </c>
      <c r="BE30" s="714">
        <f t="shared" ref="BE30:BQ30" si="74">ROUND(BD30+$CB30,2)</f>
        <v>383.55</v>
      </c>
      <c r="BF30" s="714">
        <f t="shared" si="74"/>
        <v>386.11</v>
      </c>
      <c r="BG30" s="714">
        <f t="shared" si="74"/>
        <v>388.67</v>
      </c>
      <c r="BH30" s="714">
        <f t="shared" si="74"/>
        <v>391.23</v>
      </c>
      <c r="BI30" s="714">
        <f t="shared" si="74"/>
        <v>393.79</v>
      </c>
      <c r="BJ30" s="714">
        <f t="shared" si="74"/>
        <v>396.35</v>
      </c>
      <c r="BK30" s="714">
        <f t="shared" si="74"/>
        <v>398.91</v>
      </c>
      <c r="BL30" s="714">
        <f t="shared" si="74"/>
        <v>401.47</v>
      </c>
      <c r="BM30" s="714">
        <f t="shared" si="74"/>
        <v>404.03</v>
      </c>
      <c r="BN30" s="714">
        <f t="shared" si="74"/>
        <v>406.59</v>
      </c>
      <c r="BO30" s="714">
        <f t="shared" si="74"/>
        <v>409.15</v>
      </c>
      <c r="BP30" s="714">
        <f t="shared" si="74"/>
        <v>411.71</v>
      </c>
      <c r="BQ30" s="714">
        <f t="shared" si="74"/>
        <v>414.27</v>
      </c>
      <c r="BR30" s="714">
        <f t="shared" ref="BR30:CA30" si="75">ROUND(BQ30+$CB30,2)</f>
        <v>416.83</v>
      </c>
      <c r="BS30" s="714">
        <f t="shared" si="75"/>
        <v>419.39</v>
      </c>
      <c r="BT30" s="714">
        <f t="shared" si="75"/>
        <v>421.95</v>
      </c>
      <c r="BU30" s="714">
        <f t="shared" si="75"/>
        <v>424.51</v>
      </c>
      <c r="BV30" s="714">
        <f t="shared" si="75"/>
        <v>427.07</v>
      </c>
      <c r="BW30" s="714">
        <f t="shared" si="75"/>
        <v>429.63</v>
      </c>
      <c r="BX30" s="714">
        <f t="shared" si="75"/>
        <v>432.19</v>
      </c>
      <c r="BY30" s="714">
        <f t="shared" si="75"/>
        <v>434.75</v>
      </c>
      <c r="BZ30" s="714">
        <f t="shared" si="75"/>
        <v>437.31</v>
      </c>
      <c r="CA30" s="714">
        <f t="shared" si="75"/>
        <v>439.87</v>
      </c>
      <c r="CB30" s="224">
        <f t="shared" si="26"/>
        <v>2.56</v>
      </c>
    </row>
    <row r="31" spans="1:80" s="66" customFormat="1" hidden="1">
      <c r="A31" s="87" t="s">
        <v>486</v>
      </c>
      <c r="B31" s="88" t="s">
        <v>150</v>
      </c>
      <c r="C31" s="89"/>
      <c r="D31" s="67">
        <v>2.56</v>
      </c>
      <c r="E31" s="68" t="s">
        <v>332</v>
      </c>
      <c r="F31" s="224">
        <v>260.70999999999998</v>
      </c>
      <c r="G31" s="224">
        <v>263.27</v>
      </c>
      <c r="H31" s="224">
        <v>265.83</v>
      </c>
      <c r="I31" s="224">
        <v>268.39</v>
      </c>
      <c r="J31" s="224">
        <v>270.94</v>
      </c>
      <c r="K31" s="224">
        <v>273.5</v>
      </c>
      <c r="L31" s="224">
        <v>276.06</v>
      </c>
      <c r="M31" s="224">
        <v>278.62</v>
      </c>
      <c r="N31" s="224">
        <v>281.17</v>
      </c>
      <c r="O31" s="224">
        <v>283.72000000000003</v>
      </c>
      <c r="P31" s="224">
        <v>286.29000000000002</v>
      </c>
      <c r="Q31" s="224">
        <v>288.83999999999997</v>
      </c>
      <c r="R31" s="224">
        <v>291.39999999999998</v>
      </c>
      <c r="S31" s="224">
        <v>293.95</v>
      </c>
      <c r="T31" s="224">
        <v>296.51</v>
      </c>
      <c r="U31" s="224">
        <v>299.07</v>
      </c>
      <c r="V31" s="224">
        <v>301.63</v>
      </c>
      <c r="W31" s="224">
        <v>304.18</v>
      </c>
      <c r="X31" s="224">
        <v>306.73</v>
      </c>
      <c r="Y31" s="224">
        <v>309.3</v>
      </c>
      <c r="Z31" s="224">
        <v>311.85000000000002</v>
      </c>
      <c r="AA31" s="224">
        <v>314.41000000000003</v>
      </c>
      <c r="AB31" s="224">
        <v>316.95999999999998</v>
      </c>
      <c r="AC31" s="224">
        <v>319.52999999999997</v>
      </c>
      <c r="AD31" s="224">
        <v>322.08</v>
      </c>
      <c r="AE31" s="224">
        <v>324.64</v>
      </c>
      <c r="AF31" s="224">
        <v>327.19</v>
      </c>
      <c r="AG31" s="224">
        <v>329.74</v>
      </c>
      <c r="AH31" s="224">
        <v>332.31</v>
      </c>
      <c r="AI31" s="224">
        <v>334.86</v>
      </c>
      <c r="AJ31" s="224">
        <v>337.42</v>
      </c>
      <c r="AK31" s="224">
        <v>339.97</v>
      </c>
      <c r="AL31" s="224">
        <v>342.54</v>
      </c>
      <c r="AM31" s="224">
        <v>345.09</v>
      </c>
      <c r="AN31" s="224">
        <v>347.65</v>
      </c>
      <c r="AO31" s="224">
        <v>350.2</v>
      </c>
      <c r="AP31" s="224">
        <v>352.76</v>
      </c>
      <c r="AQ31" s="224">
        <v>355.32</v>
      </c>
      <c r="AR31" s="224">
        <v>357.87</v>
      </c>
      <c r="AS31" s="224">
        <v>360.43</v>
      </c>
      <c r="AT31" s="224">
        <v>362.98</v>
      </c>
      <c r="AU31" s="224">
        <v>365.55</v>
      </c>
      <c r="AV31" s="224">
        <v>368.1</v>
      </c>
      <c r="AW31" s="224">
        <v>370.66</v>
      </c>
      <c r="AX31" s="224">
        <v>373.21</v>
      </c>
      <c r="AY31" s="224">
        <v>375.77</v>
      </c>
      <c r="AZ31" s="224">
        <v>378.33</v>
      </c>
      <c r="BA31" s="224">
        <v>380.88</v>
      </c>
      <c r="BB31" s="224">
        <v>383.44</v>
      </c>
      <c r="BC31" s="224">
        <v>386</v>
      </c>
      <c r="BD31" s="224">
        <v>388.56</v>
      </c>
      <c r="BE31" s="714">
        <f t="shared" ref="BE31:BQ31" si="76">ROUND(BD31+$CB31,2)</f>
        <v>391.12</v>
      </c>
      <c r="BF31" s="714">
        <f t="shared" si="76"/>
        <v>393.68</v>
      </c>
      <c r="BG31" s="714">
        <f t="shared" si="76"/>
        <v>396.24</v>
      </c>
      <c r="BH31" s="714">
        <f t="shared" si="76"/>
        <v>398.8</v>
      </c>
      <c r="BI31" s="714">
        <f t="shared" si="76"/>
        <v>401.36</v>
      </c>
      <c r="BJ31" s="714">
        <f t="shared" si="76"/>
        <v>403.92</v>
      </c>
      <c r="BK31" s="714">
        <f t="shared" si="76"/>
        <v>406.48</v>
      </c>
      <c r="BL31" s="714">
        <f t="shared" si="76"/>
        <v>409.04</v>
      </c>
      <c r="BM31" s="714">
        <f t="shared" si="76"/>
        <v>411.6</v>
      </c>
      <c r="BN31" s="714">
        <f t="shared" si="76"/>
        <v>414.16</v>
      </c>
      <c r="BO31" s="714">
        <f t="shared" si="76"/>
        <v>416.72</v>
      </c>
      <c r="BP31" s="714">
        <f t="shared" si="76"/>
        <v>419.28</v>
      </c>
      <c r="BQ31" s="714">
        <f t="shared" si="76"/>
        <v>421.84</v>
      </c>
      <c r="BR31" s="714">
        <f t="shared" ref="BR31:CA31" si="77">ROUND(BQ31+$CB31,2)</f>
        <v>424.4</v>
      </c>
      <c r="BS31" s="714">
        <f t="shared" si="77"/>
        <v>426.96</v>
      </c>
      <c r="BT31" s="714">
        <f t="shared" si="77"/>
        <v>429.52</v>
      </c>
      <c r="BU31" s="714">
        <f t="shared" si="77"/>
        <v>432.08</v>
      </c>
      <c r="BV31" s="714">
        <f t="shared" si="77"/>
        <v>434.64</v>
      </c>
      <c r="BW31" s="714">
        <f t="shared" si="77"/>
        <v>437.2</v>
      </c>
      <c r="BX31" s="714">
        <f t="shared" si="77"/>
        <v>439.76</v>
      </c>
      <c r="BY31" s="714">
        <f t="shared" si="77"/>
        <v>442.32</v>
      </c>
      <c r="BZ31" s="714">
        <f t="shared" si="77"/>
        <v>444.88</v>
      </c>
      <c r="CA31" s="714">
        <f t="shared" si="77"/>
        <v>447.44</v>
      </c>
      <c r="CB31" s="224">
        <f t="shared" si="26"/>
        <v>2.56</v>
      </c>
    </row>
    <row r="32" spans="1:80" s="66" customFormat="1" hidden="1">
      <c r="A32" s="87" t="s">
        <v>487</v>
      </c>
      <c r="B32" s="88" t="s">
        <v>150</v>
      </c>
      <c r="C32" s="89"/>
      <c r="D32" s="67">
        <v>2.5499999999999998</v>
      </c>
      <c r="E32" s="68" t="s">
        <v>332</v>
      </c>
      <c r="F32" s="224">
        <v>257.02</v>
      </c>
      <c r="G32" s="224">
        <v>259.57</v>
      </c>
      <c r="H32" s="224">
        <v>262.12</v>
      </c>
      <c r="I32" s="224">
        <v>264.68</v>
      </c>
      <c r="J32" s="224">
        <v>267.24</v>
      </c>
      <c r="K32" s="224">
        <v>269.8</v>
      </c>
      <c r="L32" s="224">
        <v>272.35000000000002</v>
      </c>
      <c r="M32" s="224">
        <v>274.91000000000003</v>
      </c>
      <c r="N32" s="224">
        <v>277.47000000000003</v>
      </c>
      <c r="O32" s="224">
        <v>280.02999999999997</v>
      </c>
      <c r="P32" s="224">
        <v>282.58</v>
      </c>
      <c r="Q32" s="224">
        <v>285.13</v>
      </c>
      <c r="R32" s="224">
        <v>287.7</v>
      </c>
      <c r="S32" s="224">
        <v>290.25</v>
      </c>
      <c r="T32" s="224">
        <v>292.81</v>
      </c>
      <c r="U32" s="224">
        <v>295.36</v>
      </c>
      <c r="V32" s="224">
        <v>297.92</v>
      </c>
      <c r="W32" s="224">
        <v>300.48</v>
      </c>
      <c r="X32" s="224">
        <v>303.04000000000002</v>
      </c>
      <c r="Y32" s="224">
        <v>305.58999999999997</v>
      </c>
      <c r="Z32" s="224">
        <v>308.14999999999998</v>
      </c>
      <c r="AA32" s="224">
        <v>310.70999999999998</v>
      </c>
      <c r="AB32" s="224">
        <v>313.26</v>
      </c>
      <c r="AC32" s="224">
        <v>315.82</v>
      </c>
      <c r="AD32" s="224">
        <v>318.37</v>
      </c>
      <c r="AE32" s="224">
        <v>320.94</v>
      </c>
      <c r="AF32" s="224">
        <v>323.49</v>
      </c>
      <c r="AG32" s="224">
        <v>326.05</v>
      </c>
      <c r="AH32" s="224">
        <v>328.6</v>
      </c>
      <c r="AI32" s="224">
        <v>331.16</v>
      </c>
      <c r="AJ32" s="224">
        <v>333.72</v>
      </c>
      <c r="AK32" s="224">
        <v>336.27</v>
      </c>
      <c r="AL32" s="224">
        <v>338.83</v>
      </c>
      <c r="AM32" s="224">
        <v>341.38</v>
      </c>
      <c r="AN32" s="224">
        <v>343.95</v>
      </c>
      <c r="AO32" s="224">
        <v>346.5</v>
      </c>
      <c r="AP32" s="224">
        <v>349.06</v>
      </c>
      <c r="AQ32" s="224">
        <v>351.61</v>
      </c>
      <c r="AR32" s="224">
        <v>354.18</v>
      </c>
      <c r="AS32" s="224">
        <v>356.73</v>
      </c>
      <c r="AT32" s="224">
        <v>359.28</v>
      </c>
      <c r="AU32" s="224">
        <v>361.84</v>
      </c>
      <c r="AV32" s="224">
        <v>364.39</v>
      </c>
      <c r="AW32" s="224">
        <v>366.96</v>
      </c>
      <c r="AX32" s="224">
        <v>369.51</v>
      </c>
      <c r="AY32" s="224">
        <v>372.07</v>
      </c>
      <c r="AZ32" s="224">
        <v>374.62</v>
      </c>
      <c r="BA32" s="224">
        <v>377.19</v>
      </c>
      <c r="BB32" s="224">
        <v>379.74</v>
      </c>
      <c r="BC32" s="224">
        <v>382.29</v>
      </c>
      <c r="BD32" s="224">
        <v>384.85</v>
      </c>
      <c r="BE32" s="714">
        <f t="shared" ref="BE32:BQ32" si="78">ROUND(BD32+$CB32,2)</f>
        <v>387.41</v>
      </c>
      <c r="BF32" s="714">
        <f t="shared" si="78"/>
        <v>389.97</v>
      </c>
      <c r="BG32" s="714">
        <f t="shared" si="78"/>
        <v>392.53</v>
      </c>
      <c r="BH32" s="714">
        <f t="shared" si="78"/>
        <v>395.09</v>
      </c>
      <c r="BI32" s="714">
        <f t="shared" si="78"/>
        <v>397.65</v>
      </c>
      <c r="BJ32" s="714">
        <f t="shared" si="78"/>
        <v>400.21</v>
      </c>
      <c r="BK32" s="714">
        <f t="shared" si="78"/>
        <v>402.77</v>
      </c>
      <c r="BL32" s="714">
        <f t="shared" si="78"/>
        <v>405.33</v>
      </c>
      <c r="BM32" s="714">
        <f t="shared" si="78"/>
        <v>407.89</v>
      </c>
      <c r="BN32" s="714">
        <f t="shared" si="78"/>
        <v>410.45</v>
      </c>
      <c r="BO32" s="714">
        <f t="shared" si="78"/>
        <v>413.01</v>
      </c>
      <c r="BP32" s="714">
        <f t="shared" si="78"/>
        <v>415.57</v>
      </c>
      <c r="BQ32" s="714">
        <f t="shared" si="78"/>
        <v>418.13</v>
      </c>
      <c r="BR32" s="714">
        <f t="shared" ref="BR32:CA32" si="79">ROUND(BQ32+$CB32,2)</f>
        <v>420.69</v>
      </c>
      <c r="BS32" s="714">
        <f t="shared" si="79"/>
        <v>423.25</v>
      </c>
      <c r="BT32" s="714">
        <f t="shared" si="79"/>
        <v>425.81</v>
      </c>
      <c r="BU32" s="714">
        <f t="shared" si="79"/>
        <v>428.37</v>
      </c>
      <c r="BV32" s="714">
        <f t="shared" si="79"/>
        <v>430.93</v>
      </c>
      <c r="BW32" s="714">
        <f t="shared" si="79"/>
        <v>433.49</v>
      </c>
      <c r="BX32" s="714">
        <f t="shared" si="79"/>
        <v>436.05</v>
      </c>
      <c r="BY32" s="714">
        <f t="shared" si="79"/>
        <v>438.61</v>
      </c>
      <c r="BZ32" s="714">
        <f t="shared" si="79"/>
        <v>441.17</v>
      </c>
      <c r="CA32" s="714">
        <f t="shared" si="79"/>
        <v>443.73</v>
      </c>
      <c r="CB32" s="224">
        <f t="shared" si="26"/>
        <v>2.56</v>
      </c>
    </row>
    <row r="33" spans="1:83 16376:16376" s="66" customFormat="1" hidden="1">
      <c r="A33" s="87" t="s">
        <v>488</v>
      </c>
      <c r="B33" s="88" t="s">
        <v>250</v>
      </c>
      <c r="C33" s="89"/>
      <c r="D33" s="67">
        <v>2.5499999999999998</v>
      </c>
      <c r="E33" s="68" t="s">
        <v>332</v>
      </c>
      <c r="F33" s="224">
        <v>241.21</v>
      </c>
      <c r="G33" s="224">
        <v>243.76</v>
      </c>
      <c r="H33" s="224">
        <v>246.32</v>
      </c>
      <c r="I33" s="224">
        <v>248.88</v>
      </c>
      <c r="J33" s="224">
        <v>251.43</v>
      </c>
      <c r="K33" s="224">
        <v>253.99</v>
      </c>
      <c r="L33" s="224">
        <v>256.54000000000002</v>
      </c>
      <c r="M33" s="224">
        <v>259.11</v>
      </c>
      <c r="N33" s="224">
        <v>261.66000000000003</v>
      </c>
      <c r="O33" s="224">
        <v>264.22000000000003</v>
      </c>
      <c r="P33" s="224">
        <v>266.77</v>
      </c>
      <c r="Q33" s="224">
        <v>269.33</v>
      </c>
      <c r="R33" s="224">
        <v>271.89</v>
      </c>
      <c r="S33" s="224">
        <v>274.44</v>
      </c>
      <c r="T33" s="224">
        <v>277.01</v>
      </c>
      <c r="U33" s="224">
        <v>279.57</v>
      </c>
      <c r="V33" s="224">
        <v>282.13</v>
      </c>
      <c r="W33" s="224">
        <v>284.68</v>
      </c>
      <c r="X33" s="224">
        <v>287.24</v>
      </c>
      <c r="Y33" s="224">
        <v>289.79000000000002</v>
      </c>
      <c r="Z33" s="224">
        <v>292.36</v>
      </c>
      <c r="AA33" s="224">
        <v>294.91000000000003</v>
      </c>
      <c r="AB33" s="224">
        <v>297.45999999999998</v>
      </c>
      <c r="AC33" s="224">
        <v>300.02</v>
      </c>
      <c r="AD33" s="224">
        <v>302.58</v>
      </c>
      <c r="AE33" s="224">
        <v>305.14</v>
      </c>
      <c r="AF33" s="224">
        <v>307.69</v>
      </c>
      <c r="AG33" s="224">
        <v>310.25</v>
      </c>
      <c r="AH33" s="224">
        <v>312.81</v>
      </c>
      <c r="AI33" s="224">
        <v>315.37</v>
      </c>
      <c r="AJ33" s="224">
        <v>317.92</v>
      </c>
      <c r="AK33" s="224">
        <v>320.47000000000003</v>
      </c>
      <c r="AL33" s="224">
        <v>323.02999999999997</v>
      </c>
      <c r="AM33" s="224">
        <v>325.58999999999997</v>
      </c>
      <c r="AN33" s="224">
        <v>328.15</v>
      </c>
      <c r="AO33" s="224">
        <v>330.7</v>
      </c>
      <c r="AP33" s="224">
        <v>333.26</v>
      </c>
      <c r="AQ33" s="224">
        <v>335.82</v>
      </c>
      <c r="AR33" s="224">
        <v>338.38</v>
      </c>
      <c r="AS33" s="224">
        <v>340.93</v>
      </c>
      <c r="AT33" s="224">
        <v>343.48</v>
      </c>
      <c r="AU33" s="224">
        <v>346.05</v>
      </c>
      <c r="AV33" s="224">
        <v>348.6</v>
      </c>
      <c r="AW33" s="224">
        <v>351.16</v>
      </c>
      <c r="AX33" s="224">
        <v>353.71</v>
      </c>
      <c r="AY33" s="224">
        <v>356.27</v>
      </c>
      <c r="AZ33" s="224">
        <v>358.83</v>
      </c>
      <c r="BA33" s="224">
        <v>361.39</v>
      </c>
      <c r="BB33" s="224">
        <v>363.94</v>
      </c>
      <c r="BC33" s="224">
        <v>366.49</v>
      </c>
      <c r="BD33" s="224">
        <v>369.06</v>
      </c>
      <c r="BE33" s="714">
        <f t="shared" ref="BE33:BQ33" si="80">ROUND(BD33+$CB33,2)</f>
        <v>371.63</v>
      </c>
      <c r="BF33" s="714">
        <f t="shared" si="80"/>
        <v>374.2</v>
      </c>
      <c r="BG33" s="714">
        <f t="shared" si="80"/>
        <v>376.77</v>
      </c>
      <c r="BH33" s="714">
        <f t="shared" si="80"/>
        <v>379.34</v>
      </c>
      <c r="BI33" s="714">
        <f t="shared" si="80"/>
        <v>381.91</v>
      </c>
      <c r="BJ33" s="714">
        <f t="shared" si="80"/>
        <v>384.48</v>
      </c>
      <c r="BK33" s="714">
        <f t="shared" si="80"/>
        <v>387.05</v>
      </c>
      <c r="BL33" s="714">
        <f t="shared" si="80"/>
        <v>389.62</v>
      </c>
      <c r="BM33" s="714">
        <f t="shared" si="80"/>
        <v>392.19</v>
      </c>
      <c r="BN33" s="714">
        <f t="shared" si="80"/>
        <v>394.76</v>
      </c>
      <c r="BO33" s="714">
        <f t="shared" si="80"/>
        <v>397.33</v>
      </c>
      <c r="BP33" s="714">
        <f t="shared" si="80"/>
        <v>399.9</v>
      </c>
      <c r="BQ33" s="714">
        <f t="shared" si="80"/>
        <v>402.47</v>
      </c>
      <c r="BR33" s="714">
        <f t="shared" ref="BR33:CA33" si="81">ROUND(BQ33+$CB33,2)</f>
        <v>405.04</v>
      </c>
      <c r="BS33" s="714">
        <f t="shared" si="81"/>
        <v>407.61</v>
      </c>
      <c r="BT33" s="714">
        <f t="shared" si="81"/>
        <v>410.18</v>
      </c>
      <c r="BU33" s="714">
        <f t="shared" si="81"/>
        <v>412.75</v>
      </c>
      <c r="BV33" s="714">
        <f t="shared" si="81"/>
        <v>415.32</v>
      </c>
      <c r="BW33" s="714">
        <f t="shared" si="81"/>
        <v>417.89</v>
      </c>
      <c r="BX33" s="714">
        <f t="shared" si="81"/>
        <v>420.46</v>
      </c>
      <c r="BY33" s="714">
        <f t="shared" si="81"/>
        <v>423.03</v>
      </c>
      <c r="BZ33" s="714">
        <f t="shared" si="81"/>
        <v>425.6</v>
      </c>
      <c r="CA33" s="714">
        <f t="shared" si="81"/>
        <v>428.17</v>
      </c>
      <c r="CB33" s="224">
        <f t="shared" si="26"/>
        <v>2.57</v>
      </c>
    </row>
    <row r="34" spans="1:83 16376:16376" s="66" customFormat="1" hidden="1">
      <c r="A34" s="87" t="s">
        <v>489</v>
      </c>
      <c r="B34" s="88" t="s">
        <v>150</v>
      </c>
      <c r="C34" s="89"/>
      <c r="D34" s="67">
        <v>2.5499999999999998</v>
      </c>
      <c r="E34" s="68" t="s">
        <v>332</v>
      </c>
      <c r="F34" s="224">
        <v>177.8</v>
      </c>
      <c r="G34" s="224">
        <v>180.35</v>
      </c>
      <c r="H34" s="224">
        <v>182.91</v>
      </c>
      <c r="I34" s="224">
        <v>185.46</v>
      </c>
      <c r="J34" s="224">
        <v>188.03</v>
      </c>
      <c r="K34" s="224">
        <v>190.58</v>
      </c>
      <c r="L34" s="224">
        <v>193.14</v>
      </c>
      <c r="M34" s="224">
        <v>195.69</v>
      </c>
      <c r="N34" s="224">
        <v>198.25</v>
      </c>
      <c r="O34" s="224">
        <v>200.81</v>
      </c>
      <c r="P34" s="224">
        <v>203.36</v>
      </c>
      <c r="Q34" s="224">
        <v>205.92</v>
      </c>
      <c r="R34" s="224">
        <v>208.48</v>
      </c>
      <c r="S34" s="224">
        <v>211.04</v>
      </c>
      <c r="T34" s="224">
        <v>213.59</v>
      </c>
      <c r="U34" s="224">
        <v>216.15</v>
      </c>
      <c r="V34" s="224">
        <v>218.7</v>
      </c>
      <c r="W34" s="224">
        <v>221.26</v>
      </c>
      <c r="X34" s="224">
        <v>223.82</v>
      </c>
      <c r="Y34" s="224">
        <v>226.38</v>
      </c>
      <c r="Z34" s="224">
        <v>228.94</v>
      </c>
      <c r="AA34" s="224">
        <v>231.5</v>
      </c>
      <c r="AB34" s="224">
        <v>234.06</v>
      </c>
      <c r="AC34" s="224">
        <v>236.61</v>
      </c>
      <c r="AD34" s="224">
        <v>239.17</v>
      </c>
      <c r="AE34" s="224">
        <v>241.73</v>
      </c>
      <c r="AF34" s="224">
        <v>244.29</v>
      </c>
      <c r="AG34" s="224">
        <v>246.84</v>
      </c>
      <c r="AH34" s="224">
        <v>249.39</v>
      </c>
      <c r="AI34" s="224">
        <v>251.95</v>
      </c>
      <c r="AJ34" s="224">
        <v>254.51</v>
      </c>
      <c r="AK34" s="224">
        <v>257.07</v>
      </c>
      <c r="AL34" s="224">
        <v>259.62</v>
      </c>
      <c r="AM34" s="224">
        <v>262.18</v>
      </c>
      <c r="AN34" s="224">
        <v>264.74</v>
      </c>
      <c r="AO34" s="224">
        <v>267.3</v>
      </c>
      <c r="AP34" s="224">
        <v>269.85000000000002</v>
      </c>
      <c r="AQ34" s="224">
        <v>272.39999999999998</v>
      </c>
      <c r="AR34" s="224">
        <v>274.97000000000003</v>
      </c>
      <c r="AS34" s="224">
        <v>277.52</v>
      </c>
      <c r="AT34" s="224">
        <v>280.08</v>
      </c>
      <c r="AU34" s="224">
        <v>282.63</v>
      </c>
      <c r="AV34" s="224">
        <v>285.19</v>
      </c>
      <c r="AW34" s="224">
        <v>287.75</v>
      </c>
      <c r="AX34" s="224">
        <v>290.31</v>
      </c>
      <c r="AY34" s="224">
        <v>292.86</v>
      </c>
      <c r="AZ34" s="224">
        <v>295.41000000000003</v>
      </c>
      <c r="BA34" s="224">
        <v>297.98</v>
      </c>
      <c r="BB34" s="224">
        <v>300.52999999999997</v>
      </c>
      <c r="BC34" s="224">
        <v>303.08999999999997</v>
      </c>
      <c r="BD34" s="224">
        <v>305.64</v>
      </c>
      <c r="BE34" s="714">
        <f t="shared" ref="BE34:BQ34" si="82">ROUND(BD34+$CB34,2)</f>
        <v>308.19</v>
      </c>
      <c r="BF34" s="714">
        <f t="shared" si="82"/>
        <v>310.74</v>
      </c>
      <c r="BG34" s="714">
        <f t="shared" si="82"/>
        <v>313.29000000000002</v>
      </c>
      <c r="BH34" s="714">
        <f t="shared" si="82"/>
        <v>315.83999999999997</v>
      </c>
      <c r="BI34" s="714">
        <f t="shared" si="82"/>
        <v>318.39</v>
      </c>
      <c r="BJ34" s="714">
        <f t="shared" si="82"/>
        <v>320.94</v>
      </c>
      <c r="BK34" s="714">
        <f t="shared" si="82"/>
        <v>323.49</v>
      </c>
      <c r="BL34" s="714">
        <f t="shared" si="82"/>
        <v>326.04000000000002</v>
      </c>
      <c r="BM34" s="714">
        <f t="shared" si="82"/>
        <v>328.59</v>
      </c>
      <c r="BN34" s="714">
        <f t="shared" si="82"/>
        <v>331.14</v>
      </c>
      <c r="BO34" s="714">
        <f t="shared" si="82"/>
        <v>333.69</v>
      </c>
      <c r="BP34" s="714">
        <f t="shared" si="82"/>
        <v>336.24</v>
      </c>
      <c r="BQ34" s="714">
        <f t="shared" si="82"/>
        <v>338.79</v>
      </c>
      <c r="BR34" s="714">
        <f t="shared" ref="BR34:CA34" si="83">ROUND(BQ34+$CB34,2)</f>
        <v>341.34</v>
      </c>
      <c r="BS34" s="714">
        <f t="shared" si="83"/>
        <v>343.89</v>
      </c>
      <c r="BT34" s="714">
        <f t="shared" si="83"/>
        <v>346.44</v>
      </c>
      <c r="BU34" s="714">
        <f t="shared" si="83"/>
        <v>348.99</v>
      </c>
      <c r="BV34" s="714">
        <f t="shared" si="83"/>
        <v>351.54</v>
      </c>
      <c r="BW34" s="714">
        <f t="shared" si="83"/>
        <v>354.09</v>
      </c>
      <c r="BX34" s="714">
        <f t="shared" si="83"/>
        <v>356.64</v>
      </c>
      <c r="BY34" s="714">
        <f t="shared" si="83"/>
        <v>359.19</v>
      </c>
      <c r="BZ34" s="714">
        <f t="shared" si="83"/>
        <v>361.74</v>
      </c>
      <c r="CA34" s="714">
        <f t="shared" si="83"/>
        <v>364.29</v>
      </c>
      <c r="CB34" s="224">
        <f t="shared" si="26"/>
        <v>2.5499999999999998</v>
      </c>
    </row>
    <row r="35" spans="1:83 16376:16376" s="66" customFormat="1" hidden="1">
      <c r="A35" s="87" t="s">
        <v>490</v>
      </c>
      <c r="B35" s="88" t="s">
        <v>250</v>
      </c>
      <c r="C35" s="89"/>
      <c r="D35" s="67">
        <v>2.57</v>
      </c>
      <c r="E35" s="68" t="s">
        <v>332</v>
      </c>
      <c r="F35" s="224">
        <v>161.72999999999999</v>
      </c>
      <c r="G35" s="224">
        <v>164.3</v>
      </c>
      <c r="H35" s="224">
        <v>166.85</v>
      </c>
      <c r="I35" s="224">
        <v>169.4</v>
      </c>
      <c r="J35" s="224">
        <v>171.96</v>
      </c>
      <c r="K35" s="224">
        <v>174.52</v>
      </c>
      <c r="L35" s="224">
        <v>177.08</v>
      </c>
      <c r="M35" s="224">
        <v>179.63</v>
      </c>
      <c r="N35" s="224">
        <v>182.19</v>
      </c>
      <c r="O35" s="224">
        <v>184.74</v>
      </c>
      <c r="P35" s="224">
        <v>187.31</v>
      </c>
      <c r="Q35" s="224">
        <v>189.86</v>
      </c>
      <c r="R35" s="224">
        <v>192.41</v>
      </c>
      <c r="S35" s="224">
        <v>194.97</v>
      </c>
      <c r="T35" s="224">
        <v>197.53</v>
      </c>
      <c r="U35" s="224">
        <v>200.09</v>
      </c>
      <c r="V35" s="224">
        <v>202.64</v>
      </c>
      <c r="W35" s="224">
        <v>205.2</v>
      </c>
      <c r="X35" s="224">
        <v>207.75</v>
      </c>
      <c r="Y35" s="224">
        <v>210.32</v>
      </c>
      <c r="Z35" s="224">
        <v>212.87</v>
      </c>
      <c r="AA35" s="224">
        <v>215.42</v>
      </c>
      <c r="AB35" s="224">
        <v>217.98</v>
      </c>
      <c r="AC35" s="224">
        <v>220.54</v>
      </c>
      <c r="AD35" s="224">
        <v>223.11</v>
      </c>
      <c r="AE35" s="224">
        <v>225.66</v>
      </c>
      <c r="AF35" s="224">
        <v>228.22</v>
      </c>
      <c r="AG35" s="224">
        <v>230.78</v>
      </c>
      <c r="AH35" s="224">
        <v>233.34</v>
      </c>
      <c r="AI35" s="224">
        <v>235.89</v>
      </c>
      <c r="AJ35" s="224">
        <v>238.45</v>
      </c>
      <c r="AK35" s="224">
        <v>241.01</v>
      </c>
      <c r="AL35" s="224">
        <v>243.56</v>
      </c>
      <c r="AM35" s="224">
        <v>246.12</v>
      </c>
      <c r="AN35" s="224">
        <v>248.67</v>
      </c>
      <c r="AO35" s="224">
        <v>251.23</v>
      </c>
      <c r="AP35" s="224">
        <v>253.79</v>
      </c>
      <c r="AQ35" s="224">
        <v>256.35000000000002</v>
      </c>
      <c r="AR35" s="224">
        <v>258.89999999999998</v>
      </c>
      <c r="AS35" s="224">
        <v>261.45999999999998</v>
      </c>
      <c r="AT35" s="224">
        <v>264.02</v>
      </c>
      <c r="AU35" s="224">
        <v>266.57</v>
      </c>
      <c r="AV35" s="224">
        <v>269.13</v>
      </c>
      <c r="AW35" s="224">
        <v>271.68</v>
      </c>
      <c r="AX35" s="224">
        <v>274.25</v>
      </c>
      <c r="AY35" s="224">
        <v>276.8</v>
      </c>
      <c r="AZ35" s="224">
        <v>279.36</v>
      </c>
      <c r="BA35" s="224">
        <v>281.91000000000003</v>
      </c>
      <c r="BB35" s="224">
        <v>284.47000000000003</v>
      </c>
      <c r="BC35" s="224">
        <v>287.02999999999997</v>
      </c>
      <c r="BD35" s="224">
        <v>289.58</v>
      </c>
      <c r="BE35" s="714">
        <f t="shared" ref="BE35:BQ35" si="84">ROUND(BD35+$CB35,2)</f>
        <v>292.13</v>
      </c>
      <c r="BF35" s="714">
        <f t="shared" si="84"/>
        <v>294.68</v>
      </c>
      <c r="BG35" s="714">
        <f t="shared" si="84"/>
        <v>297.23</v>
      </c>
      <c r="BH35" s="714">
        <f t="shared" si="84"/>
        <v>299.77999999999997</v>
      </c>
      <c r="BI35" s="714">
        <f t="shared" si="84"/>
        <v>302.33</v>
      </c>
      <c r="BJ35" s="714">
        <f t="shared" si="84"/>
        <v>304.88</v>
      </c>
      <c r="BK35" s="714">
        <f t="shared" si="84"/>
        <v>307.43</v>
      </c>
      <c r="BL35" s="714">
        <f t="shared" si="84"/>
        <v>309.98</v>
      </c>
      <c r="BM35" s="714">
        <f t="shared" si="84"/>
        <v>312.52999999999997</v>
      </c>
      <c r="BN35" s="714">
        <f t="shared" si="84"/>
        <v>315.08</v>
      </c>
      <c r="BO35" s="714">
        <f t="shared" si="84"/>
        <v>317.63</v>
      </c>
      <c r="BP35" s="714">
        <f t="shared" si="84"/>
        <v>320.18</v>
      </c>
      <c r="BQ35" s="714">
        <f t="shared" si="84"/>
        <v>322.73</v>
      </c>
      <c r="BR35" s="714">
        <f t="shared" ref="BR35:CA35" si="85">ROUND(BQ35+$CB35,2)</f>
        <v>325.27999999999997</v>
      </c>
      <c r="BS35" s="714">
        <f t="shared" si="85"/>
        <v>327.83</v>
      </c>
      <c r="BT35" s="714">
        <f t="shared" si="85"/>
        <v>330.38</v>
      </c>
      <c r="BU35" s="714">
        <f t="shared" si="85"/>
        <v>332.93</v>
      </c>
      <c r="BV35" s="714">
        <f t="shared" si="85"/>
        <v>335.48</v>
      </c>
      <c r="BW35" s="714">
        <f t="shared" si="85"/>
        <v>338.03</v>
      </c>
      <c r="BX35" s="714">
        <f t="shared" si="85"/>
        <v>340.58</v>
      </c>
      <c r="BY35" s="714">
        <f t="shared" si="85"/>
        <v>343.13</v>
      </c>
      <c r="BZ35" s="714">
        <f t="shared" si="85"/>
        <v>345.68</v>
      </c>
      <c r="CA35" s="714">
        <f t="shared" si="85"/>
        <v>348.23</v>
      </c>
      <c r="CB35" s="224">
        <f t="shared" si="26"/>
        <v>2.5499999999999998</v>
      </c>
    </row>
    <row r="36" spans="1:83 16376:16376" s="66" customFormat="1" hidden="1">
      <c r="A36" s="87" t="s">
        <v>491</v>
      </c>
      <c r="B36" s="88" t="s">
        <v>150</v>
      </c>
      <c r="C36" s="89"/>
      <c r="D36" s="67">
        <v>2.85</v>
      </c>
      <c r="E36" s="68" t="s">
        <v>332</v>
      </c>
      <c r="F36" s="224">
        <v>272.74</v>
      </c>
      <c r="G36" s="224">
        <v>275.58999999999997</v>
      </c>
      <c r="H36" s="224">
        <v>278.42</v>
      </c>
      <c r="I36" s="224">
        <v>281.26</v>
      </c>
      <c r="J36" s="224">
        <v>284.10000000000002</v>
      </c>
      <c r="K36" s="224">
        <v>286.95</v>
      </c>
      <c r="L36" s="224">
        <v>289.79000000000002</v>
      </c>
      <c r="M36" s="224">
        <v>292.62</v>
      </c>
      <c r="N36" s="224">
        <v>295.48</v>
      </c>
      <c r="O36" s="224">
        <v>298.32</v>
      </c>
      <c r="P36" s="224">
        <v>301.16000000000003</v>
      </c>
      <c r="Q36" s="224">
        <v>304</v>
      </c>
      <c r="R36" s="224">
        <v>306.83999999999997</v>
      </c>
      <c r="S36" s="224">
        <v>309.68</v>
      </c>
      <c r="T36" s="224">
        <v>312.52</v>
      </c>
      <c r="U36" s="224">
        <v>315.37</v>
      </c>
      <c r="V36" s="224">
        <v>318.20999999999998</v>
      </c>
      <c r="W36" s="224">
        <v>321.04000000000002</v>
      </c>
      <c r="X36" s="224">
        <v>323.88</v>
      </c>
      <c r="Y36" s="224">
        <v>326.73</v>
      </c>
      <c r="Z36" s="224">
        <v>329.57</v>
      </c>
      <c r="AA36" s="224">
        <v>332.41</v>
      </c>
      <c r="AB36" s="224">
        <v>335.24</v>
      </c>
      <c r="AC36" s="224">
        <v>338.09</v>
      </c>
      <c r="AD36" s="224">
        <v>340.93</v>
      </c>
      <c r="AE36" s="224">
        <v>343.77</v>
      </c>
      <c r="AF36" s="224">
        <v>346.62</v>
      </c>
      <c r="AG36" s="224">
        <v>349.45</v>
      </c>
      <c r="AH36" s="224">
        <v>352.29</v>
      </c>
      <c r="AI36" s="224">
        <v>355.13</v>
      </c>
      <c r="AJ36" s="224">
        <v>357.98</v>
      </c>
      <c r="AK36" s="224">
        <v>360.82</v>
      </c>
      <c r="AL36" s="224">
        <v>363.65</v>
      </c>
      <c r="AM36" s="224">
        <v>366.49</v>
      </c>
      <c r="AN36" s="224">
        <v>369.34</v>
      </c>
      <c r="AO36" s="224">
        <v>372.18</v>
      </c>
      <c r="AP36" s="224">
        <v>375.03</v>
      </c>
      <c r="AQ36" s="224">
        <v>377.88</v>
      </c>
      <c r="AR36" s="224">
        <v>380.72</v>
      </c>
      <c r="AS36" s="224">
        <v>383.56</v>
      </c>
      <c r="AT36" s="224">
        <v>386.4</v>
      </c>
      <c r="AU36" s="224">
        <v>389.25</v>
      </c>
      <c r="AV36" s="224">
        <v>392.09</v>
      </c>
      <c r="AW36" s="224">
        <v>394.93</v>
      </c>
      <c r="AX36" s="224">
        <v>397.78</v>
      </c>
      <c r="AY36" s="224">
        <v>400.62</v>
      </c>
      <c r="AZ36" s="224">
        <v>403.46</v>
      </c>
      <c r="BA36" s="224">
        <v>406.3</v>
      </c>
      <c r="BB36" s="224">
        <v>409.15</v>
      </c>
      <c r="BC36" s="224">
        <v>411.99</v>
      </c>
      <c r="BD36" s="224">
        <v>414.83</v>
      </c>
      <c r="BE36" s="714">
        <f t="shared" ref="BE36:BQ36" si="86">ROUND(BD36+$CB36,2)</f>
        <v>417.67</v>
      </c>
      <c r="BF36" s="714">
        <f t="shared" si="86"/>
        <v>420.51</v>
      </c>
      <c r="BG36" s="714">
        <f t="shared" si="86"/>
        <v>423.35</v>
      </c>
      <c r="BH36" s="714">
        <f t="shared" si="86"/>
        <v>426.19</v>
      </c>
      <c r="BI36" s="714">
        <f t="shared" si="86"/>
        <v>429.03</v>
      </c>
      <c r="BJ36" s="714">
        <f t="shared" si="86"/>
        <v>431.87</v>
      </c>
      <c r="BK36" s="714">
        <f t="shared" si="86"/>
        <v>434.71</v>
      </c>
      <c r="BL36" s="714">
        <f t="shared" si="86"/>
        <v>437.55</v>
      </c>
      <c r="BM36" s="714">
        <f t="shared" si="86"/>
        <v>440.39</v>
      </c>
      <c r="BN36" s="714">
        <f t="shared" si="86"/>
        <v>443.23</v>
      </c>
      <c r="BO36" s="714">
        <f t="shared" si="86"/>
        <v>446.07</v>
      </c>
      <c r="BP36" s="714">
        <f t="shared" si="86"/>
        <v>448.91</v>
      </c>
      <c r="BQ36" s="714">
        <f t="shared" si="86"/>
        <v>451.75</v>
      </c>
      <c r="BR36" s="714">
        <f t="shared" ref="BR36:CA36" si="87">ROUND(BQ36+$CB36,2)</f>
        <v>454.59</v>
      </c>
      <c r="BS36" s="714">
        <f t="shared" si="87"/>
        <v>457.43</v>
      </c>
      <c r="BT36" s="714">
        <f t="shared" si="87"/>
        <v>460.27</v>
      </c>
      <c r="BU36" s="714">
        <f t="shared" si="87"/>
        <v>463.11</v>
      </c>
      <c r="BV36" s="714">
        <f t="shared" si="87"/>
        <v>465.95</v>
      </c>
      <c r="BW36" s="714">
        <f t="shared" si="87"/>
        <v>468.79</v>
      </c>
      <c r="BX36" s="714">
        <f t="shared" si="87"/>
        <v>471.63</v>
      </c>
      <c r="BY36" s="714">
        <f t="shared" si="87"/>
        <v>474.47</v>
      </c>
      <c r="BZ36" s="714">
        <f t="shared" si="87"/>
        <v>477.31</v>
      </c>
      <c r="CA36" s="714">
        <f t="shared" si="87"/>
        <v>480.15</v>
      </c>
      <c r="CB36" s="224">
        <f t="shared" si="26"/>
        <v>2.84</v>
      </c>
    </row>
    <row r="37" spans="1:83 16376:16376" s="66" customFormat="1" hidden="1">
      <c r="C37" s="67"/>
      <c r="D37" s="67"/>
      <c r="E37" s="68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24"/>
      <c r="AF37" s="224"/>
      <c r="AG37" s="224"/>
      <c r="AH37" s="224"/>
      <c r="AI37" s="224"/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714"/>
      <c r="BF37" s="714"/>
      <c r="BG37" s="714"/>
      <c r="BH37" s="714"/>
      <c r="BI37" s="714"/>
      <c r="BJ37" s="714"/>
      <c r="BK37" s="714"/>
      <c r="BL37" s="714"/>
      <c r="BM37" s="714"/>
      <c r="BN37" s="714"/>
      <c r="BO37" s="714"/>
      <c r="BP37" s="714"/>
      <c r="BQ37" s="714"/>
      <c r="BR37" s="714"/>
      <c r="BS37" s="714"/>
      <c r="BT37" s="714"/>
      <c r="BU37" s="714"/>
      <c r="BV37" s="714"/>
      <c r="BW37" s="714"/>
      <c r="BX37" s="714"/>
      <c r="BY37" s="714"/>
      <c r="BZ37" s="714"/>
      <c r="CA37" s="714"/>
    </row>
    <row r="38" spans="1:83 16376:16376" s="66" customFormat="1" hidden="1">
      <c r="A38" s="100" t="s">
        <v>492</v>
      </c>
      <c r="B38" s="101"/>
      <c r="C38" s="67"/>
      <c r="D38" s="67"/>
      <c r="E38" s="68"/>
      <c r="F38" s="224"/>
      <c r="G38" s="224"/>
      <c r="H38" s="224"/>
      <c r="I38" s="224"/>
      <c r="J38" s="224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>
        <f t="shared" ref="AU38:BD38" si="88">AR36+$F36</f>
        <v>653.46</v>
      </c>
      <c r="AV38" s="224">
        <f t="shared" si="88"/>
        <v>656.3</v>
      </c>
      <c r="AW38" s="224">
        <f t="shared" si="88"/>
        <v>659.14</v>
      </c>
      <c r="AX38" s="224">
        <f t="shared" si="88"/>
        <v>661.99</v>
      </c>
      <c r="AY38" s="224">
        <f t="shared" si="88"/>
        <v>664.82999999999993</v>
      </c>
      <c r="AZ38" s="224">
        <f t="shared" si="88"/>
        <v>667.67000000000007</v>
      </c>
      <c r="BA38" s="224">
        <f t="shared" si="88"/>
        <v>670.52</v>
      </c>
      <c r="BB38" s="224">
        <f t="shared" si="88"/>
        <v>673.36</v>
      </c>
      <c r="BC38" s="224">
        <f t="shared" si="88"/>
        <v>676.2</v>
      </c>
      <c r="BD38" s="224">
        <f t="shared" si="88"/>
        <v>679.04</v>
      </c>
      <c r="BE38" s="714">
        <f t="shared" ref="BE38:BQ38" si="89">ROUND(BD38+$CB38,2)</f>
        <v>681.88</v>
      </c>
      <c r="BF38" s="714">
        <f t="shared" si="89"/>
        <v>684.72</v>
      </c>
      <c r="BG38" s="714">
        <f t="shared" si="89"/>
        <v>687.56</v>
      </c>
      <c r="BH38" s="714">
        <f t="shared" si="89"/>
        <v>690.4</v>
      </c>
      <c r="BI38" s="714">
        <f t="shared" si="89"/>
        <v>693.24</v>
      </c>
      <c r="BJ38" s="714">
        <f t="shared" si="89"/>
        <v>696.08</v>
      </c>
      <c r="BK38" s="714">
        <f t="shared" si="89"/>
        <v>698.92</v>
      </c>
      <c r="BL38" s="714">
        <f t="shared" si="89"/>
        <v>701.76</v>
      </c>
      <c r="BM38" s="714">
        <f t="shared" si="89"/>
        <v>704.6</v>
      </c>
      <c r="BN38" s="714">
        <f t="shared" si="89"/>
        <v>707.44</v>
      </c>
      <c r="BO38" s="714">
        <f t="shared" si="89"/>
        <v>710.28</v>
      </c>
      <c r="BP38" s="714">
        <f t="shared" si="89"/>
        <v>713.12</v>
      </c>
      <c r="BQ38" s="714">
        <f t="shared" si="89"/>
        <v>715.96</v>
      </c>
      <c r="BR38" s="714">
        <f t="shared" ref="BR38:CA38" si="90">ROUND(BQ38+$CB38,2)</f>
        <v>718.8</v>
      </c>
      <c r="BS38" s="714">
        <f t="shared" si="90"/>
        <v>721.64</v>
      </c>
      <c r="BT38" s="714">
        <f t="shared" si="90"/>
        <v>724.48</v>
      </c>
      <c r="BU38" s="714">
        <f t="shared" si="90"/>
        <v>727.32</v>
      </c>
      <c r="BV38" s="714">
        <f t="shared" si="90"/>
        <v>730.16</v>
      </c>
      <c r="BW38" s="714">
        <f t="shared" si="90"/>
        <v>733</v>
      </c>
      <c r="BX38" s="714">
        <f t="shared" si="90"/>
        <v>735.84</v>
      </c>
      <c r="BY38" s="714">
        <f t="shared" si="90"/>
        <v>738.68</v>
      </c>
      <c r="BZ38" s="714">
        <f t="shared" si="90"/>
        <v>741.52</v>
      </c>
      <c r="CA38" s="714">
        <f t="shared" si="90"/>
        <v>744.36</v>
      </c>
      <c r="CB38" s="224">
        <f>ROUND(BD38-BC38,2)</f>
        <v>2.84</v>
      </c>
    </row>
    <row r="39" spans="1:83 16376:16376" s="66" customFormat="1" hidden="1">
      <c r="A39" s="66" t="s">
        <v>493</v>
      </c>
      <c r="C39" s="67"/>
      <c r="D39" s="67"/>
      <c r="E39" s="68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F39" s="714"/>
      <c r="CB39" s="224">
        <f>ROUND(BD39-BC39,2)</f>
        <v>0</v>
      </c>
    </row>
    <row r="40" spans="1:83 16376:16376" s="66" customFormat="1" hidden="1">
      <c r="A40" s="76" t="s">
        <v>494</v>
      </c>
      <c r="C40" s="67"/>
      <c r="D40" s="67"/>
      <c r="E40" s="68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CB40" s="224">
        <f>ROUND(BD40-BC40,2)</f>
        <v>0</v>
      </c>
    </row>
    <row r="41" spans="1:83 16376:16376"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spans="1:83 16376:16376">
      <c r="A42" s="102" t="s">
        <v>452</v>
      </c>
      <c r="C42" s="42"/>
      <c r="E42" s="41"/>
      <c r="AC42" s="103"/>
    </row>
    <row r="43" spans="1:83 16376:16376">
      <c r="A43" s="104" t="s">
        <v>454</v>
      </c>
      <c r="B43" s="105"/>
      <c r="C43" s="29"/>
      <c r="E43" s="41"/>
      <c r="I43" s="39"/>
    </row>
    <row r="44" spans="1:83 16376:16376">
      <c r="A44" s="106" t="s">
        <v>455</v>
      </c>
      <c r="B44" s="105"/>
      <c r="C44" s="29"/>
      <c r="E44" s="41"/>
      <c r="I44" s="39"/>
      <c r="V44" s="220"/>
      <c r="AO44" s="222"/>
    </row>
    <row r="45" spans="1:83 16376:16376">
      <c r="A45" s="108" t="s">
        <v>495</v>
      </c>
    </row>
    <row r="46" spans="1:83 16376:16376">
      <c r="A46" s="109" t="s">
        <v>496</v>
      </c>
      <c r="B46" s="110" t="s">
        <v>458</v>
      </c>
      <c r="C46" s="54" t="s">
        <v>327</v>
      </c>
      <c r="D46" s="112" t="s">
        <v>459</v>
      </c>
      <c r="E46" s="111" t="s">
        <v>460</v>
      </c>
      <c r="F46" s="112">
        <v>35000</v>
      </c>
      <c r="G46" s="112">
        <v>36000</v>
      </c>
      <c r="H46" s="112">
        <v>37000</v>
      </c>
      <c r="I46" s="54">
        <v>38000</v>
      </c>
      <c r="J46" s="112">
        <v>39000</v>
      </c>
      <c r="K46" s="112">
        <v>40000</v>
      </c>
      <c r="L46" s="112">
        <v>41000</v>
      </c>
      <c r="M46" s="112">
        <v>42000</v>
      </c>
      <c r="N46" s="112">
        <v>43000</v>
      </c>
      <c r="O46" s="112">
        <v>44000</v>
      </c>
      <c r="P46" s="112">
        <v>45000</v>
      </c>
      <c r="Q46" s="112">
        <v>46000</v>
      </c>
      <c r="R46" s="112">
        <v>47000</v>
      </c>
      <c r="S46" s="112">
        <v>48000</v>
      </c>
      <c r="T46" s="113">
        <v>49000</v>
      </c>
      <c r="U46" s="113">
        <v>50000</v>
      </c>
      <c r="V46" s="113">
        <v>51000</v>
      </c>
      <c r="W46" s="113">
        <v>52000</v>
      </c>
      <c r="X46" s="113">
        <v>53000</v>
      </c>
      <c r="Y46" s="113">
        <v>54000</v>
      </c>
      <c r="Z46" s="113">
        <v>55000</v>
      </c>
      <c r="AA46" s="113">
        <v>56000</v>
      </c>
      <c r="AB46" s="113">
        <v>57000</v>
      </c>
      <c r="AC46" s="113">
        <v>58000</v>
      </c>
      <c r="AD46" s="113">
        <v>59000</v>
      </c>
      <c r="AE46" s="113">
        <v>60000</v>
      </c>
      <c r="AF46" s="113">
        <v>61000</v>
      </c>
      <c r="AG46" s="113">
        <v>62000</v>
      </c>
      <c r="AH46" s="113">
        <v>63000</v>
      </c>
      <c r="AI46" s="113">
        <v>64000</v>
      </c>
      <c r="AJ46" s="113">
        <v>65000</v>
      </c>
      <c r="AK46" s="113">
        <v>66000</v>
      </c>
      <c r="AL46" s="113">
        <v>67000</v>
      </c>
      <c r="AM46" s="113">
        <v>68000</v>
      </c>
      <c r="AN46" s="113">
        <v>69000</v>
      </c>
      <c r="AO46" s="113">
        <v>70000</v>
      </c>
      <c r="AP46" s="113">
        <f>AO46+1000</f>
        <v>71000</v>
      </c>
      <c r="AQ46" s="113">
        <f t="shared" ref="AQ46" si="91">AP46+1000</f>
        <v>72000</v>
      </c>
      <c r="AR46" s="113">
        <f t="shared" ref="AR46" si="92">AQ46+1000</f>
        <v>73000</v>
      </c>
      <c r="AS46" s="113">
        <f t="shared" ref="AS46" si="93">AR46+1000</f>
        <v>74000</v>
      </c>
      <c r="AT46" s="113">
        <f t="shared" ref="AT46" si="94">AS46+1000</f>
        <v>75000</v>
      </c>
      <c r="AU46" s="113">
        <f t="shared" ref="AU46" si="95">AT46+1000</f>
        <v>76000</v>
      </c>
      <c r="AV46" s="113">
        <f t="shared" ref="AV46" si="96">AU46+1000</f>
        <v>77000</v>
      </c>
      <c r="AW46" s="113">
        <f t="shared" ref="AW46" si="97">AV46+1000</f>
        <v>78000</v>
      </c>
      <c r="AX46" s="113">
        <f t="shared" ref="AX46" si="98">AW46+1000</f>
        <v>79000</v>
      </c>
      <c r="AY46" s="113">
        <f t="shared" ref="AY46" si="99">AX46+1000</f>
        <v>80000</v>
      </c>
      <c r="AZ46" s="113">
        <f t="shared" ref="AZ46" si="100">AY46+1000</f>
        <v>81000</v>
      </c>
      <c r="BA46" s="113">
        <f t="shared" ref="BA46" si="101">AZ46+1000</f>
        <v>82000</v>
      </c>
      <c r="BB46" s="113">
        <f t="shared" ref="BB46" si="102">BA46+1000</f>
        <v>83000</v>
      </c>
      <c r="BC46" s="113">
        <f t="shared" ref="BC46" si="103">BB46+1000</f>
        <v>84000</v>
      </c>
      <c r="BD46" s="113">
        <f t="shared" ref="BD46" si="104">BC46+1000</f>
        <v>85000</v>
      </c>
      <c r="BE46" s="113">
        <f t="shared" ref="BE46" si="105">BD46+1000</f>
        <v>86000</v>
      </c>
      <c r="BF46" s="113">
        <f t="shared" ref="BF46" si="106">BE46+1000</f>
        <v>87000</v>
      </c>
      <c r="BG46" s="113">
        <f t="shared" ref="BG46" si="107">BF46+1000</f>
        <v>88000</v>
      </c>
      <c r="BH46" s="113">
        <f t="shared" ref="BH46" si="108">BG46+1000</f>
        <v>89000</v>
      </c>
      <c r="BI46" s="113">
        <f t="shared" ref="BI46" si="109">BH46+1000</f>
        <v>90000</v>
      </c>
      <c r="BJ46" s="113">
        <f t="shared" ref="BJ46" si="110">BI46+1000</f>
        <v>91000</v>
      </c>
      <c r="BK46" s="113">
        <f t="shared" ref="BK46" si="111">BJ46+1000</f>
        <v>92000</v>
      </c>
      <c r="BL46" s="113">
        <f t="shared" ref="BL46" si="112">BK46+1000</f>
        <v>93000</v>
      </c>
      <c r="BM46" s="113">
        <f t="shared" ref="BM46" si="113">BL46+1000</f>
        <v>94000</v>
      </c>
      <c r="BN46" s="113">
        <f t="shared" ref="BN46" si="114">BM46+1000</f>
        <v>95000</v>
      </c>
      <c r="BO46" s="113">
        <f t="shared" ref="BO46" si="115">BN46+1000</f>
        <v>96000</v>
      </c>
      <c r="BP46" s="113">
        <f t="shared" ref="BP46" si="116">BO46+1000</f>
        <v>97000</v>
      </c>
      <c r="BQ46" s="113">
        <f t="shared" ref="BQ46" si="117">BP46+1000</f>
        <v>98000</v>
      </c>
      <c r="BR46" s="113">
        <f t="shared" ref="BR46" si="118">BQ46+1000</f>
        <v>99000</v>
      </c>
      <c r="BS46" s="113">
        <f t="shared" ref="BS46" si="119">BR46+1000</f>
        <v>100000</v>
      </c>
      <c r="BT46" s="113">
        <f t="shared" ref="BT46" si="120">BS46+1000</f>
        <v>101000</v>
      </c>
      <c r="BU46" s="113">
        <f t="shared" ref="BU46" si="121">BT46+1000</f>
        <v>102000</v>
      </c>
      <c r="BV46" s="113">
        <f t="shared" ref="BV46" si="122">BU46+1000</f>
        <v>103000</v>
      </c>
      <c r="BW46" s="113">
        <f t="shared" ref="BW46" si="123">BV46+1000</f>
        <v>104000</v>
      </c>
      <c r="BX46" s="113">
        <f t="shared" ref="BX46" si="124">BW46+1000</f>
        <v>105000</v>
      </c>
      <c r="BY46" s="113">
        <f t="shared" ref="BY46" si="125">BX46+1000</f>
        <v>106000</v>
      </c>
      <c r="BZ46" s="113">
        <f t="shared" ref="BZ46" si="126">BY46+1000</f>
        <v>107000</v>
      </c>
      <c r="CA46" s="113">
        <f t="shared" ref="CA46" si="127">BZ46+1000</f>
        <v>108000</v>
      </c>
      <c r="XEV46" s="46">
        <f>SUM(F46:XEU46)</f>
        <v>5291000</v>
      </c>
    </row>
    <row r="47" spans="1:83 16376:16376">
      <c r="A47" s="114" t="s">
        <v>462</v>
      </c>
      <c r="B47" s="115" t="s">
        <v>150</v>
      </c>
      <c r="C47" s="116"/>
      <c r="D47" s="42">
        <f>ROUND(AO47-AN47,2)</f>
        <v>2.1800000000000002</v>
      </c>
      <c r="E47" s="46" t="s">
        <v>345</v>
      </c>
      <c r="F47" s="715">
        <f t="shared" ref="F47:AK47" si="128">ROUND(F7*0.96*1.03,2)</f>
        <v>181.94</v>
      </c>
      <c r="G47" s="715">
        <f t="shared" si="128"/>
        <v>184.1</v>
      </c>
      <c r="H47" s="715">
        <f t="shared" si="128"/>
        <v>186.28</v>
      </c>
      <c r="I47" s="715">
        <f t="shared" si="128"/>
        <v>188.45</v>
      </c>
      <c r="J47" s="715">
        <f t="shared" si="128"/>
        <v>190.61</v>
      </c>
      <c r="K47" s="715">
        <f t="shared" si="128"/>
        <v>192.78</v>
      </c>
      <c r="L47" s="715">
        <f t="shared" si="128"/>
        <v>194.95</v>
      </c>
      <c r="M47" s="715">
        <f t="shared" si="128"/>
        <v>197.13</v>
      </c>
      <c r="N47" s="715">
        <f t="shared" si="128"/>
        <v>199.28</v>
      </c>
      <c r="O47" s="715">
        <f t="shared" si="128"/>
        <v>201.45</v>
      </c>
      <c r="P47" s="715">
        <f t="shared" si="128"/>
        <v>203.62</v>
      </c>
      <c r="Q47" s="715">
        <f t="shared" si="128"/>
        <v>205.8</v>
      </c>
      <c r="R47" s="715">
        <f t="shared" si="128"/>
        <v>207.96</v>
      </c>
      <c r="S47" s="715">
        <f t="shared" si="128"/>
        <v>210.13</v>
      </c>
      <c r="T47" s="715">
        <f t="shared" si="128"/>
        <v>212.3</v>
      </c>
      <c r="U47" s="715">
        <f t="shared" si="128"/>
        <v>214.46</v>
      </c>
      <c r="V47" s="715">
        <f t="shared" si="128"/>
        <v>216.65</v>
      </c>
      <c r="W47" s="715">
        <f t="shared" si="128"/>
        <v>218.82</v>
      </c>
      <c r="X47" s="715">
        <f t="shared" si="128"/>
        <v>220.99</v>
      </c>
      <c r="Y47" s="715">
        <f t="shared" si="128"/>
        <v>223.14</v>
      </c>
      <c r="Z47" s="715">
        <f t="shared" si="128"/>
        <v>225.32</v>
      </c>
      <c r="AA47" s="715">
        <f t="shared" si="128"/>
        <v>227.49</v>
      </c>
      <c r="AB47" s="715">
        <f t="shared" si="128"/>
        <v>229.65</v>
      </c>
      <c r="AC47" s="715">
        <f t="shared" si="128"/>
        <v>231.82</v>
      </c>
      <c r="AD47" s="715">
        <f t="shared" si="128"/>
        <v>233.99</v>
      </c>
      <c r="AE47" s="715">
        <f t="shared" si="128"/>
        <v>236.16</v>
      </c>
      <c r="AF47" s="715">
        <f t="shared" si="128"/>
        <v>238.33</v>
      </c>
      <c r="AG47" s="715">
        <f t="shared" si="128"/>
        <v>240.5</v>
      </c>
      <c r="AH47" s="715">
        <f t="shared" si="128"/>
        <v>242.67</v>
      </c>
      <c r="AI47" s="715">
        <f t="shared" si="128"/>
        <v>244.84</v>
      </c>
      <c r="AJ47" s="715">
        <f t="shared" si="128"/>
        <v>247</v>
      </c>
      <c r="AK47" s="715">
        <f t="shared" si="128"/>
        <v>249.18</v>
      </c>
      <c r="AL47" s="715">
        <f t="shared" ref="AL47:BD47" si="129">ROUND(AL7*0.96*1.03,2)</f>
        <v>251.34</v>
      </c>
      <c r="AM47" s="715">
        <f t="shared" si="129"/>
        <v>253.51</v>
      </c>
      <c r="AN47" s="715">
        <f t="shared" si="129"/>
        <v>255.67</v>
      </c>
      <c r="AO47" s="222">
        <f t="shared" si="129"/>
        <v>257.85000000000002</v>
      </c>
      <c r="AP47" s="222">
        <f t="shared" si="129"/>
        <v>260.02</v>
      </c>
      <c r="AQ47" s="222">
        <f t="shared" si="129"/>
        <v>262.19</v>
      </c>
      <c r="AR47" s="222">
        <f t="shared" si="129"/>
        <v>264.37</v>
      </c>
      <c r="AS47" s="222">
        <f t="shared" si="129"/>
        <v>266.52999999999997</v>
      </c>
      <c r="AT47" s="222">
        <f t="shared" si="129"/>
        <v>268.7</v>
      </c>
      <c r="AU47" s="222">
        <f t="shared" si="129"/>
        <v>270.88</v>
      </c>
      <c r="AV47" s="222">
        <f t="shared" si="129"/>
        <v>273.05</v>
      </c>
      <c r="AW47" s="222">
        <f t="shared" si="129"/>
        <v>275.22000000000003</v>
      </c>
      <c r="AX47" s="222">
        <f t="shared" si="129"/>
        <v>277.39</v>
      </c>
      <c r="AY47" s="222">
        <f t="shared" si="129"/>
        <v>279.57</v>
      </c>
      <c r="AZ47" s="222">
        <f t="shared" si="129"/>
        <v>281.74</v>
      </c>
      <c r="BA47" s="222">
        <f t="shared" si="129"/>
        <v>283.89999999999998</v>
      </c>
      <c r="BB47" s="222">
        <f t="shared" si="129"/>
        <v>286.08</v>
      </c>
      <c r="BC47" s="222">
        <f t="shared" si="129"/>
        <v>288.25</v>
      </c>
      <c r="BD47" s="222">
        <f t="shared" si="129"/>
        <v>290.42</v>
      </c>
      <c r="BE47" s="222">
        <f t="shared" ref="BE47:BQ47" si="130">ROUND(BE7*0.96*1.03,2)</f>
        <v>292.60000000000002</v>
      </c>
      <c r="BF47" s="222">
        <f t="shared" si="130"/>
        <v>294.77</v>
      </c>
      <c r="BG47" s="222">
        <f t="shared" si="130"/>
        <v>296.95</v>
      </c>
      <c r="BH47" s="222">
        <f t="shared" si="130"/>
        <v>299.12</v>
      </c>
      <c r="BI47" s="222">
        <f t="shared" si="130"/>
        <v>301.3</v>
      </c>
      <c r="BJ47" s="222">
        <f t="shared" si="130"/>
        <v>303.47000000000003</v>
      </c>
      <c r="BK47" s="222">
        <f t="shared" si="130"/>
        <v>305.64999999999998</v>
      </c>
      <c r="BL47" s="222">
        <f t="shared" si="130"/>
        <v>307.82</v>
      </c>
      <c r="BM47" s="222">
        <f t="shared" si="130"/>
        <v>310</v>
      </c>
      <c r="BN47" s="222">
        <f t="shared" si="130"/>
        <v>312.17</v>
      </c>
      <c r="BO47" s="222">
        <f t="shared" si="130"/>
        <v>314.35000000000002</v>
      </c>
      <c r="BP47" s="222">
        <f t="shared" si="130"/>
        <v>316.52</v>
      </c>
      <c r="BQ47" s="222">
        <f t="shared" si="130"/>
        <v>318.7</v>
      </c>
      <c r="BR47" s="222">
        <f t="shared" ref="BR47:CA47" si="131">ROUND(BR7*0.96*1.03,2)</f>
        <v>320.88</v>
      </c>
      <c r="BS47" s="222">
        <f t="shared" si="131"/>
        <v>323.05</v>
      </c>
      <c r="BT47" s="222">
        <f t="shared" si="131"/>
        <v>325.23</v>
      </c>
      <c r="BU47" s="222">
        <f t="shared" si="131"/>
        <v>327.39999999999998</v>
      </c>
      <c r="BV47" s="222">
        <f t="shared" si="131"/>
        <v>329.58</v>
      </c>
      <c r="BW47" s="222">
        <f t="shared" si="131"/>
        <v>331.75</v>
      </c>
      <c r="BX47" s="222">
        <f t="shared" si="131"/>
        <v>333.93</v>
      </c>
      <c r="BY47" s="222">
        <f t="shared" si="131"/>
        <v>336.1</v>
      </c>
      <c r="BZ47" s="222">
        <f t="shared" si="131"/>
        <v>338.28</v>
      </c>
      <c r="CA47" s="222">
        <f t="shared" si="131"/>
        <v>340.45</v>
      </c>
      <c r="CB47" s="222"/>
      <c r="CC47" s="222"/>
      <c r="CD47" s="222"/>
      <c r="CE47" s="222"/>
    </row>
    <row r="48" spans="1:83 16376:16376">
      <c r="A48" s="114" t="s">
        <v>463</v>
      </c>
      <c r="B48" s="115" t="s">
        <v>250</v>
      </c>
      <c r="C48" s="116"/>
      <c r="D48" s="42">
        <f t="shared" ref="D48:D76" si="132">ROUND(AO48-AN48,2)</f>
        <v>2.15</v>
      </c>
      <c r="E48" s="46" t="s">
        <v>345</v>
      </c>
      <c r="F48" s="222">
        <f t="shared" ref="F48:AK48" si="133">ROUND(F8*0.96*1.03,2)</f>
        <v>178.12</v>
      </c>
      <c r="G48" s="222">
        <f t="shared" si="133"/>
        <v>180.3</v>
      </c>
      <c r="H48" s="222">
        <f t="shared" si="133"/>
        <v>182.45</v>
      </c>
      <c r="I48" s="222">
        <f t="shared" si="133"/>
        <v>184.63</v>
      </c>
      <c r="J48" s="222">
        <f t="shared" si="133"/>
        <v>186.79</v>
      </c>
      <c r="K48" s="222">
        <f t="shared" si="133"/>
        <v>188.97</v>
      </c>
      <c r="L48" s="222">
        <f t="shared" si="133"/>
        <v>191.14</v>
      </c>
      <c r="M48" s="222">
        <f t="shared" si="133"/>
        <v>193.3</v>
      </c>
      <c r="N48" s="222">
        <f t="shared" si="133"/>
        <v>195.48</v>
      </c>
      <c r="O48" s="222">
        <f t="shared" si="133"/>
        <v>197.64</v>
      </c>
      <c r="P48" s="222">
        <f t="shared" si="133"/>
        <v>199.81</v>
      </c>
      <c r="Q48" s="222">
        <f t="shared" si="133"/>
        <v>201.98</v>
      </c>
      <c r="R48" s="222">
        <f t="shared" si="133"/>
        <v>204.15</v>
      </c>
      <c r="S48" s="222">
        <f t="shared" si="133"/>
        <v>206.31</v>
      </c>
      <c r="T48" s="222">
        <f t="shared" si="133"/>
        <v>208.48</v>
      </c>
      <c r="U48" s="222">
        <f t="shared" si="133"/>
        <v>210.64</v>
      </c>
      <c r="V48" s="222">
        <f t="shared" si="133"/>
        <v>212.83</v>
      </c>
      <c r="W48" s="222">
        <f t="shared" si="133"/>
        <v>214.98</v>
      </c>
      <c r="X48" s="222">
        <f t="shared" si="133"/>
        <v>217.16</v>
      </c>
      <c r="Y48" s="222">
        <f t="shared" si="133"/>
        <v>219.33</v>
      </c>
      <c r="Z48" s="222">
        <f t="shared" si="133"/>
        <v>221.48</v>
      </c>
      <c r="AA48" s="222">
        <f t="shared" si="133"/>
        <v>223.67</v>
      </c>
      <c r="AB48" s="222">
        <f t="shared" si="133"/>
        <v>225.83</v>
      </c>
      <c r="AC48" s="222">
        <f t="shared" si="133"/>
        <v>228.01</v>
      </c>
      <c r="AD48" s="222">
        <f t="shared" si="133"/>
        <v>230.16</v>
      </c>
      <c r="AE48" s="222">
        <f t="shared" si="133"/>
        <v>232.33</v>
      </c>
      <c r="AF48" s="222">
        <f t="shared" si="133"/>
        <v>234.51</v>
      </c>
      <c r="AG48" s="222">
        <f t="shared" si="133"/>
        <v>236.67</v>
      </c>
      <c r="AH48" s="222">
        <f t="shared" si="133"/>
        <v>238.84</v>
      </c>
      <c r="AI48" s="222">
        <f t="shared" si="133"/>
        <v>241.01</v>
      </c>
      <c r="AJ48" s="222">
        <f t="shared" si="133"/>
        <v>243.18</v>
      </c>
      <c r="AK48" s="222">
        <f t="shared" si="133"/>
        <v>245.35</v>
      </c>
      <c r="AL48" s="222">
        <f t="shared" ref="AL48:BD48" si="134">ROUND(AL8*0.96*1.03,2)</f>
        <v>247.52</v>
      </c>
      <c r="AM48" s="222">
        <f t="shared" si="134"/>
        <v>249.68</v>
      </c>
      <c r="AN48" s="222">
        <f t="shared" si="134"/>
        <v>251.86</v>
      </c>
      <c r="AO48" s="222">
        <f t="shared" si="134"/>
        <v>254.01</v>
      </c>
      <c r="AP48" s="222">
        <f t="shared" si="134"/>
        <v>256.19</v>
      </c>
      <c r="AQ48" s="222">
        <f t="shared" si="134"/>
        <v>258.33999999999997</v>
      </c>
      <c r="AR48" s="222">
        <f t="shared" si="134"/>
        <v>260.5</v>
      </c>
      <c r="AS48" s="222">
        <f t="shared" si="134"/>
        <v>262.66000000000003</v>
      </c>
      <c r="AT48" s="222">
        <f t="shared" si="134"/>
        <v>264.82</v>
      </c>
      <c r="AU48" s="222">
        <f t="shared" si="134"/>
        <v>266.99</v>
      </c>
      <c r="AV48" s="222">
        <f t="shared" si="134"/>
        <v>269.14999999999998</v>
      </c>
      <c r="AW48" s="222">
        <f t="shared" si="134"/>
        <v>271.31</v>
      </c>
      <c r="AX48" s="222">
        <f t="shared" si="134"/>
        <v>273.47000000000003</v>
      </c>
      <c r="AY48" s="222">
        <f t="shared" si="134"/>
        <v>275.63</v>
      </c>
      <c r="AZ48" s="222">
        <f t="shared" si="134"/>
        <v>277.77999999999997</v>
      </c>
      <c r="BA48" s="222">
        <f t="shared" si="134"/>
        <v>279.95999999999998</v>
      </c>
      <c r="BB48" s="222">
        <f t="shared" si="134"/>
        <v>282.11</v>
      </c>
      <c r="BC48" s="222">
        <f t="shared" si="134"/>
        <v>284.27</v>
      </c>
      <c r="BD48" s="222">
        <f t="shared" si="134"/>
        <v>286.44</v>
      </c>
      <c r="BE48" s="222">
        <f t="shared" ref="BE48:BQ48" si="135">ROUND(BE8*0.96*1.03,2)</f>
        <v>288.60000000000002</v>
      </c>
      <c r="BF48" s="222">
        <f t="shared" si="135"/>
        <v>290.77</v>
      </c>
      <c r="BG48" s="222">
        <f t="shared" si="135"/>
        <v>292.93</v>
      </c>
      <c r="BH48" s="222">
        <f t="shared" si="135"/>
        <v>295.10000000000002</v>
      </c>
      <c r="BI48" s="222">
        <f t="shared" si="135"/>
        <v>297.26</v>
      </c>
      <c r="BJ48" s="222">
        <f t="shared" si="135"/>
        <v>299.43</v>
      </c>
      <c r="BK48" s="222">
        <f t="shared" si="135"/>
        <v>301.58999999999997</v>
      </c>
      <c r="BL48" s="222">
        <f t="shared" si="135"/>
        <v>303.76</v>
      </c>
      <c r="BM48" s="222">
        <f t="shared" si="135"/>
        <v>305.92</v>
      </c>
      <c r="BN48" s="222">
        <f t="shared" si="135"/>
        <v>308.08999999999997</v>
      </c>
      <c r="BO48" s="222">
        <f t="shared" si="135"/>
        <v>310.26</v>
      </c>
      <c r="BP48" s="222">
        <f t="shared" si="135"/>
        <v>312.42</v>
      </c>
      <c r="BQ48" s="222">
        <f t="shared" si="135"/>
        <v>314.58999999999997</v>
      </c>
      <c r="BR48" s="222">
        <f t="shared" ref="BR48:CA48" si="136">ROUND(BR8*0.96*1.03,2)</f>
        <v>316.75</v>
      </c>
      <c r="BS48" s="222">
        <f t="shared" si="136"/>
        <v>318.92</v>
      </c>
      <c r="BT48" s="222">
        <f t="shared" si="136"/>
        <v>321.08</v>
      </c>
      <c r="BU48" s="222">
        <f t="shared" si="136"/>
        <v>323.25</v>
      </c>
      <c r="BV48" s="222">
        <f t="shared" si="136"/>
        <v>325.41000000000003</v>
      </c>
      <c r="BW48" s="222">
        <f t="shared" si="136"/>
        <v>327.58</v>
      </c>
      <c r="BX48" s="222">
        <f t="shared" si="136"/>
        <v>329.75</v>
      </c>
      <c r="BY48" s="222">
        <f t="shared" si="136"/>
        <v>331.91</v>
      </c>
      <c r="BZ48" s="222">
        <f t="shared" si="136"/>
        <v>334.08</v>
      </c>
      <c r="CA48" s="222">
        <f t="shared" si="136"/>
        <v>336.24</v>
      </c>
      <c r="CB48" s="222"/>
      <c r="CC48" s="222"/>
      <c r="CD48" s="222"/>
      <c r="CE48" s="222"/>
    </row>
    <row r="49" spans="1:83">
      <c r="A49" s="114" t="s">
        <v>464</v>
      </c>
      <c r="B49" s="115" t="s">
        <v>150</v>
      </c>
      <c r="C49" s="116"/>
      <c r="D49" s="42">
        <f t="shared" si="132"/>
        <v>1.69</v>
      </c>
      <c r="E49" s="46" t="s">
        <v>345</v>
      </c>
      <c r="F49" s="715">
        <f t="shared" ref="F49:AK49" si="137">ROUND(F9*0.96*1.03,2)</f>
        <v>108.43</v>
      </c>
      <c r="G49" s="715">
        <f t="shared" si="137"/>
        <v>110.12</v>
      </c>
      <c r="H49" s="715">
        <f t="shared" si="137"/>
        <v>111.8</v>
      </c>
      <c r="I49" s="715">
        <f t="shared" si="137"/>
        <v>113.49</v>
      </c>
      <c r="J49" s="715">
        <f t="shared" si="137"/>
        <v>115.18</v>
      </c>
      <c r="K49" s="715">
        <f t="shared" si="137"/>
        <v>116.86</v>
      </c>
      <c r="L49" s="715">
        <f t="shared" si="137"/>
        <v>118.55</v>
      </c>
      <c r="M49" s="715">
        <f t="shared" si="137"/>
        <v>120.24</v>
      </c>
      <c r="N49" s="715">
        <f t="shared" si="137"/>
        <v>121.93</v>
      </c>
      <c r="O49" s="715">
        <f t="shared" si="137"/>
        <v>123.6</v>
      </c>
      <c r="P49" s="715">
        <f t="shared" si="137"/>
        <v>125.29</v>
      </c>
      <c r="Q49" s="715">
        <f t="shared" si="137"/>
        <v>126.98</v>
      </c>
      <c r="R49" s="715">
        <f t="shared" si="137"/>
        <v>128.66</v>
      </c>
      <c r="S49" s="715">
        <f t="shared" si="137"/>
        <v>130.35</v>
      </c>
      <c r="T49" s="715">
        <f t="shared" si="137"/>
        <v>132.04</v>
      </c>
      <c r="U49" s="715">
        <f t="shared" si="137"/>
        <v>133.72</v>
      </c>
      <c r="V49" s="715">
        <f t="shared" si="137"/>
        <v>135.41</v>
      </c>
      <c r="W49" s="715">
        <f t="shared" si="137"/>
        <v>137.1</v>
      </c>
      <c r="X49" s="715">
        <f t="shared" si="137"/>
        <v>138.78</v>
      </c>
      <c r="Y49" s="715">
        <f t="shared" si="137"/>
        <v>140.47</v>
      </c>
      <c r="Z49" s="715">
        <f t="shared" si="137"/>
        <v>142.16</v>
      </c>
      <c r="AA49" s="715">
        <f t="shared" si="137"/>
        <v>143.83000000000001</v>
      </c>
      <c r="AB49" s="715">
        <f t="shared" si="137"/>
        <v>145.52000000000001</v>
      </c>
      <c r="AC49" s="715">
        <f t="shared" si="137"/>
        <v>147.21</v>
      </c>
      <c r="AD49" s="715">
        <f t="shared" si="137"/>
        <v>148.88999999999999</v>
      </c>
      <c r="AE49" s="715">
        <f t="shared" si="137"/>
        <v>150.58000000000001</v>
      </c>
      <c r="AF49" s="715">
        <f t="shared" si="137"/>
        <v>152.27000000000001</v>
      </c>
      <c r="AG49" s="715">
        <f t="shared" si="137"/>
        <v>153.94</v>
      </c>
      <c r="AH49" s="715">
        <f t="shared" si="137"/>
        <v>155.63</v>
      </c>
      <c r="AI49" s="715">
        <f t="shared" si="137"/>
        <v>157.32</v>
      </c>
      <c r="AJ49" s="715">
        <f t="shared" si="137"/>
        <v>159</v>
      </c>
      <c r="AK49" s="715">
        <f t="shared" si="137"/>
        <v>160.69</v>
      </c>
      <c r="AL49" s="715">
        <f t="shared" ref="AL49:BD49" si="138">ROUND(AL9*0.96*1.03,2)</f>
        <v>162.37</v>
      </c>
      <c r="AM49" s="715">
        <f t="shared" si="138"/>
        <v>164.06</v>
      </c>
      <c r="AN49" s="715">
        <f t="shared" si="138"/>
        <v>165.74</v>
      </c>
      <c r="AO49" s="222">
        <f t="shared" si="138"/>
        <v>167.43</v>
      </c>
      <c r="AP49" s="222">
        <f t="shared" si="138"/>
        <v>169.12</v>
      </c>
      <c r="AQ49" s="222">
        <f t="shared" si="138"/>
        <v>170.81</v>
      </c>
      <c r="AR49" s="222">
        <f t="shared" si="138"/>
        <v>172.5</v>
      </c>
      <c r="AS49" s="222">
        <f t="shared" si="138"/>
        <v>174.19</v>
      </c>
      <c r="AT49" s="222">
        <f t="shared" si="138"/>
        <v>175.88</v>
      </c>
      <c r="AU49" s="222">
        <f t="shared" si="138"/>
        <v>177.57</v>
      </c>
      <c r="AV49" s="222">
        <f t="shared" si="138"/>
        <v>179.26</v>
      </c>
      <c r="AW49" s="222">
        <f t="shared" si="138"/>
        <v>180.94</v>
      </c>
      <c r="AX49" s="222">
        <f t="shared" si="138"/>
        <v>182.63</v>
      </c>
      <c r="AY49" s="222">
        <f t="shared" si="138"/>
        <v>184.32</v>
      </c>
      <c r="AZ49" s="222">
        <f t="shared" si="138"/>
        <v>186.01</v>
      </c>
      <c r="BA49" s="222">
        <f t="shared" si="138"/>
        <v>187.7</v>
      </c>
      <c r="BB49" s="222">
        <f t="shared" si="138"/>
        <v>189.39</v>
      </c>
      <c r="BC49" s="222">
        <f t="shared" si="138"/>
        <v>191.08</v>
      </c>
      <c r="BD49" s="222">
        <f t="shared" si="138"/>
        <v>192.77</v>
      </c>
      <c r="BE49" s="222">
        <f t="shared" ref="BE49:BQ49" si="139">ROUND(BE9*0.96*1.03,2)</f>
        <v>194.46</v>
      </c>
      <c r="BF49" s="222">
        <f t="shared" si="139"/>
        <v>196.15</v>
      </c>
      <c r="BG49" s="222">
        <f t="shared" si="139"/>
        <v>197.84</v>
      </c>
      <c r="BH49" s="222">
        <f t="shared" si="139"/>
        <v>199.53</v>
      </c>
      <c r="BI49" s="222">
        <f t="shared" si="139"/>
        <v>201.22</v>
      </c>
      <c r="BJ49" s="222">
        <f t="shared" si="139"/>
        <v>202.91</v>
      </c>
      <c r="BK49" s="222">
        <f t="shared" si="139"/>
        <v>204.6</v>
      </c>
      <c r="BL49" s="222">
        <f t="shared" si="139"/>
        <v>206.29</v>
      </c>
      <c r="BM49" s="222">
        <f t="shared" si="139"/>
        <v>207.98</v>
      </c>
      <c r="BN49" s="222">
        <f t="shared" si="139"/>
        <v>209.68</v>
      </c>
      <c r="BO49" s="222">
        <f t="shared" si="139"/>
        <v>211.37</v>
      </c>
      <c r="BP49" s="222">
        <f t="shared" si="139"/>
        <v>213.06</v>
      </c>
      <c r="BQ49" s="222">
        <f t="shared" si="139"/>
        <v>214.75</v>
      </c>
      <c r="BR49" s="222">
        <f t="shared" ref="BR49:CA49" si="140">ROUND(BR9*0.96*1.03,2)</f>
        <v>216.44</v>
      </c>
      <c r="BS49" s="222">
        <f t="shared" si="140"/>
        <v>218.13</v>
      </c>
      <c r="BT49" s="222">
        <f t="shared" si="140"/>
        <v>219.82</v>
      </c>
      <c r="BU49" s="222">
        <f t="shared" si="140"/>
        <v>221.51</v>
      </c>
      <c r="BV49" s="222">
        <f t="shared" si="140"/>
        <v>223.2</v>
      </c>
      <c r="BW49" s="222">
        <f t="shared" si="140"/>
        <v>224.89</v>
      </c>
      <c r="BX49" s="222">
        <f t="shared" si="140"/>
        <v>226.58</v>
      </c>
      <c r="BY49" s="222">
        <f t="shared" si="140"/>
        <v>228.27</v>
      </c>
      <c r="BZ49" s="222">
        <f t="shared" si="140"/>
        <v>229.97</v>
      </c>
      <c r="CA49" s="222">
        <f t="shared" si="140"/>
        <v>231.66</v>
      </c>
      <c r="CB49" s="222"/>
      <c r="CC49" s="222"/>
      <c r="CD49" s="222"/>
      <c r="CE49" s="222"/>
    </row>
    <row r="50" spans="1:83">
      <c r="A50" s="114" t="s">
        <v>465</v>
      </c>
      <c r="B50" s="115" t="s">
        <v>150</v>
      </c>
      <c r="C50" s="116">
        <v>13.29</v>
      </c>
      <c r="D50" s="42">
        <f t="shared" si="132"/>
        <v>1.96</v>
      </c>
      <c r="E50" s="46" t="s">
        <v>345</v>
      </c>
      <c r="F50" s="715">
        <f t="shared" ref="F50:AK50" si="141">ROUND(F10*0.96*1.03,2)</f>
        <v>122.87</v>
      </c>
      <c r="G50" s="715">
        <f t="shared" si="141"/>
        <v>124.85</v>
      </c>
      <c r="H50" s="715">
        <f t="shared" si="141"/>
        <v>126.81</v>
      </c>
      <c r="I50" s="715">
        <f t="shared" si="141"/>
        <v>128.77000000000001</v>
      </c>
      <c r="J50" s="715">
        <f t="shared" si="141"/>
        <v>130.74</v>
      </c>
      <c r="K50" s="715">
        <f t="shared" si="141"/>
        <v>132.71</v>
      </c>
      <c r="L50" s="715">
        <f t="shared" si="141"/>
        <v>134.66999999999999</v>
      </c>
      <c r="M50" s="715">
        <f t="shared" si="141"/>
        <v>136.63</v>
      </c>
      <c r="N50" s="715">
        <f t="shared" si="141"/>
        <v>138.6</v>
      </c>
      <c r="O50" s="715">
        <f t="shared" si="141"/>
        <v>140.57</v>
      </c>
      <c r="P50" s="715">
        <f t="shared" si="141"/>
        <v>142.55000000000001</v>
      </c>
      <c r="Q50" s="715">
        <f t="shared" si="141"/>
        <v>144.5</v>
      </c>
      <c r="R50" s="715">
        <f t="shared" si="141"/>
        <v>146.47</v>
      </c>
      <c r="S50" s="715">
        <f t="shared" si="141"/>
        <v>148.44</v>
      </c>
      <c r="T50" s="715">
        <f t="shared" si="141"/>
        <v>150.41</v>
      </c>
      <c r="U50" s="715">
        <f t="shared" si="141"/>
        <v>152.37</v>
      </c>
      <c r="V50" s="715">
        <f t="shared" si="141"/>
        <v>154.34</v>
      </c>
      <c r="W50" s="715">
        <f t="shared" si="141"/>
        <v>156.30000000000001</v>
      </c>
      <c r="X50" s="715">
        <f t="shared" si="141"/>
        <v>158.27000000000001</v>
      </c>
      <c r="Y50" s="715">
        <f t="shared" si="141"/>
        <v>160.24</v>
      </c>
      <c r="Z50" s="715">
        <f t="shared" si="141"/>
        <v>162.19999999999999</v>
      </c>
      <c r="AA50" s="715">
        <f t="shared" si="141"/>
        <v>164.18</v>
      </c>
      <c r="AB50" s="715">
        <f t="shared" si="141"/>
        <v>166.13</v>
      </c>
      <c r="AC50" s="715">
        <f t="shared" si="141"/>
        <v>168.11</v>
      </c>
      <c r="AD50" s="715">
        <f t="shared" si="141"/>
        <v>170.06</v>
      </c>
      <c r="AE50" s="715">
        <f t="shared" si="141"/>
        <v>172.04</v>
      </c>
      <c r="AF50" s="715">
        <f t="shared" si="141"/>
        <v>174.01</v>
      </c>
      <c r="AG50" s="715">
        <f t="shared" si="141"/>
        <v>175.97</v>
      </c>
      <c r="AH50" s="715">
        <f t="shared" si="141"/>
        <v>177.93</v>
      </c>
      <c r="AI50" s="715">
        <f t="shared" si="141"/>
        <v>179.91</v>
      </c>
      <c r="AJ50" s="715">
        <f t="shared" si="141"/>
        <v>181.87</v>
      </c>
      <c r="AK50" s="715">
        <f t="shared" si="141"/>
        <v>183.84</v>
      </c>
      <c r="AL50" s="715">
        <f t="shared" ref="AL50:BD50" si="142">ROUND(AL10*0.96*1.03,2)</f>
        <v>185.8</v>
      </c>
      <c r="AM50" s="715">
        <f t="shared" si="142"/>
        <v>187.76</v>
      </c>
      <c r="AN50" s="715">
        <f t="shared" si="142"/>
        <v>189.74</v>
      </c>
      <c r="AO50" s="222">
        <f t="shared" si="142"/>
        <v>191.7</v>
      </c>
      <c r="AP50" s="222">
        <f t="shared" si="142"/>
        <v>193.66</v>
      </c>
      <c r="AQ50" s="222">
        <f t="shared" si="142"/>
        <v>195.61</v>
      </c>
      <c r="AR50" s="222">
        <f t="shared" si="142"/>
        <v>197.58</v>
      </c>
      <c r="AS50" s="222">
        <f t="shared" si="142"/>
        <v>199.55</v>
      </c>
      <c r="AT50" s="222">
        <f t="shared" si="142"/>
        <v>201.51</v>
      </c>
      <c r="AU50" s="222">
        <f t="shared" si="142"/>
        <v>203.47</v>
      </c>
      <c r="AV50" s="222">
        <f t="shared" si="142"/>
        <v>205.42</v>
      </c>
      <c r="AW50" s="222">
        <f t="shared" si="142"/>
        <v>207.39</v>
      </c>
      <c r="AX50" s="222">
        <f t="shared" si="142"/>
        <v>209.36</v>
      </c>
      <c r="AY50" s="222">
        <f t="shared" si="142"/>
        <v>211.31</v>
      </c>
      <c r="AZ50" s="222">
        <f t="shared" si="142"/>
        <v>213.27</v>
      </c>
      <c r="BA50" s="222">
        <f t="shared" si="142"/>
        <v>215.24</v>
      </c>
      <c r="BB50" s="222">
        <f t="shared" si="142"/>
        <v>217.2</v>
      </c>
      <c r="BC50" s="222">
        <f t="shared" si="142"/>
        <v>219.17</v>
      </c>
      <c r="BD50" s="222">
        <f t="shared" si="142"/>
        <v>221.12</v>
      </c>
      <c r="BE50" s="222">
        <f t="shared" ref="BE50:BQ50" si="143">ROUND(BE10*0.96*1.03,2)</f>
        <v>223.06</v>
      </c>
      <c r="BF50" s="222">
        <f t="shared" si="143"/>
        <v>225.01</v>
      </c>
      <c r="BG50" s="222">
        <f t="shared" si="143"/>
        <v>226.96</v>
      </c>
      <c r="BH50" s="222">
        <f t="shared" si="143"/>
        <v>228.91</v>
      </c>
      <c r="BI50" s="222">
        <f t="shared" si="143"/>
        <v>230.86</v>
      </c>
      <c r="BJ50" s="222">
        <f t="shared" si="143"/>
        <v>232.8</v>
      </c>
      <c r="BK50" s="222">
        <f t="shared" si="143"/>
        <v>234.75</v>
      </c>
      <c r="BL50" s="222">
        <f t="shared" si="143"/>
        <v>236.7</v>
      </c>
      <c r="BM50" s="222">
        <f t="shared" si="143"/>
        <v>238.65</v>
      </c>
      <c r="BN50" s="222">
        <f t="shared" si="143"/>
        <v>240.59</v>
      </c>
      <c r="BO50" s="222">
        <f t="shared" si="143"/>
        <v>242.54</v>
      </c>
      <c r="BP50" s="222">
        <f t="shared" si="143"/>
        <v>244.49</v>
      </c>
      <c r="BQ50" s="222">
        <f t="shared" si="143"/>
        <v>246.44</v>
      </c>
      <c r="BR50" s="222">
        <f t="shared" ref="BR50:CA50" si="144">ROUND(BR10*0.96*1.03,2)</f>
        <v>248.39</v>
      </c>
      <c r="BS50" s="222">
        <f t="shared" si="144"/>
        <v>250.33</v>
      </c>
      <c r="BT50" s="222">
        <f t="shared" si="144"/>
        <v>252.28</v>
      </c>
      <c r="BU50" s="222">
        <f t="shared" si="144"/>
        <v>254.23</v>
      </c>
      <c r="BV50" s="222">
        <f t="shared" si="144"/>
        <v>256.18</v>
      </c>
      <c r="BW50" s="222">
        <f t="shared" si="144"/>
        <v>258.13</v>
      </c>
      <c r="BX50" s="222">
        <f t="shared" si="144"/>
        <v>260.07</v>
      </c>
      <c r="BY50" s="222">
        <f t="shared" si="144"/>
        <v>262.02</v>
      </c>
      <c r="BZ50" s="222">
        <f t="shared" si="144"/>
        <v>263.97000000000003</v>
      </c>
      <c r="CA50" s="222">
        <f t="shared" si="144"/>
        <v>265.92</v>
      </c>
      <c r="CB50" s="222"/>
      <c r="CC50" s="222"/>
      <c r="CD50" s="222"/>
      <c r="CE50" s="222"/>
    </row>
    <row r="51" spans="1:83">
      <c r="A51" s="114" t="s">
        <v>466</v>
      </c>
      <c r="B51" s="115" t="s">
        <v>27</v>
      </c>
      <c r="C51" s="116">
        <v>13.29</v>
      </c>
      <c r="D51" s="42">
        <f t="shared" si="132"/>
        <v>1.96</v>
      </c>
      <c r="E51" s="46" t="s">
        <v>345</v>
      </c>
      <c r="F51" s="715">
        <f t="shared" ref="F51:AK51" si="145">ROUND(F11*0.96*1.03,2)</f>
        <v>122.87</v>
      </c>
      <c r="G51" s="715">
        <f t="shared" si="145"/>
        <v>124.85</v>
      </c>
      <c r="H51" s="715">
        <f t="shared" si="145"/>
        <v>126.81</v>
      </c>
      <c r="I51" s="715">
        <f t="shared" si="145"/>
        <v>128.77000000000001</v>
      </c>
      <c r="J51" s="715">
        <f t="shared" si="145"/>
        <v>130.74</v>
      </c>
      <c r="K51" s="715">
        <f t="shared" si="145"/>
        <v>132.71</v>
      </c>
      <c r="L51" s="715">
        <f t="shared" si="145"/>
        <v>134.66999999999999</v>
      </c>
      <c r="M51" s="715">
        <f t="shared" si="145"/>
        <v>136.63</v>
      </c>
      <c r="N51" s="715">
        <f t="shared" si="145"/>
        <v>138.6</v>
      </c>
      <c r="O51" s="715">
        <f t="shared" si="145"/>
        <v>140.57</v>
      </c>
      <c r="P51" s="715">
        <f t="shared" si="145"/>
        <v>142.55000000000001</v>
      </c>
      <c r="Q51" s="715">
        <f t="shared" si="145"/>
        <v>144.5</v>
      </c>
      <c r="R51" s="715">
        <f t="shared" si="145"/>
        <v>146.47</v>
      </c>
      <c r="S51" s="715">
        <f t="shared" si="145"/>
        <v>148.44</v>
      </c>
      <c r="T51" s="715">
        <f t="shared" si="145"/>
        <v>150.41</v>
      </c>
      <c r="U51" s="715">
        <f t="shared" si="145"/>
        <v>152.37</v>
      </c>
      <c r="V51" s="715">
        <f t="shared" si="145"/>
        <v>154.34</v>
      </c>
      <c r="W51" s="715">
        <f t="shared" si="145"/>
        <v>156.30000000000001</v>
      </c>
      <c r="X51" s="715">
        <f t="shared" si="145"/>
        <v>158.27000000000001</v>
      </c>
      <c r="Y51" s="715">
        <f t="shared" si="145"/>
        <v>160.24</v>
      </c>
      <c r="Z51" s="715">
        <f t="shared" si="145"/>
        <v>162.19999999999999</v>
      </c>
      <c r="AA51" s="715">
        <f t="shared" si="145"/>
        <v>164.18</v>
      </c>
      <c r="AB51" s="715">
        <f t="shared" si="145"/>
        <v>166.13</v>
      </c>
      <c r="AC51" s="715">
        <f t="shared" si="145"/>
        <v>168.11</v>
      </c>
      <c r="AD51" s="715">
        <f t="shared" si="145"/>
        <v>170.06</v>
      </c>
      <c r="AE51" s="715">
        <f t="shared" si="145"/>
        <v>172.04</v>
      </c>
      <c r="AF51" s="715">
        <f t="shared" si="145"/>
        <v>174.01</v>
      </c>
      <c r="AG51" s="715">
        <f t="shared" si="145"/>
        <v>175.97</v>
      </c>
      <c r="AH51" s="715">
        <f t="shared" si="145"/>
        <v>177.93</v>
      </c>
      <c r="AI51" s="715">
        <f t="shared" si="145"/>
        <v>179.91</v>
      </c>
      <c r="AJ51" s="715">
        <f t="shared" si="145"/>
        <v>181.87</v>
      </c>
      <c r="AK51" s="715">
        <f t="shared" si="145"/>
        <v>183.84</v>
      </c>
      <c r="AL51" s="715">
        <f t="shared" ref="AL51:BD51" si="146">ROUND(AL11*0.96*1.03,2)</f>
        <v>185.8</v>
      </c>
      <c r="AM51" s="715">
        <f t="shared" si="146"/>
        <v>187.76</v>
      </c>
      <c r="AN51" s="715">
        <f t="shared" si="146"/>
        <v>189.74</v>
      </c>
      <c r="AO51" s="222">
        <f t="shared" si="146"/>
        <v>191.7</v>
      </c>
      <c r="AP51" s="222">
        <f t="shared" si="146"/>
        <v>193.66</v>
      </c>
      <c r="AQ51" s="222">
        <f t="shared" si="146"/>
        <v>195.61</v>
      </c>
      <c r="AR51" s="222">
        <f t="shared" si="146"/>
        <v>197.58</v>
      </c>
      <c r="AS51" s="222">
        <f t="shared" si="146"/>
        <v>199.55</v>
      </c>
      <c r="AT51" s="222">
        <f t="shared" si="146"/>
        <v>201.51</v>
      </c>
      <c r="AU51" s="222">
        <f t="shared" si="146"/>
        <v>203.47</v>
      </c>
      <c r="AV51" s="222">
        <f t="shared" si="146"/>
        <v>205.42</v>
      </c>
      <c r="AW51" s="222">
        <f t="shared" si="146"/>
        <v>207.39</v>
      </c>
      <c r="AX51" s="222">
        <f t="shared" si="146"/>
        <v>209.36</v>
      </c>
      <c r="AY51" s="222">
        <f t="shared" si="146"/>
        <v>211.31</v>
      </c>
      <c r="AZ51" s="222">
        <f t="shared" si="146"/>
        <v>213.27</v>
      </c>
      <c r="BA51" s="222">
        <f t="shared" si="146"/>
        <v>215.24</v>
      </c>
      <c r="BB51" s="222">
        <f t="shared" si="146"/>
        <v>217.2</v>
      </c>
      <c r="BC51" s="222">
        <f t="shared" si="146"/>
        <v>219.17</v>
      </c>
      <c r="BD51" s="222">
        <f t="shared" si="146"/>
        <v>221.12</v>
      </c>
      <c r="BE51" s="222">
        <f t="shared" ref="BE51:BQ51" si="147">ROUND(BE11*0.96*1.03,2)</f>
        <v>223.06</v>
      </c>
      <c r="BF51" s="222">
        <f t="shared" si="147"/>
        <v>225.01</v>
      </c>
      <c r="BG51" s="222">
        <f t="shared" si="147"/>
        <v>226.96</v>
      </c>
      <c r="BH51" s="222">
        <f t="shared" si="147"/>
        <v>228.91</v>
      </c>
      <c r="BI51" s="222">
        <f t="shared" si="147"/>
        <v>230.86</v>
      </c>
      <c r="BJ51" s="222">
        <f t="shared" si="147"/>
        <v>232.8</v>
      </c>
      <c r="BK51" s="222">
        <f t="shared" si="147"/>
        <v>234.75</v>
      </c>
      <c r="BL51" s="222">
        <f t="shared" si="147"/>
        <v>236.7</v>
      </c>
      <c r="BM51" s="222">
        <f t="shared" si="147"/>
        <v>238.65</v>
      </c>
      <c r="BN51" s="222">
        <f t="shared" si="147"/>
        <v>240.59</v>
      </c>
      <c r="BO51" s="222">
        <f t="shared" si="147"/>
        <v>242.54</v>
      </c>
      <c r="BP51" s="222">
        <f t="shared" si="147"/>
        <v>244.49</v>
      </c>
      <c r="BQ51" s="222">
        <f t="shared" si="147"/>
        <v>246.44</v>
      </c>
      <c r="BR51" s="222">
        <f t="shared" ref="BR51:CA51" si="148">ROUND(BR11*0.96*1.03,2)</f>
        <v>248.39</v>
      </c>
      <c r="BS51" s="222">
        <f t="shared" si="148"/>
        <v>250.33</v>
      </c>
      <c r="BT51" s="222">
        <f t="shared" si="148"/>
        <v>252.28</v>
      </c>
      <c r="BU51" s="222">
        <f t="shared" si="148"/>
        <v>254.23</v>
      </c>
      <c r="BV51" s="222">
        <f t="shared" si="148"/>
        <v>256.18</v>
      </c>
      <c r="BW51" s="222">
        <f t="shared" si="148"/>
        <v>258.13</v>
      </c>
      <c r="BX51" s="222">
        <f t="shared" si="148"/>
        <v>260.07</v>
      </c>
      <c r="BY51" s="222">
        <f t="shared" si="148"/>
        <v>262.02</v>
      </c>
      <c r="BZ51" s="222">
        <f t="shared" si="148"/>
        <v>263.97000000000003</v>
      </c>
      <c r="CA51" s="222">
        <f t="shared" si="148"/>
        <v>265.92</v>
      </c>
      <c r="CB51" s="222"/>
      <c r="CC51" s="222"/>
      <c r="CD51" s="222"/>
      <c r="CE51" s="222"/>
    </row>
    <row r="52" spans="1:83">
      <c r="A52" s="114" t="s">
        <v>467</v>
      </c>
      <c r="B52" s="115" t="s">
        <v>250</v>
      </c>
      <c r="C52" s="116"/>
      <c r="D52" s="42">
        <f t="shared" si="132"/>
        <v>1.7</v>
      </c>
      <c r="E52" s="46" t="s">
        <v>345</v>
      </c>
      <c r="F52" s="222">
        <f t="shared" ref="F52:AK52" si="149">ROUND(F12*0.96*1.03,2)</f>
        <v>99.44</v>
      </c>
      <c r="G52" s="222">
        <f t="shared" si="149"/>
        <v>101.13</v>
      </c>
      <c r="H52" s="222">
        <f t="shared" si="149"/>
        <v>102.82</v>
      </c>
      <c r="I52" s="222">
        <f t="shared" si="149"/>
        <v>104.51</v>
      </c>
      <c r="J52" s="222">
        <f t="shared" si="149"/>
        <v>106.2</v>
      </c>
      <c r="K52" s="222">
        <f t="shared" si="149"/>
        <v>107.89</v>
      </c>
      <c r="L52" s="222">
        <f t="shared" si="149"/>
        <v>109.56</v>
      </c>
      <c r="M52" s="222">
        <f t="shared" si="149"/>
        <v>111.25</v>
      </c>
      <c r="N52" s="222">
        <f t="shared" si="149"/>
        <v>112.94</v>
      </c>
      <c r="O52" s="222">
        <f t="shared" si="149"/>
        <v>114.62</v>
      </c>
      <c r="P52" s="222">
        <f t="shared" si="149"/>
        <v>116.31</v>
      </c>
      <c r="Q52" s="222">
        <f t="shared" si="149"/>
        <v>117.99</v>
      </c>
      <c r="R52" s="222">
        <f t="shared" si="149"/>
        <v>119.67</v>
      </c>
      <c r="S52" s="222">
        <f t="shared" si="149"/>
        <v>121.36</v>
      </c>
      <c r="T52" s="222">
        <f t="shared" si="149"/>
        <v>123.05</v>
      </c>
      <c r="U52" s="222">
        <f t="shared" si="149"/>
        <v>124.73</v>
      </c>
      <c r="V52" s="222">
        <f t="shared" si="149"/>
        <v>126.42</v>
      </c>
      <c r="W52" s="222">
        <f t="shared" si="149"/>
        <v>128.1</v>
      </c>
      <c r="X52" s="222">
        <f t="shared" si="149"/>
        <v>129.78</v>
      </c>
      <c r="Y52" s="222">
        <f t="shared" si="149"/>
        <v>131.47</v>
      </c>
      <c r="Z52" s="222">
        <f t="shared" si="149"/>
        <v>133.16</v>
      </c>
      <c r="AA52" s="222">
        <f t="shared" si="149"/>
        <v>134.84</v>
      </c>
      <c r="AB52" s="222">
        <f t="shared" si="149"/>
        <v>136.52000000000001</v>
      </c>
      <c r="AC52" s="222">
        <f t="shared" si="149"/>
        <v>138.21</v>
      </c>
      <c r="AD52" s="222">
        <f t="shared" si="149"/>
        <v>139.9</v>
      </c>
      <c r="AE52" s="222">
        <f t="shared" si="149"/>
        <v>141.59</v>
      </c>
      <c r="AF52" s="222">
        <f t="shared" si="149"/>
        <v>143.28</v>
      </c>
      <c r="AG52" s="222">
        <f t="shared" si="149"/>
        <v>144.96</v>
      </c>
      <c r="AH52" s="222">
        <f t="shared" si="149"/>
        <v>146.63999999999999</v>
      </c>
      <c r="AI52" s="222">
        <f t="shared" si="149"/>
        <v>148.33000000000001</v>
      </c>
      <c r="AJ52" s="222">
        <f t="shared" si="149"/>
        <v>150.02000000000001</v>
      </c>
      <c r="AK52" s="222">
        <f t="shared" si="149"/>
        <v>151.69999999999999</v>
      </c>
      <c r="AL52" s="222">
        <f t="shared" ref="AL52:BD52" si="150">ROUND(AL12*0.96*1.03,2)</f>
        <v>153.38999999999999</v>
      </c>
      <c r="AM52" s="222">
        <f t="shared" si="150"/>
        <v>155.07</v>
      </c>
      <c r="AN52" s="222">
        <f t="shared" si="150"/>
        <v>156.75</v>
      </c>
      <c r="AO52" s="222">
        <f t="shared" si="150"/>
        <v>158.44999999999999</v>
      </c>
      <c r="AP52" s="222">
        <f t="shared" si="150"/>
        <v>160.13999999999999</v>
      </c>
      <c r="AQ52" s="222">
        <f t="shared" si="150"/>
        <v>161.83000000000001</v>
      </c>
      <c r="AR52" s="222">
        <f t="shared" si="150"/>
        <v>163.52000000000001</v>
      </c>
      <c r="AS52" s="222">
        <f t="shared" si="150"/>
        <v>165.2</v>
      </c>
      <c r="AT52" s="222">
        <f t="shared" si="150"/>
        <v>166.89</v>
      </c>
      <c r="AU52" s="222">
        <f t="shared" si="150"/>
        <v>168.58</v>
      </c>
      <c r="AV52" s="222">
        <f t="shared" si="150"/>
        <v>170.27</v>
      </c>
      <c r="AW52" s="222">
        <f t="shared" si="150"/>
        <v>171.96</v>
      </c>
      <c r="AX52" s="222">
        <f t="shared" si="150"/>
        <v>173.65</v>
      </c>
      <c r="AY52" s="222">
        <f t="shared" si="150"/>
        <v>175.32</v>
      </c>
      <c r="AZ52" s="222">
        <f t="shared" si="150"/>
        <v>177.01</v>
      </c>
      <c r="BA52" s="222">
        <f t="shared" si="150"/>
        <v>178.71</v>
      </c>
      <c r="BB52" s="222">
        <f t="shared" si="150"/>
        <v>180.4</v>
      </c>
      <c r="BC52" s="222">
        <f t="shared" si="150"/>
        <v>182.09</v>
      </c>
      <c r="BD52" s="222">
        <f t="shared" si="150"/>
        <v>183.78</v>
      </c>
      <c r="BE52" s="222">
        <f t="shared" ref="BE52:BQ52" si="151">ROUND(BE12*0.96*1.03,2)</f>
        <v>185.47</v>
      </c>
      <c r="BF52" s="222">
        <f t="shared" si="151"/>
        <v>187.16</v>
      </c>
      <c r="BG52" s="222">
        <f t="shared" si="151"/>
        <v>188.85</v>
      </c>
      <c r="BH52" s="222">
        <f t="shared" si="151"/>
        <v>190.54</v>
      </c>
      <c r="BI52" s="222">
        <f t="shared" si="151"/>
        <v>192.23</v>
      </c>
      <c r="BJ52" s="222">
        <f t="shared" si="151"/>
        <v>193.92</v>
      </c>
      <c r="BK52" s="222">
        <f t="shared" si="151"/>
        <v>195.61</v>
      </c>
      <c r="BL52" s="222">
        <f t="shared" si="151"/>
        <v>197.31</v>
      </c>
      <c r="BM52" s="222">
        <f t="shared" si="151"/>
        <v>199</v>
      </c>
      <c r="BN52" s="222">
        <f t="shared" si="151"/>
        <v>200.69</v>
      </c>
      <c r="BO52" s="222">
        <f t="shared" si="151"/>
        <v>202.38</v>
      </c>
      <c r="BP52" s="222">
        <f t="shared" si="151"/>
        <v>204.07</v>
      </c>
      <c r="BQ52" s="222">
        <f t="shared" si="151"/>
        <v>205.76</v>
      </c>
      <c r="BR52" s="222">
        <f t="shared" ref="BR52:CA52" si="152">ROUND(BR12*0.96*1.03,2)</f>
        <v>207.45</v>
      </c>
      <c r="BS52" s="222">
        <f t="shared" si="152"/>
        <v>209.14</v>
      </c>
      <c r="BT52" s="222">
        <f t="shared" si="152"/>
        <v>210.83</v>
      </c>
      <c r="BU52" s="222">
        <f t="shared" si="152"/>
        <v>212.52</v>
      </c>
      <c r="BV52" s="222">
        <f t="shared" si="152"/>
        <v>214.21</v>
      </c>
      <c r="BW52" s="222">
        <f t="shared" si="152"/>
        <v>215.9</v>
      </c>
      <c r="BX52" s="222">
        <f t="shared" si="152"/>
        <v>217.6</v>
      </c>
      <c r="BY52" s="222">
        <f t="shared" si="152"/>
        <v>219.29</v>
      </c>
      <c r="BZ52" s="222">
        <f t="shared" si="152"/>
        <v>220.98</v>
      </c>
      <c r="CA52" s="222">
        <f t="shared" si="152"/>
        <v>222.67</v>
      </c>
      <c r="CB52" s="222"/>
      <c r="CC52" s="222"/>
      <c r="CD52" s="222"/>
      <c r="CE52" s="222"/>
    </row>
    <row r="53" spans="1:83">
      <c r="A53" s="117" t="s">
        <v>468</v>
      </c>
      <c r="B53" s="118" t="s">
        <v>250</v>
      </c>
      <c r="C53" s="119">
        <v>13.29</v>
      </c>
      <c r="D53" s="42">
        <f t="shared" si="132"/>
        <v>1.96</v>
      </c>
      <c r="E53" s="46" t="s">
        <v>345</v>
      </c>
      <c r="F53" s="222">
        <f t="shared" ref="F53:AK53" si="153">ROUND(F13*0.96*1.03,2)</f>
        <v>114.19</v>
      </c>
      <c r="G53" s="222">
        <f t="shared" si="153"/>
        <v>116.15</v>
      </c>
      <c r="H53" s="222">
        <f t="shared" si="153"/>
        <v>118.12</v>
      </c>
      <c r="I53" s="222">
        <f t="shared" si="153"/>
        <v>120.08</v>
      </c>
      <c r="J53" s="222">
        <f t="shared" si="153"/>
        <v>122.06</v>
      </c>
      <c r="K53" s="222">
        <f t="shared" si="153"/>
        <v>124.02</v>
      </c>
      <c r="L53" s="222">
        <f t="shared" si="153"/>
        <v>125.98</v>
      </c>
      <c r="M53" s="222">
        <f t="shared" si="153"/>
        <v>127.95</v>
      </c>
      <c r="N53" s="222">
        <f t="shared" si="153"/>
        <v>129.93</v>
      </c>
      <c r="O53" s="222">
        <f t="shared" si="153"/>
        <v>131.88</v>
      </c>
      <c r="P53" s="222">
        <f t="shared" si="153"/>
        <v>133.85</v>
      </c>
      <c r="Q53" s="222">
        <f t="shared" si="153"/>
        <v>135.81</v>
      </c>
      <c r="R53" s="222">
        <f t="shared" si="153"/>
        <v>137.79</v>
      </c>
      <c r="S53" s="222">
        <f t="shared" si="153"/>
        <v>139.76</v>
      </c>
      <c r="T53" s="222">
        <f t="shared" si="153"/>
        <v>141.69999999999999</v>
      </c>
      <c r="U53" s="222">
        <f t="shared" si="153"/>
        <v>143.68</v>
      </c>
      <c r="V53" s="222">
        <f t="shared" si="153"/>
        <v>145.65</v>
      </c>
      <c r="W53" s="222">
        <f t="shared" si="153"/>
        <v>147.62</v>
      </c>
      <c r="X53" s="222">
        <f t="shared" si="153"/>
        <v>149.59</v>
      </c>
      <c r="Y53" s="222">
        <f t="shared" si="153"/>
        <v>151.54</v>
      </c>
      <c r="Z53" s="222">
        <f t="shared" si="153"/>
        <v>153.51</v>
      </c>
      <c r="AA53" s="222">
        <f t="shared" si="153"/>
        <v>155.49</v>
      </c>
      <c r="AB53" s="222">
        <f t="shared" si="153"/>
        <v>157.44999999999999</v>
      </c>
      <c r="AC53" s="222">
        <f t="shared" si="153"/>
        <v>159.41999999999999</v>
      </c>
      <c r="AD53" s="222">
        <f t="shared" si="153"/>
        <v>161.38</v>
      </c>
      <c r="AE53" s="222">
        <f t="shared" si="153"/>
        <v>163.35</v>
      </c>
      <c r="AF53" s="222">
        <f t="shared" si="153"/>
        <v>165.32</v>
      </c>
      <c r="AG53" s="222">
        <f t="shared" si="153"/>
        <v>167.28</v>
      </c>
      <c r="AH53" s="222">
        <f t="shared" si="153"/>
        <v>169.25</v>
      </c>
      <c r="AI53" s="222">
        <f t="shared" si="153"/>
        <v>171.21</v>
      </c>
      <c r="AJ53" s="222">
        <f t="shared" si="153"/>
        <v>173.18</v>
      </c>
      <c r="AK53" s="222">
        <f t="shared" si="153"/>
        <v>175.15</v>
      </c>
      <c r="AL53" s="222">
        <f t="shared" ref="AL53:BD53" si="154">ROUND(AL13*0.96*1.03,2)</f>
        <v>177.12</v>
      </c>
      <c r="AM53" s="222">
        <f t="shared" si="154"/>
        <v>179.07</v>
      </c>
      <c r="AN53" s="222">
        <f t="shared" si="154"/>
        <v>181.05</v>
      </c>
      <c r="AO53" s="222">
        <f t="shared" si="154"/>
        <v>183.01</v>
      </c>
      <c r="AP53" s="222">
        <f t="shared" si="154"/>
        <v>184.97</v>
      </c>
      <c r="AQ53" s="222">
        <f t="shared" si="154"/>
        <v>186.94</v>
      </c>
      <c r="AR53" s="222">
        <f t="shared" si="154"/>
        <v>188.89</v>
      </c>
      <c r="AS53" s="222">
        <f t="shared" si="154"/>
        <v>190.86</v>
      </c>
      <c r="AT53" s="222">
        <f t="shared" si="154"/>
        <v>192.82</v>
      </c>
      <c r="AU53" s="222">
        <f t="shared" si="154"/>
        <v>194.78</v>
      </c>
      <c r="AV53" s="222">
        <f t="shared" si="154"/>
        <v>196.75</v>
      </c>
      <c r="AW53" s="222">
        <f t="shared" si="154"/>
        <v>198.7</v>
      </c>
      <c r="AX53" s="222">
        <f t="shared" si="154"/>
        <v>200.67</v>
      </c>
      <c r="AY53" s="222">
        <f t="shared" si="154"/>
        <v>202.62</v>
      </c>
      <c r="AZ53" s="222">
        <f t="shared" si="154"/>
        <v>204.59</v>
      </c>
      <c r="BA53" s="222">
        <f t="shared" si="154"/>
        <v>206.55</v>
      </c>
      <c r="BB53" s="222">
        <f t="shared" si="154"/>
        <v>208.51</v>
      </c>
      <c r="BC53" s="222">
        <f t="shared" si="154"/>
        <v>210.48</v>
      </c>
      <c r="BD53" s="222">
        <f t="shared" si="154"/>
        <v>212.44</v>
      </c>
      <c r="BE53" s="222">
        <f t="shared" ref="BE53:BQ53" si="155">ROUND(BE13*0.96*1.03,2)</f>
        <v>214.41</v>
      </c>
      <c r="BF53" s="222">
        <f t="shared" si="155"/>
        <v>216.38</v>
      </c>
      <c r="BG53" s="222">
        <f t="shared" si="155"/>
        <v>218.35</v>
      </c>
      <c r="BH53" s="222">
        <f t="shared" si="155"/>
        <v>220.31</v>
      </c>
      <c r="BI53" s="222">
        <f t="shared" si="155"/>
        <v>222.28</v>
      </c>
      <c r="BJ53" s="222">
        <f t="shared" si="155"/>
        <v>224.25</v>
      </c>
      <c r="BK53" s="222">
        <f t="shared" si="155"/>
        <v>226.22</v>
      </c>
      <c r="BL53" s="222">
        <f t="shared" si="155"/>
        <v>228.19</v>
      </c>
      <c r="BM53" s="222">
        <f t="shared" si="155"/>
        <v>230.15</v>
      </c>
      <c r="BN53" s="222">
        <f t="shared" si="155"/>
        <v>232.12</v>
      </c>
      <c r="BO53" s="222">
        <f t="shared" si="155"/>
        <v>234.09</v>
      </c>
      <c r="BP53" s="222">
        <f t="shared" si="155"/>
        <v>236.06</v>
      </c>
      <c r="BQ53" s="222">
        <f t="shared" si="155"/>
        <v>238.02</v>
      </c>
      <c r="BR53" s="222">
        <f t="shared" ref="BR53:CA53" si="156">ROUND(BR13*0.96*1.03,2)</f>
        <v>239.99</v>
      </c>
      <c r="BS53" s="222">
        <f t="shared" si="156"/>
        <v>241.96</v>
      </c>
      <c r="BT53" s="222">
        <f t="shared" si="156"/>
        <v>243.93</v>
      </c>
      <c r="BU53" s="222">
        <f t="shared" si="156"/>
        <v>245.89</v>
      </c>
      <c r="BV53" s="222">
        <f t="shared" si="156"/>
        <v>247.86</v>
      </c>
      <c r="BW53" s="222">
        <f t="shared" si="156"/>
        <v>249.83</v>
      </c>
      <c r="BX53" s="222">
        <f t="shared" si="156"/>
        <v>251.8</v>
      </c>
      <c r="BY53" s="222">
        <f t="shared" si="156"/>
        <v>253.77</v>
      </c>
      <c r="BZ53" s="222">
        <f t="shared" si="156"/>
        <v>255.73</v>
      </c>
      <c r="CA53" s="222">
        <f t="shared" si="156"/>
        <v>257.7</v>
      </c>
      <c r="CB53" s="222"/>
      <c r="CC53" s="222"/>
      <c r="CD53" s="222"/>
      <c r="CE53" s="222"/>
    </row>
    <row r="54" spans="1:83">
      <c r="A54" s="120" t="s">
        <v>469</v>
      </c>
      <c r="B54" s="121" t="s">
        <v>250</v>
      </c>
      <c r="C54" s="122">
        <v>13.29</v>
      </c>
      <c r="D54" s="42">
        <f t="shared" si="132"/>
        <v>1.96</v>
      </c>
      <c r="E54" s="46" t="s">
        <v>345</v>
      </c>
      <c r="F54" s="222">
        <f t="shared" ref="F54:AK54" si="157">ROUND(F14*0.96*1.03,2)</f>
        <v>116.66</v>
      </c>
      <c r="G54" s="222">
        <f t="shared" si="157"/>
        <v>118.63</v>
      </c>
      <c r="H54" s="222">
        <f t="shared" si="157"/>
        <v>120.59</v>
      </c>
      <c r="I54" s="222">
        <f t="shared" si="157"/>
        <v>122.55</v>
      </c>
      <c r="J54" s="222">
        <f t="shared" si="157"/>
        <v>124.53</v>
      </c>
      <c r="K54" s="222">
        <f t="shared" si="157"/>
        <v>126.49</v>
      </c>
      <c r="L54" s="222">
        <f t="shared" si="157"/>
        <v>128.46</v>
      </c>
      <c r="M54" s="222">
        <f t="shared" si="157"/>
        <v>130.41999999999999</v>
      </c>
      <c r="N54" s="222">
        <f t="shared" si="157"/>
        <v>132.4</v>
      </c>
      <c r="O54" s="222">
        <f t="shared" si="157"/>
        <v>134.35</v>
      </c>
      <c r="P54" s="222">
        <f t="shared" si="157"/>
        <v>136.33000000000001</v>
      </c>
      <c r="Q54" s="222">
        <f t="shared" si="157"/>
        <v>138.28</v>
      </c>
      <c r="R54" s="222">
        <f t="shared" si="157"/>
        <v>140.26</v>
      </c>
      <c r="S54" s="222">
        <f t="shared" si="157"/>
        <v>142.22999999999999</v>
      </c>
      <c r="T54" s="222">
        <f t="shared" si="157"/>
        <v>144.18</v>
      </c>
      <c r="U54" s="222">
        <f t="shared" si="157"/>
        <v>146.15</v>
      </c>
      <c r="V54" s="222">
        <f t="shared" si="157"/>
        <v>148.12</v>
      </c>
      <c r="W54" s="222">
        <f t="shared" si="157"/>
        <v>150.09</v>
      </c>
      <c r="X54" s="222">
        <f t="shared" si="157"/>
        <v>152.06</v>
      </c>
      <c r="Y54" s="222">
        <f t="shared" si="157"/>
        <v>154.02000000000001</v>
      </c>
      <c r="Z54" s="222">
        <f t="shared" si="157"/>
        <v>155.97999999999999</v>
      </c>
      <c r="AA54" s="222">
        <f t="shared" si="157"/>
        <v>157.96</v>
      </c>
      <c r="AB54" s="222">
        <f t="shared" si="157"/>
        <v>159.91999999999999</v>
      </c>
      <c r="AC54" s="222">
        <f t="shared" si="157"/>
        <v>161.9</v>
      </c>
      <c r="AD54" s="222">
        <f t="shared" si="157"/>
        <v>163.85</v>
      </c>
      <c r="AE54" s="222">
        <f t="shared" si="157"/>
        <v>165.82</v>
      </c>
      <c r="AF54" s="222">
        <f t="shared" si="157"/>
        <v>167.79</v>
      </c>
      <c r="AG54" s="222">
        <f t="shared" si="157"/>
        <v>169.75</v>
      </c>
      <c r="AH54" s="222">
        <f t="shared" si="157"/>
        <v>171.72</v>
      </c>
      <c r="AI54" s="222">
        <f t="shared" si="157"/>
        <v>173.68</v>
      </c>
      <c r="AJ54" s="222">
        <f t="shared" si="157"/>
        <v>175.65</v>
      </c>
      <c r="AK54" s="222">
        <f t="shared" si="157"/>
        <v>177.62</v>
      </c>
      <c r="AL54" s="222">
        <f t="shared" ref="AL54:BD54" si="158">ROUND(AL14*0.96*1.03,2)</f>
        <v>179.6</v>
      </c>
      <c r="AM54" s="222">
        <f t="shared" si="158"/>
        <v>181.54</v>
      </c>
      <c r="AN54" s="222">
        <f t="shared" si="158"/>
        <v>183.52</v>
      </c>
      <c r="AO54" s="222">
        <f t="shared" si="158"/>
        <v>185.48</v>
      </c>
      <c r="AP54" s="222">
        <f t="shared" si="158"/>
        <v>187.45</v>
      </c>
      <c r="AQ54" s="222">
        <f t="shared" si="158"/>
        <v>189.41</v>
      </c>
      <c r="AR54" s="222">
        <f t="shared" si="158"/>
        <v>191.36</v>
      </c>
      <c r="AS54" s="222">
        <f t="shared" si="158"/>
        <v>193.33</v>
      </c>
      <c r="AT54" s="222">
        <f t="shared" si="158"/>
        <v>195.29</v>
      </c>
      <c r="AU54" s="222">
        <f t="shared" si="158"/>
        <v>197.26</v>
      </c>
      <c r="AV54" s="222">
        <f t="shared" si="158"/>
        <v>199.22</v>
      </c>
      <c r="AW54" s="222">
        <f t="shared" si="158"/>
        <v>201.17</v>
      </c>
      <c r="AX54" s="222">
        <f t="shared" si="158"/>
        <v>203.14</v>
      </c>
      <c r="AY54" s="222">
        <f t="shared" si="158"/>
        <v>205.1</v>
      </c>
      <c r="AZ54" s="222">
        <f t="shared" si="158"/>
        <v>207.06</v>
      </c>
      <c r="BA54" s="222">
        <f t="shared" si="158"/>
        <v>209.02</v>
      </c>
      <c r="BB54" s="222">
        <f t="shared" si="158"/>
        <v>210.98</v>
      </c>
      <c r="BC54" s="222">
        <f t="shared" si="158"/>
        <v>212.95</v>
      </c>
      <c r="BD54" s="222">
        <f t="shared" si="158"/>
        <v>214.92</v>
      </c>
      <c r="BE54" s="222">
        <f t="shared" ref="BE54:BQ54" si="159">ROUND(BE14*0.96*1.03,2)</f>
        <v>216.88</v>
      </c>
      <c r="BF54" s="222">
        <f t="shared" si="159"/>
        <v>218.85</v>
      </c>
      <c r="BG54" s="222">
        <f t="shared" si="159"/>
        <v>220.82</v>
      </c>
      <c r="BH54" s="222">
        <f t="shared" si="159"/>
        <v>222.79</v>
      </c>
      <c r="BI54" s="222">
        <f t="shared" si="159"/>
        <v>224.75</v>
      </c>
      <c r="BJ54" s="222">
        <f t="shared" si="159"/>
        <v>226.72</v>
      </c>
      <c r="BK54" s="222">
        <f t="shared" si="159"/>
        <v>228.69</v>
      </c>
      <c r="BL54" s="222">
        <f t="shared" si="159"/>
        <v>230.66</v>
      </c>
      <c r="BM54" s="222">
        <f t="shared" si="159"/>
        <v>232.63</v>
      </c>
      <c r="BN54" s="222">
        <f t="shared" si="159"/>
        <v>234.59</v>
      </c>
      <c r="BO54" s="222">
        <f t="shared" si="159"/>
        <v>236.56</v>
      </c>
      <c r="BP54" s="222">
        <f t="shared" si="159"/>
        <v>238.53</v>
      </c>
      <c r="BQ54" s="222">
        <f t="shared" si="159"/>
        <v>240.5</v>
      </c>
      <c r="BR54" s="222">
        <f t="shared" ref="BR54:CA54" si="160">ROUND(BR14*0.96*1.03,2)</f>
        <v>242.46</v>
      </c>
      <c r="BS54" s="222">
        <f t="shared" si="160"/>
        <v>244.43</v>
      </c>
      <c r="BT54" s="222">
        <f t="shared" si="160"/>
        <v>246.4</v>
      </c>
      <c r="BU54" s="222">
        <f t="shared" si="160"/>
        <v>248.37</v>
      </c>
      <c r="BV54" s="222">
        <f t="shared" si="160"/>
        <v>250.33</v>
      </c>
      <c r="BW54" s="222">
        <f t="shared" si="160"/>
        <v>252.3</v>
      </c>
      <c r="BX54" s="222">
        <f t="shared" si="160"/>
        <v>254.27</v>
      </c>
      <c r="BY54" s="222">
        <f t="shared" si="160"/>
        <v>256.24</v>
      </c>
      <c r="BZ54" s="222">
        <f t="shared" si="160"/>
        <v>258.20999999999998</v>
      </c>
      <c r="CA54" s="222">
        <f t="shared" si="160"/>
        <v>260.17</v>
      </c>
      <c r="CB54" s="222"/>
      <c r="CC54" s="222"/>
      <c r="CD54" s="222"/>
      <c r="CE54" s="222"/>
    </row>
    <row r="55" spans="1:83">
      <c r="A55" s="114" t="s">
        <v>470</v>
      </c>
      <c r="B55" s="115" t="s">
        <v>150</v>
      </c>
      <c r="C55" s="116"/>
      <c r="D55" s="42">
        <f t="shared" si="132"/>
        <v>2.35</v>
      </c>
      <c r="E55" s="46" t="s">
        <v>345</v>
      </c>
      <c r="F55" s="715">
        <f t="shared" ref="F55:AK55" si="161">ROUND(F15*0.96*1.03,2)</f>
        <v>219.35</v>
      </c>
      <c r="G55" s="715">
        <f t="shared" si="161"/>
        <v>221.71</v>
      </c>
      <c r="H55" s="715">
        <f t="shared" si="161"/>
        <v>224.07</v>
      </c>
      <c r="I55" s="715">
        <f t="shared" si="161"/>
        <v>226.44</v>
      </c>
      <c r="J55" s="715">
        <f t="shared" si="161"/>
        <v>228.78</v>
      </c>
      <c r="K55" s="715">
        <f t="shared" si="161"/>
        <v>231.15</v>
      </c>
      <c r="L55" s="715">
        <f t="shared" si="161"/>
        <v>233.51</v>
      </c>
      <c r="M55" s="715">
        <f t="shared" si="161"/>
        <v>235.88</v>
      </c>
      <c r="N55" s="715">
        <f t="shared" si="161"/>
        <v>238.22</v>
      </c>
      <c r="O55" s="715">
        <f t="shared" si="161"/>
        <v>240.58</v>
      </c>
      <c r="P55" s="715">
        <f t="shared" si="161"/>
        <v>242.96</v>
      </c>
      <c r="Q55" s="715">
        <f t="shared" si="161"/>
        <v>245.31</v>
      </c>
      <c r="R55" s="715">
        <f t="shared" si="161"/>
        <v>247.67</v>
      </c>
      <c r="S55" s="715">
        <f t="shared" si="161"/>
        <v>250.02</v>
      </c>
      <c r="T55" s="715">
        <f t="shared" si="161"/>
        <v>252.38</v>
      </c>
      <c r="U55" s="715">
        <f t="shared" si="161"/>
        <v>254.74</v>
      </c>
      <c r="V55" s="715">
        <f t="shared" si="161"/>
        <v>257.10000000000002</v>
      </c>
      <c r="W55" s="715">
        <f t="shared" si="161"/>
        <v>259.45999999999998</v>
      </c>
      <c r="X55" s="715">
        <f t="shared" si="161"/>
        <v>261.82</v>
      </c>
      <c r="Y55" s="715">
        <f t="shared" si="161"/>
        <v>264.19</v>
      </c>
      <c r="Z55" s="715">
        <f t="shared" si="161"/>
        <v>266.54000000000002</v>
      </c>
      <c r="AA55" s="715">
        <f t="shared" si="161"/>
        <v>268.89999999999998</v>
      </c>
      <c r="AB55" s="715">
        <f t="shared" si="161"/>
        <v>271.27</v>
      </c>
      <c r="AC55" s="715">
        <f t="shared" si="161"/>
        <v>273.63</v>
      </c>
      <c r="AD55" s="715">
        <f t="shared" si="161"/>
        <v>275.97000000000003</v>
      </c>
      <c r="AE55" s="715">
        <f t="shared" si="161"/>
        <v>278.35000000000002</v>
      </c>
      <c r="AF55" s="715">
        <f t="shared" si="161"/>
        <v>280.7</v>
      </c>
      <c r="AG55" s="715">
        <f t="shared" si="161"/>
        <v>283.07</v>
      </c>
      <c r="AH55" s="715">
        <f t="shared" si="161"/>
        <v>285.42</v>
      </c>
      <c r="AI55" s="715">
        <f t="shared" si="161"/>
        <v>287.77999999999997</v>
      </c>
      <c r="AJ55" s="715">
        <f t="shared" si="161"/>
        <v>290.14999999999998</v>
      </c>
      <c r="AK55" s="715">
        <f t="shared" si="161"/>
        <v>292.5</v>
      </c>
      <c r="AL55" s="715">
        <f t="shared" ref="AL55:BD55" si="162">ROUND(AL15*0.96*1.03,2)</f>
        <v>294.87</v>
      </c>
      <c r="AM55" s="715">
        <f t="shared" si="162"/>
        <v>297.20999999999998</v>
      </c>
      <c r="AN55" s="715">
        <f t="shared" si="162"/>
        <v>299.58</v>
      </c>
      <c r="AO55" s="222">
        <f t="shared" si="162"/>
        <v>301.93</v>
      </c>
      <c r="AP55" s="222">
        <f t="shared" si="162"/>
        <v>304.29000000000002</v>
      </c>
      <c r="AQ55" s="222">
        <f t="shared" si="162"/>
        <v>306.66000000000003</v>
      </c>
      <c r="AR55" s="222">
        <f t="shared" si="162"/>
        <v>309.02</v>
      </c>
      <c r="AS55" s="222">
        <f t="shared" si="162"/>
        <v>311.37</v>
      </c>
      <c r="AT55" s="222">
        <f t="shared" si="162"/>
        <v>313.74</v>
      </c>
      <c r="AU55" s="222">
        <f t="shared" si="162"/>
        <v>316.10000000000002</v>
      </c>
      <c r="AV55" s="222">
        <f t="shared" si="162"/>
        <v>318.45999999999998</v>
      </c>
      <c r="AW55" s="222">
        <f t="shared" si="162"/>
        <v>320.82</v>
      </c>
      <c r="AX55" s="222">
        <f t="shared" si="162"/>
        <v>323.18</v>
      </c>
      <c r="AY55" s="222">
        <f t="shared" si="162"/>
        <v>325.54000000000002</v>
      </c>
      <c r="AZ55" s="222">
        <f t="shared" si="162"/>
        <v>327.91</v>
      </c>
      <c r="BA55" s="222">
        <f t="shared" si="162"/>
        <v>330.26</v>
      </c>
      <c r="BB55" s="222">
        <f t="shared" si="162"/>
        <v>332.62</v>
      </c>
      <c r="BC55" s="222">
        <f t="shared" si="162"/>
        <v>334.99</v>
      </c>
      <c r="BD55" s="222">
        <f t="shared" si="162"/>
        <v>337.35</v>
      </c>
      <c r="BE55" s="222">
        <f t="shared" ref="BE55:BQ55" si="163">ROUND(BE15*0.96*1.03,2)</f>
        <v>339.71</v>
      </c>
      <c r="BF55" s="222">
        <f t="shared" si="163"/>
        <v>342.08</v>
      </c>
      <c r="BG55" s="222">
        <f t="shared" si="163"/>
        <v>344.44</v>
      </c>
      <c r="BH55" s="222">
        <f t="shared" si="163"/>
        <v>346.8</v>
      </c>
      <c r="BI55" s="222">
        <f t="shared" si="163"/>
        <v>349.17</v>
      </c>
      <c r="BJ55" s="222">
        <f t="shared" si="163"/>
        <v>351.53</v>
      </c>
      <c r="BK55" s="222">
        <f t="shared" si="163"/>
        <v>353.89</v>
      </c>
      <c r="BL55" s="222">
        <f t="shared" si="163"/>
        <v>356.25</v>
      </c>
      <c r="BM55" s="222">
        <f t="shared" si="163"/>
        <v>358.62</v>
      </c>
      <c r="BN55" s="222">
        <f t="shared" si="163"/>
        <v>360.98</v>
      </c>
      <c r="BO55" s="222">
        <f t="shared" si="163"/>
        <v>363.34</v>
      </c>
      <c r="BP55" s="222">
        <f t="shared" si="163"/>
        <v>365.71</v>
      </c>
      <c r="BQ55" s="222">
        <f t="shared" si="163"/>
        <v>368.07</v>
      </c>
      <c r="BR55" s="222">
        <f t="shared" ref="BR55:CA55" si="164">ROUND(BR15*0.96*1.03,2)</f>
        <v>370.43</v>
      </c>
      <c r="BS55" s="222">
        <f t="shared" si="164"/>
        <v>372.8</v>
      </c>
      <c r="BT55" s="222">
        <f t="shared" si="164"/>
        <v>375.16</v>
      </c>
      <c r="BU55" s="222">
        <f t="shared" si="164"/>
        <v>377.52</v>
      </c>
      <c r="BV55" s="222">
        <f t="shared" si="164"/>
        <v>379.89</v>
      </c>
      <c r="BW55" s="222">
        <f t="shared" si="164"/>
        <v>382.25</v>
      </c>
      <c r="BX55" s="222">
        <f t="shared" si="164"/>
        <v>384.61</v>
      </c>
      <c r="BY55" s="222">
        <f t="shared" si="164"/>
        <v>386.98</v>
      </c>
      <c r="BZ55" s="222">
        <f t="shared" si="164"/>
        <v>389.34</v>
      </c>
      <c r="CA55" s="222">
        <f t="shared" si="164"/>
        <v>391.7</v>
      </c>
      <c r="CB55" s="222"/>
      <c r="CC55" s="222"/>
      <c r="CD55" s="222"/>
      <c r="CE55" s="222"/>
    </row>
    <row r="56" spans="1:83">
      <c r="A56" s="114" t="s">
        <v>471</v>
      </c>
      <c r="B56" s="115" t="s">
        <v>250</v>
      </c>
      <c r="C56" s="116"/>
      <c r="D56" s="42">
        <f t="shared" si="132"/>
        <v>2.37</v>
      </c>
      <c r="E56" s="46" t="s">
        <v>345</v>
      </c>
      <c r="F56" s="222">
        <f t="shared" ref="F56:AK56" si="165">ROUND(F16*0.96*1.03,2)</f>
        <v>211.75</v>
      </c>
      <c r="G56" s="222">
        <f t="shared" si="165"/>
        <v>214.09</v>
      </c>
      <c r="H56" s="222">
        <f t="shared" si="165"/>
        <v>216.47</v>
      </c>
      <c r="I56" s="222">
        <f t="shared" si="165"/>
        <v>218.83</v>
      </c>
      <c r="J56" s="222">
        <f t="shared" si="165"/>
        <v>221.18</v>
      </c>
      <c r="K56" s="222">
        <f t="shared" si="165"/>
        <v>223.54</v>
      </c>
      <c r="L56" s="222">
        <f t="shared" si="165"/>
        <v>225.89</v>
      </c>
      <c r="M56" s="222">
        <f t="shared" si="165"/>
        <v>228.26</v>
      </c>
      <c r="N56" s="222">
        <f t="shared" si="165"/>
        <v>230.62</v>
      </c>
      <c r="O56" s="222">
        <f t="shared" si="165"/>
        <v>232.97</v>
      </c>
      <c r="P56" s="222">
        <f t="shared" si="165"/>
        <v>235.33</v>
      </c>
      <c r="Q56" s="222">
        <f t="shared" si="165"/>
        <v>237.7</v>
      </c>
      <c r="R56" s="222">
        <f t="shared" si="165"/>
        <v>240.07</v>
      </c>
      <c r="S56" s="222">
        <f t="shared" si="165"/>
        <v>242.41</v>
      </c>
      <c r="T56" s="222">
        <f t="shared" si="165"/>
        <v>244.78</v>
      </c>
      <c r="U56" s="222">
        <f t="shared" si="165"/>
        <v>247.14</v>
      </c>
      <c r="V56" s="222">
        <f t="shared" si="165"/>
        <v>249.5</v>
      </c>
      <c r="W56" s="222">
        <f t="shared" si="165"/>
        <v>251.86</v>
      </c>
      <c r="X56" s="222">
        <f t="shared" si="165"/>
        <v>254.22</v>
      </c>
      <c r="Y56" s="222">
        <f t="shared" si="165"/>
        <v>256.57</v>
      </c>
      <c r="Z56" s="222">
        <f t="shared" si="165"/>
        <v>258.95</v>
      </c>
      <c r="AA56" s="222">
        <f t="shared" si="165"/>
        <v>261.29000000000002</v>
      </c>
      <c r="AB56" s="222">
        <f t="shared" si="165"/>
        <v>263.66000000000003</v>
      </c>
      <c r="AC56" s="222">
        <f t="shared" si="165"/>
        <v>266.02999999999997</v>
      </c>
      <c r="AD56" s="222">
        <f t="shared" si="165"/>
        <v>268.37</v>
      </c>
      <c r="AE56" s="222">
        <f t="shared" si="165"/>
        <v>270.73</v>
      </c>
      <c r="AF56" s="222">
        <f t="shared" si="165"/>
        <v>273.08999999999997</v>
      </c>
      <c r="AG56" s="222">
        <f t="shared" si="165"/>
        <v>275.45999999999998</v>
      </c>
      <c r="AH56" s="222">
        <f t="shared" si="165"/>
        <v>277.8</v>
      </c>
      <c r="AI56" s="222">
        <f t="shared" si="165"/>
        <v>280.17</v>
      </c>
      <c r="AJ56" s="222">
        <f t="shared" si="165"/>
        <v>282.52999999999997</v>
      </c>
      <c r="AK56" s="222">
        <f t="shared" si="165"/>
        <v>284.89</v>
      </c>
      <c r="AL56" s="222">
        <f t="shared" ref="AL56:BD56" si="166">ROUND(AL16*0.96*1.03,2)</f>
        <v>287.27</v>
      </c>
      <c r="AM56" s="222">
        <f t="shared" si="166"/>
        <v>289.61</v>
      </c>
      <c r="AN56" s="222">
        <f t="shared" si="166"/>
        <v>291.97000000000003</v>
      </c>
      <c r="AO56" s="222">
        <f t="shared" si="166"/>
        <v>294.33999999999997</v>
      </c>
      <c r="AP56" s="222">
        <f t="shared" si="166"/>
        <v>296.69</v>
      </c>
      <c r="AQ56" s="222">
        <f t="shared" si="166"/>
        <v>299.05</v>
      </c>
      <c r="AR56" s="222">
        <f t="shared" si="166"/>
        <v>301.42</v>
      </c>
      <c r="AS56" s="222">
        <f t="shared" si="166"/>
        <v>303.77999999999997</v>
      </c>
      <c r="AT56" s="222">
        <f t="shared" si="166"/>
        <v>306.13</v>
      </c>
      <c r="AU56" s="222">
        <f t="shared" si="166"/>
        <v>308.5</v>
      </c>
      <c r="AV56" s="222">
        <f t="shared" si="166"/>
        <v>310.86</v>
      </c>
      <c r="AW56" s="222">
        <f t="shared" si="166"/>
        <v>313.22000000000003</v>
      </c>
      <c r="AX56" s="222">
        <f t="shared" si="166"/>
        <v>315.58</v>
      </c>
      <c r="AY56" s="222">
        <f t="shared" si="166"/>
        <v>317.94</v>
      </c>
      <c r="AZ56" s="222">
        <f t="shared" si="166"/>
        <v>320.29000000000002</v>
      </c>
      <c r="BA56" s="222">
        <f t="shared" si="166"/>
        <v>322.66000000000003</v>
      </c>
      <c r="BB56" s="222">
        <f t="shared" si="166"/>
        <v>325.01</v>
      </c>
      <c r="BC56" s="222">
        <f t="shared" si="166"/>
        <v>327.37</v>
      </c>
      <c r="BD56" s="222">
        <f t="shared" si="166"/>
        <v>329.74</v>
      </c>
      <c r="BE56" s="222">
        <f t="shared" ref="BE56:BQ56" si="167">ROUND(BE16*0.96*1.03,2)</f>
        <v>332.1</v>
      </c>
      <c r="BF56" s="222">
        <f t="shared" si="167"/>
        <v>334.46</v>
      </c>
      <c r="BG56" s="222">
        <f t="shared" si="167"/>
        <v>336.82</v>
      </c>
      <c r="BH56" s="222">
        <f t="shared" si="167"/>
        <v>339.19</v>
      </c>
      <c r="BI56" s="222">
        <f t="shared" si="167"/>
        <v>341.55</v>
      </c>
      <c r="BJ56" s="222">
        <f t="shared" si="167"/>
        <v>343.91</v>
      </c>
      <c r="BK56" s="222">
        <f t="shared" si="167"/>
        <v>346.28</v>
      </c>
      <c r="BL56" s="222">
        <f t="shared" si="167"/>
        <v>348.64</v>
      </c>
      <c r="BM56" s="222">
        <f t="shared" si="167"/>
        <v>351</v>
      </c>
      <c r="BN56" s="222">
        <f t="shared" si="167"/>
        <v>353.37</v>
      </c>
      <c r="BO56" s="222">
        <f t="shared" si="167"/>
        <v>355.73</v>
      </c>
      <c r="BP56" s="222">
        <f t="shared" si="167"/>
        <v>358.09</v>
      </c>
      <c r="BQ56" s="222">
        <f t="shared" si="167"/>
        <v>360.46</v>
      </c>
      <c r="BR56" s="222">
        <f t="shared" ref="BR56:CA56" si="168">ROUND(BR16*0.96*1.03,2)</f>
        <v>362.82</v>
      </c>
      <c r="BS56" s="222">
        <f t="shared" si="168"/>
        <v>365.18</v>
      </c>
      <c r="BT56" s="222">
        <f t="shared" si="168"/>
        <v>367.55</v>
      </c>
      <c r="BU56" s="222">
        <f t="shared" si="168"/>
        <v>369.91</v>
      </c>
      <c r="BV56" s="222">
        <f t="shared" si="168"/>
        <v>372.27</v>
      </c>
      <c r="BW56" s="222">
        <f t="shared" si="168"/>
        <v>374.64</v>
      </c>
      <c r="BX56" s="222">
        <f t="shared" si="168"/>
        <v>377</v>
      </c>
      <c r="BY56" s="222">
        <f t="shared" si="168"/>
        <v>379.36</v>
      </c>
      <c r="BZ56" s="222">
        <f t="shared" si="168"/>
        <v>381.73</v>
      </c>
      <c r="CA56" s="222">
        <f t="shared" si="168"/>
        <v>384.09</v>
      </c>
      <c r="CB56" s="222"/>
      <c r="CC56" s="222"/>
      <c r="CD56" s="222"/>
      <c r="CE56" s="222"/>
    </row>
    <row r="57" spans="1:83">
      <c r="A57" s="114" t="s">
        <v>472</v>
      </c>
      <c r="B57" s="115" t="s">
        <v>150</v>
      </c>
      <c r="C57" s="116"/>
      <c r="D57" s="42">
        <f t="shared" si="132"/>
        <v>2.2400000000000002</v>
      </c>
      <c r="E57" s="46" t="s">
        <v>332</v>
      </c>
      <c r="F57" s="715">
        <f t="shared" ref="F57:AK57" si="169">ROUND(F17*0.96*1.03,2)</f>
        <v>156.01</v>
      </c>
      <c r="G57" s="715">
        <f t="shared" si="169"/>
        <v>158.25</v>
      </c>
      <c r="H57" s="715">
        <f t="shared" si="169"/>
        <v>160.49</v>
      </c>
      <c r="I57" s="715">
        <f t="shared" si="169"/>
        <v>162.72</v>
      </c>
      <c r="J57" s="715">
        <f t="shared" si="169"/>
        <v>164.96</v>
      </c>
      <c r="K57" s="715">
        <f t="shared" si="169"/>
        <v>167.19</v>
      </c>
      <c r="L57" s="715">
        <f t="shared" si="169"/>
        <v>169.43</v>
      </c>
      <c r="M57" s="715">
        <f t="shared" si="169"/>
        <v>171.68</v>
      </c>
      <c r="N57" s="715">
        <f t="shared" si="169"/>
        <v>173.9</v>
      </c>
      <c r="O57" s="715">
        <f t="shared" si="169"/>
        <v>176.15</v>
      </c>
      <c r="P57" s="715">
        <f t="shared" si="169"/>
        <v>178.38</v>
      </c>
      <c r="Q57" s="715">
        <f t="shared" si="169"/>
        <v>180.63</v>
      </c>
      <c r="R57" s="715">
        <f t="shared" si="169"/>
        <v>182.88</v>
      </c>
      <c r="S57" s="715">
        <f t="shared" si="169"/>
        <v>185.1</v>
      </c>
      <c r="T57" s="715">
        <f t="shared" si="169"/>
        <v>187.35</v>
      </c>
      <c r="U57" s="715">
        <f t="shared" si="169"/>
        <v>189.57</v>
      </c>
      <c r="V57" s="715">
        <f t="shared" si="169"/>
        <v>191.84</v>
      </c>
      <c r="W57" s="715">
        <f t="shared" si="169"/>
        <v>194.07</v>
      </c>
      <c r="X57" s="715">
        <f t="shared" si="169"/>
        <v>196.3</v>
      </c>
      <c r="Y57" s="715">
        <f t="shared" si="169"/>
        <v>198.55</v>
      </c>
      <c r="Z57" s="715">
        <f t="shared" si="169"/>
        <v>200.78</v>
      </c>
      <c r="AA57" s="715">
        <f t="shared" si="169"/>
        <v>203.03</v>
      </c>
      <c r="AB57" s="715">
        <f t="shared" si="169"/>
        <v>205.26</v>
      </c>
      <c r="AC57" s="715">
        <f t="shared" si="169"/>
        <v>207.5</v>
      </c>
      <c r="AD57" s="715">
        <f t="shared" si="169"/>
        <v>209.74</v>
      </c>
      <c r="AE57" s="715">
        <f t="shared" si="169"/>
        <v>211.98</v>
      </c>
      <c r="AF57" s="715">
        <f t="shared" si="169"/>
        <v>214.22</v>
      </c>
      <c r="AG57" s="715">
        <f t="shared" si="169"/>
        <v>216.45</v>
      </c>
      <c r="AH57" s="715">
        <f t="shared" si="169"/>
        <v>218.67</v>
      </c>
      <c r="AI57" s="715">
        <f t="shared" si="169"/>
        <v>220.92</v>
      </c>
      <c r="AJ57" s="715">
        <f t="shared" si="169"/>
        <v>223.15</v>
      </c>
      <c r="AK57" s="715">
        <f t="shared" si="169"/>
        <v>225.4</v>
      </c>
      <c r="AL57" s="715">
        <f t="shared" ref="AL57:BD57" si="170">ROUND(AL17*0.96*1.03,2)</f>
        <v>227.63</v>
      </c>
      <c r="AM57" s="715">
        <f t="shared" si="170"/>
        <v>229.86</v>
      </c>
      <c r="AN57" s="715">
        <f t="shared" si="170"/>
        <v>232.1</v>
      </c>
      <c r="AO57" s="222">
        <f t="shared" si="170"/>
        <v>234.34</v>
      </c>
      <c r="AP57" s="222">
        <f t="shared" si="170"/>
        <v>236.59</v>
      </c>
      <c r="AQ57" s="222">
        <f t="shared" si="170"/>
        <v>238.83</v>
      </c>
      <c r="AR57" s="222">
        <f t="shared" si="170"/>
        <v>241.07</v>
      </c>
      <c r="AS57" s="222">
        <f t="shared" si="170"/>
        <v>243.32</v>
      </c>
      <c r="AT57" s="222">
        <f t="shared" si="170"/>
        <v>245.56</v>
      </c>
      <c r="AU57" s="222">
        <f t="shared" si="170"/>
        <v>247.81</v>
      </c>
      <c r="AV57" s="222">
        <f t="shared" si="170"/>
        <v>250.06</v>
      </c>
      <c r="AW57" s="222">
        <f t="shared" si="170"/>
        <v>252.3</v>
      </c>
      <c r="AX57" s="222">
        <f t="shared" si="170"/>
        <v>254.55</v>
      </c>
      <c r="AY57" s="222">
        <f t="shared" si="170"/>
        <v>256.77999999999997</v>
      </c>
      <c r="AZ57" s="222">
        <f t="shared" si="170"/>
        <v>259.04000000000002</v>
      </c>
      <c r="BA57" s="222">
        <f t="shared" si="170"/>
        <v>261.27999999999997</v>
      </c>
      <c r="BB57" s="222">
        <f t="shared" si="170"/>
        <v>263.52999999999997</v>
      </c>
      <c r="BC57" s="222">
        <f t="shared" si="170"/>
        <v>265.77</v>
      </c>
      <c r="BD57" s="222">
        <f t="shared" si="170"/>
        <v>268</v>
      </c>
      <c r="BE57" s="222">
        <f t="shared" ref="BE57:BQ57" si="171">ROUND(BE17*0.96*1.03,2)</f>
        <v>270.24</v>
      </c>
      <c r="BF57" s="222">
        <f t="shared" si="171"/>
        <v>272.47000000000003</v>
      </c>
      <c r="BG57" s="222">
        <f t="shared" si="171"/>
        <v>274.70999999999998</v>
      </c>
      <c r="BH57" s="222">
        <f t="shared" si="171"/>
        <v>276.94</v>
      </c>
      <c r="BI57" s="222">
        <f t="shared" si="171"/>
        <v>279.18</v>
      </c>
      <c r="BJ57" s="222">
        <f t="shared" si="171"/>
        <v>281.41000000000003</v>
      </c>
      <c r="BK57" s="222">
        <f t="shared" si="171"/>
        <v>283.64999999999998</v>
      </c>
      <c r="BL57" s="222">
        <f t="shared" si="171"/>
        <v>285.88</v>
      </c>
      <c r="BM57" s="222">
        <f t="shared" si="171"/>
        <v>288.12</v>
      </c>
      <c r="BN57" s="222">
        <f t="shared" si="171"/>
        <v>290.35000000000002</v>
      </c>
      <c r="BO57" s="222">
        <f t="shared" si="171"/>
        <v>292.58999999999997</v>
      </c>
      <c r="BP57" s="222">
        <f t="shared" si="171"/>
        <v>294.82</v>
      </c>
      <c r="BQ57" s="222">
        <f t="shared" si="171"/>
        <v>297.06</v>
      </c>
      <c r="BR57" s="222">
        <f t="shared" ref="BR57:CA57" si="172">ROUND(BR17*0.96*1.03,2)</f>
        <v>299.29000000000002</v>
      </c>
      <c r="BS57" s="222">
        <f t="shared" si="172"/>
        <v>301.52</v>
      </c>
      <c r="BT57" s="222">
        <f t="shared" si="172"/>
        <v>303.76</v>
      </c>
      <c r="BU57" s="222">
        <f t="shared" si="172"/>
        <v>305.99</v>
      </c>
      <c r="BV57" s="222">
        <f t="shared" si="172"/>
        <v>308.23</v>
      </c>
      <c r="BW57" s="222">
        <f t="shared" si="172"/>
        <v>310.45999999999998</v>
      </c>
      <c r="BX57" s="222">
        <f t="shared" si="172"/>
        <v>312.7</v>
      </c>
      <c r="BY57" s="222">
        <f t="shared" si="172"/>
        <v>314.93</v>
      </c>
      <c r="BZ57" s="222">
        <f t="shared" si="172"/>
        <v>317.17</v>
      </c>
      <c r="CA57" s="222">
        <f t="shared" si="172"/>
        <v>319.39999999999998</v>
      </c>
      <c r="CB57" s="222"/>
      <c r="CC57" s="222"/>
      <c r="CD57" s="222"/>
      <c r="CE57" s="222"/>
    </row>
    <row r="58" spans="1:83" s="128" customFormat="1">
      <c r="A58" s="350" t="s">
        <v>473</v>
      </c>
      <c r="B58" s="178" t="s">
        <v>150</v>
      </c>
      <c r="C58" s="171">
        <v>14.42</v>
      </c>
      <c r="D58" s="39">
        <f t="shared" si="132"/>
        <v>2.06</v>
      </c>
      <c r="E58" s="128" t="s">
        <v>345</v>
      </c>
      <c r="F58" s="716">
        <f t="shared" ref="F58:AK58" si="173">ROUND(F18*0.94*1.03,2)</f>
        <v>144.11000000000001</v>
      </c>
      <c r="G58" s="716">
        <f t="shared" si="173"/>
        <v>146.16</v>
      </c>
      <c r="H58" s="716">
        <f t="shared" si="173"/>
        <v>148.22999999999999</v>
      </c>
      <c r="I58" s="716">
        <f t="shared" si="173"/>
        <v>150.29</v>
      </c>
      <c r="J58" s="716">
        <f t="shared" si="173"/>
        <v>152.37</v>
      </c>
      <c r="K58" s="716">
        <f t="shared" si="173"/>
        <v>154.44</v>
      </c>
      <c r="L58" s="716">
        <f t="shared" si="173"/>
        <v>156.51</v>
      </c>
      <c r="M58" s="716">
        <f t="shared" si="173"/>
        <v>158.57</v>
      </c>
      <c r="N58" s="716">
        <f t="shared" si="173"/>
        <v>160.63999999999999</v>
      </c>
      <c r="O58" s="716">
        <f t="shared" si="173"/>
        <v>162.71</v>
      </c>
      <c r="P58" s="716">
        <f t="shared" si="173"/>
        <v>164.78</v>
      </c>
      <c r="Q58" s="716">
        <f t="shared" si="173"/>
        <v>166.85</v>
      </c>
      <c r="R58" s="716">
        <f t="shared" si="173"/>
        <v>168.91</v>
      </c>
      <c r="S58" s="716">
        <f t="shared" si="173"/>
        <v>170.98</v>
      </c>
      <c r="T58" s="716">
        <f t="shared" si="173"/>
        <v>173.06</v>
      </c>
      <c r="U58" s="716">
        <f t="shared" si="173"/>
        <v>175.14</v>
      </c>
      <c r="V58" s="716">
        <f t="shared" si="173"/>
        <v>177.19</v>
      </c>
      <c r="W58" s="716">
        <f t="shared" si="173"/>
        <v>179.26</v>
      </c>
      <c r="X58" s="716">
        <f t="shared" si="173"/>
        <v>181.32</v>
      </c>
      <c r="Y58" s="716">
        <f t="shared" si="173"/>
        <v>183.41</v>
      </c>
      <c r="Z58" s="716">
        <f t="shared" si="173"/>
        <v>185.47</v>
      </c>
      <c r="AA58" s="716">
        <f t="shared" si="173"/>
        <v>187.54</v>
      </c>
      <c r="AB58" s="716">
        <f t="shared" si="173"/>
        <v>189.6</v>
      </c>
      <c r="AC58" s="716">
        <f t="shared" si="173"/>
        <v>191.68</v>
      </c>
      <c r="AD58" s="716">
        <f t="shared" si="173"/>
        <v>193.74</v>
      </c>
      <c r="AE58" s="716">
        <f t="shared" si="173"/>
        <v>195.81</v>
      </c>
      <c r="AF58" s="716">
        <f t="shared" si="173"/>
        <v>197.87</v>
      </c>
      <c r="AG58" s="716">
        <f t="shared" si="173"/>
        <v>199.95</v>
      </c>
      <c r="AH58" s="716">
        <f t="shared" si="173"/>
        <v>202.01</v>
      </c>
      <c r="AI58" s="716">
        <f t="shared" si="173"/>
        <v>204.09</v>
      </c>
      <c r="AJ58" s="716">
        <f t="shared" si="173"/>
        <v>206.15</v>
      </c>
      <c r="AK58" s="716">
        <f t="shared" si="173"/>
        <v>208.21</v>
      </c>
      <c r="AL58" s="716">
        <f t="shared" ref="AL58:BQ58" si="174">ROUND(AL18*0.94*1.03,2)</f>
        <v>210.28</v>
      </c>
      <c r="AM58" s="716">
        <f t="shared" si="174"/>
        <v>212.36</v>
      </c>
      <c r="AN58" s="716">
        <f t="shared" si="174"/>
        <v>214.43</v>
      </c>
      <c r="AO58" s="356">
        <f t="shared" si="174"/>
        <v>216.49</v>
      </c>
      <c r="AP58" s="356">
        <f t="shared" si="174"/>
        <v>218.55</v>
      </c>
      <c r="AQ58" s="356">
        <f t="shared" si="174"/>
        <v>220.62</v>
      </c>
      <c r="AR58" s="356">
        <f t="shared" si="174"/>
        <v>222.69</v>
      </c>
      <c r="AS58" s="356">
        <f t="shared" si="174"/>
        <v>224.75</v>
      </c>
      <c r="AT58" s="356">
        <f t="shared" si="174"/>
        <v>226.81</v>
      </c>
      <c r="AU58" s="356">
        <f t="shared" si="174"/>
        <v>228.88</v>
      </c>
      <c r="AV58" s="356">
        <f t="shared" si="174"/>
        <v>230.95</v>
      </c>
      <c r="AW58" s="356">
        <f t="shared" si="174"/>
        <v>233.02</v>
      </c>
      <c r="AX58" s="356">
        <f t="shared" si="174"/>
        <v>235.08</v>
      </c>
      <c r="AY58" s="356">
        <f t="shared" si="174"/>
        <v>237.14</v>
      </c>
      <c r="AZ58" s="356">
        <f t="shared" si="174"/>
        <v>239.21</v>
      </c>
      <c r="BA58" s="356">
        <f t="shared" si="174"/>
        <v>241.28</v>
      </c>
      <c r="BB58" s="356">
        <f t="shared" si="174"/>
        <v>243.34</v>
      </c>
      <c r="BC58" s="356">
        <f t="shared" si="174"/>
        <v>245.4</v>
      </c>
      <c r="BD58" s="356">
        <f t="shared" si="174"/>
        <v>247.46</v>
      </c>
      <c r="BE58" s="356">
        <f t="shared" si="174"/>
        <v>249.52</v>
      </c>
      <c r="BF58" s="356">
        <f t="shared" si="174"/>
        <v>251.59</v>
      </c>
      <c r="BG58" s="356">
        <f t="shared" si="174"/>
        <v>253.65</v>
      </c>
      <c r="BH58" s="356">
        <f t="shared" si="174"/>
        <v>255.71</v>
      </c>
      <c r="BI58" s="356">
        <f t="shared" si="174"/>
        <v>257.77</v>
      </c>
      <c r="BJ58" s="356">
        <f t="shared" si="174"/>
        <v>259.83999999999997</v>
      </c>
      <c r="BK58" s="356">
        <f t="shared" si="174"/>
        <v>261.89999999999998</v>
      </c>
      <c r="BL58" s="356">
        <f t="shared" si="174"/>
        <v>263.95999999999998</v>
      </c>
      <c r="BM58" s="356">
        <f t="shared" si="174"/>
        <v>266.02</v>
      </c>
      <c r="BN58" s="356">
        <f t="shared" si="174"/>
        <v>268.08</v>
      </c>
      <c r="BO58" s="356">
        <f t="shared" si="174"/>
        <v>270.14999999999998</v>
      </c>
      <c r="BP58" s="356">
        <f t="shared" si="174"/>
        <v>272.20999999999998</v>
      </c>
      <c r="BQ58" s="356">
        <f t="shared" si="174"/>
        <v>274.27</v>
      </c>
      <c r="BR58" s="356">
        <f t="shared" ref="BR58:CA58" si="175">ROUND(BR18*0.94*1.03,2)</f>
        <v>276.33</v>
      </c>
      <c r="BS58" s="356">
        <f t="shared" si="175"/>
        <v>278.39999999999998</v>
      </c>
      <c r="BT58" s="356">
        <f t="shared" si="175"/>
        <v>280.45999999999998</v>
      </c>
      <c r="BU58" s="356">
        <f t="shared" si="175"/>
        <v>282.52</v>
      </c>
      <c r="BV58" s="356">
        <f t="shared" si="175"/>
        <v>284.58</v>
      </c>
      <c r="BW58" s="356">
        <f t="shared" si="175"/>
        <v>286.64999999999998</v>
      </c>
      <c r="BX58" s="356">
        <f t="shared" si="175"/>
        <v>288.70999999999998</v>
      </c>
      <c r="BY58" s="356">
        <f t="shared" si="175"/>
        <v>290.77</v>
      </c>
      <c r="BZ58" s="356">
        <f t="shared" si="175"/>
        <v>292.83</v>
      </c>
      <c r="CA58" s="356">
        <f t="shared" si="175"/>
        <v>294.89</v>
      </c>
      <c r="CB58" s="356"/>
      <c r="CC58" s="356"/>
      <c r="CD58" s="356"/>
      <c r="CE58" s="356"/>
    </row>
    <row r="59" spans="1:83" s="128" customFormat="1">
      <c r="A59" s="351" t="s">
        <v>474</v>
      </c>
      <c r="B59" s="352" t="s">
        <v>150</v>
      </c>
      <c r="C59" s="335">
        <v>14.42</v>
      </c>
      <c r="D59" s="39">
        <f t="shared" si="132"/>
        <v>2.13</v>
      </c>
      <c r="E59" s="128" t="s">
        <v>345</v>
      </c>
      <c r="F59" s="716">
        <f t="shared" ref="F59:AK59" si="176">ROUND(F19*0.94*1.03,2)</f>
        <v>148.43</v>
      </c>
      <c r="G59" s="716">
        <f t="shared" si="176"/>
        <v>150.55000000000001</v>
      </c>
      <c r="H59" s="716">
        <f t="shared" si="176"/>
        <v>152.68</v>
      </c>
      <c r="I59" s="716">
        <f t="shared" si="176"/>
        <v>154.81</v>
      </c>
      <c r="J59" s="716">
        <f t="shared" si="176"/>
        <v>156.94</v>
      </c>
      <c r="K59" s="716">
        <f t="shared" si="176"/>
        <v>159.08000000000001</v>
      </c>
      <c r="L59" s="716">
        <f t="shared" si="176"/>
        <v>161.21</v>
      </c>
      <c r="M59" s="716">
        <f t="shared" si="176"/>
        <v>163.33000000000001</v>
      </c>
      <c r="N59" s="716">
        <f t="shared" si="176"/>
        <v>165.47</v>
      </c>
      <c r="O59" s="716">
        <f t="shared" si="176"/>
        <v>167.59</v>
      </c>
      <c r="P59" s="716">
        <f t="shared" si="176"/>
        <v>169.73</v>
      </c>
      <c r="Q59" s="716">
        <f t="shared" si="176"/>
        <v>171.86</v>
      </c>
      <c r="R59" s="716">
        <f t="shared" si="176"/>
        <v>173.98</v>
      </c>
      <c r="S59" s="716">
        <f t="shared" si="176"/>
        <v>176.12</v>
      </c>
      <c r="T59" s="716">
        <f t="shared" si="176"/>
        <v>178.25</v>
      </c>
      <c r="U59" s="716">
        <f t="shared" si="176"/>
        <v>180.4</v>
      </c>
      <c r="V59" s="716">
        <f t="shared" si="176"/>
        <v>182.51</v>
      </c>
      <c r="W59" s="716">
        <f t="shared" si="176"/>
        <v>184.64</v>
      </c>
      <c r="X59" s="716">
        <f t="shared" si="176"/>
        <v>186.77</v>
      </c>
      <c r="Y59" s="716">
        <f t="shared" si="176"/>
        <v>188.91</v>
      </c>
      <c r="Z59" s="716">
        <f t="shared" si="176"/>
        <v>191.04</v>
      </c>
      <c r="AA59" s="716">
        <f t="shared" si="176"/>
        <v>193.17</v>
      </c>
      <c r="AB59" s="716">
        <f t="shared" si="176"/>
        <v>195.29</v>
      </c>
      <c r="AC59" s="716">
        <f t="shared" si="176"/>
        <v>197.44</v>
      </c>
      <c r="AD59" s="716">
        <f t="shared" si="176"/>
        <v>199.55</v>
      </c>
      <c r="AE59" s="716">
        <f t="shared" si="176"/>
        <v>201.69</v>
      </c>
      <c r="AF59" s="716">
        <f t="shared" si="176"/>
        <v>203.81</v>
      </c>
      <c r="AG59" s="716">
        <f t="shared" si="176"/>
        <v>205.96</v>
      </c>
      <c r="AH59" s="716">
        <f t="shared" si="176"/>
        <v>208.08</v>
      </c>
      <c r="AI59" s="716">
        <f t="shared" si="176"/>
        <v>210.21</v>
      </c>
      <c r="AJ59" s="716">
        <f t="shared" si="176"/>
        <v>212.34</v>
      </c>
      <c r="AK59" s="716">
        <f t="shared" si="176"/>
        <v>214.46</v>
      </c>
      <c r="AL59" s="716">
        <f t="shared" ref="AL59:BQ59" si="177">ROUND(AL19*0.94*1.03,2)</f>
        <v>216.6</v>
      </c>
      <c r="AM59" s="716">
        <f t="shared" si="177"/>
        <v>218.73</v>
      </c>
      <c r="AN59" s="716">
        <f t="shared" si="177"/>
        <v>220.86</v>
      </c>
      <c r="AO59" s="356">
        <f t="shared" si="177"/>
        <v>222.99</v>
      </c>
      <c r="AP59" s="356">
        <f t="shared" si="177"/>
        <v>225.11</v>
      </c>
      <c r="AQ59" s="356">
        <f t="shared" si="177"/>
        <v>227.25</v>
      </c>
      <c r="AR59" s="356">
        <f t="shared" si="177"/>
        <v>229.37</v>
      </c>
      <c r="AS59" s="356">
        <f t="shared" si="177"/>
        <v>231.49</v>
      </c>
      <c r="AT59" s="356">
        <f t="shared" si="177"/>
        <v>233.62</v>
      </c>
      <c r="AU59" s="356">
        <f t="shared" si="177"/>
        <v>235.75</v>
      </c>
      <c r="AV59" s="356">
        <f t="shared" si="177"/>
        <v>237.88</v>
      </c>
      <c r="AW59" s="356">
        <f t="shared" si="177"/>
        <v>240</v>
      </c>
      <c r="AX59" s="356">
        <f t="shared" si="177"/>
        <v>242.12</v>
      </c>
      <c r="AY59" s="356">
        <f t="shared" si="177"/>
        <v>244.25</v>
      </c>
      <c r="AZ59" s="356">
        <f t="shared" si="177"/>
        <v>246.38</v>
      </c>
      <c r="BA59" s="356">
        <f t="shared" si="177"/>
        <v>248.51</v>
      </c>
      <c r="BB59" s="356">
        <f t="shared" si="177"/>
        <v>250.63</v>
      </c>
      <c r="BC59" s="356">
        <f t="shared" si="177"/>
        <v>252.75</v>
      </c>
      <c r="BD59" s="356">
        <f t="shared" si="177"/>
        <v>254.88</v>
      </c>
      <c r="BE59" s="356">
        <f t="shared" si="177"/>
        <v>257.01</v>
      </c>
      <c r="BF59" s="356">
        <f t="shared" si="177"/>
        <v>259.14</v>
      </c>
      <c r="BG59" s="356">
        <f t="shared" si="177"/>
        <v>261.27</v>
      </c>
      <c r="BH59" s="356">
        <f t="shared" si="177"/>
        <v>263.39999999999998</v>
      </c>
      <c r="BI59" s="356">
        <f t="shared" si="177"/>
        <v>265.52999999999997</v>
      </c>
      <c r="BJ59" s="356">
        <f t="shared" si="177"/>
        <v>267.66000000000003</v>
      </c>
      <c r="BK59" s="356">
        <f t="shared" si="177"/>
        <v>269.79000000000002</v>
      </c>
      <c r="BL59" s="356">
        <f t="shared" si="177"/>
        <v>271.92</v>
      </c>
      <c r="BM59" s="356">
        <f t="shared" si="177"/>
        <v>274.05</v>
      </c>
      <c r="BN59" s="356">
        <f t="shared" si="177"/>
        <v>276.18</v>
      </c>
      <c r="BO59" s="356">
        <f t="shared" si="177"/>
        <v>278.31</v>
      </c>
      <c r="BP59" s="356">
        <f t="shared" si="177"/>
        <v>280.44</v>
      </c>
      <c r="BQ59" s="356">
        <f t="shared" si="177"/>
        <v>282.57</v>
      </c>
      <c r="BR59" s="356">
        <f t="shared" ref="BR59:CA59" si="178">ROUND(BR19*0.94*1.03,2)</f>
        <v>284.7</v>
      </c>
      <c r="BS59" s="356">
        <f t="shared" si="178"/>
        <v>286.83</v>
      </c>
      <c r="BT59" s="356">
        <f t="shared" si="178"/>
        <v>288.95999999999998</v>
      </c>
      <c r="BU59" s="356">
        <f t="shared" si="178"/>
        <v>291.08999999999997</v>
      </c>
      <c r="BV59" s="356">
        <f t="shared" si="178"/>
        <v>293.22000000000003</v>
      </c>
      <c r="BW59" s="356">
        <f t="shared" si="178"/>
        <v>295.35000000000002</v>
      </c>
      <c r="BX59" s="356">
        <f t="shared" si="178"/>
        <v>297.48</v>
      </c>
      <c r="BY59" s="356">
        <f t="shared" si="178"/>
        <v>299.61</v>
      </c>
      <c r="BZ59" s="356">
        <f t="shared" si="178"/>
        <v>301.74</v>
      </c>
      <c r="CA59" s="356">
        <f t="shared" si="178"/>
        <v>303.87</v>
      </c>
      <c r="CB59" s="356"/>
      <c r="CC59" s="356"/>
      <c r="CD59" s="356"/>
      <c r="CE59" s="356"/>
    </row>
    <row r="60" spans="1:83" s="128" customFormat="1">
      <c r="A60" s="350" t="s">
        <v>475</v>
      </c>
      <c r="B60" s="178" t="s">
        <v>150</v>
      </c>
      <c r="C60" s="171">
        <v>14.42</v>
      </c>
      <c r="D60" s="39">
        <f t="shared" si="132"/>
        <v>2.0699999999999998</v>
      </c>
      <c r="E60" s="128" t="s">
        <v>345</v>
      </c>
      <c r="F60" s="716">
        <f t="shared" ref="F60:AK60" si="179">ROUND(F20*0.94*1.03,2)</f>
        <v>146.85</v>
      </c>
      <c r="G60" s="716">
        <f t="shared" si="179"/>
        <v>148.91</v>
      </c>
      <c r="H60" s="716">
        <f t="shared" si="179"/>
        <v>150.97999999999999</v>
      </c>
      <c r="I60" s="716">
        <f t="shared" si="179"/>
        <v>153.04</v>
      </c>
      <c r="J60" s="716">
        <f t="shared" si="179"/>
        <v>155.13</v>
      </c>
      <c r="K60" s="716">
        <f t="shared" si="179"/>
        <v>157.19</v>
      </c>
      <c r="L60" s="716">
        <f t="shared" si="179"/>
        <v>159.26</v>
      </c>
      <c r="M60" s="716">
        <f t="shared" si="179"/>
        <v>161.31</v>
      </c>
      <c r="N60" s="716">
        <f t="shared" si="179"/>
        <v>163.38999999999999</v>
      </c>
      <c r="O60" s="716">
        <f t="shared" si="179"/>
        <v>165.47</v>
      </c>
      <c r="P60" s="716">
        <f t="shared" si="179"/>
        <v>167.53</v>
      </c>
      <c r="Q60" s="716">
        <f t="shared" si="179"/>
        <v>169.6</v>
      </c>
      <c r="R60" s="716">
        <f t="shared" si="179"/>
        <v>171.66</v>
      </c>
      <c r="S60" s="716">
        <f t="shared" si="179"/>
        <v>173.74</v>
      </c>
      <c r="T60" s="716">
        <f t="shared" si="179"/>
        <v>175.81</v>
      </c>
      <c r="U60" s="716">
        <f t="shared" si="179"/>
        <v>177.88</v>
      </c>
      <c r="V60" s="716">
        <f t="shared" si="179"/>
        <v>179.94</v>
      </c>
      <c r="W60" s="716">
        <f t="shared" si="179"/>
        <v>182.02</v>
      </c>
      <c r="X60" s="716">
        <f t="shared" si="179"/>
        <v>184.08</v>
      </c>
      <c r="Y60" s="716">
        <f t="shared" si="179"/>
        <v>186.16</v>
      </c>
      <c r="Z60" s="716">
        <f t="shared" si="179"/>
        <v>188.22</v>
      </c>
      <c r="AA60" s="716">
        <f t="shared" si="179"/>
        <v>190.29</v>
      </c>
      <c r="AB60" s="716">
        <f t="shared" si="179"/>
        <v>192.35</v>
      </c>
      <c r="AC60" s="716">
        <f t="shared" si="179"/>
        <v>194.42</v>
      </c>
      <c r="AD60" s="716">
        <f t="shared" si="179"/>
        <v>196.49</v>
      </c>
      <c r="AE60" s="716">
        <f t="shared" si="179"/>
        <v>198.56</v>
      </c>
      <c r="AF60" s="716">
        <f t="shared" si="179"/>
        <v>200.63</v>
      </c>
      <c r="AG60" s="716">
        <f t="shared" si="179"/>
        <v>202.7</v>
      </c>
      <c r="AH60" s="716">
        <f t="shared" si="179"/>
        <v>204.76</v>
      </c>
      <c r="AI60" s="716">
        <f t="shared" si="179"/>
        <v>206.84</v>
      </c>
      <c r="AJ60" s="716">
        <f t="shared" si="179"/>
        <v>208.89</v>
      </c>
      <c r="AK60" s="716">
        <f t="shared" si="179"/>
        <v>210.97</v>
      </c>
      <c r="AL60" s="716">
        <f t="shared" ref="AL60:BQ60" si="180">ROUND(AL20*0.94*1.03,2)</f>
        <v>213.03</v>
      </c>
      <c r="AM60" s="716">
        <f t="shared" si="180"/>
        <v>215.1</v>
      </c>
      <c r="AN60" s="716">
        <f t="shared" si="180"/>
        <v>217.18</v>
      </c>
      <c r="AO60" s="356">
        <f t="shared" si="180"/>
        <v>219.25</v>
      </c>
      <c r="AP60" s="356">
        <f t="shared" si="180"/>
        <v>221.31</v>
      </c>
      <c r="AQ60" s="356">
        <f t="shared" si="180"/>
        <v>223.37</v>
      </c>
      <c r="AR60" s="356">
        <f t="shared" si="180"/>
        <v>225.44</v>
      </c>
      <c r="AS60" s="356">
        <f t="shared" si="180"/>
        <v>227.5</v>
      </c>
      <c r="AT60" s="356">
        <f t="shared" si="180"/>
        <v>229.58</v>
      </c>
      <c r="AU60" s="356">
        <f t="shared" si="180"/>
        <v>231.64</v>
      </c>
      <c r="AV60" s="356">
        <f t="shared" si="180"/>
        <v>233.7</v>
      </c>
      <c r="AW60" s="356">
        <f t="shared" si="180"/>
        <v>235.77</v>
      </c>
      <c r="AX60" s="356">
        <f t="shared" si="180"/>
        <v>237.83</v>
      </c>
      <c r="AY60" s="356">
        <f t="shared" si="180"/>
        <v>239.9</v>
      </c>
      <c r="AZ60" s="356">
        <f t="shared" si="180"/>
        <v>241.96</v>
      </c>
      <c r="BA60" s="356">
        <f t="shared" si="180"/>
        <v>244.03</v>
      </c>
      <c r="BB60" s="356">
        <f t="shared" si="180"/>
        <v>246.09</v>
      </c>
      <c r="BC60" s="356">
        <f t="shared" si="180"/>
        <v>248.16</v>
      </c>
      <c r="BD60" s="356">
        <f t="shared" si="180"/>
        <v>250.22</v>
      </c>
      <c r="BE60" s="356">
        <f t="shared" si="180"/>
        <v>252.28</v>
      </c>
      <c r="BF60" s="356">
        <f t="shared" si="180"/>
        <v>254.35</v>
      </c>
      <c r="BG60" s="356">
        <f t="shared" si="180"/>
        <v>256.41000000000003</v>
      </c>
      <c r="BH60" s="356">
        <f t="shared" si="180"/>
        <v>258.47000000000003</v>
      </c>
      <c r="BI60" s="356">
        <f t="shared" si="180"/>
        <v>260.52999999999997</v>
      </c>
      <c r="BJ60" s="356">
        <f t="shared" si="180"/>
        <v>262.60000000000002</v>
      </c>
      <c r="BK60" s="356">
        <f t="shared" si="180"/>
        <v>264.66000000000003</v>
      </c>
      <c r="BL60" s="356">
        <f t="shared" si="180"/>
        <v>266.72000000000003</v>
      </c>
      <c r="BM60" s="356">
        <f t="shared" si="180"/>
        <v>268.77999999999997</v>
      </c>
      <c r="BN60" s="356">
        <f t="shared" si="180"/>
        <v>270.83999999999997</v>
      </c>
      <c r="BO60" s="356">
        <f t="shared" si="180"/>
        <v>272.91000000000003</v>
      </c>
      <c r="BP60" s="356">
        <f t="shared" si="180"/>
        <v>274.97000000000003</v>
      </c>
      <c r="BQ60" s="356">
        <f t="shared" si="180"/>
        <v>277.02999999999997</v>
      </c>
      <c r="BR60" s="356">
        <f t="shared" ref="BR60:CA60" si="181">ROUND(BR20*0.94*1.03,2)</f>
        <v>279.08999999999997</v>
      </c>
      <c r="BS60" s="356">
        <f t="shared" si="181"/>
        <v>281.16000000000003</v>
      </c>
      <c r="BT60" s="356">
        <f t="shared" si="181"/>
        <v>283.22000000000003</v>
      </c>
      <c r="BU60" s="356">
        <f t="shared" si="181"/>
        <v>285.27999999999997</v>
      </c>
      <c r="BV60" s="356">
        <f t="shared" si="181"/>
        <v>287.33999999999997</v>
      </c>
      <c r="BW60" s="356">
        <f t="shared" si="181"/>
        <v>289.39999999999998</v>
      </c>
      <c r="BX60" s="356">
        <f t="shared" si="181"/>
        <v>291.47000000000003</v>
      </c>
      <c r="BY60" s="356">
        <f t="shared" si="181"/>
        <v>293.52999999999997</v>
      </c>
      <c r="BZ60" s="356">
        <f t="shared" si="181"/>
        <v>295.58999999999997</v>
      </c>
      <c r="CA60" s="356">
        <f t="shared" si="181"/>
        <v>297.64999999999998</v>
      </c>
      <c r="CB60" s="356"/>
      <c r="CC60" s="356"/>
      <c r="CD60" s="356"/>
      <c r="CE60" s="356"/>
    </row>
    <row r="61" spans="1:83" s="128" customFormat="1">
      <c r="A61" s="351" t="s">
        <v>476</v>
      </c>
      <c r="B61" s="352" t="s">
        <v>150</v>
      </c>
      <c r="C61" s="335">
        <v>14.42</v>
      </c>
      <c r="D61" s="39">
        <f t="shared" si="132"/>
        <v>2.13</v>
      </c>
      <c r="E61" s="128" t="s">
        <v>345</v>
      </c>
      <c r="F61" s="716">
        <f t="shared" ref="F61:AK61" si="182">ROUND(F21*0.94*1.03,2)</f>
        <v>150.86000000000001</v>
      </c>
      <c r="G61" s="716">
        <f t="shared" si="182"/>
        <v>152.97</v>
      </c>
      <c r="H61" s="716">
        <f t="shared" si="182"/>
        <v>155.1</v>
      </c>
      <c r="I61" s="716">
        <f t="shared" si="182"/>
        <v>157.22999999999999</v>
      </c>
      <c r="J61" s="716">
        <f t="shared" si="182"/>
        <v>159.36000000000001</v>
      </c>
      <c r="K61" s="716">
        <f t="shared" si="182"/>
        <v>161.5</v>
      </c>
      <c r="L61" s="716">
        <f t="shared" si="182"/>
        <v>163.63</v>
      </c>
      <c r="M61" s="716">
        <f t="shared" si="182"/>
        <v>165.75</v>
      </c>
      <c r="N61" s="716">
        <f t="shared" si="182"/>
        <v>167.89</v>
      </c>
      <c r="O61" s="716">
        <f t="shared" si="182"/>
        <v>170.01</v>
      </c>
      <c r="P61" s="716">
        <f t="shared" si="182"/>
        <v>172.15</v>
      </c>
      <c r="Q61" s="716">
        <f t="shared" si="182"/>
        <v>174.28</v>
      </c>
      <c r="R61" s="716">
        <f t="shared" si="182"/>
        <v>176.4</v>
      </c>
      <c r="S61" s="716">
        <f t="shared" si="182"/>
        <v>178.54</v>
      </c>
      <c r="T61" s="716">
        <f t="shared" si="182"/>
        <v>180.67</v>
      </c>
      <c r="U61" s="716">
        <f t="shared" si="182"/>
        <v>182.82</v>
      </c>
      <c r="V61" s="716">
        <f t="shared" si="182"/>
        <v>184.93</v>
      </c>
      <c r="W61" s="716">
        <f t="shared" si="182"/>
        <v>187.06</v>
      </c>
      <c r="X61" s="716">
        <f t="shared" si="182"/>
        <v>189.19</v>
      </c>
      <c r="Y61" s="716">
        <f t="shared" si="182"/>
        <v>191.33</v>
      </c>
      <c r="Z61" s="716">
        <f t="shared" si="182"/>
        <v>193.46</v>
      </c>
      <c r="AA61" s="716">
        <f t="shared" si="182"/>
        <v>195.59</v>
      </c>
      <c r="AB61" s="716">
        <f t="shared" si="182"/>
        <v>197.71</v>
      </c>
      <c r="AC61" s="716">
        <f t="shared" si="182"/>
        <v>199.86</v>
      </c>
      <c r="AD61" s="716">
        <f t="shared" si="182"/>
        <v>201.97</v>
      </c>
      <c r="AE61" s="716">
        <f t="shared" si="182"/>
        <v>204.11</v>
      </c>
      <c r="AF61" s="716">
        <f t="shared" si="182"/>
        <v>206.23</v>
      </c>
      <c r="AG61" s="716">
        <f t="shared" si="182"/>
        <v>208.38</v>
      </c>
      <c r="AH61" s="716">
        <f t="shared" si="182"/>
        <v>210.5</v>
      </c>
      <c r="AI61" s="716">
        <f t="shared" si="182"/>
        <v>212.63</v>
      </c>
      <c r="AJ61" s="716">
        <f t="shared" si="182"/>
        <v>214.76</v>
      </c>
      <c r="AK61" s="716">
        <f t="shared" si="182"/>
        <v>216.88</v>
      </c>
      <c r="AL61" s="716">
        <f t="shared" ref="AL61:BQ61" si="183">ROUND(AL21*0.94*1.03,2)</f>
        <v>219.02</v>
      </c>
      <c r="AM61" s="716">
        <f t="shared" si="183"/>
        <v>221.15</v>
      </c>
      <c r="AN61" s="716">
        <f t="shared" si="183"/>
        <v>223.28</v>
      </c>
      <c r="AO61" s="356">
        <f t="shared" si="183"/>
        <v>225.41</v>
      </c>
      <c r="AP61" s="356">
        <f t="shared" si="183"/>
        <v>227.53</v>
      </c>
      <c r="AQ61" s="356">
        <f t="shared" si="183"/>
        <v>229.67</v>
      </c>
      <c r="AR61" s="356">
        <f t="shared" si="183"/>
        <v>231.79</v>
      </c>
      <c r="AS61" s="356">
        <f t="shared" si="183"/>
        <v>233.91</v>
      </c>
      <c r="AT61" s="356">
        <f t="shared" si="183"/>
        <v>236.04</v>
      </c>
      <c r="AU61" s="356">
        <f t="shared" si="183"/>
        <v>238.17</v>
      </c>
      <c r="AV61" s="356">
        <f t="shared" si="183"/>
        <v>240.3</v>
      </c>
      <c r="AW61" s="356">
        <f t="shared" si="183"/>
        <v>242.42</v>
      </c>
      <c r="AX61" s="356">
        <f t="shared" si="183"/>
        <v>244.54</v>
      </c>
      <c r="AY61" s="356">
        <f t="shared" si="183"/>
        <v>246.67</v>
      </c>
      <c r="AZ61" s="356">
        <f t="shared" si="183"/>
        <v>248.8</v>
      </c>
      <c r="BA61" s="356">
        <f t="shared" si="183"/>
        <v>250.93</v>
      </c>
      <c r="BB61" s="356">
        <f t="shared" si="183"/>
        <v>253.05</v>
      </c>
      <c r="BC61" s="356">
        <f t="shared" si="183"/>
        <v>255.17</v>
      </c>
      <c r="BD61" s="356">
        <f t="shared" si="183"/>
        <v>257.3</v>
      </c>
      <c r="BE61" s="356">
        <f t="shared" si="183"/>
        <v>259.43</v>
      </c>
      <c r="BF61" s="356">
        <f t="shared" si="183"/>
        <v>261.56</v>
      </c>
      <c r="BG61" s="356">
        <f t="shared" si="183"/>
        <v>263.69</v>
      </c>
      <c r="BH61" s="356">
        <f t="shared" si="183"/>
        <v>265.82</v>
      </c>
      <c r="BI61" s="356">
        <f t="shared" si="183"/>
        <v>267.95</v>
      </c>
      <c r="BJ61" s="356">
        <f t="shared" si="183"/>
        <v>270.08</v>
      </c>
      <c r="BK61" s="356">
        <f t="shared" si="183"/>
        <v>272.20999999999998</v>
      </c>
      <c r="BL61" s="356">
        <f t="shared" si="183"/>
        <v>274.33999999999997</v>
      </c>
      <c r="BM61" s="356">
        <f t="shared" si="183"/>
        <v>276.47000000000003</v>
      </c>
      <c r="BN61" s="356">
        <f t="shared" si="183"/>
        <v>278.60000000000002</v>
      </c>
      <c r="BO61" s="356">
        <f t="shared" si="183"/>
        <v>280.73</v>
      </c>
      <c r="BP61" s="356">
        <f t="shared" si="183"/>
        <v>282.86</v>
      </c>
      <c r="BQ61" s="356">
        <f t="shared" si="183"/>
        <v>284.99</v>
      </c>
      <c r="BR61" s="356">
        <f t="shared" ref="BR61:CA61" si="184">ROUND(BR21*0.94*1.03,2)</f>
        <v>287.12</v>
      </c>
      <c r="BS61" s="356">
        <f t="shared" si="184"/>
        <v>289.25</v>
      </c>
      <c r="BT61" s="356">
        <f t="shared" si="184"/>
        <v>291.38</v>
      </c>
      <c r="BU61" s="356">
        <f t="shared" si="184"/>
        <v>293.51</v>
      </c>
      <c r="BV61" s="356">
        <f t="shared" si="184"/>
        <v>295.64</v>
      </c>
      <c r="BW61" s="356">
        <f t="shared" si="184"/>
        <v>297.77</v>
      </c>
      <c r="BX61" s="356">
        <f t="shared" si="184"/>
        <v>299.89999999999998</v>
      </c>
      <c r="BY61" s="356">
        <f t="shared" si="184"/>
        <v>302.02999999999997</v>
      </c>
      <c r="BZ61" s="356">
        <f t="shared" si="184"/>
        <v>304.16000000000003</v>
      </c>
      <c r="CA61" s="356">
        <f t="shared" si="184"/>
        <v>306.29000000000002</v>
      </c>
      <c r="CB61" s="356"/>
      <c r="CC61" s="356"/>
      <c r="CD61" s="356"/>
      <c r="CE61" s="356"/>
    </row>
    <row r="62" spans="1:83" s="128" customFormat="1">
      <c r="A62" s="350" t="s">
        <v>477</v>
      </c>
      <c r="B62" s="178" t="s">
        <v>250</v>
      </c>
      <c r="C62" s="171">
        <v>14.42</v>
      </c>
      <c r="D62" s="39">
        <f t="shared" si="132"/>
        <v>2.06</v>
      </c>
      <c r="E62" s="128" t="s">
        <v>345</v>
      </c>
      <c r="F62" s="223">
        <f t="shared" ref="F62:AK62" si="185">ROUND(F22*0.94*1.03,2)</f>
        <v>133.16</v>
      </c>
      <c r="G62" s="223">
        <f t="shared" si="185"/>
        <v>135.22</v>
      </c>
      <c r="H62" s="223">
        <f t="shared" si="185"/>
        <v>137.28</v>
      </c>
      <c r="I62" s="223">
        <f t="shared" si="185"/>
        <v>139.35</v>
      </c>
      <c r="J62" s="223">
        <f t="shared" si="185"/>
        <v>141.41999999999999</v>
      </c>
      <c r="K62" s="223">
        <f t="shared" si="185"/>
        <v>143.5</v>
      </c>
      <c r="L62" s="223">
        <f t="shared" si="185"/>
        <v>145.56</v>
      </c>
      <c r="M62" s="223">
        <f t="shared" si="185"/>
        <v>147.63</v>
      </c>
      <c r="N62" s="223">
        <f t="shared" si="185"/>
        <v>149.68</v>
      </c>
      <c r="O62" s="223">
        <f t="shared" si="185"/>
        <v>151.77000000000001</v>
      </c>
      <c r="P62" s="223">
        <f t="shared" si="185"/>
        <v>153.83000000000001</v>
      </c>
      <c r="Q62" s="223">
        <f t="shared" si="185"/>
        <v>155.9</v>
      </c>
      <c r="R62" s="223">
        <f t="shared" si="185"/>
        <v>157.96</v>
      </c>
      <c r="S62" s="223">
        <f t="shared" si="185"/>
        <v>160.03</v>
      </c>
      <c r="T62" s="223">
        <f t="shared" si="185"/>
        <v>162.11000000000001</v>
      </c>
      <c r="U62" s="223">
        <f t="shared" si="185"/>
        <v>164.19</v>
      </c>
      <c r="V62" s="223">
        <f t="shared" si="185"/>
        <v>166.24</v>
      </c>
      <c r="W62" s="223">
        <f t="shared" si="185"/>
        <v>168.31</v>
      </c>
      <c r="X62" s="223">
        <f t="shared" si="185"/>
        <v>170.38</v>
      </c>
      <c r="Y62" s="223">
        <f t="shared" si="185"/>
        <v>172.46</v>
      </c>
      <c r="Z62" s="223">
        <f t="shared" si="185"/>
        <v>174.52</v>
      </c>
      <c r="AA62" s="223">
        <f t="shared" si="185"/>
        <v>176.59</v>
      </c>
      <c r="AB62" s="223">
        <f t="shared" si="185"/>
        <v>178.65</v>
      </c>
      <c r="AC62" s="223">
        <f t="shared" si="185"/>
        <v>180.72</v>
      </c>
      <c r="AD62" s="223">
        <f t="shared" si="185"/>
        <v>182.8</v>
      </c>
      <c r="AE62" s="223">
        <f t="shared" si="185"/>
        <v>184.86</v>
      </c>
      <c r="AF62" s="223">
        <f t="shared" si="185"/>
        <v>186.93</v>
      </c>
      <c r="AG62" s="223">
        <f t="shared" si="185"/>
        <v>189</v>
      </c>
      <c r="AH62" s="223">
        <f t="shared" si="185"/>
        <v>191.07</v>
      </c>
      <c r="AI62" s="223">
        <f t="shared" si="185"/>
        <v>193.14</v>
      </c>
      <c r="AJ62" s="223">
        <f t="shared" si="185"/>
        <v>195.21</v>
      </c>
      <c r="AK62" s="223">
        <f t="shared" si="185"/>
        <v>197.26</v>
      </c>
      <c r="AL62" s="223">
        <f t="shared" ref="AL62:BQ62" si="186">ROUND(AL22*0.94*1.03,2)</f>
        <v>199.34</v>
      </c>
      <c r="AM62" s="223">
        <f t="shared" si="186"/>
        <v>201.4</v>
      </c>
      <c r="AN62" s="223">
        <f t="shared" si="186"/>
        <v>203.48</v>
      </c>
      <c r="AO62" s="356">
        <f t="shared" si="186"/>
        <v>205.54</v>
      </c>
      <c r="AP62" s="356">
        <f t="shared" si="186"/>
        <v>207.61</v>
      </c>
      <c r="AQ62" s="356">
        <f t="shared" si="186"/>
        <v>209.67</v>
      </c>
      <c r="AR62" s="356">
        <f t="shared" si="186"/>
        <v>211.74</v>
      </c>
      <c r="AS62" s="356">
        <f t="shared" si="186"/>
        <v>213.8</v>
      </c>
      <c r="AT62" s="356">
        <f t="shared" si="186"/>
        <v>215.86</v>
      </c>
      <c r="AU62" s="356">
        <f t="shared" si="186"/>
        <v>217.94</v>
      </c>
      <c r="AV62" s="356">
        <f t="shared" si="186"/>
        <v>220</v>
      </c>
      <c r="AW62" s="356">
        <f t="shared" si="186"/>
        <v>222.07</v>
      </c>
      <c r="AX62" s="356">
        <f t="shared" si="186"/>
        <v>224.13</v>
      </c>
      <c r="AY62" s="356">
        <f t="shared" si="186"/>
        <v>226.19</v>
      </c>
      <c r="AZ62" s="356">
        <f t="shared" si="186"/>
        <v>228.26</v>
      </c>
      <c r="BA62" s="356">
        <f t="shared" si="186"/>
        <v>230.33</v>
      </c>
      <c r="BB62" s="356">
        <f t="shared" si="186"/>
        <v>232.39</v>
      </c>
      <c r="BC62" s="356">
        <f t="shared" si="186"/>
        <v>234.45</v>
      </c>
      <c r="BD62" s="356">
        <f t="shared" si="186"/>
        <v>236.52</v>
      </c>
      <c r="BE62" s="356">
        <f t="shared" si="186"/>
        <v>238.59</v>
      </c>
      <c r="BF62" s="356">
        <f t="shared" si="186"/>
        <v>240.67</v>
      </c>
      <c r="BG62" s="356">
        <f t="shared" si="186"/>
        <v>242.74</v>
      </c>
      <c r="BH62" s="356">
        <f t="shared" si="186"/>
        <v>244.81</v>
      </c>
      <c r="BI62" s="356">
        <f t="shared" si="186"/>
        <v>246.88</v>
      </c>
      <c r="BJ62" s="356">
        <f t="shared" si="186"/>
        <v>248.95</v>
      </c>
      <c r="BK62" s="356">
        <f t="shared" si="186"/>
        <v>251.03</v>
      </c>
      <c r="BL62" s="356">
        <f t="shared" si="186"/>
        <v>253.1</v>
      </c>
      <c r="BM62" s="356">
        <f t="shared" si="186"/>
        <v>255.17</v>
      </c>
      <c r="BN62" s="356">
        <f t="shared" si="186"/>
        <v>257.24</v>
      </c>
      <c r="BO62" s="356">
        <f t="shared" si="186"/>
        <v>259.31</v>
      </c>
      <c r="BP62" s="356">
        <f t="shared" si="186"/>
        <v>261.38</v>
      </c>
      <c r="BQ62" s="356">
        <f t="shared" si="186"/>
        <v>263.45999999999998</v>
      </c>
      <c r="BR62" s="356">
        <f t="shared" ref="BR62:CA62" si="187">ROUND(BR22*0.94*1.03,2)</f>
        <v>265.52999999999997</v>
      </c>
      <c r="BS62" s="356">
        <f t="shared" si="187"/>
        <v>267.60000000000002</v>
      </c>
      <c r="BT62" s="356">
        <f t="shared" si="187"/>
        <v>269.67</v>
      </c>
      <c r="BU62" s="356">
        <f t="shared" si="187"/>
        <v>271.74</v>
      </c>
      <c r="BV62" s="356">
        <f t="shared" si="187"/>
        <v>273.82</v>
      </c>
      <c r="BW62" s="356">
        <f t="shared" si="187"/>
        <v>275.89</v>
      </c>
      <c r="BX62" s="356">
        <f t="shared" si="187"/>
        <v>277.95999999999998</v>
      </c>
      <c r="BY62" s="356">
        <f t="shared" si="187"/>
        <v>280.02999999999997</v>
      </c>
      <c r="BZ62" s="356">
        <f t="shared" si="187"/>
        <v>282.10000000000002</v>
      </c>
      <c r="CA62" s="356">
        <f t="shared" si="187"/>
        <v>284.18</v>
      </c>
      <c r="CB62" s="356"/>
      <c r="CC62" s="356"/>
      <c r="CD62" s="356"/>
      <c r="CE62" s="356"/>
    </row>
    <row r="63" spans="1:83" s="128" customFormat="1">
      <c r="A63" s="351" t="s">
        <v>497</v>
      </c>
      <c r="B63" s="352" t="s">
        <v>250</v>
      </c>
      <c r="C63" s="335">
        <v>14.42</v>
      </c>
      <c r="D63" s="39">
        <f t="shared" si="132"/>
        <v>2.13</v>
      </c>
      <c r="E63" s="128" t="s">
        <v>345</v>
      </c>
      <c r="F63" s="223">
        <f t="shared" ref="F63:AK63" si="188">ROUND(F23*0.94*1.03,2)</f>
        <v>136.72999999999999</v>
      </c>
      <c r="G63" s="223">
        <f t="shared" si="188"/>
        <v>138.87</v>
      </c>
      <c r="H63" s="223">
        <f t="shared" si="188"/>
        <v>140.99</v>
      </c>
      <c r="I63" s="223">
        <f t="shared" si="188"/>
        <v>143.12</v>
      </c>
      <c r="J63" s="223">
        <f t="shared" si="188"/>
        <v>145.25</v>
      </c>
      <c r="K63" s="223">
        <f t="shared" si="188"/>
        <v>147.38</v>
      </c>
      <c r="L63" s="223">
        <f t="shared" si="188"/>
        <v>149.52000000000001</v>
      </c>
      <c r="M63" s="223">
        <f t="shared" si="188"/>
        <v>151.65</v>
      </c>
      <c r="N63" s="223">
        <f t="shared" si="188"/>
        <v>153.78</v>
      </c>
      <c r="O63" s="223">
        <f t="shared" si="188"/>
        <v>155.91</v>
      </c>
      <c r="P63" s="223">
        <f t="shared" si="188"/>
        <v>158.04</v>
      </c>
      <c r="Q63" s="223">
        <f t="shared" si="188"/>
        <v>160.16999999999999</v>
      </c>
      <c r="R63" s="223">
        <f t="shared" si="188"/>
        <v>162.30000000000001</v>
      </c>
      <c r="S63" s="223">
        <f t="shared" si="188"/>
        <v>164.42</v>
      </c>
      <c r="T63" s="223">
        <f t="shared" si="188"/>
        <v>166.56</v>
      </c>
      <c r="U63" s="223">
        <f t="shared" si="188"/>
        <v>168.69</v>
      </c>
      <c r="V63" s="223">
        <f t="shared" si="188"/>
        <v>170.84</v>
      </c>
      <c r="W63" s="223">
        <f t="shared" si="188"/>
        <v>172.95</v>
      </c>
      <c r="X63" s="223">
        <f t="shared" si="188"/>
        <v>175.08</v>
      </c>
      <c r="Y63" s="223">
        <f t="shared" si="188"/>
        <v>177.22</v>
      </c>
      <c r="Z63" s="223">
        <f t="shared" si="188"/>
        <v>179.35</v>
      </c>
      <c r="AA63" s="223">
        <f t="shared" si="188"/>
        <v>181.48</v>
      </c>
      <c r="AB63" s="223">
        <f t="shared" si="188"/>
        <v>183.61</v>
      </c>
      <c r="AC63" s="223">
        <f t="shared" si="188"/>
        <v>185.73</v>
      </c>
      <c r="AD63" s="223">
        <f t="shared" si="188"/>
        <v>187.88</v>
      </c>
      <c r="AE63" s="223">
        <f t="shared" si="188"/>
        <v>189.99</v>
      </c>
      <c r="AF63" s="223">
        <f t="shared" si="188"/>
        <v>192.13</v>
      </c>
      <c r="AG63" s="223">
        <f t="shared" si="188"/>
        <v>194.25</v>
      </c>
      <c r="AH63" s="223">
        <f t="shared" si="188"/>
        <v>196.4</v>
      </c>
      <c r="AI63" s="223">
        <f t="shared" si="188"/>
        <v>198.52</v>
      </c>
      <c r="AJ63" s="223">
        <f t="shared" si="188"/>
        <v>200.65</v>
      </c>
      <c r="AK63" s="223">
        <f t="shared" si="188"/>
        <v>202.78</v>
      </c>
      <c r="AL63" s="223">
        <f t="shared" ref="AL63:BQ63" si="189">ROUND(AL23*0.94*1.03,2)</f>
        <v>204.9</v>
      </c>
      <c r="AM63" s="223">
        <f t="shared" si="189"/>
        <v>207.05</v>
      </c>
      <c r="AN63" s="223">
        <f t="shared" si="189"/>
        <v>209.17</v>
      </c>
      <c r="AO63" s="356">
        <f t="shared" si="189"/>
        <v>211.3</v>
      </c>
      <c r="AP63" s="356">
        <f t="shared" si="189"/>
        <v>213.44</v>
      </c>
      <c r="AQ63" s="356">
        <f t="shared" si="189"/>
        <v>215.58</v>
      </c>
      <c r="AR63" s="356">
        <f t="shared" si="189"/>
        <v>217.72</v>
      </c>
      <c r="AS63" s="356">
        <f t="shared" si="189"/>
        <v>219.85</v>
      </c>
      <c r="AT63" s="356">
        <f t="shared" si="189"/>
        <v>221.99</v>
      </c>
      <c r="AU63" s="356">
        <f t="shared" si="189"/>
        <v>224.13</v>
      </c>
      <c r="AV63" s="356">
        <f t="shared" si="189"/>
        <v>226.26</v>
      </c>
      <c r="AW63" s="356">
        <f t="shared" si="189"/>
        <v>228.4</v>
      </c>
      <c r="AX63" s="356">
        <f t="shared" si="189"/>
        <v>230.53</v>
      </c>
      <c r="AY63" s="356">
        <f t="shared" si="189"/>
        <v>232.67</v>
      </c>
      <c r="AZ63" s="356">
        <f t="shared" si="189"/>
        <v>234.81</v>
      </c>
      <c r="BA63" s="356">
        <f t="shared" si="189"/>
        <v>236.95</v>
      </c>
      <c r="BB63" s="356">
        <f t="shared" si="189"/>
        <v>239.08</v>
      </c>
      <c r="BC63" s="356">
        <f t="shared" si="189"/>
        <v>241.21</v>
      </c>
      <c r="BD63" s="356">
        <f t="shared" si="189"/>
        <v>243.36</v>
      </c>
      <c r="BE63" s="356">
        <f t="shared" si="189"/>
        <v>245.51</v>
      </c>
      <c r="BF63" s="356">
        <f t="shared" si="189"/>
        <v>247.66</v>
      </c>
      <c r="BG63" s="356">
        <f t="shared" si="189"/>
        <v>249.81</v>
      </c>
      <c r="BH63" s="356">
        <f t="shared" si="189"/>
        <v>251.95</v>
      </c>
      <c r="BI63" s="356">
        <f t="shared" si="189"/>
        <v>254.1</v>
      </c>
      <c r="BJ63" s="356">
        <f t="shared" si="189"/>
        <v>256.25</v>
      </c>
      <c r="BK63" s="356">
        <f t="shared" si="189"/>
        <v>258.39999999999998</v>
      </c>
      <c r="BL63" s="356">
        <f t="shared" si="189"/>
        <v>260.55</v>
      </c>
      <c r="BM63" s="356">
        <f t="shared" si="189"/>
        <v>262.7</v>
      </c>
      <c r="BN63" s="356">
        <f t="shared" si="189"/>
        <v>264.85000000000002</v>
      </c>
      <c r="BO63" s="356">
        <f t="shared" si="189"/>
        <v>267</v>
      </c>
      <c r="BP63" s="356">
        <f t="shared" si="189"/>
        <v>269.14999999999998</v>
      </c>
      <c r="BQ63" s="356">
        <f t="shared" si="189"/>
        <v>271.3</v>
      </c>
      <c r="BR63" s="356">
        <f t="shared" ref="BR63:CA63" si="190">ROUND(BR23*0.94*1.03,2)</f>
        <v>273.45</v>
      </c>
      <c r="BS63" s="356">
        <f t="shared" si="190"/>
        <v>275.60000000000002</v>
      </c>
      <c r="BT63" s="356">
        <f t="shared" si="190"/>
        <v>277.75</v>
      </c>
      <c r="BU63" s="356">
        <f t="shared" si="190"/>
        <v>279.89999999999998</v>
      </c>
      <c r="BV63" s="356">
        <f t="shared" si="190"/>
        <v>282.05</v>
      </c>
      <c r="BW63" s="356">
        <f t="shared" si="190"/>
        <v>284.2</v>
      </c>
      <c r="BX63" s="356">
        <f t="shared" si="190"/>
        <v>286.35000000000002</v>
      </c>
      <c r="BY63" s="356">
        <f t="shared" si="190"/>
        <v>288.49</v>
      </c>
      <c r="BZ63" s="356">
        <f t="shared" si="190"/>
        <v>290.64</v>
      </c>
      <c r="CA63" s="356">
        <f t="shared" si="190"/>
        <v>292.79000000000002</v>
      </c>
      <c r="CB63" s="356"/>
      <c r="CC63" s="356"/>
      <c r="CD63" s="356"/>
      <c r="CE63" s="356"/>
    </row>
    <row r="64" spans="1:83" s="128" customFormat="1">
      <c r="A64" s="350" t="s">
        <v>479</v>
      </c>
      <c r="B64" s="178" t="s">
        <v>250</v>
      </c>
      <c r="C64" s="171">
        <v>14.42</v>
      </c>
      <c r="D64" s="39">
        <f t="shared" si="132"/>
        <v>2.0699999999999998</v>
      </c>
      <c r="E64" s="128" t="s">
        <v>345</v>
      </c>
      <c r="F64" s="223">
        <f t="shared" ref="F64:AK64" si="191">ROUND(F24*0.94*1.03,2)</f>
        <v>130.4</v>
      </c>
      <c r="G64" s="223">
        <f t="shared" si="191"/>
        <v>132.47999999999999</v>
      </c>
      <c r="H64" s="223">
        <f t="shared" si="191"/>
        <v>134.53</v>
      </c>
      <c r="I64" s="223">
        <f t="shared" si="191"/>
        <v>136.6</v>
      </c>
      <c r="J64" s="223">
        <f t="shared" si="191"/>
        <v>138.66999999999999</v>
      </c>
      <c r="K64" s="223">
        <f t="shared" si="191"/>
        <v>140.74</v>
      </c>
      <c r="L64" s="223">
        <f t="shared" si="191"/>
        <v>142.81</v>
      </c>
      <c r="M64" s="223">
        <f t="shared" si="191"/>
        <v>144.88</v>
      </c>
      <c r="N64" s="223">
        <f t="shared" si="191"/>
        <v>146.94999999999999</v>
      </c>
      <c r="O64" s="223">
        <f t="shared" si="191"/>
        <v>149.02000000000001</v>
      </c>
      <c r="P64" s="223">
        <f t="shared" si="191"/>
        <v>151.09</v>
      </c>
      <c r="Q64" s="223">
        <f t="shared" si="191"/>
        <v>153.15</v>
      </c>
      <c r="R64" s="223">
        <f t="shared" si="191"/>
        <v>155.22</v>
      </c>
      <c r="S64" s="223">
        <f t="shared" si="191"/>
        <v>157.28</v>
      </c>
      <c r="T64" s="223">
        <f t="shared" si="191"/>
        <v>159.36000000000001</v>
      </c>
      <c r="U64" s="223">
        <f t="shared" si="191"/>
        <v>161.43</v>
      </c>
      <c r="V64" s="223">
        <f t="shared" si="191"/>
        <v>163.51</v>
      </c>
      <c r="W64" s="223">
        <f t="shared" si="191"/>
        <v>165.56</v>
      </c>
      <c r="X64" s="223">
        <f t="shared" si="191"/>
        <v>167.63</v>
      </c>
      <c r="Y64" s="223">
        <f t="shared" si="191"/>
        <v>169.71</v>
      </c>
      <c r="Z64" s="223">
        <f t="shared" si="191"/>
        <v>171.78</v>
      </c>
      <c r="AA64" s="223">
        <f t="shared" si="191"/>
        <v>173.84</v>
      </c>
      <c r="AB64" s="223">
        <f t="shared" si="191"/>
        <v>175.91</v>
      </c>
      <c r="AC64" s="223">
        <f t="shared" si="191"/>
        <v>177.97</v>
      </c>
      <c r="AD64" s="223">
        <f t="shared" si="191"/>
        <v>180.06</v>
      </c>
      <c r="AE64" s="223">
        <f t="shared" si="191"/>
        <v>182.11</v>
      </c>
      <c r="AF64" s="223">
        <f t="shared" si="191"/>
        <v>184.18</v>
      </c>
      <c r="AG64" s="223">
        <f t="shared" si="191"/>
        <v>186.24</v>
      </c>
      <c r="AH64" s="223">
        <f t="shared" si="191"/>
        <v>188.32</v>
      </c>
      <c r="AI64" s="223">
        <f t="shared" si="191"/>
        <v>190.39</v>
      </c>
      <c r="AJ64" s="223">
        <f t="shared" si="191"/>
        <v>192.46</v>
      </c>
      <c r="AK64" s="223">
        <f t="shared" si="191"/>
        <v>194.52</v>
      </c>
      <c r="AL64" s="223">
        <f t="shared" ref="AL64:BQ64" si="192">ROUND(AL24*0.94*1.03,2)</f>
        <v>196.58</v>
      </c>
      <c r="AM64" s="223">
        <f t="shared" si="192"/>
        <v>198.66</v>
      </c>
      <c r="AN64" s="223">
        <f t="shared" si="192"/>
        <v>200.73</v>
      </c>
      <c r="AO64" s="356">
        <f t="shared" si="192"/>
        <v>202.8</v>
      </c>
      <c r="AP64" s="356">
        <f t="shared" si="192"/>
        <v>204.87</v>
      </c>
      <c r="AQ64" s="356">
        <f t="shared" si="192"/>
        <v>206.95</v>
      </c>
      <c r="AR64" s="356">
        <f t="shared" si="192"/>
        <v>209.03</v>
      </c>
      <c r="AS64" s="356">
        <f t="shared" si="192"/>
        <v>211.11</v>
      </c>
      <c r="AT64" s="356">
        <f t="shared" si="192"/>
        <v>213.18</v>
      </c>
      <c r="AU64" s="356">
        <f t="shared" si="192"/>
        <v>215.26</v>
      </c>
      <c r="AV64" s="356">
        <f t="shared" si="192"/>
        <v>217.33</v>
      </c>
      <c r="AW64" s="356">
        <f t="shared" si="192"/>
        <v>219.4</v>
      </c>
      <c r="AX64" s="356">
        <f t="shared" si="192"/>
        <v>221.48</v>
      </c>
      <c r="AY64" s="356">
        <f t="shared" si="192"/>
        <v>223.56</v>
      </c>
      <c r="AZ64" s="356">
        <f t="shared" si="192"/>
        <v>225.63</v>
      </c>
      <c r="BA64" s="356">
        <f t="shared" si="192"/>
        <v>227.7</v>
      </c>
      <c r="BB64" s="356">
        <f t="shared" si="192"/>
        <v>229.77</v>
      </c>
      <c r="BC64" s="356">
        <f t="shared" si="192"/>
        <v>231.85</v>
      </c>
      <c r="BD64" s="356">
        <f t="shared" si="192"/>
        <v>233.93</v>
      </c>
      <c r="BE64" s="356">
        <f t="shared" si="192"/>
        <v>236.01</v>
      </c>
      <c r="BF64" s="356">
        <f t="shared" si="192"/>
        <v>238.09</v>
      </c>
      <c r="BG64" s="356">
        <f t="shared" si="192"/>
        <v>240.17</v>
      </c>
      <c r="BH64" s="356">
        <f t="shared" si="192"/>
        <v>242.25</v>
      </c>
      <c r="BI64" s="356">
        <f t="shared" si="192"/>
        <v>244.33</v>
      </c>
      <c r="BJ64" s="356">
        <f t="shared" si="192"/>
        <v>246.42</v>
      </c>
      <c r="BK64" s="356">
        <f t="shared" si="192"/>
        <v>248.5</v>
      </c>
      <c r="BL64" s="356">
        <f t="shared" si="192"/>
        <v>250.58</v>
      </c>
      <c r="BM64" s="356">
        <f t="shared" si="192"/>
        <v>252.66</v>
      </c>
      <c r="BN64" s="356">
        <f t="shared" si="192"/>
        <v>254.74</v>
      </c>
      <c r="BO64" s="356">
        <f t="shared" si="192"/>
        <v>256.82</v>
      </c>
      <c r="BP64" s="356">
        <f t="shared" si="192"/>
        <v>258.91000000000003</v>
      </c>
      <c r="BQ64" s="356">
        <f t="shared" si="192"/>
        <v>260.99</v>
      </c>
      <c r="BR64" s="356">
        <f t="shared" ref="BR64:CA64" si="193">ROUND(BR24*0.94*1.03,2)</f>
        <v>263.07</v>
      </c>
      <c r="BS64" s="356">
        <f t="shared" si="193"/>
        <v>265.14999999999998</v>
      </c>
      <c r="BT64" s="356">
        <f t="shared" si="193"/>
        <v>267.23</v>
      </c>
      <c r="BU64" s="356">
        <f t="shared" si="193"/>
        <v>269.31</v>
      </c>
      <c r="BV64" s="356">
        <f t="shared" si="193"/>
        <v>271.39999999999998</v>
      </c>
      <c r="BW64" s="356">
        <f t="shared" si="193"/>
        <v>273.48</v>
      </c>
      <c r="BX64" s="356">
        <f t="shared" si="193"/>
        <v>275.56</v>
      </c>
      <c r="BY64" s="356">
        <f t="shared" si="193"/>
        <v>277.64</v>
      </c>
      <c r="BZ64" s="356">
        <f t="shared" si="193"/>
        <v>279.72000000000003</v>
      </c>
      <c r="CA64" s="356">
        <f t="shared" si="193"/>
        <v>281.8</v>
      </c>
      <c r="CB64" s="356"/>
      <c r="CC64" s="356"/>
      <c r="CD64" s="356"/>
      <c r="CE64" s="356"/>
    </row>
    <row r="65" spans="1:83" s="128" customFormat="1">
      <c r="A65" s="351" t="s">
        <v>380</v>
      </c>
      <c r="B65" s="352" t="s">
        <v>250</v>
      </c>
      <c r="C65" s="335">
        <v>14.42</v>
      </c>
      <c r="D65" s="39">
        <f t="shared" si="132"/>
        <v>2.13</v>
      </c>
      <c r="E65" s="128" t="s">
        <v>345</v>
      </c>
      <c r="F65" s="223">
        <f t="shared" ref="F65:AK65" si="194">ROUND(F25*0.94*1.03,2)</f>
        <v>134.31</v>
      </c>
      <c r="G65" s="223">
        <f t="shared" si="194"/>
        <v>136.44999999999999</v>
      </c>
      <c r="H65" s="223">
        <f t="shared" si="194"/>
        <v>138.57</v>
      </c>
      <c r="I65" s="223">
        <f t="shared" si="194"/>
        <v>140.69999999999999</v>
      </c>
      <c r="J65" s="223">
        <f t="shared" si="194"/>
        <v>142.83000000000001</v>
      </c>
      <c r="K65" s="223">
        <f t="shared" si="194"/>
        <v>144.96</v>
      </c>
      <c r="L65" s="223">
        <f t="shared" si="194"/>
        <v>147.1</v>
      </c>
      <c r="M65" s="223">
        <f t="shared" si="194"/>
        <v>149.22999999999999</v>
      </c>
      <c r="N65" s="223">
        <f t="shared" si="194"/>
        <v>151.36000000000001</v>
      </c>
      <c r="O65" s="223">
        <f t="shared" si="194"/>
        <v>153.49</v>
      </c>
      <c r="P65" s="223">
        <f t="shared" si="194"/>
        <v>155.62</v>
      </c>
      <c r="Q65" s="223">
        <f t="shared" si="194"/>
        <v>157.75</v>
      </c>
      <c r="R65" s="223">
        <f t="shared" si="194"/>
        <v>159.88</v>
      </c>
      <c r="S65" s="223">
        <f t="shared" si="194"/>
        <v>162</v>
      </c>
      <c r="T65" s="223">
        <f t="shared" si="194"/>
        <v>164.14</v>
      </c>
      <c r="U65" s="223">
        <f t="shared" si="194"/>
        <v>166.27</v>
      </c>
      <c r="V65" s="223">
        <f t="shared" si="194"/>
        <v>168.42</v>
      </c>
      <c r="W65" s="223">
        <f t="shared" si="194"/>
        <v>170.53</v>
      </c>
      <c r="X65" s="223">
        <f t="shared" si="194"/>
        <v>172.66</v>
      </c>
      <c r="Y65" s="223">
        <f t="shared" si="194"/>
        <v>174.8</v>
      </c>
      <c r="Z65" s="223">
        <f t="shared" si="194"/>
        <v>176.93</v>
      </c>
      <c r="AA65" s="223">
        <f t="shared" si="194"/>
        <v>179.06</v>
      </c>
      <c r="AB65" s="223">
        <f t="shared" si="194"/>
        <v>181.19</v>
      </c>
      <c r="AC65" s="223">
        <f t="shared" si="194"/>
        <v>183.31</v>
      </c>
      <c r="AD65" s="223">
        <f t="shared" si="194"/>
        <v>185.46</v>
      </c>
      <c r="AE65" s="223">
        <f t="shared" si="194"/>
        <v>187.57</v>
      </c>
      <c r="AF65" s="223">
        <f t="shared" si="194"/>
        <v>189.71</v>
      </c>
      <c r="AG65" s="223">
        <f t="shared" si="194"/>
        <v>191.83</v>
      </c>
      <c r="AH65" s="223">
        <f t="shared" si="194"/>
        <v>193.98</v>
      </c>
      <c r="AI65" s="223">
        <f t="shared" si="194"/>
        <v>196.1</v>
      </c>
      <c r="AJ65" s="223">
        <f t="shared" si="194"/>
        <v>198.23</v>
      </c>
      <c r="AK65" s="223">
        <f t="shared" si="194"/>
        <v>200.36</v>
      </c>
      <c r="AL65" s="223">
        <f t="shared" ref="AL65:BQ65" si="195">ROUND(AL25*0.94*1.03,2)</f>
        <v>202.48</v>
      </c>
      <c r="AM65" s="223">
        <f t="shared" si="195"/>
        <v>204.63</v>
      </c>
      <c r="AN65" s="223">
        <f t="shared" si="195"/>
        <v>206.75</v>
      </c>
      <c r="AO65" s="356">
        <f t="shared" si="195"/>
        <v>208.88</v>
      </c>
      <c r="AP65" s="356">
        <f t="shared" si="195"/>
        <v>211.02</v>
      </c>
      <c r="AQ65" s="356">
        <f t="shared" si="195"/>
        <v>213.16</v>
      </c>
      <c r="AR65" s="356">
        <f t="shared" si="195"/>
        <v>215.3</v>
      </c>
      <c r="AS65" s="356">
        <f t="shared" si="195"/>
        <v>217.43</v>
      </c>
      <c r="AT65" s="356">
        <f t="shared" si="195"/>
        <v>219.57</v>
      </c>
      <c r="AU65" s="356">
        <f t="shared" si="195"/>
        <v>221.71</v>
      </c>
      <c r="AV65" s="356">
        <f t="shared" si="195"/>
        <v>223.84</v>
      </c>
      <c r="AW65" s="356">
        <f t="shared" si="195"/>
        <v>225.98</v>
      </c>
      <c r="AX65" s="356">
        <f t="shared" si="195"/>
        <v>228.11</v>
      </c>
      <c r="AY65" s="356">
        <f t="shared" si="195"/>
        <v>230.25</v>
      </c>
      <c r="AZ65" s="356">
        <f t="shared" si="195"/>
        <v>232.39</v>
      </c>
      <c r="BA65" s="356">
        <f t="shared" si="195"/>
        <v>234.53</v>
      </c>
      <c r="BB65" s="356">
        <f t="shared" si="195"/>
        <v>236.66</v>
      </c>
      <c r="BC65" s="356">
        <f t="shared" si="195"/>
        <v>238.79</v>
      </c>
      <c r="BD65" s="356">
        <f t="shared" si="195"/>
        <v>240.94</v>
      </c>
      <c r="BE65" s="356">
        <f t="shared" si="195"/>
        <v>243.09</v>
      </c>
      <c r="BF65" s="356">
        <f t="shared" si="195"/>
        <v>245.24</v>
      </c>
      <c r="BG65" s="356">
        <f t="shared" si="195"/>
        <v>247.38</v>
      </c>
      <c r="BH65" s="356">
        <f t="shared" si="195"/>
        <v>249.53</v>
      </c>
      <c r="BI65" s="356">
        <f t="shared" si="195"/>
        <v>251.68</v>
      </c>
      <c r="BJ65" s="356">
        <f t="shared" si="195"/>
        <v>253.83</v>
      </c>
      <c r="BK65" s="356">
        <f t="shared" si="195"/>
        <v>255.98</v>
      </c>
      <c r="BL65" s="356">
        <f t="shared" si="195"/>
        <v>258.13</v>
      </c>
      <c r="BM65" s="356">
        <f t="shared" si="195"/>
        <v>260.27999999999997</v>
      </c>
      <c r="BN65" s="356">
        <f t="shared" si="195"/>
        <v>262.43</v>
      </c>
      <c r="BO65" s="356">
        <f t="shared" si="195"/>
        <v>264.58</v>
      </c>
      <c r="BP65" s="356">
        <f t="shared" si="195"/>
        <v>266.73</v>
      </c>
      <c r="BQ65" s="356">
        <f t="shared" si="195"/>
        <v>268.88</v>
      </c>
      <c r="BR65" s="356">
        <f t="shared" ref="BR65:CA65" si="196">ROUND(BR25*0.94*1.03,2)</f>
        <v>271.02999999999997</v>
      </c>
      <c r="BS65" s="356">
        <f t="shared" si="196"/>
        <v>273.18</v>
      </c>
      <c r="BT65" s="356">
        <f t="shared" si="196"/>
        <v>275.33</v>
      </c>
      <c r="BU65" s="356">
        <f t="shared" si="196"/>
        <v>277.48</v>
      </c>
      <c r="BV65" s="356">
        <f t="shared" si="196"/>
        <v>279.63</v>
      </c>
      <c r="BW65" s="356">
        <f t="shared" si="196"/>
        <v>281.77999999999997</v>
      </c>
      <c r="BX65" s="356">
        <f t="shared" si="196"/>
        <v>283.92</v>
      </c>
      <c r="BY65" s="356">
        <f t="shared" si="196"/>
        <v>286.07</v>
      </c>
      <c r="BZ65" s="356">
        <f t="shared" si="196"/>
        <v>288.22000000000003</v>
      </c>
      <c r="CA65" s="356">
        <f t="shared" si="196"/>
        <v>290.37</v>
      </c>
      <c r="CB65" s="356"/>
      <c r="CC65" s="356"/>
      <c r="CD65" s="356"/>
      <c r="CE65" s="356"/>
    </row>
    <row r="66" spans="1:83" s="128" customFormat="1">
      <c r="A66" s="351" t="s">
        <v>481</v>
      </c>
      <c r="B66" s="352" t="s">
        <v>75</v>
      </c>
      <c r="C66" s="335"/>
      <c r="D66" s="39">
        <f t="shared" si="132"/>
        <v>2.41</v>
      </c>
      <c r="E66" s="128" t="s">
        <v>332</v>
      </c>
      <c r="F66" s="715">
        <f t="shared" ref="F66:AK66" si="197">ROUND(F26*0.96*1.03,2)</f>
        <v>162.16999999999999</v>
      </c>
      <c r="G66" s="715">
        <f t="shared" si="197"/>
        <v>164.58</v>
      </c>
      <c r="H66" s="715">
        <f t="shared" si="197"/>
        <v>166.98</v>
      </c>
      <c r="I66" s="715">
        <f t="shared" si="197"/>
        <v>169.36</v>
      </c>
      <c r="J66" s="715">
        <f t="shared" si="197"/>
        <v>171.76</v>
      </c>
      <c r="K66" s="715">
        <f t="shared" si="197"/>
        <v>174.18</v>
      </c>
      <c r="L66" s="715">
        <f t="shared" si="197"/>
        <v>176.58</v>
      </c>
      <c r="M66" s="715">
        <f t="shared" si="197"/>
        <v>178.98</v>
      </c>
      <c r="N66" s="715">
        <f t="shared" si="197"/>
        <v>181.4</v>
      </c>
      <c r="O66" s="715">
        <f t="shared" si="197"/>
        <v>183.79</v>
      </c>
      <c r="P66" s="715">
        <f t="shared" si="197"/>
        <v>186.2</v>
      </c>
      <c r="Q66" s="715">
        <f t="shared" si="197"/>
        <v>188.6</v>
      </c>
      <c r="R66" s="715">
        <f t="shared" si="197"/>
        <v>191.01</v>
      </c>
      <c r="S66" s="715">
        <f t="shared" si="197"/>
        <v>193.41</v>
      </c>
      <c r="T66" s="715">
        <f t="shared" si="197"/>
        <v>195.82</v>
      </c>
      <c r="U66" s="715">
        <f t="shared" si="197"/>
        <v>198.22</v>
      </c>
      <c r="V66" s="715">
        <f t="shared" si="197"/>
        <v>200.63</v>
      </c>
      <c r="W66" s="715">
        <f t="shared" si="197"/>
        <v>203.04</v>
      </c>
      <c r="X66" s="715">
        <f t="shared" si="197"/>
        <v>205.42</v>
      </c>
      <c r="Y66" s="715">
        <f t="shared" si="197"/>
        <v>207.84</v>
      </c>
      <c r="Z66" s="715">
        <f t="shared" si="197"/>
        <v>210.24</v>
      </c>
      <c r="AA66" s="715">
        <f t="shared" si="197"/>
        <v>212.64</v>
      </c>
      <c r="AB66" s="715">
        <f t="shared" si="197"/>
        <v>215.05</v>
      </c>
      <c r="AC66" s="715">
        <f t="shared" si="197"/>
        <v>217.47</v>
      </c>
      <c r="AD66" s="715">
        <f t="shared" si="197"/>
        <v>219.87</v>
      </c>
      <c r="AE66" s="715">
        <f t="shared" si="197"/>
        <v>222.27</v>
      </c>
      <c r="AF66" s="715">
        <f t="shared" si="197"/>
        <v>224.69</v>
      </c>
      <c r="AG66" s="715">
        <f t="shared" si="197"/>
        <v>227.07</v>
      </c>
      <c r="AH66" s="715">
        <f t="shared" si="197"/>
        <v>229.48</v>
      </c>
      <c r="AI66" s="715">
        <f t="shared" si="197"/>
        <v>231.88</v>
      </c>
      <c r="AJ66" s="715">
        <f t="shared" si="197"/>
        <v>234.3</v>
      </c>
      <c r="AK66" s="715">
        <f t="shared" si="197"/>
        <v>236.7</v>
      </c>
      <c r="AL66" s="715">
        <f t="shared" ref="AL66:BQ66" si="198">ROUND(AL26*0.96*1.03,2)</f>
        <v>239.1</v>
      </c>
      <c r="AM66" s="715">
        <f t="shared" si="198"/>
        <v>241.51</v>
      </c>
      <c r="AN66" s="715">
        <f t="shared" si="198"/>
        <v>243.91</v>
      </c>
      <c r="AO66" s="356">
        <f t="shared" si="198"/>
        <v>246.32</v>
      </c>
      <c r="AP66" s="356">
        <f t="shared" si="198"/>
        <v>248.73</v>
      </c>
      <c r="AQ66" s="356">
        <f t="shared" si="198"/>
        <v>251.15</v>
      </c>
      <c r="AR66" s="356">
        <f t="shared" si="198"/>
        <v>253.56</v>
      </c>
      <c r="AS66" s="356">
        <f t="shared" si="198"/>
        <v>255.97</v>
      </c>
      <c r="AT66" s="356">
        <f t="shared" si="198"/>
        <v>258.38</v>
      </c>
      <c r="AU66" s="356">
        <f t="shared" si="198"/>
        <v>260.8</v>
      </c>
      <c r="AV66" s="356">
        <f t="shared" si="198"/>
        <v>263.20999999999998</v>
      </c>
      <c r="AW66" s="356">
        <f t="shared" si="198"/>
        <v>265.62</v>
      </c>
      <c r="AX66" s="356">
        <f t="shared" si="198"/>
        <v>268.04000000000002</v>
      </c>
      <c r="AY66" s="356">
        <f t="shared" si="198"/>
        <v>270.45</v>
      </c>
      <c r="AZ66" s="356">
        <f t="shared" si="198"/>
        <v>272.86</v>
      </c>
      <c r="BA66" s="356">
        <f t="shared" si="198"/>
        <v>275.27</v>
      </c>
      <c r="BB66" s="356">
        <f t="shared" si="198"/>
        <v>277.68</v>
      </c>
      <c r="BC66" s="356">
        <f t="shared" si="198"/>
        <v>280.10000000000002</v>
      </c>
      <c r="BD66" s="356">
        <f t="shared" si="198"/>
        <v>282.51</v>
      </c>
      <c r="BE66" s="356">
        <f t="shared" si="198"/>
        <v>284.92</v>
      </c>
      <c r="BF66" s="356">
        <f t="shared" si="198"/>
        <v>287.33999999999997</v>
      </c>
      <c r="BG66" s="356">
        <f t="shared" si="198"/>
        <v>289.75</v>
      </c>
      <c r="BH66" s="356">
        <f t="shared" si="198"/>
        <v>292.16000000000003</v>
      </c>
      <c r="BI66" s="356">
        <f t="shared" si="198"/>
        <v>294.57</v>
      </c>
      <c r="BJ66" s="356">
        <f t="shared" si="198"/>
        <v>296.99</v>
      </c>
      <c r="BK66" s="356">
        <f t="shared" si="198"/>
        <v>299.39999999999998</v>
      </c>
      <c r="BL66" s="356">
        <f t="shared" si="198"/>
        <v>301.81</v>
      </c>
      <c r="BM66" s="356">
        <f t="shared" si="198"/>
        <v>304.22000000000003</v>
      </c>
      <c r="BN66" s="356">
        <f t="shared" si="198"/>
        <v>306.64</v>
      </c>
      <c r="BO66" s="356">
        <f t="shared" si="198"/>
        <v>309.05</v>
      </c>
      <c r="BP66" s="356">
        <f t="shared" si="198"/>
        <v>311.45999999999998</v>
      </c>
      <c r="BQ66" s="356">
        <f t="shared" si="198"/>
        <v>313.87</v>
      </c>
      <c r="BR66" s="356">
        <f t="shared" ref="BR66:CA66" si="199">ROUND(BR26*0.96*1.03,2)</f>
        <v>316.29000000000002</v>
      </c>
      <c r="BS66" s="356">
        <f t="shared" si="199"/>
        <v>318.7</v>
      </c>
      <c r="BT66" s="356">
        <f t="shared" si="199"/>
        <v>321.11</v>
      </c>
      <c r="BU66" s="356">
        <f t="shared" si="199"/>
        <v>323.52999999999997</v>
      </c>
      <c r="BV66" s="356">
        <f t="shared" si="199"/>
        <v>325.94</v>
      </c>
      <c r="BW66" s="356">
        <f t="shared" si="199"/>
        <v>328.35</v>
      </c>
      <c r="BX66" s="356">
        <f t="shared" si="199"/>
        <v>330.76</v>
      </c>
      <c r="BY66" s="356">
        <f t="shared" si="199"/>
        <v>333.18</v>
      </c>
      <c r="BZ66" s="356">
        <f t="shared" si="199"/>
        <v>335.59</v>
      </c>
      <c r="CA66" s="356">
        <f t="shared" si="199"/>
        <v>338</v>
      </c>
      <c r="CB66" s="356"/>
      <c r="CC66" s="356"/>
      <c r="CD66" s="356"/>
      <c r="CE66" s="356"/>
    </row>
    <row r="67" spans="1:83" s="128" customFormat="1">
      <c r="A67" s="353" t="s">
        <v>482</v>
      </c>
      <c r="B67" s="354" t="s">
        <v>250</v>
      </c>
      <c r="C67" s="355">
        <v>14.42</v>
      </c>
      <c r="D67" s="39">
        <f t="shared" si="132"/>
        <v>2.12</v>
      </c>
      <c r="E67" s="128" t="s">
        <v>345</v>
      </c>
      <c r="F67" s="222">
        <f t="shared" ref="F67:AK67" si="200">ROUND(F27*0.96*1.03,2)</f>
        <v>135.31</v>
      </c>
      <c r="G67" s="222">
        <f t="shared" si="200"/>
        <v>137.41</v>
      </c>
      <c r="H67" s="222">
        <f t="shared" si="200"/>
        <v>139.5</v>
      </c>
      <c r="I67" s="222">
        <f t="shared" si="200"/>
        <v>141.61000000000001</v>
      </c>
      <c r="J67" s="222">
        <f t="shared" si="200"/>
        <v>143.69999999999999</v>
      </c>
      <c r="K67" s="222">
        <f t="shared" si="200"/>
        <v>145.82</v>
      </c>
      <c r="L67" s="222">
        <f t="shared" si="200"/>
        <v>147.91</v>
      </c>
      <c r="M67" s="222">
        <f t="shared" si="200"/>
        <v>150.02000000000001</v>
      </c>
      <c r="N67" s="222">
        <f t="shared" si="200"/>
        <v>152.11000000000001</v>
      </c>
      <c r="O67" s="222">
        <f t="shared" si="200"/>
        <v>154.21</v>
      </c>
      <c r="P67" s="222">
        <f t="shared" si="200"/>
        <v>156.32</v>
      </c>
      <c r="Q67" s="222">
        <f t="shared" si="200"/>
        <v>158.43</v>
      </c>
      <c r="R67" s="222">
        <f t="shared" si="200"/>
        <v>160.53</v>
      </c>
      <c r="S67" s="222">
        <f t="shared" si="200"/>
        <v>162.63</v>
      </c>
      <c r="T67" s="222">
        <f t="shared" si="200"/>
        <v>164.72</v>
      </c>
      <c r="U67" s="222">
        <f t="shared" si="200"/>
        <v>166.82</v>
      </c>
      <c r="V67" s="222">
        <f t="shared" si="200"/>
        <v>168.94</v>
      </c>
      <c r="W67" s="222">
        <f t="shared" si="200"/>
        <v>171.03</v>
      </c>
      <c r="X67" s="222">
        <f t="shared" si="200"/>
        <v>173.14</v>
      </c>
      <c r="Y67" s="222">
        <f t="shared" si="200"/>
        <v>175.24</v>
      </c>
      <c r="Z67" s="222">
        <f t="shared" si="200"/>
        <v>177.33</v>
      </c>
      <c r="AA67" s="222">
        <f t="shared" si="200"/>
        <v>179.45</v>
      </c>
      <c r="AB67" s="222">
        <f t="shared" si="200"/>
        <v>181.54</v>
      </c>
      <c r="AC67" s="222">
        <f t="shared" si="200"/>
        <v>183.65</v>
      </c>
      <c r="AD67" s="222">
        <f t="shared" si="200"/>
        <v>185.75</v>
      </c>
      <c r="AE67" s="222">
        <f t="shared" si="200"/>
        <v>187.85</v>
      </c>
      <c r="AF67" s="222">
        <f t="shared" si="200"/>
        <v>189.96</v>
      </c>
      <c r="AG67" s="222">
        <f t="shared" si="200"/>
        <v>192.07</v>
      </c>
      <c r="AH67" s="222">
        <f t="shared" si="200"/>
        <v>194.18</v>
      </c>
      <c r="AI67" s="222">
        <f t="shared" si="200"/>
        <v>196.3</v>
      </c>
      <c r="AJ67" s="222">
        <f t="shared" si="200"/>
        <v>198.4</v>
      </c>
      <c r="AK67" s="222">
        <f t="shared" si="200"/>
        <v>200.53</v>
      </c>
      <c r="AL67" s="222">
        <f t="shared" ref="AL67:BQ67" si="201">ROUND(AL27*0.96*1.03,2)</f>
        <v>202.64</v>
      </c>
      <c r="AM67" s="222">
        <f t="shared" si="201"/>
        <v>204.76</v>
      </c>
      <c r="AN67" s="222">
        <f t="shared" si="201"/>
        <v>206.86</v>
      </c>
      <c r="AO67" s="356">
        <f t="shared" si="201"/>
        <v>208.98</v>
      </c>
      <c r="AP67" s="356">
        <f t="shared" si="201"/>
        <v>211.1</v>
      </c>
      <c r="AQ67" s="356">
        <f t="shared" si="201"/>
        <v>213.21</v>
      </c>
      <c r="AR67" s="356">
        <f t="shared" si="201"/>
        <v>215.33</v>
      </c>
      <c r="AS67" s="356">
        <f t="shared" si="201"/>
        <v>217.46</v>
      </c>
      <c r="AT67" s="356">
        <f t="shared" si="201"/>
        <v>219.57</v>
      </c>
      <c r="AU67" s="356">
        <f t="shared" si="201"/>
        <v>221.69</v>
      </c>
      <c r="AV67" s="356">
        <f t="shared" si="201"/>
        <v>223.8</v>
      </c>
      <c r="AW67" s="356">
        <f t="shared" si="201"/>
        <v>225.92</v>
      </c>
      <c r="AX67" s="356">
        <f t="shared" si="201"/>
        <v>228.05</v>
      </c>
      <c r="AY67" s="356">
        <f t="shared" si="201"/>
        <v>230.16</v>
      </c>
      <c r="AZ67" s="356">
        <f t="shared" si="201"/>
        <v>232.28</v>
      </c>
      <c r="BA67" s="356">
        <f t="shared" si="201"/>
        <v>234.4</v>
      </c>
      <c r="BB67" s="356">
        <f t="shared" si="201"/>
        <v>236.52</v>
      </c>
      <c r="BC67" s="356">
        <f t="shared" si="201"/>
        <v>238.64</v>
      </c>
      <c r="BD67" s="356">
        <f t="shared" si="201"/>
        <v>240.76</v>
      </c>
      <c r="BE67" s="356">
        <f t="shared" si="201"/>
        <v>242.89</v>
      </c>
      <c r="BF67" s="356">
        <f t="shared" si="201"/>
        <v>245.01</v>
      </c>
      <c r="BG67" s="356">
        <f t="shared" si="201"/>
        <v>247.14</v>
      </c>
      <c r="BH67" s="356">
        <f t="shared" si="201"/>
        <v>249.27</v>
      </c>
      <c r="BI67" s="356">
        <f t="shared" si="201"/>
        <v>251.39</v>
      </c>
      <c r="BJ67" s="356">
        <f t="shared" si="201"/>
        <v>253.52</v>
      </c>
      <c r="BK67" s="356">
        <f t="shared" si="201"/>
        <v>255.64</v>
      </c>
      <c r="BL67" s="356">
        <f t="shared" si="201"/>
        <v>257.77</v>
      </c>
      <c r="BM67" s="356">
        <f t="shared" si="201"/>
        <v>259.89999999999998</v>
      </c>
      <c r="BN67" s="356">
        <f t="shared" si="201"/>
        <v>262.02</v>
      </c>
      <c r="BO67" s="356">
        <f t="shared" si="201"/>
        <v>264.14999999999998</v>
      </c>
      <c r="BP67" s="356">
        <f t="shared" si="201"/>
        <v>266.27</v>
      </c>
      <c r="BQ67" s="356">
        <f t="shared" si="201"/>
        <v>268.39999999999998</v>
      </c>
      <c r="BR67" s="356">
        <f t="shared" ref="BR67:CA67" si="202">ROUND(BR27*0.96*1.03,2)</f>
        <v>270.52999999999997</v>
      </c>
      <c r="BS67" s="356">
        <f t="shared" si="202"/>
        <v>272.64999999999998</v>
      </c>
      <c r="BT67" s="356">
        <f t="shared" si="202"/>
        <v>274.77999999999997</v>
      </c>
      <c r="BU67" s="356">
        <f t="shared" si="202"/>
        <v>276.89999999999998</v>
      </c>
      <c r="BV67" s="356">
        <f t="shared" si="202"/>
        <v>279.02999999999997</v>
      </c>
      <c r="BW67" s="356">
        <f t="shared" si="202"/>
        <v>281.16000000000003</v>
      </c>
      <c r="BX67" s="356">
        <f t="shared" si="202"/>
        <v>283.27999999999997</v>
      </c>
      <c r="BY67" s="356">
        <f t="shared" si="202"/>
        <v>285.41000000000003</v>
      </c>
      <c r="BZ67" s="356">
        <f t="shared" si="202"/>
        <v>287.52999999999997</v>
      </c>
      <c r="CA67" s="356">
        <f t="shared" si="202"/>
        <v>289.66000000000003</v>
      </c>
      <c r="CB67" s="356"/>
      <c r="CC67" s="356"/>
      <c r="CD67" s="356"/>
      <c r="CE67" s="356"/>
    </row>
    <row r="68" spans="1:83">
      <c r="A68" s="114" t="s">
        <v>483</v>
      </c>
      <c r="B68" s="115" t="s">
        <v>250</v>
      </c>
      <c r="C68" s="116"/>
      <c r="D68" s="42">
        <f t="shared" si="132"/>
        <v>2.2400000000000002</v>
      </c>
      <c r="E68" s="46" t="s">
        <v>332</v>
      </c>
      <c r="F68" s="222">
        <f t="shared" ref="F68:AK68" si="203">ROUND(F28*0.96*1.03,2)</f>
        <v>141.19</v>
      </c>
      <c r="G68" s="222">
        <f t="shared" si="203"/>
        <v>143.41999999999999</v>
      </c>
      <c r="H68" s="222">
        <f t="shared" si="203"/>
        <v>145.66</v>
      </c>
      <c r="I68" s="222">
        <f t="shared" si="203"/>
        <v>147.9</v>
      </c>
      <c r="J68" s="222">
        <f t="shared" si="203"/>
        <v>150.13</v>
      </c>
      <c r="K68" s="222">
        <f t="shared" si="203"/>
        <v>152.37</v>
      </c>
      <c r="L68" s="222">
        <f t="shared" si="203"/>
        <v>154.6</v>
      </c>
      <c r="M68" s="222">
        <f t="shared" si="203"/>
        <v>156.84</v>
      </c>
      <c r="N68" s="222">
        <f t="shared" si="203"/>
        <v>159.09</v>
      </c>
      <c r="O68" s="222">
        <f t="shared" si="203"/>
        <v>161.31</v>
      </c>
      <c r="P68" s="222">
        <f t="shared" si="203"/>
        <v>163.56</v>
      </c>
      <c r="Q68" s="222">
        <f t="shared" si="203"/>
        <v>165.79</v>
      </c>
      <c r="R68" s="222">
        <f t="shared" si="203"/>
        <v>168.05</v>
      </c>
      <c r="S68" s="222">
        <f t="shared" si="203"/>
        <v>170.28</v>
      </c>
      <c r="T68" s="222">
        <f t="shared" si="203"/>
        <v>172.51</v>
      </c>
      <c r="U68" s="222">
        <f t="shared" si="203"/>
        <v>174.76</v>
      </c>
      <c r="V68" s="222">
        <f t="shared" si="203"/>
        <v>176.99</v>
      </c>
      <c r="W68" s="222">
        <f t="shared" si="203"/>
        <v>179.24</v>
      </c>
      <c r="X68" s="222">
        <f t="shared" si="203"/>
        <v>181.47</v>
      </c>
      <c r="Y68" s="222">
        <f t="shared" si="203"/>
        <v>183.71</v>
      </c>
      <c r="Z68" s="222">
        <f t="shared" si="203"/>
        <v>185.95</v>
      </c>
      <c r="AA68" s="222">
        <f t="shared" si="203"/>
        <v>188.19</v>
      </c>
      <c r="AB68" s="222">
        <f t="shared" si="203"/>
        <v>190.43</v>
      </c>
      <c r="AC68" s="222">
        <f t="shared" si="203"/>
        <v>192.68</v>
      </c>
      <c r="AD68" s="222">
        <f t="shared" si="203"/>
        <v>194.9</v>
      </c>
      <c r="AE68" s="222">
        <f t="shared" si="203"/>
        <v>197.15</v>
      </c>
      <c r="AF68" s="222">
        <f t="shared" si="203"/>
        <v>199.38</v>
      </c>
      <c r="AG68" s="222">
        <f t="shared" si="203"/>
        <v>201.63</v>
      </c>
      <c r="AH68" s="222">
        <f t="shared" si="203"/>
        <v>203.85</v>
      </c>
      <c r="AI68" s="222">
        <f t="shared" si="203"/>
        <v>206.09</v>
      </c>
      <c r="AJ68" s="222">
        <f t="shared" si="203"/>
        <v>208.33</v>
      </c>
      <c r="AK68" s="222">
        <f t="shared" si="203"/>
        <v>210.56</v>
      </c>
      <c r="AL68" s="222">
        <f t="shared" ref="AL68:BQ68" si="204">ROUND(AL28*0.96*1.03,2)</f>
        <v>212.81</v>
      </c>
      <c r="AM68" s="222">
        <f t="shared" si="204"/>
        <v>215.03</v>
      </c>
      <c r="AN68" s="222">
        <f t="shared" si="204"/>
        <v>217.27</v>
      </c>
      <c r="AO68" s="222">
        <f t="shared" si="204"/>
        <v>219.51</v>
      </c>
      <c r="AP68" s="222">
        <f t="shared" si="204"/>
        <v>221.74</v>
      </c>
      <c r="AQ68" s="222">
        <f t="shared" si="204"/>
        <v>223.98</v>
      </c>
      <c r="AR68" s="222">
        <f t="shared" si="204"/>
        <v>226.21</v>
      </c>
      <c r="AS68" s="222">
        <f t="shared" si="204"/>
        <v>228.44</v>
      </c>
      <c r="AT68" s="222">
        <f t="shared" si="204"/>
        <v>230.69</v>
      </c>
      <c r="AU68" s="222">
        <f t="shared" si="204"/>
        <v>232.91</v>
      </c>
      <c r="AV68" s="222">
        <f t="shared" si="204"/>
        <v>235.15</v>
      </c>
      <c r="AW68" s="222">
        <f t="shared" si="204"/>
        <v>237.38</v>
      </c>
      <c r="AX68" s="222">
        <f t="shared" si="204"/>
        <v>239.62</v>
      </c>
      <c r="AY68" s="222">
        <f t="shared" si="204"/>
        <v>241.85</v>
      </c>
      <c r="AZ68" s="222">
        <f t="shared" si="204"/>
        <v>244.09</v>
      </c>
      <c r="BA68" s="222">
        <f t="shared" si="204"/>
        <v>246.32</v>
      </c>
      <c r="BB68" s="222">
        <f t="shared" si="204"/>
        <v>248.55</v>
      </c>
      <c r="BC68" s="222">
        <f t="shared" si="204"/>
        <v>250.79</v>
      </c>
      <c r="BD68" s="222">
        <f t="shared" si="204"/>
        <v>253.02</v>
      </c>
      <c r="BE68" s="222">
        <f t="shared" si="204"/>
        <v>255.26</v>
      </c>
      <c r="BF68" s="222">
        <f t="shared" si="204"/>
        <v>257.49</v>
      </c>
      <c r="BG68" s="222">
        <f t="shared" si="204"/>
        <v>259.73</v>
      </c>
      <c r="BH68" s="222">
        <f t="shared" si="204"/>
        <v>261.95999999999998</v>
      </c>
      <c r="BI68" s="222">
        <f t="shared" si="204"/>
        <v>264.2</v>
      </c>
      <c r="BJ68" s="222">
        <f t="shared" si="204"/>
        <v>266.43</v>
      </c>
      <c r="BK68" s="222">
        <f t="shared" si="204"/>
        <v>268.67</v>
      </c>
      <c r="BL68" s="222">
        <f t="shared" si="204"/>
        <v>270.89999999999998</v>
      </c>
      <c r="BM68" s="222">
        <f t="shared" si="204"/>
        <v>273.14</v>
      </c>
      <c r="BN68" s="222">
        <f t="shared" si="204"/>
        <v>275.37</v>
      </c>
      <c r="BO68" s="222">
        <f t="shared" si="204"/>
        <v>277.61</v>
      </c>
      <c r="BP68" s="222">
        <f t="shared" si="204"/>
        <v>279.83999999999997</v>
      </c>
      <c r="BQ68" s="222">
        <f t="shared" si="204"/>
        <v>282.07</v>
      </c>
      <c r="BR68" s="222">
        <f t="shared" ref="BR68:CA68" si="205">ROUND(BR28*0.96*1.03,2)</f>
        <v>284.31</v>
      </c>
      <c r="BS68" s="222">
        <f t="shared" si="205"/>
        <v>286.54000000000002</v>
      </c>
      <c r="BT68" s="222">
        <f t="shared" si="205"/>
        <v>288.77999999999997</v>
      </c>
      <c r="BU68" s="222">
        <f t="shared" si="205"/>
        <v>291.01</v>
      </c>
      <c r="BV68" s="222">
        <f t="shared" si="205"/>
        <v>293.25</v>
      </c>
      <c r="BW68" s="222">
        <f t="shared" si="205"/>
        <v>295.48</v>
      </c>
      <c r="BX68" s="222">
        <f t="shared" si="205"/>
        <v>297.72000000000003</v>
      </c>
      <c r="BY68" s="222">
        <f t="shared" si="205"/>
        <v>299.95</v>
      </c>
      <c r="BZ68" s="222">
        <f t="shared" si="205"/>
        <v>302.19</v>
      </c>
      <c r="CA68" s="222">
        <f t="shared" si="205"/>
        <v>304.42</v>
      </c>
      <c r="CB68" s="222"/>
      <c r="CC68" s="222"/>
      <c r="CD68" s="222"/>
      <c r="CE68" s="222"/>
    </row>
    <row r="69" spans="1:83">
      <c r="A69" s="114" t="s">
        <v>484</v>
      </c>
      <c r="B69" s="115" t="s">
        <v>150</v>
      </c>
      <c r="C69" s="116"/>
      <c r="D69" s="42">
        <f t="shared" si="132"/>
        <v>2.5299999999999998</v>
      </c>
      <c r="E69" s="46" t="s">
        <v>345</v>
      </c>
      <c r="F69" s="715">
        <f t="shared" ref="F69:AK69" si="206">ROUND(F29*0.96*1.03,2)</f>
        <v>255.93</v>
      </c>
      <c r="G69" s="715">
        <f t="shared" si="206"/>
        <v>258.45</v>
      </c>
      <c r="H69" s="715">
        <f t="shared" si="206"/>
        <v>260.98</v>
      </c>
      <c r="I69" s="715">
        <f t="shared" si="206"/>
        <v>263.52</v>
      </c>
      <c r="J69" s="715">
        <f t="shared" si="206"/>
        <v>266.05</v>
      </c>
      <c r="K69" s="715">
        <f t="shared" si="206"/>
        <v>268.57</v>
      </c>
      <c r="L69" s="715">
        <f t="shared" si="206"/>
        <v>271.10000000000002</v>
      </c>
      <c r="M69" s="715">
        <f t="shared" si="206"/>
        <v>273.63</v>
      </c>
      <c r="N69" s="715">
        <f t="shared" si="206"/>
        <v>276.14999999999998</v>
      </c>
      <c r="O69" s="715">
        <f t="shared" si="206"/>
        <v>278.68</v>
      </c>
      <c r="P69" s="715">
        <f t="shared" si="206"/>
        <v>281.2</v>
      </c>
      <c r="Q69" s="715">
        <f t="shared" si="206"/>
        <v>283.74</v>
      </c>
      <c r="R69" s="715">
        <f t="shared" si="206"/>
        <v>286.27</v>
      </c>
      <c r="S69" s="715">
        <f t="shared" si="206"/>
        <v>288.8</v>
      </c>
      <c r="T69" s="715">
        <f t="shared" si="206"/>
        <v>291.32</v>
      </c>
      <c r="U69" s="715">
        <f t="shared" si="206"/>
        <v>293.85000000000002</v>
      </c>
      <c r="V69" s="715">
        <f t="shared" si="206"/>
        <v>296.38</v>
      </c>
      <c r="W69" s="715">
        <f t="shared" si="206"/>
        <v>298.89999999999998</v>
      </c>
      <c r="X69" s="715">
        <f t="shared" si="206"/>
        <v>301.44</v>
      </c>
      <c r="Y69" s="715">
        <f t="shared" si="206"/>
        <v>303.95999999999998</v>
      </c>
      <c r="Z69" s="715">
        <f t="shared" si="206"/>
        <v>306.5</v>
      </c>
      <c r="AA69" s="715">
        <f t="shared" si="206"/>
        <v>309.02</v>
      </c>
      <c r="AB69" s="715">
        <f t="shared" si="206"/>
        <v>311.55</v>
      </c>
      <c r="AC69" s="715">
        <f t="shared" si="206"/>
        <v>314.07</v>
      </c>
      <c r="AD69" s="715">
        <f t="shared" si="206"/>
        <v>316.60000000000002</v>
      </c>
      <c r="AE69" s="715">
        <f t="shared" si="206"/>
        <v>319.14</v>
      </c>
      <c r="AF69" s="715">
        <f t="shared" si="206"/>
        <v>321.66000000000003</v>
      </c>
      <c r="AG69" s="715">
        <f t="shared" si="206"/>
        <v>324.19</v>
      </c>
      <c r="AH69" s="715">
        <f t="shared" si="206"/>
        <v>326.70999999999998</v>
      </c>
      <c r="AI69" s="715">
        <f t="shared" si="206"/>
        <v>329.25</v>
      </c>
      <c r="AJ69" s="715">
        <f t="shared" si="206"/>
        <v>331.77</v>
      </c>
      <c r="AK69" s="715">
        <f t="shared" si="206"/>
        <v>334.3</v>
      </c>
      <c r="AL69" s="715">
        <f t="shared" ref="AL69:BQ69" si="207">ROUND(AL29*0.96*1.03,2)</f>
        <v>336.82</v>
      </c>
      <c r="AM69" s="715">
        <f t="shared" si="207"/>
        <v>339.37</v>
      </c>
      <c r="AN69" s="715">
        <f t="shared" si="207"/>
        <v>341.89</v>
      </c>
      <c r="AO69" s="222">
        <f t="shared" si="207"/>
        <v>344.42</v>
      </c>
      <c r="AP69" s="222">
        <f t="shared" si="207"/>
        <v>346.94</v>
      </c>
      <c r="AQ69" s="222">
        <f t="shared" si="207"/>
        <v>349.46</v>
      </c>
      <c r="AR69" s="222">
        <f t="shared" si="207"/>
        <v>352</v>
      </c>
      <c r="AS69" s="222">
        <f t="shared" si="207"/>
        <v>354.52</v>
      </c>
      <c r="AT69" s="222">
        <f t="shared" si="207"/>
        <v>357.06</v>
      </c>
      <c r="AU69" s="222">
        <f t="shared" si="207"/>
        <v>359.58</v>
      </c>
      <c r="AV69" s="222">
        <f t="shared" si="207"/>
        <v>362.12</v>
      </c>
      <c r="AW69" s="222">
        <f t="shared" si="207"/>
        <v>364.64</v>
      </c>
      <c r="AX69" s="222">
        <f t="shared" si="207"/>
        <v>367.17</v>
      </c>
      <c r="AY69" s="222">
        <f t="shared" si="207"/>
        <v>369.69</v>
      </c>
      <c r="AZ69" s="222">
        <f t="shared" si="207"/>
        <v>372.21</v>
      </c>
      <c r="BA69" s="222">
        <f t="shared" si="207"/>
        <v>374.76</v>
      </c>
      <c r="BB69" s="222">
        <f t="shared" si="207"/>
        <v>377.28</v>
      </c>
      <c r="BC69" s="222">
        <f t="shared" si="207"/>
        <v>379.81</v>
      </c>
      <c r="BD69" s="222">
        <f t="shared" si="207"/>
        <v>382.33</v>
      </c>
      <c r="BE69" s="222">
        <f t="shared" si="207"/>
        <v>384.85</v>
      </c>
      <c r="BF69" s="222">
        <f t="shared" si="207"/>
        <v>387.37</v>
      </c>
      <c r="BG69" s="222">
        <f t="shared" si="207"/>
        <v>389.89</v>
      </c>
      <c r="BH69" s="222">
        <f t="shared" si="207"/>
        <v>392.42</v>
      </c>
      <c r="BI69" s="222">
        <f t="shared" si="207"/>
        <v>394.94</v>
      </c>
      <c r="BJ69" s="222">
        <f t="shared" si="207"/>
        <v>397.46</v>
      </c>
      <c r="BK69" s="222">
        <f t="shared" si="207"/>
        <v>399.98</v>
      </c>
      <c r="BL69" s="222">
        <f t="shared" si="207"/>
        <v>402.5</v>
      </c>
      <c r="BM69" s="222">
        <f t="shared" si="207"/>
        <v>405.02</v>
      </c>
      <c r="BN69" s="222">
        <f t="shared" si="207"/>
        <v>407.54</v>
      </c>
      <c r="BO69" s="222">
        <f t="shared" si="207"/>
        <v>410.07</v>
      </c>
      <c r="BP69" s="222">
        <f t="shared" si="207"/>
        <v>412.59</v>
      </c>
      <c r="BQ69" s="222">
        <f t="shared" si="207"/>
        <v>415.11</v>
      </c>
      <c r="BR69" s="222">
        <f t="shared" ref="BR69:CA69" si="208">ROUND(BR29*0.96*1.03,2)</f>
        <v>417.63</v>
      </c>
      <c r="BS69" s="222">
        <f t="shared" si="208"/>
        <v>420.15</v>
      </c>
      <c r="BT69" s="222">
        <f t="shared" si="208"/>
        <v>422.67</v>
      </c>
      <c r="BU69" s="222">
        <f t="shared" si="208"/>
        <v>425.19</v>
      </c>
      <c r="BV69" s="222">
        <f t="shared" si="208"/>
        <v>427.72</v>
      </c>
      <c r="BW69" s="222">
        <f t="shared" si="208"/>
        <v>430.24</v>
      </c>
      <c r="BX69" s="222">
        <f t="shared" si="208"/>
        <v>432.76</v>
      </c>
      <c r="BY69" s="222">
        <f t="shared" si="208"/>
        <v>435.28</v>
      </c>
      <c r="BZ69" s="222">
        <f t="shared" si="208"/>
        <v>437.8</v>
      </c>
      <c r="CA69" s="222">
        <f t="shared" si="208"/>
        <v>440.32</v>
      </c>
      <c r="CB69" s="222"/>
      <c r="CC69" s="222"/>
      <c r="CD69" s="222"/>
      <c r="CE69" s="222"/>
    </row>
    <row r="70" spans="1:83">
      <c r="A70" s="114" t="s">
        <v>485</v>
      </c>
      <c r="B70" s="115" t="s">
        <v>250</v>
      </c>
      <c r="C70" s="116"/>
      <c r="D70" s="42">
        <f t="shared" si="132"/>
        <v>2.52</v>
      </c>
      <c r="E70" s="46" t="s">
        <v>345</v>
      </c>
      <c r="F70" s="222">
        <f t="shared" ref="F70:AK70" si="209">ROUND(F30*0.96*1.03,2)</f>
        <v>250.3</v>
      </c>
      <c r="G70" s="222">
        <f t="shared" si="209"/>
        <v>252.84</v>
      </c>
      <c r="H70" s="222">
        <f t="shared" si="209"/>
        <v>255.36</v>
      </c>
      <c r="I70" s="222">
        <f t="shared" si="209"/>
        <v>257.89999999999998</v>
      </c>
      <c r="J70" s="222">
        <f t="shared" si="209"/>
        <v>260.42</v>
      </c>
      <c r="K70" s="222">
        <f t="shared" si="209"/>
        <v>262.95</v>
      </c>
      <c r="L70" s="222">
        <f t="shared" si="209"/>
        <v>265.47000000000003</v>
      </c>
      <c r="M70" s="222">
        <f t="shared" si="209"/>
        <v>267.99</v>
      </c>
      <c r="N70" s="222">
        <f t="shared" si="209"/>
        <v>270.54000000000002</v>
      </c>
      <c r="O70" s="222">
        <f t="shared" si="209"/>
        <v>273.06</v>
      </c>
      <c r="P70" s="222">
        <f t="shared" si="209"/>
        <v>275.58999999999997</v>
      </c>
      <c r="Q70" s="222">
        <f t="shared" si="209"/>
        <v>278.11</v>
      </c>
      <c r="R70" s="222">
        <f t="shared" si="209"/>
        <v>280.64999999999998</v>
      </c>
      <c r="S70" s="222">
        <f t="shared" si="209"/>
        <v>283.17</v>
      </c>
      <c r="T70" s="222">
        <f t="shared" si="209"/>
        <v>285.7</v>
      </c>
      <c r="U70" s="222">
        <f t="shared" si="209"/>
        <v>288.23</v>
      </c>
      <c r="V70" s="222">
        <f t="shared" si="209"/>
        <v>290.76</v>
      </c>
      <c r="W70" s="222">
        <f t="shared" si="209"/>
        <v>293.29000000000002</v>
      </c>
      <c r="X70" s="222">
        <f t="shared" si="209"/>
        <v>295.81</v>
      </c>
      <c r="Y70" s="222">
        <f t="shared" si="209"/>
        <v>298.33999999999997</v>
      </c>
      <c r="Z70" s="222">
        <f t="shared" si="209"/>
        <v>300.86</v>
      </c>
      <c r="AA70" s="222">
        <f t="shared" si="209"/>
        <v>303.39999999999998</v>
      </c>
      <c r="AB70" s="222">
        <f t="shared" si="209"/>
        <v>305.92</v>
      </c>
      <c r="AC70" s="222">
        <f t="shared" si="209"/>
        <v>308.45999999999998</v>
      </c>
      <c r="AD70" s="222">
        <f t="shared" si="209"/>
        <v>310.98</v>
      </c>
      <c r="AE70" s="222">
        <f t="shared" si="209"/>
        <v>313.51</v>
      </c>
      <c r="AF70" s="222">
        <f t="shared" si="209"/>
        <v>316.05</v>
      </c>
      <c r="AG70" s="222">
        <f t="shared" si="209"/>
        <v>318.57</v>
      </c>
      <c r="AH70" s="222">
        <f t="shared" si="209"/>
        <v>321.10000000000002</v>
      </c>
      <c r="AI70" s="222">
        <f t="shared" si="209"/>
        <v>323.63</v>
      </c>
      <c r="AJ70" s="222">
        <f t="shared" si="209"/>
        <v>326.17</v>
      </c>
      <c r="AK70" s="222">
        <f t="shared" si="209"/>
        <v>328.69</v>
      </c>
      <c r="AL70" s="222">
        <f t="shared" ref="AL70:BQ70" si="210">ROUND(AL30*0.96*1.03,2)</f>
        <v>331.22</v>
      </c>
      <c r="AM70" s="222">
        <f t="shared" si="210"/>
        <v>333.74</v>
      </c>
      <c r="AN70" s="222">
        <f t="shared" si="210"/>
        <v>336.28</v>
      </c>
      <c r="AO70" s="222">
        <f t="shared" si="210"/>
        <v>338.8</v>
      </c>
      <c r="AP70" s="222">
        <f t="shared" si="210"/>
        <v>341.32</v>
      </c>
      <c r="AQ70" s="222">
        <f t="shared" si="210"/>
        <v>343.86</v>
      </c>
      <c r="AR70" s="222">
        <f t="shared" si="210"/>
        <v>346.39</v>
      </c>
      <c r="AS70" s="222">
        <f t="shared" si="210"/>
        <v>348.92</v>
      </c>
      <c r="AT70" s="222">
        <f t="shared" si="210"/>
        <v>351.44</v>
      </c>
      <c r="AU70" s="222">
        <f t="shared" si="210"/>
        <v>353.97</v>
      </c>
      <c r="AV70" s="222">
        <f t="shared" si="210"/>
        <v>356.5</v>
      </c>
      <c r="AW70" s="222">
        <f t="shared" si="210"/>
        <v>359.03</v>
      </c>
      <c r="AX70" s="222">
        <f t="shared" si="210"/>
        <v>361.55</v>
      </c>
      <c r="AY70" s="222">
        <f t="shared" si="210"/>
        <v>364.08</v>
      </c>
      <c r="AZ70" s="222">
        <f t="shared" si="210"/>
        <v>366.61</v>
      </c>
      <c r="BA70" s="222">
        <f t="shared" si="210"/>
        <v>369.14</v>
      </c>
      <c r="BB70" s="222">
        <f t="shared" si="210"/>
        <v>371.67</v>
      </c>
      <c r="BC70" s="222">
        <f t="shared" si="210"/>
        <v>374.19</v>
      </c>
      <c r="BD70" s="222">
        <f t="shared" si="210"/>
        <v>376.72</v>
      </c>
      <c r="BE70" s="222">
        <f t="shared" si="210"/>
        <v>379.25</v>
      </c>
      <c r="BF70" s="222">
        <f t="shared" si="210"/>
        <v>381.79</v>
      </c>
      <c r="BG70" s="222">
        <f t="shared" si="210"/>
        <v>384.32</v>
      </c>
      <c r="BH70" s="222">
        <f t="shared" si="210"/>
        <v>386.85</v>
      </c>
      <c r="BI70" s="222">
        <f t="shared" si="210"/>
        <v>389.38</v>
      </c>
      <c r="BJ70" s="222">
        <f t="shared" si="210"/>
        <v>391.91</v>
      </c>
      <c r="BK70" s="222">
        <f t="shared" si="210"/>
        <v>394.44</v>
      </c>
      <c r="BL70" s="222">
        <f t="shared" si="210"/>
        <v>396.97</v>
      </c>
      <c r="BM70" s="222">
        <f t="shared" si="210"/>
        <v>399.5</v>
      </c>
      <c r="BN70" s="222">
        <f t="shared" si="210"/>
        <v>402.04</v>
      </c>
      <c r="BO70" s="222">
        <f t="shared" si="210"/>
        <v>404.57</v>
      </c>
      <c r="BP70" s="222">
        <f t="shared" si="210"/>
        <v>407.1</v>
      </c>
      <c r="BQ70" s="222">
        <f t="shared" si="210"/>
        <v>409.63</v>
      </c>
      <c r="BR70" s="222">
        <f t="shared" ref="BR70:CA70" si="211">ROUND(BR30*0.96*1.03,2)</f>
        <v>412.16</v>
      </c>
      <c r="BS70" s="222">
        <f t="shared" si="211"/>
        <v>414.69</v>
      </c>
      <c r="BT70" s="222">
        <f t="shared" si="211"/>
        <v>417.22</v>
      </c>
      <c r="BU70" s="222">
        <f t="shared" si="211"/>
        <v>419.76</v>
      </c>
      <c r="BV70" s="222">
        <f t="shared" si="211"/>
        <v>422.29</v>
      </c>
      <c r="BW70" s="222">
        <f t="shared" si="211"/>
        <v>424.82</v>
      </c>
      <c r="BX70" s="222">
        <f t="shared" si="211"/>
        <v>427.35</v>
      </c>
      <c r="BY70" s="222">
        <f t="shared" si="211"/>
        <v>429.88</v>
      </c>
      <c r="BZ70" s="222">
        <f t="shared" si="211"/>
        <v>432.41</v>
      </c>
      <c r="CA70" s="222">
        <f t="shared" si="211"/>
        <v>434.94</v>
      </c>
      <c r="CB70" s="222"/>
      <c r="CC70" s="222"/>
      <c r="CD70" s="222"/>
      <c r="CE70" s="222"/>
    </row>
    <row r="71" spans="1:83">
      <c r="A71" s="114" t="s">
        <v>486</v>
      </c>
      <c r="B71" s="115" t="s">
        <v>150</v>
      </c>
      <c r="C71" s="116"/>
      <c r="D71" s="42">
        <f t="shared" si="132"/>
        <v>2.52</v>
      </c>
      <c r="E71" s="46" t="s">
        <v>332</v>
      </c>
      <c r="F71" s="715">
        <f t="shared" ref="F71:AK71" si="212">ROUND(F31*0.96*1.03,2)</f>
        <v>257.79000000000002</v>
      </c>
      <c r="G71" s="715">
        <f t="shared" si="212"/>
        <v>260.32</v>
      </c>
      <c r="H71" s="715">
        <f t="shared" si="212"/>
        <v>262.85000000000002</v>
      </c>
      <c r="I71" s="715">
        <f t="shared" si="212"/>
        <v>265.38</v>
      </c>
      <c r="J71" s="715">
        <f t="shared" si="212"/>
        <v>267.91000000000003</v>
      </c>
      <c r="K71" s="715">
        <f t="shared" si="212"/>
        <v>270.44</v>
      </c>
      <c r="L71" s="715">
        <f t="shared" si="212"/>
        <v>272.97000000000003</v>
      </c>
      <c r="M71" s="715">
        <f t="shared" si="212"/>
        <v>275.5</v>
      </c>
      <c r="N71" s="715">
        <f t="shared" si="212"/>
        <v>278.02</v>
      </c>
      <c r="O71" s="715">
        <f t="shared" si="212"/>
        <v>280.54000000000002</v>
      </c>
      <c r="P71" s="715">
        <f t="shared" si="212"/>
        <v>283.08</v>
      </c>
      <c r="Q71" s="715">
        <f t="shared" si="212"/>
        <v>285.60000000000002</v>
      </c>
      <c r="R71" s="715">
        <f t="shared" si="212"/>
        <v>288.14</v>
      </c>
      <c r="S71" s="715">
        <f t="shared" si="212"/>
        <v>290.66000000000003</v>
      </c>
      <c r="T71" s="715">
        <f t="shared" si="212"/>
        <v>293.19</v>
      </c>
      <c r="U71" s="715">
        <f t="shared" si="212"/>
        <v>295.72000000000003</v>
      </c>
      <c r="V71" s="715">
        <f t="shared" si="212"/>
        <v>298.25</v>
      </c>
      <c r="W71" s="715">
        <f t="shared" si="212"/>
        <v>300.77</v>
      </c>
      <c r="X71" s="715">
        <f t="shared" si="212"/>
        <v>303.29000000000002</v>
      </c>
      <c r="Y71" s="715">
        <f t="shared" si="212"/>
        <v>305.83999999999997</v>
      </c>
      <c r="Z71" s="715">
        <f t="shared" si="212"/>
        <v>308.36</v>
      </c>
      <c r="AA71" s="715">
        <f t="shared" si="212"/>
        <v>310.89</v>
      </c>
      <c r="AB71" s="715">
        <f t="shared" si="212"/>
        <v>313.41000000000003</v>
      </c>
      <c r="AC71" s="715">
        <f t="shared" si="212"/>
        <v>315.95</v>
      </c>
      <c r="AD71" s="715">
        <f t="shared" si="212"/>
        <v>318.47000000000003</v>
      </c>
      <c r="AE71" s="715">
        <f t="shared" si="212"/>
        <v>321</v>
      </c>
      <c r="AF71" s="715">
        <f t="shared" si="212"/>
        <v>323.52999999999997</v>
      </c>
      <c r="AG71" s="715">
        <f t="shared" si="212"/>
        <v>326.05</v>
      </c>
      <c r="AH71" s="715">
        <f t="shared" si="212"/>
        <v>328.59</v>
      </c>
      <c r="AI71" s="715">
        <f t="shared" si="212"/>
        <v>331.11</v>
      </c>
      <c r="AJ71" s="715">
        <f t="shared" si="212"/>
        <v>333.64</v>
      </c>
      <c r="AK71" s="715">
        <f t="shared" si="212"/>
        <v>336.16</v>
      </c>
      <c r="AL71" s="715">
        <f t="shared" ref="AL71:BQ71" si="213">ROUND(AL31*0.96*1.03,2)</f>
        <v>338.7</v>
      </c>
      <c r="AM71" s="715">
        <f t="shared" si="213"/>
        <v>341.22</v>
      </c>
      <c r="AN71" s="715">
        <f t="shared" si="213"/>
        <v>343.76</v>
      </c>
      <c r="AO71" s="222">
        <f t="shared" si="213"/>
        <v>346.28</v>
      </c>
      <c r="AP71" s="222">
        <f t="shared" si="213"/>
        <v>348.81</v>
      </c>
      <c r="AQ71" s="222">
        <f t="shared" si="213"/>
        <v>351.34</v>
      </c>
      <c r="AR71" s="222">
        <f t="shared" si="213"/>
        <v>353.86</v>
      </c>
      <c r="AS71" s="222">
        <f t="shared" si="213"/>
        <v>356.39</v>
      </c>
      <c r="AT71" s="222">
        <f t="shared" si="213"/>
        <v>358.91</v>
      </c>
      <c r="AU71" s="222">
        <f t="shared" si="213"/>
        <v>361.46</v>
      </c>
      <c r="AV71" s="222">
        <f t="shared" si="213"/>
        <v>363.98</v>
      </c>
      <c r="AW71" s="222">
        <f t="shared" si="213"/>
        <v>366.51</v>
      </c>
      <c r="AX71" s="222">
        <f t="shared" si="213"/>
        <v>369.03</v>
      </c>
      <c r="AY71" s="222">
        <f t="shared" si="213"/>
        <v>371.56</v>
      </c>
      <c r="AZ71" s="222">
        <f t="shared" si="213"/>
        <v>374.09</v>
      </c>
      <c r="BA71" s="222">
        <f t="shared" si="213"/>
        <v>376.61</v>
      </c>
      <c r="BB71" s="222">
        <f t="shared" si="213"/>
        <v>379.15</v>
      </c>
      <c r="BC71" s="222">
        <f t="shared" si="213"/>
        <v>381.68</v>
      </c>
      <c r="BD71" s="222">
        <f t="shared" si="213"/>
        <v>384.21</v>
      </c>
      <c r="BE71" s="222">
        <f t="shared" si="213"/>
        <v>386.74</v>
      </c>
      <c r="BF71" s="222">
        <f t="shared" si="213"/>
        <v>389.27</v>
      </c>
      <c r="BG71" s="222">
        <f t="shared" si="213"/>
        <v>391.8</v>
      </c>
      <c r="BH71" s="222">
        <f t="shared" si="213"/>
        <v>394.33</v>
      </c>
      <c r="BI71" s="222">
        <f t="shared" si="213"/>
        <v>396.86</v>
      </c>
      <c r="BJ71" s="222">
        <f t="shared" si="213"/>
        <v>399.4</v>
      </c>
      <c r="BK71" s="222">
        <f t="shared" si="213"/>
        <v>401.93</v>
      </c>
      <c r="BL71" s="222">
        <f t="shared" si="213"/>
        <v>404.46</v>
      </c>
      <c r="BM71" s="222">
        <f t="shared" si="213"/>
        <v>406.99</v>
      </c>
      <c r="BN71" s="222">
        <f t="shared" si="213"/>
        <v>409.52</v>
      </c>
      <c r="BO71" s="222">
        <f t="shared" si="213"/>
        <v>412.05</v>
      </c>
      <c r="BP71" s="222">
        <f t="shared" si="213"/>
        <v>414.58</v>
      </c>
      <c r="BQ71" s="222">
        <f t="shared" si="213"/>
        <v>417.12</v>
      </c>
      <c r="BR71" s="222">
        <f t="shared" ref="BR71:CA71" si="214">ROUND(BR31*0.96*1.03,2)</f>
        <v>419.65</v>
      </c>
      <c r="BS71" s="222">
        <f t="shared" si="214"/>
        <v>422.18</v>
      </c>
      <c r="BT71" s="222">
        <f t="shared" si="214"/>
        <v>424.71</v>
      </c>
      <c r="BU71" s="222">
        <f t="shared" si="214"/>
        <v>427.24</v>
      </c>
      <c r="BV71" s="222">
        <f t="shared" si="214"/>
        <v>429.77</v>
      </c>
      <c r="BW71" s="222">
        <f t="shared" si="214"/>
        <v>432.3</v>
      </c>
      <c r="BX71" s="222">
        <f t="shared" si="214"/>
        <v>434.83</v>
      </c>
      <c r="BY71" s="222">
        <f t="shared" si="214"/>
        <v>437.37</v>
      </c>
      <c r="BZ71" s="222">
        <f t="shared" si="214"/>
        <v>439.9</v>
      </c>
      <c r="CA71" s="222">
        <f t="shared" si="214"/>
        <v>442.43</v>
      </c>
      <c r="CB71" s="222"/>
      <c r="CC71" s="222"/>
      <c r="CD71" s="222"/>
      <c r="CE71" s="222"/>
    </row>
    <row r="72" spans="1:83">
      <c r="A72" s="114" t="s">
        <v>487</v>
      </c>
      <c r="B72" s="115" t="s">
        <v>150</v>
      </c>
      <c r="C72" s="116"/>
      <c r="D72" s="42">
        <f t="shared" si="132"/>
        <v>2.52</v>
      </c>
      <c r="E72" s="46" t="s">
        <v>332</v>
      </c>
      <c r="F72" s="715">
        <f t="shared" ref="F72:AK72" si="215">ROUND(F32*0.96*1.03,2)</f>
        <v>254.14</v>
      </c>
      <c r="G72" s="715">
        <f t="shared" si="215"/>
        <v>256.66000000000003</v>
      </c>
      <c r="H72" s="715">
        <f t="shared" si="215"/>
        <v>259.18</v>
      </c>
      <c r="I72" s="715">
        <f t="shared" si="215"/>
        <v>261.72000000000003</v>
      </c>
      <c r="J72" s="715">
        <f t="shared" si="215"/>
        <v>264.25</v>
      </c>
      <c r="K72" s="715">
        <f t="shared" si="215"/>
        <v>266.77999999999997</v>
      </c>
      <c r="L72" s="715">
        <f t="shared" si="215"/>
        <v>269.3</v>
      </c>
      <c r="M72" s="715">
        <f t="shared" si="215"/>
        <v>271.83</v>
      </c>
      <c r="N72" s="715">
        <f t="shared" si="215"/>
        <v>274.36</v>
      </c>
      <c r="O72" s="715">
        <f t="shared" si="215"/>
        <v>276.89</v>
      </c>
      <c r="P72" s="715">
        <f t="shared" si="215"/>
        <v>279.42</v>
      </c>
      <c r="Q72" s="715">
        <f t="shared" si="215"/>
        <v>281.94</v>
      </c>
      <c r="R72" s="715">
        <f t="shared" si="215"/>
        <v>284.48</v>
      </c>
      <c r="S72" s="715">
        <f t="shared" si="215"/>
        <v>287</v>
      </c>
      <c r="T72" s="715">
        <f t="shared" si="215"/>
        <v>289.52999999999997</v>
      </c>
      <c r="U72" s="715">
        <f t="shared" si="215"/>
        <v>292.05</v>
      </c>
      <c r="V72" s="715">
        <f t="shared" si="215"/>
        <v>294.58</v>
      </c>
      <c r="W72" s="715">
        <f t="shared" si="215"/>
        <v>297.11</v>
      </c>
      <c r="X72" s="715">
        <f t="shared" si="215"/>
        <v>299.64999999999998</v>
      </c>
      <c r="Y72" s="715">
        <f t="shared" si="215"/>
        <v>302.17</v>
      </c>
      <c r="Z72" s="715">
        <f t="shared" si="215"/>
        <v>304.7</v>
      </c>
      <c r="AA72" s="715">
        <f t="shared" si="215"/>
        <v>307.23</v>
      </c>
      <c r="AB72" s="715">
        <f t="shared" si="215"/>
        <v>309.75</v>
      </c>
      <c r="AC72" s="715">
        <f t="shared" si="215"/>
        <v>312.27999999999997</v>
      </c>
      <c r="AD72" s="715">
        <f t="shared" si="215"/>
        <v>314.8</v>
      </c>
      <c r="AE72" s="715">
        <f t="shared" si="215"/>
        <v>317.35000000000002</v>
      </c>
      <c r="AF72" s="715">
        <f t="shared" si="215"/>
        <v>319.87</v>
      </c>
      <c r="AG72" s="715">
        <f t="shared" si="215"/>
        <v>322.39999999999998</v>
      </c>
      <c r="AH72" s="715">
        <f t="shared" si="215"/>
        <v>324.92</v>
      </c>
      <c r="AI72" s="715">
        <f t="shared" si="215"/>
        <v>327.45</v>
      </c>
      <c r="AJ72" s="715">
        <f t="shared" si="215"/>
        <v>329.98</v>
      </c>
      <c r="AK72" s="715">
        <f t="shared" si="215"/>
        <v>332.5</v>
      </c>
      <c r="AL72" s="715">
        <f t="shared" ref="AL72:BQ72" si="216">ROUND(AL32*0.96*1.03,2)</f>
        <v>335.04</v>
      </c>
      <c r="AM72" s="715">
        <f t="shared" si="216"/>
        <v>337.56</v>
      </c>
      <c r="AN72" s="715">
        <f t="shared" si="216"/>
        <v>340.1</v>
      </c>
      <c r="AO72" s="222">
        <f t="shared" si="216"/>
        <v>342.62</v>
      </c>
      <c r="AP72" s="222">
        <f t="shared" si="216"/>
        <v>345.15</v>
      </c>
      <c r="AQ72" s="222">
        <f t="shared" si="216"/>
        <v>347.67</v>
      </c>
      <c r="AR72" s="222">
        <f t="shared" si="216"/>
        <v>350.21</v>
      </c>
      <c r="AS72" s="222">
        <f t="shared" si="216"/>
        <v>352.73</v>
      </c>
      <c r="AT72" s="222">
        <f t="shared" si="216"/>
        <v>355.26</v>
      </c>
      <c r="AU72" s="222">
        <f t="shared" si="216"/>
        <v>357.79</v>
      </c>
      <c r="AV72" s="222">
        <f t="shared" si="216"/>
        <v>360.31</v>
      </c>
      <c r="AW72" s="222">
        <f t="shared" si="216"/>
        <v>362.85</v>
      </c>
      <c r="AX72" s="222">
        <f t="shared" si="216"/>
        <v>365.37</v>
      </c>
      <c r="AY72" s="222">
        <f t="shared" si="216"/>
        <v>367.9</v>
      </c>
      <c r="AZ72" s="222">
        <f t="shared" si="216"/>
        <v>370.42</v>
      </c>
      <c r="BA72" s="222">
        <f t="shared" si="216"/>
        <v>372.97</v>
      </c>
      <c r="BB72" s="222">
        <f t="shared" si="216"/>
        <v>375.49</v>
      </c>
      <c r="BC72" s="222">
        <f t="shared" si="216"/>
        <v>378.01</v>
      </c>
      <c r="BD72" s="222">
        <f t="shared" si="216"/>
        <v>380.54</v>
      </c>
      <c r="BE72" s="222">
        <f t="shared" si="216"/>
        <v>383.07</v>
      </c>
      <c r="BF72" s="222">
        <f t="shared" si="216"/>
        <v>385.6</v>
      </c>
      <c r="BG72" s="222">
        <f t="shared" si="216"/>
        <v>388.13</v>
      </c>
      <c r="BH72" s="222">
        <f t="shared" si="216"/>
        <v>390.66</v>
      </c>
      <c r="BI72" s="222">
        <f t="shared" si="216"/>
        <v>393.2</v>
      </c>
      <c r="BJ72" s="222">
        <f t="shared" si="216"/>
        <v>395.73</v>
      </c>
      <c r="BK72" s="222">
        <f t="shared" si="216"/>
        <v>398.26</v>
      </c>
      <c r="BL72" s="222">
        <f t="shared" si="216"/>
        <v>400.79</v>
      </c>
      <c r="BM72" s="222">
        <f t="shared" si="216"/>
        <v>403.32</v>
      </c>
      <c r="BN72" s="222">
        <f t="shared" si="216"/>
        <v>405.85</v>
      </c>
      <c r="BO72" s="222">
        <f t="shared" si="216"/>
        <v>408.38</v>
      </c>
      <c r="BP72" s="222">
        <f t="shared" si="216"/>
        <v>410.92</v>
      </c>
      <c r="BQ72" s="222">
        <f t="shared" si="216"/>
        <v>413.45</v>
      </c>
      <c r="BR72" s="222">
        <f t="shared" ref="BR72:CA72" si="217">ROUND(BR32*0.96*1.03,2)</f>
        <v>415.98</v>
      </c>
      <c r="BS72" s="222">
        <f t="shared" si="217"/>
        <v>418.51</v>
      </c>
      <c r="BT72" s="222">
        <f t="shared" si="217"/>
        <v>421.04</v>
      </c>
      <c r="BU72" s="222">
        <f t="shared" si="217"/>
        <v>423.57</v>
      </c>
      <c r="BV72" s="222">
        <f t="shared" si="217"/>
        <v>426.1</v>
      </c>
      <c r="BW72" s="222">
        <f t="shared" si="217"/>
        <v>428.63</v>
      </c>
      <c r="BX72" s="222">
        <f t="shared" si="217"/>
        <v>431.17</v>
      </c>
      <c r="BY72" s="222">
        <f t="shared" si="217"/>
        <v>433.7</v>
      </c>
      <c r="BZ72" s="222">
        <f t="shared" si="217"/>
        <v>436.23</v>
      </c>
      <c r="CA72" s="222">
        <f t="shared" si="217"/>
        <v>438.76</v>
      </c>
      <c r="CB72" s="222"/>
      <c r="CC72" s="222"/>
      <c r="CD72" s="222"/>
      <c r="CE72" s="222"/>
    </row>
    <row r="73" spans="1:83">
      <c r="A73" s="114" t="s">
        <v>488</v>
      </c>
      <c r="B73" s="115" t="s">
        <v>250</v>
      </c>
      <c r="C73" s="116"/>
      <c r="D73" s="42">
        <f t="shared" si="132"/>
        <v>2.5299999999999998</v>
      </c>
      <c r="E73" s="46" t="s">
        <v>332</v>
      </c>
      <c r="F73" s="222">
        <f t="shared" ref="F73:AK73" si="218">ROUND(F33*0.96*1.03,2)</f>
        <v>238.51</v>
      </c>
      <c r="G73" s="222">
        <f t="shared" si="218"/>
        <v>241.03</v>
      </c>
      <c r="H73" s="222">
        <f t="shared" si="218"/>
        <v>243.56</v>
      </c>
      <c r="I73" s="222">
        <f t="shared" si="218"/>
        <v>246.09</v>
      </c>
      <c r="J73" s="222">
        <f t="shared" si="218"/>
        <v>248.61</v>
      </c>
      <c r="K73" s="222">
        <f t="shared" si="218"/>
        <v>251.15</v>
      </c>
      <c r="L73" s="222">
        <f t="shared" si="218"/>
        <v>253.67</v>
      </c>
      <c r="M73" s="222">
        <f t="shared" si="218"/>
        <v>256.20999999999998</v>
      </c>
      <c r="N73" s="222">
        <f t="shared" si="218"/>
        <v>258.73</v>
      </c>
      <c r="O73" s="222">
        <f t="shared" si="218"/>
        <v>261.26</v>
      </c>
      <c r="P73" s="222">
        <f t="shared" si="218"/>
        <v>263.77999999999997</v>
      </c>
      <c r="Q73" s="222">
        <f t="shared" si="218"/>
        <v>266.31</v>
      </c>
      <c r="R73" s="222">
        <f t="shared" si="218"/>
        <v>268.83999999999997</v>
      </c>
      <c r="S73" s="222">
        <f t="shared" si="218"/>
        <v>271.37</v>
      </c>
      <c r="T73" s="222">
        <f t="shared" si="218"/>
        <v>273.91000000000003</v>
      </c>
      <c r="U73" s="222">
        <f t="shared" si="218"/>
        <v>276.44</v>
      </c>
      <c r="V73" s="222">
        <f t="shared" si="218"/>
        <v>278.97000000000003</v>
      </c>
      <c r="W73" s="222">
        <f t="shared" si="218"/>
        <v>281.49</v>
      </c>
      <c r="X73" s="222">
        <f t="shared" si="218"/>
        <v>284.02</v>
      </c>
      <c r="Y73" s="222">
        <f t="shared" si="218"/>
        <v>286.54000000000002</v>
      </c>
      <c r="Z73" s="222">
        <f t="shared" si="218"/>
        <v>289.08999999999997</v>
      </c>
      <c r="AA73" s="222">
        <f t="shared" si="218"/>
        <v>291.61</v>
      </c>
      <c r="AB73" s="222">
        <f t="shared" si="218"/>
        <v>294.13</v>
      </c>
      <c r="AC73" s="222">
        <f t="shared" si="218"/>
        <v>296.66000000000003</v>
      </c>
      <c r="AD73" s="222">
        <f t="shared" si="218"/>
        <v>299.19</v>
      </c>
      <c r="AE73" s="222">
        <f t="shared" si="218"/>
        <v>301.72000000000003</v>
      </c>
      <c r="AF73" s="222">
        <f t="shared" si="218"/>
        <v>304.24</v>
      </c>
      <c r="AG73" s="222">
        <f t="shared" si="218"/>
        <v>306.77999999999997</v>
      </c>
      <c r="AH73" s="222">
        <f t="shared" si="218"/>
        <v>309.31</v>
      </c>
      <c r="AI73" s="222">
        <f t="shared" si="218"/>
        <v>311.83999999999997</v>
      </c>
      <c r="AJ73" s="222">
        <f t="shared" si="218"/>
        <v>314.36</v>
      </c>
      <c r="AK73" s="222">
        <f t="shared" si="218"/>
        <v>316.88</v>
      </c>
      <c r="AL73" s="222">
        <f t="shared" ref="AL73:BQ73" si="219">ROUND(AL33*0.96*1.03,2)</f>
        <v>319.41000000000003</v>
      </c>
      <c r="AM73" s="222">
        <f t="shared" si="219"/>
        <v>321.94</v>
      </c>
      <c r="AN73" s="222">
        <f t="shared" si="219"/>
        <v>324.47000000000003</v>
      </c>
      <c r="AO73" s="222">
        <f t="shared" si="219"/>
        <v>327</v>
      </c>
      <c r="AP73" s="222">
        <f t="shared" si="219"/>
        <v>329.53</v>
      </c>
      <c r="AQ73" s="222">
        <f t="shared" si="219"/>
        <v>332.06</v>
      </c>
      <c r="AR73" s="222">
        <f t="shared" si="219"/>
        <v>334.59</v>
      </c>
      <c r="AS73" s="222">
        <f t="shared" si="219"/>
        <v>337.11</v>
      </c>
      <c r="AT73" s="222">
        <f t="shared" si="219"/>
        <v>339.63</v>
      </c>
      <c r="AU73" s="222">
        <f t="shared" si="219"/>
        <v>342.17</v>
      </c>
      <c r="AV73" s="222">
        <f t="shared" si="219"/>
        <v>344.7</v>
      </c>
      <c r="AW73" s="222">
        <f t="shared" si="219"/>
        <v>347.23</v>
      </c>
      <c r="AX73" s="222">
        <f t="shared" si="219"/>
        <v>349.75</v>
      </c>
      <c r="AY73" s="222">
        <f t="shared" si="219"/>
        <v>352.28</v>
      </c>
      <c r="AZ73" s="222">
        <f t="shared" si="219"/>
        <v>354.81</v>
      </c>
      <c r="BA73" s="222">
        <f t="shared" si="219"/>
        <v>357.34</v>
      </c>
      <c r="BB73" s="222">
        <f t="shared" si="219"/>
        <v>359.86</v>
      </c>
      <c r="BC73" s="222">
        <f t="shared" si="219"/>
        <v>362.39</v>
      </c>
      <c r="BD73" s="222">
        <f t="shared" si="219"/>
        <v>364.93</v>
      </c>
      <c r="BE73" s="222">
        <f t="shared" si="219"/>
        <v>367.47</v>
      </c>
      <c r="BF73" s="222">
        <f t="shared" si="219"/>
        <v>370.01</v>
      </c>
      <c r="BG73" s="222">
        <f t="shared" si="219"/>
        <v>372.55</v>
      </c>
      <c r="BH73" s="222">
        <f t="shared" si="219"/>
        <v>375.09</v>
      </c>
      <c r="BI73" s="222">
        <f t="shared" si="219"/>
        <v>377.63</v>
      </c>
      <c r="BJ73" s="222">
        <f t="shared" si="219"/>
        <v>380.17</v>
      </c>
      <c r="BK73" s="222">
        <f t="shared" si="219"/>
        <v>382.72</v>
      </c>
      <c r="BL73" s="222">
        <f t="shared" si="219"/>
        <v>385.26</v>
      </c>
      <c r="BM73" s="222">
        <f t="shared" si="219"/>
        <v>387.8</v>
      </c>
      <c r="BN73" s="222">
        <f t="shared" si="219"/>
        <v>390.34</v>
      </c>
      <c r="BO73" s="222">
        <f t="shared" si="219"/>
        <v>392.88</v>
      </c>
      <c r="BP73" s="222">
        <f t="shared" si="219"/>
        <v>395.42</v>
      </c>
      <c r="BQ73" s="222">
        <f t="shared" si="219"/>
        <v>397.96</v>
      </c>
      <c r="BR73" s="222">
        <f t="shared" ref="BR73:CA73" si="220">ROUND(BR33*0.96*1.03,2)</f>
        <v>400.5</v>
      </c>
      <c r="BS73" s="222">
        <f t="shared" si="220"/>
        <v>403.04</v>
      </c>
      <c r="BT73" s="222">
        <f t="shared" si="220"/>
        <v>405.59</v>
      </c>
      <c r="BU73" s="222">
        <f t="shared" si="220"/>
        <v>408.13</v>
      </c>
      <c r="BV73" s="222">
        <f t="shared" si="220"/>
        <v>410.67</v>
      </c>
      <c r="BW73" s="222">
        <f t="shared" si="220"/>
        <v>413.21</v>
      </c>
      <c r="BX73" s="222">
        <f t="shared" si="220"/>
        <v>415.75</v>
      </c>
      <c r="BY73" s="222">
        <f t="shared" si="220"/>
        <v>418.29</v>
      </c>
      <c r="BZ73" s="222">
        <f t="shared" si="220"/>
        <v>420.83</v>
      </c>
      <c r="CA73" s="222">
        <f t="shared" si="220"/>
        <v>423.37</v>
      </c>
      <c r="CB73" s="222"/>
      <c r="CC73" s="222"/>
      <c r="CD73" s="222"/>
      <c r="CE73" s="222"/>
    </row>
    <row r="74" spans="1:83">
      <c r="A74" s="114" t="s">
        <v>489</v>
      </c>
      <c r="B74" s="115" t="s">
        <v>150</v>
      </c>
      <c r="C74" s="116"/>
      <c r="D74" s="42">
        <f t="shared" si="132"/>
        <v>2.54</v>
      </c>
      <c r="E74" s="46" t="s">
        <v>332</v>
      </c>
      <c r="F74" s="715">
        <f t="shared" ref="F74:AK74" si="221">ROUND(F34*0.96*1.03,2)</f>
        <v>175.81</v>
      </c>
      <c r="G74" s="715">
        <f t="shared" si="221"/>
        <v>178.33</v>
      </c>
      <c r="H74" s="715">
        <f t="shared" si="221"/>
        <v>180.86</v>
      </c>
      <c r="I74" s="715">
        <f t="shared" si="221"/>
        <v>183.38</v>
      </c>
      <c r="J74" s="715">
        <f t="shared" si="221"/>
        <v>185.92</v>
      </c>
      <c r="K74" s="715">
        <f t="shared" si="221"/>
        <v>188.45</v>
      </c>
      <c r="L74" s="715">
        <f t="shared" si="221"/>
        <v>190.98</v>
      </c>
      <c r="M74" s="715">
        <f t="shared" si="221"/>
        <v>193.5</v>
      </c>
      <c r="N74" s="715">
        <f t="shared" si="221"/>
        <v>196.03</v>
      </c>
      <c r="O74" s="715">
        <f t="shared" si="221"/>
        <v>198.56</v>
      </c>
      <c r="P74" s="715">
        <f t="shared" si="221"/>
        <v>201.08</v>
      </c>
      <c r="Q74" s="715">
        <f t="shared" si="221"/>
        <v>203.61</v>
      </c>
      <c r="R74" s="715">
        <f t="shared" si="221"/>
        <v>206.15</v>
      </c>
      <c r="S74" s="715">
        <f t="shared" si="221"/>
        <v>208.68</v>
      </c>
      <c r="T74" s="715">
        <f t="shared" si="221"/>
        <v>211.2</v>
      </c>
      <c r="U74" s="715">
        <f t="shared" si="221"/>
        <v>213.73</v>
      </c>
      <c r="V74" s="715">
        <f t="shared" si="221"/>
        <v>216.25</v>
      </c>
      <c r="W74" s="715">
        <f t="shared" si="221"/>
        <v>218.78</v>
      </c>
      <c r="X74" s="715">
        <f t="shared" si="221"/>
        <v>221.31</v>
      </c>
      <c r="Y74" s="715">
        <f t="shared" si="221"/>
        <v>223.84</v>
      </c>
      <c r="Z74" s="715">
        <f t="shared" si="221"/>
        <v>226.38</v>
      </c>
      <c r="AA74" s="715">
        <f t="shared" si="221"/>
        <v>228.91</v>
      </c>
      <c r="AB74" s="715">
        <f t="shared" si="221"/>
        <v>231.44</v>
      </c>
      <c r="AC74" s="715">
        <f t="shared" si="221"/>
        <v>233.96</v>
      </c>
      <c r="AD74" s="715">
        <f t="shared" si="221"/>
        <v>236.49</v>
      </c>
      <c r="AE74" s="715">
        <f t="shared" si="221"/>
        <v>239.02</v>
      </c>
      <c r="AF74" s="715">
        <f t="shared" si="221"/>
        <v>241.55</v>
      </c>
      <c r="AG74" s="715">
        <f t="shared" si="221"/>
        <v>244.08</v>
      </c>
      <c r="AH74" s="715">
        <f t="shared" si="221"/>
        <v>246.6</v>
      </c>
      <c r="AI74" s="715">
        <f t="shared" si="221"/>
        <v>249.13</v>
      </c>
      <c r="AJ74" s="715">
        <f t="shared" si="221"/>
        <v>251.66</v>
      </c>
      <c r="AK74" s="715">
        <f t="shared" si="221"/>
        <v>254.19</v>
      </c>
      <c r="AL74" s="715">
        <f t="shared" ref="AL74:BQ74" si="222">ROUND(AL34*0.96*1.03,2)</f>
        <v>256.70999999999998</v>
      </c>
      <c r="AM74" s="715">
        <f t="shared" si="222"/>
        <v>259.24</v>
      </c>
      <c r="AN74" s="715">
        <f t="shared" si="222"/>
        <v>261.77</v>
      </c>
      <c r="AO74" s="222">
        <f t="shared" si="222"/>
        <v>264.31</v>
      </c>
      <c r="AP74" s="222">
        <f t="shared" si="222"/>
        <v>266.83</v>
      </c>
      <c r="AQ74" s="222">
        <f t="shared" si="222"/>
        <v>269.35000000000002</v>
      </c>
      <c r="AR74" s="222">
        <f t="shared" si="222"/>
        <v>271.89</v>
      </c>
      <c r="AS74" s="222">
        <f t="shared" si="222"/>
        <v>274.41000000000003</v>
      </c>
      <c r="AT74" s="222">
        <f t="shared" si="222"/>
        <v>276.94</v>
      </c>
      <c r="AU74" s="222">
        <f t="shared" si="222"/>
        <v>279.45999999999998</v>
      </c>
      <c r="AV74" s="222">
        <f t="shared" si="222"/>
        <v>282</v>
      </c>
      <c r="AW74" s="222">
        <f t="shared" si="222"/>
        <v>284.52999999999997</v>
      </c>
      <c r="AX74" s="222">
        <f t="shared" si="222"/>
        <v>287.06</v>
      </c>
      <c r="AY74" s="222">
        <f t="shared" si="222"/>
        <v>289.58</v>
      </c>
      <c r="AZ74" s="222">
        <f t="shared" si="222"/>
        <v>292.10000000000002</v>
      </c>
      <c r="BA74" s="222">
        <f t="shared" si="222"/>
        <v>294.64</v>
      </c>
      <c r="BB74" s="222">
        <f t="shared" si="222"/>
        <v>297.16000000000003</v>
      </c>
      <c r="BC74" s="222">
        <f t="shared" si="222"/>
        <v>299.7</v>
      </c>
      <c r="BD74" s="222">
        <f t="shared" si="222"/>
        <v>302.22000000000003</v>
      </c>
      <c r="BE74" s="222">
        <f t="shared" si="222"/>
        <v>304.74</v>
      </c>
      <c r="BF74" s="222">
        <f t="shared" si="222"/>
        <v>307.26</v>
      </c>
      <c r="BG74" s="222">
        <f t="shared" si="222"/>
        <v>309.77999999999997</v>
      </c>
      <c r="BH74" s="222">
        <f t="shared" si="222"/>
        <v>312.3</v>
      </c>
      <c r="BI74" s="222">
        <f t="shared" si="222"/>
        <v>314.82</v>
      </c>
      <c r="BJ74" s="222">
        <f t="shared" si="222"/>
        <v>317.35000000000002</v>
      </c>
      <c r="BK74" s="222">
        <f t="shared" si="222"/>
        <v>319.87</v>
      </c>
      <c r="BL74" s="222">
        <f t="shared" si="222"/>
        <v>322.39</v>
      </c>
      <c r="BM74" s="222">
        <f t="shared" si="222"/>
        <v>324.91000000000003</v>
      </c>
      <c r="BN74" s="222">
        <f t="shared" si="222"/>
        <v>327.43</v>
      </c>
      <c r="BO74" s="222">
        <f t="shared" si="222"/>
        <v>329.95</v>
      </c>
      <c r="BP74" s="222">
        <f t="shared" si="222"/>
        <v>332.47</v>
      </c>
      <c r="BQ74" s="222">
        <f t="shared" si="222"/>
        <v>335</v>
      </c>
      <c r="BR74" s="222">
        <f t="shared" ref="BR74:CA74" si="223">ROUND(BR34*0.96*1.03,2)</f>
        <v>337.52</v>
      </c>
      <c r="BS74" s="222">
        <f t="shared" si="223"/>
        <v>340.04</v>
      </c>
      <c r="BT74" s="222">
        <f t="shared" si="223"/>
        <v>342.56</v>
      </c>
      <c r="BU74" s="222">
        <f t="shared" si="223"/>
        <v>345.08</v>
      </c>
      <c r="BV74" s="222">
        <f t="shared" si="223"/>
        <v>347.6</v>
      </c>
      <c r="BW74" s="222">
        <f t="shared" si="223"/>
        <v>350.12</v>
      </c>
      <c r="BX74" s="222">
        <f t="shared" si="223"/>
        <v>352.65</v>
      </c>
      <c r="BY74" s="222">
        <f t="shared" si="223"/>
        <v>355.17</v>
      </c>
      <c r="BZ74" s="222">
        <f t="shared" si="223"/>
        <v>357.69</v>
      </c>
      <c r="CA74" s="222">
        <f t="shared" si="223"/>
        <v>360.21</v>
      </c>
      <c r="CB74" s="222"/>
      <c r="CC74" s="222"/>
      <c r="CD74" s="222"/>
      <c r="CE74" s="222"/>
    </row>
    <row r="75" spans="1:83">
      <c r="A75" s="114" t="s">
        <v>490</v>
      </c>
      <c r="B75" s="115" t="s">
        <v>250</v>
      </c>
      <c r="C75" s="116"/>
      <c r="D75" s="42">
        <f t="shared" si="132"/>
        <v>2.54</v>
      </c>
      <c r="E75" s="46" t="s">
        <v>332</v>
      </c>
      <c r="F75" s="222">
        <f t="shared" ref="F75:AK75" si="224">ROUND(F35*0.96*1.03,2)</f>
        <v>159.91999999999999</v>
      </c>
      <c r="G75" s="222">
        <f t="shared" si="224"/>
        <v>162.46</v>
      </c>
      <c r="H75" s="222">
        <f t="shared" si="224"/>
        <v>164.98</v>
      </c>
      <c r="I75" s="222">
        <f t="shared" si="224"/>
        <v>167.5</v>
      </c>
      <c r="J75" s="222">
        <f t="shared" si="224"/>
        <v>170.03</v>
      </c>
      <c r="K75" s="222">
        <f t="shared" si="224"/>
        <v>172.57</v>
      </c>
      <c r="L75" s="222">
        <f t="shared" si="224"/>
        <v>175.1</v>
      </c>
      <c r="M75" s="222">
        <f t="shared" si="224"/>
        <v>177.62</v>
      </c>
      <c r="N75" s="222">
        <f t="shared" si="224"/>
        <v>180.15</v>
      </c>
      <c r="O75" s="222">
        <f t="shared" si="224"/>
        <v>182.67</v>
      </c>
      <c r="P75" s="222">
        <f t="shared" si="224"/>
        <v>185.21</v>
      </c>
      <c r="Q75" s="222">
        <f t="shared" si="224"/>
        <v>187.73</v>
      </c>
      <c r="R75" s="222">
        <f t="shared" si="224"/>
        <v>190.26</v>
      </c>
      <c r="S75" s="222">
        <f t="shared" si="224"/>
        <v>192.79</v>
      </c>
      <c r="T75" s="222">
        <f t="shared" si="224"/>
        <v>195.32</v>
      </c>
      <c r="U75" s="222">
        <f t="shared" si="224"/>
        <v>197.85</v>
      </c>
      <c r="V75" s="222">
        <f t="shared" si="224"/>
        <v>200.37</v>
      </c>
      <c r="W75" s="222">
        <f t="shared" si="224"/>
        <v>202.9</v>
      </c>
      <c r="X75" s="222">
        <f t="shared" si="224"/>
        <v>205.42</v>
      </c>
      <c r="Y75" s="222">
        <f t="shared" si="224"/>
        <v>207.96</v>
      </c>
      <c r="Z75" s="222">
        <f t="shared" si="224"/>
        <v>210.49</v>
      </c>
      <c r="AA75" s="222">
        <f t="shared" si="224"/>
        <v>213.01</v>
      </c>
      <c r="AB75" s="222">
        <f t="shared" si="224"/>
        <v>215.54</v>
      </c>
      <c r="AC75" s="222">
        <f t="shared" si="224"/>
        <v>218.07</v>
      </c>
      <c r="AD75" s="222">
        <f t="shared" si="224"/>
        <v>220.61</v>
      </c>
      <c r="AE75" s="222">
        <f t="shared" si="224"/>
        <v>223.13</v>
      </c>
      <c r="AF75" s="222">
        <f t="shared" si="224"/>
        <v>225.66</v>
      </c>
      <c r="AG75" s="222">
        <f t="shared" si="224"/>
        <v>228.2</v>
      </c>
      <c r="AH75" s="222">
        <f t="shared" si="224"/>
        <v>230.73</v>
      </c>
      <c r="AI75" s="222">
        <f t="shared" si="224"/>
        <v>233.25</v>
      </c>
      <c r="AJ75" s="222">
        <f t="shared" si="224"/>
        <v>235.78</v>
      </c>
      <c r="AK75" s="222">
        <f t="shared" si="224"/>
        <v>238.31</v>
      </c>
      <c r="AL75" s="222">
        <f t="shared" ref="AL75:BQ75" si="225">ROUND(AL35*0.96*1.03,2)</f>
        <v>240.83</v>
      </c>
      <c r="AM75" s="222">
        <f t="shared" si="225"/>
        <v>243.36</v>
      </c>
      <c r="AN75" s="222">
        <f t="shared" si="225"/>
        <v>245.88</v>
      </c>
      <c r="AO75" s="222">
        <f t="shared" si="225"/>
        <v>248.42</v>
      </c>
      <c r="AP75" s="222">
        <f t="shared" si="225"/>
        <v>250.95</v>
      </c>
      <c r="AQ75" s="222">
        <f t="shared" si="225"/>
        <v>253.48</v>
      </c>
      <c r="AR75" s="222">
        <f t="shared" si="225"/>
        <v>256</v>
      </c>
      <c r="AS75" s="222">
        <f t="shared" si="225"/>
        <v>258.52999999999997</v>
      </c>
      <c r="AT75" s="222">
        <f t="shared" si="225"/>
        <v>261.06</v>
      </c>
      <c r="AU75" s="222">
        <f t="shared" si="225"/>
        <v>263.58</v>
      </c>
      <c r="AV75" s="222">
        <f t="shared" si="225"/>
        <v>266.12</v>
      </c>
      <c r="AW75" s="222">
        <f t="shared" si="225"/>
        <v>268.64</v>
      </c>
      <c r="AX75" s="222">
        <f t="shared" si="225"/>
        <v>271.18</v>
      </c>
      <c r="AY75" s="222">
        <f t="shared" si="225"/>
        <v>273.7</v>
      </c>
      <c r="AZ75" s="222">
        <f t="shared" si="225"/>
        <v>276.23</v>
      </c>
      <c r="BA75" s="222">
        <f t="shared" si="225"/>
        <v>278.75</v>
      </c>
      <c r="BB75" s="222">
        <f t="shared" si="225"/>
        <v>281.27999999999997</v>
      </c>
      <c r="BC75" s="222">
        <f t="shared" si="225"/>
        <v>283.82</v>
      </c>
      <c r="BD75" s="222">
        <f t="shared" si="225"/>
        <v>286.33999999999997</v>
      </c>
      <c r="BE75" s="222">
        <f t="shared" si="225"/>
        <v>288.86</v>
      </c>
      <c r="BF75" s="222">
        <f t="shared" si="225"/>
        <v>291.38</v>
      </c>
      <c r="BG75" s="222">
        <f t="shared" si="225"/>
        <v>293.89999999999998</v>
      </c>
      <c r="BH75" s="222">
        <f t="shared" si="225"/>
        <v>296.42</v>
      </c>
      <c r="BI75" s="222">
        <f t="shared" si="225"/>
        <v>298.94</v>
      </c>
      <c r="BJ75" s="222">
        <f t="shared" si="225"/>
        <v>301.47000000000003</v>
      </c>
      <c r="BK75" s="222">
        <f t="shared" si="225"/>
        <v>303.99</v>
      </c>
      <c r="BL75" s="222">
        <f t="shared" si="225"/>
        <v>306.51</v>
      </c>
      <c r="BM75" s="222">
        <f t="shared" si="225"/>
        <v>309.02999999999997</v>
      </c>
      <c r="BN75" s="222">
        <f t="shared" si="225"/>
        <v>311.55</v>
      </c>
      <c r="BO75" s="222">
        <f t="shared" si="225"/>
        <v>314.07</v>
      </c>
      <c r="BP75" s="222">
        <f t="shared" si="225"/>
        <v>316.58999999999997</v>
      </c>
      <c r="BQ75" s="222">
        <f t="shared" si="225"/>
        <v>319.12</v>
      </c>
      <c r="BR75" s="222">
        <f t="shared" ref="BR75:CA75" si="226">ROUND(BR35*0.96*1.03,2)</f>
        <v>321.64</v>
      </c>
      <c r="BS75" s="222">
        <f t="shared" si="226"/>
        <v>324.16000000000003</v>
      </c>
      <c r="BT75" s="222">
        <f t="shared" si="226"/>
        <v>326.68</v>
      </c>
      <c r="BU75" s="222">
        <f t="shared" si="226"/>
        <v>329.2</v>
      </c>
      <c r="BV75" s="222">
        <f t="shared" si="226"/>
        <v>331.72</v>
      </c>
      <c r="BW75" s="222">
        <f t="shared" si="226"/>
        <v>334.24</v>
      </c>
      <c r="BX75" s="222">
        <f t="shared" si="226"/>
        <v>336.77</v>
      </c>
      <c r="BY75" s="222">
        <f t="shared" si="226"/>
        <v>339.29</v>
      </c>
      <c r="BZ75" s="222">
        <f t="shared" si="226"/>
        <v>341.81</v>
      </c>
      <c r="CA75" s="222">
        <f t="shared" si="226"/>
        <v>344.33</v>
      </c>
      <c r="CB75" s="222"/>
      <c r="CC75" s="222"/>
      <c r="CD75" s="222"/>
      <c r="CE75" s="222"/>
    </row>
    <row r="76" spans="1:83">
      <c r="A76" s="114" t="s">
        <v>491</v>
      </c>
      <c r="B76" s="115" t="s">
        <v>150</v>
      </c>
      <c r="C76" s="116"/>
      <c r="D76" s="42">
        <f t="shared" si="132"/>
        <v>2.81</v>
      </c>
      <c r="E76" s="46" t="s">
        <v>332</v>
      </c>
      <c r="F76" s="715">
        <f t="shared" ref="F76:AK76" si="227">ROUND(F36*0.96*1.03,2)</f>
        <v>269.69</v>
      </c>
      <c r="G76" s="715">
        <f t="shared" si="227"/>
        <v>272.5</v>
      </c>
      <c r="H76" s="715">
        <f t="shared" si="227"/>
        <v>275.3</v>
      </c>
      <c r="I76" s="715">
        <f t="shared" si="227"/>
        <v>278.11</v>
      </c>
      <c r="J76" s="715">
        <f t="shared" si="227"/>
        <v>280.92</v>
      </c>
      <c r="K76" s="715">
        <f t="shared" si="227"/>
        <v>283.74</v>
      </c>
      <c r="L76" s="715">
        <f t="shared" si="227"/>
        <v>286.54000000000002</v>
      </c>
      <c r="M76" s="715">
        <f t="shared" si="227"/>
        <v>289.33999999999997</v>
      </c>
      <c r="N76" s="715">
        <f t="shared" si="227"/>
        <v>292.17</v>
      </c>
      <c r="O76" s="715">
        <f t="shared" si="227"/>
        <v>294.98</v>
      </c>
      <c r="P76" s="715">
        <f t="shared" si="227"/>
        <v>297.79000000000002</v>
      </c>
      <c r="Q76" s="715">
        <f t="shared" si="227"/>
        <v>300.60000000000002</v>
      </c>
      <c r="R76" s="715">
        <f t="shared" si="227"/>
        <v>303.39999999999998</v>
      </c>
      <c r="S76" s="715">
        <f t="shared" si="227"/>
        <v>306.20999999999998</v>
      </c>
      <c r="T76" s="715">
        <f t="shared" si="227"/>
        <v>309.02</v>
      </c>
      <c r="U76" s="715">
        <f t="shared" si="227"/>
        <v>311.83999999999997</v>
      </c>
      <c r="V76" s="715">
        <f t="shared" si="227"/>
        <v>314.64999999999998</v>
      </c>
      <c r="W76" s="715">
        <f t="shared" si="227"/>
        <v>317.44</v>
      </c>
      <c r="X76" s="715">
        <f t="shared" si="227"/>
        <v>320.25</v>
      </c>
      <c r="Y76" s="715">
        <f t="shared" si="227"/>
        <v>323.07</v>
      </c>
      <c r="Z76" s="715">
        <f t="shared" si="227"/>
        <v>325.88</v>
      </c>
      <c r="AA76" s="715">
        <f t="shared" si="227"/>
        <v>328.69</v>
      </c>
      <c r="AB76" s="715">
        <f t="shared" si="227"/>
        <v>331.49</v>
      </c>
      <c r="AC76" s="715">
        <f t="shared" si="227"/>
        <v>334.3</v>
      </c>
      <c r="AD76" s="715">
        <f t="shared" si="227"/>
        <v>337.11</v>
      </c>
      <c r="AE76" s="715">
        <f t="shared" si="227"/>
        <v>339.92</v>
      </c>
      <c r="AF76" s="715">
        <f t="shared" si="227"/>
        <v>342.74</v>
      </c>
      <c r="AG76" s="715">
        <f t="shared" si="227"/>
        <v>345.54</v>
      </c>
      <c r="AH76" s="715">
        <f t="shared" si="227"/>
        <v>348.34</v>
      </c>
      <c r="AI76" s="715">
        <f t="shared" si="227"/>
        <v>351.15</v>
      </c>
      <c r="AJ76" s="715">
        <f t="shared" si="227"/>
        <v>353.97</v>
      </c>
      <c r="AK76" s="715">
        <f t="shared" si="227"/>
        <v>356.78</v>
      </c>
      <c r="AL76" s="715">
        <f t="shared" ref="AL76:BQ76" si="228">ROUND(AL36*0.96*1.03,2)</f>
        <v>359.58</v>
      </c>
      <c r="AM76" s="715">
        <f t="shared" si="228"/>
        <v>362.39</v>
      </c>
      <c r="AN76" s="715">
        <f t="shared" si="228"/>
        <v>365.2</v>
      </c>
      <c r="AO76" s="222">
        <f t="shared" si="228"/>
        <v>368.01</v>
      </c>
      <c r="AP76" s="222">
        <f t="shared" si="228"/>
        <v>370.83</v>
      </c>
      <c r="AQ76" s="222">
        <f t="shared" si="228"/>
        <v>373.65</v>
      </c>
      <c r="AR76" s="222">
        <f t="shared" si="228"/>
        <v>376.46</v>
      </c>
      <c r="AS76" s="222">
        <f t="shared" si="228"/>
        <v>379.26</v>
      </c>
      <c r="AT76" s="222">
        <f t="shared" si="228"/>
        <v>382.07</v>
      </c>
      <c r="AU76" s="222">
        <f t="shared" si="228"/>
        <v>384.89</v>
      </c>
      <c r="AV76" s="222">
        <f t="shared" si="228"/>
        <v>387.7</v>
      </c>
      <c r="AW76" s="222">
        <f t="shared" si="228"/>
        <v>390.51</v>
      </c>
      <c r="AX76" s="222">
        <f t="shared" si="228"/>
        <v>393.32</v>
      </c>
      <c r="AY76" s="222">
        <f t="shared" si="228"/>
        <v>396.13</v>
      </c>
      <c r="AZ76" s="222">
        <f t="shared" si="228"/>
        <v>398.94</v>
      </c>
      <c r="BA76" s="222">
        <f t="shared" si="228"/>
        <v>401.75</v>
      </c>
      <c r="BB76" s="222">
        <f t="shared" si="228"/>
        <v>404.57</v>
      </c>
      <c r="BC76" s="222">
        <f t="shared" si="228"/>
        <v>407.38</v>
      </c>
      <c r="BD76" s="222">
        <f t="shared" si="228"/>
        <v>410.18</v>
      </c>
      <c r="BE76" s="222">
        <f t="shared" si="228"/>
        <v>412.99</v>
      </c>
      <c r="BF76" s="222">
        <f t="shared" si="228"/>
        <v>415.8</v>
      </c>
      <c r="BG76" s="222">
        <f t="shared" si="228"/>
        <v>418.61</v>
      </c>
      <c r="BH76" s="222">
        <f t="shared" si="228"/>
        <v>421.42</v>
      </c>
      <c r="BI76" s="222">
        <f t="shared" si="228"/>
        <v>424.22</v>
      </c>
      <c r="BJ76" s="222">
        <f t="shared" si="228"/>
        <v>427.03</v>
      </c>
      <c r="BK76" s="222">
        <f t="shared" si="228"/>
        <v>429.84</v>
      </c>
      <c r="BL76" s="222">
        <f t="shared" si="228"/>
        <v>432.65</v>
      </c>
      <c r="BM76" s="222">
        <f t="shared" si="228"/>
        <v>435.46</v>
      </c>
      <c r="BN76" s="222">
        <f t="shared" si="228"/>
        <v>438.27</v>
      </c>
      <c r="BO76" s="222">
        <f t="shared" si="228"/>
        <v>441.07</v>
      </c>
      <c r="BP76" s="222">
        <f t="shared" si="228"/>
        <v>443.88</v>
      </c>
      <c r="BQ76" s="222">
        <f t="shared" si="228"/>
        <v>446.69</v>
      </c>
      <c r="BR76" s="222">
        <f t="shared" ref="BR76:CA76" si="229">ROUND(BR36*0.96*1.03,2)</f>
        <v>449.5</v>
      </c>
      <c r="BS76" s="222">
        <f t="shared" si="229"/>
        <v>452.31</v>
      </c>
      <c r="BT76" s="222">
        <f t="shared" si="229"/>
        <v>455.11</v>
      </c>
      <c r="BU76" s="222">
        <f t="shared" si="229"/>
        <v>457.92</v>
      </c>
      <c r="BV76" s="222">
        <f t="shared" si="229"/>
        <v>460.73</v>
      </c>
      <c r="BW76" s="222">
        <f t="shared" si="229"/>
        <v>463.54</v>
      </c>
      <c r="BX76" s="222">
        <f t="shared" si="229"/>
        <v>466.35</v>
      </c>
      <c r="BY76" s="222">
        <f t="shared" si="229"/>
        <v>469.16</v>
      </c>
      <c r="BZ76" s="222">
        <f t="shared" si="229"/>
        <v>471.96</v>
      </c>
      <c r="CA76" s="222">
        <f t="shared" si="229"/>
        <v>474.77</v>
      </c>
      <c r="CB76" s="222"/>
      <c r="CC76" s="222"/>
      <c r="CD76" s="222"/>
      <c r="CE76" s="222"/>
    </row>
    <row r="77" spans="1:83">
      <c r="A77" s="114" t="s">
        <v>498</v>
      </c>
      <c r="B77" s="115" t="s">
        <v>231</v>
      </c>
      <c r="C77" s="116"/>
      <c r="D77" s="42">
        <v>0.6</v>
      </c>
      <c r="E77" s="46" t="s">
        <v>345</v>
      </c>
      <c r="F77" s="222">
        <f t="shared" ref="F77:U80" si="230">ROUND(G77-$D77,2)</f>
        <v>169.35</v>
      </c>
      <c r="G77" s="222">
        <f t="shared" si="230"/>
        <v>169.95</v>
      </c>
      <c r="H77" s="222">
        <f t="shared" si="230"/>
        <v>170.55</v>
      </c>
      <c r="I77" s="222">
        <f t="shared" si="230"/>
        <v>171.15</v>
      </c>
      <c r="J77" s="222">
        <f t="shared" si="230"/>
        <v>171.75</v>
      </c>
      <c r="K77" s="222">
        <f t="shared" si="230"/>
        <v>172.35</v>
      </c>
      <c r="L77" s="222">
        <f t="shared" si="230"/>
        <v>172.95</v>
      </c>
      <c r="M77" s="222">
        <f t="shared" si="230"/>
        <v>173.55</v>
      </c>
      <c r="N77" s="222">
        <f t="shared" si="230"/>
        <v>174.15</v>
      </c>
      <c r="O77" s="222">
        <f t="shared" si="230"/>
        <v>174.75</v>
      </c>
      <c r="P77" s="222">
        <f t="shared" si="230"/>
        <v>175.35</v>
      </c>
      <c r="Q77" s="222">
        <f t="shared" si="230"/>
        <v>175.95</v>
      </c>
      <c r="R77" s="222">
        <f t="shared" si="230"/>
        <v>176.55</v>
      </c>
      <c r="S77" s="222">
        <f t="shared" si="230"/>
        <v>177.15</v>
      </c>
      <c r="T77" s="222">
        <f t="shared" si="230"/>
        <v>177.75</v>
      </c>
      <c r="U77" s="222">
        <f t="shared" si="230"/>
        <v>178.35</v>
      </c>
      <c r="V77" s="222">
        <f>ROUND(W77-$D77,2)</f>
        <v>178.95</v>
      </c>
      <c r="W77" s="222">
        <f t="shared" ref="V77:AL80" si="231">ROUND(X77-$D77,2)</f>
        <v>179.55</v>
      </c>
      <c r="X77" s="222">
        <f t="shared" si="231"/>
        <v>180.15</v>
      </c>
      <c r="Y77" s="222">
        <f t="shared" si="231"/>
        <v>180.75</v>
      </c>
      <c r="Z77" s="222">
        <f t="shared" si="231"/>
        <v>181.35</v>
      </c>
      <c r="AA77" s="222">
        <f t="shared" si="231"/>
        <v>181.95</v>
      </c>
      <c r="AB77" s="222">
        <f t="shared" si="231"/>
        <v>182.55</v>
      </c>
      <c r="AC77" s="222">
        <f t="shared" si="231"/>
        <v>183.15</v>
      </c>
      <c r="AD77" s="222">
        <f t="shared" si="231"/>
        <v>183.75</v>
      </c>
      <c r="AE77" s="222">
        <f t="shared" si="231"/>
        <v>184.35</v>
      </c>
      <c r="AF77" s="222">
        <f t="shared" si="231"/>
        <v>184.95</v>
      </c>
      <c r="AG77" s="222">
        <f t="shared" si="231"/>
        <v>185.55</v>
      </c>
      <c r="AH77" s="222">
        <f t="shared" si="231"/>
        <v>186.15</v>
      </c>
      <c r="AI77" s="222">
        <f t="shared" si="231"/>
        <v>186.75</v>
      </c>
      <c r="AJ77" s="222">
        <f t="shared" si="231"/>
        <v>187.35</v>
      </c>
      <c r="AK77" s="222">
        <f t="shared" si="231"/>
        <v>187.95</v>
      </c>
      <c r="AL77" s="222">
        <f t="shared" si="231"/>
        <v>188.55</v>
      </c>
      <c r="AM77" s="222">
        <f>ROUND(57.69/0.305,2)</f>
        <v>189.15</v>
      </c>
      <c r="AN77" s="222">
        <f t="shared" ref="AN77:BD80" si="232">ROUND(AM77+$D77,2)</f>
        <v>189.75</v>
      </c>
      <c r="AO77" s="222">
        <f t="shared" si="232"/>
        <v>190.35</v>
      </c>
      <c r="AP77" s="222">
        <f t="shared" si="232"/>
        <v>190.95</v>
      </c>
      <c r="AQ77" s="222">
        <f t="shared" si="232"/>
        <v>191.55</v>
      </c>
      <c r="AR77" s="222">
        <f t="shared" si="232"/>
        <v>192.15</v>
      </c>
      <c r="AS77" s="222">
        <f t="shared" si="232"/>
        <v>192.75</v>
      </c>
      <c r="AT77" s="222">
        <f t="shared" si="232"/>
        <v>193.35</v>
      </c>
      <c r="AU77" s="222">
        <f>ROUND(AT77+$D77,2)</f>
        <v>193.95</v>
      </c>
      <c r="AV77" s="222">
        <f t="shared" si="232"/>
        <v>194.55</v>
      </c>
      <c r="AW77" s="222">
        <f t="shared" si="232"/>
        <v>195.15</v>
      </c>
      <c r="AX77" s="222">
        <f t="shared" si="232"/>
        <v>195.75</v>
      </c>
      <c r="AY77" s="222">
        <f t="shared" si="232"/>
        <v>196.35</v>
      </c>
      <c r="AZ77" s="222">
        <f t="shared" si="232"/>
        <v>196.95</v>
      </c>
      <c r="BA77" s="222">
        <f t="shared" si="232"/>
        <v>197.55</v>
      </c>
      <c r="BB77" s="222">
        <f t="shared" si="232"/>
        <v>198.15</v>
      </c>
      <c r="BC77" s="222">
        <f t="shared" si="232"/>
        <v>198.75</v>
      </c>
      <c r="BD77" s="222">
        <f t="shared" si="232"/>
        <v>199.35</v>
      </c>
      <c r="BE77" s="222">
        <f t="shared" ref="BE77:BE80" si="233">ROUND(BD77+$D77,2)</f>
        <v>199.95</v>
      </c>
      <c r="BF77" s="222">
        <f t="shared" ref="BF77:BF80" si="234">ROUND(BE77+$D77,2)</f>
        <v>200.55</v>
      </c>
      <c r="BG77" s="222">
        <f t="shared" ref="BG77:BG80" si="235">ROUND(BF77+$D77,2)</f>
        <v>201.15</v>
      </c>
      <c r="BH77" s="222">
        <f t="shared" ref="BH77:BH80" si="236">ROUND(BG77+$D77,2)</f>
        <v>201.75</v>
      </c>
      <c r="BI77" s="222">
        <f t="shared" ref="BI77:BI80" si="237">ROUND(BH77+$D77,2)</f>
        <v>202.35</v>
      </c>
      <c r="BJ77" s="222">
        <f t="shared" ref="BJ77:BJ80" si="238">ROUND(BI77+$D77,2)</f>
        <v>202.95</v>
      </c>
      <c r="BK77" s="222">
        <f t="shared" ref="BK77:BK80" si="239">ROUND(BJ77+$D77,2)</f>
        <v>203.55</v>
      </c>
      <c r="BL77" s="222">
        <f t="shared" ref="BL77:BL80" si="240">ROUND(BK77+$D77,2)</f>
        <v>204.15</v>
      </c>
      <c r="BM77" s="222">
        <f t="shared" ref="BM77:BM80" si="241">ROUND(BL77+$D77,2)</f>
        <v>204.75</v>
      </c>
      <c r="BN77" s="222">
        <f t="shared" ref="BN77:BN80" si="242">ROUND(BM77+$D77,2)</f>
        <v>205.35</v>
      </c>
      <c r="BO77" s="222">
        <f t="shared" ref="BO77:BO80" si="243">ROUND(BN77+$D77,2)</f>
        <v>205.95</v>
      </c>
      <c r="BP77" s="222">
        <f t="shared" ref="BP77:BP80" si="244">ROUND(BO77+$D77,2)</f>
        <v>206.55</v>
      </c>
      <c r="BQ77" s="222">
        <f t="shared" ref="BQ77:BQ80" si="245">ROUND(BP77+$D77,2)</f>
        <v>207.15</v>
      </c>
      <c r="BR77" s="222">
        <f t="shared" ref="BR77:BR80" si="246">ROUND(BQ77+$D77,2)</f>
        <v>207.75</v>
      </c>
      <c r="BS77" s="222">
        <f t="shared" ref="BS77:BS80" si="247">ROUND(BR77+$D77,2)</f>
        <v>208.35</v>
      </c>
      <c r="BT77" s="222">
        <f t="shared" ref="BT77:BT80" si="248">ROUND(BS77+$D77,2)</f>
        <v>208.95</v>
      </c>
      <c r="BU77" s="222">
        <f t="shared" ref="BU77:BU80" si="249">ROUND(BT77+$D77,2)</f>
        <v>209.55</v>
      </c>
      <c r="BV77" s="222">
        <f t="shared" ref="BV77:BV80" si="250">ROUND(BU77+$D77,2)</f>
        <v>210.15</v>
      </c>
      <c r="BW77" s="222">
        <f t="shared" ref="BW77:BW80" si="251">ROUND(BV77+$D77,2)</f>
        <v>210.75</v>
      </c>
      <c r="BX77" s="222">
        <f t="shared" ref="BX77:BX80" si="252">ROUND(BW77+$D77,2)</f>
        <v>211.35</v>
      </c>
      <c r="BY77" s="222">
        <f t="shared" ref="BY77:BY80" si="253">ROUND(BX77+$D77,2)</f>
        <v>211.95</v>
      </c>
      <c r="BZ77" s="222">
        <f t="shared" ref="BZ77:BZ80" si="254">ROUND(BY77+$D77,2)</f>
        <v>212.55</v>
      </c>
      <c r="CA77" s="222">
        <f t="shared" ref="CA77:CA80" si="255">ROUND(BZ77+$D77,2)</f>
        <v>213.15</v>
      </c>
      <c r="CB77" s="222"/>
      <c r="CC77" s="222"/>
      <c r="CD77" s="222"/>
      <c r="CE77" s="222"/>
    </row>
    <row r="78" spans="1:83">
      <c r="A78" s="114" t="s">
        <v>499</v>
      </c>
      <c r="B78" s="115" t="s">
        <v>231</v>
      </c>
      <c r="C78" s="116"/>
      <c r="D78" s="42">
        <v>0.98</v>
      </c>
      <c r="E78" s="46" t="s">
        <v>345</v>
      </c>
      <c r="F78" s="222">
        <f t="shared" si="230"/>
        <v>155.66</v>
      </c>
      <c r="G78" s="222">
        <f t="shared" si="230"/>
        <v>156.63999999999999</v>
      </c>
      <c r="H78" s="222">
        <f t="shared" si="230"/>
        <v>157.62</v>
      </c>
      <c r="I78" s="222">
        <f t="shared" si="230"/>
        <v>158.6</v>
      </c>
      <c r="J78" s="222">
        <f t="shared" si="230"/>
        <v>159.58000000000001</v>
      </c>
      <c r="K78" s="222">
        <f t="shared" si="230"/>
        <v>160.56</v>
      </c>
      <c r="L78" s="222">
        <f t="shared" si="230"/>
        <v>161.54</v>
      </c>
      <c r="M78" s="222">
        <f t="shared" si="230"/>
        <v>162.52000000000001</v>
      </c>
      <c r="N78" s="222">
        <f t="shared" si="230"/>
        <v>163.5</v>
      </c>
      <c r="O78" s="222">
        <f t="shared" si="230"/>
        <v>164.48</v>
      </c>
      <c r="P78" s="222">
        <f t="shared" si="230"/>
        <v>165.46</v>
      </c>
      <c r="Q78" s="222">
        <f t="shared" si="230"/>
        <v>166.44</v>
      </c>
      <c r="R78" s="222">
        <f t="shared" si="230"/>
        <v>167.42</v>
      </c>
      <c r="S78" s="222">
        <f t="shared" si="230"/>
        <v>168.4</v>
      </c>
      <c r="T78" s="222">
        <f t="shared" si="230"/>
        <v>169.38</v>
      </c>
      <c r="U78" s="222">
        <f t="shared" si="230"/>
        <v>170.36</v>
      </c>
      <c r="V78" s="222">
        <f t="shared" si="231"/>
        <v>171.34</v>
      </c>
      <c r="W78" s="222">
        <f t="shared" si="231"/>
        <v>172.32</v>
      </c>
      <c r="X78" s="222">
        <f t="shared" si="231"/>
        <v>173.3</v>
      </c>
      <c r="Y78" s="222">
        <f t="shared" si="231"/>
        <v>174.28</v>
      </c>
      <c r="Z78" s="222">
        <f t="shared" si="231"/>
        <v>175.26</v>
      </c>
      <c r="AA78" s="222">
        <f t="shared" si="231"/>
        <v>176.24</v>
      </c>
      <c r="AB78" s="222">
        <f t="shared" si="231"/>
        <v>177.22</v>
      </c>
      <c r="AC78" s="222">
        <f t="shared" si="231"/>
        <v>178.2</v>
      </c>
      <c r="AD78" s="222">
        <f t="shared" si="231"/>
        <v>179.18</v>
      </c>
      <c r="AE78" s="222">
        <f t="shared" si="231"/>
        <v>180.16</v>
      </c>
      <c r="AF78" s="222">
        <f t="shared" si="231"/>
        <v>181.14</v>
      </c>
      <c r="AG78" s="222">
        <f t="shared" si="231"/>
        <v>182.12</v>
      </c>
      <c r="AH78" s="222">
        <f t="shared" si="231"/>
        <v>183.1</v>
      </c>
      <c r="AI78" s="222">
        <f t="shared" si="231"/>
        <v>184.08</v>
      </c>
      <c r="AJ78" s="222">
        <f t="shared" si="231"/>
        <v>185.06</v>
      </c>
      <c r="AK78" s="222">
        <f t="shared" si="231"/>
        <v>186.04</v>
      </c>
      <c r="AL78" s="222">
        <f t="shared" si="231"/>
        <v>187.02</v>
      </c>
      <c r="AM78" s="222">
        <f>ROUND(93.85*2,)</f>
        <v>188</v>
      </c>
      <c r="AN78" s="222">
        <f t="shared" si="232"/>
        <v>188.98</v>
      </c>
      <c r="AO78" s="222">
        <f t="shared" si="232"/>
        <v>189.96</v>
      </c>
      <c r="AP78" s="222">
        <f t="shared" si="232"/>
        <v>190.94</v>
      </c>
      <c r="AQ78" s="222">
        <f t="shared" si="232"/>
        <v>191.92</v>
      </c>
      <c r="AR78" s="222">
        <f t="shared" si="232"/>
        <v>192.9</v>
      </c>
      <c r="AS78" s="222">
        <f t="shared" si="232"/>
        <v>193.88</v>
      </c>
      <c r="AT78" s="222">
        <f t="shared" si="232"/>
        <v>194.86</v>
      </c>
      <c r="AU78" s="222">
        <f t="shared" si="232"/>
        <v>195.84</v>
      </c>
      <c r="AV78" s="222">
        <f t="shared" si="232"/>
        <v>196.82</v>
      </c>
      <c r="AW78" s="222">
        <f t="shared" si="232"/>
        <v>197.8</v>
      </c>
      <c r="AX78" s="222">
        <f t="shared" si="232"/>
        <v>198.78</v>
      </c>
      <c r="AY78" s="222">
        <f t="shared" si="232"/>
        <v>199.76</v>
      </c>
      <c r="AZ78" s="222">
        <f t="shared" si="232"/>
        <v>200.74</v>
      </c>
      <c r="BA78" s="222">
        <f t="shared" si="232"/>
        <v>201.72</v>
      </c>
      <c r="BB78" s="222">
        <f t="shared" si="232"/>
        <v>202.7</v>
      </c>
      <c r="BC78" s="222">
        <f t="shared" si="232"/>
        <v>203.68</v>
      </c>
      <c r="BD78" s="222">
        <f t="shared" si="232"/>
        <v>204.66</v>
      </c>
      <c r="BE78" s="222">
        <f t="shared" si="233"/>
        <v>205.64</v>
      </c>
      <c r="BF78" s="222">
        <f t="shared" si="234"/>
        <v>206.62</v>
      </c>
      <c r="BG78" s="222">
        <f t="shared" si="235"/>
        <v>207.6</v>
      </c>
      <c r="BH78" s="222">
        <f t="shared" si="236"/>
        <v>208.58</v>
      </c>
      <c r="BI78" s="222">
        <f t="shared" si="237"/>
        <v>209.56</v>
      </c>
      <c r="BJ78" s="222">
        <f t="shared" si="238"/>
        <v>210.54</v>
      </c>
      <c r="BK78" s="222">
        <f t="shared" si="239"/>
        <v>211.52</v>
      </c>
      <c r="BL78" s="222">
        <f t="shared" si="240"/>
        <v>212.5</v>
      </c>
      <c r="BM78" s="222">
        <f t="shared" si="241"/>
        <v>213.48</v>
      </c>
      <c r="BN78" s="222">
        <f t="shared" si="242"/>
        <v>214.46</v>
      </c>
      <c r="BO78" s="222">
        <f t="shared" si="243"/>
        <v>215.44</v>
      </c>
      <c r="BP78" s="222">
        <f t="shared" si="244"/>
        <v>216.42</v>
      </c>
      <c r="BQ78" s="222">
        <f t="shared" si="245"/>
        <v>217.4</v>
      </c>
      <c r="BR78" s="222">
        <f t="shared" si="246"/>
        <v>218.38</v>
      </c>
      <c r="BS78" s="222">
        <f t="shared" si="247"/>
        <v>219.36</v>
      </c>
      <c r="BT78" s="222">
        <f t="shared" si="248"/>
        <v>220.34</v>
      </c>
      <c r="BU78" s="222">
        <f t="shared" si="249"/>
        <v>221.32</v>
      </c>
      <c r="BV78" s="222">
        <f t="shared" si="250"/>
        <v>222.3</v>
      </c>
      <c r="BW78" s="222">
        <f t="shared" si="251"/>
        <v>223.28</v>
      </c>
      <c r="BX78" s="222">
        <f t="shared" si="252"/>
        <v>224.26</v>
      </c>
      <c r="BY78" s="222">
        <f t="shared" si="253"/>
        <v>225.24</v>
      </c>
      <c r="BZ78" s="222">
        <f t="shared" si="254"/>
        <v>226.22</v>
      </c>
      <c r="CA78" s="222">
        <f t="shared" si="255"/>
        <v>227.2</v>
      </c>
      <c r="CB78" s="222"/>
      <c r="CC78" s="222"/>
      <c r="CD78" s="222"/>
      <c r="CE78" s="222"/>
    </row>
    <row r="79" spans="1:83">
      <c r="A79" s="14" t="s">
        <v>500</v>
      </c>
      <c r="B79" s="115" t="s">
        <v>231</v>
      </c>
      <c r="C79" s="116"/>
      <c r="D79" s="42">
        <v>0.65</v>
      </c>
      <c r="E79" s="46" t="s">
        <v>345</v>
      </c>
      <c r="F79" s="222">
        <f t="shared" si="230"/>
        <v>197.37</v>
      </c>
      <c r="G79" s="222">
        <f t="shared" si="230"/>
        <v>198.02</v>
      </c>
      <c r="H79" s="222">
        <f t="shared" si="230"/>
        <v>198.67</v>
      </c>
      <c r="I79" s="222">
        <f t="shared" si="230"/>
        <v>199.32</v>
      </c>
      <c r="J79" s="222">
        <f t="shared" si="230"/>
        <v>199.97</v>
      </c>
      <c r="K79" s="222">
        <f t="shared" si="230"/>
        <v>200.62</v>
      </c>
      <c r="L79" s="222">
        <f t="shared" si="230"/>
        <v>201.27</v>
      </c>
      <c r="M79" s="222">
        <f t="shared" si="230"/>
        <v>201.92</v>
      </c>
      <c r="N79" s="222">
        <f t="shared" si="230"/>
        <v>202.57</v>
      </c>
      <c r="O79" s="222">
        <f t="shared" si="230"/>
        <v>203.22</v>
      </c>
      <c r="P79" s="222">
        <f t="shared" si="230"/>
        <v>203.87</v>
      </c>
      <c r="Q79" s="222">
        <f t="shared" si="230"/>
        <v>204.52</v>
      </c>
      <c r="R79" s="222">
        <f t="shared" si="230"/>
        <v>205.17</v>
      </c>
      <c r="S79" s="222">
        <f t="shared" si="230"/>
        <v>205.82</v>
      </c>
      <c r="T79" s="222">
        <f t="shared" si="230"/>
        <v>206.47</v>
      </c>
      <c r="U79" s="222">
        <f t="shared" si="230"/>
        <v>207.12</v>
      </c>
      <c r="V79" s="222">
        <f t="shared" si="231"/>
        <v>207.77</v>
      </c>
      <c r="W79" s="222">
        <f t="shared" si="231"/>
        <v>208.42</v>
      </c>
      <c r="X79" s="222">
        <f t="shared" si="231"/>
        <v>209.07</v>
      </c>
      <c r="Y79" s="222">
        <f t="shared" si="231"/>
        <v>209.72</v>
      </c>
      <c r="Z79" s="222">
        <f t="shared" si="231"/>
        <v>210.37</v>
      </c>
      <c r="AA79" s="222">
        <f t="shared" si="231"/>
        <v>211.02</v>
      </c>
      <c r="AB79" s="222">
        <f t="shared" si="231"/>
        <v>211.67</v>
      </c>
      <c r="AC79" s="222">
        <f t="shared" si="231"/>
        <v>212.32</v>
      </c>
      <c r="AD79" s="222">
        <f t="shared" si="231"/>
        <v>212.97</v>
      </c>
      <c r="AE79" s="222">
        <f t="shared" si="231"/>
        <v>213.62</v>
      </c>
      <c r="AF79" s="222">
        <f t="shared" si="231"/>
        <v>214.27</v>
      </c>
      <c r="AG79" s="222">
        <f t="shared" si="231"/>
        <v>214.92</v>
      </c>
      <c r="AH79" s="222">
        <f t="shared" si="231"/>
        <v>215.57</v>
      </c>
      <c r="AI79" s="222">
        <f t="shared" si="231"/>
        <v>216.22</v>
      </c>
      <c r="AJ79" s="222">
        <f t="shared" si="231"/>
        <v>216.87</v>
      </c>
      <c r="AK79" s="222">
        <f t="shared" si="231"/>
        <v>217.52</v>
      </c>
      <c r="AL79" s="222">
        <f t="shared" si="231"/>
        <v>218.17</v>
      </c>
      <c r="AM79" s="222">
        <f>ROUND(66.74/0.305,2)</f>
        <v>218.82</v>
      </c>
      <c r="AN79" s="222">
        <f t="shared" si="232"/>
        <v>219.47</v>
      </c>
      <c r="AO79" s="222">
        <f t="shared" si="232"/>
        <v>220.12</v>
      </c>
      <c r="AP79" s="222">
        <f t="shared" si="232"/>
        <v>220.77</v>
      </c>
      <c r="AQ79" s="222">
        <f t="shared" si="232"/>
        <v>221.42</v>
      </c>
      <c r="AR79" s="222">
        <f t="shared" si="232"/>
        <v>222.07</v>
      </c>
      <c r="AS79" s="222">
        <f t="shared" si="232"/>
        <v>222.72</v>
      </c>
      <c r="AT79" s="222">
        <f t="shared" si="232"/>
        <v>223.37</v>
      </c>
      <c r="AU79" s="222">
        <f t="shared" si="232"/>
        <v>224.02</v>
      </c>
      <c r="AV79" s="222">
        <f t="shared" si="232"/>
        <v>224.67</v>
      </c>
      <c r="AW79" s="222">
        <f t="shared" si="232"/>
        <v>225.32</v>
      </c>
      <c r="AX79" s="222">
        <f t="shared" si="232"/>
        <v>225.97</v>
      </c>
      <c r="AY79" s="222">
        <f t="shared" si="232"/>
        <v>226.62</v>
      </c>
      <c r="AZ79" s="222">
        <f t="shared" si="232"/>
        <v>227.27</v>
      </c>
      <c r="BA79" s="222">
        <f t="shared" si="232"/>
        <v>227.92</v>
      </c>
      <c r="BB79" s="222">
        <f t="shared" si="232"/>
        <v>228.57</v>
      </c>
      <c r="BC79" s="222">
        <f t="shared" si="232"/>
        <v>229.22</v>
      </c>
      <c r="BD79" s="222">
        <f t="shared" si="232"/>
        <v>229.87</v>
      </c>
      <c r="BE79" s="222">
        <f t="shared" si="233"/>
        <v>230.52</v>
      </c>
      <c r="BF79" s="222">
        <f t="shared" si="234"/>
        <v>231.17</v>
      </c>
      <c r="BG79" s="222">
        <f t="shared" si="235"/>
        <v>231.82</v>
      </c>
      <c r="BH79" s="222">
        <f t="shared" si="236"/>
        <v>232.47</v>
      </c>
      <c r="BI79" s="222">
        <f t="shared" si="237"/>
        <v>233.12</v>
      </c>
      <c r="BJ79" s="222">
        <f t="shared" si="238"/>
        <v>233.77</v>
      </c>
      <c r="BK79" s="222">
        <f t="shared" si="239"/>
        <v>234.42</v>
      </c>
      <c r="BL79" s="222">
        <f t="shared" si="240"/>
        <v>235.07</v>
      </c>
      <c r="BM79" s="222">
        <f t="shared" si="241"/>
        <v>235.72</v>
      </c>
      <c r="BN79" s="222">
        <f t="shared" si="242"/>
        <v>236.37</v>
      </c>
      <c r="BO79" s="222">
        <f t="shared" si="243"/>
        <v>237.02</v>
      </c>
      <c r="BP79" s="222">
        <f t="shared" si="244"/>
        <v>237.67</v>
      </c>
      <c r="BQ79" s="222">
        <f t="shared" si="245"/>
        <v>238.32</v>
      </c>
      <c r="BR79" s="222">
        <f t="shared" si="246"/>
        <v>238.97</v>
      </c>
      <c r="BS79" s="222">
        <f t="shared" si="247"/>
        <v>239.62</v>
      </c>
      <c r="BT79" s="222">
        <f t="shared" si="248"/>
        <v>240.27</v>
      </c>
      <c r="BU79" s="222">
        <f t="shared" si="249"/>
        <v>240.92</v>
      </c>
      <c r="BV79" s="222">
        <f t="shared" si="250"/>
        <v>241.57</v>
      </c>
      <c r="BW79" s="222">
        <f t="shared" si="251"/>
        <v>242.22</v>
      </c>
      <c r="BX79" s="222">
        <f t="shared" si="252"/>
        <v>242.87</v>
      </c>
      <c r="BY79" s="222">
        <f t="shared" si="253"/>
        <v>243.52</v>
      </c>
      <c r="BZ79" s="222">
        <f t="shared" si="254"/>
        <v>244.17</v>
      </c>
      <c r="CA79" s="222">
        <f t="shared" si="255"/>
        <v>244.82</v>
      </c>
      <c r="CB79" s="222"/>
      <c r="CC79" s="222"/>
      <c r="CD79" s="222"/>
      <c r="CE79" s="222"/>
    </row>
    <row r="80" spans="1:83">
      <c r="A80" s="14" t="s">
        <v>501</v>
      </c>
      <c r="B80" s="115" t="s">
        <v>231</v>
      </c>
      <c r="C80" s="116"/>
      <c r="D80" s="42">
        <v>1.06</v>
      </c>
      <c r="E80" s="46" t="s">
        <v>345</v>
      </c>
      <c r="F80" s="222">
        <f>ROUND(G80-$D80,2)</f>
        <v>179.7</v>
      </c>
      <c r="G80" s="222">
        <f t="shared" si="230"/>
        <v>180.76</v>
      </c>
      <c r="H80" s="222">
        <f t="shared" si="230"/>
        <v>181.82</v>
      </c>
      <c r="I80" s="222">
        <f t="shared" si="230"/>
        <v>182.88</v>
      </c>
      <c r="J80" s="222">
        <f t="shared" si="230"/>
        <v>183.94</v>
      </c>
      <c r="K80" s="222">
        <f t="shared" si="230"/>
        <v>185</v>
      </c>
      <c r="L80" s="222">
        <f t="shared" si="230"/>
        <v>186.06</v>
      </c>
      <c r="M80" s="222">
        <f t="shared" si="230"/>
        <v>187.12</v>
      </c>
      <c r="N80" s="222">
        <f t="shared" si="230"/>
        <v>188.18</v>
      </c>
      <c r="O80" s="222">
        <f t="shared" si="230"/>
        <v>189.24</v>
      </c>
      <c r="P80" s="222">
        <f t="shared" si="230"/>
        <v>190.3</v>
      </c>
      <c r="Q80" s="222">
        <f t="shared" si="230"/>
        <v>191.36</v>
      </c>
      <c r="R80" s="222">
        <f t="shared" si="230"/>
        <v>192.42</v>
      </c>
      <c r="S80" s="222">
        <f t="shared" si="230"/>
        <v>193.48</v>
      </c>
      <c r="T80" s="222">
        <f t="shared" si="230"/>
        <v>194.54</v>
      </c>
      <c r="U80" s="222">
        <f t="shared" si="230"/>
        <v>195.6</v>
      </c>
      <c r="V80" s="222">
        <f t="shared" si="231"/>
        <v>196.66</v>
      </c>
      <c r="W80" s="222">
        <f t="shared" si="231"/>
        <v>197.72</v>
      </c>
      <c r="X80" s="222">
        <f t="shared" si="231"/>
        <v>198.78</v>
      </c>
      <c r="Y80" s="222">
        <f t="shared" si="231"/>
        <v>199.84</v>
      </c>
      <c r="Z80" s="222">
        <f t="shared" si="231"/>
        <v>200.9</v>
      </c>
      <c r="AA80" s="222">
        <f t="shared" si="231"/>
        <v>201.96</v>
      </c>
      <c r="AB80" s="222">
        <f t="shared" si="231"/>
        <v>203.02</v>
      </c>
      <c r="AC80" s="222">
        <f t="shared" si="231"/>
        <v>204.08</v>
      </c>
      <c r="AD80" s="222">
        <f t="shared" si="231"/>
        <v>205.14</v>
      </c>
      <c r="AE80" s="222">
        <f t="shared" si="231"/>
        <v>206.2</v>
      </c>
      <c r="AF80" s="222">
        <f t="shared" si="231"/>
        <v>207.26</v>
      </c>
      <c r="AG80" s="222">
        <f t="shared" si="231"/>
        <v>208.32</v>
      </c>
      <c r="AH80" s="222">
        <f t="shared" si="231"/>
        <v>209.38</v>
      </c>
      <c r="AI80" s="222">
        <f t="shared" si="231"/>
        <v>210.44</v>
      </c>
      <c r="AJ80" s="222">
        <f>ROUND(AK80-$D80,2)</f>
        <v>211.5</v>
      </c>
      <c r="AK80" s="222">
        <f>ROUND(AL80-$D80,2)</f>
        <v>212.56</v>
      </c>
      <c r="AL80" s="222">
        <f t="shared" si="231"/>
        <v>213.62</v>
      </c>
      <c r="AM80" s="222">
        <f>ROUND(107.34*2,2)</f>
        <v>214.68</v>
      </c>
      <c r="AN80" s="222">
        <f t="shared" si="232"/>
        <v>215.74</v>
      </c>
      <c r="AO80" s="222">
        <f t="shared" si="232"/>
        <v>216.8</v>
      </c>
      <c r="AP80" s="222">
        <f t="shared" si="232"/>
        <v>217.86</v>
      </c>
      <c r="AQ80" s="222">
        <f t="shared" si="232"/>
        <v>218.92</v>
      </c>
      <c r="AR80" s="222">
        <f t="shared" si="232"/>
        <v>219.98</v>
      </c>
      <c r="AS80" s="222">
        <f t="shared" si="232"/>
        <v>221.04</v>
      </c>
      <c r="AT80" s="222">
        <f t="shared" si="232"/>
        <v>222.1</v>
      </c>
      <c r="AU80" s="222">
        <f t="shared" si="232"/>
        <v>223.16</v>
      </c>
      <c r="AV80" s="222">
        <f t="shared" si="232"/>
        <v>224.22</v>
      </c>
      <c r="AW80" s="222">
        <f t="shared" si="232"/>
        <v>225.28</v>
      </c>
      <c r="AX80" s="222">
        <f t="shared" si="232"/>
        <v>226.34</v>
      </c>
      <c r="AY80" s="222">
        <f t="shared" si="232"/>
        <v>227.4</v>
      </c>
      <c r="AZ80" s="222">
        <f t="shared" si="232"/>
        <v>228.46</v>
      </c>
      <c r="BA80" s="222">
        <f t="shared" si="232"/>
        <v>229.52</v>
      </c>
      <c r="BB80" s="222">
        <f t="shared" si="232"/>
        <v>230.58</v>
      </c>
      <c r="BC80" s="222">
        <f t="shared" si="232"/>
        <v>231.64</v>
      </c>
      <c r="BD80" s="222">
        <f t="shared" si="232"/>
        <v>232.7</v>
      </c>
      <c r="BE80" s="222">
        <f t="shared" si="233"/>
        <v>233.76</v>
      </c>
      <c r="BF80" s="222">
        <f t="shared" si="234"/>
        <v>234.82</v>
      </c>
      <c r="BG80" s="222">
        <f t="shared" si="235"/>
        <v>235.88</v>
      </c>
      <c r="BH80" s="222">
        <f t="shared" si="236"/>
        <v>236.94</v>
      </c>
      <c r="BI80" s="222">
        <f t="shared" si="237"/>
        <v>238</v>
      </c>
      <c r="BJ80" s="222">
        <f t="shared" si="238"/>
        <v>239.06</v>
      </c>
      <c r="BK80" s="222">
        <f t="shared" si="239"/>
        <v>240.12</v>
      </c>
      <c r="BL80" s="222">
        <f t="shared" si="240"/>
        <v>241.18</v>
      </c>
      <c r="BM80" s="222">
        <f t="shared" si="241"/>
        <v>242.24</v>
      </c>
      <c r="BN80" s="222">
        <f t="shared" si="242"/>
        <v>243.3</v>
      </c>
      <c r="BO80" s="222">
        <f t="shared" si="243"/>
        <v>244.36</v>
      </c>
      <c r="BP80" s="222">
        <f t="shared" si="244"/>
        <v>245.42</v>
      </c>
      <c r="BQ80" s="222">
        <f t="shared" si="245"/>
        <v>246.48</v>
      </c>
      <c r="BR80" s="222">
        <f t="shared" si="246"/>
        <v>247.54</v>
      </c>
      <c r="BS80" s="222">
        <f t="shared" si="247"/>
        <v>248.6</v>
      </c>
      <c r="BT80" s="222">
        <f t="shared" si="248"/>
        <v>249.66</v>
      </c>
      <c r="BU80" s="222">
        <f t="shared" si="249"/>
        <v>250.72</v>
      </c>
      <c r="BV80" s="222">
        <f t="shared" si="250"/>
        <v>251.78</v>
      </c>
      <c r="BW80" s="222">
        <f t="shared" si="251"/>
        <v>252.84</v>
      </c>
      <c r="BX80" s="222">
        <f t="shared" si="252"/>
        <v>253.9</v>
      </c>
      <c r="BY80" s="222">
        <f t="shared" si="253"/>
        <v>254.96</v>
      </c>
      <c r="BZ80" s="222">
        <f t="shared" si="254"/>
        <v>256.02</v>
      </c>
      <c r="CA80" s="222">
        <f t="shared" si="255"/>
        <v>257.08</v>
      </c>
      <c r="CB80" s="222"/>
      <c r="CC80" s="222"/>
      <c r="CD80" s="222"/>
      <c r="CE80" s="222"/>
    </row>
    <row r="81" spans="1:71" hidden="1">
      <c r="A81" s="123" t="s">
        <v>492</v>
      </c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</row>
    <row r="82" spans="1:71" hidden="1">
      <c r="A82" s="46" t="s">
        <v>493</v>
      </c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</row>
    <row r="83" spans="1:71" hidden="1">
      <c r="A83" s="107" t="s">
        <v>494</v>
      </c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</row>
    <row r="85" spans="1:71">
      <c r="A85" s="221" t="s">
        <v>502</v>
      </c>
    </row>
    <row r="86" spans="1:71">
      <c r="A86" s="66" t="s">
        <v>493</v>
      </c>
    </row>
    <row r="87" spans="1:71">
      <c r="A87" s="76" t="s">
        <v>494</v>
      </c>
    </row>
    <row r="89" spans="1:71" s="128" customFormat="1">
      <c r="A89" s="26" t="s">
        <v>94</v>
      </c>
      <c r="B89" s="713" t="s">
        <v>95</v>
      </c>
      <c r="C89" s="18"/>
      <c r="D89" s="717">
        <v>13.6</v>
      </c>
      <c r="E89" s="128" t="s">
        <v>623</v>
      </c>
      <c r="F89" s="717">
        <f t="shared" ref="F89:BB89" si="256">G89-$D$89</f>
        <v>1030.7500000000045</v>
      </c>
      <c r="G89" s="717">
        <f t="shared" si="256"/>
        <v>1044.3500000000045</v>
      </c>
      <c r="H89" s="717">
        <f t="shared" si="256"/>
        <v>1057.9500000000044</v>
      </c>
      <c r="I89" s="717">
        <f t="shared" si="256"/>
        <v>1071.5500000000043</v>
      </c>
      <c r="J89" s="717">
        <f t="shared" si="256"/>
        <v>1085.1500000000042</v>
      </c>
      <c r="K89" s="717">
        <f t="shared" si="256"/>
        <v>1098.7500000000041</v>
      </c>
      <c r="L89" s="717">
        <f t="shared" si="256"/>
        <v>1112.350000000004</v>
      </c>
      <c r="M89" s="717">
        <f t="shared" si="256"/>
        <v>1125.9500000000039</v>
      </c>
      <c r="N89" s="717">
        <f t="shared" si="256"/>
        <v>1139.5500000000038</v>
      </c>
      <c r="O89" s="717">
        <f t="shared" si="256"/>
        <v>1153.1500000000037</v>
      </c>
      <c r="P89" s="717">
        <f t="shared" si="256"/>
        <v>1166.7500000000036</v>
      </c>
      <c r="Q89" s="717">
        <f t="shared" si="256"/>
        <v>1180.3500000000035</v>
      </c>
      <c r="R89" s="717">
        <f t="shared" si="256"/>
        <v>1193.9500000000035</v>
      </c>
      <c r="S89" s="717">
        <f t="shared" si="256"/>
        <v>1207.5500000000034</v>
      </c>
      <c r="T89" s="717">
        <f t="shared" si="256"/>
        <v>1221.1500000000033</v>
      </c>
      <c r="U89" s="717">
        <f t="shared" si="256"/>
        <v>1234.7500000000032</v>
      </c>
      <c r="V89" s="717">
        <f t="shared" si="256"/>
        <v>1248.3500000000031</v>
      </c>
      <c r="W89" s="717">
        <f t="shared" si="256"/>
        <v>1261.950000000003</v>
      </c>
      <c r="X89" s="717">
        <f t="shared" si="256"/>
        <v>1275.5500000000029</v>
      </c>
      <c r="Y89" s="717">
        <f t="shared" si="256"/>
        <v>1289.1500000000028</v>
      </c>
      <c r="Z89" s="717">
        <f t="shared" si="256"/>
        <v>1302.7500000000027</v>
      </c>
      <c r="AA89" s="717">
        <f t="shared" si="256"/>
        <v>1316.3500000000026</v>
      </c>
      <c r="AB89" s="717">
        <f t="shared" si="256"/>
        <v>1329.9500000000025</v>
      </c>
      <c r="AC89" s="717">
        <f t="shared" si="256"/>
        <v>1343.5500000000025</v>
      </c>
      <c r="AD89" s="717">
        <f t="shared" si="256"/>
        <v>1357.1500000000024</v>
      </c>
      <c r="AE89" s="717">
        <f t="shared" si="256"/>
        <v>1370.7500000000023</v>
      </c>
      <c r="AF89" s="717">
        <f t="shared" si="256"/>
        <v>1384.3500000000022</v>
      </c>
      <c r="AG89" s="717">
        <f t="shared" si="256"/>
        <v>1397.9500000000021</v>
      </c>
      <c r="AH89" s="717">
        <f t="shared" si="256"/>
        <v>1411.550000000002</v>
      </c>
      <c r="AI89" s="717">
        <f t="shared" si="256"/>
        <v>1425.1500000000019</v>
      </c>
      <c r="AJ89" s="717">
        <f t="shared" si="256"/>
        <v>1438.7500000000018</v>
      </c>
      <c r="AK89" s="717">
        <f t="shared" si="256"/>
        <v>1452.3500000000017</v>
      </c>
      <c r="AL89" s="717">
        <f t="shared" si="256"/>
        <v>1465.9500000000016</v>
      </c>
      <c r="AM89" s="717">
        <f t="shared" si="256"/>
        <v>1479.5500000000015</v>
      </c>
      <c r="AN89" s="717">
        <f t="shared" si="256"/>
        <v>1493.1500000000015</v>
      </c>
      <c r="AO89" s="717">
        <f t="shared" si="256"/>
        <v>1506.7500000000014</v>
      </c>
      <c r="AP89" s="717">
        <f t="shared" si="256"/>
        <v>1520.3500000000013</v>
      </c>
      <c r="AQ89" s="717">
        <f t="shared" si="256"/>
        <v>1533.9500000000012</v>
      </c>
      <c r="AR89" s="717">
        <f t="shared" si="256"/>
        <v>1547.5500000000011</v>
      </c>
      <c r="AS89" s="717">
        <f t="shared" si="256"/>
        <v>1561.150000000001</v>
      </c>
      <c r="AT89" s="717">
        <f t="shared" si="256"/>
        <v>1574.7500000000009</v>
      </c>
      <c r="AU89" s="717">
        <f t="shared" si="256"/>
        <v>1588.3500000000008</v>
      </c>
      <c r="AV89" s="717">
        <f t="shared" si="256"/>
        <v>1601.9500000000007</v>
      </c>
      <c r="AW89" s="717">
        <f t="shared" si="256"/>
        <v>1615.5500000000006</v>
      </c>
      <c r="AX89" s="717">
        <f t="shared" si="256"/>
        <v>1629.1500000000005</v>
      </c>
      <c r="AY89" s="717">
        <f t="shared" si="256"/>
        <v>1642.7500000000005</v>
      </c>
      <c r="AZ89" s="717">
        <f t="shared" si="256"/>
        <v>1656.3500000000004</v>
      </c>
      <c r="BA89" s="717">
        <f t="shared" si="256"/>
        <v>1669.9500000000003</v>
      </c>
      <c r="BB89" s="717">
        <f t="shared" si="256"/>
        <v>1683.5500000000002</v>
      </c>
      <c r="BC89" s="717">
        <f>BD89-$D$89</f>
        <v>1697.15</v>
      </c>
      <c r="BD89" s="717">
        <v>1710.75</v>
      </c>
      <c r="BE89" s="717">
        <f>BD89+$D$89</f>
        <v>1724.35</v>
      </c>
      <c r="BF89" s="717">
        <f t="shared" ref="BF89:BQ89" si="257">BE89+$D$89</f>
        <v>1737.9499999999998</v>
      </c>
      <c r="BG89" s="717">
        <f t="shared" si="257"/>
        <v>1751.5499999999997</v>
      </c>
      <c r="BH89" s="717">
        <f t="shared" si="257"/>
        <v>1765.1499999999996</v>
      </c>
      <c r="BI89" s="717">
        <f t="shared" si="257"/>
        <v>1778.7499999999995</v>
      </c>
      <c r="BJ89" s="717">
        <f t="shared" si="257"/>
        <v>1792.3499999999995</v>
      </c>
      <c r="BK89" s="717">
        <f t="shared" si="257"/>
        <v>1805.9499999999994</v>
      </c>
      <c r="BL89" s="717">
        <f t="shared" si="257"/>
        <v>1819.5499999999993</v>
      </c>
      <c r="BM89" s="717">
        <f t="shared" si="257"/>
        <v>1833.1499999999992</v>
      </c>
      <c r="BN89" s="717">
        <f t="shared" si="257"/>
        <v>1846.7499999999991</v>
      </c>
      <c r="BO89" s="717">
        <f t="shared" si="257"/>
        <v>1860.349999999999</v>
      </c>
      <c r="BP89" s="717">
        <f t="shared" si="257"/>
        <v>1873.9499999999989</v>
      </c>
      <c r="BQ89" s="717">
        <f t="shared" si="257"/>
        <v>1887.5499999999988</v>
      </c>
      <c r="BS89" s="39"/>
    </row>
  </sheetData>
  <autoFilter ref="A46:XEV83" xr:uid="{CFE24AC7-703A-42DA-B597-E54E075E1EE2}">
    <filterColumn colId="1">
      <customFilters>
        <customFilter operator="notEqual" val=" "/>
      </customFilters>
    </filterColumn>
  </autoFilter>
  <phoneticPr fontId="3" type="noConversion"/>
  <hyperlinks>
    <hyperlink ref="A40" r:id="rId1" xr:uid="{B7FBB643-9369-464B-8CDD-0F9752F84288}"/>
    <hyperlink ref="A83" r:id="rId2" xr:uid="{612D50AA-9508-4CF2-976D-AA6AD3C6F733}"/>
    <hyperlink ref="A87" r:id="rId3" xr:uid="{E11746C9-1702-44F8-8F6A-43FAC3AA5105}"/>
  </hyperlinks>
  <pageMargins left="0.7" right="0.7" top="0.75" bottom="0.75" header="0.3" footer="0.3"/>
  <pageSetup paperSize="9" orientation="portrait"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  <pageSetUpPr fitToPage="1"/>
  </sheetPr>
  <dimension ref="A1:BI74"/>
  <sheetViews>
    <sheetView topLeftCell="A50" zoomScale="110" zoomScaleNormal="110" workbookViewId="0">
      <pane xSplit="3" ySplit="1" topLeftCell="BC51" activePane="bottomRight" state="frozen"/>
      <selection pane="topRight" activeCell="D50" sqref="D50"/>
      <selection pane="bottomLeft" activeCell="A51" sqref="A51"/>
      <selection pane="bottomRight" activeCell="BF65" sqref="BF65"/>
    </sheetView>
  </sheetViews>
  <sheetFormatPr defaultColWidth="10.33203125" defaultRowHeight="14"/>
  <cols>
    <col min="1" max="1" width="63.33203125" style="14" bestFit="1" customWidth="1"/>
    <col min="2" max="2" width="14.08203125" style="228" bestFit="1" customWidth="1"/>
    <col min="3" max="3" width="28.33203125" style="228" bestFit="1" customWidth="1"/>
    <col min="4" max="4" width="13.33203125" style="18" customWidth="1"/>
    <col min="5" max="5" width="15.33203125" style="18" customWidth="1"/>
    <col min="6" max="6" width="28.33203125" style="18" bestFit="1" customWidth="1"/>
    <col min="7" max="7" width="12.08203125" style="18" customWidth="1"/>
    <col min="8" max="8" width="7.08203125" style="18" bestFit="1" customWidth="1"/>
    <col min="9" max="33" width="9.33203125" style="18" hidden="1" customWidth="1"/>
    <col min="34" max="34" width="13.08203125" style="18" customWidth="1"/>
    <col min="35" max="38" width="10.33203125" style="18" customWidth="1"/>
    <col min="39" max="54" width="12.08203125" style="18" customWidth="1"/>
    <col min="55" max="283" width="10.33203125" style="18"/>
    <col min="284" max="284" width="52.33203125" style="18" customWidth="1"/>
    <col min="285" max="285" width="11.33203125" style="18" customWidth="1"/>
    <col min="286" max="286" width="14.33203125" style="18" bestFit="1" customWidth="1"/>
    <col min="287" max="287" width="20.33203125" style="18" bestFit="1" customWidth="1"/>
    <col min="288" max="288" width="8.33203125" style="18" customWidth="1"/>
    <col min="289" max="299" width="9.33203125" style="18" customWidth="1"/>
    <col min="300" max="539" width="10.33203125" style="18"/>
    <col min="540" max="540" width="52.33203125" style="18" customWidth="1"/>
    <col min="541" max="541" width="11.33203125" style="18" customWidth="1"/>
    <col min="542" max="542" width="14.33203125" style="18" bestFit="1" customWidth="1"/>
    <col min="543" max="543" width="20.33203125" style="18" bestFit="1" customWidth="1"/>
    <col min="544" max="544" width="8.33203125" style="18" customWidth="1"/>
    <col min="545" max="555" width="9.33203125" style="18" customWidth="1"/>
    <col min="556" max="795" width="10.33203125" style="18"/>
    <col min="796" max="796" width="52.33203125" style="18" customWidth="1"/>
    <col min="797" max="797" width="11.33203125" style="18" customWidth="1"/>
    <col min="798" max="798" width="14.33203125" style="18" bestFit="1" customWidth="1"/>
    <col min="799" max="799" width="20.33203125" style="18" bestFit="1" customWidth="1"/>
    <col min="800" max="800" width="8.33203125" style="18" customWidth="1"/>
    <col min="801" max="811" width="9.33203125" style="18" customWidth="1"/>
    <col min="812" max="1051" width="10.33203125" style="18"/>
    <col min="1052" max="1052" width="52.33203125" style="18" customWidth="1"/>
    <col min="1053" max="1053" width="11.33203125" style="18" customWidth="1"/>
    <col min="1054" max="1054" width="14.33203125" style="18" bestFit="1" customWidth="1"/>
    <col min="1055" max="1055" width="20.33203125" style="18" bestFit="1" customWidth="1"/>
    <col min="1056" max="1056" width="8.33203125" style="18" customWidth="1"/>
    <col min="1057" max="1067" width="9.33203125" style="18" customWidth="1"/>
    <col min="1068" max="1307" width="10.33203125" style="18"/>
    <col min="1308" max="1308" width="52.33203125" style="18" customWidth="1"/>
    <col min="1309" max="1309" width="11.33203125" style="18" customWidth="1"/>
    <col min="1310" max="1310" width="14.33203125" style="18" bestFit="1" customWidth="1"/>
    <col min="1311" max="1311" width="20.33203125" style="18" bestFit="1" customWidth="1"/>
    <col min="1312" max="1312" width="8.33203125" style="18" customWidth="1"/>
    <col min="1313" max="1323" width="9.33203125" style="18" customWidth="1"/>
    <col min="1324" max="1563" width="10.33203125" style="18"/>
    <col min="1564" max="1564" width="52.33203125" style="18" customWidth="1"/>
    <col min="1565" max="1565" width="11.33203125" style="18" customWidth="1"/>
    <col min="1566" max="1566" width="14.33203125" style="18" bestFit="1" customWidth="1"/>
    <col min="1567" max="1567" width="20.33203125" style="18" bestFit="1" customWidth="1"/>
    <col min="1568" max="1568" width="8.33203125" style="18" customWidth="1"/>
    <col min="1569" max="1579" width="9.33203125" style="18" customWidth="1"/>
    <col min="1580" max="1819" width="10.33203125" style="18"/>
    <col min="1820" max="1820" width="52.33203125" style="18" customWidth="1"/>
    <col min="1821" max="1821" width="11.33203125" style="18" customWidth="1"/>
    <col min="1822" max="1822" width="14.33203125" style="18" bestFit="1" customWidth="1"/>
    <col min="1823" max="1823" width="20.33203125" style="18" bestFit="1" customWidth="1"/>
    <col min="1824" max="1824" width="8.33203125" style="18" customWidth="1"/>
    <col min="1825" max="1835" width="9.33203125" style="18" customWidth="1"/>
    <col min="1836" max="2075" width="10.33203125" style="18"/>
    <col min="2076" max="2076" width="52.33203125" style="18" customWidth="1"/>
    <col min="2077" max="2077" width="11.33203125" style="18" customWidth="1"/>
    <col min="2078" max="2078" width="14.33203125" style="18" bestFit="1" customWidth="1"/>
    <col min="2079" max="2079" width="20.33203125" style="18" bestFit="1" customWidth="1"/>
    <col min="2080" max="2080" width="8.33203125" style="18" customWidth="1"/>
    <col min="2081" max="2091" width="9.33203125" style="18" customWidth="1"/>
    <col min="2092" max="2331" width="10.33203125" style="18"/>
    <col min="2332" max="2332" width="52.33203125" style="18" customWidth="1"/>
    <col min="2333" max="2333" width="11.33203125" style="18" customWidth="1"/>
    <col min="2334" max="2334" width="14.33203125" style="18" bestFit="1" customWidth="1"/>
    <col min="2335" max="2335" width="20.33203125" style="18" bestFit="1" customWidth="1"/>
    <col min="2336" max="2336" width="8.33203125" style="18" customWidth="1"/>
    <col min="2337" max="2347" width="9.33203125" style="18" customWidth="1"/>
    <col min="2348" max="2587" width="10.33203125" style="18"/>
    <col min="2588" max="2588" width="52.33203125" style="18" customWidth="1"/>
    <col min="2589" max="2589" width="11.33203125" style="18" customWidth="1"/>
    <col min="2590" max="2590" width="14.33203125" style="18" bestFit="1" customWidth="1"/>
    <col min="2591" max="2591" width="20.33203125" style="18" bestFit="1" customWidth="1"/>
    <col min="2592" max="2592" width="8.33203125" style="18" customWidth="1"/>
    <col min="2593" max="2603" width="9.33203125" style="18" customWidth="1"/>
    <col min="2604" max="2843" width="10.33203125" style="18"/>
    <col min="2844" max="2844" width="52.33203125" style="18" customWidth="1"/>
    <col min="2845" max="2845" width="11.33203125" style="18" customWidth="1"/>
    <col min="2846" max="2846" width="14.33203125" style="18" bestFit="1" customWidth="1"/>
    <col min="2847" max="2847" width="20.33203125" style="18" bestFit="1" customWidth="1"/>
    <col min="2848" max="2848" width="8.33203125" style="18" customWidth="1"/>
    <col min="2849" max="2859" width="9.33203125" style="18" customWidth="1"/>
    <col min="2860" max="3099" width="10.33203125" style="18"/>
    <col min="3100" max="3100" width="52.33203125" style="18" customWidth="1"/>
    <col min="3101" max="3101" width="11.33203125" style="18" customWidth="1"/>
    <col min="3102" max="3102" width="14.33203125" style="18" bestFit="1" customWidth="1"/>
    <col min="3103" max="3103" width="20.33203125" style="18" bestFit="1" customWidth="1"/>
    <col min="3104" max="3104" width="8.33203125" style="18" customWidth="1"/>
    <col min="3105" max="3115" width="9.33203125" style="18" customWidth="1"/>
    <col min="3116" max="3355" width="10.33203125" style="18"/>
    <col min="3356" max="3356" width="52.33203125" style="18" customWidth="1"/>
    <col min="3357" max="3357" width="11.33203125" style="18" customWidth="1"/>
    <col min="3358" max="3358" width="14.33203125" style="18" bestFit="1" customWidth="1"/>
    <col min="3359" max="3359" width="20.33203125" style="18" bestFit="1" customWidth="1"/>
    <col min="3360" max="3360" width="8.33203125" style="18" customWidth="1"/>
    <col min="3361" max="3371" width="9.33203125" style="18" customWidth="1"/>
    <col min="3372" max="3611" width="10.33203125" style="18"/>
    <col min="3612" max="3612" width="52.33203125" style="18" customWidth="1"/>
    <col min="3613" max="3613" width="11.33203125" style="18" customWidth="1"/>
    <col min="3614" max="3614" width="14.33203125" style="18" bestFit="1" customWidth="1"/>
    <col min="3615" max="3615" width="20.33203125" style="18" bestFit="1" customWidth="1"/>
    <col min="3616" max="3616" width="8.33203125" style="18" customWidth="1"/>
    <col min="3617" max="3627" width="9.33203125" style="18" customWidth="1"/>
    <col min="3628" max="3867" width="10.33203125" style="18"/>
    <col min="3868" max="3868" width="52.33203125" style="18" customWidth="1"/>
    <col min="3869" max="3869" width="11.33203125" style="18" customWidth="1"/>
    <col min="3870" max="3870" width="14.33203125" style="18" bestFit="1" customWidth="1"/>
    <col min="3871" max="3871" width="20.33203125" style="18" bestFit="1" customWidth="1"/>
    <col min="3872" max="3872" width="8.33203125" style="18" customWidth="1"/>
    <col min="3873" max="3883" width="9.33203125" style="18" customWidth="1"/>
    <col min="3884" max="4123" width="10.33203125" style="18"/>
    <col min="4124" max="4124" width="52.33203125" style="18" customWidth="1"/>
    <col min="4125" max="4125" width="11.33203125" style="18" customWidth="1"/>
    <col min="4126" max="4126" width="14.33203125" style="18" bestFit="1" customWidth="1"/>
    <col min="4127" max="4127" width="20.33203125" style="18" bestFit="1" customWidth="1"/>
    <col min="4128" max="4128" width="8.33203125" style="18" customWidth="1"/>
    <col min="4129" max="4139" width="9.33203125" style="18" customWidth="1"/>
    <col min="4140" max="4379" width="10.33203125" style="18"/>
    <col min="4380" max="4380" width="52.33203125" style="18" customWidth="1"/>
    <col min="4381" max="4381" width="11.33203125" style="18" customWidth="1"/>
    <col min="4382" max="4382" width="14.33203125" style="18" bestFit="1" customWidth="1"/>
    <col min="4383" max="4383" width="20.33203125" style="18" bestFit="1" customWidth="1"/>
    <col min="4384" max="4384" width="8.33203125" style="18" customWidth="1"/>
    <col min="4385" max="4395" width="9.33203125" style="18" customWidth="1"/>
    <col min="4396" max="4635" width="10.33203125" style="18"/>
    <col min="4636" max="4636" width="52.33203125" style="18" customWidth="1"/>
    <col min="4637" max="4637" width="11.33203125" style="18" customWidth="1"/>
    <col min="4638" max="4638" width="14.33203125" style="18" bestFit="1" customWidth="1"/>
    <col min="4639" max="4639" width="20.33203125" style="18" bestFit="1" customWidth="1"/>
    <col min="4640" max="4640" width="8.33203125" style="18" customWidth="1"/>
    <col min="4641" max="4651" width="9.33203125" style="18" customWidth="1"/>
    <col min="4652" max="4891" width="10.33203125" style="18"/>
    <col min="4892" max="4892" width="52.33203125" style="18" customWidth="1"/>
    <col min="4893" max="4893" width="11.33203125" style="18" customWidth="1"/>
    <col min="4894" max="4894" width="14.33203125" style="18" bestFit="1" customWidth="1"/>
    <col min="4895" max="4895" width="20.33203125" style="18" bestFit="1" customWidth="1"/>
    <col min="4896" max="4896" width="8.33203125" style="18" customWidth="1"/>
    <col min="4897" max="4907" width="9.33203125" style="18" customWidth="1"/>
    <col min="4908" max="5147" width="10.33203125" style="18"/>
    <col min="5148" max="5148" width="52.33203125" style="18" customWidth="1"/>
    <col min="5149" max="5149" width="11.33203125" style="18" customWidth="1"/>
    <col min="5150" max="5150" width="14.33203125" style="18" bestFit="1" customWidth="1"/>
    <col min="5151" max="5151" width="20.33203125" style="18" bestFit="1" customWidth="1"/>
    <col min="5152" max="5152" width="8.33203125" style="18" customWidth="1"/>
    <col min="5153" max="5163" width="9.33203125" style="18" customWidth="1"/>
    <col min="5164" max="5403" width="10.33203125" style="18"/>
    <col min="5404" max="5404" width="52.33203125" style="18" customWidth="1"/>
    <col min="5405" max="5405" width="11.33203125" style="18" customWidth="1"/>
    <col min="5406" max="5406" width="14.33203125" style="18" bestFit="1" customWidth="1"/>
    <col min="5407" max="5407" width="20.33203125" style="18" bestFit="1" customWidth="1"/>
    <col min="5408" max="5408" width="8.33203125" style="18" customWidth="1"/>
    <col min="5409" max="5419" width="9.33203125" style="18" customWidth="1"/>
    <col min="5420" max="5659" width="10.33203125" style="18"/>
    <col min="5660" max="5660" width="52.33203125" style="18" customWidth="1"/>
    <col min="5661" max="5661" width="11.33203125" style="18" customWidth="1"/>
    <col min="5662" max="5662" width="14.33203125" style="18" bestFit="1" customWidth="1"/>
    <col min="5663" max="5663" width="20.33203125" style="18" bestFit="1" customWidth="1"/>
    <col min="5664" max="5664" width="8.33203125" style="18" customWidth="1"/>
    <col min="5665" max="5675" width="9.33203125" style="18" customWidth="1"/>
    <col min="5676" max="5915" width="10.33203125" style="18"/>
    <col min="5916" max="5916" width="52.33203125" style="18" customWidth="1"/>
    <col min="5917" max="5917" width="11.33203125" style="18" customWidth="1"/>
    <col min="5918" max="5918" width="14.33203125" style="18" bestFit="1" customWidth="1"/>
    <col min="5919" max="5919" width="20.33203125" style="18" bestFit="1" customWidth="1"/>
    <col min="5920" max="5920" width="8.33203125" style="18" customWidth="1"/>
    <col min="5921" max="5931" width="9.33203125" style="18" customWidth="1"/>
    <col min="5932" max="6171" width="10.33203125" style="18"/>
    <col min="6172" max="6172" width="52.33203125" style="18" customWidth="1"/>
    <col min="6173" max="6173" width="11.33203125" style="18" customWidth="1"/>
    <col min="6174" max="6174" width="14.33203125" style="18" bestFit="1" customWidth="1"/>
    <col min="6175" max="6175" width="20.33203125" style="18" bestFit="1" customWidth="1"/>
    <col min="6176" max="6176" width="8.33203125" style="18" customWidth="1"/>
    <col min="6177" max="6187" width="9.33203125" style="18" customWidth="1"/>
    <col min="6188" max="6427" width="10.33203125" style="18"/>
    <col min="6428" max="6428" width="52.33203125" style="18" customWidth="1"/>
    <col min="6429" max="6429" width="11.33203125" style="18" customWidth="1"/>
    <col min="6430" max="6430" width="14.33203125" style="18" bestFit="1" customWidth="1"/>
    <col min="6431" max="6431" width="20.33203125" style="18" bestFit="1" customWidth="1"/>
    <col min="6432" max="6432" width="8.33203125" style="18" customWidth="1"/>
    <col min="6433" max="6443" width="9.33203125" style="18" customWidth="1"/>
    <col min="6444" max="6683" width="10.33203125" style="18"/>
    <col min="6684" max="6684" width="52.33203125" style="18" customWidth="1"/>
    <col min="6685" max="6685" width="11.33203125" style="18" customWidth="1"/>
    <col min="6686" max="6686" width="14.33203125" style="18" bestFit="1" customWidth="1"/>
    <col min="6687" max="6687" width="20.33203125" style="18" bestFit="1" customWidth="1"/>
    <col min="6688" max="6688" width="8.33203125" style="18" customWidth="1"/>
    <col min="6689" max="6699" width="9.33203125" style="18" customWidth="1"/>
    <col min="6700" max="6939" width="10.33203125" style="18"/>
    <col min="6940" max="6940" width="52.33203125" style="18" customWidth="1"/>
    <col min="6941" max="6941" width="11.33203125" style="18" customWidth="1"/>
    <col min="6942" max="6942" width="14.33203125" style="18" bestFit="1" customWidth="1"/>
    <col min="6943" max="6943" width="20.33203125" style="18" bestFit="1" customWidth="1"/>
    <col min="6944" max="6944" width="8.33203125" style="18" customWidth="1"/>
    <col min="6945" max="6955" width="9.33203125" style="18" customWidth="1"/>
    <col min="6956" max="7195" width="10.33203125" style="18"/>
    <col min="7196" max="7196" width="52.33203125" style="18" customWidth="1"/>
    <col min="7197" max="7197" width="11.33203125" style="18" customWidth="1"/>
    <col min="7198" max="7198" width="14.33203125" style="18" bestFit="1" customWidth="1"/>
    <col min="7199" max="7199" width="20.33203125" style="18" bestFit="1" customWidth="1"/>
    <col min="7200" max="7200" width="8.33203125" style="18" customWidth="1"/>
    <col min="7201" max="7211" width="9.33203125" style="18" customWidth="1"/>
    <col min="7212" max="7451" width="10.33203125" style="18"/>
    <col min="7452" max="7452" width="52.33203125" style="18" customWidth="1"/>
    <col min="7453" max="7453" width="11.33203125" style="18" customWidth="1"/>
    <col min="7454" max="7454" width="14.33203125" style="18" bestFit="1" customWidth="1"/>
    <col min="7455" max="7455" width="20.33203125" style="18" bestFit="1" customWidth="1"/>
    <col min="7456" max="7456" width="8.33203125" style="18" customWidth="1"/>
    <col min="7457" max="7467" width="9.33203125" style="18" customWidth="1"/>
    <col min="7468" max="7707" width="10.33203125" style="18"/>
    <col min="7708" max="7708" width="52.33203125" style="18" customWidth="1"/>
    <col min="7709" max="7709" width="11.33203125" style="18" customWidth="1"/>
    <col min="7710" max="7710" width="14.33203125" style="18" bestFit="1" customWidth="1"/>
    <col min="7711" max="7711" width="20.33203125" style="18" bestFit="1" customWidth="1"/>
    <col min="7712" max="7712" width="8.33203125" style="18" customWidth="1"/>
    <col min="7713" max="7723" width="9.33203125" style="18" customWidth="1"/>
    <col min="7724" max="7963" width="10.33203125" style="18"/>
    <col min="7964" max="7964" width="52.33203125" style="18" customWidth="1"/>
    <col min="7965" max="7965" width="11.33203125" style="18" customWidth="1"/>
    <col min="7966" max="7966" width="14.33203125" style="18" bestFit="1" customWidth="1"/>
    <col min="7967" max="7967" width="20.33203125" style="18" bestFit="1" customWidth="1"/>
    <col min="7968" max="7968" width="8.33203125" style="18" customWidth="1"/>
    <col min="7969" max="7979" width="9.33203125" style="18" customWidth="1"/>
    <col min="7980" max="8219" width="10.33203125" style="18"/>
    <col min="8220" max="8220" width="52.33203125" style="18" customWidth="1"/>
    <col min="8221" max="8221" width="11.33203125" style="18" customWidth="1"/>
    <col min="8222" max="8222" width="14.33203125" style="18" bestFit="1" customWidth="1"/>
    <col min="8223" max="8223" width="20.33203125" style="18" bestFit="1" customWidth="1"/>
    <col min="8224" max="8224" width="8.33203125" style="18" customWidth="1"/>
    <col min="8225" max="8235" width="9.33203125" style="18" customWidth="1"/>
    <col min="8236" max="8475" width="10.33203125" style="18"/>
    <col min="8476" max="8476" width="52.33203125" style="18" customWidth="1"/>
    <col min="8477" max="8477" width="11.33203125" style="18" customWidth="1"/>
    <col min="8478" max="8478" width="14.33203125" style="18" bestFit="1" customWidth="1"/>
    <col min="8479" max="8479" width="20.33203125" style="18" bestFit="1" customWidth="1"/>
    <col min="8480" max="8480" width="8.33203125" style="18" customWidth="1"/>
    <col min="8481" max="8491" width="9.33203125" style="18" customWidth="1"/>
    <col min="8492" max="8731" width="10.33203125" style="18"/>
    <col min="8732" max="8732" width="52.33203125" style="18" customWidth="1"/>
    <col min="8733" max="8733" width="11.33203125" style="18" customWidth="1"/>
    <col min="8734" max="8734" width="14.33203125" style="18" bestFit="1" customWidth="1"/>
    <col min="8735" max="8735" width="20.33203125" style="18" bestFit="1" customWidth="1"/>
    <col min="8736" max="8736" width="8.33203125" style="18" customWidth="1"/>
    <col min="8737" max="8747" width="9.33203125" style="18" customWidth="1"/>
    <col min="8748" max="8987" width="10.33203125" style="18"/>
    <col min="8988" max="8988" width="52.33203125" style="18" customWidth="1"/>
    <col min="8989" max="8989" width="11.33203125" style="18" customWidth="1"/>
    <col min="8990" max="8990" width="14.33203125" style="18" bestFit="1" customWidth="1"/>
    <col min="8991" max="8991" width="20.33203125" style="18" bestFit="1" customWidth="1"/>
    <col min="8992" max="8992" width="8.33203125" style="18" customWidth="1"/>
    <col min="8993" max="9003" width="9.33203125" style="18" customWidth="1"/>
    <col min="9004" max="9243" width="10.33203125" style="18"/>
    <col min="9244" max="9244" width="52.33203125" style="18" customWidth="1"/>
    <col min="9245" max="9245" width="11.33203125" style="18" customWidth="1"/>
    <col min="9246" max="9246" width="14.33203125" style="18" bestFit="1" customWidth="1"/>
    <col min="9247" max="9247" width="20.33203125" style="18" bestFit="1" customWidth="1"/>
    <col min="9248" max="9248" width="8.33203125" style="18" customWidth="1"/>
    <col min="9249" max="9259" width="9.33203125" style="18" customWidth="1"/>
    <col min="9260" max="9499" width="10.33203125" style="18"/>
    <col min="9500" max="9500" width="52.33203125" style="18" customWidth="1"/>
    <col min="9501" max="9501" width="11.33203125" style="18" customWidth="1"/>
    <col min="9502" max="9502" width="14.33203125" style="18" bestFit="1" customWidth="1"/>
    <col min="9503" max="9503" width="20.33203125" style="18" bestFit="1" customWidth="1"/>
    <col min="9504" max="9504" width="8.33203125" style="18" customWidth="1"/>
    <col min="9505" max="9515" width="9.33203125" style="18" customWidth="1"/>
    <col min="9516" max="9755" width="10.33203125" style="18"/>
    <col min="9756" max="9756" width="52.33203125" style="18" customWidth="1"/>
    <col min="9757" max="9757" width="11.33203125" style="18" customWidth="1"/>
    <col min="9758" max="9758" width="14.33203125" style="18" bestFit="1" customWidth="1"/>
    <col min="9759" max="9759" width="20.33203125" style="18" bestFit="1" customWidth="1"/>
    <col min="9760" max="9760" width="8.33203125" style="18" customWidth="1"/>
    <col min="9761" max="9771" width="9.33203125" style="18" customWidth="1"/>
    <col min="9772" max="10011" width="10.33203125" style="18"/>
    <col min="10012" max="10012" width="52.33203125" style="18" customWidth="1"/>
    <col min="10013" max="10013" width="11.33203125" style="18" customWidth="1"/>
    <col min="10014" max="10014" width="14.33203125" style="18" bestFit="1" customWidth="1"/>
    <col min="10015" max="10015" width="20.33203125" style="18" bestFit="1" customWidth="1"/>
    <col min="10016" max="10016" width="8.33203125" style="18" customWidth="1"/>
    <col min="10017" max="10027" width="9.33203125" style="18" customWidth="1"/>
    <col min="10028" max="10267" width="10.33203125" style="18"/>
    <col min="10268" max="10268" width="52.33203125" style="18" customWidth="1"/>
    <col min="10269" max="10269" width="11.33203125" style="18" customWidth="1"/>
    <col min="10270" max="10270" width="14.33203125" style="18" bestFit="1" customWidth="1"/>
    <col min="10271" max="10271" width="20.33203125" style="18" bestFit="1" customWidth="1"/>
    <col min="10272" max="10272" width="8.33203125" style="18" customWidth="1"/>
    <col min="10273" max="10283" width="9.33203125" style="18" customWidth="1"/>
    <col min="10284" max="10523" width="10.33203125" style="18"/>
    <col min="10524" max="10524" width="52.33203125" style="18" customWidth="1"/>
    <col min="10525" max="10525" width="11.33203125" style="18" customWidth="1"/>
    <col min="10526" max="10526" width="14.33203125" style="18" bestFit="1" customWidth="1"/>
    <col min="10527" max="10527" width="20.33203125" style="18" bestFit="1" customWidth="1"/>
    <col min="10528" max="10528" width="8.33203125" style="18" customWidth="1"/>
    <col min="10529" max="10539" width="9.33203125" style="18" customWidth="1"/>
    <col min="10540" max="10779" width="10.33203125" style="18"/>
    <col min="10780" max="10780" width="52.33203125" style="18" customWidth="1"/>
    <col min="10781" max="10781" width="11.33203125" style="18" customWidth="1"/>
    <col min="10782" max="10782" width="14.33203125" style="18" bestFit="1" customWidth="1"/>
    <col min="10783" max="10783" width="20.33203125" style="18" bestFit="1" customWidth="1"/>
    <col min="10784" max="10784" width="8.33203125" style="18" customWidth="1"/>
    <col min="10785" max="10795" width="9.33203125" style="18" customWidth="1"/>
    <col min="10796" max="11035" width="10.33203125" style="18"/>
    <col min="11036" max="11036" width="52.33203125" style="18" customWidth="1"/>
    <col min="11037" max="11037" width="11.33203125" style="18" customWidth="1"/>
    <col min="11038" max="11038" width="14.33203125" style="18" bestFit="1" customWidth="1"/>
    <col min="11039" max="11039" width="20.33203125" style="18" bestFit="1" customWidth="1"/>
    <col min="11040" max="11040" width="8.33203125" style="18" customWidth="1"/>
    <col min="11041" max="11051" width="9.33203125" style="18" customWidth="1"/>
    <col min="11052" max="11291" width="10.33203125" style="18"/>
    <col min="11292" max="11292" width="52.33203125" style="18" customWidth="1"/>
    <col min="11293" max="11293" width="11.33203125" style="18" customWidth="1"/>
    <col min="11294" max="11294" width="14.33203125" style="18" bestFit="1" customWidth="1"/>
    <col min="11295" max="11295" width="20.33203125" style="18" bestFit="1" customWidth="1"/>
    <col min="11296" max="11296" width="8.33203125" style="18" customWidth="1"/>
    <col min="11297" max="11307" width="9.33203125" style="18" customWidth="1"/>
    <col min="11308" max="11547" width="10.33203125" style="18"/>
    <col min="11548" max="11548" width="52.33203125" style="18" customWidth="1"/>
    <col min="11549" max="11549" width="11.33203125" style="18" customWidth="1"/>
    <col min="11550" max="11550" width="14.33203125" style="18" bestFit="1" customWidth="1"/>
    <col min="11551" max="11551" width="20.33203125" style="18" bestFit="1" customWidth="1"/>
    <col min="11552" max="11552" width="8.33203125" style="18" customWidth="1"/>
    <col min="11553" max="11563" width="9.33203125" style="18" customWidth="1"/>
    <col min="11564" max="11803" width="10.33203125" style="18"/>
    <col min="11804" max="11804" width="52.33203125" style="18" customWidth="1"/>
    <col min="11805" max="11805" width="11.33203125" style="18" customWidth="1"/>
    <col min="11806" max="11806" width="14.33203125" style="18" bestFit="1" customWidth="1"/>
    <col min="11807" max="11807" width="20.33203125" style="18" bestFit="1" customWidth="1"/>
    <col min="11808" max="11808" width="8.33203125" style="18" customWidth="1"/>
    <col min="11809" max="11819" width="9.33203125" style="18" customWidth="1"/>
    <col min="11820" max="12059" width="10.33203125" style="18"/>
    <col min="12060" max="12060" width="52.33203125" style="18" customWidth="1"/>
    <col min="12061" max="12061" width="11.33203125" style="18" customWidth="1"/>
    <col min="12062" max="12062" width="14.33203125" style="18" bestFit="1" customWidth="1"/>
    <col min="12063" max="12063" width="20.33203125" style="18" bestFit="1" customWidth="1"/>
    <col min="12064" max="12064" width="8.33203125" style="18" customWidth="1"/>
    <col min="12065" max="12075" width="9.33203125" style="18" customWidth="1"/>
    <col min="12076" max="12315" width="10.33203125" style="18"/>
    <col min="12316" max="12316" width="52.33203125" style="18" customWidth="1"/>
    <col min="12317" max="12317" width="11.33203125" style="18" customWidth="1"/>
    <col min="12318" max="12318" width="14.33203125" style="18" bestFit="1" customWidth="1"/>
    <col min="12319" max="12319" width="20.33203125" style="18" bestFit="1" customWidth="1"/>
    <col min="12320" max="12320" width="8.33203125" style="18" customWidth="1"/>
    <col min="12321" max="12331" width="9.33203125" style="18" customWidth="1"/>
    <col min="12332" max="12571" width="10.33203125" style="18"/>
    <col min="12572" max="12572" width="52.33203125" style="18" customWidth="1"/>
    <col min="12573" max="12573" width="11.33203125" style="18" customWidth="1"/>
    <col min="12574" max="12574" width="14.33203125" style="18" bestFit="1" customWidth="1"/>
    <col min="12575" max="12575" width="20.33203125" style="18" bestFit="1" customWidth="1"/>
    <col min="12576" max="12576" width="8.33203125" style="18" customWidth="1"/>
    <col min="12577" max="12587" width="9.33203125" style="18" customWidth="1"/>
    <col min="12588" max="12827" width="10.33203125" style="18"/>
    <col min="12828" max="12828" width="52.33203125" style="18" customWidth="1"/>
    <col min="12829" max="12829" width="11.33203125" style="18" customWidth="1"/>
    <col min="12830" max="12830" width="14.33203125" style="18" bestFit="1" customWidth="1"/>
    <col min="12831" max="12831" width="20.33203125" style="18" bestFit="1" customWidth="1"/>
    <col min="12832" max="12832" width="8.33203125" style="18" customWidth="1"/>
    <col min="12833" max="12843" width="9.33203125" style="18" customWidth="1"/>
    <col min="12844" max="13083" width="10.33203125" style="18"/>
    <col min="13084" max="13084" width="52.33203125" style="18" customWidth="1"/>
    <col min="13085" max="13085" width="11.33203125" style="18" customWidth="1"/>
    <col min="13086" max="13086" width="14.33203125" style="18" bestFit="1" customWidth="1"/>
    <col min="13087" max="13087" width="20.33203125" style="18" bestFit="1" customWidth="1"/>
    <col min="13088" max="13088" width="8.33203125" style="18" customWidth="1"/>
    <col min="13089" max="13099" width="9.33203125" style="18" customWidth="1"/>
    <col min="13100" max="13339" width="10.33203125" style="18"/>
    <col min="13340" max="13340" width="52.33203125" style="18" customWidth="1"/>
    <col min="13341" max="13341" width="11.33203125" style="18" customWidth="1"/>
    <col min="13342" max="13342" width="14.33203125" style="18" bestFit="1" customWidth="1"/>
    <col min="13343" max="13343" width="20.33203125" style="18" bestFit="1" customWidth="1"/>
    <col min="13344" max="13344" width="8.33203125" style="18" customWidth="1"/>
    <col min="13345" max="13355" width="9.33203125" style="18" customWidth="1"/>
    <col min="13356" max="13595" width="10.33203125" style="18"/>
    <col min="13596" max="13596" width="52.33203125" style="18" customWidth="1"/>
    <col min="13597" max="13597" width="11.33203125" style="18" customWidth="1"/>
    <col min="13598" max="13598" width="14.33203125" style="18" bestFit="1" customWidth="1"/>
    <col min="13599" max="13599" width="20.33203125" style="18" bestFit="1" customWidth="1"/>
    <col min="13600" max="13600" width="8.33203125" style="18" customWidth="1"/>
    <col min="13601" max="13611" width="9.33203125" style="18" customWidth="1"/>
    <col min="13612" max="13851" width="10.33203125" style="18"/>
    <col min="13852" max="13852" width="52.33203125" style="18" customWidth="1"/>
    <col min="13853" max="13853" width="11.33203125" style="18" customWidth="1"/>
    <col min="13854" max="13854" width="14.33203125" style="18" bestFit="1" customWidth="1"/>
    <col min="13855" max="13855" width="20.33203125" style="18" bestFit="1" customWidth="1"/>
    <col min="13856" max="13856" width="8.33203125" style="18" customWidth="1"/>
    <col min="13857" max="13867" width="9.33203125" style="18" customWidth="1"/>
    <col min="13868" max="14107" width="10.33203125" style="18"/>
    <col min="14108" max="14108" width="52.33203125" style="18" customWidth="1"/>
    <col min="14109" max="14109" width="11.33203125" style="18" customWidth="1"/>
    <col min="14110" max="14110" width="14.33203125" style="18" bestFit="1" customWidth="1"/>
    <col min="14111" max="14111" width="20.33203125" style="18" bestFit="1" customWidth="1"/>
    <col min="14112" max="14112" width="8.33203125" style="18" customWidth="1"/>
    <col min="14113" max="14123" width="9.33203125" style="18" customWidth="1"/>
    <col min="14124" max="14363" width="10.33203125" style="18"/>
    <col min="14364" max="14364" width="52.33203125" style="18" customWidth="1"/>
    <col min="14365" max="14365" width="11.33203125" style="18" customWidth="1"/>
    <col min="14366" max="14366" width="14.33203125" style="18" bestFit="1" customWidth="1"/>
    <col min="14367" max="14367" width="20.33203125" style="18" bestFit="1" customWidth="1"/>
    <col min="14368" max="14368" width="8.33203125" style="18" customWidth="1"/>
    <col min="14369" max="14379" width="9.33203125" style="18" customWidth="1"/>
    <col min="14380" max="14619" width="10.33203125" style="18"/>
    <col min="14620" max="14620" width="52.33203125" style="18" customWidth="1"/>
    <col min="14621" max="14621" width="11.33203125" style="18" customWidth="1"/>
    <col min="14622" max="14622" width="14.33203125" style="18" bestFit="1" customWidth="1"/>
    <col min="14623" max="14623" width="20.33203125" style="18" bestFit="1" customWidth="1"/>
    <col min="14624" max="14624" width="8.33203125" style="18" customWidth="1"/>
    <col min="14625" max="14635" width="9.33203125" style="18" customWidth="1"/>
    <col min="14636" max="14875" width="10.33203125" style="18"/>
    <col min="14876" max="14876" width="52.33203125" style="18" customWidth="1"/>
    <col min="14877" max="14877" width="11.33203125" style="18" customWidth="1"/>
    <col min="14878" max="14878" width="14.33203125" style="18" bestFit="1" customWidth="1"/>
    <col min="14879" max="14879" width="20.33203125" style="18" bestFit="1" customWidth="1"/>
    <col min="14880" max="14880" width="8.33203125" style="18" customWidth="1"/>
    <col min="14881" max="14891" width="9.33203125" style="18" customWidth="1"/>
    <col min="14892" max="15131" width="10.33203125" style="18"/>
    <col min="15132" max="15132" width="52.33203125" style="18" customWidth="1"/>
    <col min="15133" max="15133" width="11.33203125" style="18" customWidth="1"/>
    <col min="15134" max="15134" width="14.33203125" style="18" bestFit="1" customWidth="1"/>
    <col min="15135" max="15135" width="20.33203125" style="18" bestFit="1" customWidth="1"/>
    <col min="15136" max="15136" width="8.33203125" style="18" customWidth="1"/>
    <col min="15137" max="15147" width="9.33203125" style="18" customWidth="1"/>
    <col min="15148" max="15387" width="10.33203125" style="18"/>
    <col min="15388" max="15388" width="52.33203125" style="18" customWidth="1"/>
    <col min="15389" max="15389" width="11.33203125" style="18" customWidth="1"/>
    <col min="15390" max="15390" width="14.33203125" style="18" bestFit="1" customWidth="1"/>
    <col min="15391" max="15391" width="20.33203125" style="18" bestFit="1" customWidth="1"/>
    <col min="15392" max="15392" width="8.33203125" style="18" customWidth="1"/>
    <col min="15393" max="15403" width="9.33203125" style="18" customWidth="1"/>
    <col min="15404" max="15643" width="10.33203125" style="18"/>
    <col min="15644" max="15644" width="52.33203125" style="18" customWidth="1"/>
    <col min="15645" max="15645" width="11.33203125" style="18" customWidth="1"/>
    <col min="15646" max="15646" width="14.33203125" style="18" bestFit="1" customWidth="1"/>
    <col min="15647" max="15647" width="20.33203125" style="18" bestFit="1" customWidth="1"/>
    <col min="15648" max="15648" width="8.33203125" style="18" customWidth="1"/>
    <col min="15649" max="15659" width="9.33203125" style="18" customWidth="1"/>
    <col min="15660" max="15899" width="10.33203125" style="18"/>
    <col min="15900" max="15900" width="52.33203125" style="18" customWidth="1"/>
    <col min="15901" max="15901" width="11.33203125" style="18" customWidth="1"/>
    <col min="15902" max="15902" width="14.33203125" style="18" bestFit="1" customWidth="1"/>
    <col min="15903" max="15903" width="20.33203125" style="18" bestFit="1" customWidth="1"/>
    <col min="15904" max="15904" width="8.33203125" style="18" customWidth="1"/>
    <col min="15905" max="15915" width="9.33203125" style="18" customWidth="1"/>
    <col min="15916" max="16155" width="10.33203125" style="18"/>
    <col min="16156" max="16156" width="52.33203125" style="18" customWidth="1"/>
    <col min="16157" max="16157" width="11.33203125" style="18" customWidth="1"/>
    <col min="16158" max="16158" width="14.33203125" style="18" bestFit="1" customWidth="1"/>
    <col min="16159" max="16159" width="20.33203125" style="18" bestFit="1" customWidth="1"/>
    <col min="16160" max="16160" width="8.33203125" style="18" customWidth="1"/>
    <col min="16161" max="16171" width="9.33203125" style="18" customWidth="1"/>
    <col min="16172" max="16384" width="10.33203125" style="18"/>
  </cols>
  <sheetData>
    <row r="1" spans="1:48" hidden="1">
      <c r="A1" s="27" t="s">
        <v>503</v>
      </c>
    </row>
    <row r="2" spans="1:48" hidden="1">
      <c r="A2" s="229" t="s">
        <v>504</v>
      </c>
    </row>
    <row r="3" spans="1:48" s="54" customFormat="1" hidden="1">
      <c r="A3" s="110" t="s">
        <v>505</v>
      </c>
      <c r="B3" s="228" t="s">
        <v>506</v>
      </c>
      <c r="C3" s="228"/>
      <c r="D3" s="54" t="s">
        <v>12</v>
      </c>
      <c r="E3" s="230" t="s">
        <v>507</v>
      </c>
      <c r="F3" s="230" t="s">
        <v>17</v>
      </c>
      <c r="G3" s="230"/>
      <c r="H3" s="231" t="s">
        <v>267</v>
      </c>
      <c r="I3" s="232">
        <f t="shared" ref="I3:O3" si="0">J3-1000</f>
        <v>45000</v>
      </c>
      <c r="J3" s="232">
        <f t="shared" si="0"/>
        <v>46000</v>
      </c>
      <c r="K3" s="232">
        <f t="shared" si="0"/>
        <v>47000</v>
      </c>
      <c r="L3" s="232">
        <f t="shared" si="0"/>
        <v>48000</v>
      </c>
      <c r="M3" s="232">
        <f t="shared" si="0"/>
        <v>49000</v>
      </c>
      <c r="N3" s="232">
        <f t="shared" si="0"/>
        <v>50000</v>
      </c>
      <c r="O3" s="232">
        <f t="shared" si="0"/>
        <v>51000</v>
      </c>
      <c r="P3" s="232">
        <f t="shared" ref="P3:V3" si="1">Q3-1000</f>
        <v>52000</v>
      </c>
      <c r="Q3" s="232">
        <f t="shared" si="1"/>
        <v>53000</v>
      </c>
      <c r="R3" s="232">
        <f t="shared" si="1"/>
        <v>54000</v>
      </c>
      <c r="S3" s="232">
        <f t="shared" si="1"/>
        <v>55000</v>
      </c>
      <c r="T3" s="232">
        <f t="shared" si="1"/>
        <v>56000</v>
      </c>
      <c r="U3" s="232">
        <f t="shared" si="1"/>
        <v>57000</v>
      </c>
      <c r="V3" s="232">
        <f t="shared" si="1"/>
        <v>58000</v>
      </c>
      <c r="W3" s="232">
        <f>X3-1000</f>
        <v>59000</v>
      </c>
      <c r="X3" s="232">
        <v>60000</v>
      </c>
      <c r="Y3" s="232">
        <v>61000</v>
      </c>
      <c r="Z3" s="232">
        <v>62000</v>
      </c>
      <c r="AA3" s="232">
        <v>63000</v>
      </c>
      <c r="AB3" s="232">
        <v>64000</v>
      </c>
      <c r="AC3" s="232">
        <v>65000</v>
      </c>
      <c r="AD3" s="232">
        <v>66000</v>
      </c>
      <c r="AE3" s="232">
        <v>67000</v>
      </c>
      <c r="AF3" s="232">
        <v>68000</v>
      </c>
      <c r="AG3" s="232">
        <v>69000</v>
      </c>
      <c r="AH3" s="83">
        <v>70000</v>
      </c>
      <c r="AI3" s="83">
        <v>71000</v>
      </c>
      <c r="AJ3" s="83">
        <v>72000</v>
      </c>
      <c r="AK3" s="83">
        <v>73000</v>
      </c>
      <c r="AL3" s="83">
        <v>74000</v>
      </c>
      <c r="AM3" s="83">
        <v>75000</v>
      </c>
      <c r="AN3" s="83">
        <v>76000</v>
      </c>
      <c r="AO3" s="83">
        <v>77000</v>
      </c>
      <c r="AP3" s="83">
        <v>78000</v>
      </c>
      <c r="AQ3" s="83">
        <v>79000</v>
      </c>
      <c r="AR3" s="83">
        <v>80000</v>
      </c>
    </row>
    <row r="4" spans="1:48" hidden="1">
      <c r="A4" s="13" t="s">
        <v>508</v>
      </c>
      <c r="B4" s="233"/>
      <c r="C4" s="233"/>
      <c r="D4" s="15" t="s">
        <v>39</v>
      </c>
      <c r="E4" s="18" t="s">
        <v>509</v>
      </c>
      <c r="F4" s="25">
        <v>17.8</v>
      </c>
      <c r="G4" s="25"/>
      <c r="H4" s="18">
        <v>3.03</v>
      </c>
      <c r="I4" s="204">
        <f t="shared" ref="I4:V13" si="2">ROUND(J4-$H4,2)</f>
        <v>358.2</v>
      </c>
      <c r="J4" s="204">
        <f t="shared" si="2"/>
        <v>361.23</v>
      </c>
      <c r="K4" s="204">
        <f t="shared" si="2"/>
        <v>364.26</v>
      </c>
      <c r="L4" s="204">
        <f t="shared" si="2"/>
        <v>367.29</v>
      </c>
      <c r="M4" s="204">
        <f t="shared" si="2"/>
        <v>370.32</v>
      </c>
      <c r="N4" s="204">
        <f t="shared" si="2"/>
        <v>373.35</v>
      </c>
      <c r="O4" s="204">
        <f t="shared" si="2"/>
        <v>376.38</v>
      </c>
      <c r="P4" s="204">
        <f t="shared" si="2"/>
        <v>379.41</v>
      </c>
      <c r="Q4" s="204">
        <f t="shared" si="2"/>
        <v>382.44</v>
      </c>
      <c r="R4" s="204">
        <f t="shared" si="2"/>
        <v>385.47</v>
      </c>
      <c r="S4" s="204">
        <f t="shared" si="2"/>
        <v>388.5</v>
      </c>
      <c r="T4" s="204">
        <f t="shared" si="2"/>
        <v>391.53</v>
      </c>
      <c r="U4" s="204">
        <f t="shared" si="2"/>
        <v>394.56</v>
      </c>
      <c r="V4" s="204">
        <f t="shared" si="2"/>
        <v>397.59</v>
      </c>
      <c r="W4" s="204">
        <f>ROUND(X4-$H4,2)</f>
        <v>400.62</v>
      </c>
      <c r="X4" s="204">
        <v>403.65</v>
      </c>
      <c r="Y4" s="204">
        <v>406.68</v>
      </c>
      <c r="Z4" s="204">
        <v>409.71</v>
      </c>
      <c r="AA4" s="204">
        <v>412.74</v>
      </c>
      <c r="AB4" s="204">
        <v>415.77</v>
      </c>
      <c r="AC4" s="204">
        <v>418.8</v>
      </c>
      <c r="AD4" s="204">
        <v>421.83</v>
      </c>
      <c r="AE4" s="204">
        <v>424.86</v>
      </c>
      <c r="AF4" s="204">
        <v>427.89</v>
      </c>
      <c r="AG4" s="204">
        <v>430.92</v>
      </c>
      <c r="AH4" s="204">
        <v>433.95</v>
      </c>
      <c r="AI4" s="204">
        <v>436.97999999999996</v>
      </c>
      <c r="AJ4" s="204">
        <v>440.00999999999993</v>
      </c>
      <c r="AK4" s="204">
        <v>443.03999999999991</v>
      </c>
      <c r="AL4" s="204">
        <v>446.06999999999988</v>
      </c>
      <c r="AM4" s="204">
        <v>449.09999999999985</v>
      </c>
      <c r="AN4" s="204">
        <v>452.13</v>
      </c>
      <c r="AO4" s="204">
        <v>455.16</v>
      </c>
      <c r="AP4" s="204">
        <v>458.19</v>
      </c>
      <c r="AQ4" s="204">
        <v>461.22</v>
      </c>
      <c r="AR4" s="204">
        <v>464.25</v>
      </c>
    </row>
    <row r="5" spans="1:48" hidden="1">
      <c r="A5" s="13" t="s">
        <v>508</v>
      </c>
      <c r="B5" s="233"/>
      <c r="C5" s="233"/>
      <c r="D5" s="18" t="s">
        <v>25</v>
      </c>
      <c r="E5" s="18" t="s">
        <v>509</v>
      </c>
      <c r="F5" s="25">
        <v>17.8</v>
      </c>
      <c r="G5" s="25"/>
      <c r="H5" s="18">
        <v>3.03</v>
      </c>
      <c r="I5" s="204">
        <f t="shared" si="2"/>
        <v>380.95</v>
      </c>
      <c r="J5" s="204">
        <f t="shared" si="2"/>
        <v>383.98</v>
      </c>
      <c r="K5" s="204">
        <f t="shared" si="2"/>
        <v>387.01</v>
      </c>
      <c r="L5" s="204">
        <f t="shared" si="2"/>
        <v>390.04</v>
      </c>
      <c r="M5" s="204">
        <f t="shared" si="2"/>
        <v>393.07</v>
      </c>
      <c r="N5" s="204">
        <f t="shared" si="2"/>
        <v>396.1</v>
      </c>
      <c r="O5" s="204">
        <f t="shared" si="2"/>
        <v>399.13</v>
      </c>
      <c r="P5" s="204">
        <f t="shared" si="2"/>
        <v>402.16</v>
      </c>
      <c r="Q5" s="204">
        <f t="shared" si="2"/>
        <v>405.19</v>
      </c>
      <c r="R5" s="204">
        <f t="shared" si="2"/>
        <v>408.22</v>
      </c>
      <c r="S5" s="204">
        <f t="shared" si="2"/>
        <v>411.25</v>
      </c>
      <c r="T5" s="204">
        <f t="shared" si="2"/>
        <v>414.28</v>
      </c>
      <c r="U5" s="204">
        <f t="shared" si="2"/>
        <v>417.31</v>
      </c>
      <c r="V5" s="204">
        <f t="shared" si="2"/>
        <v>420.34</v>
      </c>
      <c r="W5" s="204">
        <f t="shared" ref="W5:W13" si="3">ROUND(X5-$H5,2)</f>
        <v>423.37</v>
      </c>
      <c r="X5" s="204">
        <v>426.4</v>
      </c>
      <c r="Y5" s="204">
        <v>429.43</v>
      </c>
      <c r="Z5" s="204">
        <v>432.46</v>
      </c>
      <c r="AA5" s="204">
        <v>435.49</v>
      </c>
      <c r="AB5" s="204">
        <v>438.52</v>
      </c>
      <c r="AC5" s="204">
        <v>441.55</v>
      </c>
      <c r="AD5" s="204">
        <v>444.58</v>
      </c>
      <c r="AE5" s="204">
        <v>447.61</v>
      </c>
      <c r="AF5" s="204">
        <v>450.64</v>
      </c>
      <c r="AG5" s="204">
        <v>453.67</v>
      </c>
      <c r="AH5" s="204">
        <v>456.7</v>
      </c>
      <c r="AI5" s="204">
        <v>459.72999999999996</v>
      </c>
      <c r="AJ5" s="204">
        <v>462.75999999999993</v>
      </c>
      <c r="AK5" s="204">
        <v>465.78999999999991</v>
      </c>
      <c r="AL5" s="204">
        <v>468.81999999999988</v>
      </c>
      <c r="AM5" s="204">
        <v>471.84999999999985</v>
      </c>
      <c r="AN5" s="204">
        <v>474.88</v>
      </c>
      <c r="AO5" s="204">
        <v>477.91</v>
      </c>
      <c r="AP5" s="204">
        <v>480.94</v>
      </c>
      <c r="AQ5" s="204">
        <v>483.97</v>
      </c>
      <c r="AR5" s="204">
        <v>487</v>
      </c>
    </row>
    <row r="6" spans="1:48" hidden="1">
      <c r="A6" s="14" t="s">
        <v>510</v>
      </c>
      <c r="D6" s="18" t="s">
        <v>39</v>
      </c>
      <c r="E6" s="18" t="s">
        <v>509</v>
      </c>
      <c r="F6" s="25">
        <v>21.3</v>
      </c>
      <c r="G6" s="25"/>
      <c r="H6" s="18">
        <v>3.79</v>
      </c>
      <c r="I6" s="204">
        <f t="shared" si="2"/>
        <v>385.23</v>
      </c>
      <c r="J6" s="204">
        <f t="shared" si="2"/>
        <v>389.02</v>
      </c>
      <c r="K6" s="204">
        <f t="shared" si="2"/>
        <v>392.81</v>
      </c>
      <c r="L6" s="204">
        <f t="shared" si="2"/>
        <v>396.6</v>
      </c>
      <c r="M6" s="204">
        <f t="shared" si="2"/>
        <v>400.39</v>
      </c>
      <c r="N6" s="204">
        <f t="shared" si="2"/>
        <v>404.18</v>
      </c>
      <c r="O6" s="204">
        <f t="shared" si="2"/>
        <v>407.97</v>
      </c>
      <c r="P6" s="204">
        <f t="shared" si="2"/>
        <v>411.76</v>
      </c>
      <c r="Q6" s="204">
        <f t="shared" si="2"/>
        <v>415.55</v>
      </c>
      <c r="R6" s="204">
        <f t="shared" si="2"/>
        <v>419.34</v>
      </c>
      <c r="S6" s="204">
        <f t="shared" si="2"/>
        <v>423.13</v>
      </c>
      <c r="T6" s="204">
        <f t="shared" si="2"/>
        <v>426.92</v>
      </c>
      <c r="U6" s="204">
        <f t="shared" si="2"/>
        <v>430.71</v>
      </c>
      <c r="V6" s="204">
        <f t="shared" si="2"/>
        <v>434.5</v>
      </c>
      <c r="W6" s="204">
        <f t="shared" si="3"/>
        <v>438.29</v>
      </c>
      <c r="X6" s="204">
        <v>442.08</v>
      </c>
      <c r="Y6" s="204">
        <v>445.87</v>
      </c>
      <c r="Z6" s="204">
        <v>449.66</v>
      </c>
      <c r="AA6" s="204">
        <v>453.45</v>
      </c>
      <c r="AB6" s="204">
        <v>457.24</v>
      </c>
      <c r="AC6" s="204">
        <v>461.03</v>
      </c>
      <c r="AD6" s="204">
        <v>464.82</v>
      </c>
      <c r="AE6" s="204">
        <v>468.61</v>
      </c>
      <c r="AF6" s="204">
        <v>472.4</v>
      </c>
      <c r="AG6" s="204">
        <v>476.19</v>
      </c>
      <c r="AH6" s="204">
        <v>479.98</v>
      </c>
      <c r="AI6" s="204">
        <v>483.77000000000004</v>
      </c>
      <c r="AJ6" s="204">
        <v>487.56000000000006</v>
      </c>
      <c r="AK6" s="204">
        <v>491.35000000000008</v>
      </c>
      <c r="AL6" s="204">
        <v>495.1400000000001</v>
      </c>
      <c r="AM6" s="204">
        <v>498.93000000000012</v>
      </c>
      <c r="AN6" s="204">
        <v>502.72</v>
      </c>
      <c r="AO6" s="204">
        <v>506.51</v>
      </c>
      <c r="AP6" s="204">
        <v>510.3</v>
      </c>
      <c r="AQ6" s="204">
        <v>514.09</v>
      </c>
      <c r="AR6" s="204">
        <v>517.88</v>
      </c>
    </row>
    <row r="7" spans="1:48" hidden="1">
      <c r="A7" s="13" t="s">
        <v>510</v>
      </c>
      <c r="B7" s="233"/>
      <c r="C7" s="233"/>
      <c r="D7" s="15" t="s">
        <v>25</v>
      </c>
      <c r="E7" s="18" t="s">
        <v>509</v>
      </c>
      <c r="F7" s="16">
        <v>21.3</v>
      </c>
      <c r="G7" s="16"/>
      <c r="H7" s="18">
        <v>3.79</v>
      </c>
      <c r="I7" s="204">
        <f t="shared" si="2"/>
        <v>412.68</v>
      </c>
      <c r="J7" s="204">
        <f t="shared" si="2"/>
        <v>416.47</v>
      </c>
      <c r="K7" s="204">
        <f t="shared" si="2"/>
        <v>420.26</v>
      </c>
      <c r="L7" s="204">
        <f t="shared" si="2"/>
        <v>424.05</v>
      </c>
      <c r="M7" s="204">
        <f t="shared" si="2"/>
        <v>427.84</v>
      </c>
      <c r="N7" s="204">
        <f t="shared" si="2"/>
        <v>431.63</v>
      </c>
      <c r="O7" s="204">
        <f t="shared" si="2"/>
        <v>435.42</v>
      </c>
      <c r="P7" s="204">
        <f t="shared" si="2"/>
        <v>439.21</v>
      </c>
      <c r="Q7" s="204">
        <f t="shared" si="2"/>
        <v>443</v>
      </c>
      <c r="R7" s="204">
        <f t="shared" si="2"/>
        <v>446.79</v>
      </c>
      <c r="S7" s="204">
        <f t="shared" si="2"/>
        <v>450.58</v>
      </c>
      <c r="T7" s="204">
        <f t="shared" si="2"/>
        <v>454.37</v>
      </c>
      <c r="U7" s="204">
        <f t="shared" si="2"/>
        <v>458.16</v>
      </c>
      <c r="V7" s="204">
        <f t="shared" si="2"/>
        <v>461.95</v>
      </c>
      <c r="W7" s="204">
        <f t="shared" si="3"/>
        <v>465.74</v>
      </c>
      <c r="X7" s="204">
        <v>469.53</v>
      </c>
      <c r="Y7" s="204">
        <v>473.32</v>
      </c>
      <c r="Z7" s="204">
        <v>477.11</v>
      </c>
      <c r="AA7" s="204">
        <v>480.9</v>
      </c>
      <c r="AB7" s="204">
        <v>484.69</v>
      </c>
      <c r="AC7" s="204">
        <v>488.48</v>
      </c>
      <c r="AD7" s="204">
        <v>492.27</v>
      </c>
      <c r="AE7" s="204">
        <v>496.06</v>
      </c>
      <c r="AF7" s="204">
        <v>499.85</v>
      </c>
      <c r="AG7" s="204">
        <v>503.64</v>
      </c>
      <c r="AH7" s="204">
        <v>507.43</v>
      </c>
      <c r="AI7" s="204">
        <v>511.23</v>
      </c>
      <c r="AJ7" s="204">
        <v>515.03</v>
      </c>
      <c r="AK7" s="204">
        <v>518.82999999999993</v>
      </c>
      <c r="AL7" s="204">
        <v>522.62999999999988</v>
      </c>
      <c r="AM7" s="204">
        <v>526.42999999999984</v>
      </c>
      <c r="AN7" s="204">
        <v>530.23</v>
      </c>
      <c r="AO7" s="204">
        <v>534.03</v>
      </c>
      <c r="AP7" s="204">
        <v>537.83000000000004</v>
      </c>
      <c r="AQ7" s="204">
        <v>541.63</v>
      </c>
      <c r="AR7" s="204">
        <v>545.42999999999995</v>
      </c>
    </row>
    <row r="8" spans="1:48" hidden="1">
      <c r="A8" s="14" t="s">
        <v>511</v>
      </c>
      <c r="D8" s="18" t="s">
        <v>39</v>
      </c>
      <c r="E8" s="18" t="s">
        <v>509</v>
      </c>
      <c r="F8" s="25">
        <v>18.34</v>
      </c>
      <c r="G8" s="25"/>
      <c r="H8" s="18">
        <v>3.18</v>
      </c>
      <c r="I8" s="204">
        <f t="shared" si="2"/>
        <v>377.3</v>
      </c>
      <c r="J8" s="204">
        <f t="shared" si="2"/>
        <v>380.48</v>
      </c>
      <c r="K8" s="204">
        <f t="shared" si="2"/>
        <v>383.66</v>
      </c>
      <c r="L8" s="204">
        <f t="shared" si="2"/>
        <v>386.84</v>
      </c>
      <c r="M8" s="204">
        <f t="shared" si="2"/>
        <v>390.02</v>
      </c>
      <c r="N8" s="204">
        <f t="shared" si="2"/>
        <v>393.2</v>
      </c>
      <c r="O8" s="204">
        <f t="shared" si="2"/>
        <v>396.38</v>
      </c>
      <c r="P8" s="204">
        <f t="shared" si="2"/>
        <v>399.56</v>
      </c>
      <c r="Q8" s="204">
        <f t="shared" si="2"/>
        <v>402.74</v>
      </c>
      <c r="R8" s="204">
        <f t="shared" si="2"/>
        <v>405.92</v>
      </c>
      <c r="S8" s="204">
        <f t="shared" si="2"/>
        <v>409.1</v>
      </c>
      <c r="T8" s="204">
        <f t="shared" si="2"/>
        <v>412.28</v>
      </c>
      <c r="U8" s="204">
        <f t="shared" si="2"/>
        <v>415.46</v>
      </c>
      <c r="V8" s="204">
        <f t="shared" si="2"/>
        <v>418.64</v>
      </c>
      <c r="W8" s="204">
        <f t="shared" si="3"/>
        <v>421.82</v>
      </c>
      <c r="X8" s="204">
        <v>425</v>
      </c>
      <c r="Y8" s="204">
        <v>428.18</v>
      </c>
      <c r="Z8" s="204">
        <v>431.36</v>
      </c>
      <c r="AA8" s="204">
        <v>434.54</v>
      </c>
      <c r="AB8" s="204">
        <v>437.72</v>
      </c>
      <c r="AC8" s="204">
        <v>440.9</v>
      </c>
      <c r="AD8" s="204">
        <v>444.08</v>
      </c>
      <c r="AE8" s="204">
        <v>447.26</v>
      </c>
      <c r="AF8" s="204">
        <v>450.44</v>
      </c>
      <c r="AG8" s="204">
        <v>453.62</v>
      </c>
      <c r="AH8" s="204">
        <v>456.8</v>
      </c>
      <c r="AI8" s="204">
        <v>459.99</v>
      </c>
      <c r="AJ8" s="204">
        <v>463.18</v>
      </c>
      <c r="AK8" s="204">
        <v>466.37</v>
      </c>
      <c r="AL8" s="204">
        <v>469.56</v>
      </c>
      <c r="AM8" s="204">
        <v>472.75</v>
      </c>
      <c r="AN8" s="204">
        <v>475.94</v>
      </c>
      <c r="AO8" s="204">
        <v>479.13</v>
      </c>
      <c r="AP8" s="204">
        <v>482.32</v>
      </c>
      <c r="AQ8" s="204">
        <v>485.51</v>
      </c>
      <c r="AR8" s="204">
        <v>488.7</v>
      </c>
    </row>
    <row r="9" spans="1:48" s="35" customFormat="1" hidden="1">
      <c r="A9" s="234" t="s">
        <v>512</v>
      </c>
      <c r="B9" s="228" t="s">
        <v>513</v>
      </c>
      <c r="C9" s="228"/>
      <c r="D9" s="18" t="s">
        <v>25</v>
      </c>
      <c r="E9" s="18" t="s">
        <v>509</v>
      </c>
      <c r="F9" s="16">
        <v>18.34</v>
      </c>
      <c r="G9" s="16"/>
      <c r="H9" s="18">
        <v>3.18</v>
      </c>
      <c r="I9" s="204">
        <f t="shared" si="2"/>
        <v>401.21</v>
      </c>
      <c r="J9" s="204">
        <f t="shared" si="2"/>
        <v>404.39</v>
      </c>
      <c r="K9" s="204">
        <f t="shared" si="2"/>
        <v>407.57</v>
      </c>
      <c r="L9" s="204">
        <f t="shared" si="2"/>
        <v>410.75</v>
      </c>
      <c r="M9" s="204">
        <f t="shared" si="2"/>
        <v>413.93</v>
      </c>
      <c r="N9" s="204">
        <f t="shared" si="2"/>
        <v>417.11</v>
      </c>
      <c r="O9" s="204">
        <f t="shared" si="2"/>
        <v>420.29</v>
      </c>
      <c r="P9" s="204">
        <f t="shared" si="2"/>
        <v>423.47</v>
      </c>
      <c r="Q9" s="204">
        <f t="shared" si="2"/>
        <v>426.65</v>
      </c>
      <c r="R9" s="204">
        <f t="shared" si="2"/>
        <v>429.83</v>
      </c>
      <c r="S9" s="204">
        <f t="shared" si="2"/>
        <v>433.01</v>
      </c>
      <c r="T9" s="204">
        <f t="shared" si="2"/>
        <v>436.19</v>
      </c>
      <c r="U9" s="204">
        <f t="shared" si="2"/>
        <v>439.37</v>
      </c>
      <c r="V9" s="204">
        <f t="shared" si="2"/>
        <v>442.55</v>
      </c>
      <c r="W9" s="204">
        <f t="shared" si="3"/>
        <v>445.73</v>
      </c>
      <c r="X9" s="204">
        <f t="shared" ref="X9:AG9" si="4">Y9-3.18</f>
        <v>448.90999999999991</v>
      </c>
      <c r="Y9" s="204">
        <f t="shared" si="4"/>
        <v>452.08999999999992</v>
      </c>
      <c r="Z9" s="204">
        <f t="shared" si="4"/>
        <v>455.26999999999992</v>
      </c>
      <c r="AA9" s="204">
        <f t="shared" si="4"/>
        <v>458.44999999999993</v>
      </c>
      <c r="AB9" s="204">
        <f t="shared" si="4"/>
        <v>461.62999999999994</v>
      </c>
      <c r="AC9" s="204">
        <f t="shared" si="4"/>
        <v>464.80999999999995</v>
      </c>
      <c r="AD9" s="204">
        <f t="shared" si="4"/>
        <v>467.98999999999995</v>
      </c>
      <c r="AE9" s="204">
        <f t="shared" si="4"/>
        <v>471.16999999999996</v>
      </c>
      <c r="AF9" s="204">
        <f t="shared" si="4"/>
        <v>474.34999999999997</v>
      </c>
      <c r="AG9" s="204">
        <f t="shared" si="4"/>
        <v>477.53</v>
      </c>
      <c r="AH9" s="204">
        <f>AI9-3.18</f>
        <v>480.71</v>
      </c>
      <c r="AI9" s="204">
        <v>483.89</v>
      </c>
      <c r="AJ9" s="204">
        <f>AI9+3.18</f>
        <v>487.07</v>
      </c>
      <c r="AK9" s="204">
        <f t="shared" ref="AK9:AR9" si="5">AJ9+3.18</f>
        <v>490.25</v>
      </c>
      <c r="AL9" s="204">
        <f t="shared" si="5"/>
        <v>493.43</v>
      </c>
      <c r="AM9" s="204">
        <f t="shared" si="5"/>
        <v>496.61</v>
      </c>
      <c r="AN9" s="204">
        <f t="shared" si="5"/>
        <v>499.79</v>
      </c>
      <c r="AO9" s="204">
        <f t="shared" si="5"/>
        <v>502.97</v>
      </c>
      <c r="AP9" s="204">
        <f t="shared" si="5"/>
        <v>506.15000000000003</v>
      </c>
      <c r="AQ9" s="204">
        <f t="shared" si="5"/>
        <v>509.33000000000004</v>
      </c>
      <c r="AR9" s="204">
        <f t="shared" si="5"/>
        <v>512.51</v>
      </c>
      <c r="AS9" s="18"/>
      <c r="AT9" s="18"/>
      <c r="AU9" s="18"/>
      <c r="AV9" s="18"/>
    </row>
    <row r="10" spans="1:48" hidden="1">
      <c r="A10" s="14" t="s">
        <v>514</v>
      </c>
      <c r="D10" s="18" t="s">
        <v>39</v>
      </c>
      <c r="E10" s="18" t="s">
        <v>509</v>
      </c>
      <c r="F10" s="25">
        <v>21</v>
      </c>
      <c r="G10" s="25"/>
      <c r="H10" s="18">
        <v>3.51</v>
      </c>
      <c r="I10" s="204">
        <f t="shared" si="2"/>
        <v>363.02</v>
      </c>
      <c r="J10" s="204">
        <f t="shared" si="2"/>
        <v>366.53</v>
      </c>
      <c r="K10" s="204">
        <f t="shared" si="2"/>
        <v>370.04</v>
      </c>
      <c r="L10" s="204">
        <f t="shared" si="2"/>
        <v>373.55</v>
      </c>
      <c r="M10" s="204">
        <f t="shared" si="2"/>
        <v>377.06</v>
      </c>
      <c r="N10" s="204">
        <f t="shared" si="2"/>
        <v>380.57</v>
      </c>
      <c r="O10" s="204">
        <f t="shared" si="2"/>
        <v>384.08</v>
      </c>
      <c r="P10" s="204">
        <f t="shared" si="2"/>
        <v>387.59</v>
      </c>
      <c r="Q10" s="204">
        <f t="shared" si="2"/>
        <v>391.1</v>
      </c>
      <c r="R10" s="204">
        <f t="shared" si="2"/>
        <v>394.61</v>
      </c>
      <c r="S10" s="204">
        <f t="shared" si="2"/>
        <v>398.12</v>
      </c>
      <c r="T10" s="204">
        <f t="shared" si="2"/>
        <v>401.63</v>
      </c>
      <c r="U10" s="204">
        <f t="shared" si="2"/>
        <v>405.14</v>
      </c>
      <c r="V10" s="204">
        <f t="shared" si="2"/>
        <v>408.65</v>
      </c>
      <c r="W10" s="204">
        <f t="shared" si="3"/>
        <v>412.16</v>
      </c>
      <c r="X10" s="204">
        <v>415.67</v>
      </c>
      <c r="Y10" s="204">
        <v>419.18</v>
      </c>
      <c r="Z10" s="204">
        <v>422.69</v>
      </c>
      <c r="AA10" s="204">
        <v>426.2</v>
      </c>
      <c r="AB10" s="204">
        <v>429.71</v>
      </c>
      <c r="AC10" s="204">
        <v>433.22</v>
      </c>
      <c r="AD10" s="204">
        <v>436.73</v>
      </c>
      <c r="AE10" s="204">
        <v>440.24</v>
      </c>
      <c r="AF10" s="204">
        <v>443.75</v>
      </c>
      <c r="AG10" s="204">
        <v>447.26</v>
      </c>
      <c r="AH10" s="204">
        <v>450.77</v>
      </c>
      <c r="AI10" s="204">
        <v>454.28</v>
      </c>
      <c r="AJ10" s="204">
        <v>457.78999999999996</v>
      </c>
      <c r="AK10" s="204">
        <v>461.29999999999995</v>
      </c>
      <c r="AL10" s="204">
        <v>464.80999999999995</v>
      </c>
      <c r="AM10" s="204">
        <v>468.31999999999994</v>
      </c>
      <c r="AN10" s="204">
        <v>471.83</v>
      </c>
      <c r="AO10" s="204">
        <v>475.34</v>
      </c>
      <c r="AP10" s="204">
        <v>478.85</v>
      </c>
      <c r="AQ10" s="204">
        <v>482.36</v>
      </c>
      <c r="AR10" s="204">
        <v>485.87</v>
      </c>
    </row>
    <row r="11" spans="1:48" hidden="1">
      <c r="A11" s="14" t="s">
        <v>514</v>
      </c>
      <c r="D11" s="18" t="s">
        <v>25</v>
      </c>
      <c r="E11" s="18" t="s">
        <v>509</v>
      </c>
      <c r="F11" s="25">
        <v>21</v>
      </c>
      <c r="G11" s="25"/>
      <c r="H11" s="18">
        <v>3.51</v>
      </c>
      <c r="I11" s="204">
        <f t="shared" si="2"/>
        <v>378.07</v>
      </c>
      <c r="J11" s="204">
        <f t="shared" si="2"/>
        <v>381.58</v>
      </c>
      <c r="K11" s="204">
        <f t="shared" si="2"/>
        <v>385.09</v>
      </c>
      <c r="L11" s="204">
        <f t="shared" si="2"/>
        <v>388.6</v>
      </c>
      <c r="M11" s="204">
        <f t="shared" si="2"/>
        <v>392.11</v>
      </c>
      <c r="N11" s="204">
        <f t="shared" si="2"/>
        <v>395.62</v>
      </c>
      <c r="O11" s="204">
        <f t="shared" si="2"/>
        <v>399.13</v>
      </c>
      <c r="P11" s="204">
        <f t="shared" si="2"/>
        <v>402.64</v>
      </c>
      <c r="Q11" s="204">
        <f t="shared" si="2"/>
        <v>406.15</v>
      </c>
      <c r="R11" s="204">
        <f t="shared" si="2"/>
        <v>409.66</v>
      </c>
      <c r="S11" s="204">
        <f t="shared" si="2"/>
        <v>413.17</v>
      </c>
      <c r="T11" s="204">
        <f t="shared" si="2"/>
        <v>416.68</v>
      </c>
      <c r="U11" s="204">
        <f t="shared" si="2"/>
        <v>420.19</v>
      </c>
      <c r="V11" s="204">
        <f t="shared" si="2"/>
        <v>423.7</v>
      </c>
      <c r="W11" s="204">
        <f t="shared" si="3"/>
        <v>427.21</v>
      </c>
      <c r="X11" s="204">
        <v>430.72</v>
      </c>
      <c r="Y11" s="204">
        <v>434.23</v>
      </c>
      <c r="Z11" s="204">
        <v>437.74</v>
      </c>
      <c r="AA11" s="204">
        <v>441.25</v>
      </c>
      <c r="AB11" s="204">
        <v>444.76</v>
      </c>
      <c r="AC11" s="204">
        <v>448.27</v>
      </c>
      <c r="AD11" s="204">
        <v>451.78</v>
      </c>
      <c r="AE11" s="204">
        <v>455.29</v>
      </c>
      <c r="AF11" s="204">
        <v>458.8</v>
      </c>
      <c r="AG11" s="204">
        <v>462.31</v>
      </c>
      <c r="AH11" s="204">
        <v>465.81999999999971</v>
      </c>
      <c r="AI11" s="204">
        <v>469.3299999999997</v>
      </c>
      <c r="AJ11" s="204">
        <v>472.83999999999969</v>
      </c>
      <c r="AK11" s="204">
        <v>476.34999999999968</v>
      </c>
      <c r="AL11" s="204">
        <v>479.85999999999967</v>
      </c>
      <c r="AM11" s="204">
        <v>483.36999999999966</v>
      </c>
      <c r="AN11" s="204">
        <v>486.87999999999965</v>
      </c>
      <c r="AO11" s="204">
        <v>490.38999999999965</v>
      </c>
      <c r="AP11" s="204">
        <v>493.89999999999964</v>
      </c>
      <c r="AQ11" s="204">
        <v>497.40999999999963</v>
      </c>
      <c r="AR11" s="204">
        <v>500.91999999999962</v>
      </c>
    </row>
    <row r="12" spans="1:48" hidden="1">
      <c r="A12" s="14" t="s">
        <v>515</v>
      </c>
      <c r="D12" s="18" t="s">
        <v>39</v>
      </c>
      <c r="E12" s="18" t="s">
        <v>509</v>
      </c>
      <c r="F12" s="25">
        <v>18.34</v>
      </c>
      <c r="G12" s="25"/>
      <c r="H12" s="18">
        <v>3.18</v>
      </c>
      <c r="I12" s="204">
        <f t="shared" si="2"/>
        <v>359.18</v>
      </c>
      <c r="J12" s="204">
        <f t="shared" si="2"/>
        <v>362.36</v>
      </c>
      <c r="K12" s="204">
        <f t="shared" si="2"/>
        <v>365.54</v>
      </c>
      <c r="L12" s="204">
        <f t="shared" si="2"/>
        <v>368.72</v>
      </c>
      <c r="M12" s="204">
        <f t="shared" si="2"/>
        <v>371.9</v>
      </c>
      <c r="N12" s="204">
        <f t="shared" si="2"/>
        <v>375.08</v>
      </c>
      <c r="O12" s="204">
        <f t="shared" si="2"/>
        <v>378.26</v>
      </c>
      <c r="P12" s="204">
        <f t="shared" si="2"/>
        <v>381.44</v>
      </c>
      <c r="Q12" s="204">
        <f t="shared" si="2"/>
        <v>384.62</v>
      </c>
      <c r="R12" s="204">
        <f t="shared" si="2"/>
        <v>387.8</v>
      </c>
      <c r="S12" s="204">
        <f t="shared" si="2"/>
        <v>390.98</v>
      </c>
      <c r="T12" s="204">
        <f t="shared" si="2"/>
        <v>394.16</v>
      </c>
      <c r="U12" s="204">
        <f t="shared" si="2"/>
        <v>397.34</v>
      </c>
      <c r="V12" s="204">
        <f t="shared" si="2"/>
        <v>400.52</v>
      </c>
      <c r="W12" s="204">
        <f t="shared" si="3"/>
        <v>403.7</v>
      </c>
      <c r="X12" s="204">
        <v>406.88</v>
      </c>
      <c r="Y12" s="204">
        <v>410.06</v>
      </c>
      <c r="Z12" s="204">
        <v>413.24</v>
      </c>
      <c r="AA12" s="204">
        <v>416.42</v>
      </c>
      <c r="AB12" s="204">
        <v>419.6</v>
      </c>
      <c r="AC12" s="204">
        <v>422.78</v>
      </c>
      <c r="AD12" s="204">
        <v>425.96</v>
      </c>
      <c r="AE12" s="204">
        <v>429.14</v>
      </c>
      <c r="AF12" s="204">
        <v>432.32</v>
      </c>
      <c r="AG12" s="204">
        <v>435.5</v>
      </c>
      <c r="AH12" s="204">
        <v>438.68</v>
      </c>
      <c r="AI12" s="204">
        <v>441.87</v>
      </c>
      <c r="AJ12" s="204">
        <v>445.06</v>
      </c>
      <c r="AK12" s="204">
        <v>448.25</v>
      </c>
      <c r="AL12" s="204">
        <v>451.44</v>
      </c>
      <c r="AM12" s="204">
        <v>454.63</v>
      </c>
      <c r="AN12" s="204">
        <v>457.82</v>
      </c>
      <c r="AO12" s="204">
        <v>461.01</v>
      </c>
      <c r="AP12" s="204">
        <v>464.2</v>
      </c>
      <c r="AQ12" s="204">
        <v>467.39</v>
      </c>
      <c r="AR12" s="204">
        <v>470.58</v>
      </c>
    </row>
    <row r="13" spans="1:48" hidden="1">
      <c r="A13" s="14" t="s">
        <v>515</v>
      </c>
      <c r="D13" s="18" t="s">
        <v>25</v>
      </c>
      <c r="E13" s="18" t="s">
        <v>509</v>
      </c>
      <c r="F13" s="25">
        <v>18.34</v>
      </c>
      <c r="G13" s="25"/>
      <c r="H13" s="18">
        <v>3.18</v>
      </c>
      <c r="I13" s="204">
        <f t="shared" si="2"/>
        <v>374.32</v>
      </c>
      <c r="J13" s="204">
        <f t="shared" si="2"/>
        <v>377.5</v>
      </c>
      <c r="K13" s="204">
        <f t="shared" si="2"/>
        <v>380.68</v>
      </c>
      <c r="L13" s="204">
        <f t="shared" si="2"/>
        <v>383.86</v>
      </c>
      <c r="M13" s="204">
        <f t="shared" si="2"/>
        <v>387.04</v>
      </c>
      <c r="N13" s="204">
        <f t="shared" si="2"/>
        <v>390.22</v>
      </c>
      <c r="O13" s="204">
        <f t="shared" si="2"/>
        <v>393.4</v>
      </c>
      <c r="P13" s="204">
        <f t="shared" si="2"/>
        <v>396.58</v>
      </c>
      <c r="Q13" s="204">
        <f t="shared" si="2"/>
        <v>399.76</v>
      </c>
      <c r="R13" s="204">
        <f t="shared" si="2"/>
        <v>402.94</v>
      </c>
      <c r="S13" s="204">
        <f t="shared" si="2"/>
        <v>406.12</v>
      </c>
      <c r="T13" s="204">
        <f t="shared" si="2"/>
        <v>409.3</v>
      </c>
      <c r="U13" s="204">
        <f t="shared" si="2"/>
        <v>412.48</v>
      </c>
      <c r="V13" s="204">
        <f t="shared" si="2"/>
        <v>415.66</v>
      </c>
      <c r="W13" s="204">
        <f t="shared" si="3"/>
        <v>418.84</v>
      </c>
      <c r="X13" s="204">
        <v>422.02</v>
      </c>
      <c r="Y13" s="204">
        <v>425.2</v>
      </c>
      <c r="Z13" s="204">
        <v>428.38</v>
      </c>
      <c r="AA13" s="204">
        <v>431.56</v>
      </c>
      <c r="AB13" s="204">
        <v>434.74</v>
      </c>
      <c r="AC13" s="204">
        <v>437.92</v>
      </c>
      <c r="AD13" s="204">
        <v>441.1</v>
      </c>
      <c r="AE13" s="204">
        <v>444.28</v>
      </c>
      <c r="AF13" s="204">
        <v>447.46</v>
      </c>
      <c r="AG13" s="204">
        <v>450.64</v>
      </c>
      <c r="AH13" s="204">
        <v>453.81999999999994</v>
      </c>
      <c r="AI13" s="204">
        <v>457.00999999999993</v>
      </c>
      <c r="AJ13" s="204">
        <v>460.19999999999993</v>
      </c>
      <c r="AK13" s="204">
        <v>463.38999999999993</v>
      </c>
      <c r="AL13" s="204">
        <v>466.57999999999993</v>
      </c>
      <c r="AM13" s="204">
        <v>469.76999999999992</v>
      </c>
      <c r="AN13" s="204">
        <v>472.95999999999992</v>
      </c>
      <c r="AO13" s="204">
        <v>476.14999999999992</v>
      </c>
      <c r="AP13" s="204">
        <v>479.33999999999992</v>
      </c>
      <c r="AQ13" s="204">
        <v>482.52999999999992</v>
      </c>
      <c r="AR13" s="204">
        <v>485.71999999999991</v>
      </c>
    </row>
    <row r="14" spans="1:48" hidden="1">
      <c r="A14" s="27"/>
    </row>
    <row r="15" spans="1:48" hidden="1">
      <c r="A15" s="27" t="s">
        <v>516</v>
      </c>
    </row>
    <row r="16" spans="1:48" hidden="1">
      <c r="A16" s="229" t="s">
        <v>504</v>
      </c>
    </row>
    <row r="17" spans="1:55" hidden="1">
      <c r="A17" s="27" t="s">
        <v>517</v>
      </c>
    </row>
    <row r="18" spans="1:55" hidden="1">
      <c r="A18" s="27"/>
    </row>
    <row r="19" spans="1:55" s="54" customFormat="1" hidden="1">
      <c r="A19" s="110" t="s">
        <v>518</v>
      </c>
      <c r="B19" s="228" t="s">
        <v>506</v>
      </c>
      <c r="C19" s="228"/>
      <c r="D19" s="54" t="s">
        <v>12</v>
      </c>
      <c r="E19" s="230" t="s">
        <v>507</v>
      </c>
      <c r="F19" s="230" t="s">
        <v>17</v>
      </c>
      <c r="G19" s="230"/>
      <c r="H19" s="231" t="s">
        <v>267</v>
      </c>
      <c r="I19" s="232">
        <f t="shared" ref="I19:V19" si="6">J19-1000</f>
        <v>45000</v>
      </c>
      <c r="J19" s="232">
        <f t="shared" si="6"/>
        <v>46000</v>
      </c>
      <c r="K19" s="232">
        <f t="shared" si="6"/>
        <v>47000</v>
      </c>
      <c r="L19" s="232">
        <f t="shared" si="6"/>
        <v>48000</v>
      </c>
      <c r="M19" s="232">
        <f t="shared" si="6"/>
        <v>49000</v>
      </c>
      <c r="N19" s="232">
        <f t="shared" si="6"/>
        <v>50000</v>
      </c>
      <c r="O19" s="232">
        <f t="shared" si="6"/>
        <v>51000</v>
      </c>
      <c r="P19" s="232">
        <f t="shared" si="6"/>
        <v>52000</v>
      </c>
      <c r="Q19" s="232">
        <f t="shared" si="6"/>
        <v>53000</v>
      </c>
      <c r="R19" s="232">
        <f t="shared" si="6"/>
        <v>54000</v>
      </c>
      <c r="S19" s="232">
        <f t="shared" si="6"/>
        <v>55000</v>
      </c>
      <c r="T19" s="232">
        <f t="shared" si="6"/>
        <v>56000</v>
      </c>
      <c r="U19" s="232">
        <f t="shared" si="6"/>
        <v>57000</v>
      </c>
      <c r="V19" s="232">
        <f t="shared" si="6"/>
        <v>58000</v>
      </c>
      <c r="W19" s="232">
        <f>X19-1000</f>
        <v>59000</v>
      </c>
      <c r="X19" s="83">
        <v>60000</v>
      </c>
      <c r="Y19" s="83">
        <v>61000</v>
      </c>
      <c r="Z19" s="83">
        <v>62000</v>
      </c>
      <c r="AA19" s="83">
        <v>63000</v>
      </c>
      <c r="AB19" s="83">
        <v>64000</v>
      </c>
      <c r="AC19" s="83">
        <v>65000</v>
      </c>
      <c r="AD19" s="83">
        <v>66000</v>
      </c>
      <c r="AE19" s="83">
        <v>67000</v>
      </c>
      <c r="AF19" s="83">
        <v>68000</v>
      </c>
      <c r="AG19" s="83">
        <v>69000</v>
      </c>
      <c r="AH19" s="83">
        <v>70000</v>
      </c>
      <c r="AI19" s="83">
        <v>71000</v>
      </c>
      <c r="AJ19" s="83">
        <v>72000</v>
      </c>
      <c r="AK19" s="83">
        <v>73000</v>
      </c>
      <c r="AL19" s="83">
        <v>74000</v>
      </c>
      <c r="AM19" s="83">
        <v>75000</v>
      </c>
      <c r="AN19" s="83">
        <v>76000</v>
      </c>
      <c r="AO19" s="83">
        <v>77000</v>
      </c>
      <c r="AP19" s="83">
        <v>78000</v>
      </c>
      <c r="AQ19" s="83">
        <v>79000</v>
      </c>
      <c r="AR19" s="83">
        <v>80000</v>
      </c>
      <c r="AS19" s="83">
        <f>AR19+1000</f>
        <v>81000</v>
      </c>
      <c r="AT19" s="83">
        <f t="shared" ref="AT19:BB19" si="7">AS19+1000</f>
        <v>82000</v>
      </c>
      <c r="AU19" s="83">
        <f t="shared" si="7"/>
        <v>83000</v>
      </c>
      <c r="AV19" s="83">
        <f t="shared" si="7"/>
        <v>84000</v>
      </c>
      <c r="AW19" s="83">
        <f t="shared" si="7"/>
        <v>85000</v>
      </c>
      <c r="AX19" s="83">
        <f t="shared" si="7"/>
        <v>86000</v>
      </c>
      <c r="AY19" s="83">
        <f t="shared" si="7"/>
        <v>87000</v>
      </c>
      <c r="AZ19" s="83">
        <f t="shared" si="7"/>
        <v>88000</v>
      </c>
      <c r="BA19" s="83">
        <f t="shared" si="7"/>
        <v>89000</v>
      </c>
      <c r="BB19" s="83">
        <f t="shared" si="7"/>
        <v>90000</v>
      </c>
    </row>
    <row r="20" spans="1:55" hidden="1">
      <c r="A20" s="13" t="s">
        <v>508</v>
      </c>
      <c r="B20" s="233"/>
      <c r="C20" s="233"/>
      <c r="D20" s="15" t="s">
        <v>39</v>
      </c>
      <c r="E20" s="18" t="s">
        <v>509</v>
      </c>
      <c r="F20" s="25">
        <v>17.8</v>
      </c>
      <c r="G20" s="25"/>
      <c r="H20" s="18">
        <v>3.09</v>
      </c>
      <c r="I20" s="204">
        <f t="shared" ref="I20:V31" si="8">ROUND(J20-$H20,2)</f>
        <v>365.38</v>
      </c>
      <c r="J20" s="204">
        <f t="shared" si="8"/>
        <v>368.47</v>
      </c>
      <c r="K20" s="204">
        <f t="shared" si="8"/>
        <v>371.56</v>
      </c>
      <c r="L20" s="204">
        <f t="shared" si="8"/>
        <v>374.65</v>
      </c>
      <c r="M20" s="204">
        <f t="shared" si="8"/>
        <v>377.74</v>
      </c>
      <c r="N20" s="204">
        <f t="shared" si="8"/>
        <v>380.83</v>
      </c>
      <c r="O20" s="204">
        <f t="shared" si="8"/>
        <v>383.92</v>
      </c>
      <c r="P20" s="204">
        <f t="shared" si="8"/>
        <v>387.01</v>
      </c>
      <c r="Q20" s="204">
        <f t="shared" si="8"/>
        <v>390.1</v>
      </c>
      <c r="R20" s="204">
        <f t="shared" si="8"/>
        <v>393.19</v>
      </c>
      <c r="S20" s="204">
        <f t="shared" si="8"/>
        <v>396.28</v>
      </c>
      <c r="T20" s="204">
        <f t="shared" si="8"/>
        <v>399.37</v>
      </c>
      <c r="U20" s="204">
        <f t="shared" si="8"/>
        <v>402.46</v>
      </c>
      <c r="V20" s="204">
        <f t="shared" si="8"/>
        <v>405.55</v>
      </c>
      <c r="W20" s="204">
        <f>ROUND(X20-$H20,2)</f>
        <v>408.64</v>
      </c>
      <c r="X20" s="204">
        <v>411.73</v>
      </c>
      <c r="Y20" s="204">
        <v>414.82</v>
      </c>
      <c r="Z20" s="204">
        <v>417.91</v>
      </c>
      <c r="AA20" s="204">
        <v>421</v>
      </c>
      <c r="AB20" s="204">
        <v>424.09</v>
      </c>
      <c r="AC20" s="204">
        <v>427.18</v>
      </c>
      <c r="AD20" s="204">
        <v>430.27</v>
      </c>
      <c r="AE20" s="204">
        <v>433.36</v>
      </c>
      <c r="AF20" s="204">
        <v>436.45</v>
      </c>
      <c r="AG20" s="204">
        <v>439.54</v>
      </c>
      <c r="AH20" s="204">
        <v>442.63</v>
      </c>
      <c r="AI20" s="204">
        <v>445.72</v>
      </c>
      <c r="AJ20" s="204">
        <v>448.81</v>
      </c>
      <c r="AK20" s="204">
        <v>451.9</v>
      </c>
      <c r="AL20" s="204">
        <v>454.99</v>
      </c>
      <c r="AM20" s="204">
        <v>458.08</v>
      </c>
      <c r="AN20" s="204">
        <v>461.17</v>
      </c>
      <c r="AO20" s="204">
        <v>464.26</v>
      </c>
      <c r="AP20" s="204">
        <v>467.35</v>
      </c>
      <c r="AQ20" s="204">
        <v>470.44</v>
      </c>
      <c r="AR20" s="204">
        <v>473.53</v>
      </c>
      <c r="AS20" s="204">
        <f>ROUND(AR20+$BC20,2)</f>
        <v>476.62</v>
      </c>
      <c r="AT20" s="204">
        <f t="shared" ref="AT20:BB20" si="9">ROUND(AS20+$BC20,2)</f>
        <v>479.71</v>
      </c>
      <c r="AU20" s="204">
        <f t="shared" si="9"/>
        <v>482.8</v>
      </c>
      <c r="AV20" s="204">
        <f t="shared" si="9"/>
        <v>485.89</v>
      </c>
      <c r="AW20" s="204">
        <f t="shared" si="9"/>
        <v>488.98</v>
      </c>
      <c r="AX20" s="204">
        <f t="shared" si="9"/>
        <v>492.07</v>
      </c>
      <c r="AY20" s="204">
        <f t="shared" si="9"/>
        <v>495.16</v>
      </c>
      <c r="AZ20" s="204">
        <f t="shared" si="9"/>
        <v>498.25</v>
      </c>
      <c r="BA20" s="204">
        <f t="shared" si="9"/>
        <v>501.34</v>
      </c>
      <c r="BB20" s="204">
        <f t="shared" si="9"/>
        <v>504.43</v>
      </c>
      <c r="BC20" s="18">
        <f>ROUND(AR20-AQ20,2)</f>
        <v>3.09</v>
      </c>
    </row>
    <row r="21" spans="1:55" s="35" customFormat="1" hidden="1">
      <c r="A21" s="235" t="s">
        <v>519</v>
      </c>
      <c r="B21" s="233" t="s">
        <v>520</v>
      </c>
      <c r="C21" s="233"/>
      <c r="D21" s="18" t="s">
        <v>25</v>
      </c>
      <c r="E21" s="18" t="s">
        <v>509</v>
      </c>
      <c r="F21" s="25">
        <v>17.8</v>
      </c>
      <c r="G21" s="25"/>
      <c r="H21" s="18">
        <v>3.09</v>
      </c>
      <c r="I21" s="204">
        <f t="shared" si="8"/>
        <v>388.58</v>
      </c>
      <c r="J21" s="204">
        <f t="shared" si="8"/>
        <v>391.67</v>
      </c>
      <c r="K21" s="204">
        <f t="shared" si="8"/>
        <v>394.76</v>
      </c>
      <c r="L21" s="204">
        <f t="shared" si="8"/>
        <v>397.85</v>
      </c>
      <c r="M21" s="204">
        <f t="shared" si="8"/>
        <v>400.94</v>
      </c>
      <c r="N21" s="204">
        <f t="shared" si="8"/>
        <v>404.03</v>
      </c>
      <c r="O21" s="204">
        <f t="shared" si="8"/>
        <v>407.12</v>
      </c>
      <c r="P21" s="204">
        <f t="shared" si="8"/>
        <v>410.21</v>
      </c>
      <c r="Q21" s="204">
        <f t="shared" si="8"/>
        <v>413.3</v>
      </c>
      <c r="R21" s="204">
        <f t="shared" si="8"/>
        <v>416.39</v>
      </c>
      <c r="S21" s="204">
        <f t="shared" si="8"/>
        <v>419.48</v>
      </c>
      <c r="T21" s="204">
        <f t="shared" si="8"/>
        <v>422.57</v>
      </c>
      <c r="U21" s="204">
        <f t="shared" si="8"/>
        <v>425.66</v>
      </c>
      <c r="V21" s="204">
        <f t="shared" si="8"/>
        <v>428.75</v>
      </c>
      <c r="W21" s="204">
        <f t="shared" ref="W21:W31" si="10">ROUND(X21-$H21,2)</f>
        <v>431.84</v>
      </c>
      <c r="X21" s="204">
        <v>434.93</v>
      </c>
      <c r="Y21" s="204">
        <v>438.02</v>
      </c>
      <c r="Z21" s="204">
        <v>441.11</v>
      </c>
      <c r="AA21" s="204">
        <v>444.2</v>
      </c>
      <c r="AB21" s="204">
        <v>447.29</v>
      </c>
      <c r="AC21" s="204">
        <v>450.38</v>
      </c>
      <c r="AD21" s="204">
        <v>453.47</v>
      </c>
      <c r="AE21" s="204">
        <v>456.56</v>
      </c>
      <c r="AF21" s="204">
        <v>459.65</v>
      </c>
      <c r="AG21" s="204">
        <v>462.74</v>
      </c>
      <c r="AH21" s="204">
        <v>465.83</v>
      </c>
      <c r="AI21" s="204">
        <v>468.92</v>
      </c>
      <c r="AJ21" s="204">
        <v>472.01</v>
      </c>
      <c r="AK21" s="204">
        <v>475.1</v>
      </c>
      <c r="AL21" s="204">
        <v>478.19</v>
      </c>
      <c r="AM21" s="204">
        <v>481.28</v>
      </c>
      <c r="AN21" s="204">
        <v>484.37</v>
      </c>
      <c r="AO21" s="204">
        <v>487.46</v>
      </c>
      <c r="AP21" s="204">
        <v>490.55</v>
      </c>
      <c r="AQ21" s="204">
        <v>493.64</v>
      </c>
      <c r="AR21" s="204">
        <v>496.73</v>
      </c>
      <c r="AS21" s="204">
        <f t="shared" ref="AS21:BB31" si="11">ROUND(AR21+$BC21,2)</f>
        <v>499.82</v>
      </c>
      <c r="AT21" s="204">
        <f t="shared" si="11"/>
        <v>502.91</v>
      </c>
      <c r="AU21" s="204">
        <f t="shared" si="11"/>
        <v>506</v>
      </c>
      <c r="AV21" s="204">
        <f t="shared" si="11"/>
        <v>509.09</v>
      </c>
      <c r="AW21" s="204">
        <f t="shared" si="11"/>
        <v>512.17999999999995</v>
      </c>
      <c r="AX21" s="204">
        <f t="shared" si="11"/>
        <v>515.27</v>
      </c>
      <c r="AY21" s="204">
        <f t="shared" si="11"/>
        <v>518.36</v>
      </c>
      <c r="AZ21" s="204">
        <f t="shared" si="11"/>
        <v>521.45000000000005</v>
      </c>
      <c r="BA21" s="204">
        <f t="shared" si="11"/>
        <v>524.54</v>
      </c>
      <c r="BB21" s="204">
        <f t="shared" si="11"/>
        <v>527.63</v>
      </c>
      <c r="BC21" s="18">
        <f t="shared" ref="BC21:BC31" si="12">ROUND(AR21-AQ21,2)</f>
        <v>3.09</v>
      </c>
    </row>
    <row r="22" spans="1:55" hidden="1">
      <c r="A22" s="14" t="s">
        <v>510</v>
      </c>
      <c r="D22" s="18" t="s">
        <v>39</v>
      </c>
      <c r="E22" s="18" t="s">
        <v>509</v>
      </c>
      <c r="F22" s="25">
        <v>21.3</v>
      </c>
      <c r="G22" s="25"/>
      <c r="H22" s="18">
        <v>3.87</v>
      </c>
      <c r="I22" s="204">
        <f t="shared" si="8"/>
        <v>392.83</v>
      </c>
      <c r="J22" s="204">
        <f t="shared" si="8"/>
        <v>396.7</v>
      </c>
      <c r="K22" s="204">
        <f t="shared" si="8"/>
        <v>400.57</v>
      </c>
      <c r="L22" s="204">
        <f t="shared" si="8"/>
        <v>404.44</v>
      </c>
      <c r="M22" s="204">
        <f t="shared" si="8"/>
        <v>408.31</v>
      </c>
      <c r="N22" s="204">
        <f t="shared" si="8"/>
        <v>412.18</v>
      </c>
      <c r="O22" s="204">
        <f t="shared" si="8"/>
        <v>416.05</v>
      </c>
      <c r="P22" s="204">
        <f t="shared" si="8"/>
        <v>419.92</v>
      </c>
      <c r="Q22" s="204">
        <f t="shared" si="8"/>
        <v>423.79</v>
      </c>
      <c r="R22" s="204">
        <f t="shared" si="8"/>
        <v>427.66</v>
      </c>
      <c r="S22" s="204">
        <f t="shared" si="8"/>
        <v>431.53</v>
      </c>
      <c r="T22" s="204">
        <f t="shared" si="8"/>
        <v>435.4</v>
      </c>
      <c r="U22" s="204">
        <f t="shared" si="8"/>
        <v>439.27</v>
      </c>
      <c r="V22" s="204">
        <f t="shared" si="8"/>
        <v>443.14</v>
      </c>
      <c r="W22" s="204">
        <f t="shared" si="10"/>
        <v>447.01</v>
      </c>
      <c r="X22" s="204">
        <v>450.88</v>
      </c>
      <c r="Y22" s="204">
        <v>454.75</v>
      </c>
      <c r="Z22" s="204">
        <v>458.62</v>
      </c>
      <c r="AA22" s="204">
        <v>462.49</v>
      </c>
      <c r="AB22" s="204">
        <v>466.36</v>
      </c>
      <c r="AC22" s="204">
        <v>470.23</v>
      </c>
      <c r="AD22" s="204">
        <v>474.1</v>
      </c>
      <c r="AE22" s="204">
        <v>477.97</v>
      </c>
      <c r="AF22" s="204">
        <v>481.84</v>
      </c>
      <c r="AG22" s="204">
        <v>485.71</v>
      </c>
      <c r="AH22" s="204">
        <v>489.58</v>
      </c>
      <c r="AI22" s="204">
        <v>493.45</v>
      </c>
      <c r="AJ22" s="204">
        <v>497.32</v>
      </c>
      <c r="AK22" s="204">
        <v>501.19</v>
      </c>
      <c r="AL22" s="204">
        <v>505.06</v>
      </c>
      <c r="AM22" s="204">
        <v>508.93</v>
      </c>
      <c r="AN22" s="204">
        <v>512.79999999999995</v>
      </c>
      <c r="AO22" s="204">
        <v>516.66999999999996</v>
      </c>
      <c r="AP22" s="204">
        <v>520.54</v>
      </c>
      <c r="AQ22" s="204">
        <v>524.41</v>
      </c>
      <c r="AR22" s="204">
        <v>528.28</v>
      </c>
      <c r="AS22" s="204">
        <f t="shared" si="11"/>
        <v>532.15</v>
      </c>
      <c r="AT22" s="204">
        <f t="shared" si="11"/>
        <v>536.02</v>
      </c>
      <c r="AU22" s="204">
        <f t="shared" si="11"/>
        <v>539.89</v>
      </c>
      <c r="AV22" s="204">
        <f t="shared" si="11"/>
        <v>543.76</v>
      </c>
      <c r="AW22" s="204">
        <f t="shared" si="11"/>
        <v>547.63</v>
      </c>
      <c r="AX22" s="204">
        <f t="shared" si="11"/>
        <v>551.5</v>
      </c>
      <c r="AY22" s="204">
        <f t="shared" si="11"/>
        <v>555.37</v>
      </c>
      <c r="AZ22" s="204">
        <f t="shared" si="11"/>
        <v>559.24</v>
      </c>
      <c r="BA22" s="204">
        <f t="shared" si="11"/>
        <v>563.11</v>
      </c>
      <c r="BB22" s="204">
        <f t="shared" si="11"/>
        <v>566.98</v>
      </c>
      <c r="BC22" s="18">
        <f t="shared" si="12"/>
        <v>3.87</v>
      </c>
    </row>
    <row r="23" spans="1:55" hidden="1">
      <c r="A23" s="13" t="s">
        <v>510</v>
      </c>
      <c r="B23" s="233"/>
      <c r="C23" s="233"/>
      <c r="D23" s="15" t="s">
        <v>25</v>
      </c>
      <c r="E23" s="18" t="s">
        <v>509</v>
      </c>
      <c r="F23" s="16">
        <v>21.3</v>
      </c>
      <c r="G23" s="16"/>
      <c r="H23" s="18">
        <v>3.87</v>
      </c>
      <c r="I23" s="204">
        <f t="shared" si="8"/>
        <v>420.83</v>
      </c>
      <c r="J23" s="204">
        <f t="shared" si="8"/>
        <v>424.7</v>
      </c>
      <c r="K23" s="204">
        <f t="shared" si="8"/>
        <v>428.57</v>
      </c>
      <c r="L23" s="204">
        <f t="shared" si="8"/>
        <v>432.44</v>
      </c>
      <c r="M23" s="204">
        <f t="shared" si="8"/>
        <v>436.31</v>
      </c>
      <c r="N23" s="204">
        <f t="shared" si="8"/>
        <v>440.18</v>
      </c>
      <c r="O23" s="204">
        <f t="shared" si="8"/>
        <v>444.05</v>
      </c>
      <c r="P23" s="204">
        <f t="shared" si="8"/>
        <v>447.92</v>
      </c>
      <c r="Q23" s="204">
        <f t="shared" si="8"/>
        <v>451.79</v>
      </c>
      <c r="R23" s="204">
        <f t="shared" si="8"/>
        <v>455.66</v>
      </c>
      <c r="S23" s="204">
        <f t="shared" si="8"/>
        <v>459.53</v>
      </c>
      <c r="T23" s="204">
        <f t="shared" si="8"/>
        <v>463.4</v>
      </c>
      <c r="U23" s="204">
        <f t="shared" si="8"/>
        <v>467.27</v>
      </c>
      <c r="V23" s="204">
        <f t="shared" si="8"/>
        <v>471.14</v>
      </c>
      <c r="W23" s="204">
        <f t="shared" si="10"/>
        <v>475.01</v>
      </c>
      <c r="X23" s="204">
        <v>478.88</v>
      </c>
      <c r="Y23" s="204">
        <v>482.75</v>
      </c>
      <c r="Z23" s="204">
        <v>486.62</v>
      </c>
      <c r="AA23" s="204">
        <v>490.49</v>
      </c>
      <c r="AB23" s="204">
        <v>494.36</v>
      </c>
      <c r="AC23" s="204">
        <v>498.23</v>
      </c>
      <c r="AD23" s="204">
        <v>502.1</v>
      </c>
      <c r="AE23" s="204">
        <v>505.97</v>
      </c>
      <c r="AF23" s="204">
        <v>509.84</v>
      </c>
      <c r="AG23" s="204">
        <v>513.71</v>
      </c>
      <c r="AH23" s="204">
        <v>517.58000000000004</v>
      </c>
      <c r="AI23" s="204">
        <v>521.45000000000005</v>
      </c>
      <c r="AJ23" s="204">
        <v>525.32000000000005</v>
      </c>
      <c r="AK23" s="204">
        <v>529.19000000000005</v>
      </c>
      <c r="AL23" s="204">
        <v>533.05999999999995</v>
      </c>
      <c r="AM23" s="204">
        <v>536.92999999999995</v>
      </c>
      <c r="AN23" s="204">
        <v>540.79999999999995</v>
      </c>
      <c r="AO23" s="204">
        <v>544.66999999999996</v>
      </c>
      <c r="AP23" s="204">
        <v>548.54</v>
      </c>
      <c r="AQ23" s="204">
        <v>552.41</v>
      </c>
      <c r="AR23" s="204">
        <v>556.28</v>
      </c>
      <c r="AS23" s="204">
        <f t="shared" si="11"/>
        <v>560.15</v>
      </c>
      <c r="AT23" s="204">
        <f t="shared" si="11"/>
        <v>564.02</v>
      </c>
      <c r="AU23" s="204">
        <f t="shared" si="11"/>
        <v>567.89</v>
      </c>
      <c r="AV23" s="204">
        <f t="shared" si="11"/>
        <v>571.76</v>
      </c>
      <c r="AW23" s="204">
        <f t="shared" si="11"/>
        <v>575.63</v>
      </c>
      <c r="AX23" s="204">
        <f t="shared" si="11"/>
        <v>579.5</v>
      </c>
      <c r="AY23" s="204">
        <f t="shared" si="11"/>
        <v>583.37</v>
      </c>
      <c r="AZ23" s="204">
        <f t="shared" si="11"/>
        <v>587.24</v>
      </c>
      <c r="BA23" s="204">
        <f t="shared" si="11"/>
        <v>591.11</v>
      </c>
      <c r="BB23" s="204">
        <f t="shared" si="11"/>
        <v>594.98</v>
      </c>
      <c r="BC23" s="18">
        <f t="shared" si="12"/>
        <v>3.87</v>
      </c>
    </row>
    <row r="24" spans="1:55" hidden="1">
      <c r="A24" s="14" t="s">
        <v>511</v>
      </c>
      <c r="D24" s="18" t="s">
        <v>39</v>
      </c>
      <c r="E24" s="18" t="s">
        <v>509</v>
      </c>
      <c r="F24" s="25">
        <v>18.34</v>
      </c>
      <c r="G24" s="25"/>
      <c r="H24" s="18">
        <v>3.25</v>
      </c>
      <c r="I24" s="204">
        <f t="shared" si="8"/>
        <v>384.69</v>
      </c>
      <c r="J24" s="204">
        <f t="shared" si="8"/>
        <v>387.94</v>
      </c>
      <c r="K24" s="204">
        <f t="shared" si="8"/>
        <v>391.19</v>
      </c>
      <c r="L24" s="204">
        <f t="shared" si="8"/>
        <v>394.44</v>
      </c>
      <c r="M24" s="204">
        <f t="shared" si="8"/>
        <v>397.69</v>
      </c>
      <c r="N24" s="204">
        <f t="shared" si="8"/>
        <v>400.94</v>
      </c>
      <c r="O24" s="204">
        <f t="shared" si="8"/>
        <v>404.19</v>
      </c>
      <c r="P24" s="204">
        <f t="shared" si="8"/>
        <v>407.44</v>
      </c>
      <c r="Q24" s="204">
        <f t="shared" si="8"/>
        <v>410.69</v>
      </c>
      <c r="R24" s="204">
        <f t="shared" si="8"/>
        <v>413.94</v>
      </c>
      <c r="S24" s="204">
        <f t="shared" si="8"/>
        <v>417.19</v>
      </c>
      <c r="T24" s="204">
        <f t="shared" si="8"/>
        <v>420.44</v>
      </c>
      <c r="U24" s="204">
        <f t="shared" si="8"/>
        <v>423.69</v>
      </c>
      <c r="V24" s="204">
        <f t="shared" si="8"/>
        <v>426.94</v>
      </c>
      <c r="W24" s="204">
        <f t="shared" si="10"/>
        <v>430.19</v>
      </c>
      <c r="X24" s="204">
        <v>433.44</v>
      </c>
      <c r="Y24" s="204">
        <v>436.69</v>
      </c>
      <c r="Z24" s="204">
        <v>439.94</v>
      </c>
      <c r="AA24" s="204">
        <v>443.19</v>
      </c>
      <c r="AB24" s="204">
        <v>446.44</v>
      </c>
      <c r="AC24" s="204">
        <v>449.69</v>
      </c>
      <c r="AD24" s="204">
        <v>452.94</v>
      </c>
      <c r="AE24" s="204">
        <v>456.19</v>
      </c>
      <c r="AF24" s="204">
        <v>459.44</v>
      </c>
      <c r="AG24" s="204">
        <v>462.69</v>
      </c>
      <c r="AH24" s="204">
        <v>465.94</v>
      </c>
      <c r="AI24" s="204">
        <v>469.19</v>
      </c>
      <c r="AJ24" s="204">
        <v>472.44</v>
      </c>
      <c r="AK24" s="204">
        <v>475.69</v>
      </c>
      <c r="AL24" s="204">
        <v>478.94</v>
      </c>
      <c r="AM24" s="204">
        <v>482.19</v>
      </c>
      <c r="AN24" s="204">
        <v>485.44</v>
      </c>
      <c r="AO24" s="204">
        <v>488.69</v>
      </c>
      <c r="AP24" s="204">
        <v>491.94</v>
      </c>
      <c r="AQ24" s="204">
        <v>495.19</v>
      </c>
      <c r="AR24" s="204">
        <v>498.44</v>
      </c>
      <c r="AS24" s="204">
        <f t="shared" si="11"/>
        <v>501.69</v>
      </c>
      <c r="AT24" s="204">
        <f t="shared" si="11"/>
        <v>504.94</v>
      </c>
      <c r="AU24" s="204">
        <f t="shared" si="11"/>
        <v>508.19</v>
      </c>
      <c r="AV24" s="204">
        <f t="shared" si="11"/>
        <v>511.44</v>
      </c>
      <c r="AW24" s="204">
        <f t="shared" si="11"/>
        <v>514.69000000000005</v>
      </c>
      <c r="AX24" s="204">
        <f t="shared" si="11"/>
        <v>517.94000000000005</v>
      </c>
      <c r="AY24" s="204">
        <f t="shared" si="11"/>
        <v>521.19000000000005</v>
      </c>
      <c r="AZ24" s="204">
        <f t="shared" si="11"/>
        <v>524.44000000000005</v>
      </c>
      <c r="BA24" s="204">
        <f t="shared" si="11"/>
        <v>527.69000000000005</v>
      </c>
      <c r="BB24" s="204">
        <f t="shared" si="11"/>
        <v>530.94000000000005</v>
      </c>
      <c r="BC24" s="18">
        <f t="shared" si="12"/>
        <v>3.25</v>
      </c>
    </row>
    <row r="25" spans="1:55" hidden="1">
      <c r="A25" s="234" t="s">
        <v>512</v>
      </c>
      <c r="B25" s="228" t="s">
        <v>513</v>
      </c>
      <c r="D25" s="18" t="s">
        <v>25</v>
      </c>
      <c r="E25" s="18" t="s">
        <v>509</v>
      </c>
      <c r="F25" s="16">
        <v>18.34</v>
      </c>
      <c r="G25" s="16"/>
      <c r="H25" s="18">
        <v>3.25</v>
      </c>
      <c r="I25" s="204">
        <f t="shared" si="8"/>
        <v>409.13</v>
      </c>
      <c r="J25" s="204">
        <f t="shared" si="8"/>
        <v>412.38</v>
      </c>
      <c r="K25" s="204">
        <f t="shared" si="8"/>
        <v>415.63</v>
      </c>
      <c r="L25" s="204">
        <f t="shared" si="8"/>
        <v>418.88</v>
      </c>
      <c r="M25" s="204">
        <f t="shared" si="8"/>
        <v>422.13</v>
      </c>
      <c r="N25" s="204">
        <f t="shared" si="8"/>
        <v>425.38</v>
      </c>
      <c r="O25" s="204">
        <f t="shared" si="8"/>
        <v>428.63</v>
      </c>
      <c r="P25" s="204">
        <f t="shared" si="8"/>
        <v>431.88</v>
      </c>
      <c r="Q25" s="204">
        <f t="shared" si="8"/>
        <v>435.13</v>
      </c>
      <c r="R25" s="204">
        <f t="shared" si="8"/>
        <v>438.38</v>
      </c>
      <c r="S25" s="204">
        <f t="shared" si="8"/>
        <v>441.63</v>
      </c>
      <c r="T25" s="204">
        <f t="shared" si="8"/>
        <v>444.88</v>
      </c>
      <c r="U25" s="204">
        <f t="shared" si="8"/>
        <v>448.13</v>
      </c>
      <c r="V25" s="204">
        <f t="shared" si="8"/>
        <v>451.38</v>
      </c>
      <c r="W25" s="204">
        <f t="shared" si="10"/>
        <v>454.63</v>
      </c>
      <c r="X25" s="204">
        <v>457.88</v>
      </c>
      <c r="Y25" s="204">
        <v>461.13</v>
      </c>
      <c r="Z25" s="204">
        <v>464.38</v>
      </c>
      <c r="AA25" s="204">
        <v>467.63</v>
      </c>
      <c r="AB25" s="204">
        <v>470.88</v>
      </c>
      <c r="AC25" s="204">
        <v>474.13</v>
      </c>
      <c r="AD25" s="204">
        <v>477.38</v>
      </c>
      <c r="AE25" s="204">
        <v>480.63</v>
      </c>
      <c r="AF25" s="204">
        <v>483.88</v>
      </c>
      <c r="AG25" s="204">
        <v>487.13</v>
      </c>
      <c r="AH25" s="204">
        <v>490.38</v>
      </c>
      <c r="AI25" s="204">
        <v>493.63</v>
      </c>
      <c r="AJ25" s="204">
        <v>496.88</v>
      </c>
      <c r="AK25" s="204">
        <v>500.13</v>
      </c>
      <c r="AL25" s="204">
        <v>503.38</v>
      </c>
      <c r="AM25" s="204">
        <v>506.63</v>
      </c>
      <c r="AN25" s="204">
        <v>509.88</v>
      </c>
      <c r="AO25" s="204">
        <v>513.13</v>
      </c>
      <c r="AP25" s="204">
        <v>516.38</v>
      </c>
      <c r="AQ25" s="204">
        <v>519.63</v>
      </c>
      <c r="AR25" s="204">
        <v>522.88</v>
      </c>
      <c r="AS25" s="204">
        <f t="shared" si="11"/>
        <v>526.13</v>
      </c>
      <c r="AT25" s="204">
        <f t="shared" si="11"/>
        <v>529.38</v>
      </c>
      <c r="AU25" s="204">
        <f t="shared" si="11"/>
        <v>532.63</v>
      </c>
      <c r="AV25" s="204">
        <f t="shared" si="11"/>
        <v>535.88</v>
      </c>
      <c r="AW25" s="204">
        <f t="shared" si="11"/>
        <v>539.13</v>
      </c>
      <c r="AX25" s="204">
        <f t="shared" si="11"/>
        <v>542.38</v>
      </c>
      <c r="AY25" s="204">
        <f t="shared" si="11"/>
        <v>545.63</v>
      </c>
      <c r="AZ25" s="204">
        <f t="shared" si="11"/>
        <v>548.88</v>
      </c>
      <c r="BA25" s="204">
        <f t="shared" si="11"/>
        <v>552.13</v>
      </c>
      <c r="BB25" s="204">
        <f t="shared" si="11"/>
        <v>555.38</v>
      </c>
      <c r="BC25" s="18">
        <f t="shared" si="12"/>
        <v>3.25</v>
      </c>
    </row>
    <row r="26" spans="1:55" hidden="1">
      <c r="A26" s="14" t="s">
        <v>514</v>
      </c>
      <c r="D26" s="18" t="s">
        <v>39</v>
      </c>
      <c r="E26" s="18" t="s">
        <v>509</v>
      </c>
      <c r="F26" s="25">
        <v>21</v>
      </c>
      <c r="G26" s="25"/>
      <c r="H26" s="18">
        <v>3.58</v>
      </c>
      <c r="I26" s="204">
        <f t="shared" si="8"/>
        <v>370.29</v>
      </c>
      <c r="J26" s="204">
        <f t="shared" si="8"/>
        <v>373.87</v>
      </c>
      <c r="K26" s="204">
        <f t="shared" si="8"/>
        <v>377.45</v>
      </c>
      <c r="L26" s="204">
        <f t="shared" si="8"/>
        <v>381.03</v>
      </c>
      <c r="M26" s="204">
        <f t="shared" si="8"/>
        <v>384.61</v>
      </c>
      <c r="N26" s="204">
        <f t="shared" si="8"/>
        <v>388.19</v>
      </c>
      <c r="O26" s="204">
        <f t="shared" si="8"/>
        <v>391.77</v>
      </c>
      <c r="P26" s="204">
        <f t="shared" si="8"/>
        <v>395.35</v>
      </c>
      <c r="Q26" s="204">
        <f t="shared" si="8"/>
        <v>398.93</v>
      </c>
      <c r="R26" s="204">
        <f t="shared" si="8"/>
        <v>402.51</v>
      </c>
      <c r="S26" s="204">
        <f t="shared" si="8"/>
        <v>406.09</v>
      </c>
      <c r="T26" s="204">
        <f t="shared" si="8"/>
        <v>409.67</v>
      </c>
      <c r="U26" s="204">
        <f t="shared" si="8"/>
        <v>413.25</v>
      </c>
      <c r="V26" s="204">
        <f t="shared" si="8"/>
        <v>416.83</v>
      </c>
      <c r="W26" s="204">
        <f t="shared" si="10"/>
        <v>420.41</v>
      </c>
      <c r="X26" s="204">
        <v>423.99</v>
      </c>
      <c r="Y26" s="204">
        <v>427.57</v>
      </c>
      <c r="Z26" s="204">
        <v>431.15</v>
      </c>
      <c r="AA26" s="204">
        <v>434.73</v>
      </c>
      <c r="AB26" s="204">
        <v>438.31</v>
      </c>
      <c r="AC26" s="204">
        <v>441.89</v>
      </c>
      <c r="AD26" s="204">
        <v>445.47</v>
      </c>
      <c r="AE26" s="204">
        <v>449.05</v>
      </c>
      <c r="AF26" s="204">
        <v>452.63</v>
      </c>
      <c r="AG26" s="204">
        <v>456.21</v>
      </c>
      <c r="AH26" s="204">
        <v>459.79</v>
      </c>
      <c r="AI26" s="204">
        <v>463.37</v>
      </c>
      <c r="AJ26" s="204">
        <v>466.95</v>
      </c>
      <c r="AK26" s="204">
        <v>470.53</v>
      </c>
      <c r="AL26" s="204">
        <v>474.11</v>
      </c>
      <c r="AM26" s="204">
        <v>477.69</v>
      </c>
      <c r="AN26" s="204">
        <v>481.27</v>
      </c>
      <c r="AO26" s="204">
        <v>484.85</v>
      </c>
      <c r="AP26" s="204">
        <v>488.43</v>
      </c>
      <c r="AQ26" s="204">
        <v>492.01</v>
      </c>
      <c r="AR26" s="204">
        <v>495.59</v>
      </c>
      <c r="AS26" s="204">
        <f t="shared" si="11"/>
        <v>499.17</v>
      </c>
      <c r="AT26" s="204">
        <f t="shared" si="11"/>
        <v>502.75</v>
      </c>
      <c r="AU26" s="204">
        <f t="shared" si="11"/>
        <v>506.33</v>
      </c>
      <c r="AV26" s="204">
        <f t="shared" si="11"/>
        <v>509.91</v>
      </c>
      <c r="AW26" s="204">
        <f t="shared" si="11"/>
        <v>513.49</v>
      </c>
      <c r="AX26" s="204">
        <f t="shared" si="11"/>
        <v>517.07000000000005</v>
      </c>
      <c r="AY26" s="204">
        <f t="shared" si="11"/>
        <v>520.65</v>
      </c>
      <c r="AZ26" s="204">
        <f t="shared" si="11"/>
        <v>524.23</v>
      </c>
      <c r="BA26" s="204">
        <f t="shared" si="11"/>
        <v>527.80999999999995</v>
      </c>
      <c r="BB26" s="204">
        <f t="shared" si="11"/>
        <v>531.39</v>
      </c>
      <c r="BC26" s="18">
        <f t="shared" si="12"/>
        <v>3.58</v>
      </c>
    </row>
    <row r="27" spans="1:55" hidden="1">
      <c r="A27" s="14" t="s">
        <v>514</v>
      </c>
      <c r="D27" s="18" t="s">
        <v>25</v>
      </c>
      <c r="E27" s="18" t="s">
        <v>509</v>
      </c>
      <c r="F27" s="25">
        <v>21</v>
      </c>
      <c r="G27" s="25"/>
      <c r="H27" s="18">
        <v>3.58</v>
      </c>
      <c r="I27" s="204">
        <f t="shared" si="8"/>
        <v>393.27</v>
      </c>
      <c r="J27" s="204">
        <f t="shared" si="8"/>
        <v>396.85</v>
      </c>
      <c r="K27" s="204">
        <f t="shared" si="8"/>
        <v>400.43</v>
      </c>
      <c r="L27" s="204">
        <f t="shared" si="8"/>
        <v>404.01</v>
      </c>
      <c r="M27" s="204">
        <f t="shared" si="8"/>
        <v>407.59</v>
      </c>
      <c r="N27" s="204">
        <f t="shared" si="8"/>
        <v>411.17</v>
      </c>
      <c r="O27" s="204">
        <f t="shared" si="8"/>
        <v>414.75</v>
      </c>
      <c r="P27" s="204">
        <f t="shared" si="8"/>
        <v>418.33</v>
      </c>
      <c r="Q27" s="204">
        <f t="shared" si="8"/>
        <v>421.91</v>
      </c>
      <c r="R27" s="204">
        <f t="shared" si="8"/>
        <v>425.49</v>
      </c>
      <c r="S27" s="204">
        <f t="shared" si="8"/>
        <v>429.07</v>
      </c>
      <c r="T27" s="204">
        <f t="shared" si="8"/>
        <v>432.65</v>
      </c>
      <c r="U27" s="204">
        <f t="shared" si="8"/>
        <v>436.23</v>
      </c>
      <c r="V27" s="204">
        <f t="shared" si="8"/>
        <v>439.81</v>
      </c>
      <c r="W27" s="204">
        <f t="shared" si="10"/>
        <v>443.39</v>
      </c>
      <c r="X27" s="204">
        <v>446.97</v>
      </c>
      <c r="Y27" s="204">
        <v>450.55</v>
      </c>
      <c r="Z27" s="204">
        <v>454.13</v>
      </c>
      <c r="AA27" s="204">
        <v>457.71</v>
      </c>
      <c r="AB27" s="204">
        <v>461.29</v>
      </c>
      <c r="AC27" s="204">
        <v>464.87</v>
      </c>
      <c r="AD27" s="204">
        <v>468.45</v>
      </c>
      <c r="AE27" s="204">
        <v>472.03</v>
      </c>
      <c r="AF27" s="204">
        <v>475.61</v>
      </c>
      <c r="AG27" s="204">
        <v>479.19</v>
      </c>
      <c r="AH27" s="204">
        <v>482.77</v>
      </c>
      <c r="AI27" s="204">
        <v>486.35</v>
      </c>
      <c r="AJ27" s="204">
        <v>489.93</v>
      </c>
      <c r="AK27" s="204">
        <v>493.51</v>
      </c>
      <c r="AL27" s="204">
        <v>497.09</v>
      </c>
      <c r="AM27" s="204">
        <v>500.67</v>
      </c>
      <c r="AN27" s="204">
        <v>504.25</v>
      </c>
      <c r="AO27" s="204">
        <v>507.83</v>
      </c>
      <c r="AP27" s="204">
        <v>511.41</v>
      </c>
      <c r="AQ27" s="204">
        <v>514.99</v>
      </c>
      <c r="AR27" s="204">
        <v>518.57000000000005</v>
      </c>
      <c r="AS27" s="204">
        <f t="shared" si="11"/>
        <v>522.15</v>
      </c>
      <c r="AT27" s="204">
        <f t="shared" si="11"/>
        <v>525.73</v>
      </c>
      <c r="AU27" s="204">
        <f t="shared" si="11"/>
        <v>529.30999999999995</v>
      </c>
      <c r="AV27" s="204">
        <f t="shared" si="11"/>
        <v>532.89</v>
      </c>
      <c r="AW27" s="204">
        <f t="shared" si="11"/>
        <v>536.47</v>
      </c>
      <c r="AX27" s="204">
        <f t="shared" si="11"/>
        <v>540.04999999999995</v>
      </c>
      <c r="AY27" s="204">
        <f t="shared" si="11"/>
        <v>543.63</v>
      </c>
      <c r="AZ27" s="204">
        <f t="shared" si="11"/>
        <v>547.21</v>
      </c>
      <c r="BA27" s="204">
        <f t="shared" si="11"/>
        <v>550.79</v>
      </c>
      <c r="BB27" s="204">
        <f t="shared" si="11"/>
        <v>554.37</v>
      </c>
      <c r="BC27" s="18">
        <f t="shared" si="12"/>
        <v>3.58</v>
      </c>
    </row>
    <row r="28" spans="1:55" hidden="1">
      <c r="A28" s="14" t="s">
        <v>515</v>
      </c>
      <c r="D28" s="18" t="s">
        <v>39</v>
      </c>
      <c r="E28" s="18" t="s">
        <v>509</v>
      </c>
      <c r="F28" s="25">
        <v>18.34</v>
      </c>
      <c r="G28" s="25"/>
      <c r="H28" s="18">
        <v>3.25</v>
      </c>
      <c r="I28" s="204">
        <f t="shared" si="8"/>
        <v>366.2</v>
      </c>
      <c r="J28" s="204">
        <f t="shared" si="8"/>
        <v>369.45</v>
      </c>
      <c r="K28" s="204">
        <f t="shared" si="8"/>
        <v>372.7</v>
      </c>
      <c r="L28" s="204">
        <f t="shared" si="8"/>
        <v>375.95</v>
      </c>
      <c r="M28" s="204">
        <f t="shared" si="8"/>
        <v>379.2</v>
      </c>
      <c r="N28" s="204">
        <f t="shared" si="8"/>
        <v>382.45</v>
      </c>
      <c r="O28" s="204">
        <f t="shared" si="8"/>
        <v>385.7</v>
      </c>
      <c r="P28" s="204">
        <f t="shared" si="8"/>
        <v>388.95</v>
      </c>
      <c r="Q28" s="204">
        <f t="shared" si="8"/>
        <v>392.2</v>
      </c>
      <c r="R28" s="204">
        <f t="shared" si="8"/>
        <v>395.45</v>
      </c>
      <c r="S28" s="204">
        <f t="shared" si="8"/>
        <v>398.7</v>
      </c>
      <c r="T28" s="204">
        <f t="shared" si="8"/>
        <v>401.95</v>
      </c>
      <c r="U28" s="204">
        <f t="shared" si="8"/>
        <v>405.2</v>
      </c>
      <c r="V28" s="204">
        <f t="shared" si="8"/>
        <v>408.45</v>
      </c>
      <c r="W28" s="204">
        <f t="shared" si="10"/>
        <v>411.7</v>
      </c>
      <c r="X28" s="204">
        <v>414.95</v>
      </c>
      <c r="Y28" s="204">
        <v>418.2</v>
      </c>
      <c r="Z28" s="204">
        <v>421.45</v>
      </c>
      <c r="AA28" s="204">
        <v>424.7</v>
      </c>
      <c r="AB28" s="204">
        <v>427.95</v>
      </c>
      <c r="AC28" s="204">
        <v>431.2</v>
      </c>
      <c r="AD28" s="204">
        <v>434.45</v>
      </c>
      <c r="AE28" s="204">
        <v>437.7</v>
      </c>
      <c r="AF28" s="204">
        <v>440.95</v>
      </c>
      <c r="AG28" s="204">
        <v>444.2</v>
      </c>
      <c r="AH28" s="204">
        <v>447.45</v>
      </c>
      <c r="AI28" s="204">
        <v>450.7</v>
      </c>
      <c r="AJ28" s="204">
        <v>453.95</v>
      </c>
      <c r="AK28" s="204">
        <v>457.2</v>
      </c>
      <c r="AL28" s="204">
        <v>460.45</v>
      </c>
      <c r="AM28" s="204">
        <v>463.7</v>
      </c>
      <c r="AN28" s="204">
        <v>466.95</v>
      </c>
      <c r="AO28" s="204">
        <v>470.2</v>
      </c>
      <c r="AP28" s="204">
        <v>473.45</v>
      </c>
      <c r="AQ28" s="204">
        <v>476.7</v>
      </c>
      <c r="AR28" s="204">
        <v>479.95</v>
      </c>
      <c r="AS28" s="204">
        <f t="shared" si="11"/>
        <v>483.2</v>
      </c>
      <c r="AT28" s="204">
        <f t="shared" si="11"/>
        <v>486.45</v>
      </c>
      <c r="AU28" s="204">
        <f t="shared" si="11"/>
        <v>489.7</v>
      </c>
      <c r="AV28" s="204">
        <f t="shared" si="11"/>
        <v>492.95</v>
      </c>
      <c r="AW28" s="204">
        <f t="shared" si="11"/>
        <v>496.2</v>
      </c>
      <c r="AX28" s="204">
        <f t="shared" si="11"/>
        <v>499.45</v>
      </c>
      <c r="AY28" s="204">
        <f t="shared" si="11"/>
        <v>502.7</v>
      </c>
      <c r="AZ28" s="204">
        <f t="shared" si="11"/>
        <v>505.95</v>
      </c>
      <c r="BA28" s="204">
        <f t="shared" si="11"/>
        <v>509.2</v>
      </c>
      <c r="BB28" s="204">
        <f t="shared" si="11"/>
        <v>512.45000000000005</v>
      </c>
      <c r="BC28" s="18">
        <f t="shared" si="12"/>
        <v>3.25</v>
      </c>
    </row>
    <row r="29" spans="1:55" hidden="1">
      <c r="A29" s="14" t="s">
        <v>515</v>
      </c>
      <c r="D29" s="18" t="s">
        <v>25</v>
      </c>
      <c r="E29" s="18" t="s">
        <v>509</v>
      </c>
      <c r="F29" s="25">
        <v>18.34</v>
      </c>
      <c r="G29" s="25"/>
      <c r="H29" s="18">
        <v>3.25</v>
      </c>
      <c r="I29" s="204">
        <f t="shared" si="8"/>
        <v>388.57</v>
      </c>
      <c r="J29" s="204">
        <f t="shared" si="8"/>
        <v>391.82</v>
      </c>
      <c r="K29" s="204">
        <f t="shared" si="8"/>
        <v>395.07</v>
      </c>
      <c r="L29" s="204">
        <f t="shared" si="8"/>
        <v>398.32</v>
      </c>
      <c r="M29" s="204">
        <f t="shared" si="8"/>
        <v>401.57</v>
      </c>
      <c r="N29" s="204">
        <f t="shared" si="8"/>
        <v>404.82</v>
      </c>
      <c r="O29" s="204">
        <f t="shared" si="8"/>
        <v>408.07</v>
      </c>
      <c r="P29" s="204">
        <f t="shared" si="8"/>
        <v>411.32</v>
      </c>
      <c r="Q29" s="204">
        <f t="shared" si="8"/>
        <v>414.57</v>
      </c>
      <c r="R29" s="204">
        <f t="shared" si="8"/>
        <v>417.82</v>
      </c>
      <c r="S29" s="204">
        <f t="shared" si="8"/>
        <v>421.07</v>
      </c>
      <c r="T29" s="204">
        <f t="shared" si="8"/>
        <v>424.32</v>
      </c>
      <c r="U29" s="204">
        <f t="shared" si="8"/>
        <v>427.57</v>
      </c>
      <c r="V29" s="204">
        <f t="shared" si="8"/>
        <v>430.82</v>
      </c>
      <c r="W29" s="204">
        <f t="shared" si="10"/>
        <v>434.07</v>
      </c>
      <c r="X29" s="204">
        <v>437.32</v>
      </c>
      <c r="Y29" s="204">
        <v>440.57</v>
      </c>
      <c r="Z29" s="204">
        <v>443.82</v>
      </c>
      <c r="AA29" s="204">
        <v>447.07</v>
      </c>
      <c r="AB29" s="204">
        <v>450.32</v>
      </c>
      <c r="AC29" s="204">
        <v>453.57</v>
      </c>
      <c r="AD29" s="204">
        <v>456.82</v>
      </c>
      <c r="AE29" s="204">
        <v>460.07</v>
      </c>
      <c r="AF29" s="204">
        <v>463.32</v>
      </c>
      <c r="AG29" s="204">
        <v>466.57</v>
      </c>
      <c r="AH29" s="204">
        <v>469.82</v>
      </c>
      <c r="AI29" s="204">
        <v>473.07</v>
      </c>
      <c r="AJ29" s="204">
        <v>476.32</v>
      </c>
      <c r="AK29" s="204">
        <v>479.57</v>
      </c>
      <c r="AL29" s="204">
        <v>482.82</v>
      </c>
      <c r="AM29" s="204">
        <v>486.07</v>
      </c>
      <c r="AN29" s="204">
        <v>489.32</v>
      </c>
      <c r="AO29" s="204">
        <v>492.57</v>
      </c>
      <c r="AP29" s="204">
        <v>495.82</v>
      </c>
      <c r="AQ29" s="204">
        <v>499.07</v>
      </c>
      <c r="AR29" s="204">
        <v>502.32</v>
      </c>
      <c r="AS29" s="204">
        <f t="shared" si="11"/>
        <v>505.57</v>
      </c>
      <c r="AT29" s="204">
        <f t="shared" si="11"/>
        <v>508.82</v>
      </c>
      <c r="AU29" s="204">
        <f t="shared" si="11"/>
        <v>512.07000000000005</v>
      </c>
      <c r="AV29" s="204">
        <f t="shared" si="11"/>
        <v>515.32000000000005</v>
      </c>
      <c r="AW29" s="204">
        <f t="shared" si="11"/>
        <v>518.57000000000005</v>
      </c>
      <c r="AX29" s="204">
        <f t="shared" si="11"/>
        <v>521.82000000000005</v>
      </c>
      <c r="AY29" s="204">
        <f t="shared" si="11"/>
        <v>525.07000000000005</v>
      </c>
      <c r="AZ29" s="204">
        <f t="shared" si="11"/>
        <v>528.32000000000005</v>
      </c>
      <c r="BA29" s="204">
        <f t="shared" si="11"/>
        <v>531.57000000000005</v>
      </c>
      <c r="BB29" s="204">
        <f t="shared" si="11"/>
        <v>534.82000000000005</v>
      </c>
      <c r="BC29" s="18">
        <f t="shared" si="12"/>
        <v>3.25</v>
      </c>
    </row>
    <row r="30" spans="1:55" hidden="1">
      <c r="A30" s="236" t="s">
        <v>521</v>
      </c>
      <c r="B30" s="237"/>
      <c r="C30" s="237"/>
      <c r="D30" s="18" t="s">
        <v>39</v>
      </c>
      <c r="E30" s="18" t="s">
        <v>509</v>
      </c>
      <c r="F30" s="15">
        <v>17.5</v>
      </c>
      <c r="G30" s="15"/>
      <c r="H30" s="15">
        <v>3.05</v>
      </c>
      <c r="I30" s="204">
        <f t="shared" si="8"/>
        <v>357.43</v>
      </c>
      <c r="J30" s="204">
        <f t="shared" si="8"/>
        <v>360.48</v>
      </c>
      <c r="K30" s="204">
        <f t="shared" si="8"/>
        <v>363.53</v>
      </c>
      <c r="L30" s="204">
        <f t="shared" si="8"/>
        <v>366.58</v>
      </c>
      <c r="M30" s="204">
        <f t="shared" si="8"/>
        <v>369.63</v>
      </c>
      <c r="N30" s="204">
        <f t="shared" si="8"/>
        <v>372.68</v>
      </c>
      <c r="O30" s="204">
        <f t="shared" si="8"/>
        <v>375.73</v>
      </c>
      <c r="P30" s="204">
        <f t="shared" si="8"/>
        <v>378.78</v>
      </c>
      <c r="Q30" s="204">
        <f t="shared" si="8"/>
        <v>381.83</v>
      </c>
      <c r="R30" s="204">
        <f t="shared" si="8"/>
        <v>384.88</v>
      </c>
      <c r="S30" s="204">
        <f t="shared" si="8"/>
        <v>387.93</v>
      </c>
      <c r="T30" s="204">
        <f t="shared" si="8"/>
        <v>390.98</v>
      </c>
      <c r="U30" s="204">
        <f t="shared" si="8"/>
        <v>394.03</v>
      </c>
      <c r="V30" s="204">
        <f t="shared" si="8"/>
        <v>397.08</v>
      </c>
      <c r="W30" s="204">
        <f t="shared" si="10"/>
        <v>400.13</v>
      </c>
      <c r="X30" s="204">
        <v>403.18</v>
      </c>
      <c r="Y30" s="204">
        <v>406.23</v>
      </c>
      <c r="Z30" s="204">
        <v>409.28</v>
      </c>
      <c r="AA30" s="204">
        <v>412.33</v>
      </c>
      <c r="AB30" s="204">
        <v>415.38</v>
      </c>
      <c r="AC30" s="204">
        <v>418.43</v>
      </c>
      <c r="AD30" s="204">
        <v>421.48</v>
      </c>
      <c r="AE30" s="204">
        <v>424.53</v>
      </c>
      <c r="AF30" s="204">
        <v>427.58</v>
      </c>
      <c r="AG30" s="204">
        <v>430.63</v>
      </c>
      <c r="AH30" s="203">
        <v>433.68</v>
      </c>
      <c r="AI30" s="204">
        <v>436.73</v>
      </c>
      <c r="AJ30" s="204">
        <v>439.78</v>
      </c>
      <c r="AK30" s="204">
        <v>442.83</v>
      </c>
      <c r="AL30" s="204">
        <v>445.88</v>
      </c>
      <c r="AM30" s="204">
        <v>448.93</v>
      </c>
      <c r="AN30" s="204">
        <v>451.98</v>
      </c>
      <c r="AO30" s="204">
        <v>455.03</v>
      </c>
      <c r="AP30" s="204">
        <v>458.08</v>
      </c>
      <c r="AQ30" s="204">
        <v>461.13</v>
      </c>
      <c r="AR30" s="204">
        <v>464.18</v>
      </c>
      <c r="AS30" s="204">
        <f t="shared" si="11"/>
        <v>467.23</v>
      </c>
      <c r="AT30" s="204">
        <f t="shared" si="11"/>
        <v>470.28</v>
      </c>
      <c r="AU30" s="204">
        <f t="shared" si="11"/>
        <v>473.33</v>
      </c>
      <c r="AV30" s="204">
        <f t="shared" si="11"/>
        <v>476.38</v>
      </c>
      <c r="AW30" s="204">
        <f t="shared" si="11"/>
        <v>479.43</v>
      </c>
      <c r="AX30" s="204">
        <f t="shared" si="11"/>
        <v>482.48</v>
      </c>
      <c r="AY30" s="204">
        <f t="shared" si="11"/>
        <v>485.53</v>
      </c>
      <c r="AZ30" s="204">
        <f t="shared" si="11"/>
        <v>488.58</v>
      </c>
      <c r="BA30" s="204">
        <f t="shared" si="11"/>
        <v>491.63</v>
      </c>
      <c r="BB30" s="204">
        <f t="shared" si="11"/>
        <v>494.68</v>
      </c>
      <c r="BC30" s="18">
        <f t="shared" si="12"/>
        <v>3.05</v>
      </c>
    </row>
    <row r="31" spans="1:55" hidden="1">
      <c r="A31" s="236" t="s">
        <v>521</v>
      </c>
      <c r="B31" s="237"/>
      <c r="C31" s="237"/>
      <c r="D31" s="18" t="s">
        <v>106</v>
      </c>
      <c r="E31" s="18" t="s">
        <v>509</v>
      </c>
      <c r="F31" s="15">
        <v>17.5</v>
      </c>
      <c r="G31" s="15"/>
      <c r="H31" s="18">
        <v>3.05</v>
      </c>
      <c r="I31" s="204">
        <f t="shared" si="8"/>
        <v>379.11</v>
      </c>
      <c r="J31" s="204">
        <f t="shared" si="8"/>
        <v>382.16</v>
      </c>
      <c r="K31" s="204">
        <f t="shared" si="8"/>
        <v>385.21</v>
      </c>
      <c r="L31" s="204">
        <f t="shared" si="8"/>
        <v>388.26</v>
      </c>
      <c r="M31" s="204">
        <f t="shared" si="8"/>
        <v>391.31</v>
      </c>
      <c r="N31" s="204">
        <f t="shared" si="8"/>
        <v>394.36</v>
      </c>
      <c r="O31" s="204">
        <f t="shared" si="8"/>
        <v>397.41</v>
      </c>
      <c r="P31" s="204">
        <f t="shared" si="8"/>
        <v>400.46</v>
      </c>
      <c r="Q31" s="204">
        <f t="shared" si="8"/>
        <v>403.51</v>
      </c>
      <c r="R31" s="204">
        <f t="shared" si="8"/>
        <v>406.56</v>
      </c>
      <c r="S31" s="204">
        <f t="shared" si="8"/>
        <v>409.61</v>
      </c>
      <c r="T31" s="204">
        <f t="shared" si="8"/>
        <v>412.66</v>
      </c>
      <c r="U31" s="204">
        <f t="shared" si="8"/>
        <v>415.71</v>
      </c>
      <c r="V31" s="204">
        <f t="shared" si="8"/>
        <v>418.76</v>
      </c>
      <c r="W31" s="204">
        <f t="shared" si="10"/>
        <v>421.81</v>
      </c>
      <c r="X31" s="204">
        <v>424.86</v>
      </c>
      <c r="Y31" s="204">
        <v>427.91</v>
      </c>
      <c r="Z31" s="204">
        <v>430.96</v>
      </c>
      <c r="AA31" s="204">
        <v>434.01</v>
      </c>
      <c r="AB31" s="204">
        <v>437.06</v>
      </c>
      <c r="AC31" s="204">
        <v>440.11</v>
      </c>
      <c r="AD31" s="204">
        <v>443.16</v>
      </c>
      <c r="AE31" s="204">
        <v>446.21</v>
      </c>
      <c r="AF31" s="204">
        <v>449.26</v>
      </c>
      <c r="AG31" s="204">
        <v>452.31</v>
      </c>
      <c r="AH31" s="204">
        <v>455.36</v>
      </c>
      <c r="AI31" s="204">
        <v>458.41</v>
      </c>
      <c r="AJ31" s="204">
        <v>461.46000000000004</v>
      </c>
      <c r="AK31" s="204">
        <v>464.51000000000005</v>
      </c>
      <c r="AL31" s="204">
        <v>467.56000000000006</v>
      </c>
      <c r="AM31" s="204">
        <v>470.61000000000007</v>
      </c>
      <c r="AN31" s="204">
        <v>473.66000000000008</v>
      </c>
      <c r="AO31" s="204">
        <v>476.71000000000009</v>
      </c>
      <c r="AP31" s="204">
        <v>479.7600000000001</v>
      </c>
      <c r="AQ31" s="204">
        <v>482.81000000000012</v>
      </c>
      <c r="AR31" s="204">
        <v>485.86000000000013</v>
      </c>
      <c r="AS31" s="204">
        <f t="shared" si="11"/>
        <v>488.91</v>
      </c>
      <c r="AT31" s="204">
        <f t="shared" si="11"/>
        <v>491.96</v>
      </c>
      <c r="AU31" s="204">
        <f t="shared" si="11"/>
        <v>495.01</v>
      </c>
      <c r="AV31" s="204">
        <f t="shared" si="11"/>
        <v>498.06</v>
      </c>
      <c r="AW31" s="204">
        <f t="shared" si="11"/>
        <v>501.11</v>
      </c>
      <c r="AX31" s="204">
        <f t="shared" si="11"/>
        <v>504.16</v>
      </c>
      <c r="AY31" s="204">
        <f t="shared" si="11"/>
        <v>507.21</v>
      </c>
      <c r="AZ31" s="204">
        <f t="shared" si="11"/>
        <v>510.26</v>
      </c>
      <c r="BA31" s="204">
        <f t="shared" si="11"/>
        <v>513.30999999999995</v>
      </c>
      <c r="BB31" s="204">
        <f t="shared" si="11"/>
        <v>516.36</v>
      </c>
      <c r="BC31" s="18">
        <f t="shared" si="12"/>
        <v>3.05</v>
      </c>
    </row>
    <row r="32" spans="1:55" hidden="1"/>
    <row r="33" spans="1:54" hidden="1">
      <c r="A33" s="238" t="s">
        <v>521</v>
      </c>
    </row>
    <row r="34" spans="1:54" hidden="1">
      <c r="A34" s="238" t="s">
        <v>522</v>
      </c>
    </row>
    <row r="35" spans="1:54" hidden="1"/>
    <row r="36" spans="1:54" hidden="1"/>
    <row r="37" spans="1:54" s="54" customFormat="1" hidden="1">
      <c r="A37" s="110" t="s">
        <v>523</v>
      </c>
      <c r="B37" s="228" t="s">
        <v>506</v>
      </c>
      <c r="C37" s="228"/>
      <c r="D37" s="54" t="s">
        <v>12</v>
      </c>
      <c r="E37" s="230" t="s">
        <v>507</v>
      </c>
      <c r="F37" s="230" t="s">
        <v>17</v>
      </c>
      <c r="G37" s="230" t="s">
        <v>16</v>
      </c>
      <c r="H37" s="239" t="s">
        <v>267</v>
      </c>
      <c r="I37" s="240">
        <f t="shared" ref="I37:V37" si="13">J37-1000</f>
        <v>45000</v>
      </c>
      <c r="J37" s="240">
        <f t="shared" si="13"/>
        <v>46000</v>
      </c>
      <c r="K37" s="240">
        <f t="shared" si="13"/>
        <v>47000</v>
      </c>
      <c r="L37" s="240">
        <f t="shared" si="13"/>
        <v>48000</v>
      </c>
      <c r="M37" s="240">
        <f t="shared" si="13"/>
        <v>49000</v>
      </c>
      <c r="N37" s="240">
        <f t="shared" si="13"/>
        <v>50000</v>
      </c>
      <c r="O37" s="240">
        <f t="shared" si="13"/>
        <v>51000</v>
      </c>
      <c r="P37" s="240">
        <f t="shared" si="13"/>
        <v>52000</v>
      </c>
      <c r="Q37" s="240">
        <f t="shared" si="13"/>
        <v>53000</v>
      </c>
      <c r="R37" s="240">
        <f t="shared" si="13"/>
        <v>54000</v>
      </c>
      <c r="S37" s="240">
        <f t="shared" si="13"/>
        <v>55000</v>
      </c>
      <c r="T37" s="240">
        <f t="shared" si="13"/>
        <v>56000</v>
      </c>
      <c r="U37" s="240">
        <f t="shared" si="13"/>
        <v>57000</v>
      </c>
      <c r="V37" s="240">
        <f t="shared" si="13"/>
        <v>58000</v>
      </c>
      <c r="W37" s="240">
        <f>X37-1000</f>
        <v>59000</v>
      </c>
      <c r="X37" s="240">
        <v>60000</v>
      </c>
      <c r="Y37" s="240">
        <v>61000</v>
      </c>
      <c r="Z37" s="240">
        <v>62000</v>
      </c>
      <c r="AA37" s="240">
        <v>63000</v>
      </c>
      <c r="AB37" s="240">
        <v>64000</v>
      </c>
      <c r="AC37" s="240">
        <v>65000</v>
      </c>
      <c r="AD37" s="240">
        <v>66000</v>
      </c>
      <c r="AE37" s="240">
        <v>67000</v>
      </c>
      <c r="AF37" s="240">
        <v>68000</v>
      </c>
      <c r="AG37" s="240">
        <v>69000</v>
      </c>
      <c r="AH37" s="240">
        <v>70000</v>
      </c>
      <c r="AI37" s="240">
        <v>71000</v>
      </c>
      <c r="AJ37" s="240">
        <v>72000</v>
      </c>
      <c r="AK37" s="240">
        <v>73000</v>
      </c>
      <c r="AL37" s="240">
        <v>74000</v>
      </c>
      <c r="AM37" s="240">
        <v>75000</v>
      </c>
      <c r="AN37" s="240">
        <v>76000</v>
      </c>
      <c r="AO37" s="240">
        <v>77000</v>
      </c>
      <c r="AP37" s="240">
        <v>78000</v>
      </c>
      <c r="AQ37" s="240">
        <v>79000</v>
      </c>
      <c r="AR37" s="240">
        <v>80000</v>
      </c>
      <c r="AS37" s="240">
        <f>AR37+1000</f>
        <v>81000</v>
      </c>
      <c r="AT37" s="240">
        <f t="shared" ref="AT37:BB37" si="14">AS37+1000</f>
        <v>82000</v>
      </c>
      <c r="AU37" s="240">
        <f t="shared" si="14"/>
        <v>83000</v>
      </c>
      <c r="AV37" s="240">
        <f t="shared" si="14"/>
        <v>84000</v>
      </c>
      <c r="AW37" s="240">
        <f t="shared" si="14"/>
        <v>85000</v>
      </c>
      <c r="AX37" s="240">
        <f t="shared" si="14"/>
        <v>86000</v>
      </c>
      <c r="AY37" s="240">
        <f t="shared" si="14"/>
        <v>87000</v>
      </c>
      <c r="AZ37" s="240">
        <f t="shared" si="14"/>
        <v>88000</v>
      </c>
      <c r="BA37" s="240">
        <f t="shared" si="14"/>
        <v>89000</v>
      </c>
      <c r="BB37" s="240">
        <f t="shared" si="14"/>
        <v>90000</v>
      </c>
    </row>
    <row r="38" spans="1:54" hidden="1">
      <c r="A38" s="13" t="s">
        <v>524</v>
      </c>
      <c r="B38" s="233"/>
      <c r="C38" s="233"/>
      <c r="D38" s="15" t="s">
        <v>39</v>
      </c>
      <c r="E38" s="18" t="s">
        <v>509</v>
      </c>
      <c r="F38" s="25">
        <v>17.8</v>
      </c>
      <c r="G38" s="25">
        <v>6.4</v>
      </c>
      <c r="H38" s="241">
        <f>ROUND(Y38-X38,2)</f>
        <v>3.16</v>
      </c>
      <c r="I38" s="241">
        <f t="shared" ref="I38:AR38" si="15">ROUND(I20*1.02,2)</f>
        <v>372.69</v>
      </c>
      <c r="J38" s="241">
        <f t="shared" si="15"/>
        <v>375.84</v>
      </c>
      <c r="K38" s="241">
        <f t="shared" si="15"/>
        <v>378.99</v>
      </c>
      <c r="L38" s="241">
        <f t="shared" si="15"/>
        <v>382.14</v>
      </c>
      <c r="M38" s="241">
        <f t="shared" si="15"/>
        <v>385.29</v>
      </c>
      <c r="N38" s="241">
        <f t="shared" si="15"/>
        <v>388.45</v>
      </c>
      <c r="O38" s="241">
        <f t="shared" si="15"/>
        <v>391.6</v>
      </c>
      <c r="P38" s="241">
        <f t="shared" si="15"/>
        <v>394.75</v>
      </c>
      <c r="Q38" s="241">
        <f t="shared" si="15"/>
        <v>397.9</v>
      </c>
      <c r="R38" s="241">
        <f t="shared" si="15"/>
        <v>401.05</v>
      </c>
      <c r="S38" s="241">
        <f t="shared" si="15"/>
        <v>404.21</v>
      </c>
      <c r="T38" s="241">
        <f t="shared" si="15"/>
        <v>407.36</v>
      </c>
      <c r="U38" s="241">
        <f t="shared" si="15"/>
        <v>410.51</v>
      </c>
      <c r="V38" s="241">
        <f t="shared" si="15"/>
        <v>413.66</v>
      </c>
      <c r="W38" s="241">
        <f t="shared" si="15"/>
        <v>416.81</v>
      </c>
      <c r="X38" s="241">
        <f t="shared" si="15"/>
        <v>419.96</v>
      </c>
      <c r="Y38" s="241">
        <f t="shared" si="15"/>
        <v>423.12</v>
      </c>
      <c r="Z38" s="241">
        <f t="shared" si="15"/>
        <v>426.27</v>
      </c>
      <c r="AA38" s="241">
        <f t="shared" si="15"/>
        <v>429.42</v>
      </c>
      <c r="AB38" s="241">
        <f t="shared" si="15"/>
        <v>432.57</v>
      </c>
      <c r="AC38" s="241">
        <f t="shared" si="15"/>
        <v>435.72</v>
      </c>
      <c r="AD38" s="241">
        <f t="shared" si="15"/>
        <v>438.88</v>
      </c>
      <c r="AE38" s="241">
        <f t="shared" si="15"/>
        <v>442.03</v>
      </c>
      <c r="AF38" s="241">
        <f t="shared" si="15"/>
        <v>445.18</v>
      </c>
      <c r="AG38" s="241">
        <f t="shared" si="15"/>
        <v>448.33</v>
      </c>
      <c r="AH38" s="241">
        <f t="shared" si="15"/>
        <v>451.48</v>
      </c>
      <c r="AI38" s="241">
        <f t="shared" si="15"/>
        <v>454.63</v>
      </c>
      <c r="AJ38" s="241">
        <f t="shared" si="15"/>
        <v>457.79</v>
      </c>
      <c r="AK38" s="241">
        <f t="shared" si="15"/>
        <v>460.94</v>
      </c>
      <c r="AL38" s="241">
        <f t="shared" si="15"/>
        <v>464.09</v>
      </c>
      <c r="AM38" s="241">
        <f t="shared" si="15"/>
        <v>467.24</v>
      </c>
      <c r="AN38" s="241">
        <f t="shared" si="15"/>
        <v>470.39</v>
      </c>
      <c r="AO38" s="241">
        <f t="shared" si="15"/>
        <v>473.55</v>
      </c>
      <c r="AP38" s="241">
        <f t="shared" si="15"/>
        <v>476.7</v>
      </c>
      <c r="AQ38" s="241">
        <f t="shared" si="15"/>
        <v>479.85</v>
      </c>
      <c r="AR38" s="241">
        <f t="shared" si="15"/>
        <v>483</v>
      </c>
      <c r="AS38" s="241">
        <f t="shared" ref="AS38:BB38" si="16">ROUND(AS20*1.02,2)</f>
        <v>486.15</v>
      </c>
      <c r="AT38" s="241">
        <f t="shared" si="16"/>
        <v>489.3</v>
      </c>
      <c r="AU38" s="241">
        <f t="shared" si="16"/>
        <v>492.46</v>
      </c>
      <c r="AV38" s="241">
        <f t="shared" si="16"/>
        <v>495.61</v>
      </c>
      <c r="AW38" s="241">
        <f t="shared" si="16"/>
        <v>498.76</v>
      </c>
      <c r="AX38" s="241">
        <f t="shared" si="16"/>
        <v>501.91</v>
      </c>
      <c r="AY38" s="241">
        <f t="shared" si="16"/>
        <v>505.06</v>
      </c>
      <c r="AZ38" s="241">
        <f t="shared" si="16"/>
        <v>508.22</v>
      </c>
      <c r="BA38" s="241">
        <f t="shared" si="16"/>
        <v>511.37</v>
      </c>
      <c r="BB38" s="241">
        <f t="shared" si="16"/>
        <v>514.52</v>
      </c>
    </row>
    <row r="39" spans="1:54" s="35" customFormat="1" hidden="1">
      <c r="A39" s="242" t="s">
        <v>525</v>
      </c>
      <c r="B39" s="233" t="s">
        <v>520</v>
      </c>
      <c r="C39" s="233"/>
      <c r="D39" s="18" t="s">
        <v>25</v>
      </c>
      <c r="E39" s="18" t="s">
        <v>509</v>
      </c>
      <c r="F39" s="25">
        <v>17.8</v>
      </c>
      <c r="G39" s="25">
        <v>6.4</v>
      </c>
      <c r="H39" s="241">
        <f t="shared" ref="H39:H47" si="17">ROUND(Y39-X39,2)</f>
        <v>3.15</v>
      </c>
      <c r="I39" s="241">
        <f t="shared" ref="I39:AR39" si="18">ROUND(I21*1.02,2)</f>
        <v>396.35</v>
      </c>
      <c r="J39" s="241">
        <f t="shared" si="18"/>
        <v>399.5</v>
      </c>
      <c r="K39" s="241">
        <f t="shared" si="18"/>
        <v>402.66</v>
      </c>
      <c r="L39" s="241">
        <f t="shared" si="18"/>
        <v>405.81</v>
      </c>
      <c r="M39" s="241">
        <f t="shared" si="18"/>
        <v>408.96</v>
      </c>
      <c r="N39" s="241">
        <f t="shared" si="18"/>
        <v>412.11</v>
      </c>
      <c r="O39" s="241">
        <f t="shared" si="18"/>
        <v>415.26</v>
      </c>
      <c r="P39" s="241">
        <f t="shared" si="18"/>
        <v>418.41</v>
      </c>
      <c r="Q39" s="241">
        <f t="shared" si="18"/>
        <v>421.57</v>
      </c>
      <c r="R39" s="241">
        <f t="shared" si="18"/>
        <v>424.72</v>
      </c>
      <c r="S39" s="241">
        <f t="shared" si="18"/>
        <v>427.87</v>
      </c>
      <c r="T39" s="241">
        <f t="shared" si="18"/>
        <v>431.02</v>
      </c>
      <c r="U39" s="241">
        <f t="shared" si="18"/>
        <v>434.17</v>
      </c>
      <c r="V39" s="241">
        <f t="shared" si="18"/>
        <v>437.33</v>
      </c>
      <c r="W39" s="241">
        <f t="shared" si="18"/>
        <v>440.48</v>
      </c>
      <c r="X39" s="241">
        <f t="shared" si="18"/>
        <v>443.63</v>
      </c>
      <c r="Y39" s="241">
        <f t="shared" si="18"/>
        <v>446.78</v>
      </c>
      <c r="Z39" s="241">
        <f t="shared" si="18"/>
        <v>449.93</v>
      </c>
      <c r="AA39" s="241">
        <f t="shared" si="18"/>
        <v>453.08</v>
      </c>
      <c r="AB39" s="241">
        <f t="shared" si="18"/>
        <v>456.24</v>
      </c>
      <c r="AC39" s="241">
        <f t="shared" si="18"/>
        <v>459.39</v>
      </c>
      <c r="AD39" s="241">
        <f t="shared" si="18"/>
        <v>462.54</v>
      </c>
      <c r="AE39" s="241">
        <f t="shared" si="18"/>
        <v>465.69</v>
      </c>
      <c r="AF39" s="241">
        <f t="shared" si="18"/>
        <v>468.84</v>
      </c>
      <c r="AG39" s="241">
        <f t="shared" si="18"/>
        <v>471.99</v>
      </c>
      <c r="AH39" s="241">
        <f t="shared" si="18"/>
        <v>475.15</v>
      </c>
      <c r="AI39" s="241">
        <f t="shared" si="18"/>
        <v>478.3</v>
      </c>
      <c r="AJ39" s="241">
        <f t="shared" si="18"/>
        <v>481.45</v>
      </c>
      <c r="AK39" s="241">
        <f t="shared" si="18"/>
        <v>484.6</v>
      </c>
      <c r="AL39" s="241">
        <f t="shared" si="18"/>
        <v>487.75</v>
      </c>
      <c r="AM39" s="241">
        <f t="shared" si="18"/>
        <v>490.91</v>
      </c>
      <c r="AN39" s="241">
        <f t="shared" si="18"/>
        <v>494.06</v>
      </c>
      <c r="AO39" s="241">
        <f t="shared" si="18"/>
        <v>497.21</v>
      </c>
      <c r="AP39" s="241">
        <f t="shared" si="18"/>
        <v>500.36</v>
      </c>
      <c r="AQ39" s="241">
        <f t="shared" si="18"/>
        <v>503.51</v>
      </c>
      <c r="AR39" s="241">
        <f t="shared" si="18"/>
        <v>506.66</v>
      </c>
      <c r="AS39" s="241">
        <f t="shared" ref="AS39:BB39" si="19">ROUND(AS21*1.02,2)</f>
        <v>509.82</v>
      </c>
      <c r="AT39" s="241">
        <f t="shared" si="19"/>
        <v>512.97</v>
      </c>
      <c r="AU39" s="241">
        <f t="shared" si="19"/>
        <v>516.12</v>
      </c>
      <c r="AV39" s="241">
        <f t="shared" si="19"/>
        <v>519.27</v>
      </c>
      <c r="AW39" s="241">
        <f t="shared" si="19"/>
        <v>522.41999999999996</v>
      </c>
      <c r="AX39" s="241">
        <f t="shared" si="19"/>
        <v>525.58000000000004</v>
      </c>
      <c r="AY39" s="241">
        <f t="shared" si="19"/>
        <v>528.73</v>
      </c>
      <c r="AZ39" s="241">
        <f t="shared" si="19"/>
        <v>531.88</v>
      </c>
      <c r="BA39" s="241">
        <f t="shared" si="19"/>
        <v>535.03</v>
      </c>
      <c r="BB39" s="241">
        <f t="shared" si="19"/>
        <v>538.17999999999995</v>
      </c>
    </row>
    <row r="40" spans="1:54" hidden="1">
      <c r="A40" s="14" t="s">
        <v>510</v>
      </c>
      <c r="D40" s="18" t="s">
        <v>39</v>
      </c>
      <c r="E40" s="18" t="s">
        <v>509</v>
      </c>
      <c r="F40" s="25">
        <v>21.3</v>
      </c>
      <c r="G40" s="25">
        <v>6.4</v>
      </c>
      <c r="H40" s="241">
        <f t="shared" si="17"/>
        <v>3.95</v>
      </c>
      <c r="I40" s="241">
        <f t="shared" ref="I40:AR40" si="20">ROUND(I22*1.02,2)</f>
        <v>400.69</v>
      </c>
      <c r="J40" s="241">
        <f t="shared" si="20"/>
        <v>404.63</v>
      </c>
      <c r="K40" s="241">
        <f t="shared" si="20"/>
        <v>408.58</v>
      </c>
      <c r="L40" s="241">
        <f t="shared" si="20"/>
        <v>412.53</v>
      </c>
      <c r="M40" s="241">
        <f t="shared" si="20"/>
        <v>416.48</v>
      </c>
      <c r="N40" s="241">
        <f t="shared" si="20"/>
        <v>420.42</v>
      </c>
      <c r="O40" s="241">
        <f t="shared" si="20"/>
        <v>424.37</v>
      </c>
      <c r="P40" s="241">
        <f t="shared" si="20"/>
        <v>428.32</v>
      </c>
      <c r="Q40" s="241">
        <f t="shared" si="20"/>
        <v>432.27</v>
      </c>
      <c r="R40" s="241">
        <f t="shared" si="20"/>
        <v>436.21</v>
      </c>
      <c r="S40" s="241">
        <f t="shared" si="20"/>
        <v>440.16</v>
      </c>
      <c r="T40" s="241">
        <f t="shared" si="20"/>
        <v>444.11</v>
      </c>
      <c r="U40" s="241">
        <f t="shared" si="20"/>
        <v>448.06</v>
      </c>
      <c r="V40" s="241">
        <f t="shared" si="20"/>
        <v>452</v>
      </c>
      <c r="W40" s="241">
        <f t="shared" si="20"/>
        <v>455.95</v>
      </c>
      <c r="X40" s="241">
        <f t="shared" si="20"/>
        <v>459.9</v>
      </c>
      <c r="Y40" s="241">
        <f t="shared" si="20"/>
        <v>463.85</v>
      </c>
      <c r="Z40" s="241">
        <f t="shared" si="20"/>
        <v>467.79</v>
      </c>
      <c r="AA40" s="241">
        <f t="shared" si="20"/>
        <v>471.74</v>
      </c>
      <c r="AB40" s="241">
        <f t="shared" si="20"/>
        <v>475.69</v>
      </c>
      <c r="AC40" s="241">
        <f t="shared" si="20"/>
        <v>479.63</v>
      </c>
      <c r="AD40" s="241">
        <f t="shared" si="20"/>
        <v>483.58</v>
      </c>
      <c r="AE40" s="241">
        <f t="shared" si="20"/>
        <v>487.53</v>
      </c>
      <c r="AF40" s="241">
        <f t="shared" si="20"/>
        <v>491.48</v>
      </c>
      <c r="AG40" s="241">
        <f t="shared" si="20"/>
        <v>495.42</v>
      </c>
      <c r="AH40" s="241">
        <f t="shared" si="20"/>
        <v>499.37</v>
      </c>
      <c r="AI40" s="241">
        <f t="shared" si="20"/>
        <v>503.32</v>
      </c>
      <c r="AJ40" s="241">
        <f t="shared" si="20"/>
        <v>507.27</v>
      </c>
      <c r="AK40" s="241">
        <f t="shared" si="20"/>
        <v>511.21</v>
      </c>
      <c r="AL40" s="241">
        <f t="shared" si="20"/>
        <v>515.16</v>
      </c>
      <c r="AM40" s="241">
        <f t="shared" si="20"/>
        <v>519.11</v>
      </c>
      <c r="AN40" s="241">
        <f t="shared" si="20"/>
        <v>523.05999999999995</v>
      </c>
      <c r="AO40" s="241">
        <f t="shared" si="20"/>
        <v>527</v>
      </c>
      <c r="AP40" s="241">
        <f t="shared" si="20"/>
        <v>530.95000000000005</v>
      </c>
      <c r="AQ40" s="241">
        <f t="shared" si="20"/>
        <v>534.9</v>
      </c>
      <c r="AR40" s="241">
        <f t="shared" si="20"/>
        <v>538.85</v>
      </c>
      <c r="AS40" s="241">
        <f t="shared" ref="AS40:BB40" si="21">ROUND(AS22*1.02,2)</f>
        <v>542.79</v>
      </c>
      <c r="AT40" s="241">
        <f t="shared" si="21"/>
        <v>546.74</v>
      </c>
      <c r="AU40" s="241">
        <f t="shared" si="21"/>
        <v>550.69000000000005</v>
      </c>
      <c r="AV40" s="241">
        <f t="shared" si="21"/>
        <v>554.64</v>
      </c>
      <c r="AW40" s="241">
        <f t="shared" si="21"/>
        <v>558.58000000000004</v>
      </c>
      <c r="AX40" s="241">
        <f t="shared" si="21"/>
        <v>562.53</v>
      </c>
      <c r="AY40" s="241">
        <f t="shared" si="21"/>
        <v>566.48</v>
      </c>
      <c r="AZ40" s="241">
        <f t="shared" si="21"/>
        <v>570.41999999999996</v>
      </c>
      <c r="BA40" s="241">
        <f t="shared" si="21"/>
        <v>574.37</v>
      </c>
      <c r="BB40" s="241">
        <f t="shared" si="21"/>
        <v>578.32000000000005</v>
      </c>
    </row>
    <row r="41" spans="1:54" hidden="1">
      <c r="A41" s="13" t="s">
        <v>510</v>
      </c>
      <c r="B41" s="233"/>
      <c r="C41" s="233"/>
      <c r="D41" s="15" t="s">
        <v>25</v>
      </c>
      <c r="E41" s="18" t="s">
        <v>509</v>
      </c>
      <c r="F41" s="16">
        <v>21.3</v>
      </c>
      <c r="G41" s="25">
        <v>6.4</v>
      </c>
      <c r="H41" s="241">
        <f t="shared" si="17"/>
        <v>3.95</v>
      </c>
      <c r="I41" s="241">
        <f t="shared" ref="I41:AR41" si="22">ROUND(I23*1.02,2)</f>
        <v>429.25</v>
      </c>
      <c r="J41" s="241">
        <f t="shared" si="22"/>
        <v>433.19</v>
      </c>
      <c r="K41" s="241">
        <f t="shared" si="22"/>
        <v>437.14</v>
      </c>
      <c r="L41" s="241">
        <f t="shared" si="22"/>
        <v>441.09</v>
      </c>
      <c r="M41" s="241">
        <f t="shared" si="22"/>
        <v>445.04</v>
      </c>
      <c r="N41" s="241">
        <f t="shared" si="22"/>
        <v>448.98</v>
      </c>
      <c r="O41" s="241">
        <f t="shared" si="22"/>
        <v>452.93</v>
      </c>
      <c r="P41" s="241">
        <f t="shared" si="22"/>
        <v>456.88</v>
      </c>
      <c r="Q41" s="241">
        <f t="shared" si="22"/>
        <v>460.83</v>
      </c>
      <c r="R41" s="241">
        <f t="shared" si="22"/>
        <v>464.77</v>
      </c>
      <c r="S41" s="241">
        <f t="shared" si="22"/>
        <v>468.72</v>
      </c>
      <c r="T41" s="241">
        <f t="shared" si="22"/>
        <v>472.67</v>
      </c>
      <c r="U41" s="241">
        <f t="shared" si="22"/>
        <v>476.62</v>
      </c>
      <c r="V41" s="241">
        <f t="shared" si="22"/>
        <v>480.56</v>
      </c>
      <c r="W41" s="241">
        <f t="shared" si="22"/>
        <v>484.51</v>
      </c>
      <c r="X41" s="241">
        <f t="shared" si="22"/>
        <v>488.46</v>
      </c>
      <c r="Y41" s="241">
        <f t="shared" si="22"/>
        <v>492.41</v>
      </c>
      <c r="Z41" s="241">
        <f t="shared" si="22"/>
        <v>496.35</v>
      </c>
      <c r="AA41" s="241">
        <f t="shared" si="22"/>
        <v>500.3</v>
      </c>
      <c r="AB41" s="241">
        <f t="shared" si="22"/>
        <v>504.25</v>
      </c>
      <c r="AC41" s="241">
        <f t="shared" si="22"/>
        <v>508.19</v>
      </c>
      <c r="AD41" s="241">
        <f t="shared" si="22"/>
        <v>512.14</v>
      </c>
      <c r="AE41" s="241">
        <f t="shared" si="22"/>
        <v>516.09</v>
      </c>
      <c r="AF41" s="241">
        <f t="shared" si="22"/>
        <v>520.04</v>
      </c>
      <c r="AG41" s="241">
        <f t="shared" si="22"/>
        <v>523.98</v>
      </c>
      <c r="AH41" s="241">
        <f t="shared" si="22"/>
        <v>527.92999999999995</v>
      </c>
      <c r="AI41" s="241">
        <f t="shared" si="22"/>
        <v>531.88</v>
      </c>
      <c r="AJ41" s="241">
        <f t="shared" si="22"/>
        <v>535.83000000000004</v>
      </c>
      <c r="AK41" s="241">
        <f t="shared" si="22"/>
        <v>539.77</v>
      </c>
      <c r="AL41" s="241">
        <f t="shared" si="22"/>
        <v>543.72</v>
      </c>
      <c r="AM41" s="241">
        <f t="shared" si="22"/>
        <v>547.66999999999996</v>
      </c>
      <c r="AN41" s="241">
        <f t="shared" si="22"/>
        <v>551.62</v>
      </c>
      <c r="AO41" s="241">
        <f t="shared" si="22"/>
        <v>555.55999999999995</v>
      </c>
      <c r="AP41" s="241">
        <f t="shared" si="22"/>
        <v>559.51</v>
      </c>
      <c r="AQ41" s="241">
        <f t="shared" si="22"/>
        <v>563.46</v>
      </c>
      <c r="AR41" s="241">
        <f t="shared" si="22"/>
        <v>567.41</v>
      </c>
      <c r="AS41" s="241">
        <f t="shared" ref="AS41:BB41" si="23">ROUND(AS23*1.02,2)</f>
        <v>571.35</v>
      </c>
      <c r="AT41" s="241">
        <f t="shared" si="23"/>
        <v>575.29999999999995</v>
      </c>
      <c r="AU41" s="241">
        <f t="shared" si="23"/>
        <v>579.25</v>
      </c>
      <c r="AV41" s="241">
        <f t="shared" si="23"/>
        <v>583.20000000000005</v>
      </c>
      <c r="AW41" s="241">
        <f t="shared" si="23"/>
        <v>587.14</v>
      </c>
      <c r="AX41" s="241">
        <f t="shared" si="23"/>
        <v>591.09</v>
      </c>
      <c r="AY41" s="241">
        <f t="shared" si="23"/>
        <v>595.04</v>
      </c>
      <c r="AZ41" s="241">
        <f t="shared" si="23"/>
        <v>598.98</v>
      </c>
      <c r="BA41" s="241">
        <f t="shared" si="23"/>
        <v>602.92999999999995</v>
      </c>
      <c r="BB41" s="241">
        <f t="shared" si="23"/>
        <v>606.88</v>
      </c>
    </row>
    <row r="42" spans="1:54" hidden="1">
      <c r="A42" s="14" t="s">
        <v>511</v>
      </c>
      <c r="D42" s="18" t="s">
        <v>39</v>
      </c>
      <c r="E42" s="18" t="s">
        <v>509</v>
      </c>
      <c r="F42" s="25">
        <v>18.34</v>
      </c>
      <c r="G42" s="25">
        <v>6.4</v>
      </c>
      <c r="H42" s="241">
        <f t="shared" si="17"/>
        <v>3.31</v>
      </c>
      <c r="I42" s="241">
        <f t="shared" ref="I42:AR42" si="24">ROUND(I24*1.02,2)</f>
        <v>392.38</v>
      </c>
      <c r="J42" s="241">
        <f t="shared" si="24"/>
        <v>395.7</v>
      </c>
      <c r="K42" s="241">
        <f t="shared" si="24"/>
        <v>399.01</v>
      </c>
      <c r="L42" s="241">
        <f t="shared" si="24"/>
        <v>402.33</v>
      </c>
      <c r="M42" s="241">
        <f t="shared" si="24"/>
        <v>405.64</v>
      </c>
      <c r="N42" s="241">
        <f t="shared" si="24"/>
        <v>408.96</v>
      </c>
      <c r="O42" s="241">
        <f t="shared" si="24"/>
        <v>412.27</v>
      </c>
      <c r="P42" s="241">
        <f t="shared" si="24"/>
        <v>415.59</v>
      </c>
      <c r="Q42" s="241">
        <f t="shared" si="24"/>
        <v>418.9</v>
      </c>
      <c r="R42" s="241">
        <f t="shared" si="24"/>
        <v>422.22</v>
      </c>
      <c r="S42" s="241">
        <f t="shared" si="24"/>
        <v>425.53</v>
      </c>
      <c r="T42" s="241">
        <f t="shared" si="24"/>
        <v>428.85</v>
      </c>
      <c r="U42" s="241">
        <f t="shared" si="24"/>
        <v>432.16</v>
      </c>
      <c r="V42" s="241">
        <f t="shared" si="24"/>
        <v>435.48</v>
      </c>
      <c r="W42" s="241">
        <f t="shared" si="24"/>
        <v>438.79</v>
      </c>
      <c r="X42" s="241">
        <f t="shared" si="24"/>
        <v>442.11</v>
      </c>
      <c r="Y42" s="241">
        <f t="shared" si="24"/>
        <v>445.42</v>
      </c>
      <c r="Z42" s="241">
        <f t="shared" si="24"/>
        <v>448.74</v>
      </c>
      <c r="AA42" s="241">
        <f t="shared" si="24"/>
        <v>452.05</v>
      </c>
      <c r="AB42" s="241">
        <f t="shared" si="24"/>
        <v>455.37</v>
      </c>
      <c r="AC42" s="241">
        <f t="shared" si="24"/>
        <v>458.68</v>
      </c>
      <c r="AD42" s="241">
        <f t="shared" si="24"/>
        <v>462</v>
      </c>
      <c r="AE42" s="241">
        <f t="shared" si="24"/>
        <v>465.31</v>
      </c>
      <c r="AF42" s="241">
        <f t="shared" si="24"/>
        <v>468.63</v>
      </c>
      <c r="AG42" s="241">
        <f t="shared" si="24"/>
        <v>471.94</v>
      </c>
      <c r="AH42" s="241">
        <f t="shared" si="24"/>
        <v>475.26</v>
      </c>
      <c r="AI42" s="241">
        <f t="shared" si="24"/>
        <v>478.57</v>
      </c>
      <c r="AJ42" s="241">
        <f t="shared" si="24"/>
        <v>481.89</v>
      </c>
      <c r="AK42" s="241">
        <f t="shared" si="24"/>
        <v>485.2</v>
      </c>
      <c r="AL42" s="241">
        <f t="shared" si="24"/>
        <v>488.52</v>
      </c>
      <c r="AM42" s="241">
        <f t="shared" si="24"/>
        <v>491.83</v>
      </c>
      <c r="AN42" s="241">
        <f t="shared" si="24"/>
        <v>495.15</v>
      </c>
      <c r="AO42" s="241">
        <f t="shared" si="24"/>
        <v>498.46</v>
      </c>
      <c r="AP42" s="241">
        <f t="shared" si="24"/>
        <v>501.78</v>
      </c>
      <c r="AQ42" s="241">
        <f t="shared" si="24"/>
        <v>505.09</v>
      </c>
      <c r="AR42" s="241">
        <f t="shared" si="24"/>
        <v>508.41</v>
      </c>
      <c r="AS42" s="241">
        <f t="shared" ref="AS42:BB42" si="25">ROUND(AS24*1.02,2)</f>
        <v>511.72</v>
      </c>
      <c r="AT42" s="241">
        <f t="shared" si="25"/>
        <v>515.04</v>
      </c>
      <c r="AU42" s="241">
        <f t="shared" si="25"/>
        <v>518.35</v>
      </c>
      <c r="AV42" s="241">
        <f t="shared" si="25"/>
        <v>521.66999999999996</v>
      </c>
      <c r="AW42" s="241">
        <f t="shared" si="25"/>
        <v>524.98</v>
      </c>
      <c r="AX42" s="241">
        <f t="shared" si="25"/>
        <v>528.29999999999995</v>
      </c>
      <c r="AY42" s="241">
        <f t="shared" si="25"/>
        <v>531.61</v>
      </c>
      <c r="AZ42" s="241">
        <f t="shared" si="25"/>
        <v>534.92999999999995</v>
      </c>
      <c r="BA42" s="241">
        <f t="shared" si="25"/>
        <v>538.24</v>
      </c>
      <c r="BB42" s="241">
        <f t="shared" si="25"/>
        <v>541.55999999999995</v>
      </c>
    </row>
    <row r="43" spans="1:54" hidden="1">
      <c r="A43" s="234" t="s">
        <v>511</v>
      </c>
      <c r="B43" s="228" t="s">
        <v>526</v>
      </c>
      <c r="D43" s="18" t="s">
        <v>25</v>
      </c>
      <c r="E43" s="18" t="s">
        <v>509</v>
      </c>
      <c r="F43" s="16">
        <v>18.34</v>
      </c>
      <c r="G43" s="25">
        <v>6.4</v>
      </c>
      <c r="H43" s="241">
        <f t="shared" si="17"/>
        <v>3.31</v>
      </c>
      <c r="I43" s="241">
        <f t="shared" ref="I43:AR43" si="26">ROUND(I25*1.02,2)</f>
        <v>417.31</v>
      </c>
      <c r="J43" s="241">
        <f t="shared" si="26"/>
        <v>420.63</v>
      </c>
      <c r="K43" s="241">
        <f t="shared" si="26"/>
        <v>423.94</v>
      </c>
      <c r="L43" s="241">
        <f t="shared" si="26"/>
        <v>427.26</v>
      </c>
      <c r="M43" s="241">
        <f t="shared" si="26"/>
        <v>430.57</v>
      </c>
      <c r="N43" s="241">
        <f t="shared" si="26"/>
        <v>433.89</v>
      </c>
      <c r="O43" s="241">
        <f t="shared" si="26"/>
        <v>437.2</v>
      </c>
      <c r="P43" s="241">
        <f t="shared" si="26"/>
        <v>440.52</v>
      </c>
      <c r="Q43" s="241">
        <f t="shared" si="26"/>
        <v>443.83</v>
      </c>
      <c r="R43" s="241">
        <f t="shared" si="26"/>
        <v>447.15</v>
      </c>
      <c r="S43" s="241">
        <f t="shared" si="26"/>
        <v>450.46</v>
      </c>
      <c r="T43" s="241">
        <f t="shared" si="26"/>
        <v>453.78</v>
      </c>
      <c r="U43" s="241">
        <f t="shared" si="26"/>
        <v>457.09</v>
      </c>
      <c r="V43" s="241">
        <f t="shared" si="26"/>
        <v>460.41</v>
      </c>
      <c r="W43" s="241">
        <f t="shared" si="26"/>
        <v>463.72</v>
      </c>
      <c r="X43" s="241">
        <f t="shared" si="26"/>
        <v>467.04</v>
      </c>
      <c r="Y43" s="241">
        <f t="shared" si="26"/>
        <v>470.35</v>
      </c>
      <c r="Z43" s="241">
        <f t="shared" si="26"/>
        <v>473.67</v>
      </c>
      <c r="AA43" s="241">
        <f t="shared" si="26"/>
        <v>476.98</v>
      </c>
      <c r="AB43" s="241">
        <f t="shared" si="26"/>
        <v>480.3</v>
      </c>
      <c r="AC43" s="241">
        <f t="shared" si="26"/>
        <v>483.61</v>
      </c>
      <c r="AD43" s="241">
        <f t="shared" si="26"/>
        <v>486.93</v>
      </c>
      <c r="AE43" s="241">
        <f t="shared" si="26"/>
        <v>490.24</v>
      </c>
      <c r="AF43" s="241">
        <f t="shared" si="26"/>
        <v>493.56</v>
      </c>
      <c r="AG43" s="241">
        <f t="shared" si="26"/>
        <v>496.87</v>
      </c>
      <c r="AH43" s="241">
        <f t="shared" si="26"/>
        <v>500.19</v>
      </c>
      <c r="AI43" s="241">
        <f t="shared" si="26"/>
        <v>503.5</v>
      </c>
      <c r="AJ43" s="241">
        <f t="shared" si="26"/>
        <v>506.82</v>
      </c>
      <c r="AK43" s="241">
        <f t="shared" si="26"/>
        <v>510.13</v>
      </c>
      <c r="AL43" s="241">
        <f t="shared" si="26"/>
        <v>513.45000000000005</v>
      </c>
      <c r="AM43" s="241">
        <f t="shared" si="26"/>
        <v>516.76</v>
      </c>
      <c r="AN43" s="241">
        <f t="shared" si="26"/>
        <v>520.08000000000004</v>
      </c>
      <c r="AO43" s="241">
        <f t="shared" si="26"/>
        <v>523.39</v>
      </c>
      <c r="AP43" s="241">
        <f t="shared" si="26"/>
        <v>526.71</v>
      </c>
      <c r="AQ43" s="241">
        <f t="shared" si="26"/>
        <v>530.02</v>
      </c>
      <c r="AR43" s="241">
        <f t="shared" si="26"/>
        <v>533.34</v>
      </c>
      <c r="AS43" s="241">
        <f t="shared" ref="AS43:BB43" si="27">ROUND(AS25*1.02,2)</f>
        <v>536.65</v>
      </c>
      <c r="AT43" s="241">
        <f t="shared" si="27"/>
        <v>539.97</v>
      </c>
      <c r="AU43" s="241">
        <f t="shared" si="27"/>
        <v>543.28</v>
      </c>
      <c r="AV43" s="241">
        <f t="shared" si="27"/>
        <v>546.6</v>
      </c>
      <c r="AW43" s="241">
        <f t="shared" si="27"/>
        <v>549.91</v>
      </c>
      <c r="AX43" s="241">
        <f t="shared" si="27"/>
        <v>553.23</v>
      </c>
      <c r="AY43" s="241">
        <f t="shared" si="27"/>
        <v>556.54</v>
      </c>
      <c r="AZ43" s="241">
        <f t="shared" si="27"/>
        <v>559.86</v>
      </c>
      <c r="BA43" s="241">
        <f t="shared" si="27"/>
        <v>563.16999999999996</v>
      </c>
      <c r="BB43" s="241">
        <f t="shared" si="27"/>
        <v>566.49</v>
      </c>
    </row>
    <row r="44" spans="1:54" hidden="1">
      <c r="A44" s="14" t="s">
        <v>514</v>
      </c>
      <c r="D44" s="18" t="s">
        <v>39</v>
      </c>
      <c r="E44" s="18" t="s">
        <v>509</v>
      </c>
      <c r="F44" s="25">
        <v>21</v>
      </c>
      <c r="G44" s="25">
        <v>6.4</v>
      </c>
      <c r="H44" s="241">
        <f t="shared" si="17"/>
        <v>3.65</v>
      </c>
      <c r="I44" s="241">
        <f t="shared" ref="I44:AR44" si="28">ROUND(I26*1.02,2)</f>
        <v>377.7</v>
      </c>
      <c r="J44" s="241">
        <f t="shared" si="28"/>
        <v>381.35</v>
      </c>
      <c r="K44" s="241">
        <f t="shared" si="28"/>
        <v>385</v>
      </c>
      <c r="L44" s="241">
        <f t="shared" si="28"/>
        <v>388.65</v>
      </c>
      <c r="M44" s="241">
        <f t="shared" si="28"/>
        <v>392.3</v>
      </c>
      <c r="N44" s="241">
        <f t="shared" si="28"/>
        <v>395.95</v>
      </c>
      <c r="O44" s="241">
        <f t="shared" si="28"/>
        <v>399.61</v>
      </c>
      <c r="P44" s="241">
        <f t="shared" si="28"/>
        <v>403.26</v>
      </c>
      <c r="Q44" s="241">
        <f t="shared" si="28"/>
        <v>406.91</v>
      </c>
      <c r="R44" s="241">
        <f t="shared" si="28"/>
        <v>410.56</v>
      </c>
      <c r="S44" s="241">
        <f t="shared" si="28"/>
        <v>414.21</v>
      </c>
      <c r="T44" s="241">
        <f t="shared" si="28"/>
        <v>417.86</v>
      </c>
      <c r="U44" s="241">
        <f t="shared" si="28"/>
        <v>421.52</v>
      </c>
      <c r="V44" s="241">
        <f t="shared" si="28"/>
        <v>425.17</v>
      </c>
      <c r="W44" s="241">
        <f t="shared" si="28"/>
        <v>428.82</v>
      </c>
      <c r="X44" s="241">
        <f t="shared" si="28"/>
        <v>432.47</v>
      </c>
      <c r="Y44" s="241">
        <f t="shared" si="28"/>
        <v>436.12</v>
      </c>
      <c r="Z44" s="241">
        <f t="shared" si="28"/>
        <v>439.77</v>
      </c>
      <c r="AA44" s="241">
        <f t="shared" si="28"/>
        <v>443.42</v>
      </c>
      <c r="AB44" s="241">
        <f t="shared" si="28"/>
        <v>447.08</v>
      </c>
      <c r="AC44" s="241">
        <f t="shared" si="28"/>
        <v>450.73</v>
      </c>
      <c r="AD44" s="241">
        <f t="shared" si="28"/>
        <v>454.38</v>
      </c>
      <c r="AE44" s="241">
        <f t="shared" si="28"/>
        <v>458.03</v>
      </c>
      <c r="AF44" s="241">
        <f t="shared" si="28"/>
        <v>461.68</v>
      </c>
      <c r="AG44" s="241">
        <f t="shared" si="28"/>
        <v>465.33</v>
      </c>
      <c r="AH44" s="241">
        <f t="shared" si="28"/>
        <v>468.99</v>
      </c>
      <c r="AI44" s="241">
        <f t="shared" si="28"/>
        <v>472.64</v>
      </c>
      <c r="AJ44" s="241">
        <f t="shared" si="28"/>
        <v>476.29</v>
      </c>
      <c r="AK44" s="241">
        <f t="shared" si="28"/>
        <v>479.94</v>
      </c>
      <c r="AL44" s="241">
        <f t="shared" si="28"/>
        <v>483.59</v>
      </c>
      <c r="AM44" s="241">
        <f t="shared" si="28"/>
        <v>487.24</v>
      </c>
      <c r="AN44" s="241">
        <f t="shared" si="28"/>
        <v>490.9</v>
      </c>
      <c r="AO44" s="241">
        <f t="shared" si="28"/>
        <v>494.55</v>
      </c>
      <c r="AP44" s="241">
        <f t="shared" si="28"/>
        <v>498.2</v>
      </c>
      <c r="AQ44" s="241">
        <f t="shared" si="28"/>
        <v>501.85</v>
      </c>
      <c r="AR44" s="241">
        <f t="shared" si="28"/>
        <v>505.5</v>
      </c>
      <c r="AS44" s="241">
        <f t="shared" ref="AS44:BB44" si="29">ROUND(AS26*1.02,2)</f>
        <v>509.15</v>
      </c>
      <c r="AT44" s="241">
        <f t="shared" si="29"/>
        <v>512.80999999999995</v>
      </c>
      <c r="AU44" s="241">
        <f t="shared" si="29"/>
        <v>516.46</v>
      </c>
      <c r="AV44" s="241">
        <f t="shared" si="29"/>
        <v>520.11</v>
      </c>
      <c r="AW44" s="241">
        <f t="shared" si="29"/>
        <v>523.76</v>
      </c>
      <c r="AX44" s="241">
        <f t="shared" si="29"/>
        <v>527.41</v>
      </c>
      <c r="AY44" s="241">
        <f t="shared" si="29"/>
        <v>531.05999999999995</v>
      </c>
      <c r="AZ44" s="241">
        <f t="shared" si="29"/>
        <v>534.71</v>
      </c>
      <c r="BA44" s="241">
        <f t="shared" si="29"/>
        <v>538.37</v>
      </c>
      <c r="BB44" s="241">
        <f t="shared" si="29"/>
        <v>542.02</v>
      </c>
    </row>
    <row r="45" spans="1:54" hidden="1">
      <c r="A45" s="14" t="s">
        <v>514</v>
      </c>
      <c r="D45" s="18" t="s">
        <v>25</v>
      </c>
      <c r="E45" s="18" t="s">
        <v>509</v>
      </c>
      <c r="F45" s="25">
        <v>21</v>
      </c>
      <c r="G45" s="25">
        <v>6.4</v>
      </c>
      <c r="H45" s="241">
        <f t="shared" si="17"/>
        <v>3.65</v>
      </c>
      <c r="I45" s="241">
        <f t="shared" ref="I45:AR45" si="30">ROUND(I27*1.02,2)</f>
        <v>401.14</v>
      </c>
      <c r="J45" s="241">
        <f t="shared" si="30"/>
        <v>404.79</v>
      </c>
      <c r="K45" s="241">
        <f t="shared" si="30"/>
        <v>408.44</v>
      </c>
      <c r="L45" s="241">
        <f t="shared" si="30"/>
        <v>412.09</v>
      </c>
      <c r="M45" s="241">
        <f t="shared" si="30"/>
        <v>415.74</v>
      </c>
      <c r="N45" s="241">
        <f t="shared" si="30"/>
        <v>419.39</v>
      </c>
      <c r="O45" s="241">
        <f t="shared" si="30"/>
        <v>423.05</v>
      </c>
      <c r="P45" s="241">
        <f t="shared" si="30"/>
        <v>426.7</v>
      </c>
      <c r="Q45" s="241">
        <f t="shared" si="30"/>
        <v>430.35</v>
      </c>
      <c r="R45" s="241">
        <f t="shared" si="30"/>
        <v>434</v>
      </c>
      <c r="S45" s="241">
        <f t="shared" si="30"/>
        <v>437.65</v>
      </c>
      <c r="T45" s="241">
        <f t="shared" si="30"/>
        <v>441.3</v>
      </c>
      <c r="U45" s="241">
        <f t="shared" si="30"/>
        <v>444.95</v>
      </c>
      <c r="V45" s="241">
        <f t="shared" si="30"/>
        <v>448.61</v>
      </c>
      <c r="W45" s="241">
        <f t="shared" si="30"/>
        <v>452.26</v>
      </c>
      <c r="X45" s="241">
        <f t="shared" si="30"/>
        <v>455.91</v>
      </c>
      <c r="Y45" s="241">
        <f t="shared" si="30"/>
        <v>459.56</v>
      </c>
      <c r="Z45" s="241">
        <f t="shared" si="30"/>
        <v>463.21</v>
      </c>
      <c r="AA45" s="241">
        <f t="shared" si="30"/>
        <v>466.86</v>
      </c>
      <c r="AB45" s="241">
        <f t="shared" si="30"/>
        <v>470.52</v>
      </c>
      <c r="AC45" s="241">
        <f t="shared" si="30"/>
        <v>474.17</v>
      </c>
      <c r="AD45" s="241">
        <f t="shared" si="30"/>
        <v>477.82</v>
      </c>
      <c r="AE45" s="241">
        <f t="shared" si="30"/>
        <v>481.47</v>
      </c>
      <c r="AF45" s="241">
        <f t="shared" si="30"/>
        <v>485.12</v>
      </c>
      <c r="AG45" s="241">
        <f t="shared" si="30"/>
        <v>488.77</v>
      </c>
      <c r="AH45" s="241">
        <f t="shared" si="30"/>
        <v>492.43</v>
      </c>
      <c r="AI45" s="241">
        <f t="shared" si="30"/>
        <v>496.08</v>
      </c>
      <c r="AJ45" s="241">
        <f t="shared" si="30"/>
        <v>499.73</v>
      </c>
      <c r="AK45" s="241">
        <f t="shared" si="30"/>
        <v>503.38</v>
      </c>
      <c r="AL45" s="241">
        <f t="shared" si="30"/>
        <v>507.03</v>
      </c>
      <c r="AM45" s="241">
        <f t="shared" si="30"/>
        <v>510.68</v>
      </c>
      <c r="AN45" s="241">
        <f t="shared" si="30"/>
        <v>514.34</v>
      </c>
      <c r="AO45" s="241">
        <f t="shared" si="30"/>
        <v>517.99</v>
      </c>
      <c r="AP45" s="241">
        <f t="shared" si="30"/>
        <v>521.64</v>
      </c>
      <c r="AQ45" s="241">
        <f t="shared" si="30"/>
        <v>525.29</v>
      </c>
      <c r="AR45" s="241">
        <f t="shared" si="30"/>
        <v>528.94000000000005</v>
      </c>
      <c r="AS45" s="241">
        <f t="shared" ref="AS45:BB45" si="31">ROUND(AS27*1.02,2)</f>
        <v>532.59</v>
      </c>
      <c r="AT45" s="241">
        <f t="shared" si="31"/>
        <v>536.24</v>
      </c>
      <c r="AU45" s="241">
        <f t="shared" si="31"/>
        <v>539.9</v>
      </c>
      <c r="AV45" s="241">
        <f t="shared" si="31"/>
        <v>543.54999999999995</v>
      </c>
      <c r="AW45" s="241">
        <f t="shared" si="31"/>
        <v>547.20000000000005</v>
      </c>
      <c r="AX45" s="241">
        <f t="shared" si="31"/>
        <v>550.85</v>
      </c>
      <c r="AY45" s="241">
        <f t="shared" si="31"/>
        <v>554.5</v>
      </c>
      <c r="AZ45" s="241">
        <f t="shared" si="31"/>
        <v>558.15</v>
      </c>
      <c r="BA45" s="241">
        <f t="shared" si="31"/>
        <v>561.80999999999995</v>
      </c>
      <c r="BB45" s="241">
        <f t="shared" si="31"/>
        <v>565.46</v>
      </c>
    </row>
    <row r="46" spans="1:54" hidden="1">
      <c r="A46" s="14" t="s">
        <v>515</v>
      </c>
      <c r="D46" s="18" t="s">
        <v>39</v>
      </c>
      <c r="E46" s="18" t="s">
        <v>509</v>
      </c>
      <c r="F46" s="25">
        <v>18.34</v>
      </c>
      <c r="G46" s="25">
        <v>6.4</v>
      </c>
      <c r="H46" s="241">
        <f t="shared" si="17"/>
        <v>3.31</v>
      </c>
      <c r="I46" s="241">
        <f t="shared" ref="I46:AR46" si="32">ROUND(I28*1.02,2)</f>
        <v>373.52</v>
      </c>
      <c r="J46" s="241">
        <f t="shared" si="32"/>
        <v>376.84</v>
      </c>
      <c r="K46" s="241">
        <f t="shared" si="32"/>
        <v>380.15</v>
      </c>
      <c r="L46" s="241">
        <f t="shared" si="32"/>
        <v>383.47</v>
      </c>
      <c r="M46" s="241">
        <f t="shared" si="32"/>
        <v>386.78</v>
      </c>
      <c r="N46" s="241">
        <f t="shared" si="32"/>
        <v>390.1</v>
      </c>
      <c r="O46" s="241">
        <f t="shared" si="32"/>
        <v>393.41</v>
      </c>
      <c r="P46" s="241">
        <f t="shared" si="32"/>
        <v>396.73</v>
      </c>
      <c r="Q46" s="241">
        <f t="shared" si="32"/>
        <v>400.04</v>
      </c>
      <c r="R46" s="241">
        <f t="shared" si="32"/>
        <v>403.36</v>
      </c>
      <c r="S46" s="241">
        <f t="shared" si="32"/>
        <v>406.67</v>
      </c>
      <c r="T46" s="241">
        <f t="shared" si="32"/>
        <v>409.99</v>
      </c>
      <c r="U46" s="241">
        <f t="shared" si="32"/>
        <v>413.3</v>
      </c>
      <c r="V46" s="241">
        <f t="shared" si="32"/>
        <v>416.62</v>
      </c>
      <c r="W46" s="241">
        <f t="shared" si="32"/>
        <v>419.93</v>
      </c>
      <c r="X46" s="241">
        <f t="shared" si="32"/>
        <v>423.25</v>
      </c>
      <c r="Y46" s="241">
        <f t="shared" si="32"/>
        <v>426.56</v>
      </c>
      <c r="Z46" s="241">
        <f t="shared" si="32"/>
        <v>429.88</v>
      </c>
      <c r="AA46" s="241">
        <f t="shared" si="32"/>
        <v>433.19</v>
      </c>
      <c r="AB46" s="241">
        <f t="shared" si="32"/>
        <v>436.51</v>
      </c>
      <c r="AC46" s="241">
        <f t="shared" si="32"/>
        <v>439.82</v>
      </c>
      <c r="AD46" s="241">
        <f t="shared" si="32"/>
        <v>443.14</v>
      </c>
      <c r="AE46" s="241">
        <f t="shared" si="32"/>
        <v>446.45</v>
      </c>
      <c r="AF46" s="241">
        <f t="shared" si="32"/>
        <v>449.77</v>
      </c>
      <c r="AG46" s="241">
        <f t="shared" si="32"/>
        <v>453.08</v>
      </c>
      <c r="AH46" s="241">
        <f t="shared" si="32"/>
        <v>456.4</v>
      </c>
      <c r="AI46" s="241">
        <f t="shared" si="32"/>
        <v>459.71</v>
      </c>
      <c r="AJ46" s="241">
        <f t="shared" si="32"/>
        <v>463.03</v>
      </c>
      <c r="AK46" s="241">
        <f t="shared" si="32"/>
        <v>466.34</v>
      </c>
      <c r="AL46" s="241">
        <f t="shared" si="32"/>
        <v>469.66</v>
      </c>
      <c r="AM46" s="241">
        <f t="shared" si="32"/>
        <v>472.97</v>
      </c>
      <c r="AN46" s="241">
        <f t="shared" si="32"/>
        <v>476.29</v>
      </c>
      <c r="AO46" s="241">
        <f t="shared" si="32"/>
        <v>479.6</v>
      </c>
      <c r="AP46" s="241">
        <f t="shared" si="32"/>
        <v>482.92</v>
      </c>
      <c r="AQ46" s="241">
        <f t="shared" si="32"/>
        <v>486.23</v>
      </c>
      <c r="AR46" s="241">
        <f t="shared" si="32"/>
        <v>489.55</v>
      </c>
      <c r="AS46" s="241">
        <f t="shared" ref="AS46:BB46" si="33">ROUND(AS28*1.02,2)</f>
        <v>492.86</v>
      </c>
      <c r="AT46" s="241">
        <f t="shared" si="33"/>
        <v>496.18</v>
      </c>
      <c r="AU46" s="241">
        <f t="shared" si="33"/>
        <v>499.49</v>
      </c>
      <c r="AV46" s="241">
        <f t="shared" si="33"/>
        <v>502.81</v>
      </c>
      <c r="AW46" s="241">
        <f t="shared" si="33"/>
        <v>506.12</v>
      </c>
      <c r="AX46" s="241">
        <f t="shared" si="33"/>
        <v>509.44</v>
      </c>
      <c r="AY46" s="241">
        <f t="shared" si="33"/>
        <v>512.75</v>
      </c>
      <c r="AZ46" s="241">
        <f t="shared" si="33"/>
        <v>516.07000000000005</v>
      </c>
      <c r="BA46" s="241">
        <f t="shared" si="33"/>
        <v>519.38</v>
      </c>
      <c r="BB46" s="241">
        <f t="shared" si="33"/>
        <v>522.70000000000005</v>
      </c>
    </row>
    <row r="47" spans="1:54" hidden="1">
      <c r="A47" s="14" t="s">
        <v>515</v>
      </c>
      <c r="D47" s="18" t="s">
        <v>25</v>
      </c>
      <c r="E47" s="18" t="s">
        <v>509</v>
      </c>
      <c r="F47" s="25">
        <v>18.34</v>
      </c>
      <c r="G47" s="25">
        <v>6.4</v>
      </c>
      <c r="H47" s="241">
        <f t="shared" si="17"/>
        <v>3.31</v>
      </c>
      <c r="I47" s="241">
        <f t="shared" ref="I47:AR47" si="34">ROUND(I29*1.02,2)</f>
        <v>396.34</v>
      </c>
      <c r="J47" s="241">
        <f t="shared" si="34"/>
        <v>399.66</v>
      </c>
      <c r="K47" s="241">
        <f t="shared" si="34"/>
        <v>402.97</v>
      </c>
      <c r="L47" s="241">
        <f t="shared" si="34"/>
        <v>406.29</v>
      </c>
      <c r="M47" s="241">
        <f t="shared" si="34"/>
        <v>409.6</v>
      </c>
      <c r="N47" s="241">
        <f t="shared" si="34"/>
        <v>412.92</v>
      </c>
      <c r="O47" s="241">
        <f t="shared" si="34"/>
        <v>416.23</v>
      </c>
      <c r="P47" s="241">
        <f t="shared" si="34"/>
        <v>419.55</v>
      </c>
      <c r="Q47" s="241">
        <f t="shared" si="34"/>
        <v>422.86</v>
      </c>
      <c r="R47" s="241">
        <f t="shared" si="34"/>
        <v>426.18</v>
      </c>
      <c r="S47" s="241">
        <f t="shared" si="34"/>
        <v>429.49</v>
      </c>
      <c r="T47" s="241">
        <f t="shared" si="34"/>
        <v>432.81</v>
      </c>
      <c r="U47" s="241">
        <f t="shared" si="34"/>
        <v>436.12</v>
      </c>
      <c r="V47" s="241">
        <f t="shared" si="34"/>
        <v>439.44</v>
      </c>
      <c r="W47" s="241">
        <f t="shared" si="34"/>
        <v>442.75</v>
      </c>
      <c r="X47" s="241">
        <f t="shared" si="34"/>
        <v>446.07</v>
      </c>
      <c r="Y47" s="241">
        <f t="shared" si="34"/>
        <v>449.38</v>
      </c>
      <c r="Z47" s="241">
        <f t="shared" si="34"/>
        <v>452.7</v>
      </c>
      <c r="AA47" s="241">
        <f t="shared" si="34"/>
        <v>456.01</v>
      </c>
      <c r="AB47" s="241">
        <f t="shared" si="34"/>
        <v>459.33</v>
      </c>
      <c r="AC47" s="241">
        <f t="shared" si="34"/>
        <v>462.64</v>
      </c>
      <c r="AD47" s="241">
        <f t="shared" si="34"/>
        <v>465.96</v>
      </c>
      <c r="AE47" s="241">
        <f t="shared" si="34"/>
        <v>469.27</v>
      </c>
      <c r="AF47" s="241">
        <f t="shared" si="34"/>
        <v>472.59</v>
      </c>
      <c r="AG47" s="241">
        <f t="shared" si="34"/>
        <v>475.9</v>
      </c>
      <c r="AH47" s="241">
        <f t="shared" si="34"/>
        <v>479.22</v>
      </c>
      <c r="AI47" s="241">
        <f t="shared" si="34"/>
        <v>482.53</v>
      </c>
      <c r="AJ47" s="241">
        <f t="shared" si="34"/>
        <v>485.85</v>
      </c>
      <c r="AK47" s="241">
        <f t="shared" si="34"/>
        <v>489.16</v>
      </c>
      <c r="AL47" s="241">
        <f t="shared" si="34"/>
        <v>492.48</v>
      </c>
      <c r="AM47" s="241">
        <f t="shared" si="34"/>
        <v>495.79</v>
      </c>
      <c r="AN47" s="241">
        <f t="shared" si="34"/>
        <v>499.11</v>
      </c>
      <c r="AO47" s="241">
        <f t="shared" si="34"/>
        <v>502.42</v>
      </c>
      <c r="AP47" s="241">
        <f t="shared" si="34"/>
        <v>505.74</v>
      </c>
      <c r="AQ47" s="241">
        <f t="shared" si="34"/>
        <v>509.05</v>
      </c>
      <c r="AR47" s="241">
        <f t="shared" si="34"/>
        <v>512.37</v>
      </c>
      <c r="AS47" s="241">
        <f t="shared" ref="AS47:BB47" si="35">ROUND(AS29*1.02,2)</f>
        <v>515.67999999999995</v>
      </c>
      <c r="AT47" s="241">
        <f t="shared" si="35"/>
        <v>519</v>
      </c>
      <c r="AU47" s="241">
        <f t="shared" si="35"/>
        <v>522.30999999999995</v>
      </c>
      <c r="AV47" s="241">
        <f t="shared" si="35"/>
        <v>525.63</v>
      </c>
      <c r="AW47" s="241">
        <f t="shared" si="35"/>
        <v>528.94000000000005</v>
      </c>
      <c r="AX47" s="241">
        <f t="shared" si="35"/>
        <v>532.26</v>
      </c>
      <c r="AY47" s="241">
        <f t="shared" si="35"/>
        <v>535.57000000000005</v>
      </c>
      <c r="AZ47" s="241">
        <f t="shared" si="35"/>
        <v>538.89</v>
      </c>
      <c r="BA47" s="241">
        <f t="shared" si="35"/>
        <v>542.20000000000005</v>
      </c>
      <c r="BB47" s="241">
        <f t="shared" si="35"/>
        <v>545.52</v>
      </c>
    </row>
    <row r="48" spans="1:54" hidden="1"/>
    <row r="49" spans="1:59" hidden="1"/>
    <row r="50" spans="1:59" s="54" customFormat="1">
      <c r="A50" s="110" t="s">
        <v>527</v>
      </c>
      <c r="B50" s="228" t="s">
        <v>506</v>
      </c>
      <c r="C50" s="283" t="s">
        <v>15</v>
      </c>
      <c r="D50" s="54" t="s">
        <v>12</v>
      </c>
      <c r="E50" s="230" t="s">
        <v>507</v>
      </c>
      <c r="F50" s="230" t="s">
        <v>17</v>
      </c>
      <c r="G50" s="230" t="s">
        <v>16</v>
      </c>
      <c r="H50" s="243" t="s">
        <v>267</v>
      </c>
      <c r="I50" s="244">
        <f t="shared" ref="I50:V50" si="36">J50-1000</f>
        <v>45000</v>
      </c>
      <c r="J50" s="244">
        <f t="shared" si="36"/>
        <v>46000</v>
      </c>
      <c r="K50" s="244">
        <f t="shared" si="36"/>
        <v>47000</v>
      </c>
      <c r="L50" s="244">
        <f t="shared" si="36"/>
        <v>48000</v>
      </c>
      <c r="M50" s="244">
        <f t="shared" si="36"/>
        <v>49000</v>
      </c>
      <c r="N50" s="244">
        <f t="shared" si="36"/>
        <v>50000</v>
      </c>
      <c r="O50" s="244">
        <f t="shared" si="36"/>
        <v>51000</v>
      </c>
      <c r="P50" s="244">
        <f t="shared" si="36"/>
        <v>52000</v>
      </c>
      <c r="Q50" s="244">
        <f t="shared" si="36"/>
        <v>53000</v>
      </c>
      <c r="R50" s="244">
        <f t="shared" si="36"/>
        <v>54000</v>
      </c>
      <c r="S50" s="244">
        <f t="shared" si="36"/>
        <v>55000</v>
      </c>
      <c r="T50" s="244">
        <f t="shared" si="36"/>
        <v>56000</v>
      </c>
      <c r="U50" s="244">
        <f t="shared" si="36"/>
        <v>57000</v>
      </c>
      <c r="V50" s="244">
        <f t="shared" si="36"/>
        <v>58000</v>
      </c>
      <c r="W50" s="244">
        <f>X50-1000</f>
        <v>59000</v>
      </c>
      <c r="X50" s="244">
        <v>60000</v>
      </c>
      <c r="Y50" s="244">
        <v>61000</v>
      </c>
      <c r="Z50" s="244">
        <v>62000</v>
      </c>
      <c r="AA50" s="244">
        <v>63000</v>
      </c>
      <c r="AB50" s="244">
        <v>64000</v>
      </c>
      <c r="AC50" s="244">
        <v>65000</v>
      </c>
      <c r="AD50" s="244">
        <v>66000</v>
      </c>
      <c r="AE50" s="244">
        <v>67000</v>
      </c>
      <c r="AF50" s="244">
        <v>68000</v>
      </c>
      <c r="AG50" s="244">
        <v>69000</v>
      </c>
      <c r="AH50" s="244">
        <v>70000</v>
      </c>
      <c r="AI50" s="244">
        <v>71000</v>
      </c>
      <c r="AJ50" s="244">
        <v>72000</v>
      </c>
      <c r="AK50" s="244">
        <v>73000</v>
      </c>
      <c r="AL50" s="244">
        <v>74000</v>
      </c>
      <c r="AM50" s="244">
        <v>75000</v>
      </c>
      <c r="AN50" s="244">
        <v>76000</v>
      </c>
      <c r="AO50" s="244">
        <v>77000</v>
      </c>
      <c r="AP50" s="244">
        <v>78000</v>
      </c>
      <c r="AQ50" s="244">
        <v>79000</v>
      </c>
      <c r="AR50" s="244">
        <v>80000</v>
      </c>
      <c r="AS50" s="244">
        <f>AR50+1000</f>
        <v>81000</v>
      </c>
      <c r="AT50" s="244">
        <f t="shared" ref="AT50:BB50" si="37">AS50+1000</f>
        <v>82000</v>
      </c>
      <c r="AU50" s="244">
        <f t="shared" si="37"/>
        <v>83000</v>
      </c>
      <c r="AV50" s="244">
        <f t="shared" si="37"/>
        <v>84000</v>
      </c>
      <c r="AW50" s="244">
        <f t="shared" si="37"/>
        <v>85000</v>
      </c>
      <c r="AX50" s="244">
        <f t="shared" si="37"/>
        <v>86000</v>
      </c>
      <c r="AY50" s="244">
        <f t="shared" si="37"/>
        <v>87000</v>
      </c>
      <c r="AZ50" s="244">
        <f t="shared" si="37"/>
        <v>88000</v>
      </c>
      <c r="BA50" s="244">
        <f t="shared" si="37"/>
        <v>89000</v>
      </c>
      <c r="BB50" s="244">
        <f t="shared" si="37"/>
        <v>90000</v>
      </c>
      <c r="BC50" s="244">
        <v>91000</v>
      </c>
      <c r="BD50" s="244">
        <v>92000</v>
      </c>
      <c r="BE50" s="244">
        <v>93000</v>
      </c>
      <c r="BF50" s="244">
        <v>94000</v>
      </c>
      <c r="BG50" s="244">
        <v>95000</v>
      </c>
    </row>
    <row r="51" spans="1:59">
      <c r="A51" s="13" t="s">
        <v>524</v>
      </c>
      <c r="B51" s="228" t="s">
        <v>528</v>
      </c>
      <c r="C51" s="284" t="s">
        <v>529</v>
      </c>
      <c r="D51" s="15" t="s">
        <v>39</v>
      </c>
      <c r="E51" s="18" t="s">
        <v>509</v>
      </c>
      <c r="F51" s="25">
        <v>17.8</v>
      </c>
      <c r="G51" s="25">
        <v>6.4</v>
      </c>
      <c r="H51" s="245">
        <f t="shared" ref="H51:AR51" si="38">ROUND(H38*6.4,2)</f>
        <v>20.22</v>
      </c>
      <c r="I51" s="245">
        <f>ROUND(I38*6.4,2)</f>
        <v>2385.2199999999998</v>
      </c>
      <c r="J51" s="245">
        <f t="shared" ref="I51:W60" si="39">ROUND(J38*6.4,2)</f>
        <v>2405.38</v>
      </c>
      <c r="K51" s="245">
        <f t="shared" si="39"/>
        <v>2425.54</v>
      </c>
      <c r="L51" s="245">
        <f t="shared" si="39"/>
        <v>2445.6999999999998</v>
      </c>
      <c r="M51" s="245">
        <f t="shared" si="39"/>
        <v>2465.86</v>
      </c>
      <c r="N51" s="245">
        <f t="shared" si="39"/>
        <v>2486.08</v>
      </c>
      <c r="O51" s="245">
        <f t="shared" si="39"/>
        <v>2506.2399999999998</v>
      </c>
      <c r="P51" s="245">
        <f t="shared" si="39"/>
        <v>2526.4</v>
      </c>
      <c r="Q51" s="245">
        <f t="shared" si="39"/>
        <v>2546.56</v>
      </c>
      <c r="R51" s="245">
        <f t="shared" si="39"/>
        <v>2566.7199999999998</v>
      </c>
      <c r="S51" s="245">
        <f t="shared" si="39"/>
        <v>2586.94</v>
      </c>
      <c r="T51" s="245">
        <f t="shared" si="39"/>
        <v>2607.1</v>
      </c>
      <c r="U51" s="245">
        <f t="shared" si="39"/>
        <v>2627.26</v>
      </c>
      <c r="V51" s="245">
        <f t="shared" si="39"/>
        <v>2647.42</v>
      </c>
      <c r="W51" s="245">
        <f t="shared" si="39"/>
        <v>2667.58</v>
      </c>
      <c r="X51" s="245">
        <f t="shared" si="38"/>
        <v>2687.74</v>
      </c>
      <c r="Y51" s="245">
        <f t="shared" si="38"/>
        <v>2707.97</v>
      </c>
      <c r="Z51" s="245">
        <f t="shared" si="38"/>
        <v>2728.13</v>
      </c>
      <c r="AA51" s="245">
        <f t="shared" si="38"/>
        <v>2748.29</v>
      </c>
      <c r="AB51" s="245">
        <f t="shared" si="38"/>
        <v>2768.45</v>
      </c>
      <c r="AC51" s="245">
        <f t="shared" si="38"/>
        <v>2788.61</v>
      </c>
      <c r="AD51" s="245">
        <f t="shared" si="38"/>
        <v>2808.83</v>
      </c>
      <c r="AE51" s="245">
        <f t="shared" si="38"/>
        <v>2828.99</v>
      </c>
      <c r="AF51" s="245">
        <f t="shared" si="38"/>
        <v>2849.15</v>
      </c>
      <c r="AG51" s="245">
        <f t="shared" si="38"/>
        <v>2869.31</v>
      </c>
      <c r="AH51" s="245">
        <f t="shared" si="38"/>
        <v>2889.47</v>
      </c>
      <c r="AI51" s="245">
        <f t="shared" si="38"/>
        <v>2909.63</v>
      </c>
      <c r="AJ51" s="245">
        <f t="shared" si="38"/>
        <v>2929.86</v>
      </c>
      <c r="AK51" s="245">
        <f t="shared" si="38"/>
        <v>2950.02</v>
      </c>
      <c r="AL51" s="245">
        <f t="shared" si="38"/>
        <v>2970.18</v>
      </c>
      <c r="AM51" s="245">
        <f t="shared" si="38"/>
        <v>2990.34</v>
      </c>
      <c r="AN51" s="245">
        <f t="shared" si="38"/>
        <v>3010.5</v>
      </c>
      <c r="AO51" s="245">
        <f t="shared" si="38"/>
        <v>3030.72</v>
      </c>
      <c r="AP51" s="245">
        <f t="shared" si="38"/>
        <v>3050.88</v>
      </c>
      <c r="AQ51" s="245">
        <f t="shared" si="38"/>
        <v>3071.04</v>
      </c>
      <c r="AR51" s="245">
        <f t="shared" si="38"/>
        <v>3091.2</v>
      </c>
      <c r="AS51" s="245">
        <f t="shared" ref="AS51:BB51" si="40">ROUND(AS38*6.4,2)</f>
        <v>3111.36</v>
      </c>
      <c r="AT51" s="245">
        <f t="shared" si="40"/>
        <v>3131.52</v>
      </c>
      <c r="AU51" s="245">
        <f t="shared" si="40"/>
        <v>3151.74</v>
      </c>
      <c r="AV51" s="245">
        <f t="shared" si="40"/>
        <v>3171.9</v>
      </c>
      <c r="AW51" s="245">
        <f t="shared" si="40"/>
        <v>3192.06</v>
      </c>
      <c r="AX51" s="245">
        <f t="shared" si="40"/>
        <v>3212.22</v>
      </c>
      <c r="AY51" s="245">
        <f t="shared" si="40"/>
        <v>3232.38</v>
      </c>
      <c r="AZ51" s="245">
        <f t="shared" si="40"/>
        <v>3252.61</v>
      </c>
      <c r="BA51" s="245">
        <f t="shared" si="40"/>
        <v>3272.77</v>
      </c>
      <c r="BB51" s="245">
        <f t="shared" si="40"/>
        <v>3292.93</v>
      </c>
    </row>
    <row r="52" spans="1:59" s="250" customFormat="1">
      <c r="A52" s="246" t="s">
        <v>530</v>
      </c>
      <c r="B52" s="247" t="s">
        <v>531</v>
      </c>
      <c r="C52" s="247"/>
      <c r="D52" s="169" t="s">
        <v>25</v>
      </c>
      <c r="E52" s="169" t="s">
        <v>509</v>
      </c>
      <c r="F52" s="248">
        <v>17.8</v>
      </c>
      <c r="G52" s="248">
        <v>6.4</v>
      </c>
      <c r="H52" s="249">
        <f t="shared" ref="H52:AR52" si="41">ROUND(H39*6.4,2)</f>
        <v>20.16</v>
      </c>
      <c r="I52" s="249">
        <f t="shared" si="39"/>
        <v>2536.64</v>
      </c>
      <c r="J52" s="249">
        <f t="shared" si="39"/>
        <v>2556.8000000000002</v>
      </c>
      <c r="K52" s="249">
        <f t="shared" si="39"/>
        <v>2577.02</v>
      </c>
      <c r="L52" s="249">
        <f t="shared" si="39"/>
        <v>2597.1799999999998</v>
      </c>
      <c r="M52" s="249">
        <f t="shared" si="39"/>
        <v>2617.34</v>
      </c>
      <c r="N52" s="249">
        <f t="shared" si="39"/>
        <v>2637.5</v>
      </c>
      <c r="O52" s="249">
        <f t="shared" si="39"/>
        <v>2657.66</v>
      </c>
      <c r="P52" s="249">
        <f t="shared" si="39"/>
        <v>2677.82</v>
      </c>
      <c r="Q52" s="249">
        <f t="shared" si="39"/>
        <v>2698.05</v>
      </c>
      <c r="R52" s="249">
        <f t="shared" si="39"/>
        <v>2718.21</v>
      </c>
      <c r="S52" s="249">
        <f t="shared" si="39"/>
        <v>2738.37</v>
      </c>
      <c r="T52" s="249">
        <f t="shared" si="39"/>
        <v>2758.53</v>
      </c>
      <c r="U52" s="249">
        <f t="shared" si="39"/>
        <v>2778.69</v>
      </c>
      <c r="V52" s="249">
        <f t="shared" si="39"/>
        <v>2798.91</v>
      </c>
      <c r="W52" s="249">
        <f t="shared" si="39"/>
        <v>2819.07</v>
      </c>
      <c r="X52" s="249">
        <f t="shared" ref="X52" si="42">ROUND(X39*6.4,2)</f>
        <v>2839.23</v>
      </c>
      <c r="Y52" s="249">
        <f t="shared" si="41"/>
        <v>2859.39</v>
      </c>
      <c r="Z52" s="249">
        <f t="shared" si="41"/>
        <v>2879.55</v>
      </c>
      <c r="AA52" s="249">
        <f t="shared" si="41"/>
        <v>2899.71</v>
      </c>
      <c r="AB52" s="249">
        <f t="shared" si="41"/>
        <v>2919.94</v>
      </c>
      <c r="AC52" s="249">
        <f t="shared" si="41"/>
        <v>2940.1</v>
      </c>
      <c r="AD52" s="249">
        <f t="shared" si="41"/>
        <v>2960.26</v>
      </c>
      <c r="AE52" s="249">
        <f t="shared" si="41"/>
        <v>2980.42</v>
      </c>
      <c r="AF52" s="249">
        <f t="shared" si="41"/>
        <v>3000.58</v>
      </c>
      <c r="AG52" s="249">
        <f t="shared" si="41"/>
        <v>3020.74</v>
      </c>
      <c r="AH52" s="249">
        <f t="shared" si="41"/>
        <v>3040.96</v>
      </c>
      <c r="AI52" s="249">
        <f t="shared" si="41"/>
        <v>3061.12</v>
      </c>
      <c r="AJ52" s="249">
        <f t="shared" si="41"/>
        <v>3081.28</v>
      </c>
      <c r="AK52" s="249">
        <f t="shared" si="41"/>
        <v>3101.44</v>
      </c>
      <c r="AL52" s="249">
        <f t="shared" si="41"/>
        <v>3121.6</v>
      </c>
      <c r="AM52" s="249">
        <f t="shared" si="41"/>
        <v>3141.82</v>
      </c>
      <c r="AN52" s="249">
        <f t="shared" si="41"/>
        <v>3161.98</v>
      </c>
      <c r="AO52" s="249">
        <f t="shared" si="41"/>
        <v>3182.14</v>
      </c>
      <c r="AP52" s="249">
        <f t="shared" si="41"/>
        <v>3202.3</v>
      </c>
      <c r="AQ52" s="249">
        <f t="shared" si="41"/>
        <v>3222.46</v>
      </c>
      <c r="AR52" s="249">
        <f t="shared" si="41"/>
        <v>3242.62</v>
      </c>
      <c r="AS52" s="249">
        <f t="shared" ref="AS52:BB52" si="43">ROUND(AS39*6.4,2)</f>
        <v>3262.85</v>
      </c>
      <c r="AT52" s="249">
        <f t="shared" si="43"/>
        <v>3283.01</v>
      </c>
      <c r="AU52" s="249">
        <f t="shared" si="43"/>
        <v>3303.17</v>
      </c>
      <c r="AV52" s="249">
        <f t="shared" si="43"/>
        <v>3323.33</v>
      </c>
      <c r="AW52" s="249">
        <f t="shared" si="43"/>
        <v>3343.49</v>
      </c>
      <c r="AX52" s="249">
        <f t="shared" si="43"/>
        <v>3363.71</v>
      </c>
      <c r="AY52" s="249">
        <f t="shared" si="43"/>
        <v>3383.87</v>
      </c>
      <c r="AZ52" s="249">
        <f t="shared" si="43"/>
        <v>3404.03</v>
      </c>
      <c r="BA52" s="249">
        <f t="shared" si="43"/>
        <v>3424.19</v>
      </c>
      <c r="BB52" s="249">
        <f t="shared" si="43"/>
        <v>3444.35</v>
      </c>
    </row>
    <row r="53" spans="1:59">
      <c r="A53" s="14" t="s">
        <v>510</v>
      </c>
      <c r="D53" s="18" t="s">
        <v>39</v>
      </c>
      <c r="E53" s="18" t="s">
        <v>509</v>
      </c>
      <c r="F53" s="25">
        <v>21.3</v>
      </c>
      <c r="G53" s="25">
        <v>6.4</v>
      </c>
      <c r="H53" s="245">
        <f t="shared" ref="H53:H60" si="44">ROUND(H40*6.4,2)</f>
        <v>25.28</v>
      </c>
      <c r="I53" s="245">
        <f t="shared" si="39"/>
        <v>2564.42</v>
      </c>
      <c r="J53" s="245">
        <f t="shared" si="39"/>
        <v>2589.63</v>
      </c>
      <c r="K53" s="245">
        <f t="shared" si="39"/>
        <v>2614.91</v>
      </c>
      <c r="L53" s="245">
        <f t="shared" si="39"/>
        <v>2640.19</v>
      </c>
      <c r="M53" s="245">
        <f t="shared" si="39"/>
        <v>2665.47</v>
      </c>
      <c r="N53" s="245">
        <f t="shared" si="39"/>
        <v>2690.69</v>
      </c>
      <c r="O53" s="245">
        <f t="shared" si="39"/>
        <v>2715.97</v>
      </c>
      <c r="P53" s="245">
        <f t="shared" si="39"/>
        <v>2741.25</v>
      </c>
      <c r="Q53" s="245">
        <f t="shared" si="39"/>
        <v>2766.53</v>
      </c>
      <c r="R53" s="245">
        <f t="shared" si="39"/>
        <v>2791.74</v>
      </c>
      <c r="S53" s="245">
        <f t="shared" si="39"/>
        <v>2817.02</v>
      </c>
      <c r="T53" s="245">
        <f t="shared" si="39"/>
        <v>2842.3</v>
      </c>
      <c r="U53" s="245">
        <f t="shared" si="39"/>
        <v>2867.58</v>
      </c>
      <c r="V53" s="245">
        <f t="shared" si="39"/>
        <v>2892.8</v>
      </c>
      <c r="W53" s="245">
        <f t="shared" si="39"/>
        <v>2918.08</v>
      </c>
      <c r="X53" s="245">
        <f t="shared" ref="X53" si="45">ROUND(X40*6.4,2)</f>
        <v>2943.36</v>
      </c>
      <c r="Y53" s="245">
        <f t="shared" ref="Y53:AR60" si="46">ROUND(Y40*6.4,2)</f>
        <v>2968.64</v>
      </c>
      <c r="Z53" s="245">
        <f t="shared" si="46"/>
        <v>2993.86</v>
      </c>
      <c r="AA53" s="245">
        <f t="shared" si="46"/>
        <v>3019.14</v>
      </c>
      <c r="AB53" s="245">
        <f t="shared" si="46"/>
        <v>3044.42</v>
      </c>
      <c r="AC53" s="245">
        <f t="shared" si="46"/>
        <v>3069.63</v>
      </c>
      <c r="AD53" s="245">
        <f t="shared" si="46"/>
        <v>3094.91</v>
      </c>
      <c r="AE53" s="245">
        <f t="shared" si="46"/>
        <v>3120.19</v>
      </c>
      <c r="AF53" s="245">
        <f t="shared" si="46"/>
        <v>3145.47</v>
      </c>
      <c r="AG53" s="245">
        <f t="shared" si="46"/>
        <v>3170.69</v>
      </c>
      <c r="AH53" s="245">
        <f t="shared" si="46"/>
        <v>3195.97</v>
      </c>
      <c r="AI53" s="245">
        <f t="shared" si="46"/>
        <v>3221.25</v>
      </c>
      <c r="AJ53" s="245">
        <f t="shared" si="46"/>
        <v>3246.53</v>
      </c>
      <c r="AK53" s="245">
        <f t="shared" si="46"/>
        <v>3271.74</v>
      </c>
      <c r="AL53" s="245">
        <f t="shared" si="46"/>
        <v>3297.02</v>
      </c>
      <c r="AM53" s="245">
        <f t="shared" si="46"/>
        <v>3322.3</v>
      </c>
      <c r="AN53" s="245">
        <f t="shared" si="46"/>
        <v>3347.58</v>
      </c>
      <c r="AO53" s="245">
        <f t="shared" si="46"/>
        <v>3372.8</v>
      </c>
      <c r="AP53" s="245">
        <f t="shared" si="46"/>
        <v>3398.08</v>
      </c>
      <c r="AQ53" s="245">
        <f t="shared" si="46"/>
        <v>3423.36</v>
      </c>
      <c r="AR53" s="245">
        <f t="shared" si="46"/>
        <v>3448.64</v>
      </c>
      <c r="AS53" s="245">
        <f t="shared" ref="AS53:BB53" si="47">ROUND(AS40*6.4,2)</f>
        <v>3473.86</v>
      </c>
      <c r="AT53" s="245">
        <f t="shared" si="47"/>
        <v>3499.14</v>
      </c>
      <c r="AU53" s="245">
        <f t="shared" si="47"/>
        <v>3524.42</v>
      </c>
      <c r="AV53" s="245">
        <f t="shared" si="47"/>
        <v>3549.7</v>
      </c>
      <c r="AW53" s="245">
        <f t="shared" si="47"/>
        <v>3574.91</v>
      </c>
      <c r="AX53" s="245">
        <f t="shared" si="47"/>
        <v>3600.19</v>
      </c>
      <c r="AY53" s="245">
        <f t="shared" si="47"/>
        <v>3625.47</v>
      </c>
      <c r="AZ53" s="245">
        <f t="shared" si="47"/>
        <v>3650.69</v>
      </c>
      <c r="BA53" s="245">
        <f t="shared" si="47"/>
        <v>3675.97</v>
      </c>
      <c r="BB53" s="245">
        <f t="shared" si="47"/>
        <v>3701.25</v>
      </c>
    </row>
    <row r="54" spans="1:59">
      <c r="A54" s="13" t="s">
        <v>510</v>
      </c>
      <c r="B54" s="233"/>
      <c r="C54" s="233"/>
      <c r="D54" s="15" t="s">
        <v>25</v>
      </c>
      <c r="E54" s="18" t="s">
        <v>509</v>
      </c>
      <c r="F54" s="16">
        <v>21.3</v>
      </c>
      <c r="G54" s="25">
        <v>6.4</v>
      </c>
      <c r="H54" s="245">
        <f t="shared" si="44"/>
        <v>25.28</v>
      </c>
      <c r="I54" s="245">
        <f t="shared" si="39"/>
        <v>2747.2</v>
      </c>
      <c r="J54" s="245">
        <f t="shared" si="39"/>
        <v>2772.42</v>
      </c>
      <c r="K54" s="245">
        <f t="shared" si="39"/>
        <v>2797.7</v>
      </c>
      <c r="L54" s="245">
        <f t="shared" si="39"/>
        <v>2822.98</v>
      </c>
      <c r="M54" s="245">
        <f t="shared" si="39"/>
        <v>2848.26</v>
      </c>
      <c r="N54" s="245">
        <f t="shared" si="39"/>
        <v>2873.47</v>
      </c>
      <c r="O54" s="245">
        <f t="shared" si="39"/>
        <v>2898.75</v>
      </c>
      <c r="P54" s="245">
        <f t="shared" si="39"/>
        <v>2924.03</v>
      </c>
      <c r="Q54" s="245">
        <f t="shared" si="39"/>
        <v>2949.31</v>
      </c>
      <c r="R54" s="245">
        <f t="shared" si="39"/>
        <v>2974.53</v>
      </c>
      <c r="S54" s="245">
        <f t="shared" si="39"/>
        <v>2999.81</v>
      </c>
      <c r="T54" s="245">
        <f t="shared" si="39"/>
        <v>3025.09</v>
      </c>
      <c r="U54" s="245">
        <f t="shared" si="39"/>
        <v>3050.37</v>
      </c>
      <c r="V54" s="245">
        <f t="shared" si="39"/>
        <v>3075.58</v>
      </c>
      <c r="W54" s="245">
        <f t="shared" si="39"/>
        <v>3100.86</v>
      </c>
      <c r="X54" s="245">
        <f t="shared" ref="X54" si="48">ROUND(X41*6.4,2)</f>
        <v>3126.14</v>
      </c>
      <c r="Y54" s="245">
        <f t="shared" si="46"/>
        <v>3151.42</v>
      </c>
      <c r="Z54" s="245">
        <f t="shared" si="46"/>
        <v>3176.64</v>
      </c>
      <c r="AA54" s="245">
        <f t="shared" si="46"/>
        <v>3201.92</v>
      </c>
      <c r="AB54" s="245">
        <f t="shared" si="46"/>
        <v>3227.2</v>
      </c>
      <c r="AC54" s="245">
        <f t="shared" si="46"/>
        <v>3252.42</v>
      </c>
      <c r="AD54" s="245">
        <f t="shared" si="46"/>
        <v>3277.7</v>
      </c>
      <c r="AE54" s="245">
        <f t="shared" si="46"/>
        <v>3302.98</v>
      </c>
      <c r="AF54" s="245">
        <f t="shared" si="46"/>
        <v>3328.26</v>
      </c>
      <c r="AG54" s="245">
        <f t="shared" si="46"/>
        <v>3353.47</v>
      </c>
      <c r="AH54" s="245">
        <f t="shared" si="46"/>
        <v>3378.75</v>
      </c>
      <c r="AI54" s="245">
        <f t="shared" si="46"/>
        <v>3404.03</v>
      </c>
      <c r="AJ54" s="245">
        <f t="shared" si="46"/>
        <v>3429.31</v>
      </c>
      <c r="AK54" s="245">
        <f t="shared" si="46"/>
        <v>3454.53</v>
      </c>
      <c r="AL54" s="245">
        <f t="shared" si="46"/>
        <v>3479.81</v>
      </c>
      <c r="AM54" s="245">
        <f t="shared" si="46"/>
        <v>3505.09</v>
      </c>
      <c r="AN54" s="245">
        <f t="shared" si="46"/>
        <v>3530.37</v>
      </c>
      <c r="AO54" s="245">
        <f t="shared" si="46"/>
        <v>3555.58</v>
      </c>
      <c r="AP54" s="245">
        <f t="shared" si="46"/>
        <v>3580.86</v>
      </c>
      <c r="AQ54" s="245">
        <f t="shared" si="46"/>
        <v>3606.14</v>
      </c>
      <c r="AR54" s="245">
        <f t="shared" si="46"/>
        <v>3631.42</v>
      </c>
      <c r="AS54" s="245">
        <f t="shared" ref="AS54:BB54" si="49">ROUND(AS41*6.4,2)</f>
        <v>3656.64</v>
      </c>
      <c r="AT54" s="245">
        <f t="shared" si="49"/>
        <v>3681.92</v>
      </c>
      <c r="AU54" s="245">
        <f t="shared" si="49"/>
        <v>3707.2</v>
      </c>
      <c r="AV54" s="245">
        <f t="shared" si="49"/>
        <v>3732.48</v>
      </c>
      <c r="AW54" s="245">
        <f t="shared" si="49"/>
        <v>3757.7</v>
      </c>
      <c r="AX54" s="245">
        <f t="shared" si="49"/>
        <v>3782.98</v>
      </c>
      <c r="AY54" s="245">
        <f t="shared" si="49"/>
        <v>3808.26</v>
      </c>
      <c r="AZ54" s="245">
        <f t="shared" si="49"/>
        <v>3833.47</v>
      </c>
      <c r="BA54" s="245">
        <f t="shared" si="49"/>
        <v>3858.75</v>
      </c>
      <c r="BB54" s="245">
        <f t="shared" si="49"/>
        <v>3884.03</v>
      </c>
    </row>
    <row r="55" spans="1:59">
      <c r="A55" s="14" t="s">
        <v>511</v>
      </c>
      <c r="D55" s="18" t="s">
        <v>39</v>
      </c>
      <c r="E55" s="18" t="s">
        <v>509</v>
      </c>
      <c r="F55" s="25">
        <v>18.34</v>
      </c>
      <c r="G55" s="25">
        <v>6.4</v>
      </c>
      <c r="H55" s="245">
        <f t="shared" si="44"/>
        <v>21.18</v>
      </c>
      <c r="I55" s="245">
        <f t="shared" si="39"/>
        <v>2511.23</v>
      </c>
      <c r="J55" s="245">
        <f t="shared" si="39"/>
        <v>2532.48</v>
      </c>
      <c r="K55" s="245">
        <f t="shared" si="39"/>
        <v>2553.66</v>
      </c>
      <c r="L55" s="245">
        <f t="shared" si="39"/>
        <v>2574.91</v>
      </c>
      <c r="M55" s="245">
        <f t="shared" si="39"/>
        <v>2596.1</v>
      </c>
      <c r="N55" s="245">
        <f t="shared" si="39"/>
        <v>2617.34</v>
      </c>
      <c r="O55" s="245">
        <f t="shared" si="39"/>
        <v>2638.53</v>
      </c>
      <c r="P55" s="245">
        <f t="shared" si="39"/>
        <v>2659.78</v>
      </c>
      <c r="Q55" s="245">
        <f t="shared" si="39"/>
        <v>2680.96</v>
      </c>
      <c r="R55" s="245">
        <f t="shared" si="39"/>
        <v>2702.21</v>
      </c>
      <c r="S55" s="245">
        <f t="shared" si="39"/>
        <v>2723.39</v>
      </c>
      <c r="T55" s="245">
        <f t="shared" si="39"/>
        <v>2744.64</v>
      </c>
      <c r="U55" s="245">
        <f t="shared" si="39"/>
        <v>2765.82</v>
      </c>
      <c r="V55" s="245">
        <f t="shared" si="39"/>
        <v>2787.07</v>
      </c>
      <c r="W55" s="245">
        <f t="shared" si="39"/>
        <v>2808.26</v>
      </c>
      <c r="X55" s="245">
        <f t="shared" ref="X55" si="50">ROUND(X42*6.4,2)</f>
        <v>2829.5</v>
      </c>
      <c r="Y55" s="245">
        <f t="shared" si="46"/>
        <v>2850.69</v>
      </c>
      <c r="Z55" s="245">
        <f t="shared" si="46"/>
        <v>2871.94</v>
      </c>
      <c r="AA55" s="245">
        <f t="shared" si="46"/>
        <v>2893.12</v>
      </c>
      <c r="AB55" s="245">
        <f t="shared" si="46"/>
        <v>2914.37</v>
      </c>
      <c r="AC55" s="245">
        <f t="shared" si="46"/>
        <v>2935.55</v>
      </c>
      <c r="AD55" s="245">
        <f t="shared" si="46"/>
        <v>2956.8</v>
      </c>
      <c r="AE55" s="245">
        <f t="shared" si="46"/>
        <v>2977.98</v>
      </c>
      <c r="AF55" s="245">
        <f t="shared" si="46"/>
        <v>2999.23</v>
      </c>
      <c r="AG55" s="245">
        <f t="shared" si="46"/>
        <v>3020.42</v>
      </c>
      <c r="AH55" s="245">
        <f t="shared" si="46"/>
        <v>3041.66</v>
      </c>
      <c r="AI55" s="245">
        <f t="shared" si="46"/>
        <v>3062.85</v>
      </c>
      <c r="AJ55" s="245">
        <f t="shared" si="46"/>
        <v>3084.1</v>
      </c>
      <c r="AK55" s="245">
        <f t="shared" si="46"/>
        <v>3105.28</v>
      </c>
      <c r="AL55" s="245">
        <f t="shared" si="46"/>
        <v>3126.53</v>
      </c>
      <c r="AM55" s="245">
        <f t="shared" si="46"/>
        <v>3147.71</v>
      </c>
      <c r="AN55" s="245">
        <f t="shared" si="46"/>
        <v>3168.96</v>
      </c>
      <c r="AO55" s="245">
        <f t="shared" si="46"/>
        <v>3190.14</v>
      </c>
      <c r="AP55" s="245">
        <f t="shared" si="46"/>
        <v>3211.39</v>
      </c>
      <c r="AQ55" s="245">
        <f t="shared" si="46"/>
        <v>3232.58</v>
      </c>
      <c r="AR55" s="245">
        <f t="shared" si="46"/>
        <v>3253.82</v>
      </c>
      <c r="AS55" s="245">
        <f t="shared" ref="AS55:BB55" si="51">ROUND(AS42*6.4,2)</f>
        <v>3275.01</v>
      </c>
      <c r="AT55" s="245">
        <f t="shared" si="51"/>
        <v>3296.26</v>
      </c>
      <c r="AU55" s="245">
        <f t="shared" si="51"/>
        <v>3317.44</v>
      </c>
      <c r="AV55" s="245">
        <f t="shared" si="51"/>
        <v>3338.69</v>
      </c>
      <c r="AW55" s="245">
        <f t="shared" si="51"/>
        <v>3359.87</v>
      </c>
      <c r="AX55" s="245">
        <f t="shared" si="51"/>
        <v>3381.12</v>
      </c>
      <c r="AY55" s="245">
        <f t="shared" si="51"/>
        <v>3402.3</v>
      </c>
      <c r="AZ55" s="245">
        <f t="shared" si="51"/>
        <v>3423.55</v>
      </c>
      <c r="BA55" s="245">
        <f t="shared" si="51"/>
        <v>3444.74</v>
      </c>
      <c r="BB55" s="245">
        <f t="shared" si="51"/>
        <v>3465.98</v>
      </c>
    </row>
    <row r="56" spans="1:59">
      <c r="A56" s="234" t="s">
        <v>511</v>
      </c>
      <c r="B56" s="228" t="s">
        <v>526</v>
      </c>
      <c r="D56" s="18" t="s">
        <v>25</v>
      </c>
      <c r="E56" s="18" t="s">
        <v>509</v>
      </c>
      <c r="F56" s="16">
        <v>18.34</v>
      </c>
      <c r="G56" s="25">
        <v>6.4</v>
      </c>
      <c r="H56" s="245">
        <f t="shared" si="44"/>
        <v>21.18</v>
      </c>
      <c r="I56" s="245">
        <f t="shared" si="39"/>
        <v>2670.78</v>
      </c>
      <c r="J56" s="245">
        <f t="shared" si="39"/>
        <v>2692.03</v>
      </c>
      <c r="K56" s="245">
        <f t="shared" si="39"/>
        <v>2713.22</v>
      </c>
      <c r="L56" s="245">
        <f t="shared" si="39"/>
        <v>2734.46</v>
      </c>
      <c r="M56" s="245">
        <f t="shared" si="39"/>
        <v>2755.65</v>
      </c>
      <c r="N56" s="245">
        <f t="shared" si="39"/>
        <v>2776.9</v>
      </c>
      <c r="O56" s="245">
        <f t="shared" si="39"/>
        <v>2798.08</v>
      </c>
      <c r="P56" s="245">
        <f t="shared" si="39"/>
        <v>2819.33</v>
      </c>
      <c r="Q56" s="245">
        <f t="shared" si="39"/>
        <v>2840.51</v>
      </c>
      <c r="R56" s="245">
        <f t="shared" si="39"/>
        <v>2861.76</v>
      </c>
      <c r="S56" s="245">
        <f t="shared" si="39"/>
        <v>2882.94</v>
      </c>
      <c r="T56" s="245">
        <f t="shared" si="39"/>
        <v>2904.19</v>
      </c>
      <c r="U56" s="245">
        <f t="shared" si="39"/>
        <v>2925.38</v>
      </c>
      <c r="V56" s="245">
        <f t="shared" si="39"/>
        <v>2946.62</v>
      </c>
      <c r="W56" s="245">
        <f t="shared" si="39"/>
        <v>2967.81</v>
      </c>
      <c r="X56" s="245">
        <f t="shared" ref="X56" si="52">ROUND(X43*6.4,2)</f>
        <v>2989.06</v>
      </c>
      <c r="Y56" s="245">
        <f t="shared" si="46"/>
        <v>3010.24</v>
      </c>
      <c r="Z56" s="245">
        <f t="shared" si="46"/>
        <v>3031.49</v>
      </c>
      <c r="AA56" s="245">
        <f t="shared" si="46"/>
        <v>3052.67</v>
      </c>
      <c r="AB56" s="245">
        <f t="shared" si="46"/>
        <v>3073.92</v>
      </c>
      <c r="AC56" s="245">
        <f t="shared" si="46"/>
        <v>3095.1</v>
      </c>
      <c r="AD56" s="245">
        <f t="shared" si="46"/>
        <v>3116.35</v>
      </c>
      <c r="AE56" s="245">
        <f t="shared" si="46"/>
        <v>3137.54</v>
      </c>
      <c r="AF56" s="245">
        <f t="shared" si="46"/>
        <v>3158.78</v>
      </c>
      <c r="AG56" s="245">
        <f t="shared" si="46"/>
        <v>3179.97</v>
      </c>
      <c r="AH56" s="245">
        <f t="shared" si="46"/>
        <v>3201.22</v>
      </c>
      <c r="AI56" s="245">
        <f t="shared" si="46"/>
        <v>3222.4</v>
      </c>
      <c r="AJ56" s="245">
        <f t="shared" si="46"/>
        <v>3243.65</v>
      </c>
      <c r="AK56" s="245">
        <f t="shared" si="46"/>
        <v>3264.83</v>
      </c>
      <c r="AL56" s="245">
        <f t="shared" si="46"/>
        <v>3286.08</v>
      </c>
      <c r="AM56" s="245">
        <f t="shared" si="46"/>
        <v>3307.26</v>
      </c>
      <c r="AN56" s="245">
        <f t="shared" si="46"/>
        <v>3328.51</v>
      </c>
      <c r="AO56" s="245">
        <f t="shared" si="46"/>
        <v>3349.7</v>
      </c>
      <c r="AP56" s="245">
        <f t="shared" si="46"/>
        <v>3370.94</v>
      </c>
      <c r="AQ56" s="245">
        <f t="shared" si="46"/>
        <v>3392.13</v>
      </c>
      <c r="AR56" s="245">
        <f t="shared" si="46"/>
        <v>3413.38</v>
      </c>
      <c r="AS56" s="245">
        <f t="shared" ref="AS56:BB56" si="53">ROUND(AS43*6.4,2)</f>
        <v>3434.56</v>
      </c>
      <c r="AT56" s="245">
        <f t="shared" si="53"/>
        <v>3455.81</v>
      </c>
      <c r="AU56" s="245">
        <f t="shared" si="53"/>
        <v>3476.99</v>
      </c>
      <c r="AV56" s="245">
        <f t="shared" si="53"/>
        <v>3498.24</v>
      </c>
      <c r="AW56" s="245">
        <f t="shared" si="53"/>
        <v>3519.42</v>
      </c>
      <c r="AX56" s="245">
        <f t="shared" si="53"/>
        <v>3540.67</v>
      </c>
      <c r="AY56" s="245">
        <f t="shared" si="53"/>
        <v>3561.86</v>
      </c>
      <c r="AZ56" s="245">
        <f t="shared" si="53"/>
        <v>3583.1</v>
      </c>
      <c r="BA56" s="245">
        <f t="shared" si="53"/>
        <v>3604.29</v>
      </c>
      <c r="BB56" s="245">
        <f t="shared" si="53"/>
        <v>3625.54</v>
      </c>
    </row>
    <row r="57" spans="1:59">
      <c r="A57" s="14" t="s">
        <v>514</v>
      </c>
      <c r="D57" s="18" t="s">
        <v>39</v>
      </c>
      <c r="E57" s="18" t="s">
        <v>509</v>
      </c>
      <c r="F57" s="25">
        <v>21</v>
      </c>
      <c r="G57" s="25">
        <v>6.4</v>
      </c>
      <c r="H57" s="245">
        <f t="shared" si="44"/>
        <v>23.36</v>
      </c>
      <c r="I57" s="245">
        <f t="shared" si="39"/>
        <v>2417.2800000000002</v>
      </c>
      <c r="J57" s="245">
        <f t="shared" si="39"/>
        <v>2440.64</v>
      </c>
      <c r="K57" s="245">
        <f t="shared" si="39"/>
        <v>2464</v>
      </c>
      <c r="L57" s="245">
        <f t="shared" si="39"/>
        <v>2487.36</v>
      </c>
      <c r="M57" s="245">
        <f t="shared" si="39"/>
        <v>2510.7199999999998</v>
      </c>
      <c r="N57" s="245">
        <f t="shared" si="39"/>
        <v>2534.08</v>
      </c>
      <c r="O57" s="245">
        <f t="shared" si="39"/>
        <v>2557.5</v>
      </c>
      <c r="P57" s="245">
        <f t="shared" si="39"/>
        <v>2580.86</v>
      </c>
      <c r="Q57" s="245">
        <f t="shared" si="39"/>
        <v>2604.2199999999998</v>
      </c>
      <c r="R57" s="245">
        <f t="shared" si="39"/>
        <v>2627.58</v>
      </c>
      <c r="S57" s="245">
        <f t="shared" si="39"/>
        <v>2650.94</v>
      </c>
      <c r="T57" s="245">
        <f t="shared" si="39"/>
        <v>2674.3</v>
      </c>
      <c r="U57" s="245">
        <f t="shared" si="39"/>
        <v>2697.73</v>
      </c>
      <c r="V57" s="245">
        <f t="shared" si="39"/>
        <v>2721.09</v>
      </c>
      <c r="W57" s="245">
        <f t="shared" si="39"/>
        <v>2744.45</v>
      </c>
      <c r="X57" s="245">
        <f t="shared" ref="X57" si="54">ROUND(X44*6.4,2)</f>
        <v>2767.81</v>
      </c>
      <c r="Y57" s="245">
        <f t="shared" si="46"/>
        <v>2791.17</v>
      </c>
      <c r="Z57" s="245">
        <f t="shared" si="46"/>
        <v>2814.53</v>
      </c>
      <c r="AA57" s="245">
        <f t="shared" si="46"/>
        <v>2837.89</v>
      </c>
      <c r="AB57" s="245">
        <f t="shared" si="46"/>
        <v>2861.31</v>
      </c>
      <c r="AC57" s="245">
        <f t="shared" si="46"/>
        <v>2884.67</v>
      </c>
      <c r="AD57" s="245">
        <f t="shared" si="46"/>
        <v>2908.03</v>
      </c>
      <c r="AE57" s="245">
        <f t="shared" si="46"/>
        <v>2931.39</v>
      </c>
      <c r="AF57" s="245">
        <f t="shared" si="46"/>
        <v>2954.75</v>
      </c>
      <c r="AG57" s="245">
        <f t="shared" si="46"/>
        <v>2978.11</v>
      </c>
      <c r="AH57" s="245">
        <f t="shared" si="46"/>
        <v>3001.54</v>
      </c>
      <c r="AI57" s="245">
        <f t="shared" si="46"/>
        <v>3024.9</v>
      </c>
      <c r="AJ57" s="245">
        <f t="shared" si="46"/>
        <v>3048.26</v>
      </c>
      <c r="AK57" s="245">
        <f t="shared" si="46"/>
        <v>3071.62</v>
      </c>
      <c r="AL57" s="245">
        <f t="shared" si="46"/>
        <v>3094.98</v>
      </c>
      <c r="AM57" s="245">
        <f t="shared" si="46"/>
        <v>3118.34</v>
      </c>
      <c r="AN57" s="245">
        <f t="shared" si="46"/>
        <v>3141.76</v>
      </c>
      <c r="AO57" s="245">
        <f t="shared" si="46"/>
        <v>3165.12</v>
      </c>
      <c r="AP57" s="245">
        <f t="shared" si="46"/>
        <v>3188.48</v>
      </c>
      <c r="AQ57" s="245">
        <f t="shared" si="46"/>
        <v>3211.84</v>
      </c>
      <c r="AR57" s="245">
        <f t="shared" si="46"/>
        <v>3235.2</v>
      </c>
      <c r="AS57" s="245">
        <f t="shared" ref="AS57:BB57" si="55">ROUND(AS44*6.4,2)</f>
        <v>3258.56</v>
      </c>
      <c r="AT57" s="245">
        <f t="shared" si="55"/>
        <v>3281.98</v>
      </c>
      <c r="AU57" s="245">
        <f t="shared" si="55"/>
        <v>3305.34</v>
      </c>
      <c r="AV57" s="245">
        <f t="shared" si="55"/>
        <v>3328.7</v>
      </c>
      <c r="AW57" s="245">
        <f t="shared" si="55"/>
        <v>3352.06</v>
      </c>
      <c r="AX57" s="245">
        <f t="shared" si="55"/>
        <v>3375.42</v>
      </c>
      <c r="AY57" s="245">
        <f t="shared" si="55"/>
        <v>3398.78</v>
      </c>
      <c r="AZ57" s="245">
        <f t="shared" si="55"/>
        <v>3422.14</v>
      </c>
      <c r="BA57" s="245">
        <f t="shared" si="55"/>
        <v>3445.57</v>
      </c>
      <c r="BB57" s="245">
        <f t="shared" si="55"/>
        <v>3468.93</v>
      </c>
    </row>
    <row r="58" spans="1:59">
      <c r="A58" s="14" t="s">
        <v>514</v>
      </c>
      <c r="D58" s="18" t="s">
        <v>25</v>
      </c>
      <c r="E58" s="18" t="s">
        <v>509</v>
      </c>
      <c r="F58" s="25">
        <v>21</v>
      </c>
      <c r="G58" s="25">
        <v>6.4</v>
      </c>
      <c r="H58" s="245">
        <f t="shared" si="44"/>
        <v>23.36</v>
      </c>
      <c r="I58" s="245">
        <f t="shared" si="39"/>
        <v>2567.3000000000002</v>
      </c>
      <c r="J58" s="245">
        <f t="shared" si="39"/>
        <v>2590.66</v>
      </c>
      <c r="K58" s="245">
        <f t="shared" si="39"/>
        <v>2614.02</v>
      </c>
      <c r="L58" s="245">
        <f t="shared" si="39"/>
        <v>2637.38</v>
      </c>
      <c r="M58" s="245">
        <f t="shared" si="39"/>
        <v>2660.74</v>
      </c>
      <c r="N58" s="245">
        <f t="shared" si="39"/>
        <v>2684.1</v>
      </c>
      <c r="O58" s="245">
        <f t="shared" si="39"/>
        <v>2707.52</v>
      </c>
      <c r="P58" s="245">
        <f t="shared" si="39"/>
        <v>2730.88</v>
      </c>
      <c r="Q58" s="245">
        <f t="shared" si="39"/>
        <v>2754.24</v>
      </c>
      <c r="R58" s="245">
        <f t="shared" si="39"/>
        <v>2777.6</v>
      </c>
      <c r="S58" s="245">
        <f t="shared" si="39"/>
        <v>2800.96</v>
      </c>
      <c r="T58" s="245">
        <f t="shared" si="39"/>
        <v>2824.32</v>
      </c>
      <c r="U58" s="245">
        <f t="shared" si="39"/>
        <v>2847.68</v>
      </c>
      <c r="V58" s="245">
        <f t="shared" si="39"/>
        <v>2871.1</v>
      </c>
      <c r="W58" s="245">
        <f t="shared" si="39"/>
        <v>2894.46</v>
      </c>
      <c r="X58" s="245">
        <f t="shared" ref="X58" si="56">ROUND(X45*6.4,2)</f>
        <v>2917.82</v>
      </c>
      <c r="Y58" s="245">
        <f t="shared" si="46"/>
        <v>2941.18</v>
      </c>
      <c r="Z58" s="245">
        <f t="shared" si="46"/>
        <v>2964.54</v>
      </c>
      <c r="AA58" s="245">
        <f t="shared" si="46"/>
        <v>2987.9</v>
      </c>
      <c r="AB58" s="245">
        <f t="shared" si="46"/>
        <v>3011.33</v>
      </c>
      <c r="AC58" s="245">
        <f t="shared" si="46"/>
        <v>3034.69</v>
      </c>
      <c r="AD58" s="245">
        <f t="shared" si="46"/>
        <v>3058.05</v>
      </c>
      <c r="AE58" s="245">
        <f t="shared" si="46"/>
        <v>3081.41</v>
      </c>
      <c r="AF58" s="245">
        <f t="shared" si="46"/>
        <v>3104.77</v>
      </c>
      <c r="AG58" s="245">
        <f t="shared" si="46"/>
        <v>3128.13</v>
      </c>
      <c r="AH58" s="245">
        <f t="shared" si="46"/>
        <v>3151.55</v>
      </c>
      <c r="AI58" s="245">
        <f t="shared" si="46"/>
        <v>3174.91</v>
      </c>
      <c r="AJ58" s="245">
        <f t="shared" si="46"/>
        <v>3198.27</v>
      </c>
      <c r="AK58" s="245">
        <f t="shared" si="46"/>
        <v>3221.63</v>
      </c>
      <c r="AL58" s="245">
        <f t="shared" si="46"/>
        <v>3244.99</v>
      </c>
      <c r="AM58" s="245">
        <f t="shared" si="46"/>
        <v>3268.35</v>
      </c>
      <c r="AN58" s="245">
        <f t="shared" si="46"/>
        <v>3291.78</v>
      </c>
      <c r="AO58" s="245">
        <f t="shared" si="46"/>
        <v>3315.14</v>
      </c>
      <c r="AP58" s="245">
        <f t="shared" si="46"/>
        <v>3338.5</v>
      </c>
      <c r="AQ58" s="245">
        <f t="shared" si="46"/>
        <v>3361.86</v>
      </c>
      <c r="AR58" s="245">
        <f t="shared" si="46"/>
        <v>3385.22</v>
      </c>
      <c r="AS58" s="245">
        <f t="shared" ref="AS58:BB58" si="57">ROUND(AS45*6.4,2)</f>
        <v>3408.58</v>
      </c>
      <c r="AT58" s="245">
        <f t="shared" si="57"/>
        <v>3431.94</v>
      </c>
      <c r="AU58" s="245">
        <f t="shared" si="57"/>
        <v>3455.36</v>
      </c>
      <c r="AV58" s="245">
        <f t="shared" si="57"/>
        <v>3478.72</v>
      </c>
      <c r="AW58" s="245">
        <f t="shared" si="57"/>
        <v>3502.08</v>
      </c>
      <c r="AX58" s="245">
        <f t="shared" si="57"/>
        <v>3525.44</v>
      </c>
      <c r="AY58" s="245">
        <f t="shared" si="57"/>
        <v>3548.8</v>
      </c>
      <c r="AZ58" s="245">
        <f t="shared" si="57"/>
        <v>3572.16</v>
      </c>
      <c r="BA58" s="245">
        <f t="shared" si="57"/>
        <v>3595.58</v>
      </c>
      <c r="BB58" s="245">
        <f t="shared" si="57"/>
        <v>3618.94</v>
      </c>
    </row>
    <row r="59" spans="1:59">
      <c r="A59" s="14" t="s">
        <v>515</v>
      </c>
      <c r="D59" s="18" t="s">
        <v>39</v>
      </c>
      <c r="E59" s="18" t="s">
        <v>509</v>
      </c>
      <c r="F59" s="25">
        <v>18.34</v>
      </c>
      <c r="G59" s="25">
        <v>6.4</v>
      </c>
      <c r="H59" s="245">
        <f t="shared" si="44"/>
        <v>21.18</v>
      </c>
      <c r="I59" s="245">
        <f t="shared" si="39"/>
        <v>2390.5300000000002</v>
      </c>
      <c r="J59" s="245">
        <f t="shared" si="39"/>
        <v>2411.7800000000002</v>
      </c>
      <c r="K59" s="245">
        <f t="shared" si="39"/>
        <v>2432.96</v>
      </c>
      <c r="L59" s="245">
        <f t="shared" si="39"/>
        <v>2454.21</v>
      </c>
      <c r="M59" s="245">
        <f t="shared" si="39"/>
        <v>2475.39</v>
      </c>
      <c r="N59" s="245">
        <f t="shared" si="39"/>
        <v>2496.64</v>
      </c>
      <c r="O59" s="245">
        <f t="shared" si="39"/>
        <v>2517.8200000000002</v>
      </c>
      <c r="P59" s="245">
        <f t="shared" si="39"/>
        <v>2539.0700000000002</v>
      </c>
      <c r="Q59" s="245">
        <f t="shared" si="39"/>
        <v>2560.2600000000002</v>
      </c>
      <c r="R59" s="245">
        <f t="shared" si="39"/>
        <v>2581.5</v>
      </c>
      <c r="S59" s="245">
        <f t="shared" si="39"/>
        <v>2602.69</v>
      </c>
      <c r="T59" s="245">
        <f t="shared" si="39"/>
        <v>2623.94</v>
      </c>
      <c r="U59" s="245">
        <f t="shared" si="39"/>
        <v>2645.12</v>
      </c>
      <c r="V59" s="245">
        <f t="shared" si="39"/>
        <v>2666.37</v>
      </c>
      <c r="W59" s="245">
        <f t="shared" si="39"/>
        <v>2687.55</v>
      </c>
      <c r="X59" s="245">
        <f t="shared" ref="X59" si="58">ROUND(X46*6.4,2)</f>
        <v>2708.8</v>
      </c>
      <c r="Y59" s="245">
        <f t="shared" si="46"/>
        <v>2729.98</v>
      </c>
      <c r="Z59" s="245">
        <f t="shared" si="46"/>
        <v>2751.23</v>
      </c>
      <c r="AA59" s="245">
        <f t="shared" si="46"/>
        <v>2772.42</v>
      </c>
      <c r="AB59" s="245">
        <f t="shared" si="46"/>
        <v>2793.66</v>
      </c>
      <c r="AC59" s="245">
        <f t="shared" si="46"/>
        <v>2814.85</v>
      </c>
      <c r="AD59" s="245">
        <f t="shared" si="46"/>
        <v>2836.1</v>
      </c>
      <c r="AE59" s="245">
        <f t="shared" si="46"/>
        <v>2857.28</v>
      </c>
      <c r="AF59" s="245">
        <f t="shared" si="46"/>
        <v>2878.53</v>
      </c>
      <c r="AG59" s="245">
        <f t="shared" si="46"/>
        <v>2899.71</v>
      </c>
      <c r="AH59" s="245">
        <f t="shared" si="46"/>
        <v>2920.96</v>
      </c>
      <c r="AI59" s="245">
        <f t="shared" si="46"/>
        <v>2942.14</v>
      </c>
      <c r="AJ59" s="245">
        <f t="shared" si="46"/>
        <v>2963.39</v>
      </c>
      <c r="AK59" s="245">
        <f t="shared" si="46"/>
        <v>2984.58</v>
      </c>
      <c r="AL59" s="245">
        <f t="shared" si="46"/>
        <v>3005.82</v>
      </c>
      <c r="AM59" s="245">
        <f t="shared" si="46"/>
        <v>3027.01</v>
      </c>
      <c r="AN59" s="245">
        <f t="shared" si="46"/>
        <v>3048.26</v>
      </c>
      <c r="AO59" s="245">
        <f t="shared" si="46"/>
        <v>3069.44</v>
      </c>
      <c r="AP59" s="245">
        <f t="shared" si="46"/>
        <v>3090.69</v>
      </c>
      <c r="AQ59" s="245">
        <f t="shared" si="46"/>
        <v>3111.87</v>
      </c>
      <c r="AR59" s="245">
        <f t="shared" si="46"/>
        <v>3133.12</v>
      </c>
      <c r="AS59" s="245">
        <f t="shared" ref="AS59:BB59" si="59">ROUND(AS46*6.4,2)</f>
        <v>3154.3</v>
      </c>
      <c r="AT59" s="245">
        <f t="shared" si="59"/>
        <v>3175.55</v>
      </c>
      <c r="AU59" s="245">
        <f t="shared" si="59"/>
        <v>3196.74</v>
      </c>
      <c r="AV59" s="245">
        <f t="shared" si="59"/>
        <v>3217.98</v>
      </c>
      <c r="AW59" s="245">
        <f t="shared" si="59"/>
        <v>3239.17</v>
      </c>
      <c r="AX59" s="245">
        <f t="shared" si="59"/>
        <v>3260.42</v>
      </c>
      <c r="AY59" s="245">
        <f t="shared" si="59"/>
        <v>3281.6</v>
      </c>
      <c r="AZ59" s="245">
        <f t="shared" si="59"/>
        <v>3302.85</v>
      </c>
      <c r="BA59" s="245">
        <f t="shared" si="59"/>
        <v>3324.03</v>
      </c>
      <c r="BB59" s="245">
        <f t="shared" si="59"/>
        <v>3345.28</v>
      </c>
    </row>
    <row r="60" spans="1:59">
      <c r="A60" s="14" t="s">
        <v>515</v>
      </c>
      <c r="D60" s="18" t="s">
        <v>25</v>
      </c>
      <c r="E60" s="18" t="s">
        <v>509</v>
      </c>
      <c r="F60" s="25">
        <v>18.34</v>
      </c>
      <c r="G60" s="25">
        <v>6.4</v>
      </c>
      <c r="H60" s="245">
        <f t="shared" si="44"/>
        <v>21.18</v>
      </c>
      <c r="I60" s="245">
        <f t="shared" si="39"/>
        <v>2536.58</v>
      </c>
      <c r="J60" s="245">
        <f t="shared" si="39"/>
        <v>2557.8200000000002</v>
      </c>
      <c r="K60" s="245">
        <f t="shared" si="39"/>
        <v>2579.0100000000002</v>
      </c>
      <c r="L60" s="245">
        <f t="shared" si="39"/>
        <v>2600.2600000000002</v>
      </c>
      <c r="M60" s="245">
        <f t="shared" si="39"/>
        <v>2621.44</v>
      </c>
      <c r="N60" s="245">
        <f t="shared" si="39"/>
        <v>2642.69</v>
      </c>
      <c r="O60" s="245">
        <f t="shared" si="39"/>
        <v>2663.87</v>
      </c>
      <c r="P60" s="245">
        <f t="shared" si="39"/>
        <v>2685.12</v>
      </c>
      <c r="Q60" s="245">
        <f t="shared" si="39"/>
        <v>2706.3</v>
      </c>
      <c r="R60" s="245">
        <f t="shared" si="39"/>
        <v>2727.55</v>
      </c>
      <c r="S60" s="245">
        <f t="shared" si="39"/>
        <v>2748.74</v>
      </c>
      <c r="T60" s="245">
        <f t="shared" si="39"/>
        <v>2769.98</v>
      </c>
      <c r="U60" s="245">
        <f t="shared" si="39"/>
        <v>2791.17</v>
      </c>
      <c r="V60" s="245">
        <f t="shared" si="39"/>
        <v>2812.42</v>
      </c>
      <c r="W60" s="245">
        <f t="shared" si="39"/>
        <v>2833.6</v>
      </c>
      <c r="X60" s="245">
        <f t="shared" ref="X60" si="60">ROUND(X47*6.4,2)</f>
        <v>2854.85</v>
      </c>
      <c r="Y60" s="245">
        <f t="shared" si="46"/>
        <v>2876.03</v>
      </c>
      <c r="Z60" s="245">
        <f t="shared" si="46"/>
        <v>2897.28</v>
      </c>
      <c r="AA60" s="245">
        <f t="shared" si="46"/>
        <v>2918.46</v>
      </c>
      <c r="AB60" s="245">
        <f t="shared" si="46"/>
        <v>2939.71</v>
      </c>
      <c r="AC60" s="245">
        <f t="shared" si="46"/>
        <v>2960.9</v>
      </c>
      <c r="AD60" s="245">
        <f t="shared" si="46"/>
        <v>2982.14</v>
      </c>
      <c r="AE60" s="245">
        <f t="shared" si="46"/>
        <v>3003.33</v>
      </c>
      <c r="AF60" s="245">
        <f t="shared" si="46"/>
        <v>3024.58</v>
      </c>
      <c r="AG60" s="245">
        <f t="shared" si="46"/>
        <v>3045.76</v>
      </c>
      <c r="AH60" s="245">
        <f t="shared" si="46"/>
        <v>3067.01</v>
      </c>
      <c r="AI60" s="245">
        <f t="shared" si="46"/>
        <v>3088.19</v>
      </c>
      <c r="AJ60" s="245">
        <f t="shared" si="46"/>
        <v>3109.44</v>
      </c>
      <c r="AK60" s="245">
        <f t="shared" si="46"/>
        <v>3130.62</v>
      </c>
      <c r="AL60" s="245">
        <f t="shared" si="46"/>
        <v>3151.87</v>
      </c>
      <c r="AM60" s="245">
        <f t="shared" si="46"/>
        <v>3173.06</v>
      </c>
      <c r="AN60" s="245">
        <f t="shared" si="46"/>
        <v>3194.3</v>
      </c>
      <c r="AO60" s="245">
        <f t="shared" si="46"/>
        <v>3215.49</v>
      </c>
      <c r="AP60" s="245">
        <f t="shared" si="46"/>
        <v>3236.74</v>
      </c>
      <c r="AQ60" s="245">
        <f t="shared" si="46"/>
        <v>3257.92</v>
      </c>
      <c r="AR60" s="245">
        <f t="shared" si="46"/>
        <v>3279.17</v>
      </c>
      <c r="AS60" s="245">
        <f t="shared" ref="AS60:BB60" si="61">ROUND(AS47*6.4,2)</f>
        <v>3300.35</v>
      </c>
      <c r="AT60" s="245">
        <f t="shared" si="61"/>
        <v>3321.6</v>
      </c>
      <c r="AU60" s="245">
        <f t="shared" si="61"/>
        <v>3342.78</v>
      </c>
      <c r="AV60" s="245">
        <f t="shared" si="61"/>
        <v>3364.03</v>
      </c>
      <c r="AW60" s="245">
        <f t="shared" si="61"/>
        <v>3385.22</v>
      </c>
      <c r="AX60" s="245">
        <f t="shared" si="61"/>
        <v>3406.46</v>
      </c>
      <c r="AY60" s="245">
        <f t="shared" si="61"/>
        <v>3427.65</v>
      </c>
      <c r="AZ60" s="245">
        <f t="shared" si="61"/>
        <v>3448.9</v>
      </c>
      <c r="BA60" s="245">
        <f t="shared" si="61"/>
        <v>3470.08</v>
      </c>
      <c r="BB60" s="245">
        <f t="shared" si="61"/>
        <v>3491.33</v>
      </c>
    </row>
    <row r="62" spans="1:59">
      <c r="A62" s="14" t="s">
        <v>532</v>
      </c>
      <c r="D62" s="15" t="s">
        <v>39</v>
      </c>
      <c r="E62" s="18" t="s">
        <v>509</v>
      </c>
      <c r="G62" s="25">
        <v>6.4</v>
      </c>
      <c r="H62" s="251">
        <f>O62-N62</f>
        <v>24.769999999999982</v>
      </c>
      <c r="I62" s="251">
        <f t="shared" ref="I62:M62" si="62">ROUND(I53*0.98,2)</f>
        <v>2513.13</v>
      </c>
      <c r="J62" s="251">
        <f t="shared" si="62"/>
        <v>2537.84</v>
      </c>
      <c r="K62" s="251">
        <f t="shared" si="62"/>
        <v>2562.61</v>
      </c>
      <c r="L62" s="251">
        <f t="shared" si="62"/>
        <v>2587.39</v>
      </c>
      <c r="M62" s="251">
        <f t="shared" si="62"/>
        <v>2612.16</v>
      </c>
      <c r="N62" s="251">
        <f>ROUND(N53*0.98,2)</f>
        <v>2636.88</v>
      </c>
      <c r="O62" s="251">
        <f t="shared" ref="O62:AR62" si="63">ROUND(O53*0.98,2)</f>
        <v>2661.65</v>
      </c>
      <c r="P62" s="251">
        <f t="shared" si="63"/>
        <v>2686.43</v>
      </c>
      <c r="Q62" s="251">
        <f t="shared" si="63"/>
        <v>2711.2</v>
      </c>
      <c r="R62" s="251">
        <f t="shared" si="63"/>
        <v>2735.91</v>
      </c>
      <c r="S62" s="251">
        <f t="shared" si="63"/>
        <v>2760.68</v>
      </c>
      <c r="T62" s="251">
        <f t="shared" si="63"/>
        <v>2785.45</v>
      </c>
      <c r="U62" s="251">
        <f t="shared" si="63"/>
        <v>2810.23</v>
      </c>
      <c r="V62" s="251">
        <f t="shared" si="63"/>
        <v>2834.94</v>
      </c>
      <c r="W62" s="251">
        <f t="shared" si="63"/>
        <v>2859.72</v>
      </c>
      <c r="X62" s="251">
        <f t="shared" si="63"/>
        <v>2884.49</v>
      </c>
      <c r="Y62" s="251">
        <f t="shared" si="63"/>
        <v>2909.27</v>
      </c>
      <c r="Z62" s="251">
        <f t="shared" si="63"/>
        <v>2933.98</v>
      </c>
      <c r="AA62" s="251">
        <f t="shared" si="63"/>
        <v>2958.76</v>
      </c>
      <c r="AB62" s="251">
        <f t="shared" si="63"/>
        <v>2983.53</v>
      </c>
      <c r="AC62" s="251">
        <f t="shared" si="63"/>
        <v>3008.24</v>
      </c>
      <c r="AD62" s="251">
        <f t="shared" si="63"/>
        <v>3033.01</v>
      </c>
      <c r="AE62" s="251">
        <f t="shared" si="63"/>
        <v>3057.79</v>
      </c>
      <c r="AF62" s="251">
        <f t="shared" si="63"/>
        <v>3082.56</v>
      </c>
      <c r="AG62" s="251">
        <f t="shared" si="63"/>
        <v>3107.28</v>
      </c>
      <c r="AH62" s="251">
        <f t="shared" si="63"/>
        <v>3132.05</v>
      </c>
      <c r="AI62" s="251">
        <f t="shared" si="63"/>
        <v>3156.83</v>
      </c>
      <c r="AJ62" s="251">
        <f t="shared" si="63"/>
        <v>3181.6</v>
      </c>
      <c r="AK62" s="251">
        <f t="shared" si="63"/>
        <v>3206.31</v>
      </c>
      <c r="AL62" s="251">
        <f t="shared" si="63"/>
        <v>3231.08</v>
      </c>
      <c r="AM62" s="251">
        <f t="shared" si="63"/>
        <v>3255.85</v>
      </c>
      <c r="AN62" s="251">
        <f t="shared" si="63"/>
        <v>3280.63</v>
      </c>
      <c r="AO62" s="251">
        <f t="shared" si="63"/>
        <v>3305.34</v>
      </c>
      <c r="AP62" s="251">
        <f t="shared" si="63"/>
        <v>3330.12</v>
      </c>
      <c r="AQ62" s="251">
        <f t="shared" si="63"/>
        <v>3354.89</v>
      </c>
      <c r="AR62" s="251">
        <f t="shared" si="63"/>
        <v>3379.67</v>
      </c>
      <c r="AS62" s="251">
        <f t="shared" ref="AS62:BB62" si="64">ROUND(AS53*0.98,2)</f>
        <v>3404.38</v>
      </c>
      <c r="AT62" s="251">
        <f t="shared" si="64"/>
        <v>3429.16</v>
      </c>
      <c r="AU62" s="251">
        <f t="shared" si="64"/>
        <v>3453.93</v>
      </c>
      <c r="AV62" s="251">
        <f t="shared" si="64"/>
        <v>3478.71</v>
      </c>
      <c r="AW62" s="251">
        <f t="shared" si="64"/>
        <v>3503.41</v>
      </c>
      <c r="AX62" s="251">
        <f t="shared" si="64"/>
        <v>3528.19</v>
      </c>
      <c r="AY62" s="251">
        <f t="shared" si="64"/>
        <v>3552.96</v>
      </c>
      <c r="AZ62" s="251">
        <f t="shared" si="64"/>
        <v>3577.68</v>
      </c>
      <c r="BA62" s="251">
        <f t="shared" si="64"/>
        <v>3602.45</v>
      </c>
      <c r="BB62" s="251">
        <f t="shared" si="64"/>
        <v>3627.23</v>
      </c>
    </row>
    <row r="63" spans="1:59">
      <c r="A63" s="13" t="s">
        <v>533</v>
      </c>
      <c r="D63" s="18" t="s">
        <v>25</v>
      </c>
      <c r="E63" s="18" t="s">
        <v>509</v>
      </c>
      <c r="G63" s="25">
        <v>6.4</v>
      </c>
      <c r="H63" s="251">
        <f>O63-N63</f>
        <v>24.7800000000002</v>
      </c>
      <c r="I63" s="251">
        <f t="shared" ref="I63:M63" si="65">ROUND(I54*0.98,2)</f>
        <v>2692.26</v>
      </c>
      <c r="J63" s="251">
        <f t="shared" si="65"/>
        <v>2716.97</v>
      </c>
      <c r="K63" s="251">
        <f t="shared" si="65"/>
        <v>2741.75</v>
      </c>
      <c r="L63" s="251">
        <f t="shared" si="65"/>
        <v>2766.52</v>
      </c>
      <c r="M63" s="251">
        <f t="shared" si="65"/>
        <v>2791.29</v>
      </c>
      <c r="N63" s="251">
        <f>ROUND(N54*0.98,2)</f>
        <v>2816</v>
      </c>
      <c r="O63" s="251">
        <f t="shared" ref="O63:AR63" si="66">ROUND(O54*0.98,2)</f>
        <v>2840.78</v>
      </c>
      <c r="P63" s="251">
        <f t="shared" si="66"/>
        <v>2865.55</v>
      </c>
      <c r="Q63" s="251">
        <f t="shared" si="66"/>
        <v>2890.32</v>
      </c>
      <c r="R63" s="251">
        <f t="shared" si="66"/>
        <v>2915.04</v>
      </c>
      <c r="S63" s="251">
        <f t="shared" si="66"/>
        <v>2939.81</v>
      </c>
      <c r="T63" s="251">
        <f t="shared" si="66"/>
        <v>2964.59</v>
      </c>
      <c r="U63" s="251">
        <f t="shared" si="66"/>
        <v>2989.36</v>
      </c>
      <c r="V63" s="251">
        <f t="shared" si="66"/>
        <v>3014.07</v>
      </c>
      <c r="W63" s="251">
        <f t="shared" si="66"/>
        <v>3038.84</v>
      </c>
      <c r="X63" s="251">
        <f t="shared" si="66"/>
        <v>3063.62</v>
      </c>
      <c r="Y63" s="251">
        <f t="shared" si="66"/>
        <v>3088.39</v>
      </c>
      <c r="Z63" s="251">
        <f t="shared" si="66"/>
        <v>3113.11</v>
      </c>
      <c r="AA63" s="251">
        <f t="shared" si="66"/>
        <v>3137.88</v>
      </c>
      <c r="AB63" s="251">
        <f t="shared" si="66"/>
        <v>3162.66</v>
      </c>
      <c r="AC63" s="251">
        <f t="shared" si="66"/>
        <v>3187.37</v>
      </c>
      <c r="AD63" s="251">
        <f t="shared" si="66"/>
        <v>3212.15</v>
      </c>
      <c r="AE63" s="251">
        <f t="shared" si="66"/>
        <v>3236.92</v>
      </c>
      <c r="AF63" s="251">
        <f t="shared" si="66"/>
        <v>3261.69</v>
      </c>
      <c r="AG63" s="251">
        <f t="shared" si="66"/>
        <v>3286.4</v>
      </c>
      <c r="AH63" s="251">
        <f t="shared" si="66"/>
        <v>3311.18</v>
      </c>
      <c r="AI63" s="251">
        <f t="shared" si="66"/>
        <v>3335.95</v>
      </c>
      <c r="AJ63" s="251">
        <f t="shared" si="66"/>
        <v>3360.72</v>
      </c>
      <c r="AK63" s="251">
        <f t="shared" si="66"/>
        <v>3385.44</v>
      </c>
      <c r="AL63" s="251">
        <f t="shared" si="66"/>
        <v>3410.21</v>
      </c>
      <c r="AM63" s="251">
        <f t="shared" si="66"/>
        <v>3434.99</v>
      </c>
      <c r="AN63" s="251">
        <f t="shared" si="66"/>
        <v>3459.76</v>
      </c>
      <c r="AO63" s="251">
        <f t="shared" si="66"/>
        <v>3484.47</v>
      </c>
      <c r="AP63" s="251">
        <f t="shared" si="66"/>
        <v>3509.24</v>
      </c>
      <c r="AQ63" s="251">
        <f t="shared" si="66"/>
        <v>3534.02</v>
      </c>
      <c r="AR63" s="251">
        <f t="shared" si="66"/>
        <v>3558.79</v>
      </c>
      <c r="AS63" s="251">
        <f t="shared" ref="AS63:BB63" si="67">ROUND(AS54*0.98,2)</f>
        <v>3583.51</v>
      </c>
      <c r="AT63" s="251">
        <f t="shared" si="67"/>
        <v>3608.28</v>
      </c>
      <c r="AU63" s="251">
        <f t="shared" si="67"/>
        <v>3633.06</v>
      </c>
      <c r="AV63" s="251">
        <f t="shared" si="67"/>
        <v>3657.83</v>
      </c>
      <c r="AW63" s="251">
        <f t="shared" si="67"/>
        <v>3682.55</v>
      </c>
      <c r="AX63" s="251">
        <f t="shared" si="67"/>
        <v>3707.32</v>
      </c>
      <c r="AY63" s="251">
        <f t="shared" si="67"/>
        <v>3732.09</v>
      </c>
      <c r="AZ63" s="251">
        <f t="shared" si="67"/>
        <v>3756.8</v>
      </c>
      <c r="BA63" s="251">
        <f t="shared" si="67"/>
        <v>3781.58</v>
      </c>
      <c r="BB63" s="251">
        <f t="shared" si="67"/>
        <v>3806.35</v>
      </c>
    </row>
    <row r="64" spans="1:59"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</row>
    <row r="65" spans="1:61" s="254" customFormat="1">
      <c r="A65" s="252" t="s">
        <v>622</v>
      </c>
      <c r="B65" s="253" t="s">
        <v>531</v>
      </c>
      <c r="C65" s="284" t="s">
        <v>534</v>
      </c>
      <c r="D65" s="254" t="s">
        <v>25</v>
      </c>
      <c r="E65" s="254" t="s">
        <v>509</v>
      </c>
      <c r="F65" s="255">
        <v>17.8</v>
      </c>
      <c r="G65" s="255">
        <v>6.4</v>
      </c>
      <c r="H65" s="256">
        <v>20.22</v>
      </c>
      <c r="I65" s="256">
        <f t="shared" ref="I65:AG65" si="68">J65-$H65</f>
        <v>2535.460000000005</v>
      </c>
      <c r="J65" s="256">
        <f t="shared" si="68"/>
        <v>2555.6800000000048</v>
      </c>
      <c r="K65" s="256">
        <f t="shared" si="68"/>
        <v>2575.9000000000046</v>
      </c>
      <c r="L65" s="256">
        <f t="shared" si="68"/>
        <v>2596.1200000000044</v>
      </c>
      <c r="M65" s="256">
        <f t="shared" si="68"/>
        <v>2616.3400000000042</v>
      </c>
      <c r="N65" s="256">
        <f t="shared" si="68"/>
        <v>2636.560000000004</v>
      </c>
      <c r="O65" s="256">
        <f t="shared" si="68"/>
        <v>2656.7800000000038</v>
      </c>
      <c r="P65" s="256">
        <f t="shared" si="68"/>
        <v>2677.0000000000036</v>
      </c>
      <c r="Q65" s="256">
        <f t="shared" si="68"/>
        <v>2697.2200000000034</v>
      </c>
      <c r="R65" s="256">
        <f t="shared" si="68"/>
        <v>2717.4400000000032</v>
      </c>
      <c r="S65" s="256">
        <f t="shared" si="68"/>
        <v>2737.660000000003</v>
      </c>
      <c r="T65" s="256">
        <f t="shared" si="68"/>
        <v>2757.8800000000028</v>
      </c>
      <c r="U65" s="256">
        <f t="shared" si="68"/>
        <v>2778.1000000000026</v>
      </c>
      <c r="V65" s="256">
        <f t="shared" si="68"/>
        <v>2798.3200000000024</v>
      </c>
      <c r="W65" s="256">
        <f t="shared" si="68"/>
        <v>2818.5400000000022</v>
      </c>
      <c r="X65" s="256">
        <f t="shared" si="68"/>
        <v>2838.760000000002</v>
      </c>
      <c r="Y65" s="256">
        <f t="shared" si="68"/>
        <v>2858.9800000000018</v>
      </c>
      <c r="Z65" s="256">
        <f t="shared" si="68"/>
        <v>2879.2000000000016</v>
      </c>
      <c r="AA65" s="256">
        <f t="shared" si="68"/>
        <v>2899.4200000000014</v>
      </c>
      <c r="AB65" s="256">
        <f t="shared" si="68"/>
        <v>2919.6400000000012</v>
      </c>
      <c r="AC65" s="256">
        <f t="shared" si="68"/>
        <v>2939.860000000001</v>
      </c>
      <c r="AD65" s="256">
        <f t="shared" si="68"/>
        <v>2960.0800000000008</v>
      </c>
      <c r="AE65" s="256">
        <f t="shared" si="68"/>
        <v>2980.3000000000006</v>
      </c>
      <c r="AF65" s="256">
        <f t="shared" si="68"/>
        <v>3000.5200000000004</v>
      </c>
      <c r="AG65" s="256">
        <f t="shared" si="68"/>
        <v>3020.7400000000002</v>
      </c>
      <c r="AH65" s="256">
        <v>3040.96</v>
      </c>
      <c r="AI65" s="256">
        <f t="shared" ref="AI65:AR65" si="69">AH65+$H65</f>
        <v>3061.18</v>
      </c>
      <c r="AJ65" s="256">
        <f t="shared" si="69"/>
        <v>3081.3999999999996</v>
      </c>
      <c r="AK65" s="256">
        <f t="shared" si="69"/>
        <v>3101.6199999999994</v>
      </c>
      <c r="AL65" s="256">
        <f t="shared" si="69"/>
        <v>3121.8399999999992</v>
      </c>
      <c r="AM65" s="256">
        <f t="shared" si="69"/>
        <v>3142.059999999999</v>
      </c>
      <c r="AN65" s="256">
        <f t="shared" si="69"/>
        <v>3162.2799999999988</v>
      </c>
      <c r="AO65" s="256">
        <f t="shared" si="69"/>
        <v>3182.4999999999986</v>
      </c>
      <c r="AP65" s="256">
        <f t="shared" si="69"/>
        <v>3202.7199999999984</v>
      </c>
      <c r="AQ65" s="256">
        <f t="shared" si="69"/>
        <v>3222.9399999999982</v>
      </c>
      <c r="AR65" s="256">
        <f t="shared" si="69"/>
        <v>3243.159999999998</v>
      </c>
      <c r="AS65" s="256">
        <f t="shared" ref="AS65" si="70">AR65+$H65</f>
        <v>3263.3799999999978</v>
      </c>
      <c r="AT65" s="256">
        <f t="shared" ref="AT65" si="71">AS65+$H65</f>
        <v>3283.5999999999976</v>
      </c>
      <c r="AU65" s="256">
        <f t="shared" ref="AU65" si="72">AT65+$H65</f>
        <v>3303.8199999999974</v>
      </c>
      <c r="AV65" s="256">
        <f t="shared" ref="AV65" si="73">AU65+$H65</f>
        <v>3324.0399999999972</v>
      </c>
      <c r="AW65" s="256">
        <f t="shared" ref="AW65" si="74">AV65+$H65</f>
        <v>3344.259999999997</v>
      </c>
      <c r="AX65" s="256">
        <f t="shared" ref="AX65" si="75">AW65+$H65</f>
        <v>3364.4799999999968</v>
      </c>
      <c r="AY65" s="256">
        <f t="shared" ref="AY65" si="76">AX65+$H65</f>
        <v>3384.6999999999966</v>
      </c>
      <c r="AZ65" s="256">
        <f t="shared" ref="AZ65" si="77">AY65+$H65</f>
        <v>3404.9199999999964</v>
      </c>
      <c r="BA65" s="256">
        <f t="shared" ref="BA65" si="78">AZ65+$H65</f>
        <v>3425.1399999999962</v>
      </c>
      <c r="BB65" s="256">
        <f t="shared" ref="BB65" si="79">BA65+$H65</f>
        <v>3445.359999999996</v>
      </c>
      <c r="BC65" s="256">
        <f t="shared" ref="BC65" si="80">BB65+$H65</f>
        <v>3465.5799999999958</v>
      </c>
      <c r="BD65" s="256">
        <f t="shared" ref="BD65" si="81">BC65+$H65</f>
        <v>3485.7999999999956</v>
      </c>
      <c r="BE65" s="256">
        <f t="shared" ref="BE65" si="82">BD65+$H65</f>
        <v>3506.0199999999954</v>
      </c>
      <c r="BF65" s="256">
        <f t="shared" ref="BF65" si="83">BE65+$H65</f>
        <v>3526.2399999999952</v>
      </c>
      <c r="BG65" s="256">
        <f t="shared" ref="BG65" si="84">BF65+$H65</f>
        <v>3546.459999999995</v>
      </c>
      <c r="BH65" s="256"/>
      <c r="BI65" s="256"/>
    </row>
    <row r="66" spans="1:61" s="254" customFormat="1">
      <c r="A66" s="27" t="s">
        <v>535</v>
      </c>
      <c r="B66" s="257"/>
      <c r="C66" s="257"/>
      <c r="D66" s="29" t="s">
        <v>175</v>
      </c>
      <c r="E66" s="29" t="s">
        <v>536</v>
      </c>
      <c r="F66" s="258">
        <v>19.5</v>
      </c>
      <c r="G66" s="258"/>
      <c r="H66" s="259">
        <v>20.6</v>
      </c>
      <c r="I66" s="259">
        <f t="shared" ref="I66:AF66" si="85">ROUND(J66+$H66,2)</f>
        <v>3090.5</v>
      </c>
      <c r="J66" s="259">
        <f t="shared" si="85"/>
        <v>3069.9</v>
      </c>
      <c r="K66" s="259">
        <f t="shared" si="85"/>
        <v>3049.3</v>
      </c>
      <c r="L66" s="259">
        <f t="shared" si="85"/>
        <v>3028.7</v>
      </c>
      <c r="M66" s="259">
        <f t="shared" si="85"/>
        <v>3008.1</v>
      </c>
      <c r="N66" s="259">
        <f t="shared" si="85"/>
        <v>2987.5</v>
      </c>
      <c r="O66" s="259">
        <f t="shared" si="85"/>
        <v>2966.9</v>
      </c>
      <c r="P66" s="259">
        <f t="shared" si="85"/>
        <v>2946.3</v>
      </c>
      <c r="Q66" s="259">
        <f t="shared" si="85"/>
        <v>2925.7</v>
      </c>
      <c r="R66" s="259">
        <f t="shared" si="85"/>
        <v>2905.1</v>
      </c>
      <c r="S66" s="259">
        <f t="shared" si="85"/>
        <v>2884.5</v>
      </c>
      <c r="T66" s="259">
        <f t="shared" si="85"/>
        <v>2863.9</v>
      </c>
      <c r="U66" s="259">
        <f t="shared" si="85"/>
        <v>2843.3</v>
      </c>
      <c r="V66" s="259">
        <f t="shared" si="85"/>
        <v>2822.7</v>
      </c>
      <c r="W66" s="259">
        <f t="shared" si="85"/>
        <v>2802.1</v>
      </c>
      <c r="X66" s="259">
        <f t="shared" si="85"/>
        <v>2781.5</v>
      </c>
      <c r="Y66" s="259">
        <f t="shared" si="85"/>
        <v>2760.9</v>
      </c>
      <c r="Z66" s="259">
        <f t="shared" si="85"/>
        <v>2740.3</v>
      </c>
      <c r="AA66" s="259">
        <f t="shared" si="85"/>
        <v>2719.7</v>
      </c>
      <c r="AB66" s="259">
        <f t="shared" si="85"/>
        <v>2699.1</v>
      </c>
      <c r="AC66" s="259">
        <f t="shared" si="85"/>
        <v>2678.5</v>
      </c>
      <c r="AD66" s="259">
        <f t="shared" si="85"/>
        <v>2657.9</v>
      </c>
      <c r="AE66" s="259">
        <f t="shared" si="85"/>
        <v>2637.3</v>
      </c>
      <c r="AF66" s="259">
        <f t="shared" si="85"/>
        <v>2616.6999999999998</v>
      </c>
      <c r="AG66" s="259">
        <f>ROUND(AH66+$H66,2)</f>
        <v>2596.1</v>
      </c>
      <c r="AH66" s="259">
        <v>2575.5</v>
      </c>
      <c r="AI66" s="259">
        <f>ROUND(AH66+$H66,2)</f>
        <v>2596.1</v>
      </c>
      <c r="AJ66" s="259">
        <f t="shared" ref="AJ66:BB66" si="86">ROUND(AI66+$H66,2)</f>
        <v>2616.6999999999998</v>
      </c>
      <c r="AK66" s="259">
        <f t="shared" si="86"/>
        <v>2637.3</v>
      </c>
      <c r="AL66" s="259">
        <f t="shared" si="86"/>
        <v>2657.9</v>
      </c>
      <c r="AM66" s="259">
        <f t="shared" si="86"/>
        <v>2678.5</v>
      </c>
      <c r="AN66" s="259">
        <f t="shared" si="86"/>
        <v>2699.1</v>
      </c>
      <c r="AO66" s="259">
        <f t="shared" si="86"/>
        <v>2719.7</v>
      </c>
      <c r="AP66" s="259">
        <f t="shared" si="86"/>
        <v>2740.3</v>
      </c>
      <c r="AQ66" s="259">
        <f t="shared" si="86"/>
        <v>2760.9</v>
      </c>
      <c r="AR66" s="259">
        <f t="shared" si="86"/>
        <v>2781.5</v>
      </c>
      <c r="AS66" s="259">
        <f t="shared" si="86"/>
        <v>2802.1</v>
      </c>
      <c r="AT66" s="259">
        <f t="shared" si="86"/>
        <v>2822.7</v>
      </c>
      <c r="AU66" s="259">
        <f t="shared" si="86"/>
        <v>2843.3</v>
      </c>
      <c r="AV66" s="259">
        <f t="shared" si="86"/>
        <v>2863.9</v>
      </c>
      <c r="AW66" s="259">
        <f t="shared" si="86"/>
        <v>2884.5</v>
      </c>
      <c r="AX66" s="259">
        <f t="shared" si="86"/>
        <v>2905.1</v>
      </c>
      <c r="AY66" s="259">
        <f t="shared" si="86"/>
        <v>2925.7</v>
      </c>
      <c r="AZ66" s="259">
        <f t="shared" si="86"/>
        <v>2946.3</v>
      </c>
      <c r="BA66" s="259">
        <f t="shared" si="86"/>
        <v>2966.9</v>
      </c>
      <c r="BB66" s="259">
        <f t="shared" si="86"/>
        <v>2987.5</v>
      </c>
      <c r="BC66" s="29"/>
    </row>
    <row r="67" spans="1:61" s="254" customFormat="1">
      <c r="A67" s="27" t="s">
        <v>537</v>
      </c>
      <c r="B67" s="257"/>
      <c r="C67" s="257"/>
      <c r="D67" s="29" t="s">
        <v>192</v>
      </c>
      <c r="E67" s="29" t="s">
        <v>536</v>
      </c>
      <c r="F67" s="258">
        <v>19.5</v>
      </c>
      <c r="G67" s="258"/>
      <c r="H67" s="259">
        <v>20.6</v>
      </c>
      <c r="I67" s="259">
        <f>ROUND(I66*1.05,2)</f>
        <v>3245.03</v>
      </c>
      <c r="J67" s="259">
        <f t="shared" ref="J67:BB67" si="87">ROUND(J66*1.05,2)</f>
        <v>3223.4</v>
      </c>
      <c r="K67" s="259">
        <f t="shared" si="87"/>
        <v>3201.77</v>
      </c>
      <c r="L67" s="259">
        <f t="shared" si="87"/>
        <v>3180.14</v>
      </c>
      <c r="M67" s="259">
        <f t="shared" si="87"/>
        <v>3158.51</v>
      </c>
      <c r="N67" s="259">
        <f t="shared" si="87"/>
        <v>3136.88</v>
      </c>
      <c r="O67" s="259">
        <f t="shared" si="87"/>
        <v>3115.25</v>
      </c>
      <c r="P67" s="259">
        <f t="shared" si="87"/>
        <v>3093.62</v>
      </c>
      <c r="Q67" s="259">
        <f t="shared" si="87"/>
        <v>3071.99</v>
      </c>
      <c r="R67" s="259">
        <f t="shared" si="87"/>
        <v>3050.36</v>
      </c>
      <c r="S67" s="259">
        <f t="shared" si="87"/>
        <v>3028.73</v>
      </c>
      <c r="T67" s="259">
        <f t="shared" si="87"/>
        <v>3007.1</v>
      </c>
      <c r="U67" s="259">
        <f t="shared" si="87"/>
        <v>2985.47</v>
      </c>
      <c r="V67" s="259">
        <f t="shared" si="87"/>
        <v>2963.84</v>
      </c>
      <c r="W67" s="259">
        <f t="shared" si="87"/>
        <v>2942.21</v>
      </c>
      <c r="X67" s="259">
        <f t="shared" si="87"/>
        <v>2920.58</v>
      </c>
      <c r="Y67" s="259">
        <f t="shared" si="87"/>
        <v>2898.95</v>
      </c>
      <c r="Z67" s="259">
        <f t="shared" si="87"/>
        <v>2877.32</v>
      </c>
      <c r="AA67" s="259">
        <f t="shared" si="87"/>
        <v>2855.69</v>
      </c>
      <c r="AB67" s="259">
        <f t="shared" si="87"/>
        <v>2834.06</v>
      </c>
      <c r="AC67" s="259">
        <f t="shared" si="87"/>
        <v>2812.43</v>
      </c>
      <c r="AD67" s="259">
        <f t="shared" si="87"/>
        <v>2790.8</v>
      </c>
      <c r="AE67" s="259">
        <f t="shared" si="87"/>
        <v>2769.17</v>
      </c>
      <c r="AF67" s="259">
        <f t="shared" si="87"/>
        <v>2747.54</v>
      </c>
      <c r="AG67" s="259">
        <f t="shared" si="87"/>
        <v>2725.91</v>
      </c>
      <c r="AH67" s="259">
        <f>ROUND(AH66*1.05,2)</f>
        <v>2704.28</v>
      </c>
      <c r="AI67" s="259">
        <f t="shared" si="87"/>
        <v>2725.91</v>
      </c>
      <c r="AJ67" s="259">
        <f t="shared" si="87"/>
        <v>2747.54</v>
      </c>
      <c r="AK67" s="259">
        <f t="shared" si="87"/>
        <v>2769.17</v>
      </c>
      <c r="AL67" s="259">
        <f t="shared" si="87"/>
        <v>2790.8</v>
      </c>
      <c r="AM67" s="259">
        <f t="shared" si="87"/>
        <v>2812.43</v>
      </c>
      <c r="AN67" s="259">
        <f t="shared" si="87"/>
        <v>2834.06</v>
      </c>
      <c r="AO67" s="259">
        <f t="shared" si="87"/>
        <v>2855.69</v>
      </c>
      <c r="AP67" s="259">
        <f t="shared" si="87"/>
        <v>2877.32</v>
      </c>
      <c r="AQ67" s="259">
        <f t="shared" si="87"/>
        <v>2898.95</v>
      </c>
      <c r="AR67" s="259">
        <f t="shared" si="87"/>
        <v>2920.58</v>
      </c>
      <c r="AS67" s="259">
        <f t="shared" si="87"/>
        <v>2942.21</v>
      </c>
      <c r="AT67" s="259">
        <f t="shared" si="87"/>
        <v>2963.84</v>
      </c>
      <c r="AU67" s="259">
        <f t="shared" si="87"/>
        <v>2985.47</v>
      </c>
      <c r="AV67" s="259">
        <f t="shared" si="87"/>
        <v>3007.1</v>
      </c>
      <c r="AW67" s="259">
        <f t="shared" si="87"/>
        <v>3028.73</v>
      </c>
      <c r="AX67" s="259">
        <f t="shared" si="87"/>
        <v>3050.36</v>
      </c>
      <c r="AY67" s="259">
        <f t="shared" si="87"/>
        <v>3071.99</v>
      </c>
      <c r="AZ67" s="259">
        <f t="shared" si="87"/>
        <v>3093.62</v>
      </c>
      <c r="BA67" s="259">
        <f t="shared" si="87"/>
        <v>3115.25</v>
      </c>
      <c r="BB67" s="259">
        <f t="shared" si="87"/>
        <v>3136.88</v>
      </c>
      <c r="BC67" s="29"/>
    </row>
    <row r="69" spans="1:61" ht="28">
      <c r="F69" s="183" t="s">
        <v>538</v>
      </c>
      <c r="G69" s="183" t="s">
        <v>539</v>
      </c>
      <c r="AH69" s="184" t="s">
        <v>540</v>
      </c>
      <c r="AI69" s="184" t="s">
        <v>541</v>
      </c>
      <c r="AJ69" s="195"/>
      <c r="AM69" s="185"/>
      <c r="BA69" s="710"/>
      <c r="BB69" s="710"/>
    </row>
    <row r="70" spans="1:61" ht="14.5">
      <c r="F70" s="187" t="s">
        <v>542</v>
      </c>
      <c r="G70" s="187">
        <v>0.55000000000000004</v>
      </c>
      <c r="AH70" s="188">
        <f>ROUND(20.22*0.98,2)</f>
        <v>19.82</v>
      </c>
      <c r="AI70" s="188">
        <f>ROUND(2889.47*0.98,2)</f>
        <v>2831.68</v>
      </c>
      <c r="AJ70" s="196"/>
      <c r="AM70" s="185"/>
      <c r="AR70" s="471">
        <f>AR65/7.2</f>
        <v>450.43888888888858</v>
      </c>
    </row>
    <row r="71" spans="1:61" ht="14.5">
      <c r="F71" s="187" t="s">
        <v>543</v>
      </c>
      <c r="G71" s="187" t="s">
        <v>544</v>
      </c>
      <c r="AH71" s="188">
        <v>20.22</v>
      </c>
      <c r="AI71" s="188">
        <v>3040.96</v>
      </c>
      <c r="AJ71" s="196"/>
      <c r="AM71" s="185"/>
    </row>
    <row r="72" spans="1:61" ht="14.5">
      <c r="F72" s="191" t="s">
        <v>545</v>
      </c>
      <c r="G72" s="191" t="s">
        <v>544</v>
      </c>
      <c r="AH72" s="193">
        <v>20.22</v>
      </c>
      <c r="AI72" s="193">
        <v>2889.47</v>
      </c>
      <c r="AJ72" s="196"/>
      <c r="AM72" s="185"/>
    </row>
    <row r="73" spans="1:61" ht="14.5">
      <c r="F73" s="189" t="s">
        <v>546</v>
      </c>
      <c r="G73" s="190" t="s">
        <v>547</v>
      </c>
      <c r="AH73" s="188">
        <v>21.28</v>
      </c>
      <c r="AI73" s="188">
        <f>AI72*0.98</f>
        <v>2831.6805999999997</v>
      </c>
      <c r="AJ73" s="196"/>
      <c r="AM73" s="186"/>
    </row>
    <row r="74" spans="1:61" ht="14.5">
      <c r="F74" s="191" t="s">
        <v>548</v>
      </c>
      <c r="G74" s="192">
        <v>0.56000000000000005</v>
      </c>
      <c r="AH74" s="193">
        <v>20.6</v>
      </c>
      <c r="AI74" s="193">
        <v>2575.5</v>
      </c>
      <c r="AJ74" s="194">
        <f>AI74/AI72-1</f>
        <v>-0.10866006568678677</v>
      </c>
      <c r="AM74" s="186"/>
    </row>
  </sheetData>
  <phoneticPr fontId="3" type="noConversion"/>
  <pageMargins left="0.7" right="0.7" top="0.75" bottom="0.75" header="0.3" footer="0.3"/>
  <pageSetup paperSize="9" scale="2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741D-3743-4A31-ADD8-C584D69E0AEC}">
  <sheetPr>
    <tabColor theme="5" tint="0.79998168889431442"/>
    <pageSetUpPr fitToPage="1"/>
  </sheetPr>
  <dimension ref="A1:AV11"/>
  <sheetViews>
    <sheetView zoomScale="82" zoomScaleNormal="82" workbookViewId="0"/>
  </sheetViews>
  <sheetFormatPr defaultColWidth="9.08203125" defaultRowHeight="14"/>
  <cols>
    <col min="1" max="1" width="30.33203125" style="1" customWidth="1"/>
    <col min="2" max="2" width="12.33203125" customWidth="1"/>
    <col min="3" max="3" width="39.33203125" bestFit="1" customWidth="1"/>
    <col min="4" max="4" width="12.08203125" customWidth="1"/>
    <col min="5" max="6" width="19" customWidth="1"/>
    <col min="7" max="7" width="14.33203125" customWidth="1"/>
  </cols>
  <sheetData>
    <row r="1" spans="1:48">
      <c r="A1" s="5" t="s">
        <v>549</v>
      </c>
    </row>
    <row r="2" spans="1:48" ht="28">
      <c r="A2" s="2" t="s">
        <v>550</v>
      </c>
      <c r="B2" s="3" t="s">
        <v>305</v>
      </c>
      <c r="C2" s="3" t="s">
        <v>551</v>
      </c>
      <c r="D2" s="3" t="s">
        <v>552</v>
      </c>
      <c r="E2" s="3" t="s">
        <v>553</v>
      </c>
      <c r="F2" s="3" t="s">
        <v>327</v>
      </c>
      <c r="G2" s="3" t="s">
        <v>18</v>
      </c>
      <c r="H2" s="3">
        <f t="shared" ref="H2:J2" si="0">I2-500</f>
        <v>56000</v>
      </c>
      <c r="I2" s="3">
        <f t="shared" si="0"/>
        <v>56500</v>
      </c>
      <c r="J2" s="3">
        <f t="shared" si="0"/>
        <v>57000</v>
      </c>
      <c r="K2" s="3">
        <f>L2-500</f>
        <v>57500</v>
      </c>
      <c r="L2" s="3">
        <v>58000</v>
      </c>
      <c r="M2" s="3">
        <f>L2+500</f>
        <v>58500</v>
      </c>
      <c r="N2" s="3">
        <f t="shared" ref="N2:AM2" si="1">M2+500</f>
        <v>59000</v>
      </c>
      <c r="O2" s="3">
        <f t="shared" si="1"/>
        <v>59500</v>
      </c>
      <c r="P2" s="3">
        <f t="shared" si="1"/>
        <v>60000</v>
      </c>
      <c r="Q2" s="3">
        <f t="shared" si="1"/>
        <v>60500</v>
      </c>
      <c r="R2" s="3">
        <f t="shared" si="1"/>
        <v>61000</v>
      </c>
      <c r="S2" s="3">
        <f t="shared" si="1"/>
        <v>61500</v>
      </c>
      <c r="T2" s="3">
        <f t="shared" si="1"/>
        <v>62000</v>
      </c>
      <c r="U2" s="3">
        <f t="shared" si="1"/>
        <v>62500</v>
      </c>
      <c r="V2" s="3">
        <f t="shared" si="1"/>
        <v>63000</v>
      </c>
      <c r="W2" s="3">
        <f t="shared" si="1"/>
        <v>63500</v>
      </c>
      <c r="X2" s="3">
        <f t="shared" si="1"/>
        <v>64000</v>
      </c>
      <c r="Y2" s="3">
        <f t="shared" si="1"/>
        <v>64500</v>
      </c>
      <c r="Z2" s="3">
        <f t="shared" si="1"/>
        <v>65000</v>
      </c>
      <c r="AA2" s="3">
        <f t="shared" si="1"/>
        <v>65500</v>
      </c>
      <c r="AB2" s="3">
        <f t="shared" si="1"/>
        <v>66000</v>
      </c>
      <c r="AC2" s="3">
        <f t="shared" si="1"/>
        <v>66500</v>
      </c>
      <c r="AD2" s="3">
        <f t="shared" si="1"/>
        <v>67000</v>
      </c>
      <c r="AE2" s="3">
        <f>AD2+500</f>
        <v>67500</v>
      </c>
      <c r="AF2" s="3">
        <f t="shared" si="1"/>
        <v>68000</v>
      </c>
      <c r="AG2" s="3">
        <f t="shared" si="1"/>
        <v>68500</v>
      </c>
      <c r="AH2" s="3">
        <f>AG2+500</f>
        <v>69000</v>
      </c>
      <c r="AI2" s="3">
        <f t="shared" si="1"/>
        <v>69500</v>
      </c>
      <c r="AJ2" s="3">
        <f t="shared" si="1"/>
        <v>70000</v>
      </c>
      <c r="AK2" s="3">
        <f t="shared" si="1"/>
        <v>70500</v>
      </c>
      <c r="AL2" s="3">
        <f t="shared" si="1"/>
        <v>71000</v>
      </c>
      <c r="AM2" s="3">
        <f t="shared" si="1"/>
        <v>71500</v>
      </c>
      <c r="AN2" s="3">
        <f>AM2+500</f>
        <v>72000</v>
      </c>
      <c r="AO2" s="3">
        <f t="shared" ref="AO2:AV2" si="2">AN2+500</f>
        <v>72500</v>
      </c>
      <c r="AP2" s="3">
        <f t="shared" si="2"/>
        <v>73000</v>
      </c>
      <c r="AQ2" s="3">
        <f t="shared" si="2"/>
        <v>73500</v>
      </c>
      <c r="AR2" s="3">
        <f t="shared" si="2"/>
        <v>74000</v>
      </c>
      <c r="AS2" s="3">
        <f t="shared" si="2"/>
        <v>74500</v>
      </c>
      <c r="AT2" s="3">
        <f t="shared" si="2"/>
        <v>75000</v>
      </c>
      <c r="AU2" s="3">
        <f t="shared" si="2"/>
        <v>75500</v>
      </c>
      <c r="AV2" s="3">
        <f t="shared" si="2"/>
        <v>76000</v>
      </c>
    </row>
    <row r="3" spans="1:48">
      <c r="A3" s="721" t="s">
        <v>554</v>
      </c>
      <c r="B3" s="722" t="s">
        <v>555</v>
      </c>
      <c r="C3" s="722" t="s">
        <v>556</v>
      </c>
      <c r="D3" s="722">
        <v>3500</v>
      </c>
      <c r="E3" s="4" t="s">
        <v>557</v>
      </c>
      <c r="F3" s="4">
        <v>18.3</v>
      </c>
      <c r="G3" s="4">
        <v>1.47</v>
      </c>
      <c r="H3" s="4">
        <f t="shared" ref="H3:J4" si="3">ROUND(I3-$G3,2)</f>
        <v>559.5</v>
      </c>
      <c r="I3" s="4">
        <f t="shared" si="3"/>
        <v>560.97</v>
      </c>
      <c r="J3" s="4">
        <f t="shared" si="3"/>
        <v>562.44000000000005</v>
      </c>
      <c r="K3" s="4">
        <f>ROUND(L3-$G3,2)</f>
        <v>563.91</v>
      </c>
      <c r="L3" s="4">
        <v>565.38</v>
      </c>
      <c r="M3" s="4">
        <f>ROUND(L3+$G3,2)</f>
        <v>566.85</v>
      </c>
      <c r="N3" s="4">
        <f t="shared" ref="N3:AV4" si="4">ROUND(M3+$G3,2)</f>
        <v>568.32000000000005</v>
      </c>
      <c r="O3" s="4">
        <f t="shared" si="4"/>
        <v>569.79</v>
      </c>
      <c r="P3" s="4">
        <f t="shared" si="4"/>
        <v>571.26</v>
      </c>
      <c r="Q3" s="4">
        <f t="shared" si="4"/>
        <v>572.73</v>
      </c>
      <c r="R3" s="4">
        <f t="shared" si="4"/>
        <v>574.20000000000005</v>
      </c>
      <c r="S3" s="4">
        <f t="shared" si="4"/>
        <v>575.66999999999996</v>
      </c>
      <c r="T3" s="4">
        <f t="shared" si="4"/>
        <v>577.14</v>
      </c>
      <c r="U3" s="4">
        <f t="shared" si="4"/>
        <v>578.61</v>
      </c>
      <c r="V3" s="4">
        <f t="shared" si="4"/>
        <v>580.08000000000004</v>
      </c>
      <c r="W3" s="4">
        <f t="shared" si="4"/>
        <v>581.54999999999995</v>
      </c>
      <c r="X3" s="4">
        <f t="shared" si="4"/>
        <v>583.02</v>
      </c>
      <c r="Y3" s="4">
        <f t="shared" si="4"/>
        <v>584.49</v>
      </c>
      <c r="Z3" s="4">
        <f t="shared" si="4"/>
        <v>585.96</v>
      </c>
      <c r="AA3" s="4">
        <f t="shared" si="4"/>
        <v>587.42999999999995</v>
      </c>
      <c r="AB3" s="4">
        <f t="shared" si="4"/>
        <v>588.9</v>
      </c>
      <c r="AC3" s="4">
        <f t="shared" si="4"/>
        <v>590.37</v>
      </c>
      <c r="AD3" s="4">
        <f t="shared" si="4"/>
        <v>591.84</v>
      </c>
      <c r="AE3" s="4">
        <f t="shared" si="4"/>
        <v>593.30999999999995</v>
      </c>
      <c r="AF3" s="4">
        <f t="shared" si="4"/>
        <v>594.78</v>
      </c>
      <c r="AG3" s="4">
        <f t="shared" si="4"/>
        <v>596.25</v>
      </c>
      <c r="AH3" s="4">
        <f t="shared" si="4"/>
        <v>597.72</v>
      </c>
      <c r="AI3" s="4">
        <f t="shared" si="4"/>
        <v>599.19000000000005</v>
      </c>
      <c r="AJ3" s="4">
        <f t="shared" si="4"/>
        <v>600.66</v>
      </c>
      <c r="AK3" s="4">
        <f t="shared" si="4"/>
        <v>602.13</v>
      </c>
      <c r="AL3" s="4">
        <f t="shared" si="4"/>
        <v>603.6</v>
      </c>
      <c r="AM3" s="4">
        <f t="shared" si="4"/>
        <v>605.07000000000005</v>
      </c>
      <c r="AN3" s="4">
        <f t="shared" si="4"/>
        <v>606.54</v>
      </c>
      <c r="AO3" s="4">
        <f t="shared" si="4"/>
        <v>608.01</v>
      </c>
      <c r="AP3" s="4">
        <f t="shared" si="4"/>
        <v>609.48</v>
      </c>
      <c r="AQ3" s="4">
        <f t="shared" si="4"/>
        <v>610.95000000000005</v>
      </c>
      <c r="AR3" s="4">
        <f t="shared" si="4"/>
        <v>612.41999999999996</v>
      </c>
      <c r="AS3" s="4">
        <f t="shared" si="4"/>
        <v>613.89</v>
      </c>
      <c r="AT3" s="4">
        <f t="shared" si="4"/>
        <v>615.36</v>
      </c>
      <c r="AU3" s="4">
        <f t="shared" si="4"/>
        <v>616.83000000000004</v>
      </c>
      <c r="AV3" s="4">
        <f t="shared" si="4"/>
        <v>618.29999999999995</v>
      </c>
    </row>
    <row r="4" spans="1:48">
      <c r="A4" s="721"/>
      <c r="B4" s="722"/>
      <c r="C4" s="722"/>
      <c r="D4" s="722"/>
      <c r="E4" s="4" t="s">
        <v>558</v>
      </c>
      <c r="F4" s="4">
        <v>18.3</v>
      </c>
      <c r="G4" s="4">
        <v>1.47</v>
      </c>
      <c r="H4" s="4">
        <f t="shared" si="3"/>
        <v>551.5</v>
      </c>
      <c r="I4" s="4">
        <f t="shared" si="3"/>
        <v>552.97</v>
      </c>
      <c r="J4" s="4">
        <f t="shared" si="3"/>
        <v>554.44000000000005</v>
      </c>
      <c r="K4" s="4">
        <f>ROUND(L4-$G4,2)</f>
        <v>555.91</v>
      </c>
      <c r="L4" s="4">
        <v>557.38</v>
      </c>
      <c r="M4" s="4">
        <f>ROUND(L4+$G4,2)</f>
        <v>558.85</v>
      </c>
      <c r="N4" s="4">
        <f t="shared" si="4"/>
        <v>560.32000000000005</v>
      </c>
      <c r="O4" s="4">
        <f t="shared" si="4"/>
        <v>561.79</v>
      </c>
      <c r="P4" s="4">
        <f t="shared" si="4"/>
        <v>563.26</v>
      </c>
      <c r="Q4" s="4">
        <f t="shared" si="4"/>
        <v>564.73</v>
      </c>
      <c r="R4" s="4">
        <f t="shared" si="4"/>
        <v>566.20000000000005</v>
      </c>
      <c r="S4" s="4">
        <f t="shared" si="4"/>
        <v>567.66999999999996</v>
      </c>
      <c r="T4" s="4">
        <f t="shared" si="4"/>
        <v>569.14</v>
      </c>
      <c r="U4" s="4">
        <f t="shared" si="4"/>
        <v>570.61</v>
      </c>
      <c r="V4" s="4">
        <f t="shared" si="4"/>
        <v>572.08000000000004</v>
      </c>
      <c r="W4" s="4">
        <f t="shared" si="4"/>
        <v>573.54999999999995</v>
      </c>
      <c r="X4" s="4">
        <f t="shared" si="4"/>
        <v>575.02</v>
      </c>
      <c r="Y4" s="4">
        <f t="shared" si="4"/>
        <v>576.49</v>
      </c>
      <c r="Z4" s="4">
        <f t="shared" si="4"/>
        <v>577.96</v>
      </c>
      <c r="AA4" s="4">
        <f t="shared" si="4"/>
        <v>579.42999999999995</v>
      </c>
      <c r="AB4" s="4">
        <f t="shared" si="4"/>
        <v>580.9</v>
      </c>
      <c r="AC4" s="4">
        <f t="shared" si="4"/>
        <v>582.37</v>
      </c>
      <c r="AD4" s="4">
        <f t="shared" si="4"/>
        <v>583.84</v>
      </c>
      <c r="AE4" s="4">
        <f t="shared" si="4"/>
        <v>585.30999999999995</v>
      </c>
      <c r="AF4" s="4">
        <f t="shared" si="4"/>
        <v>586.78</v>
      </c>
      <c r="AG4" s="4">
        <f t="shared" si="4"/>
        <v>588.25</v>
      </c>
      <c r="AH4" s="4">
        <f t="shared" si="4"/>
        <v>589.72</v>
      </c>
      <c r="AI4" s="4">
        <f t="shared" si="4"/>
        <v>591.19000000000005</v>
      </c>
      <c r="AJ4" s="4">
        <f t="shared" si="4"/>
        <v>592.66</v>
      </c>
      <c r="AK4" s="4">
        <f t="shared" si="4"/>
        <v>594.13</v>
      </c>
      <c r="AL4" s="4">
        <f t="shared" si="4"/>
        <v>595.6</v>
      </c>
      <c r="AM4" s="4">
        <f t="shared" si="4"/>
        <v>597.07000000000005</v>
      </c>
      <c r="AN4" s="4">
        <f t="shared" si="4"/>
        <v>598.54</v>
      </c>
      <c r="AO4" s="4">
        <f t="shared" si="4"/>
        <v>600.01</v>
      </c>
      <c r="AP4" s="4">
        <f t="shared" si="4"/>
        <v>601.48</v>
      </c>
      <c r="AQ4" s="4">
        <f t="shared" si="4"/>
        <v>602.95000000000005</v>
      </c>
      <c r="AR4" s="4">
        <f t="shared" si="4"/>
        <v>604.41999999999996</v>
      </c>
      <c r="AS4" s="4">
        <f t="shared" si="4"/>
        <v>605.89</v>
      </c>
      <c r="AT4" s="4">
        <f t="shared" si="4"/>
        <v>607.36</v>
      </c>
      <c r="AU4" s="4">
        <f t="shared" si="4"/>
        <v>608.83000000000004</v>
      </c>
      <c r="AV4" s="4">
        <f t="shared" si="4"/>
        <v>610.29999999999995</v>
      </c>
    </row>
    <row r="6" spans="1:48" ht="28">
      <c r="A6" s="2" t="s">
        <v>559</v>
      </c>
      <c r="B6" s="3" t="s">
        <v>305</v>
      </c>
      <c r="C6" s="3" t="s">
        <v>551</v>
      </c>
      <c r="D6" s="3" t="s">
        <v>552</v>
      </c>
      <c r="E6" s="3" t="s">
        <v>553</v>
      </c>
      <c r="F6" s="3" t="s">
        <v>327</v>
      </c>
      <c r="G6" s="3" t="s">
        <v>18</v>
      </c>
      <c r="H6" s="3">
        <f t="shared" ref="H6" si="5">I6-500</f>
        <v>56000</v>
      </c>
      <c r="I6" s="3">
        <f t="shared" ref="I6" si="6">J6-500</f>
        <v>56500</v>
      </c>
      <c r="J6" s="3">
        <f t="shared" ref="J6" si="7">K6-500</f>
        <v>57000</v>
      </c>
      <c r="K6" s="3">
        <f>L6-500</f>
        <v>57500</v>
      </c>
      <c r="L6" s="3">
        <v>58000</v>
      </c>
      <c r="M6" s="3">
        <f>L6+500</f>
        <v>58500</v>
      </c>
      <c r="N6" s="3">
        <f t="shared" ref="N6" si="8">M6+500</f>
        <v>59000</v>
      </c>
      <c r="O6" s="3">
        <f t="shared" ref="O6" si="9">N6+500</f>
        <v>59500</v>
      </c>
      <c r="P6" s="3">
        <f t="shared" ref="P6" si="10">O6+500</f>
        <v>60000</v>
      </c>
      <c r="Q6" s="3">
        <f t="shared" ref="Q6" si="11">P6+500</f>
        <v>60500</v>
      </c>
      <c r="R6" s="3">
        <f t="shared" ref="R6" si="12">Q6+500</f>
        <v>61000</v>
      </c>
      <c r="S6" s="3">
        <f t="shared" ref="S6" si="13">R6+500</f>
        <v>61500</v>
      </c>
      <c r="T6" s="3">
        <f t="shared" ref="T6" si="14">S6+500</f>
        <v>62000</v>
      </c>
      <c r="U6" s="3">
        <f t="shared" ref="U6" si="15">T6+500</f>
        <v>62500</v>
      </c>
      <c r="V6" s="3">
        <f t="shared" ref="V6" si="16">U6+500</f>
        <v>63000</v>
      </c>
      <c r="W6" s="3">
        <f t="shared" ref="W6" si="17">V6+500</f>
        <v>63500</v>
      </c>
      <c r="X6" s="3">
        <f t="shared" ref="X6" si="18">W6+500</f>
        <v>64000</v>
      </c>
      <c r="Y6" s="3">
        <f t="shared" ref="Y6" si="19">X6+500</f>
        <v>64500</v>
      </c>
      <c r="Z6" s="3">
        <f t="shared" ref="Z6" si="20">Y6+500</f>
        <v>65000</v>
      </c>
      <c r="AA6" s="3">
        <f t="shared" ref="AA6" si="21">Z6+500</f>
        <v>65500</v>
      </c>
      <c r="AB6" s="3">
        <f t="shared" ref="AB6" si="22">AA6+500</f>
        <v>66000</v>
      </c>
      <c r="AC6" s="3">
        <f t="shared" ref="AC6" si="23">AB6+500</f>
        <v>66500</v>
      </c>
      <c r="AD6" s="3">
        <f t="shared" ref="AD6" si="24">AC6+500</f>
        <v>67000</v>
      </c>
      <c r="AE6" s="3">
        <f>AD6+500</f>
        <v>67500</v>
      </c>
      <c r="AF6" s="3">
        <f t="shared" ref="AF6" si="25">AE6+500</f>
        <v>68000</v>
      </c>
      <c r="AG6" s="3">
        <f t="shared" ref="AG6" si="26">AF6+500</f>
        <v>68500</v>
      </c>
      <c r="AH6" s="3">
        <f>AG6+500</f>
        <v>69000</v>
      </c>
      <c r="AI6" s="3">
        <f t="shared" ref="AI6" si="27">AH6+500</f>
        <v>69500</v>
      </c>
      <c r="AJ6" s="3">
        <f t="shared" ref="AJ6" si="28">AI6+500</f>
        <v>70000</v>
      </c>
      <c r="AK6" s="3">
        <f t="shared" ref="AK6" si="29">AJ6+500</f>
        <v>70500</v>
      </c>
      <c r="AL6" s="3">
        <f t="shared" ref="AL6" si="30">AK6+500</f>
        <v>71000</v>
      </c>
      <c r="AM6" s="3">
        <f t="shared" ref="AM6" si="31">AL6+500</f>
        <v>71500</v>
      </c>
      <c r="AN6" s="3">
        <f>AM6+500</f>
        <v>72000</v>
      </c>
      <c r="AO6" s="3">
        <f t="shared" ref="AO6" si="32">AN6+500</f>
        <v>72500</v>
      </c>
      <c r="AP6" s="3">
        <f t="shared" ref="AP6" si="33">AO6+500</f>
        <v>73000</v>
      </c>
      <c r="AQ6" s="3">
        <f t="shared" ref="AQ6" si="34">AP6+500</f>
        <v>73500</v>
      </c>
      <c r="AR6" s="3">
        <f t="shared" ref="AR6" si="35">AQ6+500</f>
        <v>74000</v>
      </c>
      <c r="AS6" s="3">
        <f t="shared" ref="AS6" si="36">AR6+500</f>
        <v>74500</v>
      </c>
      <c r="AT6" s="3">
        <f t="shared" ref="AT6" si="37">AS6+500</f>
        <v>75000</v>
      </c>
      <c r="AU6" s="3">
        <f t="shared" ref="AU6" si="38">AT6+500</f>
        <v>75500</v>
      </c>
      <c r="AV6" s="3">
        <f t="shared" ref="AV6" si="39">AU6+500</f>
        <v>76000</v>
      </c>
    </row>
    <row r="7" spans="1:48">
      <c r="A7" s="721" t="s">
        <v>560</v>
      </c>
      <c r="B7" s="722" t="s">
        <v>555</v>
      </c>
      <c r="C7" s="722" t="s">
        <v>556</v>
      </c>
      <c r="D7" s="722">
        <v>3500</v>
      </c>
      <c r="E7" s="4" t="s">
        <v>557</v>
      </c>
      <c r="F7" s="4">
        <v>17.3</v>
      </c>
      <c r="G7" s="4">
        <v>1.4</v>
      </c>
      <c r="H7" s="4">
        <f t="shared" ref="H7:AV7" si="40">ROUND(H3*0.94,2)</f>
        <v>525.92999999999995</v>
      </c>
      <c r="I7" s="4">
        <f t="shared" si="40"/>
        <v>527.30999999999995</v>
      </c>
      <c r="J7" s="4">
        <f t="shared" si="40"/>
        <v>528.69000000000005</v>
      </c>
      <c r="K7" s="4">
        <f t="shared" si="40"/>
        <v>530.08000000000004</v>
      </c>
      <c r="L7" s="4">
        <f t="shared" si="40"/>
        <v>531.46</v>
      </c>
      <c r="M7" s="4">
        <f t="shared" si="40"/>
        <v>532.84</v>
      </c>
      <c r="N7" s="4">
        <f t="shared" si="40"/>
        <v>534.22</v>
      </c>
      <c r="O7" s="4">
        <f t="shared" si="40"/>
        <v>535.6</v>
      </c>
      <c r="P7" s="4">
        <f t="shared" si="40"/>
        <v>536.98</v>
      </c>
      <c r="Q7" s="4">
        <f t="shared" si="40"/>
        <v>538.37</v>
      </c>
      <c r="R7" s="4">
        <f t="shared" si="40"/>
        <v>539.75</v>
      </c>
      <c r="S7" s="4">
        <f t="shared" si="40"/>
        <v>541.13</v>
      </c>
      <c r="T7" s="4">
        <f t="shared" si="40"/>
        <v>542.51</v>
      </c>
      <c r="U7" s="4">
        <f t="shared" si="40"/>
        <v>543.89</v>
      </c>
      <c r="V7" s="4">
        <f t="shared" si="40"/>
        <v>545.28</v>
      </c>
      <c r="W7" s="4">
        <f t="shared" si="40"/>
        <v>546.66</v>
      </c>
      <c r="X7" s="4">
        <f t="shared" si="40"/>
        <v>548.04</v>
      </c>
      <c r="Y7" s="4">
        <f t="shared" si="40"/>
        <v>549.41999999999996</v>
      </c>
      <c r="Z7" s="4">
        <f t="shared" si="40"/>
        <v>550.79999999999995</v>
      </c>
      <c r="AA7" s="4">
        <f t="shared" si="40"/>
        <v>552.17999999999995</v>
      </c>
      <c r="AB7" s="4">
        <f t="shared" si="40"/>
        <v>553.57000000000005</v>
      </c>
      <c r="AC7" s="4">
        <f t="shared" si="40"/>
        <v>554.95000000000005</v>
      </c>
      <c r="AD7" s="4">
        <f t="shared" si="40"/>
        <v>556.33000000000004</v>
      </c>
      <c r="AE7" s="4">
        <f t="shared" si="40"/>
        <v>557.71</v>
      </c>
      <c r="AF7" s="4">
        <f t="shared" si="40"/>
        <v>559.09</v>
      </c>
      <c r="AG7" s="4">
        <f t="shared" si="40"/>
        <v>560.48</v>
      </c>
      <c r="AH7" s="4">
        <f t="shared" si="40"/>
        <v>561.86</v>
      </c>
      <c r="AI7" s="4">
        <f t="shared" si="40"/>
        <v>563.24</v>
      </c>
      <c r="AJ7" s="4">
        <f t="shared" si="40"/>
        <v>564.62</v>
      </c>
      <c r="AK7" s="4">
        <f t="shared" si="40"/>
        <v>566</v>
      </c>
      <c r="AL7" s="4">
        <f t="shared" si="40"/>
        <v>567.38</v>
      </c>
      <c r="AM7" s="4">
        <f t="shared" si="40"/>
        <v>568.77</v>
      </c>
      <c r="AN7" s="4">
        <f t="shared" si="40"/>
        <v>570.15</v>
      </c>
      <c r="AO7" s="4">
        <f t="shared" si="40"/>
        <v>571.53</v>
      </c>
      <c r="AP7" s="4">
        <f t="shared" si="40"/>
        <v>572.91</v>
      </c>
      <c r="AQ7" s="4">
        <f t="shared" si="40"/>
        <v>574.29</v>
      </c>
      <c r="AR7" s="4">
        <f t="shared" si="40"/>
        <v>575.66999999999996</v>
      </c>
      <c r="AS7" s="4">
        <f t="shared" si="40"/>
        <v>577.05999999999995</v>
      </c>
      <c r="AT7" s="4">
        <f t="shared" si="40"/>
        <v>578.44000000000005</v>
      </c>
      <c r="AU7" s="4">
        <f t="shared" si="40"/>
        <v>579.82000000000005</v>
      </c>
      <c r="AV7" s="4">
        <f t="shared" si="40"/>
        <v>581.20000000000005</v>
      </c>
    </row>
    <row r="8" spans="1:48">
      <c r="A8" s="721"/>
      <c r="B8" s="722"/>
      <c r="C8" s="722"/>
      <c r="D8" s="722"/>
      <c r="E8" s="4" t="s">
        <v>558</v>
      </c>
      <c r="F8" s="4">
        <v>17.3</v>
      </c>
      <c r="G8" s="4">
        <v>1.4</v>
      </c>
      <c r="H8" s="4">
        <f t="shared" ref="H8:AV8" si="41">ROUND(H4*0.94,2)</f>
        <v>518.41</v>
      </c>
      <c r="I8" s="4">
        <f t="shared" si="41"/>
        <v>519.79</v>
      </c>
      <c r="J8" s="4">
        <f t="shared" si="41"/>
        <v>521.16999999999996</v>
      </c>
      <c r="K8" s="4">
        <f t="shared" si="41"/>
        <v>522.55999999999995</v>
      </c>
      <c r="L8" s="4">
        <f t="shared" si="41"/>
        <v>523.94000000000005</v>
      </c>
      <c r="M8" s="4">
        <f t="shared" si="41"/>
        <v>525.32000000000005</v>
      </c>
      <c r="N8" s="4">
        <f t="shared" si="41"/>
        <v>526.70000000000005</v>
      </c>
      <c r="O8" s="4">
        <f t="shared" si="41"/>
        <v>528.08000000000004</v>
      </c>
      <c r="P8" s="4">
        <f t="shared" si="41"/>
        <v>529.46</v>
      </c>
      <c r="Q8" s="4">
        <f t="shared" si="41"/>
        <v>530.85</v>
      </c>
      <c r="R8" s="4">
        <f t="shared" si="41"/>
        <v>532.23</v>
      </c>
      <c r="S8" s="4">
        <f t="shared" si="41"/>
        <v>533.61</v>
      </c>
      <c r="T8" s="4">
        <f t="shared" si="41"/>
        <v>534.99</v>
      </c>
      <c r="U8" s="4">
        <f t="shared" si="41"/>
        <v>536.37</v>
      </c>
      <c r="V8" s="4">
        <f t="shared" si="41"/>
        <v>537.76</v>
      </c>
      <c r="W8" s="4">
        <f t="shared" si="41"/>
        <v>539.14</v>
      </c>
      <c r="X8" s="4">
        <f t="shared" si="41"/>
        <v>540.52</v>
      </c>
      <c r="Y8" s="4">
        <f t="shared" si="41"/>
        <v>541.9</v>
      </c>
      <c r="Z8" s="4">
        <f t="shared" si="41"/>
        <v>543.28</v>
      </c>
      <c r="AA8" s="4">
        <f t="shared" si="41"/>
        <v>544.66</v>
      </c>
      <c r="AB8" s="4">
        <f t="shared" si="41"/>
        <v>546.04999999999995</v>
      </c>
      <c r="AC8" s="4">
        <f t="shared" si="41"/>
        <v>547.42999999999995</v>
      </c>
      <c r="AD8" s="4">
        <f t="shared" si="41"/>
        <v>548.80999999999995</v>
      </c>
      <c r="AE8" s="4">
        <f t="shared" si="41"/>
        <v>550.19000000000005</v>
      </c>
      <c r="AF8" s="4">
        <f t="shared" si="41"/>
        <v>551.57000000000005</v>
      </c>
      <c r="AG8" s="4">
        <f t="shared" si="41"/>
        <v>552.96</v>
      </c>
      <c r="AH8" s="4">
        <f t="shared" si="41"/>
        <v>554.34</v>
      </c>
      <c r="AI8" s="4">
        <f t="shared" si="41"/>
        <v>555.72</v>
      </c>
      <c r="AJ8" s="4">
        <f t="shared" si="41"/>
        <v>557.1</v>
      </c>
      <c r="AK8" s="4">
        <f t="shared" si="41"/>
        <v>558.48</v>
      </c>
      <c r="AL8" s="4">
        <f t="shared" si="41"/>
        <v>559.86</v>
      </c>
      <c r="AM8" s="4">
        <f t="shared" si="41"/>
        <v>561.25</v>
      </c>
      <c r="AN8" s="4">
        <f t="shared" si="41"/>
        <v>562.63</v>
      </c>
      <c r="AO8" s="4">
        <f t="shared" si="41"/>
        <v>564.01</v>
      </c>
      <c r="AP8" s="4">
        <f t="shared" si="41"/>
        <v>565.39</v>
      </c>
      <c r="AQ8" s="4">
        <f t="shared" si="41"/>
        <v>566.77</v>
      </c>
      <c r="AR8" s="4">
        <f t="shared" si="41"/>
        <v>568.15</v>
      </c>
      <c r="AS8" s="4">
        <f t="shared" si="41"/>
        <v>569.54</v>
      </c>
      <c r="AT8" s="4">
        <f t="shared" si="41"/>
        <v>570.91999999999996</v>
      </c>
      <c r="AU8" s="4">
        <f t="shared" si="41"/>
        <v>572.29999999999995</v>
      </c>
      <c r="AV8" s="4">
        <f t="shared" si="41"/>
        <v>573.67999999999995</v>
      </c>
    </row>
    <row r="9" spans="1:48">
      <c r="A9" s="721" t="s">
        <v>561</v>
      </c>
      <c r="B9" s="722" t="s">
        <v>555</v>
      </c>
      <c r="C9" s="722" t="s">
        <v>556</v>
      </c>
      <c r="D9" s="722">
        <v>3500</v>
      </c>
      <c r="E9" s="4" t="s">
        <v>557</v>
      </c>
      <c r="F9" s="4">
        <v>16.100000000000001</v>
      </c>
      <c r="G9" s="4">
        <v>1.35</v>
      </c>
      <c r="H9" s="4">
        <f t="shared" ref="H9:AV9" si="42">ROUND(H3*0.92,2)</f>
        <v>514.74</v>
      </c>
      <c r="I9" s="4">
        <f t="shared" si="42"/>
        <v>516.09</v>
      </c>
      <c r="J9" s="4">
        <f t="shared" si="42"/>
        <v>517.44000000000005</v>
      </c>
      <c r="K9" s="4">
        <f t="shared" si="42"/>
        <v>518.79999999999995</v>
      </c>
      <c r="L9" s="4">
        <f t="shared" si="42"/>
        <v>520.15</v>
      </c>
      <c r="M9" s="4">
        <f t="shared" si="42"/>
        <v>521.5</v>
      </c>
      <c r="N9" s="4">
        <f t="shared" si="42"/>
        <v>522.85</v>
      </c>
      <c r="O9" s="4">
        <f t="shared" si="42"/>
        <v>524.21</v>
      </c>
      <c r="P9" s="4">
        <f t="shared" si="42"/>
        <v>525.55999999999995</v>
      </c>
      <c r="Q9" s="4">
        <f t="shared" si="42"/>
        <v>526.91</v>
      </c>
      <c r="R9" s="4">
        <f t="shared" si="42"/>
        <v>528.26</v>
      </c>
      <c r="S9" s="4">
        <f t="shared" si="42"/>
        <v>529.62</v>
      </c>
      <c r="T9" s="4">
        <f t="shared" si="42"/>
        <v>530.97</v>
      </c>
      <c r="U9" s="4">
        <f t="shared" si="42"/>
        <v>532.32000000000005</v>
      </c>
      <c r="V9" s="4">
        <f t="shared" si="42"/>
        <v>533.66999999999996</v>
      </c>
      <c r="W9" s="4">
        <f t="shared" si="42"/>
        <v>535.03</v>
      </c>
      <c r="X9" s="4">
        <f t="shared" si="42"/>
        <v>536.38</v>
      </c>
      <c r="Y9" s="4">
        <f t="shared" si="42"/>
        <v>537.73</v>
      </c>
      <c r="Z9" s="4">
        <f t="shared" si="42"/>
        <v>539.08000000000004</v>
      </c>
      <c r="AA9" s="4">
        <f t="shared" si="42"/>
        <v>540.44000000000005</v>
      </c>
      <c r="AB9" s="4">
        <f t="shared" si="42"/>
        <v>541.79</v>
      </c>
      <c r="AC9" s="4">
        <f t="shared" si="42"/>
        <v>543.14</v>
      </c>
      <c r="AD9" s="4">
        <f t="shared" si="42"/>
        <v>544.49</v>
      </c>
      <c r="AE9" s="4">
        <f t="shared" si="42"/>
        <v>545.85</v>
      </c>
      <c r="AF9" s="4">
        <f t="shared" si="42"/>
        <v>547.20000000000005</v>
      </c>
      <c r="AG9" s="4">
        <f t="shared" si="42"/>
        <v>548.54999999999995</v>
      </c>
      <c r="AH9" s="4">
        <f t="shared" si="42"/>
        <v>549.9</v>
      </c>
      <c r="AI9" s="4">
        <f t="shared" si="42"/>
        <v>551.25</v>
      </c>
      <c r="AJ9" s="4">
        <f t="shared" si="42"/>
        <v>552.61</v>
      </c>
      <c r="AK9" s="4">
        <f t="shared" si="42"/>
        <v>553.96</v>
      </c>
      <c r="AL9" s="4">
        <f t="shared" si="42"/>
        <v>555.30999999999995</v>
      </c>
      <c r="AM9" s="4">
        <f t="shared" si="42"/>
        <v>556.66</v>
      </c>
      <c r="AN9" s="4">
        <f t="shared" si="42"/>
        <v>558.02</v>
      </c>
      <c r="AO9" s="4">
        <f t="shared" si="42"/>
        <v>559.37</v>
      </c>
      <c r="AP9" s="4">
        <f t="shared" si="42"/>
        <v>560.72</v>
      </c>
      <c r="AQ9" s="4">
        <f t="shared" si="42"/>
        <v>562.07000000000005</v>
      </c>
      <c r="AR9" s="4">
        <f t="shared" si="42"/>
        <v>563.42999999999995</v>
      </c>
      <c r="AS9" s="4">
        <f t="shared" si="42"/>
        <v>564.78</v>
      </c>
      <c r="AT9" s="4">
        <f t="shared" si="42"/>
        <v>566.13</v>
      </c>
      <c r="AU9" s="4">
        <f t="shared" si="42"/>
        <v>567.48</v>
      </c>
      <c r="AV9" s="4">
        <f t="shared" si="42"/>
        <v>568.84</v>
      </c>
    </row>
    <row r="10" spans="1:48">
      <c r="A10" s="721"/>
      <c r="B10" s="722"/>
      <c r="C10" s="722"/>
      <c r="D10" s="722"/>
      <c r="E10" s="4" t="s">
        <v>558</v>
      </c>
      <c r="F10" s="4">
        <v>16.100000000000001</v>
      </c>
      <c r="G10" s="4">
        <v>1.35</v>
      </c>
      <c r="H10" s="4">
        <f t="shared" ref="H10:AV10" si="43">ROUND(H4*0.92,2)</f>
        <v>507.38</v>
      </c>
      <c r="I10" s="4">
        <f t="shared" si="43"/>
        <v>508.73</v>
      </c>
      <c r="J10" s="4">
        <f t="shared" si="43"/>
        <v>510.08</v>
      </c>
      <c r="K10" s="4">
        <f t="shared" si="43"/>
        <v>511.44</v>
      </c>
      <c r="L10" s="4">
        <f t="shared" si="43"/>
        <v>512.79</v>
      </c>
      <c r="M10" s="4">
        <f t="shared" si="43"/>
        <v>514.14</v>
      </c>
      <c r="N10" s="4">
        <f t="shared" si="43"/>
        <v>515.49</v>
      </c>
      <c r="O10" s="4">
        <f t="shared" si="43"/>
        <v>516.85</v>
      </c>
      <c r="P10" s="4">
        <f t="shared" si="43"/>
        <v>518.20000000000005</v>
      </c>
      <c r="Q10" s="4">
        <f t="shared" si="43"/>
        <v>519.54999999999995</v>
      </c>
      <c r="R10" s="4">
        <f t="shared" si="43"/>
        <v>520.9</v>
      </c>
      <c r="S10" s="4">
        <f t="shared" si="43"/>
        <v>522.26</v>
      </c>
      <c r="T10" s="4">
        <f t="shared" si="43"/>
        <v>523.61</v>
      </c>
      <c r="U10" s="4">
        <f t="shared" si="43"/>
        <v>524.96</v>
      </c>
      <c r="V10" s="4">
        <f t="shared" si="43"/>
        <v>526.30999999999995</v>
      </c>
      <c r="W10" s="4">
        <f t="shared" si="43"/>
        <v>527.66999999999996</v>
      </c>
      <c r="X10" s="4">
        <f t="shared" si="43"/>
        <v>529.02</v>
      </c>
      <c r="Y10" s="4">
        <f t="shared" si="43"/>
        <v>530.37</v>
      </c>
      <c r="Z10" s="4">
        <f t="shared" si="43"/>
        <v>531.72</v>
      </c>
      <c r="AA10" s="4">
        <f t="shared" si="43"/>
        <v>533.08000000000004</v>
      </c>
      <c r="AB10" s="4">
        <f t="shared" si="43"/>
        <v>534.42999999999995</v>
      </c>
      <c r="AC10" s="4">
        <f t="shared" si="43"/>
        <v>535.78</v>
      </c>
      <c r="AD10" s="4">
        <f t="shared" si="43"/>
        <v>537.13</v>
      </c>
      <c r="AE10" s="4">
        <f t="shared" si="43"/>
        <v>538.49</v>
      </c>
      <c r="AF10" s="4">
        <f t="shared" si="43"/>
        <v>539.84</v>
      </c>
      <c r="AG10" s="4">
        <f t="shared" si="43"/>
        <v>541.19000000000005</v>
      </c>
      <c r="AH10" s="4">
        <f t="shared" si="43"/>
        <v>542.54</v>
      </c>
      <c r="AI10" s="4">
        <f t="shared" si="43"/>
        <v>543.89</v>
      </c>
      <c r="AJ10" s="4">
        <f t="shared" si="43"/>
        <v>545.25</v>
      </c>
      <c r="AK10" s="4">
        <f t="shared" si="43"/>
        <v>546.6</v>
      </c>
      <c r="AL10" s="4">
        <f t="shared" si="43"/>
        <v>547.95000000000005</v>
      </c>
      <c r="AM10" s="4">
        <f t="shared" si="43"/>
        <v>549.29999999999995</v>
      </c>
      <c r="AN10" s="4">
        <f t="shared" si="43"/>
        <v>550.66</v>
      </c>
      <c r="AO10" s="4">
        <f t="shared" si="43"/>
        <v>552.01</v>
      </c>
      <c r="AP10" s="4">
        <f t="shared" si="43"/>
        <v>553.36</v>
      </c>
      <c r="AQ10" s="4">
        <f t="shared" si="43"/>
        <v>554.71</v>
      </c>
      <c r="AR10" s="4">
        <f t="shared" si="43"/>
        <v>556.07000000000005</v>
      </c>
      <c r="AS10" s="4">
        <f t="shared" si="43"/>
        <v>557.41999999999996</v>
      </c>
      <c r="AT10" s="4">
        <f t="shared" si="43"/>
        <v>558.77</v>
      </c>
      <c r="AU10" s="4">
        <f t="shared" si="43"/>
        <v>560.12</v>
      </c>
      <c r="AV10" s="4">
        <f t="shared" si="43"/>
        <v>561.48</v>
      </c>
    </row>
    <row r="11" spans="1:48">
      <c r="A11" s="5"/>
      <c r="G11" s="6"/>
    </row>
  </sheetData>
  <mergeCells count="12">
    <mergeCell ref="A9:A10"/>
    <mergeCell ref="B9:B10"/>
    <mergeCell ref="D9:D10"/>
    <mergeCell ref="C3:C4"/>
    <mergeCell ref="C7:C8"/>
    <mergeCell ref="C9:C10"/>
    <mergeCell ref="A3:A4"/>
    <mergeCell ref="B3:B4"/>
    <mergeCell ref="D3:D4"/>
    <mergeCell ref="A7:A8"/>
    <mergeCell ref="B7:B8"/>
    <mergeCell ref="D7:D8"/>
  </mergeCells>
  <phoneticPr fontId="3" type="noConversion"/>
  <pageMargins left="0.7" right="0.7" top="0.75" bottom="0.75" header="0.3" footer="0.3"/>
  <pageSetup paperSize="9" scale="2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D978-ACBD-4E15-9BDC-AD47234C63AC}">
  <sheetPr>
    <tabColor theme="8" tint="0.59999389629810485"/>
    <pageSetUpPr fitToPage="1"/>
  </sheetPr>
  <dimension ref="B2:AD49"/>
  <sheetViews>
    <sheetView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C34" sqref="C34"/>
    </sheetView>
  </sheetViews>
  <sheetFormatPr defaultColWidth="10.33203125" defaultRowHeight="14"/>
  <cols>
    <col min="1" max="1" width="0.33203125" style="14" customWidth="1"/>
    <col min="2" max="2" width="21.33203125" style="14" customWidth="1"/>
    <col min="3" max="3" width="55.33203125" style="14" bestFit="1" customWidth="1"/>
    <col min="4" max="4" width="17.33203125" style="14" customWidth="1"/>
    <col min="5" max="5" width="17.08203125" style="14" customWidth="1"/>
    <col min="6" max="12" width="10.33203125" style="18"/>
    <col min="13" max="22" width="0" style="18" hidden="1" customWidth="1"/>
    <col min="23" max="27" width="10.33203125" style="18"/>
    <col min="28" max="259" width="10.33203125" style="14"/>
    <col min="260" max="260" width="21.33203125" style="14" customWidth="1"/>
    <col min="261" max="261" width="41.33203125" style="14" customWidth="1"/>
    <col min="262" max="262" width="17.33203125" style="14" customWidth="1"/>
    <col min="263" max="263" width="17.08203125" style="14" customWidth="1"/>
    <col min="264" max="515" width="10.33203125" style="14"/>
    <col min="516" max="516" width="21.33203125" style="14" customWidth="1"/>
    <col min="517" max="517" width="41.33203125" style="14" customWidth="1"/>
    <col min="518" max="518" width="17.33203125" style="14" customWidth="1"/>
    <col min="519" max="519" width="17.08203125" style="14" customWidth="1"/>
    <col min="520" max="771" width="10.33203125" style="14"/>
    <col min="772" max="772" width="21.33203125" style="14" customWidth="1"/>
    <col min="773" max="773" width="41.33203125" style="14" customWidth="1"/>
    <col min="774" max="774" width="17.33203125" style="14" customWidth="1"/>
    <col min="775" max="775" width="17.08203125" style="14" customWidth="1"/>
    <col min="776" max="1027" width="10.33203125" style="14"/>
    <col min="1028" max="1028" width="21.33203125" style="14" customWidth="1"/>
    <col min="1029" max="1029" width="41.33203125" style="14" customWidth="1"/>
    <col min="1030" max="1030" width="17.33203125" style="14" customWidth="1"/>
    <col min="1031" max="1031" width="17.08203125" style="14" customWidth="1"/>
    <col min="1032" max="1283" width="10.33203125" style="14"/>
    <col min="1284" max="1284" width="21.33203125" style="14" customWidth="1"/>
    <col min="1285" max="1285" width="41.33203125" style="14" customWidth="1"/>
    <col min="1286" max="1286" width="17.33203125" style="14" customWidth="1"/>
    <col min="1287" max="1287" width="17.08203125" style="14" customWidth="1"/>
    <col min="1288" max="1539" width="10.33203125" style="14"/>
    <col min="1540" max="1540" width="21.33203125" style="14" customWidth="1"/>
    <col min="1541" max="1541" width="41.33203125" style="14" customWidth="1"/>
    <col min="1542" max="1542" width="17.33203125" style="14" customWidth="1"/>
    <col min="1543" max="1543" width="17.08203125" style="14" customWidth="1"/>
    <col min="1544" max="1795" width="10.33203125" style="14"/>
    <col min="1796" max="1796" width="21.33203125" style="14" customWidth="1"/>
    <col min="1797" max="1797" width="41.33203125" style="14" customWidth="1"/>
    <col min="1798" max="1798" width="17.33203125" style="14" customWidth="1"/>
    <col min="1799" max="1799" width="17.08203125" style="14" customWidth="1"/>
    <col min="1800" max="2051" width="10.33203125" style="14"/>
    <col min="2052" max="2052" width="21.33203125" style="14" customWidth="1"/>
    <col min="2053" max="2053" width="41.33203125" style="14" customWidth="1"/>
    <col min="2054" max="2054" width="17.33203125" style="14" customWidth="1"/>
    <col min="2055" max="2055" width="17.08203125" style="14" customWidth="1"/>
    <col min="2056" max="2307" width="10.33203125" style="14"/>
    <col min="2308" max="2308" width="21.33203125" style="14" customWidth="1"/>
    <col min="2309" max="2309" width="41.33203125" style="14" customWidth="1"/>
    <col min="2310" max="2310" width="17.33203125" style="14" customWidth="1"/>
    <col min="2311" max="2311" width="17.08203125" style="14" customWidth="1"/>
    <col min="2312" max="2563" width="10.33203125" style="14"/>
    <col min="2564" max="2564" width="21.33203125" style="14" customWidth="1"/>
    <col min="2565" max="2565" width="41.33203125" style="14" customWidth="1"/>
    <col min="2566" max="2566" width="17.33203125" style="14" customWidth="1"/>
    <col min="2567" max="2567" width="17.08203125" style="14" customWidth="1"/>
    <col min="2568" max="2819" width="10.33203125" style="14"/>
    <col min="2820" max="2820" width="21.33203125" style="14" customWidth="1"/>
    <col min="2821" max="2821" width="41.33203125" style="14" customWidth="1"/>
    <col min="2822" max="2822" width="17.33203125" style="14" customWidth="1"/>
    <col min="2823" max="2823" width="17.08203125" style="14" customWidth="1"/>
    <col min="2824" max="3075" width="10.33203125" style="14"/>
    <col min="3076" max="3076" width="21.33203125" style="14" customWidth="1"/>
    <col min="3077" max="3077" width="41.33203125" style="14" customWidth="1"/>
    <col min="3078" max="3078" width="17.33203125" style="14" customWidth="1"/>
    <col min="3079" max="3079" width="17.08203125" style="14" customWidth="1"/>
    <col min="3080" max="3331" width="10.33203125" style="14"/>
    <col min="3332" max="3332" width="21.33203125" style="14" customWidth="1"/>
    <col min="3333" max="3333" width="41.33203125" style="14" customWidth="1"/>
    <col min="3334" max="3334" width="17.33203125" style="14" customWidth="1"/>
    <col min="3335" max="3335" width="17.08203125" style="14" customWidth="1"/>
    <col min="3336" max="3587" width="10.33203125" style="14"/>
    <col min="3588" max="3588" width="21.33203125" style="14" customWidth="1"/>
    <col min="3589" max="3589" width="41.33203125" style="14" customWidth="1"/>
    <col min="3590" max="3590" width="17.33203125" style="14" customWidth="1"/>
    <col min="3591" max="3591" width="17.08203125" style="14" customWidth="1"/>
    <col min="3592" max="3843" width="10.33203125" style="14"/>
    <col min="3844" max="3844" width="21.33203125" style="14" customWidth="1"/>
    <col min="3845" max="3845" width="41.33203125" style="14" customWidth="1"/>
    <col min="3846" max="3846" width="17.33203125" style="14" customWidth="1"/>
    <col min="3847" max="3847" width="17.08203125" style="14" customWidth="1"/>
    <col min="3848" max="4099" width="10.33203125" style="14"/>
    <col min="4100" max="4100" width="21.33203125" style="14" customWidth="1"/>
    <col min="4101" max="4101" width="41.33203125" style="14" customWidth="1"/>
    <col min="4102" max="4102" width="17.33203125" style="14" customWidth="1"/>
    <col min="4103" max="4103" width="17.08203125" style="14" customWidth="1"/>
    <col min="4104" max="4355" width="10.33203125" style="14"/>
    <col min="4356" max="4356" width="21.33203125" style="14" customWidth="1"/>
    <col min="4357" max="4357" width="41.33203125" style="14" customWidth="1"/>
    <col min="4358" max="4358" width="17.33203125" style="14" customWidth="1"/>
    <col min="4359" max="4359" width="17.08203125" style="14" customWidth="1"/>
    <col min="4360" max="4611" width="10.33203125" style="14"/>
    <col min="4612" max="4612" width="21.33203125" style="14" customWidth="1"/>
    <col min="4613" max="4613" width="41.33203125" style="14" customWidth="1"/>
    <col min="4614" max="4614" width="17.33203125" style="14" customWidth="1"/>
    <col min="4615" max="4615" width="17.08203125" style="14" customWidth="1"/>
    <col min="4616" max="4867" width="10.33203125" style="14"/>
    <col min="4868" max="4868" width="21.33203125" style="14" customWidth="1"/>
    <col min="4869" max="4869" width="41.33203125" style="14" customWidth="1"/>
    <col min="4870" max="4870" width="17.33203125" style="14" customWidth="1"/>
    <col min="4871" max="4871" width="17.08203125" style="14" customWidth="1"/>
    <col min="4872" max="5123" width="10.33203125" style="14"/>
    <col min="5124" max="5124" width="21.33203125" style="14" customWidth="1"/>
    <col min="5125" max="5125" width="41.33203125" style="14" customWidth="1"/>
    <col min="5126" max="5126" width="17.33203125" style="14" customWidth="1"/>
    <col min="5127" max="5127" width="17.08203125" style="14" customWidth="1"/>
    <col min="5128" max="5379" width="10.33203125" style="14"/>
    <col min="5380" max="5380" width="21.33203125" style="14" customWidth="1"/>
    <col min="5381" max="5381" width="41.33203125" style="14" customWidth="1"/>
    <col min="5382" max="5382" width="17.33203125" style="14" customWidth="1"/>
    <col min="5383" max="5383" width="17.08203125" style="14" customWidth="1"/>
    <col min="5384" max="5635" width="10.33203125" style="14"/>
    <col min="5636" max="5636" width="21.33203125" style="14" customWidth="1"/>
    <col min="5637" max="5637" width="41.33203125" style="14" customWidth="1"/>
    <col min="5638" max="5638" width="17.33203125" style="14" customWidth="1"/>
    <col min="5639" max="5639" width="17.08203125" style="14" customWidth="1"/>
    <col min="5640" max="5891" width="10.33203125" style="14"/>
    <col min="5892" max="5892" width="21.33203125" style="14" customWidth="1"/>
    <col min="5893" max="5893" width="41.33203125" style="14" customWidth="1"/>
    <col min="5894" max="5894" width="17.33203125" style="14" customWidth="1"/>
    <col min="5895" max="5895" width="17.08203125" style="14" customWidth="1"/>
    <col min="5896" max="6147" width="10.33203125" style="14"/>
    <col min="6148" max="6148" width="21.33203125" style="14" customWidth="1"/>
    <col min="6149" max="6149" width="41.33203125" style="14" customWidth="1"/>
    <col min="6150" max="6150" width="17.33203125" style="14" customWidth="1"/>
    <col min="6151" max="6151" width="17.08203125" style="14" customWidth="1"/>
    <col min="6152" max="6403" width="10.33203125" style="14"/>
    <col min="6404" max="6404" width="21.33203125" style="14" customWidth="1"/>
    <col min="6405" max="6405" width="41.33203125" style="14" customWidth="1"/>
    <col min="6406" max="6406" width="17.33203125" style="14" customWidth="1"/>
    <col min="6407" max="6407" width="17.08203125" style="14" customWidth="1"/>
    <col min="6408" max="6659" width="10.33203125" style="14"/>
    <col min="6660" max="6660" width="21.33203125" style="14" customWidth="1"/>
    <col min="6661" max="6661" width="41.33203125" style="14" customWidth="1"/>
    <col min="6662" max="6662" width="17.33203125" style="14" customWidth="1"/>
    <col min="6663" max="6663" width="17.08203125" style="14" customWidth="1"/>
    <col min="6664" max="6915" width="10.33203125" style="14"/>
    <col min="6916" max="6916" width="21.33203125" style="14" customWidth="1"/>
    <col min="6917" max="6917" width="41.33203125" style="14" customWidth="1"/>
    <col min="6918" max="6918" width="17.33203125" style="14" customWidth="1"/>
    <col min="6919" max="6919" width="17.08203125" style="14" customWidth="1"/>
    <col min="6920" max="7171" width="10.33203125" style="14"/>
    <col min="7172" max="7172" width="21.33203125" style="14" customWidth="1"/>
    <col min="7173" max="7173" width="41.33203125" style="14" customWidth="1"/>
    <col min="7174" max="7174" width="17.33203125" style="14" customWidth="1"/>
    <col min="7175" max="7175" width="17.08203125" style="14" customWidth="1"/>
    <col min="7176" max="7427" width="10.33203125" style="14"/>
    <col min="7428" max="7428" width="21.33203125" style="14" customWidth="1"/>
    <col min="7429" max="7429" width="41.33203125" style="14" customWidth="1"/>
    <col min="7430" max="7430" width="17.33203125" style="14" customWidth="1"/>
    <col min="7431" max="7431" width="17.08203125" style="14" customWidth="1"/>
    <col min="7432" max="7683" width="10.33203125" style="14"/>
    <col min="7684" max="7684" width="21.33203125" style="14" customWidth="1"/>
    <col min="7685" max="7685" width="41.33203125" style="14" customWidth="1"/>
    <col min="7686" max="7686" width="17.33203125" style="14" customWidth="1"/>
    <col min="7687" max="7687" width="17.08203125" style="14" customWidth="1"/>
    <col min="7688" max="7939" width="10.33203125" style="14"/>
    <col min="7940" max="7940" width="21.33203125" style="14" customWidth="1"/>
    <col min="7941" max="7941" width="41.33203125" style="14" customWidth="1"/>
    <col min="7942" max="7942" width="17.33203125" style="14" customWidth="1"/>
    <col min="7943" max="7943" width="17.08203125" style="14" customWidth="1"/>
    <col min="7944" max="8195" width="10.33203125" style="14"/>
    <col min="8196" max="8196" width="21.33203125" style="14" customWidth="1"/>
    <col min="8197" max="8197" width="41.33203125" style="14" customWidth="1"/>
    <col min="8198" max="8198" width="17.33203125" style="14" customWidth="1"/>
    <col min="8199" max="8199" width="17.08203125" style="14" customWidth="1"/>
    <col min="8200" max="8451" width="10.33203125" style="14"/>
    <col min="8452" max="8452" width="21.33203125" style="14" customWidth="1"/>
    <col min="8453" max="8453" width="41.33203125" style="14" customWidth="1"/>
    <col min="8454" max="8454" width="17.33203125" style="14" customWidth="1"/>
    <col min="8455" max="8455" width="17.08203125" style="14" customWidth="1"/>
    <col min="8456" max="8707" width="10.33203125" style="14"/>
    <col min="8708" max="8708" width="21.33203125" style="14" customWidth="1"/>
    <col min="8709" max="8709" width="41.33203125" style="14" customWidth="1"/>
    <col min="8710" max="8710" width="17.33203125" style="14" customWidth="1"/>
    <col min="8711" max="8711" width="17.08203125" style="14" customWidth="1"/>
    <col min="8712" max="8963" width="10.33203125" style="14"/>
    <col min="8964" max="8964" width="21.33203125" style="14" customWidth="1"/>
    <col min="8965" max="8965" width="41.33203125" style="14" customWidth="1"/>
    <col min="8966" max="8966" width="17.33203125" style="14" customWidth="1"/>
    <col min="8967" max="8967" width="17.08203125" style="14" customWidth="1"/>
    <col min="8968" max="9219" width="10.33203125" style="14"/>
    <col min="9220" max="9220" width="21.33203125" style="14" customWidth="1"/>
    <col min="9221" max="9221" width="41.33203125" style="14" customWidth="1"/>
    <col min="9222" max="9222" width="17.33203125" style="14" customWidth="1"/>
    <col min="9223" max="9223" width="17.08203125" style="14" customWidth="1"/>
    <col min="9224" max="9475" width="10.33203125" style="14"/>
    <col min="9476" max="9476" width="21.33203125" style="14" customWidth="1"/>
    <col min="9477" max="9477" width="41.33203125" style="14" customWidth="1"/>
    <col min="9478" max="9478" width="17.33203125" style="14" customWidth="1"/>
    <col min="9479" max="9479" width="17.08203125" style="14" customWidth="1"/>
    <col min="9480" max="9731" width="10.33203125" style="14"/>
    <col min="9732" max="9732" width="21.33203125" style="14" customWidth="1"/>
    <col min="9733" max="9733" width="41.33203125" style="14" customWidth="1"/>
    <col min="9734" max="9734" width="17.33203125" style="14" customWidth="1"/>
    <col min="9735" max="9735" width="17.08203125" style="14" customWidth="1"/>
    <col min="9736" max="9987" width="10.33203125" style="14"/>
    <col min="9988" max="9988" width="21.33203125" style="14" customWidth="1"/>
    <col min="9989" max="9989" width="41.33203125" style="14" customWidth="1"/>
    <col min="9990" max="9990" width="17.33203125" style="14" customWidth="1"/>
    <col min="9991" max="9991" width="17.08203125" style="14" customWidth="1"/>
    <col min="9992" max="10243" width="10.33203125" style="14"/>
    <col min="10244" max="10244" width="21.33203125" style="14" customWidth="1"/>
    <col min="10245" max="10245" width="41.33203125" style="14" customWidth="1"/>
    <col min="10246" max="10246" width="17.33203125" style="14" customWidth="1"/>
    <col min="10247" max="10247" width="17.08203125" style="14" customWidth="1"/>
    <col min="10248" max="10499" width="10.33203125" style="14"/>
    <col min="10500" max="10500" width="21.33203125" style="14" customWidth="1"/>
    <col min="10501" max="10501" width="41.33203125" style="14" customWidth="1"/>
    <col min="10502" max="10502" width="17.33203125" style="14" customWidth="1"/>
    <col min="10503" max="10503" width="17.08203125" style="14" customWidth="1"/>
    <col min="10504" max="10755" width="10.33203125" style="14"/>
    <col min="10756" max="10756" width="21.33203125" style="14" customWidth="1"/>
    <col min="10757" max="10757" width="41.33203125" style="14" customWidth="1"/>
    <col min="10758" max="10758" width="17.33203125" style="14" customWidth="1"/>
    <col min="10759" max="10759" width="17.08203125" style="14" customWidth="1"/>
    <col min="10760" max="11011" width="10.33203125" style="14"/>
    <col min="11012" max="11012" width="21.33203125" style="14" customWidth="1"/>
    <col min="11013" max="11013" width="41.33203125" style="14" customWidth="1"/>
    <col min="11014" max="11014" width="17.33203125" style="14" customWidth="1"/>
    <col min="11015" max="11015" width="17.08203125" style="14" customWidth="1"/>
    <col min="11016" max="11267" width="10.33203125" style="14"/>
    <col min="11268" max="11268" width="21.33203125" style="14" customWidth="1"/>
    <col min="11269" max="11269" width="41.33203125" style="14" customWidth="1"/>
    <col min="11270" max="11270" width="17.33203125" style="14" customWidth="1"/>
    <col min="11271" max="11271" width="17.08203125" style="14" customWidth="1"/>
    <col min="11272" max="11523" width="10.33203125" style="14"/>
    <col min="11524" max="11524" width="21.33203125" style="14" customWidth="1"/>
    <col min="11525" max="11525" width="41.33203125" style="14" customWidth="1"/>
    <col min="11526" max="11526" width="17.33203125" style="14" customWidth="1"/>
    <col min="11527" max="11527" width="17.08203125" style="14" customWidth="1"/>
    <col min="11528" max="11779" width="10.33203125" style="14"/>
    <col min="11780" max="11780" width="21.33203125" style="14" customWidth="1"/>
    <col min="11781" max="11781" width="41.33203125" style="14" customWidth="1"/>
    <col min="11782" max="11782" width="17.33203125" style="14" customWidth="1"/>
    <col min="11783" max="11783" width="17.08203125" style="14" customWidth="1"/>
    <col min="11784" max="12035" width="10.33203125" style="14"/>
    <col min="12036" max="12036" width="21.33203125" style="14" customWidth="1"/>
    <col min="12037" max="12037" width="41.33203125" style="14" customWidth="1"/>
    <col min="12038" max="12038" width="17.33203125" style="14" customWidth="1"/>
    <col min="12039" max="12039" width="17.08203125" style="14" customWidth="1"/>
    <col min="12040" max="12291" width="10.33203125" style="14"/>
    <col min="12292" max="12292" width="21.33203125" style="14" customWidth="1"/>
    <col min="12293" max="12293" width="41.33203125" style="14" customWidth="1"/>
    <col min="12294" max="12294" width="17.33203125" style="14" customWidth="1"/>
    <col min="12295" max="12295" width="17.08203125" style="14" customWidth="1"/>
    <col min="12296" max="12547" width="10.33203125" style="14"/>
    <col min="12548" max="12548" width="21.33203125" style="14" customWidth="1"/>
    <col min="12549" max="12549" width="41.33203125" style="14" customWidth="1"/>
    <col min="12550" max="12550" width="17.33203125" style="14" customWidth="1"/>
    <col min="12551" max="12551" width="17.08203125" style="14" customWidth="1"/>
    <col min="12552" max="12803" width="10.33203125" style="14"/>
    <col min="12804" max="12804" width="21.33203125" style="14" customWidth="1"/>
    <col min="12805" max="12805" width="41.33203125" style="14" customWidth="1"/>
    <col min="12806" max="12806" width="17.33203125" style="14" customWidth="1"/>
    <col min="12807" max="12807" width="17.08203125" style="14" customWidth="1"/>
    <col min="12808" max="13059" width="10.33203125" style="14"/>
    <col min="13060" max="13060" width="21.33203125" style="14" customWidth="1"/>
    <col min="13061" max="13061" width="41.33203125" style="14" customWidth="1"/>
    <col min="13062" max="13062" width="17.33203125" style="14" customWidth="1"/>
    <col min="13063" max="13063" width="17.08203125" style="14" customWidth="1"/>
    <col min="13064" max="13315" width="10.33203125" style="14"/>
    <col min="13316" max="13316" width="21.33203125" style="14" customWidth="1"/>
    <col min="13317" max="13317" width="41.33203125" style="14" customWidth="1"/>
    <col min="13318" max="13318" width="17.33203125" style="14" customWidth="1"/>
    <col min="13319" max="13319" width="17.08203125" style="14" customWidth="1"/>
    <col min="13320" max="13571" width="10.33203125" style="14"/>
    <col min="13572" max="13572" width="21.33203125" style="14" customWidth="1"/>
    <col min="13573" max="13573" width="41.33203125" style="14" customWidth="1"/>
    <col min="13574" max="13574" width="17.33203125" style="14" customWidth="1"/>
    <col min="13575" max="13575" width="17.08203125" style="14" customWidth="1"/>
    <col min="13576" max="13827" width="10.33203125" style="14"/>
    <col min="13828" max="13828" width="21.33203125" style="14" customWidth="1"/>
    <col min="13829" max="13829" width="41.33203125" style="14" customWidth="1"/>
    <col min="13830" max="13830" width="17.33203125" style="14" customWidth="1"/>
    <col min="13831" max="13831" width="17.08203125" style="14" customWidth="1"/>
    <col min="13832" max="14083" width="10.33203125" style="14"/>
    <col min="14084" max="14084" width="21.33203125" style="14" customWidth="1"/>
    <col min="14085" max="14085" width="41.33203125" style="14" customWidth="1"/>
    <col min="14086" max="14086" width="17.33203125" style="14" customWidth="1"/>
    <col min="14087" max="14087" width="17.08203125" style="14" customWidth="1"/>
    <col min="14088" max="14339" width="10.33203125" style="14"/>
    <col min="14340" max="14340" width="21.33203125" style="14" customWidth="1"/>
    <col min="14341" max="14341" width="41.33203125" style="14" customWidth="1"/>
    <col min="14342" max="14342" width="17.33203125" style="14" customWidth="1"/>
    <col min="14343" max="14343" width="17.08203125" style="14" customWidth="1"/>
    <col min="14344" max="14595" width="10.33203125" style="14"/>
    <col min="14596" max="14596" width="21.33203125" style="14" customWidth="1"/>
    <col min="14597" max="14597" width="41.33203125" style="14" customWidth="1"/>
    <col min="14598" max="14598" width="17.33203125" style="14" customWidth="1"/>
    <col min="14599" max="14599" width="17.08203125" style="14" customWidth="1"/>
    <col min="14600" max="14851" width="10.33203125" style="14"/>
    <col min="14852" max="14852" width="21.33203125" style="14" customWidth="1"/>
    <col min="14853" max="14853" width="41.33203125" style="14" customWidth="1"/>
    <col min="14854" max="14854" width="17.33203125" style="14" customWidth="1"/>
    <col min="14855" max="14855" width="17.08203125" style="14" customWidth="1"/>
    <col min="14856" max="15107" width="10.33203125" style="14"/>
    <col min="15108" max="15108" width="21.33203125" style="14" customWidth="1"/>
    <col min="15109" max="15109" width="41.33203125" style="14" customWidth="1"/>
    <col min="15110" max="15110" width="17.33203125" style="14" customWidth="1"/>
    <col min="15111" max="15111" width="17.08203125" style="14" customWidth="1"/>
    <col min="15112" max="15363" width="10.33203125" style="14"/>
    <col min="15364" max="15364" width="21.33203125" style="14" customWidth="1"/>
    <col min="15365" max="15365" width="41.33203125" style="14" customWidth="1"/>
    <col min="15366" max="15366" width="17.33203125" style="14" customWidth="1"/>
    <col min="15367" max="15367" width="17.08203125" style="14" customWidth="1"/>
    <col min="15368" max="15619" width="10.33203125" style="14"/>
    <col min="15620" max="15620" width="21.33203125" style="14" customWidth="1"/>
    <col min="15621" max="15621" width="41.33203125" style="14" customWidth="1"/>
    <col min="15622" max="15622" width="17.33203125" style="14" customWidth="1"/>
    <col min="15623" max="15623" width="17.08203125" style="14" customWidth="1"/>
    <col min="15624" max="15875" width="10.33203125" style="14"/>
    <col min="15876" max="15876" width="21.33203125" style="14" customWidth="1"/>
    <col min="15877" max="15877" width="41.33203125" style="14" customWidth="1"/>
    <col min="15878" max="15878" width="17.33203125" style="14" customWidth="1"/>
    <col min="15879" max="15879" width="17.08203125" style="14" customWidth="1"/>
    <col min="15880" max="16131" width="10.33203125" style="14"/>
    <col min="16132" max="16132" width="21.33203125" style="14" customWidth="1"/>
    <col min="16133" max="16133" width="41.33203125" style="14" customWidth="1"/>
    <col min="16134" max="16134" width="17.33203125" style="14" customWidth="1"/>
    <col min="16135" max="16135" width="17.08203125" style="14" customWidth="1"/>
    <col min="16136" max="16384" width="10.33203125" style="14"/>
  </cols>
  <sheetData>
    <row r="2" spans="2:27" s="8" customFormat="1">
      <c r="B2" s="7" t="s">
        <v>562</v>
      </c>
      <c r="C2" s="7" t="s">
        <v>563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7" s="8" customFormat="1">
      <c r="B3" s="132" t="s">
        <v>564</v>
      </c>
      <c r="C3" s="40"/>
      <c r="D3" s="40"/>
      <c r="E3" s="40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7" s="8" customFormat="1" ht="14.5" thickBot="1">
      <c r="B4" s="133" t="s">
        <v>565</v>
      </c>
      <c r="C4" s="40"/>
      <c r="D4" s="40"/>
      <c r="E4" s="40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7" s="139" customFormat="1">
      <c r="B5" s="134" t="s">
        <v>255</v>
      </c>
      <c r="C5" s="135" t="s">
        <v>566</v>
      </c>
      <c r="D5" s="135" t="s">
        <v>567</v>
      </c>
      <c r="E5" s="135" t="s">
        <v>256</v>
      </c>
      <c r="F5" s="136" t="s">
        <v>18</v>
      </c>
      <c r="G5" s="136">
        <f t="shared" ref="G5:O5" si="0">H5-1000</f>
        <v>60000</v>
      </c>
      <c r="H5" s="136">
        <f t="shared" si="0"/>
        <v>61000</v>
      </c>
      <c r="I5" s="136">
        <f t="shared" si="0"/>
        <v>62000</v>
      </c>
      <c r="J5" s="136">
        <f t="shared" si="0"/>
        <v>63000</v>
      </c>
      <c r="K5" s="136">
        <f t="shared" si="0"/>
        <v>64000</v>
      </c>
      <c r="L5" s="136">
        <f t="shared" si="0"/>
        <v>65000</v>
      </c>
      <c r="M5" s="136">
        <f t="shared" si="0"/>
        <v>66000</v>
      </c>
      <c r="N5" s="136">
        <f t="shared" si="0"/>
        <v>67000</v>
      </c>
      <c r="O5" s="136">
        <f t="shared" si="0"/>
        <v>68000</v>
      </c>
      <c r="P5" s="136">
        <v>69000</v>
      </c>
      <c r="Q5" s="137">
        <v>70000</v>
      </c>
      <c r="R5" s="137">
        <v>71000</v>
      </c>
      <c r="S5" s="137">
        <f>R5+1000</f>
        <v>72000</v>
      </c>
      <c r="T5" s="137">
        <f t="shared" ref="T5:AA5" si="1">S5+1000</f>
        <v>73000</v>
      </c>
      <c r="U5" s="137">
        <f t="shared" si="1"/>
        <v>74000</v>
      </c>
      <c r="V5" s="137">
        <f t="shared" si="1"/>
        <v>75000</v>
      </c>
      <c r="W5" s="137">
        <f t="shared" si="1"/>
        <v>76000</v>
      </c>
      <c r="X5" s="137">
        <f t="shared" si="1"/>
        <v>77000</v>
      </c>
      <c r="Y5" s="137">
        <f t="shared" si="1"/>
        <v>78000</v>
      </c>
      <c r="Z5" s="137">
        <f t="shared" si="1"/>
        <v>79000</v>
      </c>
      <c r="AA5" s="138">
        <f t="shared" si="1"/>
        <v>80000</v>
      </c>
    </row>
    <row r="6" spans="2:27" s="8" customFormat="1">
      <c r="B6" s="140" t="s">
        <v>568</v>
      </c>
      <c r="C6" s="13" t="s">
        <v>569</v>
      </c>
      <c r="D6" s="141" t="s">
        <v>570</v>
      </c>
      <c r="E6" s="13" t="s">
        <v>571</v>
      </c>
      <c r="F6" s="15">
        <v>2.66</v>
      </c>
      <c r="G6" s="15">
        <f t="shared" ref="G6:O8" si="2">ROUND(H6-$F6,2)</f>
        <v>328.3</v>
      </c>
      <c r="H6" s="15">
        <f t="shared" si="2"/>
        <v>330.96</v>
      </c>
      <c r="I6" s="15">
        <f t="shared" si="2"/>
        <v>333.62</v>
      </c>
      <c r="J6" s="15">
        <f t="shared" si="2"/>
        <v>336.28</v>
      </c>
      <c r="K6" s="15">
        <f t="shared" si="2"/>
        <v>338.94</v>
      </c>
      <c r="L6" s="15">
        <f t="shared" si="2"/>
        <v>341.6</v>
      </c>
      <c r="M6" s="15">
        <f t="shared" si="2"/>
        <v>344.26</v>
      </c>
      <c r="N6" s="15">
        <f t="shared" si="2"/>
        <v>346.92</v>
      </c>
      <c r="O6" s="15">
        <f>ROUND(P6-$F6,2)</f>
        <v>349.58</v>
      </c>
      <c r="P6" s="15">
        <v>352.24</v>
      </c>
      <c r="Q6" s="9">
        <v>354.9</v>
      </c>
      <c r="R6" s="9">
        <f>ROUND(Q6+$F6,2)</f>
        <v>357.56</v>
      </c>
      <c r="S6" s="9">
        <f t="shared" ref="S6:AA6" si="3">ROUND(R6+$F6,2)</f>
        <v>360.22</v>
      </c>
      <c r="T6" s="9">
        <f t="shared" si="3"/>
        <v>362.88</v>
      </c>
      <c r="U6" s="9">
        <f t="shared" si="3"/>
        <v>365.54</v>
      </c>
      <c r="V6" s="9">
        <f t="shared" si="3"/>
        <v>368.2</v>
      </c>
      <c r="W6" s="9">
        <f t="shared" si="3"/>
        <v>370.86</v>
      </c>
      <c r="X6" s="9">
        <f t="shared" si="3"/>
        <v>373.52</v>
      </c>
      <c r="Y6" s="9">
        <f t="shared" si="3"/>
        <v>376.18</v>
      </c>
      <c r="Z6" s="9">
        <f t="shared" si="3"/>
        <v>378.84</v>
      </c>
      <c r="AA6" s="142">
        <f t="shared" si="3"/>
        <v>381.5</v>
      </c>
    </row>
    <row r="7" spans="2:27" s="8" customFormat="1">
      <c r="B7" s="140" t="s">
        <v>568</v>
      </c>
      <c r="C7" s="13" t="s">
        <v>569</v>
      </c>
      <c r="D7" s="141" t="s">
        <v>570</v>
      </c>
      <c r="E7" s="13" t="s">
        <v>572</v>
      </c>
      <c r="F7" s="15">
        <v>2.66</v>
      </c>
      <c r="G7" s="15">
        <f t="shared" si="2"/>
        <v>338.09</v>
      </c>
      <c r="H7" s="15">
        <f t="shared" si="2"/>
        <v>340.75</v>
      </c>
      <c r="I7" s="15">
        <f t="shared" si="2"/>
        <v>343.41</v>
      </c>
      <c r="J7" s="15">
        <f t="shared" si="2"/>
        <v>346.07</v>
      </c>
      <c r="K7" s="15">
        <f t="shared" si="2"/>
        <v>348.73</v>
      </c>
      <c r="L7" s="15">
        <f t="shared" si="2"/>
        <v>351.39</v>
      </c>
      <c r="M7" s="15">
        <f t="shared" si="2"/>
        <v>354.05</v>
      </c>
      <c r="N7" s="15">
        <f t="shared" si="2"/>
        <v>356.71</v>
      </c>
      <c r="O7" s="15">
        <f t="shared" si="2"/>
        <v>359.37</v>
      </c>
      <c r="P7" s="15">
        <v>362.03</v>
      </c>
      <c r="Q7" s="9">
        <v>364.68</v>
      </c>
      <c r="R7" s="9">
        <f t="shared" ref="R7:AA8" si="4">ROUND(Q7+$F7,2)</f>
        <v>367.34</v>
      </c>
      <c r="S7" s="9">
        <f t="shared" si="4"/>
        <v>370</v>
      </c>
      <c r="T7" s="9">
        <f t="shared" si="4"/>
        <v>372.66</v>
      </c>
      <c r="U7" s="9">
        <f t="shared" si="4"/>
        <v>375.32</v>
      </c>
      <c r="V7" s="9">
        <f t="shared" si="4"/>
        <v>377.98</v>
      </c>
      <c r="W7" s="9">
        <f t="shared" si="4"/>
        <v>380.64</v>
      </c>
      <c r="X7" s="9">
        <f t="shared" si="4"/>
        <v>383.3</v>
      </c>
      <c r="Y7" s="9">
        <f t="shared" si="4"/>
        <v>385.96</v>
      </c>
      <c r="Z7" s="9">
        <f t="shared" si="4"/>
        <v>388.62</v>
      </c>
      <c r="AA7" s="142">
        <f t="shared" si="4"/>
        <v>391.28</v>
      </c>
    </row>
    <row r="8" spans="2:27" s="8" customFormat="1" ht="14.5" thickBot="1">
      <c r="B8" s="143" t="s">
        <v>568</v>
      </c>
      <c r="C8" s="144" t="s">
        <v>569</v>
      </c>
      <c r="D8" s="145" t="s">
        <v>570</v>
      </c>
      <c r="E8" s="144" t="s">
        <v>573</v>
      </c>
      <c r="F8" s="146">
        <v>2.66</v>
      </c>
      <c r="G8" s="146">
        <f t="shared" si="2"/>
        <v>348.88</v>
      </c>
      <c r="H8" s="146">
        <f t="shared" si="2"/>
        <v>351.54</v>
      </c>
      <c r="I8" s="146">
        <f t="shared" si="2"/>
        <v>354.2</v>
      </c>
      <c r="J8" s="146">
        <f t="shared" si="2"/>
        <v>356.86</v>
      </c>
      <c r="K8" s="146">
        <f t="shared" si="2"/>
        <v>359.52</v>
      </c>
      <c r="L8" s="146">
        <f t="shared" si="2"/>
        <v>362.18</v>
      </c>
      <c r="M8" s="146">
        <f t="shared" si="2"/>
        <v>364.84</v>
      </c>
      <c r="N8" s="146">
        <f t="shared" si="2"/>
        <v>367.5</v>
      </c>
      <c r="O8" s="146">
        <f t="shared" si="2"/>
        <v>370.16</v>
      </c>
      <c r="P8" s="146">
        <v>372.82</v>
      </c>
      <c r="Q8" s="147">
        <v>375.48</v>
      </c>
      <c r="R8" s="147">
        <f t="shared" si="4"/>
        <v>378.14</v>
      </c>
      <c r="S8" s="147">
        <f t="shared" si="4"/>
        <v>380.8</v>
      </c>
      <c r="T8" s="147">
        <f t="shared" si="4"/>
        <v>383.46</v>
      </c>
      <c r="U8" s="147">
        <f t="shared" si="4"/>
        <v>386.12</v>
      </c>
      <c r="V8" s="147">
        <f t="shared" si="4"/>
        <v>388.78</v>
      </c>
      <c r="W8" s="147">
        <f t="shared" si="4"/>
        <v>391.44</v>
      </c>
      <c r="X8" s="147">
        <f t="shared" si="4"/>
        <v>394.1</v>
      </c>
      <c r="Y8" s="147">
        <f t="shared" si="4"/>
        <v>396.76</v>
      </c>
      <c r="Z8" s="147">
        <f t="shared" si="4"/>
        <v>399.42</v>
      </c>
      <c r="AA8" s="148">
        <f t="shared" si="4"/>
        <v>402.08</v>
      </c>
    </row>
    <row r="9" spans="2:27">
      <c r="B9" s="14" t="s">
        <v>574</v>
      </c>
    </row>
    <row r="10" spans="2:27">
      <c r="B10" s="14" t="s">
        <v>575</v>
      </c>
      <c r="G10" s="149"/>
      <c r="H10" s="149"/>
      <c r="I10" s="149"/>
      <c r="J10" s="149"/>
      <c r="K10" s="149"/>
      <c r="L10" s="149"/>
      <c r="M10" s="149"/>
      <c r="N10" s="149"/>
      <c r="O10" s="149"/>
      <c r="P10" s="149"/>
    </row>
    <row r="11" spans="2:27">
      <c r="B11" s="14" t="s">
        <v>576</v>
      </c>
    </row>
    <row r="12" spans="2:27">
      <c r="G12" s="149"/>
      <c r="H12" s="149"/>
      <c r="I12" s="149"/>
      <c r="J12" s="149"/>
      <c r="K12" s="149"/>
      <c r="L12" s="149"/>
      <c r="M12" s="149"/>
      <c r="N12" s="149"/>
      <c r="O12" s="149"/>
      <c r="P12" s="149"/>
    </row>
    <row r="14" spans="2:27">
      <c r="B14" s="7" t="s">
        <v>562</v>
      </c>
      <c r="C14" s="7" t="s">
        <v>563</v>
      </c>
    </row>
    <row r="15" spans="2:27">
      <c r="B15" s="132" t="s">
        <v>564</v>
      </c>
    </row>
    <row r="16" spans="2:27">
      <c r="B16" s="133" t="s">
        <v>565</v>
      </c>
    </row>
    <row r="17" spans="2:30">
      <c r="B17" s="14" t="s">
        <v>577</v>
      </c>
    </row>
    <row r="19" spans="2:30">
      <c r="B19" s="14" t="s">
        <v>578</v>
      </c>
    </row>
    <row r="20" spans="2:30">
      <c r="B20" s="14" t="s">
        <v>579</v>
      </c>
    </row>
    <row r="21" spans="2:30" ht="14.5" thickBot="1"/>
    <row r="22" spans="2:30" s="139" customFormat="1">
      <c r="B22" s="134" t="s">
        <v>255</v>
      </c>
      <c r="C22" s="135" t="s">
        <v>580</v>
      </c>
      <c r="D22" s="135" t="s">
        <v>567</v>
      </c>
      <c r="E22" s="135" t="s">
        <v>256</v>
      </c>
      <c r="F22" s="136" t="s">
        <v>18</v>
      </c>
      <c r="G22" s="136">
        <f t="shared" ref="G22:O22" si="5">H22-1000</f>
        <v>60000</v>
      </c>
      <c r="H22" s="136">
        <f t="shared" si="5"/>
        <v>61000</v>
      </c>
      <c r="I22" s="136">
        <f t="shared" si="5"/>
        <v>62000</v>
      </c>
      <c r="J22" s="136">
        <f t="shared" si="5"/>
        <v>63000</v>
      </c>
      <c r="K22" s="136">
        <f t="shared" si="5"/>
        <v>64000</v>
      </c>
      <c r="L22" s="136">
        <f t="shared" si="5"/>
        <v>65000</v>
      </c>
      <c r="M22" s="136">
        <f t="shared" si="5"/>
        <v>66000</v>
      </c>
      <c r="N22" s="136">
        <f t="shared" si="5"/>
        <v>67000</v>
      </c>
      <c r="O22" s="136">
        <f t="shared" si="5"/>
        <v>68000</v>
      </c>
      <c r="P22" s="136">
        <v>69000</v>
      </c>
      <c r="Q22" s="137">
        <v>70000</v>
      </c>
      <c r="R22" s="137">
        <v>71000</v>
      </c>
      <c r="S22" s="137">
        <f>R22+1000</f>
        <v>72000</v>
      </c>
      <c r="T22" s="137">
        <f t="shared" ref="T22:AA22" si="6">S22+1000</f>
        <v>73000</v>
      </c>
      <c r="U22" s="137">
        <f t="shared" si="6"/>
        <v>74000</v>
      </c>
      <c r="V22" s="137">
        <f t="shared" si="6"/>
        <v>75000</v>
      </c>
      <c r="W22" s="137">
        <f t="shared" si="6"/>
        <v>76000</v>
      </c>
      <c r="X22" s="137">
        <f t="shared" si="6"/>
        <v>77000</v>
      </c>
      <c r="Y22" s="137">
        <f t="shared" si="6"/>
        <v>78000</v>
      </c>
      <c r="Z22" s="137">
        <f t="shared" si="6"/>
        <v>79000</v>
      </c>
      <c r="AA22" s="138">
        <f t="shared" si="6"/>
        <v>80000</v>
      </c>
    </row>
    <row r="23" spans="2:30">
      <c r="B23" s="140" t="s">
        <v>568</v>
      </c>
      <c r="C23" s="13" t="s">
        <v>581</v>
      </c>
      <c r="D23" s="141" t="s">
        <v>570</v>
      </c>
      <c r="E23" s="13" t="s">
        <v>571</v>
      </c>
      <c r="F23" s="15">
        <v>2.63</v>
      </c>
      <c r="G23" s="15">
        <f t="shared" ref="G23:O25" si="7">ROUND(H23-$F23,2)</f>
        <v>327.24</v>
      </c>
      <c r="H23" s="15">
        <f t="shared" si="7"/>
        <v>329.87</v>
      </c>
      <c r="I23" s="15">
        <f t="shared" si="7"/>
        <v>332.5</v>
      </c>
      <c r="J23" s="15">
        <f t="shared" si="7"/>
        <v>335.13</v>
      </c>
      <c r="K23" s="15">
        <f t="shared" si="7"/>
        <v>337.76</v>
      </c>
      <c r="L23" s="15">
        <f t="shared" si="7"/>
        <v>340.39</v>
      </c>
      <c r="M23" s="15">
        <f t="shared" si="7"/>
        <v>343.02</v>
      </c>
      <c r="N23" s="15">
        <f t="shared" si="7"/>
        <v>345.65</v>
      </c>
      <c r="O23" s="15">
        <f>ROUND(P23-$F23,2)</f>
        <v>348.28</v>
      </c>
      <c r="P23" s="15">
        <v>350.91</v>
      </c>
      <c r="Q23" s="9">
        <v>353.54</v>
      </c>
      <c r="R23" s="9">
        <f>ROUND(Q23+$F23,2)</f>
        <v>356.17</v>
      </c>
      <c r="S23" s="9">
        <f t="shared" ref="S23:AA23" si="8">ROUND(R23+$F23,2)</f>
        <v>358.8</v>
      </c>
      <c r="T23" s="9">
        <f t="shared" si="8"/>
        <v>361.43</v>
      </c>
      <c r="U23" s="9">
        <f t="shared" si="8"/>
        <v>364.06</v>
      </c>
      <c r="V23" s="9">
        <f t="shared" si="8"/>
        <v>366.69</v>
      </c>
      <c r="W23" s="9">
        <f t="shared" si="8"/>
        <v>369.32</v>
      </c>
      <c r="X23" s="9">
        <f t="shared" si="8"/>
        <v>371.95</v>
      </c>
      <c r="Y23" s="9">
        <f t="shared" si="8"/>
        <v>374.58</v>
      </c>
      <c r="Z23" s="9">
        <f t="shared" si="8"/>
        <v>377.21</v>
      </c>
      <c r="AA23" s="142">
        <f t="shared" si="8"/>
        <v>379.84</v>
      </c>
    </row>
    <row r="24" spans="2:30">
      <c r="B24" s="140" t="s">
        <v>568</v>
      </c>
      <c r="C24" s="13" t="s">
        <v>581</v>
      </c>
      <c r="D24" s="141" t="s">
        <v>570</v>
      </c>
      <c r="E24" s="13" t="s">
        <v>572</v>
      </c>
      <c r="F24" s="15">
        <v>2.63</v>
      </c>
      <c r="G24" s="15">
        <f t="shared" si="7"/>
        <v>337.01</v>
      </c>
      <c r="H24" s="15">
        <f t="shared" si="7"/>
        <v>339.64</v>
      </c>
      <c r="I24" s="15">
        <f t="shared" si="7"/>
        <v>342.27</v>
      </c>
      <c r="J24" s="15">
        <f t="shared" si="7"/>
        <v>344.9</v>
      </c>
      <c r="K24" s="15">
        <f t="shared" si="7"/>
        <v>347.53</v>
      </c>
      <c r="L24" s="15">
        <f t="shared" si="7"/>
        <v>350.16</v>
      </c>
      <c r="M24" s="15">
        <f t="shared" si="7"/>
        <v>352.79</v>
      </c>
      <c r="N24" s="15">
        <f t="shared" si="7"/>
        <v>355.42</v>
      </c>
      <c r="O24" s="15">
        <f t="shared" si="7"/>
        <v>358.05</v>
      </c>
      <c r="P24" s="15">
        <v>360.68</v>
      </c>
      <c r="Q24" s="9">
        <v>263.31</v>
      </c>
      <c r="R24" s="9">
        <f t="shared" ref="R24:AA25" si="9">ROUND(Q24+$F24,2)</f>
        <v>265.94</v>
      </c>
      <c r="S24" s="9">
        <f t="shared" si="9"/>
        <v>268.57</v>
      </c>
      <c r="T24" s="9">
        <f t="shared" si="9"/>
        <v>271.2</v>
      </c>
      <c r="U24" s="9">
        <f t="shared" si="9"/>
        <v>273.83</v>
      </c>
      <c r="V24" s="9">
        <f t="shared" si="9"/>
        <v>276.45999999999998</v>
      </c>
      <c r="W24" s="9">
        <f t="shared" si="9"/>
        <v>279.08999999999997</v>
      </c>
      <c r="X24" s="9">
        <f t="shared" si="9"/>
        <v>281.72000000000003</v>
      </c>
      <c r="Y24" s="9">
        <f t="shared" si="9"/>
        <v>284.35000000000002</v>
      </c>
      <c r="Z24" s="9">
        <f t="shared" si="9"/>
        <v>286.98</v>
      </c>
      <c r="AA24" s="142">
        <f t="shared" si="9"/>
        <v>289.61</v>
      </c>
    </row>
    <row r="25" spans="2:30" ht="14.5" thickBot="1">
      <c r="B25" s="143" t="s">
        <v>568</v>
      </c>
      <c r="C25" s="144" t="s">
        <v>581</v>
      </c>
      <c r="D25" s="145" t="s">
        <v>570</v>
      </c>
      <c r="E25" s="144" t="s">
        <v>573</v>
      </c>
      <c r="F25" s="146">
        <v>2.63</v>
      </c>
      <c r="G25" s="146">
        <f t="shared" si="7"/>
        <v>347.82</v>
      </c>
      <c r="H25" s="146">
        <f t="shared" si="7"/>
        <v>350.45</v>
      </c>
      <c r="I25" s="146">
        <f t="shared" si="7"/>
        <v>353.08</v>
      </c>
      <c r="J25" s="146">
        <f t="shared" si="7"/>
        <v>355.71</v>
      </c>
      <c r="K25" s="146">
        <f t="shared" si="7"/>
        <v>358.34</v>
      </c>
      <c r="L25" s="146">
        <f t="shared" si="7"/>
        <v>360.97</v>
      </c>
      <c r="M25" s="146">
        <f t="shared" si="7"/>
        <v>363.6</v>
      </c>
      <c r="N25" s="146">
        <f t="shared" si="7"/>
        <v>366.23</v>
      </c>
      <c r="O25" s="146">
        <f t="shared" si="7"/>
        <v>368.86</v>
      </c>
      <c r="P25" s="146">
        <v>371.49</v>
      </c>
      <c r="Q25" s="156">
        <v>374.12</v>
      </c>
      <c r="R25" s="156">
        <f t="shared" si="9"/>
        <v>376.75</v>
      </c>
      <c r="S25" s="156">
        <f t="shared" si="9"/>
        <v>379.38</v>
      </c>
      <c r="T25" s="156">
        <f t="shared" si="9"/>
        <v>382.01</v>
      </c>
      <c r="U25" s="156">
        <f t="shared" si="9"/>
        <v>384.64</v>
      </c>
      <c r="V25" s="156">
        <f t="shared" si="9"/>
        <v>387.27</v>
      </c>
      <c r="W25" s="156">
        <f t="shared" si="9"/>
        <v>389.9</v>
      </c>
      <c r="X25" s="156">
        <f t="shared" si="9"/>
        <v>392.53</v>
      </c>
      <c r="Y25" s="156">
        <f t="shared" si="9"/>
        <v>395.16</v>
      </c>
      <c r="Z25" s="156">
        <f t="shared" si="9"/>
        <v>397.79</v>
      </c>
      <c r="AA25" s="157">
        <f t="shared" si="9"/>
        <v>400.42</v>
      </c>
    </row>
    <row r="28" spans="2:30" ht="14.5" thickBot="1">
      <c r="B28" s="14" t="s">
        <v>582</v>
      </c>
    </row>
    <row r="29" spans="2:30" s="139" customFormat="1">
      <c r="B29" s="134" t="s">
        <v>255</v>
      </c>
      <c r="C29" s="135" t="s">
        <v>566</v>
      </c>
      <c r="D29" s="135" t="s">
        <v>567</v>
      </c>
      <c r="E29" s="135" t="s">
        <v>256</v>
      </c>
      <c r="F29" s="136" t="s">
        <v>18</v>
      </c>
      <c r="G29" s="136">
        <f t="shared" ref="G29:O29" si="10">H29-1000</f>
        <v>60000</v>
      </c>
      <c r="H29" s="136">
        <f t="shared" si="10"/>
        <v>61000</v>
      </c>
      <c r="I29" s="136">
        <f t="shared" si="10"/>
        <v>62000</v>
      </c>
      <c r="J29" s="136">
        <f t="shared" si="10"/>
        <v>63000</v>
      </c>
      <c r="K29" s="136">
        <f t="shared" si="10"/>
        <v>64000</v>
      </c>
      <c r="L29" s="136">
        <f t="shared" si="10"/>
        <v>65000</v>
      </c>
      <c r="M29" s="136">
        <f t="shared" si="10"/>
        <v>66000</v>
      </c>
      <c r="N29" s="136">
        <f t="shared" si="10"/>
        <v>67000</v>
      </c>
      <c r="O29" s="136">
        <f t="shared" si="10"/>
        <v>68000</v>
      </c>
      <c r="P29" s="136">
        <v>69000</v>
      </c>
      <c r="Q29" s="137">
        <v>70000</v>
      </c>
      <c r="R29" s="137">
        <v>71000</v>
      </c>
      <c r="S29" s="137">
        <f>R29+1000</f>
        <v>72000</v>
      </c>
      <c r="T29" s="137">
        <f t="shared" ref="T29:AA29" si="11">S29+1000</f>
        <v>73000</v>
      </c>
      <c r="U29" s="137">
        <f t="shared" si="11"/>
        <v>74000</v>
      </c>
      <c r="V29" s="137">
        <f t="shared" si="11"/>
        <v>75000</v>
      </c>
      <c r="W29" s="137">
        <f t="shared" si="11"/>
        <v>76000</v>
      </c>
      <c r="X29" s="137">
        <f t="shared" si="11"/>
        <v>77000</v>
      </c>
      <c r="Y29" s="137">
        <f t="shared" si="11"/>
        <v>78000</v>
      </c>
      <c r="Z29" s="137">
        <f t="shared" si="11"/>
        <v>79000</v>
      </c>
      <c r="AA29" s="138">
        <f t="shared" si="11"/>
        <v>80000</v>
      </c>
      <c r="AB29" s="293">
        <v>81000</v>
      </c>
      <c r="AC29" s="293">
        <v>82000</v>
      </c>
      <c r="AD29" s="293">
        <v>83000</v>
      </c>
    </row>
    <row r="30" spans="2:30">
      <c r="B30" s="140" t="s">
        <v>568</v>
      </c>
      <c r="C30" s="344" t="s">
        <v>583</v>
      </c>
      <c r="D30" s="141" t="s">
        <v>570</v>
      </c>
      <c r="E30" s="13" t="s">
        <v>571</v>
      </c>
      <c r="F30" s="15">
        <v>2.48</v>
      </c>
      <c r="G30" s="15">
        <f t="shared" ref="G30:O32" si="12">ROUND(H30-$F30,2)</f>
        <v>318.54000000000002</v>
      </c>
      <c r="H30" s="15">
        <f t="shared" si="12"/>
        <v>321.02</v>
      </c>
      <c r="I30" s="15">
        <f>ROUND(J30-$F30,2)</f>
        <v>323.5</v>
      </c>
      <c r="J30" s="15">
        <f t="shared" si="12"/>
        <v>325.98</v>
      </c>
      <c r="K30" s="15">
        <f t="shared" si="12"/>
        <v>328.46</v>
      </c>
      <c r="L30" s="15">
        <f t="shared" si="12"/>
        <v>330.94</v>
      </c>
      <c r="M30" s="15">
        <f t="shared" si="12"/>
        <v>333.42</v>
      </c>
      <c r="N30" s="15">
        <f t="shared" si="12"/>
        <v>335.9</v>
      </c>
      <c r="O30" s="15">
        <f>ROUND(P30-$F30,2)</f>
        <v>338.38</v>
      </c>
      <c r="P30" s="15">
        <v>340.86</v>
      </c>
      <c r="Q30" s="9">
        <v>343.34</v>
      </c>
      <c r="R30" s="9">
        <f>ROUND(Q30+$F30,2)</f>
        <v>345.82</v>
      </c>
      <c r="S30" s="9">
        <f t="shared" ref="S30:AA30" si="13">ROUND(R30+$F30,2)</f>
        <v>348.3</v>
      </c>
      <c r="T30" s="9">
        <f t="shared" si="13"/>
        <v>350.78</v>
      </c>
      <c r="U30" s="9">
        <f t="shared" si="13"/>
        <v>353.26</v>
      </c>
      <c r="V30" s="9">
        <f t="shared" si="13"/>
        <v>355.74</v>
      </c>
      <c r="W30" s="9">
        <f t="shared" si="13"/>
        <v>358.22</v>
      </c>
      <c r="X30" s="9">
        <f t="shared" si="13"/>
        <v>360.7</v>
      </c>
      <c r="Y30" s="9">
        <f t="shared" si="13"/>
        <v>363.18</v>
      </c>
      <c r="Z30" s="9">
        <f t="shared" si="13"/>
        <v>365.66</v>
      </c>
      <c r="AA30" s="142">
        <f t="shared" si="13"/>
        <v>368.14</v>
      </c>
      <c r="AB30" s="142">
        <f t="shared" ref="AB30" si="14">ROUND(AA30+$F30,2)</f>
        <v>370.62</v>
      </c>
      <c r="AC30" s="142">
        <f t="shared" ref="AC30" si="15">ROUND(AB30+$F30,2)</f>
        <v>373.1</v>
      </c>
      <c r="AD30" s="142">
        <f t="shared" ref="AD30" si="16">ROUND(AC30+$F30,2)</f>
        <v>375.58</v>
      </c>
    </row>
    <row r="31" spans="2:30">
      <c r="B31" s="140" t="s">
        <v>568</v>
      </c>
      <c r="C31" s="344" t="s">
        <v>583</v>
      </c>
      <c r="D31" s="141" t="s">
        <v>570</v>
      </c>
      <c r="E31" s="13" t="s">
        <v>572</v>
      </c>
      <c r="F31" s="15">
        <v>2.48</v>
      </c>
      <c r="G31" s="15">
        <f t="shared" si="12"/>
        <v>328.03</v>
      </c>
      <c r="H31" s="15">
        <f t="shared" si="12"/>
        <v>330.51</v>
      </c>
      <c r="I31" s="15">
        <f t="shared" si="12"/>
        <v>332.99</v>
      </c>
      <c r="J31" s="15">
        <f t="shared" si="12"/>
        <v>335.47</v>
      </c>
      <c r="K31" s="15">
        <f t="shared" si="12"/>
        <v>337.95</v>
      </c>
      <c r="L31" s="15">
        <f t="shared" si="12"/>
        <v>340.43</v>
      </c>
      <c r="M31" s="15">
        <f t="shared" si="12"/>
        <v>342.91</v>
      </c>
      <c r="N31" s="15">
        <f t="shared" si="12"/>
        <v>345.39</v>
      </c>
      <c r="O31" s="15">
        <f t="shared" si="12"/>
        <v>347.87</v>
      </c>
      <c r="P31" s="15">
        <v>350.35</v>
      </c>
      <c r="Q31" s="9">
        <v>352.83</v>
      </c>
      <c r="R31" s="9">
        <f t="shared" ref="R31:AA31" si="17">ROUND(Q31+$F31,2)</f>
        <v>355.31</v>
      </c>
      <c r="S31" s="9">
        <f t="shared" si="17"/>
        <v>357.79</v>
      </c>
      <c r="T31" s="9">
        <f t="shared" si="17"/>
        <v>360.27</v>
      </c>
      <c r="U31" s="9">
        <f t="shared" si="17"/>
        <v>362.75</v>
      </c>
      <c r="V31" s="9">
        <f t="shared" si="17"/>
        <v>365.23</v>
      </c>
      <c r="W31" s="9">
        <f t="shared" si="17"/>
        <v>367.71</v>
      </c>
      <c r="X31" s="9">
        <f t="shared" si="17"/>
        <v>370.19</v>
      </c>
      <c r="Y31" s="9">
        <f t="shared" si="17"/>
        <v>372.67</v>
      </c>
      <c r="Z31" s="9">
        <f t="shared" si="17"/>
        <v>375.15</v>
      </c>
      <c r="AA31" s="142">
        <f t="shared" si="17"/>
        <v>377.63</v>
      </c>
    </row>
    <row r="32" spans="2:30" ht="14.5" thickBot="1">
      <c r="B32" s="143" t="s">
        <v>568</v>
      </c>
      <c r="C32" s="345" t="s">
        <v>583</v>
      </c>
      <c r="D32" s="145" t="s">
        <v>570</v>
      </c>
      <c r="E32" s="144" t="s">
        <v>573</v>
      </c>
      <c r="F32" s="146">
        <v>2.48</v>
      </c>
      <c r="G32" s="146">
        <f t="shared" si="12"/>
        <v>338.53</v>
      </c>
      <c r="H32" s="146">
        <f t="shared" si="12"/>
        <v>341.01</v>
      </c>
      <c r="I32" s="146">
        <f t="shared" si="12"/>
        <v>343.49</v>
      </c>
      <c r="J32" s="146">
        <f t="shared" si="12"/>
        <v>345.97</v>
      </c>
      <c r="K32" s="146">
        <f t="shared" si="12"/>
        <v>348.45</v>
      </c>
      <c r="L32" s="146">
        <f t="shared" si="12"/>
        <v>350.93</v>
      </c>
      <c r="M32" s="146">
        <f t="shared" si="12"/>
        <v>353.41</v>
      </c>
      <c r="N32" s="146">
        <f t="shared" si="12"/>
        <v>355.89</v>
      </c>
      <c r="O32" s="146">
        <f t="shared" si="12"/>
        <v>358.37</v>
      </c>
      <c r="P32" s="146">
        <v>360.85</v>
      </c>
      <c r="Q32" s="156">
        <f>P32+$F32</f>
        <v>363.33000000000004</v>
      </c>
      <c r="R32" s="156">
        <f t="shared" ref="R32:AA32" si="18">Q32+$F32</f>
        <v>365.81000000000006</v>
      </c>
      <c r="S32" s="156">
        <f t="shared" si="18"/>
        <v>368.29000000000008</v>
      </c>
      <c r="T32" s="156">
        <f t="shared" si="18"/>
        <v>370.7700000000001</v>
      </c>
      <c r="U32" s="156">
        <f t="shared" si="18"/>
        <v>373.25000000000011</v>
      </c>
      <c r="V32" s="156">
        <f t="shared" si="18"/>
        <v>375.73000000000013</v>
      </c>
      <c r="W32" s="156">
        <f t="shared" si="18"/>
        <v>378.21000000000015</v>
      </c>
      <c r="X32" s="156">
        <f t="shared" si="18"/>
        <v>380.69000000000017</v>
      </c>
      <c r="Y32" s="156">
        <f t="shared" si="18"/>
        <v>383.17000000000019</v>
      </c>
      <c r="Z32" s="156">
        <f t="shared" si="18"/>
        <v>385.6500000000002</v>
      </c>
      <c r="AA32" s="156">
        <f t="shared" si="18"/>
        <v>388.13000000000022</v>
      </c>
    </row>
    <row r="33" spans="2:30">
      <c r="B33" s="13"/>
      <c r="C33" s="13"/>
      <c r="D33" s="141"/>
      <c r="E33" s="13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2:30">
      <c r="B34" s="13"/>
      <c r="C34" s="13"/>
      <c r="D34" s="141"/>
      <c r="E34" s="1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2:30">
      <c r="B35" s="7" t="s">
        <v>584</v>
      </c>
      <c r="C35" s="13"/>
      <c r="D35" s="141"/>
      <c r="E35" s="13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2:30">
      <c r="B36" s="132" t="s">
        <v>564</v>
      </c>
      <c r="C36" s="13"/>
      <c r="D36" s="141"/>
      <c r="E36" s="1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2:30" ht="14.5" thickBot="1">
      <c r="B37" s="133" t="s">
        <v>585</v>
      </c>
    </row>
    <row r="38" spans="2:30" s="139" customFormat="1">
      <c r="B38" s="134" t="s">
        <v>255</v>
      </c>
      <c r="C38" s="135" t="s">
        <v>566</v>
      </c>
      <c r="D38" s="135" t="s">
        <v>567</v>
      </c>
      <c r="E38" s="135" t="s">
        <v>256</v>
      </c>
      <c r="F38" s="136" t="s">
        <v>18</v>
      </c>
      <c r="G38" s="136">
        <f t="shared" ref="G38:O38" si="19">H38-1000</f>
        <v>60000</v>
      </c>
      <c r="H38" s="136">
        <f t="shared" si="19"/>
        <v>61000</v>
      </c>
      <c r="I38" s="136">
        <f t="shared" si="19"/>
        <v>62000</v>
      </c>
      <c r="J38" s="136">
        <f t="shared" si="19"/>
        <v>63000</v>
      </c>
      <c r="K38" s="136">
        <f t="shared" si="19"/>
        <v>64000</v>
      </c>
      <c r="L38" s="136">
        <f t="shared" si="19"/>
        <v>65000</v>
      </c>
      <c r="M38" s="136">
        <f t="shared" si="19"/>
        <v>66000</v>
      </c>
      <c r="N38" s="136">
        <f t="shared" si="19"/>
        <v>67000</v>
      </c>
      <c r="O38" s="136">
        <f t="shared" si="19"/>
        <v>68000</v>
      </c>
      <c r="P38" s="136">
        <v>69000</v>
      </c>
      <c r="Q38" s="137">
        <v>70000</v>
      </c>
      <c r="R38" s="137">
        <v>71000</v>
      </c>
      <c r="S38" s="137">
        <f>R38+1000</f>
        <v>72000</v>
      </c>
      <c r="T38" s="137">
        <f t="shared" ref="T38:AA38" si="20">S38+1000</f>
        <v>73000</v>
      </c>
      <c r="U38" s="137">
        <f t="shared" si="20"/>
        <v>74000</v>
      </c>
      <c r="V38" s="137">
        <f t="shared" si="20"/>
        <v>75000</v>
      </c>
      <c r="W38" s="137">
        <f t="shared" si="20"/>
        <v>76000</v>
      </c>
      <c r="X38" s="137">
        <f t="shared" si="20"/>
        <v>77000</v>
      </c>
      <c r="Y38" s="137">
        <f t="shared" si="20"/>
        <v>78000</v>
      </c>
      <c r="Z38" s="137">
        <f t="shared" si="20"/>
        <v>79000</v>
      </c>
      <c r="AA38" s="138">
        <f t="shared" si="20"/>
        <v>80000</v>
      </c>
      <c r="AB38" s="293">
        <v>81000</v>
      </c>
      <c r="AC38" s="293">
        <v>82000</v>
      </c>
      <c r="AD38" s="293">
        <v>83000</v>
      </c>
    </row>
    <row r="39" spans="2:30">
      <c r="B39" s="150" t="s">
        <v>568</v>
      </c>
      <c r="C39" s="343" t="s">
        <v>586</v>
      </c>
      <c r="D39" s="152" t="s">
        <v>570</v>
      </c>
      <c r="E39" s="151" t="s">
        <v>571</v>
      </c>
      <c r="F39" s="15">
        <v>2.16</v>
      </c>
      <c r="G39" s="197">
        <v>285.98</v>
      </c>
      <c r="H39" s="197">
        <f t="shared" ref="H39:AA41" si="21">G39+2.16</f>
        <v>288.14000000000004</v>
      </c>
      <c r="I39" s="197">
        <f t="shared" si="21"/>
        <v>290.30000000000007</v>
      </c>
      <c r="J39" s="197">
        <f t="shared" si="21"/>
        <v>292.46000000000009</v>
      </c>
      <c r="K39" s="197">
        <f t="shared" si="21"/>
        <v>294.62000000000012</v>
      </c>
      <c r="L39" s="197">
        <f t="shared" si="21"/>
        <v>296.78000000000014</v>
      </c>
      <c r="M39" s="197">
        <f t="shared" si="21"/>
        <v>298.94000000000017</v>
      </c>
      <c r="N39" s="197">
        <f t="shared" si="21"/>
        <v>301.10000000000019</v>
      </c>
      <c r="O39" s="197">
        <f t="shared" si="21"/>
        <v>303.26000000000022</v>
      </c>
      <c r="P39" s="197">
        <f t="shared" si="21"/>
        <v>305.42000000000024</v>
      </c>
      <c r="Q39" s="197">
        <f t="shared" si="21"/>
        <v>307.58000000000027</v>
      </c>
      <c r="R39" s="197">
        <f t="shared" si="21"/>
        <v>309.74000000000029</v>
      </c>
      <c r="S39" s="197">
        <f t="shared" si="21"/>
        <v>311.90000000000032</v>
      </c>
      <c r="T39" s="197">
        <f t="shared" si="21"/>
        <v>314.06000000000034</v>
      </c>
      <c r="U39" s="197">
        <f t="shared" si="21"/>
        <v>316.22000000000037</v>
      </c>
      <c r="V39" s="197">
        <f t="shared" si="21"/>
        <v>318.38000000000039</v>
      </c>
      <c r="W39" s="197">
        <f t="shared" si="21"/>
        <v>320.54000000000042</v>
      </c>
      <c r="X39" s="197">
        <f t="shared" si="21"/>
        <v>322.70000000000044</v>
      </c>
      <c r="Y39" s="197">
        <f t="shared" si="21"/>
        <v>324.86000000000047</v>
      </c>
      <c r="Z39" s="197">
        <f t="shared" si="21"/>
        <v>327.02000000000049</v>
      </c>
      <c r="AA39" s="198">
        <f t="shared" si="21"/>
        <v>329.18000000000052</v>
      </c>
      <c r="AB39" s="198">
        <f t="shared" ref="AB39" si="22">AA39+2.16</f>
        <v>331.34000000000054</v>
      </c>
      <c r="AC39" s="198">
        <f t="shared" ref="AC39" si="23">AB39+2.16</f>
        <v>333.50000000000057</v>
      </c>
      <c r="AD39" s="198">
        <f t="shared" ref="AD39" si="24">AC39+2.16</f>
        <v>335.66000000000059</v>
      </c>
    </row>
    <row r="40" spans="2:30">
      <c r="B40" s="150" t="s">
        <v>568</v>
      </c>
      <c r="C40" s="343" t="s">
        <v>586</v>
      </c>
      <c r="D40" s="152" t="s">
        <v>570</v>
      </c>
      <c r="E40" s="151" t="s">
        <v>572</v>
      </c>
      <c r="F40" s="15">
        <v>2.16</v>
      </c>
      <c r="G40" s="197">
        <v>296.44</v>
      </c>
      <c r="H40" s="197">
        <f t="shared" si="21"/>
        <v>298.60000000000002</v>
      </c>
      <c r="I40" s="197">
        <f t="shared" si="21"/>
        <v>300.76000000000005</v>
      </c>
      <c r="J40" s="197">
        <f t="shared" si="21"/>
        <v>302.92000000000007</v>
      </c>
      <c r="K40" s="197">
        <f t="shared" si="21"/>
        <v>305.0800000000001</v>
      </c>
      <c r="L40" s="197">
        <f t="shared" si="21"/>
        <v>307.24000000000012</v>
      </c>
      <c r="M40" s="197">
        <f t="shared" si="21"/>
        <v>309.40000000000015</v>
      </c>
      <c r="N40" s="197">
        <f t="shared" si="21"/>
        <v>311.56000000000017</v>
      </c>
      <c r="O40" s="197">
        <f t="shared" si="21"/>
        <v>313.7200000000002</v>
      </c>
      <c r="P40" s="197">
        <f t="shared" si="21"/>
        <v>315.88000000000022</v>
      </c>
      <c r="Q40" s="197">
        <f t="shared" si="21"/>
        <v>318.04000000000025</v>
      </c>
      <c r="R40" s="197">
        <f t="shared" si="21"/>
        <v>320.20000000000027</v>
      </c>
      <c r="S40" s="197">
        <f t="shared" si="21"/>
        <v>322.3600000000003</v>
      </c>
      <c r="T40" s="197">
        <f t="shared" si="21"/>
        <v>324.52000000000032</v>
      </c>
      <c r="U40" s="197">
        <f t="shared" si="21"/>
        <v>326.68000000000035</v>
      </c>
      <c r="V40" s="197">
        <f t="shared" si="21"/>
        <v>328.84000000000037</v>
      </c>
      <c r="W40" s="197">
        <f t="shared" si="21"/>
        <v>331.0000000000004</v>
      </c>
      <c r="X40" s="197">
        <f t="shared" si="21"/>
        <v>333.16000000000042</v>
      </c>
      <c r="Y40" s="197">
        <f t="shared" si="21"/>
        <v>335.32000000000045</v>
      </c>
      <c r="Z40" s="197">
        <f t="shared" si="21"/>
        <v>337.48000000000047</v>
      </c>
      <c r="AA40" s="198">
        <f t="shared" si="21"/>
        <v>339.6400000000005</v>
      </c>
    </row>
    <row r="41" spans="2:30">
      <c r="B41" s="150" t="s">
        <v>568</v>
      </c>
      <c r="C41" s="343" t="s">
        <v>586</v>
      </c>
      <c r="D41" s="152" t="s">
        <v>570</v>
      </c>
      <c r="E41" s="151" t="s">
        <v>573</v>
      </c>
      <c r="F41" s="15">
        <v>2.16</v>
      </c>
      <c r="G41" s="197">
        <v>307.37</v>
      </c>
      <c r="H41" s="197">
        <f t="shared" si="21"/>
        <v>309.53000000000003</v>
      </c>
      <c r="I41" s="197">
        <f t="shared" si="21"/>
        <v>311.69000000000005</v>
      </c>
      <c r="J41" s="197">
        <f t="shared" si="21"/>
        <v>313.85000000000008</v>
      </c>
      <c r="K41" s="197">
        <f t="shared" si="21"/>
        <v>316.0100000000001</v>
      </c>
      <c r="L41" s="197">
        <f t="shared" si="21"/>
        <v>318.17000000000013</v>
      </c>
      <c r="M41" s="197">
        <f t="shared" si="21"/>
        <v>320.33000000000015</v>
      </c>
      <c r="N41" s="197">
        <f t="shared" si="21"/>
        <v>322.49000000000018</v>
      </c>
      <c r="O41" s="197">
        <f t="shared" si="21"/>
        <v>324.6500000000002</v>
      </c>
      <c r="P41" s="197">
        <f t="shared" si="21"/>
        <v>326.81000000000023</v>
      </c>
      <c r="Q41" s="197">
        <f t="shared" si="21"/>
        <v>328.97000000000025</v>
      </c>
      <c r="R41" s="197">
        <f t="shared" si="21"/>
        <v>331.13000000000028</v>
      </c>
      <c r="S41" s="197">
        <f t="shared" si="21"/>
        <v>333.2900000000003</v>
      </c>
      <c r="T41" s="197">
        <f t="shared" si="21"/>
        <v>335.45000000000033</v>
      </c>
      <c r="U41" s="197">
        <f t="shared" si="21"/>
        <v>337.61000000000035</v>
      </c>
      <c r="V41" s="197">
        <f t="shared" si="21"/>
        <v>339.77000000000038</v>
      </c>
      <c r="W41" s="197">
        <f t="shared" si="21"/>
        <v>341.9300000000004</v>
      </c>
      <c r="X41" s="197">
        <f t="shared" si="21"/>
        <v>344.09000000000043</v>
      </c>
      <c r="Y41" s="197">
        <f t="shared" si="21"/>
        <v>346.25000000000045</v>
      </c>
      <c r="Z41" s="197">
        <f t="shared" si="21"/>
        <v>348.41000000000048</v>
      </c>
      <c r="AA41" s="198">
        <f t="shared" si="21"/>
        <v>350.5700000000005</v>
      </c>
    </row>
    <row r="42" spans="2:30">
      <c r="B42" s="150"/>
      <c r="C42" s="151"/>
      <c r="D42" s="152"/>
      <c r="E42" s="151"/>
      <c r="F42" s="15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200"/>
    </row>
    <row r="43" spans="2:30">
      <c r="B43" s="150" t="s">
        <v>568</v>
      </c>
      <c r="C43" s="151" t="s">
        <v>587</v>
      </c>
      <c r="D43" s="152" t="s">
        <v>570</v>
      </c>
      <c r="E43" s="151" t="s">
        <v>571</v>
      </c>
      <c r="F43" s="15">
        <v>1.67</v>
      </c>
      <c r="G43" s="197">
        <v>267.85000000000002</v>
      </c>
      <c r="H43" s="197">
        <f t="shared" ref="H43:AA45" si="25">G43+1.67</f>
        <v>269.52000000000004</v>
      </c>
      <c r="I43" s="197">
        <f t="shared" si="25"/>
        <v>271.19000000000005</v>
      </c>
      <c r="J43" s="197">
        <f t="shared" si="25"/>
        <v>272.86000000000007</v>
      </c>
      <c r="K43" s="197">
        <f t="shared" si="25"/>
        <v>274.53000000000009</v>
      </c>
      <c r="L43" s="197">
        <f t="shared" si="25"/>
        <v>276.2000000000001</v>
      </c>
      <c r="M43" s="197">
        <f t="shared" si="25"/>
        <v>277.87000000000012</v>
      </c>
      <c r="N43" s="197">
        <f t="shared" si="25"/>
        <v>279.54000000000013</v>
      </c>
      <c r="O43" s="197">
        <f t="shared" si="25"/>
        <v>281.21000000000015</v>
      </c>
      <c r="P43" s="197">
        <f t="shared" si="25"/>
        <v>282.88000000000017</v>
      </c>
      <c r="Q43" s="197">
        <f t="shared" si="25"/>
        <v>284.55000000000018</v>
      </c>
      <c r="R43" s="197">
        <f t="shared" si="25"/>
        <v>286.2200000000002</v>
      </c>
      <c r="S43" s="197">
        <f t="shared" si="25"/>
        <v>287.89000000000021</v>
      </c>
      <c r="T43" s="197">
        <f t="shared" si="25"/>
        <v>289.56000000000023</v>
      </c>
      <c r="U43" s="197">
        <f t="shared" si="25"/>
        <v>291.23000000000025</v>
      </c>
      <c r="V43" s="197">
        <f t="shared" si="25"/>
        <v>292.90000000000026</v>
      </c>
      <c r="W43" s="197">
        <f t="shared" si="25"/>
        <v>294.57000000000028</v>
      </c>
      <c r="X43" s="197">
        <f t="shared" si="25"/>
        <v>296.24000000000029</v>
      </c>
      <c r="Y43" s="197">
        <f t="shared" si="25"/>
        <v>297.91000000000031</v>
      </c>
      <c r="Z43" s="197">
        <f t="shared" si="25"/>
        <v>299.58000000000033</v>
      </c>
      <c r="AA43" s="198">
        <f t="shared" si="25"/>
        <v>301.25000000000034</v>
      </c>
    </row>
    <row r="44" spans="2:30">
      <c r="B44" s="150" t="s">
        <v>568</v>
      </c>
      <c r="C44" s="151" t="s">
        <v>588</v>
      </c>
      <c r="D44" s="152" t="s">
        <v>570</v>
      </c>
      <c r="E44" s="151" t="s">
        <v>572</v>
      </c>
      <c r="F44" s="15">
        <v>1.67</v>
      </c>
      <c r="G44" s="197">
        <v>276.89999999999998</v>
      </c>
      <c r="H44" s="197">
        <f t="shared" si="25"/>
        <v>278.57</v>
      </c>
      <c r="I44" s="197">
        <f t="shared" si="25"/>
        <v>280.24</v>
      </c>
      <c r="J44" s="197">
        <f t="shared" si="25"/>
        <v>281.91000000000003</v>
      </c>
      <c r="K44" s="197">
        <f t="shared" si="25"/>
        <v>283.58000000000004</v>
      </c>
      <c r="L44" s="197">
        <f t="shared" si="25"/>
        <v>285.25000000000006</v>
      </c>
      <c r="M44" s="197">
        <f t="shared" si="25"/>
        <v>286.92000000000007</v>
      </c>
      <c r="N44" s="197">
        <f t="shared" si="25"/>
        <v>288.59000000000009</v>
      </c>
      <c r="O44" s="197">
        <f t="shared" si="25"/>
        <v>290.2600000000001</v>
      </c>
      <c r="P44" s="197">
        <f t="shared" si="25"/>
        <v>291.93000000000012</v>
      </c>
      <c r="Q44" s="197">
        <f t="shared" si="25"/>
        <v>293.60000000000014</v>
      </c>
      <c r="R44" s="197">
        <f t="shared" si="25"/>
        <v>295.27000000000015</v>
      </c>
      <c r="S44" s="197">
        <f t="shared" si="25"/>
        <v>296.94000000000017</v>
      </c>
      <c r="T44" s="197">
        <f t="shared" si="25"/>
        <v>298.61000000000018</v>
      </c>
      <c r="U44" s="197">
        <f t="shared" si="25"/>
        <v>300.2800000000002</v>
      </c>
      <c r="V44" s="197">
        <f t="shared" si="25"/>
        <v>301.95000000000022</v>
      </c>
      <c r="W44" s="197">
        <f t="shared" si="25"/>
        <v>303.62000000000023</v>
      </c>
      <c r="X44" s="197">
        <f t="shared" si="25"/>
        <v>305.29000000000025</v>
      </c>
      <c r="Y44" s="197">
        <f t="shared" si="25"/>
        <v>306.96000000000026</v>
      </c>
      <c r="Z44" s="197">
        <f t="shared" si="25"/>
        <v>308.63000000000028</v>
      </c>
      <c r="AA44" s="198">
        <f t="shared" si="25"/>
        <v>310.3000000000003</v>
      </c>
    </row>
    <row r="45" spans="2:30">
      <c r="B45" s="150" t="s">
        <v>568</v>
      </c>
      <c r="C45" s="151" t="s">
        <v>588</v>
      </c>
      <c r="D45" s="152" t="s">
        <v>570</v>
      </c>
      <c r="E45" s="151" t="s">
        <v>573</v>
      </c>
      <c r="F45" s="15">
        <v>1.67</v>
      </c>
      <c r="G45" s="197">
        <v>286.83999999999997</v>
      </c>
      <c r="H45" s="197">
        <f t="shared" si="25"/>
        <v>288.51</v>
      </c>
      <c r="I45" s="197">
        <f t="shared" si="25"/>
        <v>290.18</v>
      </c>
      <c r="J45" s="197">
        <f t="shared" si="25"/>
        <v>291.85000000000002</v>
      </c>
      <c r="K45" s="197">
        <f t="shared" si="25"/>
        <v>293.52000000000004</v>
      </c>
      <c r="L45" s="197">
        <f t="shared" si="25"/>
        <v>295.19000000000005</v>
      </c>
      <c r="M45" s="197">
        <f t="shared" si="25"/>
        <v>296.86000000000007</v>
      </c>
      <c r="N45" s="197">
        <f t="shared" si="25"/>
        <v>298.53000000000009</v>
      </c>
      <c r="O45" s="197">
        <f t="shared" si="25"/>
        <v>300.2000000000001</v>
      </c>
      <c r="P45" s="197">
        <f t="shared" si="25"/>
        <v>301.87000000000012</v>
      </c>
      <c r="Q45" s="197">
        <f t="shared" si="25"/>
        <v>303.54000000000013</v>
      </c>
      <c r="R45" s="197">
        <f t="shared" si="25"/>
        <v>305.21000000000015</v>
      </c>
      <c r="S45" s="197">
        <f t="shared" si="25"/>
        <v>306.88000000000017</v>
      </c>
      <c r="T45" s="197">
        <f t="shared" si="25"/>
        <v>308.55000000000018</v>
      </c>
      <c r="U45" s="197">
        <f t="shared" si="25"/>
        <v>310.2200000000002</v>
      </c>
      <c r="V45" s="197">
        <f t="shared" si="25"/>
        <v>311.89000000000021</v>
      </c>
      <c r="W45" s="197">
        <f t="shared" si="25"/>
        <v>313.56000000000023</v>
      </c>
      <c r="X45" s="197">
        <f t="shared" si="25"/>
        <v>315.23000000000025</v>
      </c>
      <c r="Y45" s="197">
        <f t="shared" si="25"/>
        <v>316.90000000000026</v>
      </c>
      <c r="Z45" s="197">
        <f t="shared" si="25"/>
        <v>318.57000000000028</v>
      </c>
      <c r="AA45" s="198">
        <f t="shared" si="25"/>
        <v>320.24000000000029</v>
      </c>
    </row>
    <row r="46" spans="2:30">
      <c r="B46" s="150"/>
      <c r="C46" s="151"/>
      <c r="D46" s="152"/>
      <c r="E46" s="151"/>
      <c r="F46" s="15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200"/>
    </row>
    <row r="47" spans="2:30">
      <c r="B47" s="150" t="s">
        <v>568</v>
      </c>
      <c r="C47" s="151" t="s">
        <v>589</v>
      </c>
      <c r="D47" s="152" t="s">
        <v>570</v>
      </c>
      <c r="E47" s="151" t="s">
        <v>571</v>
      </c>
      <c r="F47" s="15">
        <v>1.48</v>
      </c>
      <c r="G47" s="197">
        <v>254.93</v>
      </c>
      <c r="H47" s="197">
        <f t="shared" ref="H47:AA49" si="26">G47+1.48</f>
        <v>256.41000000000003</v>
      </c>
      <c r="I47" s="197">
        <f t="shared" si="26"/>
        <v>257.89000000000004</v>
      </c>
      <c r="J47" s="197">
        <f t="shared" si="26"/>
        <v>259.37000000000006</v>
      </c>
      <c r="K47" s="197">
        <f t="shared" si="26"/>
        <v>260.85000000000008</v>
      </c>
      <c r="L47" s="197">
        <f t="shared" si="26"/>
        <v>262.3300000000001</v>
      </c>
      <c r="M47" s="197">
        <f t="shared" si="26"/>
        <v>263.81000000000012</v>
      </c>
      <c r="N47" s="197">
        <f t="shared" si="26"/>
        <v>265.29000000000013</v>
      </c>
      <c r="O47" s="197">
        <f t="shared" si="26"/>
        <v>266.77000000000015</v>
      </c>
      <c r="P47" s="197">
        <f t="shared" si="26"/>
        <v>268.25000000000017</v>
      </c>
      <c r="Q47" s="197">
        <f t="shared" si="26"/>
        <v>269.73000000000019</v>
      </c>
      <c r="R47" s="197">
        <f t="shared" si="26"/>
        <v>271.21000000000021</v>
      </c>
      <c r="S47" s="197">
        <f t="shared" si="26"/>
        <v>272.69000000000023</v>
      </c>
      <c r="T47" s="197">
        <f t="shared" si="26"/>
        <v>274.17000000000024</v>
      </c>
      <c r="U47" s="197">
        <f t="shared" si="26"/>
        <v>275.65000000000026</v>
      </c>
      <c r="V47" s="197">
        <f t="shared" si="26"/>
        <v>277.13000000000028</v>
      </c>
      <c r="W47" s="197">
        <f t="shared" si="26"/>
        <v>278.6100000000003</v>
      </c>
      <c r="X47" s="197">
        <f t="shared" si="26"/>
        <v>280.09000000000032</v>
      </c>
      <c r="Y47" s="197">
        <f t="shared" si="26"/>
        <v>281.57000000000033</v>
      </c>
      <c r="Z47" s="197">
        <f t="shared" si="26"/>
        <v>283.05000000000035</v>
      </c>
      <c r="AA47" s="198">
        <f t="shared" si="26"/>
        <v>284.53000000000037</v>
      </c>
    </row>
    <row r="48" spans="2:30">
      <c r="B48" s="150" t="s">
        <v>568</v>
      </c>
      <c r="C48" s="151" t="s">
        <v>589</v>
      </c>
      <c r="D48" s="152" t="s">
        <v>570</v>
      </c>
      <c r="E48" s="151" t="s">
        <v>572</v>
      </c>
      <c r="F48" s="15">
        <v>1.48</v>
      </c>
      <c r="G48" s="197">
        <v>263.98</v>
      </c>
      <c r="H48" s="197">
        <f t="shared" si="26"/>
        <v>265.46000000000004</v>
      </c>
      <c r="I48" s="197">
        <f t="shared" si="26"/>
        <v>266.94000000000005</v>
      </c>
      <c r="J48" s="197">
        <f t="shared" si="26"/>
        <v>268.42000000000007</v>
      </c>
      <c r="K48" s="197">
        <f t="shared" si="26"/>
        <v>269.90000000000009</v>
      </c>
      <c r="L48" s="197">
        <f t="shared" si="26"/>
        <v>271.38000000000011</v>
      </c>
      <c r="M48" s="197">
        <f t="shared" si="26"/>
        <v>272.86000000000013</v>
      </c>
      <c r="N48" s="197">
        <f t="shared" si="26"/>
        <v>274.34000000000015</v>
      </c>
      <c r="O48" s="197">
        <f t="shared" si="26"/>
        <v>275.82000000000016</v>
      </c>
      <c r="P48" s="197">
        <f t="shared" si="26"/>
        <v>277.30000000000018</v>
      </c>
      <c r="Q48" s="197">
        <f t="shared" si="26"/>
        <v>278.7800000000002</v>
      </c>
      <c r="R48" s="197">
        <f t="shared" si="26"/>
        <v>280.26000000000022</v>
      </c>
      <c r="S48" s="197">
        <f t="shared" si="26"/>
        <v>281.74000000000024</v>
      </c>
      <c r="T48" s="197">
        <f t="shared" si="26"/>
        <v>283.22000000000025</v>
      </c>
      <c r="U48" s="197">
        <f t="shared" si="26"/>
        <v>284.70000000000027</v>
      </c>
      <c r="V48" s="197">
        <f t="shared" si="26"/>
        <v>286.18000000000029</v>
      </c>
      <c r="W48" s="197">
        <f t="shared" si="26"/>
        <v>287.66000000000031</v>
      </c>
      <c r="X48" s="197">
        <f t="shared" si="26"/>
        <v>289.14000000000033</v>
      </c>
      <c r="Y48" s="197">
        <f t="shared" si="26"/>
        <v>290.62000000000035</v>
      </c>
      <c r="Z48" s="197">
        <f t="shared" si="26"/>
        <v>292.10000000000036</v>
      </c>
      <c r="AA48" s="198">
        <f t="shared" si="26"/>
        <v>293.58000000000038</v>
      </c>
    </row>
    <row r="49" spans="2:27" ht="14.5" thickBot="1">
      <c r="B49" s="153" t="s">
        <v>568</v>
      </c>
      <c r="C49" s="154" t="s">
        <v>589</v>
      </c>
      <c r="D49" s="155" t="s">
        <v>570</v>
      </c>
      <c r="E49" s="154" t="s">
        <v>573</v>
      </c>
      <c r="F49" s="156">
        <v>1.48</v>
      </c>
      <c r="G49" s="201">
        <v>273.92</v>
      </c>
      <c r="H49" s="201">
        <f t="shared" si="26"/>
        <v>275.40000000000003</v>
      </c>
      <c r="I49" s="201">
        <f t="shared" si="26"/>
        <v>276.88000000000005</v>
      </c>
      <c r="J49" s="201">
        <f t="shared" si="26"/>
        <v>278.36000000000007</v>
      </c>
      <c r="K49" s="201">
        <f t="shared" si="26"/>
        <v>279.84000000000009</v>
      </c>
      <c r="L49" s="201">
        <f t="shared" si="26"/>
        <v>281.32000000000011</v>
      </c>
      <c r="M49" s="201">
        <f t="shared" si="26"/>
        <v>282.80000000000013</v>
      </c>
      <c r="N49" s="201">
        <f t="shared" si="26"/>
        <v>284.28000000000014</v>
      </c>
      <c r="O49" s="201">
        <f t="shared" si="26"/>
        <v>285.76000000000016</v>
      </c>
      <c r="P49" s="201">
        <f t="shared" si="26"/>
        <v>287.24000000000018</v>
      </c>
      <c r="Q49" s="201">
        <f t="shared" si="26"/>
        <v>288.7200000000002</v>
      </c>
      <c r="R49" s="201">
        <f t="shared" si="26"/>
        <v>290.20000000000022</v>
      </c>
      <c r="S49" s="201">
        <f t="shared" si="26"/>
        <v>291.68000000000023</v>
      </c>
      <c r="T49" s="201">
        <f t="shared" si="26"/>
        <v>293.16000000000025</v>
      </c>
      <c r="U49" s="201">
        <f t="shared" si="26"/>
        <v>294.64000000000027</v>
      </c>
      <c r="V49" s="201">
        <f t="shared" si="26"/>
        <v>296.12000000000029</v>
      </c>
      <c r="W49" s="201">
        <f t="shared" si="26"/>
        <v>297.60000000000031</v>
      </c>
      <c r="X49" s="201">
        <f t="shared" si="26"/>
        <v>299.08000000000033</v>
      </c>
      <c r="Y49" s="201">
        <f t="shared" si="26"/>
        <v>300.56000000000034</v>
      </c>
      <c r="Z49" s="201">
        <f t="shared" si="26"/>
        <v>302.04000000000036</v>
      </c>
      <c r="AA49" s="202">
        <f t="shared" si="26"/>
        <v>303.52000000000038</v>
      </c>
    </row>
  </sheetData>
  <phoneticPr fontId="3" type="noConversion"/>
  <pageMargins left="0.7" right="0.7" top="0.75" bottom="0.75" header="0.3" footer="0.3"/>
  <pageSetup paperSize="9" scale="4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E459-42C5-46A8-87CF-FFB6B9B9F65A}">
  <sheetPr>
    <pageSetUpPr fitToPage="1"/>
  </sheetPr>
  <dimension ref="A3:AA18"/>
  <sheetViews>
    <sheetView zoomScale="90" zoomScaleNormal="9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defaultColWidth="10" defaultRowHeight="14"/>
  <cols>
    <col min="1" max="1" width="15.08203125" style="14" customWidth="1"/>
    <col min="2" max="2" width="18.33203125" style="14" customWidth="1"/>
    <col min="3" max="3" width="41.33203125" style="14" customWidth="1"/>
    <col min="4" max="4" width="16.08203125" style="47" customWidth="1"/>
    <col min="5" max="6" width="27.08203125" style="47" customWidth="1"/>
    <col min="7" max="7" width="10.08203125" style="47" bestFit="1" customWidth="1"/>
    <col min="8" max="27" width="10.33203125" style="18" bestFit="1" customWidth="1"/>
    <col min="28" max="256" width="10" style="47"/>
    <col min="257" max="257" width="15.08203125" style="47" customWidth="1"/>
    <col min="258" max="258" width="18.33203125" style="47" customWidth="1"/>
    <col min="259" max="259" width="41.33203125" style="47" customWidth="1"/>
    <col min="260" max="260" width="16.08203125" style="47" customWidth="1"/>
    <col min="261" max="262" width="27.08203125" style="47" customWidth="1"/>
    <col min="263" max="512" width="10" style="47"/>
    <col min="513" max="513" width="15.08203125" style="47" customWidth="1"/>
    <col min="514" max="514" width="18.33203125" style="47" customWidth="1"/>
    <col min="515" max="515" width="41.33203125" style="47" customWidth="1"/>
    <col min="516" max="516" width="16.08203125" style="47" customWidth="1"/>
    <col min="517" max="518" width="27.08203125" style="47" customWidth="1"/>
    <col min="519" max="768" width="10" style="47"/>
    <col min="769" max="769" width="15.08203125" style="47" customWidth="1"/>
    <col min="770" max="770" width="18.33203125" style="47" customWidth="1"/>
    <col min="771" max="771" width="41.33203125" style="47" customWidth="1"/>
    <col min="772" max="772" width="16.08203125" style="47" customWidth="1"/>
    <col min="773" max="774" width="27.08203125" style="47" customWidth="1"/>
    <col min="775" max="1024" width="10" style="47"/>
    <col min="1025" max="1025" width="15.08203125" style="47" customWidth="1"/>
    <col min="1026" max="1026" width="18.33203125" style="47" customWidth="1"/>
    <col min="1027" max="1027" width="41.33203125" style="47" customWidth="1"/>
    <col min="1028" max="1028" width="16.08203125" style="47" customWidth="1"/>
    <col min="1029" max="1030" width="27.08203125" style="47" customWidth="1"/>
    <col min="1031" max="1280" width="10" style="47"/>
    <col min="1281" max="1281" width="15.08203125" style="47" customWidth="1"/>
    <col min="1282" max="1282" width="18.33203125" style="47" customWidth="1"/>
    <col min="1283" max="1283" width="41.33203125" style="47" customWidth="1"/>
    <col min="1284" max="1284" width="16.08203125" style="47" customWidth="1"/>
    <col min="1285" max="1286" width="27.08203125" style="47" customWidth="1"/>
    <col min="1287" max="1536" width="10" style="47"/>
    <col min="1537" max="1537" width="15.08203125" style="47" customWidth="1"/>
    <col min="1538" max="1538" width="18.33203125" style="47" customWidth="1"/>
    <col min="1539" max="1539" width="41.33203125" style="47" customWidth="1"/>
    <col min="1540" max="1540" width="16.08203125" style="47" customWidth="1"/>
    <col min="1541" max="1542" width="27.08203125" style="47" customWidth="1"/>
    <col min="1543" max="1792" width="10" style="47"/>
    <col min="1793" max="1793" width="15.08203125" style="47" customWidth="1"/>
    <col min="1794" max="1794" width="18.33203125" style="47" customWidth="1"/>
    <col min="1795" max="1795" width="41.33203125" style="47" customWidth="1"/>
    <col min="1796" max="1796" width="16.08203125" style="47" customWidth="1"/>
    <col min="1797" max="1798" width="27.08203125" style="47" customWidth="1"/>
    <col min="1799" max="2048" width="10" style="47"/>
    <col min="2049" max="2049" width="15.08203125" style="47" customWidth="1"/>
    <col min="2050" max="2050" width="18.33203125" style="47" customWidth="1"/>
    <col min="2051" max="2051" width="41.33203125" style="47" customWidth="1"/>
    <col min="2052" max="2052" width="16.08203125" style="47" customWidth="1"/>
    <col min="2053" max="2054" width="27.08203125" style="47" customWidth="1"/>
    <col min="2055" max="2304" width="10" style="47"/>
    <col min="2305" max="2305" width="15.08203125" style="47" customWidth="1"/>
    <col min="2306" max="2306" width="18.33203125" style="47" customWidth="1"/>
    <col min="2307" max="2307" width="41.33203125" style="47" customWidth="1"/>
    <col min="2308" max="2308" width="16.08203125" style="47" customWidth="1"/>
    <col min="2309" max="2310" width="27.08203125" style="47" customWidth="1"/>
    <col min="2311" max="2560" width="10" style="47"/>
    <col min="2561" max="2561" width="15.08203125" style="47" customWidth="1"/>
    <col min="2562" max="2562" width="18.33203125" style="47" customWidth="1"/>
    <col min="2563" max="2563" width="41.33203125" style="47" customWidth="1"/>
    <col min="2564" max="2564" width="16.08203125" style="47" customWidth="1"/>
    <col min="2565" max="2566" width="27.08203125" style="47" customWidth="1"/>
    <col min="2567" max="2816" width="10" style="47"/>
    <col min="2817" max="2817" width="15.08203125" style="47" customWidth="1"/>
    <col min="2818" max="2818" width="18.33203125" style="47" customWidth="1"/>
    <col min="2819" max="2819" width="41.33203125" style="47" customWidth="1"/>
    <col min="2820" max="2820" width="16.08203125" style="47" customWidth="1"/>
    <col min="2821" max="2822" width="27.08203125" style="47" customWidth="1"/>
    <col min="2823" max="3072" width="10" style="47"/>
    <col min="3073" max="3073" width="15.08203125" style="47" customWidth="1"/>
    <col min="3074" max="3074" width="18.33203125" style="47" customWidth="1"/>
    <col min="3075" max="3075" width="41.33203125" style="47" customWidth="1"/>
    <col min="3076" max="3076" width="16.08203125" style="47" customWidth="1"/>
    <col min="3077" max="3078" width="27.08203125" style="47" customWidth="1"/>
    <col min="3079" max="3328" width="10" style="47"/>
    <col min="3329" max="3329" width="15.08203125" style="47" customWidth="1"/>
    <col min="3330" max="3330" width="18.33203125" style="47" customWidth="1"/>
    <col min="3331" max="3331" width="41.33203125" style="47" customWidth="1"/>
    <col min="3332" max="3332" width="16.08203125" style="47" customWidth="1"/>
    <col min="3333" max="3334" width="27.08203125" style="47" customWidth="1"/>
    <col min="3335" max="3584" width="10" style="47"/>
    <col min="3585" max="3585" width="15.08203125" style="47" customWidth="1"/>
    <col min="3586" max="3586" width="18.33203125" style="47" customWidth="1"/>
    <col min="3587" max="3587" width="41.33203125" style="47" customWidth="1"/>
    <col min="3588" max="3588" width="16.08203125" style="47" customWidth="1"/>
    <col min="3589" max="3590" width="27.08203125" style="47" customWidth="1"/>
    <col min="3591" max="3840" width="10" style="47"/>
    <col min="3841" max="3841" width="15.08203125" style="47" customWidth="1"/>
    <col min="3842" max="3842" width="18.33203125" style="47" customWidth="1"/>
    <col min="3843" max="3843" width="41.33203125" style="47" customWidth="1"/>
    <col min="3844" max="3844" width="16.08203125" style="47" customWidth="1"/>
    <col min="3845" max="3846" width="27.08203125" style="47" customWidth="1"/>
    <col min="3847" max="4096" width="10" style="47"/>
    <col min="4097" max="4097" width="15.08203125" style="47" customWidth="1"/>
    <col min="4098" max="4098" width="18.33203125" style="47" customWidth="1"/>
    <col min="4099" max="4099" width="41.33203125" style="47" customWidth="1"/>
    <col min="4100" max="4100" width="16.08203125" style="47" customWidth="1"/>
    <col min="4101" max="4102" width="27.08203125" style="47" customWidth="1"/>
    <col min="4103" max="4352" width="10" style="47"/>
    <col min="4353" max="4353" width="15.08203125" style="47" customWidth="1"/>
    <col min="4354" max="4354" width="18.33203125" style="47" customWidth="1"/>
    <col min="4355" max="4355" width="41.33203125" style="47" customWidth="1"/>
    <col min="4356" max="4356" width="16.08203125" style="47" customWidth="1"/>
    <col min="4357" max="4358" width="27.08203125" style="47" customWidth="1"/>
    <col min="4359" max="4608" width="10" style="47"/>
    <col min="4609" max="4609" width="15.08203125" style="47" customWidth="1"/>
    <col min="4610" max="4610" width="18.33203125" style="47" customWidth="1"/>
    <col min="4611" max="4611" width="41.33203125" style="47" customWidth="1"/>
    <col min="4612" max="4612" width="16.08203125" style="47" customWidth="1"/>
    <col min="4613" max="4614" width="27.08203125" style="47" customWidth="1"/>
    <col min="4615" max="4864" width="10" style="47"/>
    <col min="4865" max="4865" width="15.08203125" style="47" customWidth="1"/>
    <col min="4866" max="4866" width="18.33203125" style="47" customWidth="1"/>
    <col min="4867" max="4867" width="41.33203125" style="47" customWidth="1"/>
    <col min="4868" max="4868" width="16.08203125" style="47" customWidth="1"/>
    <col min="4869" max="4870" width="27.08203125" style="47" customWidth="1"/>
    <col min="4871" max="5120" width="10" style="47"/>
    <col min="5121" max="5121" width="15.08203125" style="47" customWidth="1"/>
    <col min="5122" max="5122" width="18.33203125" style="47" customWidth="1"/>
    <col min="5123" max="5123" width="41.33203125" style="47" customWidth="1"/>
    <col min="5124" max="5124" width="16.08203125" style="47" customWidth="1"/>
    <col min="5125" max="5126" width="27.08203125" style="47" customWidth="1"/>
    <col min="5127" max="5376" width="10" style="47"/>
    <col min="5377" max="5377" width="15.08203125" style="47" customWidth="1"/>
    <col min="5378" max="5378" width="18.33203125" style="47" customWidth="1"/>
    <col min="5379" max="5379" width="41.33203125" style="47" customWidth="1"/>
    <col min="5380" max="5380" width="16.08203125" style="47" customWidth="1"/>
    <col min="5381" max="5382" width="27.08203125" style="47" customWidth="1"/>
    <col min="5383" max="5632" width="10" style="47"/>
    <col min="5633" max="5633" width="15.08203125" style="47" customWidth="1"/>
    <col min="5634" max="5634" width="18.33203125" style="47" customWidth="1"/>
    <col min="5635" max="5635" width="41.33203125" style="47" customWidth="1"/>
    <col min="5636" max="5636" width="16.08203125" style="47" customWidth="1"/>
    <col min="5637" max="5638" width="27.08203125" style="47" customWidth="1"/>
    <col min="5639" max="5888" width="10" style="47"/>
    <col min="5889" max="5889" width="15.08203125" style="47" customWidth="1"/>
    <col min="5890" max="5890" width="18.33203125" style="47" customWidth="1"/>
    <col min="5891" max="5891" width="41.33203125" style="47" customWidth="1"/>
    <col min="5892" max="5892" width="16.08203125" style="47" customWidth="1"/>
    <col min="5893" max="5894" width="27.08203125" style="47" customWidth="1"/>
    <col min="5895" max="6144" width="10" style="47"/>
    <col min="6145" max="6145" width="15.08203125" style="47" customWidth="1"/>
    <col min="6146" max="6146" width="18.33203125" style="47" customWidth="1"/>
    <col min="6147" max="6147" width="41.33203125" style="47" customWidth="1"/>
    <col min="6148" max="6148" width="16.08203125" style="47" customWidth="1"/>
    <col min="6149" max="6150" width="27.08203125" style="47" customWidth="1"/>
    <col min="6151" max="6400" width="10" style="47"/>
    <col min="6401" max="6401" width="15.08203125" style="47" customWidth="1"/>
    <col min="6402" max="6402" width="18.33203125" style="47" customWidth="1"/>
    <col min="6403" max="6403" width="41.33203125" style="47" customWidth="1"/>
    <col min="6404" max="6404" width="16.08203125" style="47" customWidth="1"/>
    <col min="6405" max="6406" width="27.08203125" style="47" customWidth="1"/>
    <col min="6407" max="6656" width="10" style="47"/>
    <col min="6657" max="6657" width="15.08203125" style="47" customWidth="1"/>
    <col min="6658" max="6658" width="18.33203125" style="47" customWidth="1"/>
    <col min="6659" max="6659" width="41.33203125" style="47" customWidth="1"/>
    <col min="6660" max="6660" width="16.08203125" style="47" customWidth="1"/>
    <col min="6661" max="6662" width="27.08203125" style="47" customWidth="1"/>
    <col min="6663" max="6912" width="10" style="47"/>
    <col min="6913" max="6913" width="15.08203125" style="47" customWidth="1"/>
    <col min="6914" max="6914" width="18.33203125" style="47" customWidth="1"/>
    <col min="6915" max="6915" width="41.33203125" style="47" customWidth="1"/>
    <col min="6916" max="6916" width="16.08203125" style="47" customWidth="1"/>
    <col min="6917" max="6918" width="27.08203125" style="47" customWidth="1"/>
    <col min="6919" max="7168" width="10" style="47"/>
    <col min="7169" max="7169" width="15.08203125" style="47" customWidth="1"/>
    <col min="7170" max="7170" width="18.33203125" style="47" customWidth="1"/>
    <col min="7171" max="7171" width="41.33203125" style="47" customWidth="1"/>
    <col min="7172" max="7172" width="16.08203125" style="47" customWidth="1"/>
    <col min="7173" max="7174" width="27.08203125" style="47" customWidth="1"/>
    <col min="7175" max="7424" width="10" style="47"/>
    <col min="7425" max="7425" width="15.08203125" style="47" customWidth="1"/>
    <col min="7426" max="7426" width="18.33203125" style="47" customWidth="1"/>
    <col min="7427" max="7427" width="41.33203125" style="47" customWidth="1"/>
    <col min="7428" max="7428" width="16.08203125" style="47" customWidth="1"/>
    <col min="7429" max="7430" width="27.08203125" style="47" customWidth="1"/>
    <col min="7431" max="7680" width="10" style="47"/>
    <col min="7681" max="7681" width="15.08203125" style="47" customWidth="1"/>
    <col min="7682" max="7682" width="18.33203125" style="47" customWidth="1"/>
    <col min="7683" max="7683" width="41.33203125" style="47" customWidth="1"/>
    <col min="7684" max="7684" width="16.08203125" style="47" customWidth="1"/>
    <col min="7685" max="7686" width="27.08203125" style="47" customWidth="1"/>
    <col min="7687" max="7936" width="10" style="47"/>
    <col min="7937" max="7937" width="15.08203125" style="47" customWidth="1"/>
    <col min="7938" max="7938" width="18.33203125" style="47" customWidth="1"/>
    <col min="7939" max="7939" width="41.33203125" style="47" customWidth="1"/>
    <col min="7940" max="7940" width="16.08203125" style="47" customWidth="1"/>
    <col min="7941" max="7942" width="27.08203125" style="47" customWidth="1"/>
    <col min="7943" max="8192" width="10" style="47"/>
    <col min="8193" max="8193" width="15.08203125" style="47" customWidth="1"/>
    <col min="8194" max="8194" width="18.33203125" style="47" customWidth="1"/>
    <col min="8195" max="8195" width="41.33203125" style="47" customWidth="1"/>
    <col min="8196" max="8196" width="16.08203125" style="47" customWidth="1"/>
    <col min="8197" max="8198" width="27.08203125" style="47" customWidth="1"/>
    <col min="8199" max="8448" width="10" style="47"/>
    <col min="8449" max="8449" width="15.08203125" style="47" customWidth="1"/>
    <col min="8450" max="8450" width="18.33203125" style="47" customWidth="1"/>
    <col min="8451" max="8451" width="41.33203125" style="47" customWidth="1"/>
    <col min="8452" max="8452" width="16.08203125" style="47" customWidth="1"/>
    <col min="8453" max="8454" width="27.08203125" style="47" customWidth="1"/>
    <col min="8455" max="8704" width="10" style="47"/>
    <col min="8705" max="8705" width="15.08203125" style="47" customWidth="1"/>
    <col min="8706" max="8706" width="18.33203125" style="47" customWidth="1"/>
    <col min="8707" max="8707" width="41.33203125" style="47" customWidth="1"/>
    <col min="8708" max="8708" width="16.08203125" style="47" customWidth="1"/>
    <col min="8709" max="8710" width="27.08203125" style="47" customWidth="1"/>
    <col min="8711" max="8960" width="10" style="47"/>
    <col min="8961" max="8961" width="15.08203125" style="47" customWidth="1"/>
    <col min="8962" max="8962" width="18.33203125" style="47" customWidth="1"/>
    <col min="8963" max="8963" width="41.33203125" style="47" customWidth="1"/>
    <col min="8964" max="8964" width="16.08203125" style="47" customWidth="1"/>
    <col min="8965" max="8966" width="27.08203125" style="47" customWidth="1"/>
    <col min="8967" max="9216" width="10" style="47"/>
    <col min="9217" max="9217" width="15.08203125" style="47" customWidth="1"/>
    <col min="9218" max="9218" width="18.33203125" style="47" customWidth="1"/>
    <col min="9219" max="9219" width="41.33203125" style="47" customWidth="1"/>
    <col min="9220" max="9220" width="16.08203125" style="47" customWidth="1"/>
    <col min="9221" max="9222" width="27.08203125" style="47" customWidth="1"/>
    <col min="9223" max="9472" width="10" style="47"/>
    <col min="9473" max="9473" width="15.08203125" style="47" customWidth="1"/>
    <col min="9474" max="9474" width="18.33203125" style="47" customWidth="1"/>
    <col min="9475" max="9475" width="41.33203125" style="47" customWidth="1"/>
    <col min="9476" max="9476" width="16.08203125" style="47" customWidth="1"/>
    <col min="9477" max="9478" width="27.08203125" style="47" customWidth="1"/>
    <col min="9479" max="9728" width="10" style="47"/>
    <col min="9729" max="9729" width="15.08203125" style="47" customWidth="1"/>
    <col min="9730" max="9730" width="18.33203125" style="47" customWidth="1"/>
    <col min="9731" max="9731" width="41.33203125" style="47" customWidth="1"/>
    <col min="9732" max="9732" width="16.08203125" style="47" customWidth="1"/>
    <col min="9733" max="9734" width="27.08203125" style="47" customWidth="1"/>
    <col min="9735" max="9984" width="10" style="47"/>
    <col min="9985" max="9985" width="15.08203125" style="47" customWidth="1"/>
    <col min="9986" max="9986" width="18.33203125" style="47" customWidth="1"/>
    <col min="9987" max="9987" width="41.33203125" style="47" customWidth="1"/>
    <col min="9988" max="9988" width="16.08203125" style="47" customWidth="1"/>
    <col min="9989" max="9990" width="27.08203125" style="47" customWidth="1"/>
    <col min="9991" max="10240" width="10" style="47"/>
    <col min="10241" max="10241" width="15.08203125" style="47" customWidth="1"/>
    <col min="10242" max="10242" width="18.33203125" style="47" customWidth="1"/>
    <col min="10243" max="10243" width="41.33203125" style="47" customWidth="1"/>
    <col min="10244" max="10244" width="16.08203125" style="47" customWidth="1"/>
    <col min="10245" max="10246" width="27.08203125" style="47" customWidth="1"/>
    <col min="10247" max="10496" width="10" style="47"/>
    <col min="10497" max="10497" width="15.08203125" style="47" customWidth="1"/>
    <col min="10498" max="10498" width="18.33203125" style="47" customWidth="1"/>
    <col min="10499" max="10499" width="41.33203125" style="47" customWidth="1"/>
    <col min="10500" max="10500" width="16.08203125" style="47" customWidth="1"/>
    <col min="10501" max="10502" width="27.08203125" style="47" customWidth="1"/>
    <col min="10503" max="10752" width="10" style="47"/>
    <col min="10753" max="10753" width="15.08203125" style="47" customWidth="1"/>
    <col min="10754" max="10754" width="18.33203125" style="47" customWidth="1"/>
    <col min="10755" max="10755" width="41.33203125" style="47" customWidth="1"/>
    <col min="10756" max="10756" width="16.08203125" style="47" customWidth="1"/>
    <col min="10757" max="10758" width="27.08203125" style="47" customWidth="1"/>
    <col min="10759" max="11008" width="10" style="47"/>
    <col min="11009" max="11009" width="15.08203125" style="47" customWidth="1"/>
    <col min="11010" max="11010" width="18.33203125" style="47" customWidth="1"/>
    <col min="11011" max="11011" width="41.33203125" style="47" customWidth="1"/>
    <col min="11012" max="11012" width="16.08203125" style="47" customWidth="1"/>
    <col min="11013" max="11014" width="27.08203125" style="47" customWidth="1"/>
    <col min="11015" max="11264" width="10" style="47"/>
    <col min="11265" max="11265" width="15.08203125" style="47" customWidth="1"/>
    <col min="11266" max="11266" width="18.33203125" style="47" customWidth="1"/>
    <col min="11267" max="11267" width="41.33203125" style="47" customWidth="1"/>
    <col min="11268" max="11268" width="16.08203125" style="47" customWidth="1"/>
    <col min="11269" max="11270" width="27.08203125" style="47" customWidth="1"/>
    <col min="11271" max="11520" width="10" style="47"/>
    <col min="11521" max="11521" width="15.08203125" style="47" customWidth="1"/>
    <col min="11522" max="11522" width="18.33203125" style="47" customWidth="1"/>
    <col min="11523" max="11523" width="41.33203125" style="47" customWidth="1"/>
    <col min="11524" max="11524" width="16.08203125" style="47" customWidth="1"/>
    <col min="11525" max="11526" width="27.08203125" style="47" customWidth="1"/>
    <col min="11527" max="11776" width="10" style="47"/>
    <col min="11777" max="11777" width="15.08203125" style="47" customWidth="1"/>
    <col min="11778" max="11778" width="18.33203125" style="47" customWidth="1"/>
    <col min="11779" max="11779" width="41.33203125" style="47" customWidth="1"/>
    <col min="11780" max="11780" width="16.08203125" style="47" customWidth="1"/>
    <col min="11781" max="11782" width="27.08203125" style="47" customWidth="1"/>
    <col min="11783" max="12032" width="10" style="47"/>
    <col min="12033" max="12033" width="15.08203125" style="47" customWidth="1"/>
    <col min="12034" max="12034" width="18.33203125" style="47" customWidth="1"/>
    <col min="12035" max="12035" width="41.33203125" style="47" customWidth="1"/>
    <col min="12036" max="12036" width="16.08203125" style="47" customWidth="1"/>
    <col min="12037" max="12038" width="27.08203125" style="47" customWidth="1"/>
    <col min="12039" max="12288" width="10" style="47"/>
    <col min="12289" max="12289" width="15.08203125" style="47" customWidth="1"/>
    <col min="12290" max="12290" width="18.33203125" style="47" customWidth="1"/>
    <col min="12291" max="12291" width="41.33203125" style="47" customWidth="1"/>
    <col min="12292" max="12292" width="16.08203125" style="47" customWidth="1"/>
    <col min="12293" max="12294" width="27.08203125" style="47" customWidth="1"/>
    <col min="12295" max="12544" width="10" style="47"/>
    <col min="12545" max="12545" width="15.08203125" style="47" customWidth="1"/>
    <col min="12546" max="12546" width="18.33203125" style="47" customWidth="1"/>
    <col min="12547" max="12547" width="41.33203125" style="47" customWidth="1"/>
    <col min="12548" max="12548" width="16.08203125" style="47" customWidth="1"/>
    <col min="12549" max="12550" width="27.08203125" style="47" customWidth="1"/>
    <col min="12551" max="12800" width="10" style="47"/>
    <col min="12801" max="12801" width="15.08203125" style="47" customWidth="1"/>
    <col min="12802" max="12802" width="18.33203125" style="47" customWidth="1"/>
    <col min="12803" max="12803" width="41.33203125" style="47" customWidth="1"/>
    <col min="12804" max="12804" width="16.08203125" style="47" customWidth="1"/>
    <col min="12805" max="12806" width="27.08203125" style="47" customWidth="1"/>
    <col min="12807" max="13056" width="10" style="47"/>
    <col min="13057" max="13057" width="15.08203125" style="47" customWidth="1"/>
    <col min="13058" max="13058" width="18.33203125" style="47" customWidth="1"/>
    <col min="13059" max="13059" width="41.33203125" style="47" customWidth="1"/>
    <col min="13060" max="13060" width="16.08203125" style="47" customWidth="1"/>
    <col min="13061" max="13062" width="27.08203125" style="47" customWidth="1"/>
    <col min="13063" max="13312" width="10" style="47"/>
    <col min="13313" max="13313" width="15.08203125" style="47" customWidth="1"/>
    <col min="13314" max="13314" width="18.33203125" style="47" customWidth="1"/>
    <col min="13315" max="13315" width="41.33203125" style="47" customWidth="1"/>
    <col min="13316" max="13316" width="16.08203125" style="47" customWidth="1"/>
    <col min="13317" max="13318" width="27.08203125" style="47" customWidth="1"/>
    <col min="13319" max="13568" width="10" style="47"/>
    <col min="13569" max="13569" width="15.08203125" style="47" customWidth="1"/>
    <col min="13570" max="13570" width="18.33203125" style="47" customWidth="1"/>
    <col min="13571" max="13571" width="41.33203125" style="47" customWidth="1"/>
    <col min="13572" max="13572" width="16.08203125" style="47" customWidth="1"/>
    <col min="13573" max="13574" width="27.08203125" style="47" customWidth="1"/>
    <col min="13575" max="13824" width="10" style="47"/>
    <col min="13825" max="13825" width="15.08203125" style="47" customWidth="1"/>
    <col min="13826" max="13826" width="18.33203125" style="47" customWidth="1"/>
    <col min="13827" max="13827" width="41.33203125" style="47" customWidth="1"/>
    <col min="13828" max="13828" width="16.08203125" style="47" customWidth="1"/>
    <col min="13829" max="13830" width="27.08203125" style="47" customWidth="1"/>
    <col min="13831" max="14080" width="10" style="47"/>
    <col min="14081" max="14081" width="15.08203125" style="47" customWidth="1"/>
    <col min="14082" max="14082" width="18.33203125" style="47" customWidth="1"/>
    <col min="14083" max="14083" width="41.33203125" style="47" customWidth="1"/>
    <col min="14084" max="14084" width="16.08203125" style="47" customWidth="1"/>
    <col min="14085" max="14086" width="27.08203125" style="47" customWidth="1"/>
    <col min="14087" max="14336" width="10" style="47"/>
    <col min="14337" max="14337" width="15.08203125" style="47" customWidth="1"/>
    <col min="14338" max="14338" width="18.33203125" style="47" customWidth="1"/>
    <col min="14339" max="14339" width="41.33203125" style="47" customWidth="1"/>
    <col min="14340" max="14340" width="16.08203125" style="47" customWidth="1"/>
    <col min="14341" max="14342" width="27.08203125" style="47" customWidth="1"/>
    <col min="14343" max="14592" width="10" style="47"/>
    <col min="14593" max="14593" width="15.08203125" style="47" customWidth="1"/>
    <col min="14594" max="14594" width="18.33203125" style="47" customWidth="1"/>
    <col min="14595" max="14595" width="41.33203125" style="47" customWidth="1"/>
    <col min="14596" max="14596" width="16.08203125" style="47" customWidth="1"/>
    <col min="14597" max="14598" width="27.08203125" style="47" customWidth="1"/>
    <col min="14599" max="14848" width="10" style="47"/>
    <col min="14849" max="14849" width="15.08203125" style="47" customWidth="1"/>
    <col min="14850" max="14850" width="18.33203125" style="47" customWidth="1"/>
    <col min="14851" max="14851" width="41.33203125" style="47" customWidth="1"/>
    <col min="14852" max="14852" width="16.08203125" style="47" customWidth="1"/>
    <col min="14853" max="14854" width="27.08203125" style="47" customWidth="1"/>
    <col min="14855" max="15104" width="10" style="47"/>
    <col min="15105" max="15105" width="15.08203125" style="47" customWidth="1"/>
    <col min="15106" max="15106" width="18.33203125" style="47" customWidth="1"/>
    <col min="15107" max="15107" width="41.33203125" style="47" customWidth="1"/>
    <col min="15108" max="15108" width="16.08203125" style="47" customWidth="1"/>
    <col min="15109" max="15110" width="27.08203125" style="47" customWidth="1"/>
    <col min="15111" max="15360" width="10" style="47"/>
    <col min="15361" max="15361" width="15.08203125" style="47" customWidth="1"/>
    <col min="15362" max="15362" width="18.33203125" style="47" customWidth="1"/>
    <col min="15363" max="15363" width="41.33203125" style="47" customWidth="1"/>
    <col min="15364" max="15364" width="16.08203125" style="47" customWidth="1"/>
    <col min="15365" max="15366" width="27.08203125" style="47" customWidth="1"/>
    <col min="15367" max="15616" width="10" style="47"/>
    <col min="15617" max="15617" width="15.08203125" style="47" customWidth="1"/>
    <col min="15618" max="15618" width="18.33203125" style="47" customWidth="1"/>
    <col min="15619" max="15619" width="41.33203125" style="47" customWidth="1"/>
    <col min="15620" max="15620" width="16.08203125" style="47" customWidth="1"/>
    <col min="15621" max="15622" width="27.08203125" style="47" customWidth="1"/>
    <col min="15623" max="15872" width="10" style="47"/>
    <col min="15873" max="15873" width="15.08203125" style="47" customWidth="1"/>
    <col min="15874" max="15874" width="18.33203125" style="47" customWidth="1"/>
    <col min="15875" max="15875" width="41.33203125" style="47" customWidth="1"/>
    <col min="15876" max="15876" width="16.08203125" style="47" customWidth="1"/>
    <col min="15877" max="15878" width="27.08203125" style="47" customWidth="1"/>
    <col min="15879" max="16128" width="10" style="47"/>
    <col min="16129" max="16129" width="15.08203125" style="47" customWidth="1"/>
    <col min="16130" max="16130" width="18.33203125" style="47" customWidth="1"/>
    <col min="16131" max="16131" width="41.33203125" style="47" customWidth="1"/>
    <col min="16132" max="16132" width="16.08203125" style="47" customWidth="1"/>
    <col min="16133" max="16134" width="27.08203125" style="47" customWidth="1"/>
    <col min="16135" max="16384" width="10" style="47"/>
  </cols>
  <sheetData>
    <row r="3" spans="1:27" s="128" customFormat="1">
      <c r="A3" s="40" t="s">
        <v>590</v>
      </c>
      <c r="B3" s="40"/>
      <c r="C3" s="40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 s="128" customFormat="1" ht="14.5">
      <c r="A4" s="40" t="s">
        <v>591</v>
      </c>
      <c r="B4" s="40"/>
      <c r="C4" s="40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spans="1:27" s="128" customFormat="1">
      <c r="A5" s="40"/>
      <c r="B5" s="40"/>
      <c r="C5" s="40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 s="266" customFormat="1">
      <c r="A6" s="263" t="s">
        <v>255</v>
      </c>
      <c r="B6" s="263" t="s">
        <v>592</v>
      </c>
      <c r="C6" s="263" t="s">
        <v>567</v>
      </c>
      <c r="D6" s="264" t="s">
        <v>256</v>
      </c>
      <c r="E6" s="265" t="s">
        <v>593</v>
      </c>
      <c r="F6" s="265" t="s">
        <v>594</v>
      </c>
      <c r="G6" s="264" t="s">
        <v>595</v>
      </c>
      <c r="H6" s="264">
        <v>72000</v>
      </c>
      <c r="I6" s="264">
        <f>H6+1000</f>
        <v>73000</v>
      </c>
      <c r="J6" s="264">
        <f t="shared" ref="J6:AA6" si="0">I6+1000</f>
        <v>74000</v>
      </c>
      <c r="K6" s="264">
        <f t="shared" si="0"/>
        <v>75000</v>
      </c>
      <c r="L6" s="264">
        <f t="shared" si="0"/>
        <v>76000</v>
      </c>
      <c r="M6" s="264">
        <f t="shared" si="0"/>
        <v>77000</v>
      </c>
      <c r="N6" s="264">
        <f t="shared" si="0"/>
        <v>78000</v>
      </c>
      <c r="O6" s="264">
        <f t="shared" si="0"/>
        <v>79000</v>
      </c>
      <c r="P6" s="264">
        <f>O6+1000</f>
        <v>80000</v>
      </c>
      <c r="Q6" s="264">
        <f t="shared" si="0"/>
        <v>81000</v>
      </c>
      <c r="R6" s="264">
        <f t="shared" si="0"/>
        <v>82000</v>
      </c>
      <c r="S6" s="264">
        <f t="shared" si="0"/>
        <v>83000</v>
      </c>
      <c r="T6" s="264">
        <f t="shared" si="0"/>
        <v>84000</v>
      </c>
      <c r="U6" s="264">
        <f t="shared" si="0"/>
        <v>85000</v>
      </c>
      <c r="V6" s="264">
        <f t="shared" si="0"/>
        <v>86000</v>
      </c>
      <c r="W6" s="264">
        <f t="shared" si="0"/>
        <v>87000</v>
      </c>
      <c r="X6" s="264">
        <f t="shared" si="0"/>
        <v>88000</v>
      </c>
      <c r="Y6" s="264">
        <f t="shared" si="0"/>
        <v>89000</v>
      </c>
      <c r="Z6" s="264">
        <f t="shared" si="0"/>
        <v>90000</v>
      </c>
      <c r="AA6" s="264">
        <f t="shared" si="0"/>
        <v>91000</v>
      </c>
    </row>
    <row r="7" spans="1:27" ht="42">
      <c r="A7" s="267" t="s">
        <v>596</v>
      </c>
      <c r="B7" s="268" t="s">
        <v>597</v>
      </c>
      <c r="C7" s="268" t="s">
        <v>598</v>
      </c>
      <c r="D7" s="269" t="s">
        <v>599</v>
      </c>
      <c r="E7" s="270" t="s">
        <v>600</v>
      </c>
      <c r="F7" s="270" t="s">
        <v>601</v>
      </c>
      <c r="G7" s="277">
        <v>14.75</v>
      </c>
      <c r="H7" s="277">
        <v>1622.85</v>
      </c>
      <c r="I7" s="277">
        <v>1637.6</v>
      </c>
      <c r="J7" s="277">
        <v>1652.35</v>
      </c>
      <c r="K7" s="277">
        <v>1667.1</v>
      </c>
      <c r="L7" s="277">
        <f>ROUND(K7+$G7,2)</f>
        <v>1681.85</v>
      </c>
      <c r="M7" s="277">
        <f t="shared" ref="M7:AA8" si="1">ROUND(L7+$G7,2)</f>
        <v>1696.6</v>
      </c>
      <c r="N7" s="277">
        <f t="shared" si="1"/>
        <v>1711.35</v>
      </c>
      <c r="O7" s="277">
        <f t="shared" si="1"/>
        <v>1726.1</v>
      </c>
      <c r="P7" s="277">
        <f t="shared" si="1"/>
        <v>1740.85</v>
      </c>
      <c r="Q7" s="277">
        <f t="shared" si="1"/>
        <v>1755.6</v>
      </c>
      <c r="R7" s="277">
        <f t="shared" si="1"/>
        <v>1770.35</v>
      </c>
      <c r="S7" s="277">
        <f t="shared" si="1"/>
        <v>1785.1</v>
      </c>
      <c r="T7" s="277">
        <f t="shared" si="1"/>
        <v>1799.85</v>
      </c>
      <c r="U7" s="277">
        <f t="shared" si="1"/>
        <v>1814.6</v>
      </c>
      <c r="V7" s="277">
        <f t="shared" si="1"/>
        <v>1829.35</v>
      </c>
      <c r="W7" s="277">
        <f t="shared" si="1"/>
        <v>1844.1</v>
      </c>
      <c r="X7" s="277">
        <f t="shared" si="1"/>
        <v>1858.85</v>
      </c>
      <c r="Y7" s="277">
        <f t="shared" si="1"/>
        <v>1873.6</v>
      </c>
      <c r="Z7" s="277">
        <f t="shared" si="1"/>
        <v>1888.35</v>
      </c>
      <c r="AA7" s="277">
        <f t="shared" si="1"/>
        <v>1903.1</v>
      </c>
    </row>
    <row r="8" spans="1:27" ht="56.5">
      <c r="A8" s="130" t="s">
        <v>596</v>
      </c>
      <c r="B8" s="271" t="s">
        <v>602</v>
      </c>
      <c r="C8" s="271" t="s">
        <v>603</v>
      </c>
      <c r="D8" s="272" t="s">
        <v>599</v>
      </c>
      <c r="E8" s="131" t="s">
        <v>604</v>
      </c>
      <c r="F8" s="131" t="s">
        <v>601</v>
      </c>
      <c r="G8" s="277">
        <v>15.51</v>
      </c>
      <c r="H8" s="277">
        <v>1703.3</v>
      </c>
      <c r="I8" s="277">
        <v>1718.81</v>
      </c>
      <c r="J8" s="277">
        <v>1734.32</v>
      </c>
      <c r="K8" s="277">
        <v>1749.83</v>
      </c>
      <c r="L8" s="277">
        <f>ROUND(K8+$G8,2)</f>
        <v>1765.34</v>
      </c>
      <c r="M8" s="277">
        <f t="shared" si="1"/>
        <v>1780.85</v>
      </c>
      <c r="N8" s="277">
        <f t="shared" si="1"/>
        <v>1796.36</v>
      </c>
      <c r="O8" s="277">
        <f t="shared" si="1"/>
        <v>1811.87</v>
      </c>
      <c r="P8" s="277">
        <f t="shared" si="1"/>
        <v>1827.38</v>
      </c>
      <c r="Q8" s="277">
        <f t="shared" si="1"/>
        <v>1842.89</v>
      </c>
      <c r="R8" s="277">
        <f t="shared" si="1"/>
        <v>1858.4</v>
      </c>
      <c r="S8" s="277">
        <f t="shared" si="1"/>
        <v>1873.91</v>
      </c>
      <c r="T8" s="277">
        <f t="shared" si="1"/>
        <v>1889.42</v>
      </c>
      <c r="U8" s="277">
        <f t="shared" si="1"/>
        <v>1904.93</v>
      </c>
      <c r="V8" s="277">
        <f t="shared" si="1"/>
        <v>1920.44</v>
      </c>
      <c r="W8" s="277">
        <f t="shared" si="1"/>
        <v>1935.95</v>
      </c>
      <c r="X8" s="277">
        <f t="shared" si="1"/>
        <v>1951.46</v>
      </c>
      <c r="Y8" s="277">
        <f t="shared" si="1"/>
        <v>1966.97</v>
      </c>
      <c r="Z8" s="277">
        <f t="shared" si="1"/>
        <v>1982.48</v>
      </c>
      <c r="AA8" s="277">
        <f t="shared" si="1"/>
        <v>1997.99</v>
      </c>
    </row>
    <row r="9" spans="1:27">
      <c r="G9" s="279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</row>
    <row r="10" spans="1:27" ht="42">
      <c r="A10" s="267" t="s">
        <v>605</v>
      </c>
      <c r="B10" s="268" t="s">
        <v>606</v>
      </c>
      <c r="C10" s="268" t="s">
        <v>607</v>
      </c>
      <c r="D10" s="273" t="s">
        <v>608</v>
      </c>
      <c r="E10" s="270" t="s">
        <v>609</v>
      </c>
      <c r="F10" s="270" t="s">
        <v>610</v>
      </c>
      <c r="G10" s="277">
        <v>9.4</v>
      </c>
      <c r="H10" s="277">
        <v>1183.21</v>
      </c>
      <c r="I10" s="277">
        <v>1192.6099999999999</v>
      </c>
      <c r="J10" s="277">
        <v>1202.01</v>
      </c>
      <c r="K10" s="277">
        <v>1211.4100000000001</v>
      </c>
      <c r="L10" s="277">
        <f>ROUND(K10+$G10,2)</f>
        <v>1220.81</v>
      </c>
      <c r="M10" s="277">
        <f t="shared" ref="M10:AA10" si="2">ROUND(L10+$G10,2)</f>
        <v>1230.21</v>
      </c>
      <c r="N10" s="277">
        <f t="shared" si="2"/>
        <v>1239.6099999999999</v>
      </c>
      <c r="O10" s="277">
        <f t="shared" si="2"/>
        <v>1249.01</v>
      </c>
      <c r="P10" s="277">
        <f t="shared" si="2"/>
        <v>1258.4100000000001</v>
      </c>
      <c r="Q10" s="277">
        <f t="shared" si="2"/>
        <v>1267.81</v>
      </c>
      <c r="R10" s="277">
        <f t="shared" si="2"/>
        <v>1277.21</v>
      </c>
      <c r="S10" s="277">
        <f t="shared" si="2"/>
        <v>1286.6099999999999</v>
      </c>
      <c r="T10" s="277">
        <f t="shared" si="2"/>
        <v>1296.01</v>
      </c>
      <c r="U10" s="277">
        <f t="shared" si="2"/>
        <v>1305.4100000000001</v>
      </c>
      <c r="V10" s="277">
        <f t="shared" si="2"/>
        <v>1314.81</v>
      </c>
      <c r="W10" s="277">
        <f t="shared" si="2"/>
        <v>1324.21</v>
      </c>
      <c r="X10" s="277">
        <f t="shared" si="2"/>
        <v>1333.61</v>
      </c>
      <c r="Y10" s="277">
        <f t="shared" si="2"/>
        <v>1343.01</v>
      </c>
      <c r="Z10" s="277">
        <f t="shared" si="2"/>
        <v>1352.41</v>
      </c>
      <c r="AA10" s="277">
        <f t="shared" si="2"/>
        <v>1361.81</v>
      </c>
    </row>
    <row r="13" spans="1:27">
      <c r="A13" s="14" t="s">
        <v>611</v>
      </c>
    </row>
    <row r="14" spans="1:27">
      <c r="A14" s="14" t="s">
        <v>612</v>
      </c>
    </row>
    <row r="16" spans="1:27" ht="42">
      <c r="A16" s="274" t="s">
        <v>613</v>
      </c>
      <c r="B16" s="275" t="s">
        <v>614</v>
      </c>
      <c r="C16" s="275" t="s">
        <v>615</v>
      </c>
      <c r="D16" s="276" t="s">
        <v>616</v>
      </c>
    </row>
    <row r="18" spans="1:4" ht="98">
      <c r="A18" s="274" t="s">
        <v>617</v>
      </c>
      <c r="B18" s="275" t="s">
        <v>614</v>
      </c>
      <c r="C18" s="275" t="s">
        <v>618</v>
      </c>
      <c r="D18" s="276" t="s">
        <v>619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3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0fb260-5e81-44f9-be53-683e6d7be542">
      <Terms xmlns="http://schemas.microsoft.com/office/infopath/2007/PartnerControls"/>
    </lcf76f155ced4ddcb4097134ff3c332f>
    <TaxCatchAll xmlns="91492109-2178-4031-ad26-b4e0b960e8f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6DD4BBE9CDF8498F15274797DE2586" ma:contentTypeVersion="16" ma:contentTypeDescription="Create a new document." ma:contentTypeScope="" ma:versionID="ed35a22ab5c69b031a3a1afd98f0639d">
  <xsd:schema xmlns:xsd="http://www.w3.org/2001/XMLSchema" xmlns:xs="http://www.w3.org/2001/XMLSchema" xmlns:p="http://schemas.microsoft.com/office/2006/metadata/properties" xmlns:ns2="91492109-2178-4031-ad26-b4e0b960e8ff" xmlns:ns3="4e0fb260-5e81-44f9-be53-683e6d7be542" targetNamespace="http://schemas.microsoft.com/office/2006/metadata/properties" ma:root="true" ma:fieldsID="714902d8236f09277e5599d960e4f0ee" ns2:_="" ns3:_="">
    <xsd:import namespace="91492109-2178-4031-ad26-b4e0b960e8ff"/>
    <xsd:import namespace="4e0fb260-5e81-44f9-be53-683e6d7be54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92109-2178-4031-ad26-b4e0b960e8f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47e685d-07c2-4b72-895b-bddbc532a13b}" ma:internalName="TaxCatchAll" ma:showField="CatchAllData" ma:web="91492109-2178-4031-ad26-b4e0b960e8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0fb260-5e81-44f9-be53-683e6d7be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ba64877-485a-430f-902d-53d98a15f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A9E63F-5A35-4F0E-8170-574A947834F0}">
  <ds:schemaRefs>
    <ds:schemaRef ds:uri="http://schemas.microsoft.com/office/2006/metadata/properties"/>
    <ds:schemaRef ds:uri="http://schemas.microsoft.com/office/infopath/2007/PartnerControls"/>
    <ds:schemaRef ds:uri="4e0fb260-5e81-44f9-be53-683e6d7be542"/>
    <ds:schemaRef ds:uri="91492109-2178-4031-ad26-b4e0b960e8ff"/>
  </ds:schemaRefs>
</ds:datastoreItem>
</file>

<file path=customXml/itemProps2.xml><?xml version="1.0" encoding="utf-8"?>
<ds:datastoreItem xmlns:ds="http://schemas.openxmlformats.org/officeDocument/2006/customXml" ds:itemID="{79DFFADA-634A-40D8-901F-AC316A1A6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492109-2178-4031-ad26-b4e0b960e8ff"/>
    <ds:schemaRef ds:uri="4e0fb260-5e81-44f9-be53-683e6d7be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8197CF-9D99-4E2E-B403-122738041A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HT LAN 2025 under construction</vt:lpstr>
      <vt:lpstr>Sheet1</vt:lpstr>
      <vt:lpstr>CAT6 FUTP PE</vt:lpstr>
      <vt:lpstr>HT NOV 21 - DEC 25  ¥</vt:lpstr>
      <vt:lpstr>HT Cat5e</vt:lpstr>
      <vt:lpstr>ZD NOV 21 - JUNE 25 ¥</vt:lpstr>
      <vt:lpstr>ZD LAN</vt:lpstr>
      <vt:lpstr>AYP NOV 21 - DEC 25 ¥</vt:lpstr>
      <vt:lpstr>AYP CAT6 UTP CCA </vt:lpstr>
      <vt:lpstr>LINOYA</vt:lpstr>
      <vt:lpstr>GRADE 2TV&amp;3TV ($ ¥）</vt:lpstr>
      <vt:lpstr>ZD C6 UTP 24 CMP ETL</vt:lpstr>
      <vt:lpstr>HT CAT7 SFTP ECO</vt:lpstr>
      <vt:lpstr>HT UL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carina cheng</dc:creator>
  <cp:keywords/>
  <dc:description/>
  <cp:lastModifiedBy>Lucy</cp:lastModifiedBy>
  <cp:revision/>
  <dcterms:created xsi:type="dcterms:W3CDTF">2015-06-05T18:17:20Z</dcterms:created>
  <dcterms:modified xsi:type="dcterms:W3CDTF">2026-01-22T03:49:37Z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0x010100CE6DD4BBE9CDF8498F15274797DE2586</vt:lpwstr>
  </property>
  <property fmtid="{D5CDD505-2E9C-101B-9397-08002B2CF9AE}" pid="3" name="Order">
    <vt:r8>743800</vt:r8>
  </property>
  <property fmtid="{D5CDD505-2E9C-101B-9397-08002B2CF9AE}" pid="4" name="MediaServiceImageTags">
    <vt:lpwstr/>
  </property>
</Properties>
</file>
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meagroup.sharepoint.com/sites/SYSKERN/Shared Documents/General/ACHATS/3.0 MIRSAN/"/>
    </mc:Choice>
  </mc:AlternateContent>
  <xr:revisionPtr revIDLastSave="4202" documentId="8_{9AF767B5-D02D-4C02-908F-B0E9CB132AC5}" xr6:coauthVersionLast="47" xr6:coauthVersionMax="47" xr10:uidLastSave="{3B9391D3-AC85-4294-8752-47E9E2DCE6DE}"/>
  <bookViews>
    <workbookView xWindow="-120" yWindow="-120" windowWidth="38640" windowHeight="21120" tabRatio="816" activeTab="4" xr2:uid="{4016E89E-62E9-4D28-87C5-B9C68FD46DF1}"/>
  </bookViews>
  <sheets>
    <sheet name="CODIFICATION" sheetId="7" r:id="rId1"/>
    <sheet name="START CABINETS" sheetId="1" r:id="rId2"/>
    <sheet name="GRID CABINETS" sheetId="2" r:id="rId3"/>
    <sheet name="RACKS &amp; OPEN RACKS" sheetId="4" r:id="rId4"/>
    <sheet name="EDF MARKET" sheetId="3" r:id="rId5"/>
    <sheet name="ACCESSORIES 19" sheetId="5" r:id="rId6"/>
    <sheet name="OPEN RACKS" sheetId="6" r:id="rId7"/>
    <sheet name="OFFERS TEMPLATE" sheetId="8" r:id="rId8"/>
  </sheets>
  <externalReferences>
    <externalReference r:id="rId9"/>
  </externalReferences>
  <definedNames>
    <definedName name="_xlnm._FilterDatabase" localSheetId="3" hidden="1">'RACKS &amp; OPEN RACKS'!$A$49:$P$49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3" l="1"/>
  <c r="L123" i="2"/>
  <c r="N123" i="2"/>
  <c r="L129" i="2"/>
  <c r="N129" i="2" s="1"/>
  <c r="L128" i="2"/>
  <c r="N128" i="2" s="1"/>
  <c r="L127" i="2"/>
  <c r="N127" i="2" s="1"/>
  <c r="L126" i="2"/>
  <c r="N126" i="2" s="1"/>
  <c r="L125" i="2"/>
  <c r="N125" i="2" s="1"/>
  <c r="L124" i="2"/>
  <c r="N124" i="2" s="1"/>
  <c r="L45" i="5"/>
  <c r="O19" i="3"/>
  <c r="O18" i="3"/>
  <c r="Q18" i="3"/>
  <c r="O17" i="3"/>
  <c r="Q17" i="3" s="1"/>
  <c r="O1" i="1"/>
  <c r="O2" i="1"/>
  <c r="O23" i="1" s="1"/>
  <c r="J45" i="5" l="1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4" i="5"/>
  <c r="J43" i="5"/>
  <c r="J42" i="5"/>
  <c r="J41" i="5"/>
  <c r="J40" i="5"/>
  <c r="J39" i="5"/>
  <c r="J38" i="5"/>
  <c r="J36" i="5"/>
  <c r="J35" i="5"/>
  <c r="J34" i="5"/>
  <c r="J33" i="5"/>
  <c r="J32" i="5"/>
  <c r="J31" i="5"/>
  <c r="J30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6" i="5"/>
  <c r="J5" i="5"/>
  <c r="L94" i="4" l="1"/>
  <c r="N94" i="4"/>
  <c r="N95" i="4"/>
  <c r="L116" i="4"/>
  <c r="N116" i="4" s="1"/>
  <c r="L115" i="4"/>
  <c r="N115" i="4" s="1"/>
  <c r="L114" i="4"/>
  <c r="N114" i="4" s="1"/>
  <c r="L113" i="4"/>
  <c r="N113" i="4" s="1"/>
  <c r="L112" i="4"/>
  <c r="N112" i="4" s="1"/>
  <c r="L111" i="4"/>
  <c r="N111" i="4" s="1"/>
  <c r="L110" i="4"/>
  <c r="N110" i="4" s="1"/>
  <c r="L109" i="4"/>
  <c r="N109" i="4" s="1"/>
  <c r="L108" i="4"/>
  <c r="N108" i="4" s="1"/>
  <c r="L107" i="4"/>
  <c r="N107" i="4" s="1"/>
  <c r="L106" i="4"/>
  <c r="N106" i="4" s="1"/>
  <c r="L95" i="4"/>
  <c r="L96" i="4"/>
  <c r="N96" i="4" s="1"/>
  <c r="L97" i="4"/>
  <c r="N97" i="4" s="1"/>
  <c r="L98" i="4"/>
  <c r="N98" i="4" s="1"/>
  <c r="L99" i="4"/>
  <c r="N99" i="4" s="1"/>
  <c r="L100" i="4"/>
  <c r="N100" i="4" s="1"/>
  <c r="L101" i="4"/>
  <c r="N101" i="4" s="1"/>
  <c r="L102" i="4"/>
  <c r="N102" i="4" s="1"/>
  <c r="L103" i="4"/>
  <c r="N103" i="4"/>
  <c r="L104" i="4"/>
  <c r="N104" i="4" s="1"/>
  <c r="L32" i="1"/>
  <c r="L15" i="5"/>
  <c r="L46" i="4"/>
  <c r="N46" i="4" s="1"/>
  <c r="L45" i="4"/>
  <c r="N45" i="4" s="1"/>
  <c r="E4" i="8"/>
  <c r="E5" i="8"/>
  <c r="E6" i="8"/>
  <c r="E7" i="8"/>
  <c r="E8" i="8"/>
  <c r="E9" i="8"/>
  <c r="E10" i="8"/>
  <c r="E3" i="8"/>
  <c r="E11" i="8" l="1"/>
  <c r="L56" i="5" l="1"/>
  <c r="L55" i="5"/>
  <c r="R1" i="1"/>
  <c r="O24" i="1"/>
  <c r="R24" i="1" s="1"/>
  <c r="L44" i="1"/>
  <c r="L36" i="1"/>
  <c r="L43" i="1"/>
  <c r="L35" i="1"/>
  <c r="L46" i="1"/>
  <c r="L45" i="1"/>
  <c r="L41" i="1"/>
  <c r="L40" i="1"/>
  <c r="L38" i="1"/>
  <c r="L37" i="1"/>
  <c r="L33" i="1"/>
  <c r="L116" i="2"/>
  <c r="N116" i="2" s="1"/>
  <c r="L117" i="2"/>
  <c r="N117" i="2" s="1"/>
  <c r="L118" i="2"/>
  <c r="N118" i="2" s="1"/>
  <c r="L119" i="2"/>
  <c r="N119" i="2" s="1"/>
  <c r="L120" i="2"/>
  <c r="N120" i="2" s="1"/>
  <c r="L121" i="2"/>
  <c r="N121" i="2" s="1"/>
  <c r="L113" i="2"/>
  <c r="N113" i="2" s="1"/>
  <c r="L114" i="2"/>
  <c r="N114" i="2" s="1"/>
  <c r="L115" i="2"/>
  <c r="N115" i="2" s="1"/>
  <c r="L110" i="2"/>
  <c r="N110" i="2" s="1"/>
  <c r="L111" i="2"/>
  <c r="N111" i="2" s="1"/>
  <c r="L112" i="2"/>
  <c r="N112" i="2" s="1"/>
  <c r="L105" i="2"/>
  <c r="N105" i="2" s="1"/>
  <c r="L106" i="2"/>
  <c r="N106" i="2" s="1"/>
  <c r="L107" i="2"/>
  <c r="N107" i="2" s="1"/>
  <c r="L108" i="2"/>
  <c r="N108" i="2" s="1"/>
  <c r="L109" i="2"/>
  <c r="N109" i="2" s="1"/>
  <c r="L104" i="2"/>
  <c r="N104" i="2" s="1"/>
  <c r="L103" i="2"/>
  <c r="N103" i="2" s="1"/>
  <c r="L102" i="2"/>
  <c r="N102" i="2" s="1"/>
  <c r="L101" i="2"/>
  <c r="N101" i="2" s="1"/>
  <c r="L100" i="2"/>
  <c r="N100" i="2" s="1"/>
  <c r="N72" i="1"/>
  <c r="Q72" i="1" s="1"/>
  <c r="N73" i="1"/>
  <c r="Q73" i="1" s="1"/>
  <c r="N74" i="1"/>
  <c r="Q74" i="1" s="1"/>
  <c r="N77" i="1"/>
  <c r="Q77" i="1" s="1"/>
  <c r="N76" i="1"/>
  <c r="Q76" i="1" s="1"/>
  <c r="AA76" i="1" s="1"/>
  <c r="N75" i="1"/>
  <c r="Q75" i="1" s="1"/>
  <c r="N80" i="1"/>
  <c r="Q80" i="1" s="1"/>
  <c r="N79" i="1"/>
  <c r="Q79" i="1" s="1"/>
  <c r="N78" i="1"/>
  <c r="Q78" i="1" s="1"/>
  <c r="N46" i="1"/>
  <c r="Q46" i="1" s="1"/>
  <c r="N45" i="1"/>
  <c r="Q45" i="1" s="1"/>
  <c r="N44" i="1"/>
  <c r="Q44" i="1" s="1"/>
  <c r="N43" i="1"/>
  <c r="Q43" i="1" s="1"/>
  <c r="O46" i="1" l="1"/>
  <c r="R46" i="1" s="1"/>
  <c r="R23" i="1"/>
  <c r="O25" i="1"/>
  <c r="R25" i="1" s="1"/>
  <c r="O30" i="1"/>
  <c r="R30" i="1" s="1"/>
  <c r="O29" i="1"/>
  <c r="R29" i="1" s="1"/>
  <c r="O28" i="1"/>
  <c r="R28" i="1" s="1"/>
  <c r="O26" i="1"/>
  <c r="R26" i="1" s="1"/>
  <c r="O27" i="1"/>
  <c r="R27" i="1" s="1"/>
  <c r="O32" i="1"/>
  <c r="R32" i="1" s="1"/>
  <c r="O33" i="1"/>
  <c r="R33" i="1" s="1"/>
  <c r="O35" i="1"/>
  <c r="R35" i="1" s="1"/>
  <c r="O40" i="1"/>
  <c r="R40" i="1" s="1"/>
  <c r="O45" i="1"/>
  <c r="R45" i="1" s="1"/>
  <c r="O36" i="1"/>
  <c r="R36" i="1" s="1"/>
  <c r="O37" i="1"/>
  <c r="R37" i="1" s="1"/>
  <c r="O38" i="1"/>
  <c r="R38" i="1" s="1"/>
  <c r="O41" i="1"/>
  <c r="R41" i="1" s="1"/>
  <c r="O43" i="1"/>
  <c r="R43" i="1" s="1"/>
  <c r="O44" i="1"/>
  <c r="R44" i="1" s="1"/>
  <c r="X76" i="1"/>
  <c r="Y76" i="1"/>
  <c r="W76" i="1"/>
  <c r="AA77" i="1"/>
  <c r="W77" i="1"/>
  <c r="X77" i="1"/>
  <c r="Y77" i="1"/>
  <c r="W75" i="1"/>
  <c r="X75" i="1"/>
  <c r="Y75" i="1"/>
  <c r="AA75" i="1"/>
  <c r="N56" i="4"/>
  <c r="L60" i="4"/>
  <c r="L61" i="4"/>
  <c r="N61" i="4" s="1"/>
  <c r="L62" i="4"/>
  <c r="L63" i="4"/>
  <c r="N63" i="4" s="1"/>
  <c r="L64" i="4"/>
  <c r="L65" i="4"/>
  <c r="L66" i="4"/>
  <c r="L52" i="4"/>
  <c r="N52" i="4" s="1"/>
  <c r="L53" i="4"/>
  <c r="N53" i="4" s="1"/>
  <c r="L54" i="4"/>
  <c r="N54" i="4" s="1"/>
  <c r="L55" i="4"/>
  <c r="N55" i="4" s="1"/>
  <c r="L56" i="4"/>
  <c r="L57" i="4"/>
  <c r="N57" i="4" s="1"/>
  <c r="L75" i="4"/>
  <c r="N75" i="4" s="1"/>
  <c r="L76" i="4"/>
  <c r="N76" i="4" s="1"/>
  <c r="L77" i="4"/>
  <c r="N77" i="4" s="1"/>
  <c r="L69" i="4"/>
  <c r="N69" i="4" s="1"/>
  <c r="L74" i="4"/>
  <c r="N74" i="4" s="1"/>
  <c r="L73" i="4"/>
  <c r="N73" i="4" s="1"/>
  <c r="L72" i="4"/>
  <c r="N72" i="4" s="1"/>
  <c r="L71" i="4"/>
  <c r="N71" i="4" s="1"/>
  <c r="L70" i="4"/>
  <c r="N70" i="4" s="1"/>
  <c r="D89" i="3"/>
  <c r="D88" i="3"/>
  <c r="D91" i="3"/>
  <c r="D90" i="3"/>
  <c r="D87" i="3"/>
  <c r="D86" i="3"/>
  <c r="D85" i="3"/>
  <c r="D84" i="3"/>
  <c r="D83" i="3"/>
  <c r="D82" i="3"/>
  <c r="D81" i="3"/>
  <c r="D80" i="3"/>
  <c r="D79" i="3"/>
  <c r="D78" i="3"/>
  <c r="N7" i="1" l="1"/>
  <c r="Q7" i="1" s="1"/>
  <c r="U112" i="1"/>
  <c r="N112" i="1"/>
  <c r="Q112" i="1" s="1"/>
  <c r="U111" i="1"/>
  <c r="N111" i="1"/>
  <c r="Q111" i="1" s="1"/>
  <c r="N110" i="1"/>
  <c r="Q110" i="1" s="1"/>
  <c r="N108" i="1"/>
  <c r="Q108" i="1" s="1"/>
  <c r="U106" i="1"/>
  <c r="N106" i="1"/>
  <c r="Q106" i="1" s="1"/>
  <c r="N105" i="1"/>
  <c r="Q105" i="1" s="1"/>
  <c r="N104" i="1"/>
  <c r="Q104" i="1" s="1"/>
  <c r="U102" i="1"/>
  <c r="N102" i="1"/>
  <c r="Q102" i="1" s="1"/>
  <c r="N101" i="1"/>
  <c r="Q101" i="1" s="1"/>
  <c r="U100" i="1"/>
  <c r="N100" i="1"/>
  <c r="Q100" i="1" s="1"/>
  <c r="U99" i="1"/>
  <c r="N99" i="1"/>
  <c r="Q99" i="1" s="1"/>
  <c r="N98" i="1"/>
  <c r="Q98" i="1" s="1"/>
  <c r="X106" i="1" l="1"/>
  <c r="Y106" i="1"/>
  <c r="Y102" i="1"/>
  <c r="X102" i="1"/>
  <c r="W102" i="1"/>
  <c r="Y104" i="1"/>
  <c r="X104" i="1"/>
  <c r="W104" i="1"/>
  <c r="X105" i="1"/>
  <c r="W105" i="1"/>
  <c r="Y105" i="1"/>
  <c r="Y98" i="1"/>
  <c r="X98" i="1"/>
  <c r="W98" i="1"/>
  <c r="Y108" i="1"/>
  <c r="W108" i="1"/>
  <c r="X108" i="1"/>
  <c r="X99" i="1"/>
  <c r="W99" i="1"/>
  <c r="Y99" i="1"/>
  <c r="Y110" i="1"/>
  <c r="X110" i="1"/>
  <c r="W110" i="1"/>
  <c r="X111" i="1"/>
  <c r="W111" i="1"/>
  <c r="Y111" i="1"/>
  <c r="Y100" i="1"/>
  <c r="X100" i="1"/>
  <c r="W100" i="1"/>
  <c r="X112" i="1"/>
  <c r="W112" i="1"/>
  <c r="Y112" i="1"/>
  <c r="Y101" i="1"/>
  <c r="X101" i="1"/>
  <c r="W101" i="1"/>
  <c r="W106" i="1"/>
  <c r="L6" i="4" l="1"/>
  <c r="N6" i="4" s="1"/>
  <c r="O5" i="3"/>
  <c r="Q5" i="3" s="1"/>
  <c r="L72" i="2"/>
  <c r="N72" i="2" s="1"/>
  <c r="N58" i="1"/>
  <c r="Q58" i="1" s="1"/>
  <c r="AA58" i="1" s="1"/>
  <c r="L38" i="5"/>
  <c r="L63" i="5"/>
  <c r="L62" i="5"/>
  <c r="L61" i="5"/>
  <c r="L60" i="5"/>
  <c r="L59" i="5"/>
  <c r="L58" i="5"/>
  <c r="L57" i="5"/>
  <c r="L54" i="5"/>
  <c r="L53" i="5"/>
  <c r="L52" i="5"/>
  <c r="L51" i="5"/>
  <c r="L50" i="5"/>
  <c r="L49" i="5"/>
  <c r="L48" i="5"/>
  <c r="L47" i="5"/>
  <c r="L46" i="5"/>
  <c r="L44" i="5"/>
  <c r="L43" i="5"/>
  <c r="L42" i="5"/>
  <c r="L41" i="5"/>
  <c r="L40" i="5"/>
  <c r="L39" i="5"/>
  <c r="L36" i="5"/>
  <c r="L35" i="5"/>
  <c r="L34" i="5"/>
  <c r="L33" i="5"/>
  <c r="L32" i="5"/>
  <c r="L31" i="5"/>
  <c r="L30" i="5"/>
  <c r="N66" i="4"/>
  <c r="N65" i="4"/>
  <c r="N64" i="4"/>
  <c r="N62" i="4"/>
  <c r="N60" i="4"/>
  <c r="L59" i="4"/>
  <c r="N59" i="4" s="1"/>
  <c r="L51" i="4"/>
  <c r="N51" i="4" s="1"/>
  <c r="L50" i="4"/>
  <c r="N50" i="4" s="1"/>
  <c r="L44" i="4"/>
  <c r="N44" i="4" s="1"/>
  <c r="L43" i="4"/>
  <c r="N43" i="4" s="1"/>
  <c r="L42" i="4"/>
  <c r="N42" i="4" s="1"/>
  <c r="L41" i="4"/>
  <c r="N41" i="4" s="1"/>
  <c r="L40" i="4"/>
  <c r="N40" i="4" s="1"/>
  <c r="L39" i="4"/>
  <c r="N39" i="4" s="1"/>
  <c r="L38" i="4"/>
  <c r="N38" i="4" s="1"/>
  <c r="L36" i="4"/>
  <c r="N36" i="4" s="1"/>
  <c r="L35" i="4"/>
  <c r="N35" i="4" s="1"/>
  <c r="L34" i="4"/>
  <c r="N34" i="4" s="1"/>
  <c r="L33" i="4"/>
  <c r="N33" i="4" s="1"/>
  <c r="L32" i="4"/>
  <c r="N32" i="4" s="1"/>
  <c r="L31" i="4"/>
  <c r="N31" i="4" s="1"/>
  <c r="L30" i="4"/>
  <c r="N30" i="4" s="1"/>
  <c r="L28" i="4"/>
  <c r="N28" i="4" s="1"/>
  <c r="L27" i="4"/>
  <c r="N27" i="4" s="1"/>
  <c r="L26" i="4"/>
  <c r="N26" i="4" s="1"/>
  <c r="L25" i="4"/>
  <c r="N25" i="4" s="1"/>
  <c r="L24" i="4"/>
  <c r="N24" i="4" s="1"/>
  <c r="L23" i="4"/>
  <c r="N23" i="4" s="1"/>
  <c r="L22" i="4"/>
  <c r="N22" i="4" s="1"/>
  <c r="L20" i="4"/>
  <c r="N20" i="4" s="1"/>
  <c r="L19" i="4"/>
  <c r="N19" i="4" s="1"/>
  <c r="L18" i="4"/>
  <c r="N18" i="4" s="1"/>
  <c r="L17" i="4"/>
  <c r="N17" i="4" s="1"/>
  <c r="L16" i="4"/>
  <c r="N16" i="4" s="1"/>
  <c r="L15" i="4"/>
  <c r="N15" i="4" s="1"/>
  <c r="L14" i="4"/>
  <c r="N14" i="4" s="1"/>
  <c r="L11" i="4"/>
  <c r="N11" i="4" s="1"/>
  <c r="L7" i="4"/>
  <c r="N7" i="4" s="1"/>
  <c r="L8" i="4"/>
  <c r="N8" i="4" s="1"/>
  <c r="L9" i="4"/>
  <c r="N9" i="4" s="1"/>
  <c r="L10" i="4"/>
  <c r="N10" i="4" s="1"/>
  <c r="L12" i="4"/>
  <c r="N12" i="4" s="1"/>
  <c r="O52" i="3"/>
  <c r="Q52" i="3" s="1"/>
  <c r="O53" i="3"/>
  <c r="Q53" i="3" s="1"/>
  <c r="O54" i="3"/>
  <c r="Q54" i="3" s="1"/>
  <c r="O55" i="3"/>
  <c r="Q55" i="3" s="1"/>
  <c r="O56" i="3"/>
  <c r="Q56" i="3" s="1"/>
  <c r="O57" i="3"/>
  <c r="Q57" i="3" s="1"/>
  <c r="O58" i="3"/>
  <c r="Q58" i="3" s="1"/>
  <c r="O59" i="3"/>
  <c r="Q59" i="3" s="1"/>
  <c r="O61" i="3"/>
  <c r="Q61" i="3" s="1"/>
  <c r="O62" i="3"/>
  <c r="Q62" i="3" s="1"/>
  <c r="O63" i="3"/>
  <c r="Q63" i="3" s="1"/>
  <c r="O64" i="3"/>
  <c r="Q64" i="3" s="1"/>
  <c r="O65" i="3"/>
  <c r="Q65" i="3" s="1"/>
  <c r="O66" i="3"/>
  <c r="Q66" i="3" s="1"/>
  <c r="O67" i="3"/>
  <c r="Q67" i="3" s="1"/>
  <c r="O68" i="3"/>
  <c r="Q68" i="3" s="1"/>
  <c r="O69" i="3"/>
  <c r="Q69" i="3" s="1"/>
  <c r="O70" i="3"/>
  <c r="Q70" i="3" s="1"/>
  <c r="O71" i="3"/>
  <c r="Q71" i="3" s="1"/>
  <c r="O72" i="3"/>
  <c r="Q72" i="3" s="1"/>
  <c r="O73" i="3"/>
  <c r="Q73" i="3" s="1"/>
  <c r="O74" i="3"/>
  <c r="Q74" i="3" s="1"/>
  <c r="O75" i="3"/>
  <c r="Q75" i="3" s="1"/>
  <c r="O76" i="3"/>
  <c r="Q76" i="3" s="1"/>
  <c r="O77" i="3"/>
  <c r="Q77" i="3" s="1"/>
  <c r="O78" i="3"/>
  <c r="Q78" i="3" s="1"/>
  <c r="O79" i="3"/>
  <c r="Q79" i="3" s="1"/>
  <c r="O80" i="3"/>
  <c r="Q80" i="3" s="1"/>
  <c r="O81" i="3"/>
  <c r="Q81" i="3" s="1"/>
  <c r="O82" i="3"/>
  <c r="Q82" i="3" s="1"/>
  <c r="O83" i="3"/>
  <c r="Q83" i="3" s="1"/>
  <c r="O84" i="3"/>
  <c r="Q84" i="3" s="1"/>
  <c r="O85" i="3"/>
  <c r="Q85" i="3" s="1"/>
  <c r="O86" i="3"/>
  <c r="Q86" i="3" s="1"/>
  <c r="O87" i="3"/>
  <c r="Q87" i="3" s="1"/>
  <c r="O88" i="3"/>
  <c r="Q88" i="3" s="1"/>
  <c r="O89" i="3"/>
  <c r="Q89" i="3" s="1"/>
  <c r="O90" i="3"/>
  <c r="Q90" i="3" s="1"/>
  <c r="O91" i="3"/>
  <c r="Q91" i="3" s="1"/>
  <c r="O38" i="3"/>
  <c r="Q38" i="3" s="1"/>
  <c r="O39" i="3"/>
  <c r="Q39" i="3" s="1"/>
  <c r="O40" i="3"/>
  <c r="Q40" i="3" s="1"/>
  <c r="O41" i="3"/>
  <c r="Q41" i="3" s="1"/>
  <c r="O42" i="3"/>
  <c r="Q42" i="3" s="1"/>
  <c r="O43" i="3"/>
  <c r="Q43" i="3" s="1"/>
  <c r="O44" i="3"/>
  <c r="Q44" i="3" s="1"/>
  <c r="O45" i="3"/>
  <c r="Q45" i="3" s="1"/>
  <c r="O46" i="3"/>
  <c r="Q46" i="3" s="1"/>
  <c r="O47" i="3"/>
  <c r="Q47" i="3" s="1"/>
  <c r="O48" i="3"/>
  <c r="Q48" i="3" s="1"/>
  <c r="O49" i="3"/>
  <c r="Q49" i="3" s="1"/>
  <c r="O50" i="3"/>
  <c r="Q50" i="3" s="1"/>
  <c r="O51" i="3"/>
  <c r="Q51" i="3" s="1"/>
  <c r="O28" i="3"/>
  <c r="Q28" i="3" s="1"/>
  <c r="O29" i="3"/>
  <c r="Q29" i="3" s="1"/>
  <c r="O30" i="3"/>
  <c r="Q30" i="3" s="1"/>
  <c r="O31" i="3"/>
  <c r="Q31" i="3" s="1"/>
  <c r="O32" i="3"/>
  <c r="Q32" i="3" s="1"/>
  <c r="O33" i="3"/>
  <c r="Q33" i="3" s="1"/>
  <c r="O34" i="3"/>
  <c r="Q34" i="3" s="1"/>
  <c r="O35" i="3"/>
  <c r="Q35" i="3" s="1"/>
  <c r="O36" i="3"/>
  <c r="Q36" i="3" s="1"/>
  <c r="O37" i="3"/>
  <c r="Q37" i="3" s="1"/>
  <c r="O20" i="3"/>
  <c r="Q20" i="3" s="1"/>
  <c r="O21" i="3"/>
  <c r="Q21" i="3" s="1"/>
  <c r="O22" i="3"/>
  <c r="Q22" i="3" s="1"/>
  <c r="O23" i="3"/>
  <c r="Q23" i="3" s="1"/>
  <c r="O24" i="3"/>
  <c r="Q24" i="3" s="1"/>
  <c r="O25" i="3"/>
  <c r="Q25" i="3" s="1"/>
  <c r="O26" i="3"/>
  <c r="Q26" i="3" s="1"/>
  <c r="O27" i="3"/>
  <c r="Q27" i="3" s="1"/>
  <c r="O6" i="3"/>
  <c r="Q6" i="3" s="1"/>
  <c r="O7" i="3"/>
  <c r="Q7" i="3" s="1"/>
  <c r="O8" i="3"/>
  <c r="Q8" i="3" s="1"/>
  <c r="O9" i="3"/>
  <c r="Q9" i="3" s="1"/>
  <c r="O10" i="3"/>
  <c r="Q10" i="3" s="1"/>
  <c r="O11" i="3"/>
  <c r="Q11" i="3" s="1"/>
  <c r="O12" i="3"/>
  <c r="Q12" i="3" s="1"/>
  <c r="O13" i="3"/>
  <c r="Q13" i="3" s="1"/>
  <c r="O14" i="3"/>
  <c r="Q14" i="3" s="1"/>
  <c r="O15" i="3"/>
  <c r="Q15" i="3" s="1"/>
  <c r="O16" i="3"/>
  <c r="Q16" i="3" s="1"/>
  <c r="L9" i="2"/>
  <c r="N9" i="2" s="1"/>
  <c r="L43" i="2"/>
  <c r="N43" i="2" s="1"/>
  <c r="Q73" i="2"/>
  <c r="Q28" i="2"/>
  <c r="Q66" i="2"/>
  <c r="Q13" i="2"/>
  <c r="Q65" i="2"/>
  <c r="L98" i="2" l="1"/>
  <c r="N98" i="2" s="1"/>
  <c r="L97" i="2"/>
  <c r="N97" i="2" s="1"/>
  <c r="L96" i="2"/>
  <c r="N96" i="2" s="1"/>
  <c r="L95" i="2"/>
  <c r="N95" i="2" s="1"/>
  <c r="L94" i="2"/>
  <c r="N94" i="2" s="1"/>
  <c r="L93" i="2"/>
  <c r="N93" i="2" s="1"/>
  <c r="L92" i="2"/>
  <c r="N92" i="2" s="1"/>
  <c r="L91" i="2"/>
  <c r="N91" i="2" s="1"/>
  <c r="L90" i="2"/>
  <c r="N90" i="2" s="1"/>
  <c r="L89" i="2"/>
  <c r="N89" i="2" s="1"/>
  <c r="L88" i="2"/>
  <c r="N88" i="2" s="1"/>
  <c r="L87" i="2"/>
  <c r="N87" i="2" s="1"/>
  <c r="L86" i="2"/>
  <c r="N86" i="2" s="1"/>
  <c r="L85" i="2"/>
  <c r="N85" i="2" s="1"/>
  <c r="L84" i="2"/>
  <c r="N84" i="2" s="1"/>
  <c r="L83" i="2"/>
  <c r="N83" i="2" s="1"/>
  <c r="L82" i="2"/>
  <c r="N82" i="2" s="1"/>
  <c r="L81" i="2"/>
  <c r="N81" i="2" s="1"/>
  <c r="L80" i="2"/>
  <c r="N80" i="2" s="1"/>
  <c r="L79" i="2"/>
  <c r="N79" i="2" s="1"/>
  <c r="L77" i="2"/>
  <c r="N77" i="2" s="1"/>
  <c r="L76" i="2"/>
  <c r="N76" i="2" s="1"/>
  <c r="L75" i="2"/>
  <c r="N75" i="2" s="1"/>
  <c r="L74" i="2"/>
  <c r="N74" i="2" s="1"/>
  <c r="L73" i="2"/>
  <c r="N73" i="2" s="1"/>
  <c r="L71" i="2"/>
  <c r="N71" i="2" s="1"/>
  <c r="L70" i="2"/>
  <c r="N70" i="2" s="1"/>
  <c r="L68" i="2"/>
  <c r="N68" i="2" s="1"/>
  <c r="L67" i="2"/>
  <c r="N67" i="2" s="1"/>
  <c r="L66" i="2"/>
  <c r="N66" i="2" s="1"/>
  <c r="L65" i="2"/>
  <c r="N65" i="2" s="1"/>
  <c r="L64" i="2"/>
  <c r="N64" i="2" s="1"/>
  <c r="L63" i="2"/>
  <c r="N63" i="2" s="1"/>
  <c r="L62" i="2"/>
  <c r="N62" i="2" s="1"/>
  <c r="L61" i="2"/>
  <c r="N61" i="2" s="1"/>
  <c r="L51" i="2"/>
  <c r="N51" i="2" s="1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N59" i="2" s="1"/>
  <c r="L50" i="2"/>
  <c r="N50" i="2" s="1"/>
  <c r="L48" i="2"/>
  <c r="N48" i="2" s="1"/>
  <c r="L47" i="2"/>
  <c r="N47" i="2" s="1"/>
  <c r="L46" i="2"/>
  <c r="N46" i="2" s="1"/>
  <c r="L45" i="2"/>
  <c r="N45" i="2" s="1"/>
  <c r="L44" i="2"/>
  <c r="N44" i="2" s="1"/>
  <c r="L42" i="2"/>
  <c r="N42" i="2" s="1"/>
  <c r="L41" i="2"/>
  <c r="N41" i="2" s="1"/>
  <c r="L40" i="2"/>
  <c r="N40" i="2" s="1"/>
  <c r="L39" i="2"/>
  <c r="N39" i="2" s="1"/>
  <c r="Q25" i="2"/>
  <c r="L25" i="2"/>
  <c r="N25" i="2" s="1"/>
  <c r="L37" i="2"/>
  <c r="N37" i="2" s="1"/>
  <c r="L36" i="2"/>
  <c r="N36" i="2" s="1"/>
  <c r="L35" i="2"/>
  <c r="N35" i="2" s="1"/>
  <c r="L34" i="2"/>
  <c r="N34" i="2" s="1"/>
  <c r="L33" i="2"/>
  <c r="N33" i="2" s="1"/>
  <c r="L32" i="2"/>
  <c r="N32" i="2" s="1"/>
  <c r="L31" i="2"/>
  <c r="N31" i="2" s="1"/>
  <c r="L30" i="2"/>
  <c r="N30" i="2" s="1"/>
  <c r="L29" i="2"/>
  <c r="N29" i="2" s="1"/>
  <c r="L28" i="2"/>
  <c r="N28" i="2" s="1"/>
  <c r="L27" i="2"/>
  <c r="N27" i="2" s="1"/>
  <c r="L26" i="2"/>
  <c r="N26" i="2" s="1"/>
  <c r="Q77" i="2"/>
  <c r="Q76" i="2"/>
  <c r="Q75" i="2"/>
  <c r="Q74" i="2"/>
  <c r="Q72" i="2"/>
  <c r="Q59" i="2"/>
  <c r="Q48" i="2"/>
  <c r="Q29" i="2"/>
  <c r="Q27" i="2"/>
  <c r="Q10" i="2"/>
  <c r="Q9" i="2"/>
  <c r="Q8" i="2"/>
  <c r="L7" i="2"/>
  <c r="N7" i="2" s="1"/>
  <c r="L8" i="2"/>
  <c r="N8" i="2" s="1"/>
  <c r="L10" i="2"/>
  <c r="N10" i="2" s="1"/>
  <c r="L11" i="2"/>
  <c r="N11" i="2" s="1"/>
  <c r="L12" i="2"/>
  <c r="N12" i="2" s="1"/>
  <c r="L13" i="2"/>
  <c r="N13" i="2" s="1"/>
  <c r="L14" i="2"/>
  <c r="N14" i="2"/>
  <c r="L15" i="2"/>
  <c r="N15" i="2" s="1"/>
  <c r="L16" i="2"/>
  <c r="N16" i="2" s="1"/>
  <c r="L17" i="2"/>
  <c r="N17" i="2" s="1"/>
  <c r="L18" i="2"/>
  <c r="N18" i="2" s="1"/>
  <c r="L19" i="2"/>
  <c r="N19" i="2"/>
  <c r="L20" i="2"/>
  <c r="N20" i="2" s="1"/>
  <c r="L21" i="2"/>
  <c r="N21" i="2"/>
  <c r="L22" i="2"/>
  <c r="N22" i="2" s="1"/>
  <c r="L23" i="2"/>
  <c r="N23" i="2" s="1"/>
  <c r="L6" i="2"/>
  <c r="N6" i="2" s="1"/>
  <c r="U40" i="1" l="1"/>
  <c r="U37" i="1"/>
  <c r="U18" i="1"/>
  <c r="U11" i="1"/>
  <c r="U9" i="1"/>
  <c r="U8" i="1"/>
  <c r="N71" i="1"/>
  <c r="N70" i="1"/>
  <c r="N69" i="1"/>
  <c r="Q69" i="1" s="1"/>
  <c r="AA69" i="1" s="1"/>
  <c r="N68" i="1"/>
  <c r="Q68" i="1" s="1"/>
  <c r="AA68" i="1" s="1"/>
  <c r="N67" i="1"/>
  <c r="Q67" i="1" s="1"/>
  <c r="AA67" i="1" s="1"/>
  <c r="N66" i="1"/>
  <c r="Q66" i="1" s="1"/>
  <c r="AA66" i="1" s="1"/>
  <c r="N65" i="1"/>
  <c r="Q65" i="1" s="1"/>
  <c r="AA65" i="1" s="1"/>
  <c r="N64" i="1"/>
  <c r="Q64" i="1" s="1"/>
  <c r="AA64" i="1" s="1"/>
  <c r="N63" i="1"/>
  <c r="Q63" i="1" s="1"/>
  <c r="AD63" i="1" s="1"/>
  <c r="N62" i="1"/>
  <c r="Q62" i="1" s="1"/>
  <c r="AA62" i="1" s="1"/>
  <c r="N61" i="1"/>
  <c r="Q61" i="1" s="1"/>
  <c r="AA61" i="1" s="1"/>
  <c r="N60" i="1"/>
  <c r="Q60" i="1" s="1"/>
  <c r="AA60" i="1" s="1"/>
  <c r="N59" i="1"/>
  <c r="Q59" i="1" s="1"/>
  <c r="AA59" i="1" s="1"/>
  <c r="N57" i="1"/>
  <c r="Q57" i="1" s="1"/>
  <c r="AA57" i="1" s="1"/>
  <c r="N56" i="1"/>
  <c r="Q56" i="1" s="1"/>
  <c r="AA56" i="1" s="1"/>
  <c r="N55" i="1"/>
  <c r="Q55" i="1" s="1"/>
  <c r="AA55" i="1" s="1"/>
  <c r="N54" i="1"/>
  <c r="Q54" i="1" s="1"/>
  <c r="AA54" i="1" s="1"/>
  <c r="N53" i="1"/>
  <c r="Q53" i="1" s="1"/>
  <c r="AA53" i="1" s="1"/>
  <c r="N52" i="1"/>
  <c r="Q52" i="1" s="1"/>
  <c r="AA52" i="1" s="1"/>
  <c r="N51" i="1"/>
  <c r="Q51" i="1" s="1"/>
  <c r="AA51" i="1" s="1"/>
  <c r="N50" i="1"/>
  <c r="Q50" i="1" s="1"/>
  <c r="AA50" i="1" s="1"/>
  <c r="N49" i="1"/>
  <c r="Q49" i="1" s="1"/>
  <c r="AA49" i="1" s="1"/>
  <c r="N48" i="1"/>
  <c r="Q48" i="1" s="1"/>
  <c r="AA48" i="1" s="1"/>
  <c r="N41" i="1"/>
  <c r="Q41" i="1" s="1"/>
  <c r="N40" i="1"/>
  <c r="Q40" i="1" s="1"/>
  <c r="N38" i="1"/>
  <c r="Q38" i="1" s="1"/>
  <c r="N37" i="1"/>
  <c r="Q37" i="1" s="1"/>
  <c r="N36" i="1"/>
  <c r="Q36" i="1" s="1"/>
  <c r="N35" i="1"/>
  <c r="Q35" i="1" s="1"/>
  <c r="N33" i="1"/>
  <c r="Q33" i="1" s="1"/>
  <c r="N32" i="1"/>
  <c r="Q32" i="1" s="1"/>
  <c r="N21" i="1"/>
  <c r="Q21" i="1" s="1"/>
  <c r="N19" i="1"/>
  <c r="Q19" i="1" s="1"/>
  <c r="Q71" i="1"/>
  <c r="AA71" i="1" s="1"/>
  <c r="Q70" i="1"/>
  <c r="AA70" i="1" s="1"/>
  <c r="N18" i="1"/>
  <c r="Q18" i="1" s="1"/>
  <c r="N17" i="1"/>
  <c r="Q17" i="1" s="1"/>
  <c r="N16" i="1"/>
  <c r="Q16" i="1" s="1"/>
  <c r="N15" i="1"/>
  <c r="Q15" i="1" s="1"/>
  <c r="N14" i="1"/>
  <c r="Q14" i="1" s="1"/>
  <c r="N12" i="1"/>
  <c r="N11" i="1"/>
  <c r="Q11" i="1" s="1"/>
  <c r="N10" i="1"/>
  <c r="Q10" i="1" s="1"/>
  <c r="N9" i="1"/>
  <c r="N8" i="1"/>
  <c r="W38" i="1" l="1"/>
  <c r="Y38" i="1"/>
  <c r="X38" i="1"/>
  <c r="X63" i="1"/>
  <c r="AA63" i="1"/>
  <c r="AB63" i="1" s="1"/>
  <c r="L19" i="5"/>
  <c r="L10" i="5"/>
  <c r="L17" i="5"/>
  <c r="L18" i="5"/>
  <c r="L8" i="5"/>
  <c r="L9" i="5"/>
  <c r="L81" i="4"/>
  <c r="L86" i="4"/>
  <c r="N86" i="4" s="1"/>
  <c r="L90" i="4"/>
  <c r="N90" i="4" s="1"/>
  <c r="L89" i="4"/>
  <c r="N89" i="4" s="1"/>
  <c r="L88" i="4"/>
  <c r="N88" i="4" s="1"/>
  <c r="L87" i="4"/>
  <c r="N87" i="4" s="1"/>
  <c r="L23" i="5"/>
  <c r="L22" i="5"/>
  <c r="L21" i="5"/>
  <c r="L20" i="5"/>
  <c r="L16" i="5"/>
  <c r="L14" i="5"/>
  <c r="L13" i="5"/>
  <c r="L12" i="5"/>
  <c r="L11" i="5"/>
  <c r="S15" i="2" l="1"/>
  <c r="S16" i="2"/>
  <c r="S17" i="2"/>
  <c r="S18" i="2"/>
  <c r="S19" i="2"/>
  <c r="S20" i="2"/>
  <c r="S21" i="2"/>
  <c r="S22" i="2"/>
  <c r="S23" i="2"/>
  <c r="S26" i="2"/>
  <c r="S28" i="2"/>
  <c r="S32" i="2"/>
  <c r="S33" i="2"/>
  <c r="S34" i="2"/>
  <c r="S35" i="2"/>
  <c r="S36" i="2"/>
  <c r="S37" i="2"/>
  <c r="S39" i="2"/>
  <c r="S40" i="2"/>
  <c r="S41" i="2"/>
  <c r="S42" i="2"/>
  <c r="S44" i="2"/>
  <c r="S45" i="2"/>
  <c r="S46" i="2"/>
  <c r="S50" i="2"/>
  <c r="S51" i="2"/>
  <c r="S52" i="2"/>
  <c r="S53" i="2"/>
  <c r="S55" i="2"/>
  <c r="S56" i="2"/>
  <c r="S57" i="2"/>
  <c r="S61" i="2"/>
  <c r="S62" i="2"/>
  <c r="S67" i="2"/>
  <c r="S68" i="2"/>
  <c r="S70" i="2"/>
  <c r="Y37" i="1" l="1"/>
  <c r="Q9" i="1" l="1"/>
  <c r="S6" i="2"/>
  <c r="S66" i="2"/>
  <c r="S65" i="2"/>
  <c r="S64" i="2"/>
  <c r="S63" i="2"/>
  <c r="S58" i="2"/>
  <c r="S48" i="2"/>
  <c r="S47" i="2"/>
  <c r="S43" i="2"/>
  <c r="Y71" i="1"/>
  <c r="Y70" i="1"/>
  <c r="Y69" i="1"/>
  <c r="W68" i="1"/>
  <c r="Y67" i="1"/>
  <c r="Y66" i="1"/>
  <c r="W65" i="1"/>
  <c r="W64" i="1"/>
  <c r="Y63" i="1"/>
  <c r="Y62" i="1"/>
  <c r="Y61" i="1"/>
  <c r="Y60" i="1"/>
  <c r="Y59" i="1"/>
  <c r="Y58" i="1"/>
  <c r="Y57" i="1"/>
  <c r="Y56" i="1"/>
  <c r="W55" i="1"/>
  <c r="W54" i="1"/>
  <c r="Y53" i="1"/>
  <c r="Y52" i="1"/>
  <c r="W51" i="1"/>
  <c r="W50" i="1"/>
  <c r="W49" i="1"/>
  <c r="W48" i="1"/>
  <c r="W41" i="1"/>
  <c r="Y40" i="1"/>
  <c r="Y36" i="1"/>
  <c r="X35" i="1"/>
  <c r="W33" i="1"/>
  <c r="W32" i="1"/>
  <c r="Y21" i="1"/>
  <c r="Y19" i="1"/>
  <c r="W18" i="1"/>
  <c r="W17" i="1"/>
  <c r="W16" i="1"/>
  <c r="W15" i="1"/>
  <c r="W14" i="1"/>
  <c r="Y10" i="1"/>
  <c r="Q8" i="1"/>
  <c r="W8" i="1" s="1"/>
  <c r="X11" i="1" l="1"/>
  <c r="Y11" i="1"/>
  <c r="W11" i="1"/>
  <c r="W56" i="1"/>
  <c r="X49" i="1"/>
  <c r="W59" i="1"/>
  <c r="Y48" i="1"/>
  <c r="Y49" i="1"/>
  <c r="Y68" i="1"/>
  <c r="X68" i="1"/>
  <c r="X69" i="1"/>
  <c r="W60" i="1"/>
  <c r="W63" i="1"/>
  <c r="X37" i="1"/>
  <c r="W61" i="1"/>
  <c r="W62" i="1"/>
  <c r="Y17" i="1"/>
  <c r="X18" i="1"/>
  <c r="X48" i="1"/>
  <c r="W69" i="1"/>
  <c r="W70" i="1"/>
  <c r="X55" i="1"/>
  <c r="Y15" i="1"/>
  <c r="X16" i="1"/>
  <c r="X56" i="1"/>
  <c r="X32" i="1"/>
  <c r="W66" i="1"/>
  <c r="X70" i="1"/>
  <c r="W67" i="1"/>
  <c r="X54" i="1"/>
  <c r="Y54" i="1"/>
  <c r="Y55" i="1"/>
  <c r="Y16" i="1"/>
  <c r="Y18" i="1"/>
  <c r="X19" i="1"/>
  <c r="W19" i="1"/>
  <c r="Y32" i="1"/>
  <c r="W52" i="1"/>
  <c r="X33" i="1"/>
  <c r="X61" i="1"/>
  <c r="W53" i="1"/>
  <c r="X14" i="1"/>
  <c r="Y14" i="1"/>
  <c r="X41" i="1"/>
  <c r="X62" i="1"/>
  <c r="X15" i="1"/>
  <c r="Y41" i="1"/>
  <c r="Y9" i="1"/>
  <c r="X9" i="1"/>
  <c r="W9" i="1"/>
  <c r="Y33" i="1"/>
  <c r="X8" i="1"/>
  <c r="W36" i="1"/>
  <c r="W57" i="1"/>
  <c r="W71" i="1"/>
  <c r="Y8" i="1"/>
  <c r="Y35" i="1"/>
  <c r="W10" i="1"/>
  <c r="W37" i="1"/>
  <c r="W58" i="1"/>
  <c r="X17" i="1"/>
  <c r="X36" i="1"/>
  <c r="X50" i="1"/>
  <c r="X57" i="1"/>
  <c r="X64" i="1"/>
  <c r="X71" i="1"/>
  <c r="W21" i="1"/>
  <c r="W35" i="1"/>
  <c r="Y50" i="1"/>
  <c r="Y64" i="1"/>
  <c r="W40" i="1"/>
  <c r="X10" i="1"/>
  <c r="X51" i="1"/>
  <c r="X58" i="1"/>
  <c r="X65" i="1"/>
  <c r="Y51" i="1"/>
  <c r="Y65" i="1"/>
  <c r="X52" i="1"/>
  <c r="X59" i="1"/>
  <c r="X66" i="1"/>
  <c r="X21" i="1"/>
  <c r="X40" i="1"/>
  <c r="X53" i="1"/>
  <c r="X60" i="1"/>
  <c r="X67" i="1"/>
  <c r="N81" i="4" l="1"/>
  <c r="L84" i="4"/>
  <c r="N84" i="4" s="1"/>
  <c r="L83" i="4"/>
  <c r="N83" i="4" s="1"/>
  <c r="L82" i="4"/>
  <c r="N82" i="4" s="1"/>
  <c r="L24" i="5" l="1"/>
  <c r="L25" i="5"/>
  <c r="L6" i="5"/>
  <c r="L27" i="5"/>
  <c r="L28" i="5"/>
  <c r="L26" i="5"/>
  <c r="S73" i="2"/>
  <c r="S9" i="2" l="1"/>
  <c r="S10" i="2"/>
  <c r="S27" i="2"/>
  <c r="S11" i="2" l="1"/>
  <c r="S74" i="2"/>
  <c r="S25" i="2"/>
  <c r="S8" i="2"/>
  <c r="S7" i="2"/>
  <c r="S13" i="2"/>
  <c r="S12" i="2"/>
  <c r="S72" i="2" l="1"/>
  <c r="S14" i="2"/>
  <c r="S30" i="2"/>
  <c r="S29" i="2"/>
  <c r="S54" i="2" l="1"/>
  <c r="S31" i="2"/>
  <c r="S59" i="2"/>
  <c r="S71" i="2" l="1"/>
  <c r="S76" i="2"/>
  <c r="S75" i="2"/>
  <c r="S77" i="2" l="1"/>
  <c r="X7" i="1" l="1"/>
  <c r="W7" i="1" l="1"/>
  <c r="Y7" i="1"/>
  <c r="Q12" i="1"/>
  <c r="X12" i="1" l="1"/>
  <c r="W12" i="1"/>
  <c r="Y12" i="1"/>
  <c r="L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</author>
  </authors>
  <commentList>
    <comment ref="H55" authorId="0" shapeId="0" xr:uid="{21C2BE1B-564E-4E64-9069-77215905BDA0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OFFRE DU 13/11</t>
        </r>
      </text>
    </comment>
  </commentList>
</comments>
</file>

<file path=xl/sharedStrings.xml><?xml version="1.0" encoding="utf-8"?>
<sst xmlns="http://schemas.openxmlformats.org/spreadsheetml/2006/main" count="2414" uniqueCount="1352">
  <si>
    <t>Product Code</t>
  </si>
  <si>
    <t>Dimensions</t>
  </si>
  <si>
    <t>Unit Price</t>
  </si>
  <si>
    <t>MR.HD.22U66.01_SYMA</t>
  </si>
  <si>
    <t>22RU 600mmx600mm</t>
  </si>
  <si>
    <t>MR.HD.24U66.01_SYMA</t>
  </si>
  <si>
    <t>24RU 600mmx600mm</t>
  </si>
  <si>
    <t>MR.HD.27U66.01_SYMA</t>
  </si>
  <si>
    <t>27RU 600mmx600mm</t>
  </si>
  <si>
    <t>MR.HD.32U66.01_SYMA</t>
  </si>
  <si>
    <t>32RU 600mmx600mm</t>
  </si>
  <si>
    <t>MR.HD.42U66.01_SYMA</t>
  </si>
  <si>
    <t>42RU 600mmx600mm</t>
  </si>
  <si>
    <t>MR.HD.22U68.01_SYMA</t>
  </si>
  <si>
    <t>22RU 600mmx800mm</t>
  </si>
  <si>
    <t>MR.HD.27U68.01_SYMA</t>
  </si>
  <si>
    <t>27RU 600mmx800mm</t>
  </si>
  <si>
    <t>MR.HD.42U68.01_SYMA</t>
  </si>
  <si>
    <t>42RU 600mmx800mm</t>
  </si>
  <si>
    <t>MR.HD.42U61.01_SYMA</t>
  </si>
  <si>
    <t>42RU 600mmx1000mm</t>
  </si>
  <si>
    <t>MR.HD.42U86.01_SYMA</t>
  </si>
  <si>
    <t>42RU 800mmx600mm</t>
  </si>
  <si>
    <t>MR.HD.42U88.01_SYMA</t>
  </si>
  <si>
    <t>42RU 800mmx800mm</t>
  </si>
  <si>
    <t>MR.HD.42U81.01_SYMA</t>
  </si>
  <si>
    <t>42RU 800mmx1000mm</t>
  </si>
  <si>
    <t>Coeff Trsp</t>
  </si>
  <si>
    <t>€/$</t>
  </si>
  <si>
    <t xml:space="preserve">Competitors prices </t>
  </si>
  <si>
    <t>Ex Works Eskisehir</t>
  </si>
  <si>
    <t>47RU 600mmx800mm</t>
  </si>
  <si>
    <t>33RU 800mmx800mm</t>
  </si>
  <si>
    <t>47RU 800mmx800mm</t>
  </si>
  <si>
    <t>47RU 800mmx1000mm</t>
  </si>
  <si>
    <t>42RU 800mmx1200mm</t>
  </si>
  <si>
    <t>47RU 800mmx1200mm</t>
  </si>
  <si>
    <t>Product Description</t>
  </si>
  <si>
    <t>Mirsan Code</t>
  </si>
  <si>
    <t>SYMEA PRICES</t>
  </si>
  <si>
    <t>691707IP55.2</t>
  </si>
  <si>
    <t>MR.IP55W07U60.03</t>
  </si>
  <si>
    <t>691709IP55.2</t>
  </si>
  <si>
    <t>MR.IP55W09U60.03</t>
  </si>
  <si>
    <t>691712IP55.2</t>
  </si>
  <si>
    <t>MR.IP55W12U60.03</t>
  </si>
  <si>
    <t>691716IP55.2</t>
  </si>
  <si>
    <t>CO126080MN</t>
  </si>
  <si>
    <t>MR.WTN12U68.01</t>
  </si>
  <si>
    <t>CO166080MN</t>
  </si>
  <si>
    <t>MR.WTN16U68.01</t>
  </si>
  <si>
    <t>CO206080MN</t>
  </si>
  <si>
    <t>MR.WTN20U68.01</t>
  </si>
  <si>
    <t>CO226080MN</t>
  </si>
  <si>
    <t>MR.WTN22U68.01</t>
  </si>
  <si>
    <t>CO266080MN</t>
  </si>
  <si>
    <t>MR.WTN26U68.01</t>
  </si>
  <si>
    <t>SYMEA DDP Prices</t>
  </si>
  <si>
    <t>SYSKERN DDP Prices</t>
  </si>
  <si>
    <t>Door Configurations</t>
  </si>
  <si>
    <t>Single Front Glass Door - Full rear</t>
  </si>
  <si>
    <t>Double Front Glass Door - Full rear</t>
  </si>
  <si>
    <t>Single Front Perforated Door - Single Rear Perforated Door</t>
  </si>
  <si>
    <t>Double Front Perforated Door - Double Rear Perforated Door</t>
  </si>
  <si>
    <t>Double Front Perforated Door - Full Rear</t>
  </si>
  <si>
    <t>EDF EDF2 CABINET</t>
  </si>
  <si>
    <t>F8842EDF2</t>
  </si>
  <si>
    <t>EDF Cabinet 42U 800 X 800</t>
  </si>
  <si>
    <t>MR.HD.GTN42U88.01_EDF</t>
  </si>
  <si>
    <t>F8842EDF2EX</t>
  </si>
  <si>
    <t>Extension of Cabinet F8842EDF2 (Cabinet without side panels for alignment of multiple Cabinets + Juxtaposition Kit)</t>
  </si>
  <si>
    <t>MR.HD.GTN42U88.01_YKPSZ_EDF</t>
  </si>
  <si>
    <t>F6642EDF2</t>
  </si>
  <si>
    <t>EDF Cabinet 42U 600 X 600</t>
  </si>
  <si>
    <t>MR.HD.GTN42U66.01_EDF</t>
  </si>
  <si>
    <t>F6642EDF2EX</t>
  </si>
  <si>
    <t>Extension of Cabinet F6642EDF2 (Cabinet without side panels for alignment of multiple Cabinets + Juxtaposition Kit)</t>
  </si>
  <si>
    <t>MR.HD.GTN42U66.01_YKPSZ_EDF</t>
  </si>
  <si>
    <t>F6842EDF2</t>
  </si>
  <si>
    <t>EDF Cabinet 42U 600 X 800</t>
  </si>
  <si>
    <t>MR.HD.GTN42U68.01_EDF</t>
  </si>
  <si>
    <t>F6842EDF2EX</t>
  </si>
  <si>
    <t>Extension of Cabinet F6842EDF2 (Cabinet without side panels for alignment of multiple Cabinets + Juxtaposition Kit)</t>
  </si>
  <si>
    <t>MR.HD.GTN42U68.01_YKPSZ_EDF</t>
  </si>
  <si>
    <t>F8142EDF2</t>
  </si>
  <si>
    <t>EDF Cabinet 42U 800 X 1000</t>
  </si>
  <si>
    <t>MR.HD.GTN42U81.01_EDF</t>
  </si>
  <si>
    <t>F8142EDF2EX</t>
  </si>
  <si>
    <t>Extension of Cabinet F8142EDF2 (Cabinet without side panels for alignment of multiple Cabinets + Juxtaposition Kit)</t>
  </si>
  <si>
    <t>MR.HD.GTN42U81.01_YKPSZ_EDF</t>
  </si>
  <si>
    <t>F8847EDF2</t>
  </si>
  <si>
    <t>EDF Cabinet 47U 800 X 800</t>
  </si>
  <si>
    <t>MR.HD.GTN47U88.01_EDF</t>
  </si>
  <si>
    <t>F8847EDF2EX</t>
  </si>
  <si>
    <t>Extension of Cabinet F8847EDF2 (Cabinet without side panels for alignment of multiple Cabinets + Juxtaposition Kit)</t>
  </si>
  <si>
    <t>MR.HD.GTN47U88.01_YKPSZ_EDF</t>
  </si>
  <si>
    <t>F8147EDF2</t>
  </si>
  <si>
    <t>EDF Cabinet 47U 800 X 1000</t>
  </si>
  <si>
    <t>MR.HD.GTN47U81.01_EDF</t>
  </si>
  <si>
    <t>F8147EDF2EX</t>
  </si>
  <si>
    <t>MR.HD.GTN47U81.01_YKPSZ_EDF</t>
  </si>
  <si>
    <t>Barrels for EDF1 and EDF2 Cabinets</t>
  </si>
  <si>
    <t>BARBOUTEDFXXXX</t>
  </si>
  <si>
    <t>METAL EDF Barrel for Side Panel Button of the Cabinet or 3-point Cabinet closure</t>
  </si>
  <si>
    <t>BARPOIGNEDFXXX</t>
  </si>
  <si>
    <t>METAL EDF Barrel for Cabinet handle</t>
  </si>
  <si>
    <t>For a Cabinet, 4 "button" barrels are required for the 2 side panels and 2 barrels for front and rear doors</t>
  </si>
  <si>
    <t>For a Cabinet, 3 barrels are required for the button: Door + 2 side panels</t>
  </si>
  <si>
    <t>METAL EDF Barrel for side panel of Cabinet or EDF Tecnosteel Cabinet, XXXX to be replaced by 2131AB, 455B depending on the chosen model: 900B, 1300B, 1400B, 610B, 610EB, 610RB, 900B, 1300B, 1400B, 610B, 610EB, 610RB</t>
  </si>
  <si>
    <t>Brackets for EDF1 and EDF2 Cabinets</t>
  </si>
  <si>
    <t>TSF9869</t>
  </si>
  <si>
    <t>Chair for Cabinet 800x800, adjustable 158 to 280.5 mm, load capacity 1000kg</t>
  </si>
  <si>
    <t>MR.SHP88.01_EDF_1628</t>
  </si>
  <si>
    <t>W=800MM D=800MM H=158-280MM ADJUSTABLE STAND BLACK</t>
  </si>
  <si>
    <t>TSF9869H3</t>
  </si>
  <si>
    <t>Chair for Cabinet 800x800, adjustable 278 to 520.5 mm, load capacity 1000kg</t>
  </si>
  <si>
    <t>MR.SHP88.01_EDF_2852</t>
  </si>
  <si>
    <t>W=800MM D=800MM H=278-520.5MM ADJUSTABLE STAND BLACK</t>
  </si>
  <si>
    <t>TSF9878</t>
  </si>
  <si>
    <t>Chair for Cabinet 800x1000, adjustable 158 to 280.5 mm, load capacity 1000kg</t>
  </si>
  <si>
    <t>MR.SHP81.01_EDF_1628</t>
  </si>
  <si>
    <t>W=800MM D=1000MM H=158-280MM ADJUSTABLE STAND BLACK</t>
  </si>
  <si>
    <t>TSF9878H3</t>
  </si>
  <si>
    <t>Chair for Cabinet 800x1000, adjustable 278 to 520.5 mm, load capacity 1000kg</t>
  </si>
  <si>
    <t>MR.SHP81.01_EDF_2852</t>
  </si>
  <si>
    <t>W=800MM D=1000MM H=278-520.5MM ADJUSTABLE STAND BLACK</t>
  </si>
  <si>
    <t>TSF9877</t>
  </si>
  <si>
    <t>Chair for Cabinet 600x600, adjustable 158 to 280.5 mm, load capacity 1000kg</t>
  </si>
  <si>
    <t>MR.SHP66.01_EDF_1628</t>
  </si>
  <si>
    <t>W=600MM D=600MM H=158-280MM ADJUSTABLE STAND BLACK</t>
  </si>
  <si>
    <t>TSF9877H3</t>
  </si>
  <si>
    <t>Chair for Cabinet 600x600, adjustable 278 to 520.5 mm, load capacity 1000kg</t>
  </si>
  <si>
    <t>MR.SHP66.01_EDF_2852</t>
  </si>
  <si>
    <t>W=600MM D=600MM H=278-520.5MM ADJUSTABLE STAND BLACK</t>
  </si>
  <si>
    <t>TSF9876</t>
  </si>
  <si>
    <t>Chair for Cabinet 600x800, adjustable 158 to 280.5 mm, load capacity 1000kg</t>
  </si>
  <si>
    <t>MR.SHP68.01_EDF_1628</t>
  </si>
  <si>
    <t>W=600MM D=800MM H=158-280MM ADJUSTABLE STAND BLACK</t>
  </si>
  <si>
    <t>TSF9876H3</t>
  </si>
  <si>
    <t>Chair for Cabinet 600x800, adjustable 278 to 520.5 mm, load capacity 1000kg</t>
  </si>
  <si>
    <t>MR.SHP68.01_EDF_2852</t>
  </si>
  <si>
    <t>W=600MM D=800MM H=278-520.5MM ADJUSTABLE STAND BLACK</t>
  </si>
  <si>
    <t>TSF9880</t>
  </si>
  <si>
    <t>Chair for Cabinet 600x1000, adjustable 158 to 280.5 mm, load capacity 1000kg</t>
  </si>
  <si>
    <t>MR.SHP61.01_EDF_1628</t>
  </si>
  <si>
    <t>W=600MM D=1000MM H=158-280MM ADJUSTABLE STAND BLACK</t>
  </si>
  <si>
    <t>TSF9880H3</t>
  </si>
  <si>
    <t>Chair for Cabinet 600x1000, adjustable 278 to 520.5 mm, load capacity 1000kg</t>
  </si>
  <si>
    <t>MR.SHP61.01_EDF_2852</t>
  </si>
  <si>
    <t>W=600MM D=1000MM H=278-520.5MM ADJUSTABLE STAND BLACK</t>
  </si>
  <si>
    <t>Cabinets</t>
  </si>
  <si>
    <t>10U Depth 600</t>
  </si>
  <si>
    <t>TSFPA6010MN</t>
  </si>
  <si>
    <t>19" Cabinet 10U 600x620x520h, black solid door, solid panels, ASSEMBLED</t>
  </si>
  <si>
    <t>MR.WTC10U6062MN.01</t>
  </si>
  <si>
    <t>10U W=600MM D=620MM ASSEMBLED COM-BOX WHITE (SIDE PANEL LOCKABLE, TOP FRAME BRUSHED)</t>
  </si>
  <si>
    <t>TSF9826</t>
  </si>
  <si>
    <t>Rear plate for 10U CompactNet Cabinets</t>
  </si>
  <si>
    <t>10U MOUNTING PLATE (WITHOUT POWDER COATING)</t>
  </si>
  <si>
    <t>13U Depth 600</t>
  </si>
  <si>
    <t>TSFPA6013MN</t>
  </si>
  <si>
    <t>19" Cabinet 13U 600x620x655h, black solid door, solid panels, ASSEMBLED</t>
  </si>
  <si>
    <t>MR.WTC13U6062MN.01</t>
  </si>
  <si>
    <t>13U W=600MM D=620MM ASSEMBLED COM-BOX WHITE (SIDE PANEL LOCKABLE, TOP FRAME BRUSHED)</t>
  </si>
  <si>
    <t>TSF9827</t>
  </si>
  <si>
    <t>Rear plate for 13U CompactNet Cabinets</t>
  </si>
  <si>
    <t>13U MOUNTING PLATE (WITHOUT POWDER COATING)</t>
  </si>
  <si>
    <t>22U Depth 500</t>
  </si>
  <si>
    <t>TSFPA5022MN</t>
  </si>
  <si>
    <t>19" Cabinet 22U 600x520x1054h, black solid door, solid panels, ASSEMBLED</t>
  </si>
  <si>
    <t>MR.WTC22U6052MN.01</t>
  </si>
  <si>
    <t>22U W=600MM D=520MM ASSEMBLED COM-BOX WHITE (SIDE PANEL LOCKABLE, TOP FRAME BRUSHED)</t>
  </si>
  <si>
    <t>TSF9829</t>
  </si>
  <si>
    <t>Bottom plate for 22U CompactNet Cabinet</t>
  </si>
  <si>
    <t>22U MOUNTING PLATE (WITHOUT POWDER COATING)</t>
  </si>
  <si>
    <t>22U Depth 600</t>
  </si>
  <si>
    <t>TSFPA6022MN</t>
  </si>
  <si>
    <t>19" Cabinet 22U 600x620x1054h, black solid door, solid panels, ASSEMBLED</t>
  </si>
  <si>
    <t>MR.WTC22U6062MN.01</t>
  </si>
  <si>
    <t>22U W=600MM D=620MM ASSEMBLED COM-BOX WHITE (SIDE PANEL LOCKABLE, TOP FRAME BRUSHED)</t>
  </si>
  <si>
    <t>ACCESSORIES COMMON TO ALL CABINETS</t>
  </si>
  <si>
    <t>TSF9852</t>
  </si>
  <si>
    <t>1/4 turn, lock barrel No. 333, for panels and Cabinets (optional key)</t>
  </si>
  <si>
    <t>TSF9852S</t>
  </si>
  <si>
    <t>1/4 turn secured, for panels and Cabinets</t>
  </si>
  <si>
    <t>TSF9324WALL</t>
  </si>
  <si>
    <t>Brush module for Cabinet roof CompactNet</t>
  </si>
  <si>
    <t>For a Cabinet, 3 barrels are required for the button</t>
  </si>
  <si>
    <t>Shelves for EDF1 and EDF2 Cabinets</t>
  </si>
  <si>
    <t>TSF9243N</t>
  </si>
  <si>
    <t>Fixed shelf 2 front fixing points</t>
  </si>
  <si>
    <t>MR.SBR80.01_YK</t>
  </si>
  <si>
    <t>TSF9002N</t>
  </si>
  <si>
    <t>Fixed shelf 4 fixing points for 800 depth Cabinet</t>
  </si>
  <si>
    <t>MR.SBR100.01_YK</t>
  </si>
  <si>
    <t>TSF9089N</t>
  </si>
  <si>
    <t>Fixed shelf 4 fixing points for 1000 depth Cabinet</t>
  </si>
  <si>
    <t>MR.HRK80.01_YK</t>
  </si>
  <si>
    <t>TSF9105N</t>
  </si>
  <si>
    <t>Sliding shelf for 19" Cabinet, 800 depth</t>
  </si>
  <si>
    <t>MR.HRK100.01_YK</t>
  </si>
  <si>
    <t>TSF9109N</t>
  </si>
  <si>
    <t>Sliding shelf for 19" Cabinet, 1000 depth</t>
  </si>
  <si>
    <t>TSF9335N</t>
  </si>
  <si>
    <t>Black adjustable shelf for Cabinets (example: TSF9335N)</t>
  </si>
  <si>
    <t>19" Accessories for Cabinets</t>
  </si>
  <si>
    <t>ELGUIDBALAI1U</t>
  </si>
  <si>
    <t>Brush cable pass-through strip</t>
  </si>
  <si>
    <t>MR.OFB1U19.01</t>
  </si>
  <si>
    <t>1U 19" BASIC TYPE, BRUSHED CABLE MANAGEMENT PANEL PATCHCORD ENTRY HOLE BLACK</t>
  </si>
  <si>
    <t>ELGUID4AN1U</t>
  </si>
  <si>
    <t>Metal cord guide 1U, 4 black rings (cable pass)</t>
  </si>
  <si>
    <t>MR.OKP1U19.01</t>
  </si>
  <si>
    <t>1U 19" CABLE MANAGEMENT PANEL, 5 METAL HOOKS BLACK</t>
  </si>
  <si>
    <t>ELGUID5AN1UD</t>
  </si>
  <si>
    <t>Metal cord guide 1U, 4 black rings recessed 4 cm (cable pass)</t>
  </si>
  <si>
    <t>MR.OKP1U194H3F.14_EDF</t>
  </si>
  <si>
    <t>1U 19" CABLE MANAGEMENT PANEL, 4 PLASTIC HOOKS 3 BRUSHED BLACK</t>
  </si>
  <si>
    <t>EF1293</t>
  </si>
  <si>
    <t>1U brush guide, black horizontal frame on only 3 sides (cable pass)</t>
  </si>
  <si>
    <t>ELGUIDBAL3ARM1U</t>
  </si>
  <si>
    <t>1U brush guide, black horizontal frame on only 3 sides (cable pass) V2</t>
  </si>
  <si>
    <t>MR.PKV1UFR.01_EDF</t>
  </si>
  <si>
    <t>1U 19" SCREWED, BRUSHED BLANKING PANEL BLACK</t>
  </si>
  <si>
    <t>TSF9012GN</t>
  </si>
  <si>
    <t>1U blanking plate (40% perforated)</t>
  </si>
  <si>
    <t>MR.PKV1U.01_PRF</t>
  </si>
  <si>
    <t>1U 19" SCREWED, CLOSED BLANKING PANEL BLACK (40% PERFORATED)</t>
  </si>
  <si>
    <t>TSF9102GN</t>
  </si>
  <si>
    <t>2U blanking plate (40% perforated)</t>
  </si>
  <si>
    <t>MR.PKV2U.01_PRF</t>
  </si>
  <si>
    <t>2U 19" SCREWED, CLOSED BLANKING PANEL BLACK (40% PERFORATED)</t>
  </si>
  <si>
    <t>TSF9013GN</t>
  </si>
  <si>
    <t>3U blanking plate (40% perforated)</t>
  </si>
  <si>
    <t>MR.PKV3U.01_PRF</t>
  </si>
  <si>
    <t>3U 19" SCREWED, CLOSED BLANKING PANEL BLACK (40% PERFORATED)</t>
  </si>
  <si>
    <t>TSF9253GN</t>
  </si>
  <si>
    <t>4U blanking plate (40% perforated)</t>
  </si>
  <si>
    <t>MR.PKV4U.01_PRF</t>
  </si>
  <si>
    <t>4U 19" SCREWED, CLOSED BLANKING PANEL BLACK (40% PERFORATED)</t>
  </si>
  <si>
    <t>ELP19DIN3UN</t>
  </si>
  <si>
    <t>3U box for circuit breaker support with omega rails, DIN 3U standard, with cover</t>
  </si>
  <si>
    <t>MR.EDM3U19A.01</t>
  </si>
  <si>
    <t>3U 19" POWER DISTRIBUTION MODULE, BUSBARLESS TYPE BLACK</t>
  </si>
  <si>
    <t>9U - 600mm</t>
  </si>
  <si>
    <t>12U - 600mm</t>
  </si>
  <si>
    <t>22U - 450mm</t>
  </si>
  <si>
    <t>22U - 600mm</t>
  </si>
  <si>
    <t>MD35-12U-600-PRF.01</t>
  </si>
  <si>
    <t>Packaged SOHO-COM Box 12U W=600MM Front Single 75% Perforated Cover Black</t>
  </si>
  <si>
    <t>MD35-22U-600-PRF.01</t>
  </si>
  <si>
    <t>Packaged SOHO-COM Box 22U W=600MM Front Single 75% Perforated Cover Black</t>
  </si>
  <si>
    <t>MD35-12U-600-OMK.01</t>
  </si>
  <si>
    <t>Packaged SOHO-COM Box 12U W=600MM Front Single Metal Cover Black</t>
  </si>
  <si>
    <t>MD35-22U-600-OMK.01</t>
  </si>
  <si>
    <t>Packaged SOHO-COM Box 22U W=600MM Front Single Metal Cover Black</t>
  </si>
  <si>
    <t>MIRSAN CODE</t>
  </si>
  <si>
    <t>DESIGNATION / TYPE</t>
  </si>
  <si>
    <t>EX-WORKS PRICES ESKISEHIR</t>
  </si>
  <si>
    <t>MR.FAN2AT.XX</t>
  </si>
  <si>
    <t>FAN BLOCK 2V</t>
  </si>
  <si>
    <t>2fans,analog thermostat controlled fan module</t>
  </si>
  <si>
    <t>MR.FAN4AT.XX</t>
  </si>
  <si>
    <t>FAN BLOCK 4V</t>
  </si>
  <si>
    <t>4fans,analog thermostat controlled fan module</t>
  </si>
  <si>
    <t>-</t>
  </si>
  <si>
    <t>MR.RAK1U25.XX</t>
  </si>
  <si>
    <t>FIXED TRAY DEPTH 250 MM</t>
  </si>
  <si>
    <t>1U 19" D=250mm RACK MOUNT SHELF</t>
  </si>
  <si>
    <t>MR.RAK1U40.XX</t>
  </si>
  <si>
    <t>FIXED TRAY DEPTH 400 MM</t>
  </si>
  <si>
    <t>1U 19" D=400mm RACK MOUNT SHELF</t>
  </si>
  <si>
    <t>MR.RAK1U45.XX</t>
  </si>
  <si>
    <t>FIXED TRAY DEPTH 450 MM</t>
  </si>
  <si>
    <t>1U 19" D=450mm RACK MOUNT SHELF</t>
  </si>
  <si>
    <t>MR.RAK2U55.XX</t>
  </si>
  <si>
    <t>FIXED TRAY DEPTH 550 MM</t>
  </si>
  <si>
    <t>2U 19" D=550mm RACK MOUNT SHELF</t>
  </si>
  <si>
    <t>MR.SBR60.XX_YK</t>
  </si>
  <si>
    <t>FIXED TRAY 1U - 720 MM</t>
  </si>
  <si>
    <t>D=600 FIXED SHELF DEPTH ADJUSTABLE</t>
  </si>
  <si>
    <t>MR.HRK80.XX_YK</t>
  </si>
  <si>
    <t>SLIDING TRAY 1U - 720 MM</t>
  </si>
  <si>
    <t>D=600 SLIDING SHELF DEPTH ADJUSTABLE</t>
  </si>
  <si>
    <t>MR.SBR80.XX_YK</t>
  </si>
  <si>
    <t>FIXED TRAY 1U - 920 MM</t>
  </si>
  <si>
    <t>D=800 FIXED SHELF DEPTH ADJUSTABLE</t>
  </si>
  <si>
    <t>MR.HRK35.XX_YK</t>
  </si>
  <si>
    <t>SLIDING TRAY 350 MM</t>
  </si>
  <si>
    <t>D=350 SLIDING SHELF DEPTH ADJUSTABLE</t>
  </si>
  <si>
    <t>MR.HRK55.XX_YK</t>
  </si>
  <si>
    <t>SLIDING TRAY 550 MM</t>
  </si>
  <si>
    <t>D=550 SLIDING SHELF DEPTH ADJUSTABLE</t>
  </si>
  <si>
    <t>MR.LDS60.ZN</t>
  </si>
  <si>
    <t>PAIR OF SLIDE BRACKETS DEPTH 600 MM</t>
  </si>
  <si>
    <t>D=600 L-Type installation support part, galvanized, 1set= 2pcs</t>
  </si>
  <si>
    <t>MR.LDS80.ZN</t>
  </si>
  <si>
    <t>PAIR OF SLIDE BRACKETS DEPTH 800 MM</t>
  </si>
  <si>
    <t>D=800 L-Type installation support part, galvanized, 1set= 2pcs</t>
  </si>
  <si>
    <t>MR.AYM.220V</t>
  </si>
  <si>
    <t>LED PANEL</t>
  </si>
  <si>
    <t>1U 19" led lighting module, manuel on/off switch</t>
  </si>
  <si>
    <t>MR.TPS01</t>
  </si>
  <si>
    <t>GROUNDING KIT</t>
  </si>
  <si>
    <t>6 Earthing points, 4 pcs earthing cable, 1 pcs 200mm Busbar earthing set</t>
  </si>
  <si>
    <t>SET OF 6 CABLE RINGS</t>
  </si>
  <si>
    <t>MR.KFS50</t>
  </si>
  <si>
    <t>BOX OF 50 SCREWS/NUTS/WASHERS</t>
  </si>
  <si>
    <t>M6 cage nut set and mounting screws, 1set= 50pcs</t>
  </si>
  <si>
    <t>MR.PKV1U.XX</t>
  </si>
  <si>
    <t>BLANK PANEL 1U/19"</t>
  </si>
  <si>
    <t>1U 19" screw type blank panel</t>
  </si>
  <si>
    <t>MR.PKV2U.XX</t>
  </si>
  <si>
    <t xml:space="preserve">BLANK PANEL 2U/19" </t>
  </si>
  <si>
    <t>2U 19" screw type blank panel</t>
  </si>
  <si>
    <t>MR.PKV3U.XX</t>
  </si>
  <si>
    <t xml:space="preserve">BLANK PANEL 3U/19" </t>
  </si>
  <si>
    <t>3U 19" screw type blank panel</t>
  </si>
  <si>
    <t>MR.PKV5U.XX</t>
  </si>
  <si>
    <t xml:space="preserve">BLANK PANEL 5U/19" </t>
  </si>
  <si>
    <t>5U 19" screw type blank panel</t>
  </si>
  <si>
    <t>MR.OKP1U19.XX</t>
  </si>
  <si>
    <t xml:space="preserve">CABLE MANAGEMENT PANEL 4 HOOKS </t>
  </si>
  <si>
    <t xml:space="preserve">1U 19" cable organizer panel, 5 pcs hook </t>
  </si>
  <si>
    <t>MR.BAZ66.XX</t>
  </si>
  <si>
    <t>PLINTH 600X600</t>
  </si>
  <si>
    <t>W=600 D=600 H=100mm plinth module</t>
  </si>
  <si>
    <t>MR.BAZ68.XX</t>
  </si>
  <si>
    <t>PLINTH 600X800</t>
  </si>
  <si>
    <t>W=600 D=800 H=100mm plinth module</t>
  </si>
  <si>
    <t>MR.BAZ86.XX</t>
  </si>
  <si>
    <t>PLINTH 800X600</t>
  </si>
  <si>
    <t>W=800 D=600 H=100mm plinth module</t>
  </si>
  <si>
    <t>MR.BAZ88.XX</t>
  </si>
  <si>
    <t>PLINTH 800X800</t>
  </si>
  <si>
    <t>W=800 D=800 H=100mm plinth module</t>
  </si>
  <si>
    <t>MR.BAZ61.XX</t>
  </si>
  <si>
    <t>PLINTH 600X1000</t>
  </si>
  <si>
    <t>W=600 D=1000 H=100mm plinth module</t>
  </si>
  <si>
    <t>MR.BAZ81.XX</t>
  </si>
  <si>
    <t>PLINTH 800X1000</t>
  </si>
  <si>
    <t>W=800 D=1000 H=100mm plinth module</t>
  </si>
  <si>
    <t>MR.BAZ812.XX</t>
  </si>
  <si>
    <t>PLINTH 800X1200</t>
  </si>
  <si>
    <t>W=800 D=1200 H=100mm plinth module</t>
  </si>
  <si>
    <t>19’’ rear mounting for cabinet 33U 600mm width (2 PCS)</t>
  </si>
  <si>
    <t>19’’ rear mounting for cabinet 42U 600mm width (2 PCS)</t>
  </si>
  <si>
    <t>19’’ rear mounting for cabinet 42U 800mm width (2 PCS)</t>
  </si>
  <si>
    <t>CABLE TRAY WIDTH 200X42U (2 PCS)</t>
  </si>
  <si>
    <t>CABLE TRAY WIDTH 300X42U (2 PCS)</t>
  </si>
  <si>
    <t>CABLE TRAY WIDTH 300X47U (2 PCS)</t>
  </si>
  <si>
    <t>CABLE TRAY WIDTH 200X47U (2 PCS)</t>
  </si>
  <si>
    <t>CABINET CHAIR 600x600 H.mm 158-280.5</t>
  </si>
  <si>
    <t>CABINET CHAIR 600x600 H.mm 278-520.5</t>
  </si>
  <si>
    <t>CABINET CHAIR 600x800 H.mm 158-280.5</t>
  </si>
  <si>
    <t>CABINET CHAIR 600x800 H.mm 278-520.5</t>
  </si>
  <si>
    <t>CABINET CHAIR 800x800 H.mm 158-280.5</t>
  </si>
  <si>
    <t>CABINET CHAIR 800x800 H.mm 278-520.5</t>
  </si>
  <si>
    <t>CABINET CHAIR 600x1000 H.mm 158-280.5</t>
  </si>
  <si>
    <t>CABINET CHAIR 600x1000 H.mm 278-520.5</t>
  </si>
  <si>
    <t>CABINET CHAIR 800x1000 H.mm 158-280.5</t>
  </si>
  <si>
    <t>CABINET CHAIR 800x1000 H.mm 278-520.5</t>
  </si>
  <si>
    <t xml:space="preserve">SET OF 4 CASTORS </t>
  </si>
  <si>
    <t>Free standing type caster group, 4 point connection1set= 4pcs. (2 with brakes)</t>
  </si>
  <si>
    <t>MR.PNY25</t>
  </si>
  <si>
    <t>LEVELING FEET (4 PCS)</t>
  </si>
  <si>
    <t>PVC  body, pinion feet, 1set= 4pcs.</t>
  </si>
  <si>
    <t>TDS</t>
  </si>
  <si>
    <t>https://symeagroup.sharepoint.com/sites/SYSKERN/Shared%20Documents/General/ACHATS/3.0%20MIRSAN/4.ACCESSORIES%2019''/TDS/MR.FAN2AT_DS.pdf</t>
  </si>
  <si>
    <t>https://symeagroup.sharepoint.com/sites/SYSKERN/Shared%20Documents/General/ACHATS/3.0%20MIRSAN/4.ACCESSORIES%2019''/TDS/MR.FAN4AT_DS.pdf</t>
  </si>
  <si>
    <t>https://symeagroup.sharepoint.com/sites/SYSKERN/Shared%20Documents/General/ACHATS/3.0%20MIRSAN/4.ACCESSORIES%2019''/TDS/MR.HRK35.XX_YK_DS.pdf</t>
  </si>
  <si>
    <t>https://symeagroup.sharepoint.com/sites/SYSKERN/Shared%20Documents/General/ACHATS/3.0%20MIRSAN/4.ACCESSORIES%2019''/TDS/MR.HRK55.XX_YK_DS.pdf</t>
  </si>
  <si>
    <t>https://symeagroup.sharepoint.com/sites/SYSKERN/Shared%20Documents/General/ACHATS/3.0%20MIRSAN/4.ACCESSORIES%2019''/TDS/MR.SBR60.01_YK-DS.pdf</t>
  </si>
  <si>
    <t>https://symeagroup.sharepoint.com/sites/SYSKERN/Shared%20Documents/General/ACHATS/3.0%20MIRSAN/4.ACCESSORIES%2019''/TDS/MR.SBR80.01_YK-DS.pdf</t>
  </si>
  <si>
    <t>https://symeagroup.sharepoint.com/sites/SYSKERN/Shared%20Documents/General/ACHATS/3.0%20MIRSAN/4.ACCESSORIES%2019''/TDS/LIGHTING%20MODULE_DS.pdf</t>
  </si>
  <si>
    <t>https://symeagroup.sharepoint.com/sites/SYSKERN/Shared%20Documents/General/ACHATS/3.0%20MIRSAN/4.ACCESSORIES%2019''/TDS/GTN%20PLINTH%20W600-W800_DS.pdf</t>
  </si>
  <si>
    <t>COMMENTS</t>
  </si>
  <si>
    <t>https://symeagroup.sharepoint.com/sites/SYSKERN/Shared%20Documents/General/ACHATS/3.0%20MIRSAN/4.ACCESSORIES%2019''/TDS/MR.LDS60.ZN_DS%2007.05.2025.pdf</t>
  </si>
  <si>
    <t>https://symeagroup.sharepoint.com/sites/SYSKERN/Shared%20Documents/General/ACHATS/3.0%20MIRSAN/4.ACCESSORIES%2019''/TDS/MR.LDS80.ZN_DS%2007.05.2025.pdf</t>
  </si>
  <si>
    <t>https://symeagroup.sharepoint.com/sites/SYSKERN/Shared%20Documents/General/ACHATS/3.0%20MIRSAN/4.ACCESSORIES%2019''/TDS/MR.PKV.XX_DS.pdf</t>
  </si>
  <si>
    <t>https://symeagroup.sharepoint.com/sites/SYSKERN/Shared%20Documents/General/ACHATS/3.0%20MIRSAN/4.ACCESSORIES%2019''/TDS/MR.PNY25_DS.pdf</t>
  </si>
  <si>
    <t>https://symeagroup.sharepoint.com/sites/SYSKERN/Shared%20Documents/General/ACHATS/3.0%20MIRSAN/4.ACCESSORIES%2019''/TDS/MR.TKR5525_GTN_DS.pdf</t>
  </si>
  <si>
    <t>https://symeagroup.sharepoint.com/sites/SYSKERN/Shared%20Documents/General/ACHATS/3.0%20MIRSAN/4.ACCESSORIES%2019''/TDS/MR.TPS01_DS.pdf</t>
  </si>
  <si>
    <t>https://symeagroup.sharepoint.com/sites/SYSKERN/Shared%20Documents/General/ACHATS/3.0%20MIRSAN/4.ACCESSORIES%2019''/TDS/SLIDING%20SHELVES%20FOR%20D600%20D800%20D1000%20CABINET_DS.pdf</t>
  </si>
  <si>
    <t>https://symeagroup.sharepoint.com/sites/SYSKERN/Shared%20Documents/General/ACHATS/3.0%20MIRSAN/4.ACCESSORIES%2019''/TDS/2%20POINT%20CONNECTED%20RACK%20MOUNT%20SHELVES%20-Accessory_DS.pdf</t>
  </si>
  <si>
    <t>https://symeagroup.sharepoint.com/sites/SYSKERN/Shared%20Documents/General/ACHATS/3.0%20MIRSAN/4.ACCESSORIES%2019''/TDS/CABLE%20TRAY_DS.pdf</t>
  </si>
  <si>
    <t>46U</t>
  </si>
  <si>
    <t>https://symeagroup.sharepoint.com/sites/SYSKERN/Shared%20Documents/General/ACHATS/3.0%20MIRSAN/4.ACCESSORIES%2019''/TDS/MIRSAN-Organizer%20with%20Hooks_DS.pdf</t>
  </si>
  <si>
    <t>Déjà produit en Chine</t>
  </si>
  <si>
    <t>Privilégié la Chine</t>
  </si>
  <si>
    <t>MR.OPR42UDF45.XX</t>
  </si>
  <si>
    <t>42U D=450mm Open Frame Double Frame</t>
  </si>
  <si>
    <t>D=450 H=2000</t>
  </si>
  <si>
    <t>$156,88</t>
  </si>
  <si>
    <t>MR.OPR42UDF60.XX</t>
  </si>
  <si>
    <t>42U D=600mm Open Frame Double Frame</t>
  </si>
  <si>
    <t>D=600 H=2000</t>
  </si>
  <si>
    <t>$162,98</t>
  </si>
  <si>
    <t>MR.OPR42UDF80.XX</t>
  </si>
  <si>
    <t>42U D=800mm Open Frame Double Frame</t>
  </si>
  <si>
    <t>D=800 H=2000</t>
  </si>
  <si>
    <t>$172,37</t>
  </si>
  <si>
    <t>MR.OPR42UDF100.XX</t>
  </si>
  <si>
    <t>42U D=1000mm Open Frame Double Frame</t>
  </si>
  <si>
    <t>D=1000 H=2000</t>
  </si>
  <si>
    <t>$181,96</t>
  </si>
  <si>
    <t>42U D=450mm Open Frame Double Frame - D=450 H=2000</t>
  </si>
  <si>
    <t>42U D=600mm Open Frame Double Frame - D=600 H=2000</t>
  </si>
  <si>
    <t>42U D=800mm Open Frame Double Frame - D=800 H=2000</t>
  </si>
  <si>
    <t>42U D=1000mm Open Frame Double Frame - D=1000 H=2000</t>
  </si>
  <si>
    <t>Mirsan Product Code</t>
  </si>
  <si>
    <t>32RU 800mmx800mm</t>
  </si>
  <si>
    <t>27RU 800mmx800mm</t>
  </si>
  <si>
    <t>24RU 600mmx800mm</t>
  </si>
  <si>
    <t>32RU 600mmx800mm</t>
  </si>
  <si>
    <t>Glass doors for 600mm cabinet</t>
  </si>
  <si>
    <t>Double Glass doors for 800mm cabinet</t>
  </si>
  <si>
    <t>Double perforated doors for 800mm cabinet</t>
  </si>
  <si>
    <t>Single perforated door for 600mm cabinet</t>
  </si>
  <si>
    <t xml:space="preserve">Designation </t>
  </si>
  <si>
    <t xml:space="preserve">Single glass door - Rear panel </t>
  </si>
  <si>
    <t>Without door and rear panel</t>
  </si>
  <si>
    <t>Double glass doors - rear panel</t>
  </si>
  <si>
    <t>Without doors and rear panel</t>
  </si>
  <si>
    <t>Rear pannel for 600mm cabinet</t>
  </si>
  <si>
    <t xml:space="preserve">Rear pannel for 800mm cabinet </t>
  </si>
  <si>
    <t>Double Front Glass Door - double rear glass door</t>
  </si>
  <si>
    <t xml:space="preserve">Single Front Glass Door - Single rear glass door </t>
  </si>
  <si>
    <t>Single Front Perforated Door - Full rear</t>
  </si>
  <si>
    <t xml:space="preserve">Single Front Perforated Door - Rear panel </t>
  </si>
  <si>
    <t xml:space="preserve">Double Front Perforated Door - Rear panel </t>
  </si>
  <si>
    <t>S = Single</t>
  </si>
  <si>
    <t>D = Double</t>
  </si>
  <si>
    <t>R = Rear</t>
  </si>
  <si>
    <t>G = Glass</t>
  </si>
  <si>
    <t>P = Perforated</t>
  </si>
  <si>
    <t>SGR</t>
  </si>
  <si>
    <t>WDR</t>
  </si>
  <si>
    <t>DGR</t>
  </si>
  <si>
    <t>SG2</t>
  </si>
  <si>
    <t>DG2</t>
  </si>
  <si>
    <t>SPR</t>
  </si>
  <si>
    <t>DPR</t>
  </si>
  <si>
    <t>SP2</t>
  </si>
  <si>
    <t>DP2</t>
  </si>
  <si>
    <t>START</t>
  </si>
  <si>
    <t>GRID</t>
  </si>
  <si>
    <t>42U 800x800</t>
  </si>
  <si>
    <t>KRS4288SGR</t>
  </si>
  <si>
    <t>KRS4288WDR</t>
  </si>
  <si>
    <t>KRS4288DGR</t>
  </si>
  <si>
    <t>KRS4288SG2</t>
  </si>
  <si>
    <t>KRS4288DG2</t>
  </si>
  <si>
    <t>KRS4288SPR</t>
  </si>
  <si>
    <t>KRS4288SP2</t>
  </si>
  <si>
    <t>KRS4288DPR</t>
  </si>
  <si>
    <t>KRS4288DP2</t>
  </si>
  <si>
    <t>KRG4288SGR</t>
  </si>
  <si>
    <t>KRG4288WDR</t>
  </si>
  <si>
    <t>KRG4288DGR</t>
  </si>
  <si>
    <t>KRG4288SPR</t>
  </si>
  <si>
    <t>KRG4288DPR</t>
  </si>
  <si>
    <t>KRG4288SG2</t>
  </si>
  <si>
    <t>KRG4288DG2</t>
  </si>
  <si>
    <t>KRG4288SP2</t>
  </si>
  <si>
    <t>KRG4288DP2</t>
  </si>
  <si>
    <t>Without door, rear panel and side panel</t>
  </si>
  <si>
    <t>WDRS</t>
  </si>
  <si>
    <t>KRS4288WDRS</t>
  </si>
  <si>
    <t>KRG4288WDRS</t>
  </si>
  <si>
    <t>Racks</t>
  </si>
  <si>
    <t>Single full door</t>
  </si>
  <si>
    <t>FD</t>
  </si>
  <si>
    <t>Single perforated door</t>
  </si>
  <si>
    <t>PED</t>
  </si>
  <si>
    <t>W = No / Without</t>
  </si>
  <si>
    <t>MR.HD.GTN22U66.01_STRS</t>
  </si>
  <si>
    <t>MR.HD.GTN24U66.01_STRS</t>
  </si>
  <si>
    <t>MR.HD.GTN27U66.01_STRS</t>
  </si>
  <si>
    <t>MR.HD.GTN32U66.01_STRS</t>
  </si>
  <si>
    <t>MR.HD.GTN42U66.01_STRS</t>
  </si>
  <si>
    <t>MR.HD.GTN42U66.01_OAKPSZ</t>
  </si>
  <si>
    <t>ukn number codes</t>
  </si>
  <si>
    <t>MR.HD.GTN22U68.01_STRS</t>
  </si>
  <si>
    <t>MR.HD.GTN24U68.01_STRS</t>
  </si>
  <si>
    <t>MR.HD.GTN27U68.01_STRS</t>
  </si>
  <si>
    <t>MR.HD.GTN32U68.01_STRS</t>
  </si>
  <si>
    <t>MR.HD.GTN42U68.01_STRS</t>
  </si>
  <si>
    <t>MR.HD.GTN42U68.01_OAKPSZ</t>
  </si>
  <si>
    <t>MR.HD.GTN42U61.01_STRS</t>
  </si>
  <si>
    <t>MR.HD.GTN42U86.01_STRS</t>
  </si>
  <si>
    <t>MR.HD.GTN42U86.01_OAKPSZ</t>
  </si>
  <si>
    <t>MR.HD.GTN27U88.01_STRS</t>
  </si>
  <si>
    <t>MR.HD.GTN32U88.01_STRS</t>
  </si>
  <si>
    <t>MR.HD.GTN42U88.01_STRS</t>
  </si>
  <si>
    <t>MR.HD.GTN42U88.01_OAKPSZ</t>
  </si>
  <si>
    <t>MR.HD.GTN42U81.01_STRS</t>
  </si>
  <si>
    <t>MR.HD.GTN42U81.01_OAKPSZ</t>
  </si>
  <si>
    <t>MD16-600-22U-CKM.01</t>
  </si>
  <si>
    <t>MD16-600-24U-CKM.01</t>
  </si>
  <si>
    <t>MD16-600-27U-CKM.01</t>
  </si>
  <si>
    <t>MD16-600-32U-CKM.01</t>
  </si>
  <si>
    <t>MD16-600-42U-CKM.01</t>
  </si>
  <si>
    <t>MD16-800-27U-CKSET.01</t>
  </si>
  <si>
    <t>MD16-800-32U-CKSET.01</t>
  </si>
  <si>
    <t>MD16-800-42U-CKSET.01</t>
  </si>
  <si>
    <t>MD21-600-22U-DOK63.01</t>
  </si>
  <si>
    <t>MD21-600-24U-DOK63.01</t>
  </si>
  <si>
    <t>MD21-600-27U-DOK63.01</t>
  </si>
  <si>
    <t>MD21-600-32U-DOK63.01</t>
  </si>
  <si>
    <t>MD21-600-42U-DOK63.01</t>
  </si>
  <si>
    <t>MD21-800-27U-PAK63SET.01</t>
  </si>
  <si>
    <t>MD21-800-32U-PAK63SET.01</t>
  </si>
  <si>
    <t>MD21-800-42U-PAK63SET.01</t>
  </si>
  <si>
    <t>MD21-600-22U-TAK.01</t>
  </si>
  <si>
    <t>MD21-600-24U-TAK.01</t>
  </si>
  <si>
    <t>MD21-600-27U-TAK.01</t>
  </si>
  <si>
    <t>MD21-600-32U-TAK.01</t>
  </si>
  <si>
    <t>MD21-600-42U-TAK.01</t>
  </si>
  <si>
    <t>MD21-800-27U-TAK.01</t>
  </si>
  <si>
    <t>MD21-800-32U-TAK.01</t>
  </si>
  <si>
    <t>MD21-800-42U-TAK.01</t>
  </si>
  <si>
    <t>Complete Set W600mm 22U GTN Glass Door Module (Black)</t>
  </si>
  <si>
    <t>Complete Set W600mm 24U GTN Glass Door Module (Black)</t>
  </si>
  <si>
    <t>Complete Set W600mm 27U GTN Glass Door Module (Black)</t>
  </si>
  <si>
    <t>Complete Set W600mm 32U GTN Glass Door Module (Black)</t>
  </si>
  <si>
    <t>Complete Set W600mm 42U GTN Glass Door Module (Black)</t>
  </si>
  <si>
    <t>Complete Set W800mm 27U GTN Glass Door Lock-Hinge Side Assembly (Black)</t>
  </si>
  <si>
    <t>Complete Set W800mm 32U GTN Glass Door Lock-Hinge Side Assembly (Black)</t>
  </si>
  <si>
    <t>Complete Set W800mm 42U GTN Glass Door Lock-Hinge Side Assembly (Black)</t>
  </si>
  <si>
    <t>Complete Set W600mm 22U GTV &amp; DCN 63% Perforated Front Door Module (Black)</t>
  </si>
  <si>
    <t>Complete Set W600mm 24U GTV &amp; DCN 63% Perforated Front Door Module (Black)</t>
  </si>
  <si>
    <t>Complete Set W600mm 27U GTV &amp; DCN 63% Perforated Front Door Module (Black)</t>
  </si>
  <si>
    <t>Complete Set W600mm 32U GTV &amp; DCN 63% Perforated Front Door Module (Black)</t>
  </si>
  <si>
    <t>Complete Set W600mm 42U GTV &amp; DCN 63% Perforated Front Door Module (Black)</t>
  </si>
  <si>
    <t>Complete Set W800mm 27U GTV &amp; DCN 63% Perforated Door Module Lock &amp; Hinge Side (Black) (1 Lock, 1 Hinge Side)</t>
  </si>
  <si>
    <t>Complete Set W800mm 32U GTV &amp; DCN 63% Perforated Door Module Lock &amp; Hinge Side (Black) (1 Lock, 1 Hinge Side)</t>
  </si>
  <si>
    <t>Complete Set W800mm 42U GTV &amp; DCN 63% Perforated Door Module Lock &amp; Hinge Side (Black) (1 Lock, 1 Hinge Side)</t>
  </si>
  <si>
    <t>Complete Set W600mm 22U Rear Door Module (Black)</t>
  </si>
  <si>
    <t>Complete Set W600mm 24U Rear Door Module (Black)</t>
  </si>
  <si>
    <t>Complete Set W600mm 27U Rear Door Module (Black)</t>
  </si>
  <si>
    <t>Complete Set W600mm 32U Rear Door Module (Black)</t>
  </si>
  <si>
    <t>Complete Set W600mm 42U Rear Door Module (Black)</t>
  </si>
  <si>
    <t>Complete Set W800mm 27U Rear Door Module (Black)</t>
  </si>
  <si>
    <t>Complete Set W800mm 32U Rear Door Module (Black)</t>
  </si>
  <si>
    <t>Complete Set W800mm 42U Rear Door Module (Black)</t>
  </si>
  <si>
    <t>KRS2266SGR</t>
  </si>
  <si>
    <t>KRS2466SGR</t>
  </si>
  <si>
    <t>KRS2766SGR</t>
  </si>
  <si>
    <t>KRS3266SGR</t>
  </si>
  <si>
    <t>KRS4266SGR</t>
  </si>
  <si>
    <t>KRS4266WDR</t>
  </si>
  <si>
    <t>KRS2268SGR</t>
  </si>
  <si>
    <t>KRS2468SGR</t>
  </si>
  <si>
    <t>KRS2768SGR</t>
  </si>
  <si>
    <t>KRS3268SGR</t>
  </si>
  <si>
    <t>KRS4268SGR</t>
  </si>
  <si>
    <t>KRS4268WDR</t>
  </si>
  <si>
    <t>KRS42610SGR</t>
  </si>
  <si>
    <t>KRS4286DGR</t>
  </si>
  <si>
    <t>KRS4286WDR</t>
  </si>
  <si>
    <t>KRS2788DGR</t>
  </si>
  <si>
    <t>KRS3288DGR</t>
  </si>
  <si>
    <t>KRS42810DGR</t>
  </si>
  <si>
    <t>KRS42810WDR</t>
  </si>
  <si>
    <t>KRS22U600RP</t>
  </si>
  <si>
    <t>KRS24U600RP</t>
  </si>
  <si>
    <t>KRS27U600RP</t>
  </si>
  <si>
    <t>KRS32U600RP</t>
  </si>
  <si>
    <t>KRS42U600RP</t>
  </si>
  <si>
    <t>KRS27U800RP</t>
  </si>
  <si>
    <t>KRS32U800RP</t>
  </si>
  <si>
    <t>KRS42U800RP</t>
  </si>
  <si>
    <t>600RP</t>
  </si>
  <si>
    <t>800RP</t>
  </si>
  <si>
    <t>600SG</t>
  </si>
  <si>
    <t>600SP</t>
  </si>
  <si>
    <t>800DG</t>
  </si>
  <si>
    <t>800DP</t>
  </si>
  <si>
    <t>U1402001</t>
  </si>
  <si>
    <t>U1402002</t>
  </si>
  <si>
    <t>U1402003</t>
  </si>
  <si>
    <t>U1402004</t>
  </si>
  <si>
    <t>U1402005</t>
  </si>
  <si>
    <t>U1402006</t>
  </si>
  <si>
    <t>U1402007</t>
  </si>
  <si>
    <t>U1402009</t>
  </si>
  <si>
    <t>U1402008</t>
  </si>
  <si>
    <t>U1402010</t>
  </si>
  <si>
    <t>U1402011</t>
  </si>
  <si>
    <t>U1402012</t>
  </si>
  <si>
    <t>U1402013</t>
  </si>
  <si>
    <t>U1402014</t>
  </si>
  <si>
    <t>U1402015</t>
  </si>
  <si>
    <t>U1402016</t>
  </si>
  <si>
    <t>U1402017</t>
  </si>
  <si>
    <t>U1402018</t>
  </si>
  <si>
    <t>U1402019</t>
  </si>
  <si>
    <t>U1402020</t>
  </si>
  <si>
    <t>U1402021</t>
  </si>
  <si>
    <t xml:space="preserve">ukn products codes </t>
  </si>
  <si>
    <t>KRS22U600SG</t>
  </si>
  <si>
    <t>KRS24U600SG</t>
  </si>
  <si>
    <t>KRS27U600SG</t>
  </si>
  <si>
    <t>KRS32U600SG</t>
  </si>
  <si>
    <t>KRS42U600SG</t>
  </si>
  <si>
    <t>KRS22U600SP</t>
  </si>
  <si>
    <t>KRS24U600SP</t>
  </si>
  <si>
    <t>KRS27U600SP</t>
  </si>
  <si>
    <t>KRS32U600SP</t>
  </si>
  <si>
    <t>KRS42U600SP</t>
  </si>
  <si>
    <t>KRS27U600DG</t>
  </si>
  <si>
    <t>KRS32U600DG</t>
  </si>
  <si>
    <t>KRS42U600DG</t>
  </si>
  <si>
    <t xml:space="preserve">OLD VERSION </t>
  </si>
  <si>
    <t>MR.HD.GTN22U66G.01_GRID</t>
  </si>
  <si>
    <t>MR.HD.GTN24U66G.01_GRID</t>
  </si>
  <si>
    <t>MR.HD.GTN27U66G.01_GRID</t>
  </si>
  <si>
    <t>MR.HD.GTN32U66G.01_GRID</t>
  </si>
  <si>
    <t>MR.HD.GTN42U66G.01_GRID</t>
  </si>
  <si>
    <t>MR.HD.GTN22U68G.01_GRID</t>
  </si>
  <si>
    <t>MR.HD.GTN27U68G.01_GRID</t>
  </si>
  <si>
    <t>MR.HD.GTN42U68G.01_GRID</t>
  </si>
  <si>
    <t>MR.HD.GTN42U61G.01_GRID</t>
  </si>
  <si>
    <t>MR.HD.GTN22U66GG.01_GRID</t>
  </si>
  <si>
    <t>MR.HD.GTN24U66GG.01_GRID</t>
  </si>
  <si>
    <t>MR.HD.GTN27U66GG.01_GRID</t>
  </si>
  <si>
    <t>MR.HD.GTN32U66GG.01_GRID</t>
  </si>
  <si>
    <t>MR.HD.GTN42U66GG.01_GRID</t>
  </si>
  <si>
    <t>MR.HD.GTN22U68GG.01_GRID</t>
  </si>
  <si>
    <t>MR.HD.GTN27U68GG.01_GRID</t>
  </si>
  <si>
    <t>MR.HD.GTN42U68GG.01_GRID</t>
  </si>
  <si>
    <t>MR.HD.GTN42U61GG.01_GRID</t>
  </si>
  <si>
    <t>MR.HD.GTN42U86DG.01_GRID</t>
  </si>
  <si>
    <t>MR.HD.GTN33U88DG.01_GRID</t>
  </si>
  <si>
    <t>MR.HD.GTN42U88DG.01_GRID</t>
  </si>
  <si>
    <t>MR.HD.GTN47U88DG.01_GRID</t>
  </si>
  <si>
    <t>MR.HD.GTN42U81DG.01_GRID</t>
  </si>
  <si>
    <t>MR.HD.GTN42U812DG.01_GRID</t>
  </si>
  <si>
    <t>MR.HD.GTN47U812DG.01_GRID</t>
  </si>
  <si>
    <t>MR.HD.GTN33U88DGDG.01_GRID</t>
  </si>
  <si>
    <t>MR.HD.GTN42U88DGDG.01_GRID</t>
  </si>
  <si>
    <t>MR.HD.GTN47U88DGDG.01_GRID</t>
  </si>
  <si>
    <t>MR.HD.GTN42U81DGDG.01_GRID</t>
  </si>
  <si>
    <t>MR.HD.GTN42U812DGDG.01_GRID</t>
  </si>
  <si>
    <t>MR.HD.GTN47U812DGDG.01_GRID</t>
  </si>
  <si>
    <t>MR.HD.GTN22U66P.01_GRID</t>
  </si>
  <si>
    <t>MR.HD.GTN24U66P.01_GRID</t>
  </si>
  <si>
    <t>MR.HD.GTN27U66P.01_GRID</t>
  </si>
  <si>
    <t>MR.HD.GTN32U66P.01_GRID</t>
  </si>
  <si>
    <t>MR.HD.GTN42U66P.01_GRID</t>
  </si>
  <si>
    <t>MR.HD.GTN22U68P.01_GRID</t>
  </si>
  <si>
    <t>MR.HD.GTN27U68P.01_GRID</t>
  </si>
  <si>
    <t>MR.HD.GTN42U68P.01_GRID</t>
  </si>
  <si>
    <t>MR.HD.GTN47U68P.01_GRID</t>
  </si>
  <si>
    <t>MR.HD.GTN42U61P.01_GRID</t>
  </si>
  <si>
    <t>MR.HD.GTN22U66PP.01_GRID</t>
  </si>
  <si>
    <t>MR.HD.GTN24U66PP.01_GRID</t>
  </si>
  <si>
    <t>MR.HD.GTN27U66PP.01_GRID</t>
  </si>
  <si>
    <t>MR.HD.GTN32U66PP.01_GRID</t>
  </si>
  <si>
    <t>MR.HD.GTN42U66PP.01_GRID</t>
  </si>
  <si>
    <t>MR.HD.GTN22U68PP.01_GRID</t>
  </si>
  <si>
    <t>MR.HD.GTN27U68PP.01_GRID</t>
  </si>
  <si>
    <t>MR.HD.GTN42U68PP.01_GRID</t>
  </si>
  <si>
    <t>MR.HD.GTN47U68PP.01_GRID</t>
  </si>
  <si>
    <t>MR.HD.GTN42U61PP.01_GRID</t>
  </si>
  <si>
    <t>MR.HD.GTN42U68DP.01_GRID</t>
  </si>
  <si>
    <t>MR.HD.GTN33U88DP.01_GRID</t>
  </si>
  <si>
    <t>MR.HD.GTN42U88DP.01_GRID</t>
  </si>
  <si>
    <t>MR.HD.GTN47U88DP.01_GRID</t>
  </si>
  <si>
    <t>MR.HD.GTN42U81DP.01_GRID</t>
  </si>
  <si>
    <t>MR.HD.GTN47U81DP.01_GRID</t>
  </si>
  <si>
    <t>MR.HD.GTN42U812DP.01_GRID</t>
  </si>
  <si>
    <t>MR.HD.GTN47U812DP.01_GRID</t>
  </si>
  <si>
    <t>MR.HD.GTN42U86DPDP.01_GRID</t>
  </si>
  <si>
    <t>MR.HD.GTN33U88DPDP.01_GRID</t>
  </si>
  <si>
    <t>MR.HD.GTN42U88DPDP.01_GRID</t>
  </si>
  <si>
    <t>MR.HD.GTN47U88DPDP.01_GRID</t>
  </si>
  <si>
    <t>MR.HD.GTN42U81DPDP.01_GRID</t>
  </si>
  <si>
    <t>MR.HD.GTN47U81DPDP.01_GRID</t>
  </si>
  <si>
    <t>MR.HD.GTN42U812DPDP.01_GRID</t>
  </si>
  <si>
    <t>MR.HD.GTN47U812DPDP.01_GRID</t>
  </si>
  <si>
    <t>KRG2266SGR</t>
  </si>
  <si>
    <t>KRG2466SGR</t>
  </si>
  <si>
    <t>KRG2766SGR</t>
  </si>
  <si>
    <t>KRG3266SGR</t>
  </si>
  <si>
    <t>KRG4266SGR</t>
  </si>
  <si>
    <t>KRG2268SGR</t>
  </si>
  <si>
    <t>KRG2768SGR</t>
  </si>
  <si>
    <t>KRG4268SGR</t>
  </si>
  <si>
    <t>KRG42610SGR</t>
  </si>
  <si>
    <t>KRG2266SG2</t>
  </si>
  <si>
    <t>KRG2466SG2</t>
  </si>
  <si>
    <t>KRG2766SG2</t>
  </si>
  <si>
    <t>KRG3266SG2</t>
  </si>
  <si>
    <t>KRG4266SG2</t>
  </si>
  <si>
    <t>KRG2268SG2</t>
  </si>
  <si>
    <t>KRG2768SG2</t>
  </si>
  <si>
    <t>KRG4268SG2</t>
  </si>
  <si>
    <t>KRG42610SG2</t>
  </si>
  <si>
    <t>KRG4286DGR</t>
  </si>
  <si>
    <t>KRG3288DGR</t>
  </si>
  <si>
    <t>KRG4788DGR</t>
  </si>
  <si>
    <t>KRG42810DGR</t>
  </si>
  <si>
    <t>KRG42812DGR</t>
  </si>
  <si>
    <t>KRG47812DGR</t>
  </si>
  <si>
    <t>KRG3288DG2</t>
  </si>
  <si>
    <t>KRG4788DG2</t>
  </si>
  <si>
    <t>KRG42810DG2</t>
  </si>
  <si>
    <t>KRG42812DG2</t>
  </si>
  <si>
    <t>KRG47812DG2</t>
  </si>
  <si>
    <t>KRG2266SPR</t>
  </si>
  <si>
    <t>KRG2466SPR</t>
  </si>
  <si>
    <t>KRG2766SPR</t>
  </si>
  <si>
    <t>KRG3266SPR</t>
  </si>
  <si>
    <t>KRG4266SPR</t>
  </si>
  <si>
    <t>KRG2268SPR</t>
  </si>
  <si>
    <t>KRG2768SPR</t>
  </si>
  <si>
    <t>KRG4268SPR</t>
  </si>
  <si>
    <t>KRG4768SPR</t>
  </si>
  <si>
    <t>KRG42610SPR</t>
  </si>
  <si>
    <t>KRG2266SP2</t>
  </si>
  <si>
    <t>KRG2466SP2</t>
  </si>
  <si>
    <t>KRG2766SP2</t>
  </si>
  <si>
    <t>KRG3266SP2</t>
  </si>
  <si>
    <t>KRG4266SP2</t>
  </si>
  <si>
    <t>KRG2268SP2</t>
  </si>
  <si>
    <t>KRG2768SP2</t>
  </si>
  <si>
    <t>KRG4268SP2</t>
  </si>
  <si>
    <t>KRG4768SP2</t>
  </si>
  <si>
    <t>KRG42610SP2</t>
  </si>
  <si>
    <t>KRG4286DPR</t>
  </si>
  <si>
    <t>KRG3288DPR</t>
  </si>
  <si>
    <t>KRG4788DPR</t>
  </si>
  <si>
    <t>KRG42810DPR</t>
  </si>
  <si>
    <t>KRG47810DPR</t>
  </si>
  <si>
    <t>KRG42812DPR</t>
  </si>
  <si>
    <t>KRG47812DPR</t>
  </si>
  <si>
    <t>KRG4286DP2</t>
  </si>
  <si>
    <t>KRG3288DP2</t>
  </si>
  <si>
    <t>KRG4788DP2</t>
  </si>
  <si>
    <t>KRG42810DP2</t>
  </si>
  <si>
    <t>KRG47810DP2</t>
  </si>
  <si>
    <t>KRG42812DP2</t>
  </si>
  <si>
    <t>KRG47812DP2</t>
  </si>
  <si>
    <t>U1403001</t>
  </si>
  <si>
    <t>U1403002</t>
  </si>
  <si>
    <t>U1403003</t>
  </si>
  <si>
    <t>U1403004</t>
  </si>
  <si>
    <t>U1403005</t>
  </si>
  <si>
    <t>U1403006</t>
  </si>
  <si>
    <t>U1403007</t>
  </si>
  <si>
    <t>U1403008</t>
  </si>
  <si>
    <t>U1403009</t>
  </si>
  <si>
    <t>U1403010</t>
  </si>
  <si>
    <t>U1403011</t>
  </si>
  <si>
    <t>U1403012</t>
  </si>
  <si>
    <t>U1403013</t>
  </si>
  <si>
    <t>U1403014</t>
  </si>
  <si>
    <t>U1403015</t>
  </si>
  <si>
    <t>U1403016</t>
  </si>
  <si>
    <t>U1403017</t>
  </si>
  <si>
    <t>U1403018</t>
  </si>
  <si>
    <t>U1403019</t>
  </si>
  <si>
    <t>U1403020</t>
  </si>
  <si>
    <t>U1403021</t>
  </si>
  <si>
    <t>U1403022</t>
  </si>
  <si>
    <t>U1403023</t>
  </si>
  <si>
    <t>U1403024</t>
  </si>
  <si>
    <t>U1403025</t>
  </si>
  <si>
    <t>U1403026</t>
  </si>
  <si>
    <t>U1403027</t>
  </si>
  <si>
    <t>U1403028</t>
  </si>
  <si>
    <t>U1403029</t>
  </si>
  <si>
    <t>U1403030</t>
  </si>
  <si>
    <t>U1403031</t>
  </si>
  <si>
    <t>U1403032</t>
  </si>
  <si>
    <t>U1403033</t>
  </si>
  <si>
    <t>U1403034</t>
  </si>
  <si>
    <t>U1403035</t>
  </si>
  <si>
    <t>U1403036</t>
  </si>
  <si>
    <t>U1403037</t>
  </si>
  <si>
    <t>U1403038</t>
  </si>
  <si>
    <t>U1403039</t>
  </si>
  <si>
    <t>U1403040</t>
  </si>
  <si>
    <t>U1403041</t>
  </si>
  <si>
    <t>U1403042</t>
  </si>
  <si>
    <t>U1403043</t>
  </si>
  <si>
    <t>U1403044</t>
  </si>
  <si>
    <t>U1403045</t>
  </si>
  <si>
    <t>U1403046</t>
  </si>
  <si>
    <t>U1403047</t>
  </si>
  <si>
    <t>U1403048</t>
  </si>
  <si>
    <t>U1403049</t>
  </si>
  <si>
    <t>U1403050</t>
  </si>
  <si>
    <t>U1403051</t>
  </si>
  <si>
    <t>U1403052</t>
  </si>
  <si>
    <t>U1403053</t>
  </si>
  <si>
    <t>U1403054</t>
  </si>
  <si>
    <t>U1403055</t>
  </si>
  <si>
    <t>U1403056</t>
  </si>
  <si>
    <t>U1403057</t>
  </si>
  <si>
    <t>U1403058</t>
  </si>
  <si>
    <t>U1403059</t>
  </si>
  <si>
    <t>U1403060</t>
  </si>
  <si>
    <t>U1403061</t>
  </si>
  <si>
    <t>U1403062</t>
  </si>
  <si>
    <t>U1403063</t>
  </si>
  <si>
    <t>U1403064</t>
  </si>
  <si>
    <t>U1403065</t>
  </si>
  <si>
    <t>U1403066</t>
  </si>
  <si>
    <t>U1403067</t>
  </si>
  <si>
    <t>15% MB</t>
  </si>
  <si>
    <t>MR.HD.GTN24U88G.01_GRID</t>
  </si>
  <si>
    <t>MR.HD.GTN27U88G.01_GRID</t>
  </si>
  <si>
    <t>MR.HD.GTN32U88G.01_GRID</t>
  </si>
  <si>
    <t>MR.HD.GTN47U81G.01_GRID</t>
  </si>
  <si>
    <t>MR.HD.GTN42U86G.01_GRID</t>
  </si>
  <si>
    <t>MR.HD.GTN33U88G.01_GRID</t>
  </si>
  <si>
    <t>MR.HD.GTN42U88G.01_GRID</t>
  </si>
  <si>
    <t>MR.HD.GTN47U88G.01_GRID</t>
  </si>
  <si>
    <t>MR.HD.GTN42U81G.01_GRID</t>
  </si>
  <si>
    <t>MR.HD.GTN42U812G.01_GRID</t>
  </si>
  <si>
    <t>MR.HD.GTN47U812G.01_GRID</t>
  </si>
  <si>
    <t>MR.HD.GTN24U88GG.01_GRID</t>
  </si>
  <si>
    <t>MR.HD.GTN27U88GG.01_GRID</t>
  </si>
  <si>
    <t>MR.HD.GTN32U88GG.01_GRID</t>
  </si>
  <si>
    <t>MR.HD.GTN33U88GG.01_GRID</t>
  </si>
  <si>
    <t>MR.HD.GTN42U88GG.01_GRID</t>
  </si>
  <si>
    <t>MR.HD.GTN47U88GG.01_GRID</t>
  </si>
  <si>
    <t>MR.HD.GTN42U81GG.01_GRID</t>
  </si>
  <si>
    <t>MR.HD.GTN42U812GG.01_GRID</t>
  </si>
  <si>
    <t>MR.HD.GTN47U812GG.01_GRID</t>
  </si>
  <si>
    <t>24RU 800mmx800mm</t>
  </si>
  <si>
    <t>Sıngle Front Glass Door - Full rear</t>
  </si>
  <si>
    <t>Sıngle Front Glass Door - Sıngle rear glass door</t>
  </si>
  <si>
    <t xml:space="preserve"> </t>
  </si>
  <si>
    <r>
      <t xml:space="preserve">19" Cabinet 9U 600x620x520,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</si>
  <si>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12U 600x620x655, </t>
    </r>
    <r>
      <rPr>
        <b/>
        <sz val="9"/>
        <color rgb="FFC00000"/>
        <rFont val="Calibri"/>
        <family val="2"/>
        <scheme val="minor"/>
      </rPr>
      <t>glass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</si>
  <si>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12U 600x620x655,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</si>
  <si>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12U 600x620x655, </t>
    </r>
    <r>
      <rPr>
        <b/>
        <sz val="9"/>
        <color rgb="FF548235"/>
        <rFont val="Calibri"/>
        <family val="2"/>
        <scheme val="minor"/>
      </rPr>
      <t>75% perforated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</si>
  <si>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500) 600x520x1054, </t>
    </r>
    <r>
      <rPr>
        <b/>
        <sz val="9"/>
        <color rgb="FFC00000"/>
        <rFont val="Calibri"/>
        <family val="2"/>
        <scheme val="minor"/>
      </rPr>
      <t>glass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</si>
  <si>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500) 600x520x1054,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</si>
  <si>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500) 600x520x1054, </t>
    </r>
    <r>
      <rPr>
        <b/>
        <sz val="9"/>
        <color rgb="FF548235"/>
        <rFont val="Calibri"/>
        <family val="2"/>
        <scheme val="minor"/>
      </rPr>
      <t>75% perforated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</si>
  <si>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600) 600x620x1054, </t>
    </r>
    <r>
      <rPr>
        <b/>
        <sz val="9"/>
        <color rgb="FFC00000"/>
        <rFont val="Calibri"/>
        <family val="2"/>
        <scheme val="minor"/>
      </rPr>
      <t>glass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</si>
  <si>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600) 600x620x1054, </t>
    </r>
    <r>
      <rPr>
        <b/>
        <sz val="9"/>
        <color rgb="FF000000"/>
        <rFont val="Calibri"/>
        <family val="2"/>
        <scheme val="minor"/>
      </rPr>
      <t>solid door</t>
    </r>
    <r>
      <rPr>
        <sz val="9"/>
        <color rgb="FF000000"/>
        <rFont val="Calibri"/>
        <family val="2"/>
        <scheme val="minor"/>
      </rPr>
      <t>, solid panels, assembled</t>
    </r>
  </si>
  <si>
    <r>
      <t xml:space="preserve">19" Cabinet 22U (depth 600) 600x620x1054, </t>
    </r>
    <r>
      <rPr>
        <b/>
        <sz val="9"/>
        <color rgb="FF548235"/>
        <rFont val="Calibri"/>
        <family val="2"/>
        <scheme val="minor"/>
      </rPr>
      <t>75% perforated door</t>
    </r>
    <r>
      <rPr>
        <sz val="9"/>
        <color rgb="FF000000"/>
        <rFont val="Calibri"/>
        <family val="2"/>
        <scheme val="minor"/>
      </rPr>
      <t>, solid panels, assembled</t>
    </r>
  </si>
  <si>
    <t>06U W=565MM D=450MM Assembled, Side Panel with O-Lock COM-BOX Black</t>
  </si>
  <si>
    <t>09U W=565MM D=450MM Assembled, Side Panel with O-Lock COM-BOX Black</t>
  </si>
  <si>
    <t>12U W=565MM D=450MM Assembled, Side Panel with O-Lock COM-BOX Black</t>
  </si>
  <si>
    <t>15U W=565MM D=450MM Assembled, Side Panel with O-Lock COM-BOX Black</t>
  </si>
  <si>
    <t>18U W=565MM D=450MM Assembled, Side Panel with O-Lock COM-BOX Black</t>
  </si>
  <si>
    <t>22U W=565MM D=450MM Assembled, Side Panel with O-Lock COM-BOX Black</t>
  </si>
  <si>
    <t>06U W=565MM D=600MM Assembled, Side Panel with O-Lock COM-BOX Black</t>
  </si>
  <si>
    <t>09U W=565MM D=600MM Assembled, Side Panel with O-Lock COM-BOX Black</t>
  </si>
  <si>
    <t>12U W=565MM D=600MM Assembled, Side Panel with O-Lock COM-BOX Black</t>
  </si>
  <si>
    <t>15U W=565MM D=600MM Assembled, Side Panel with O-Lock COM-BOX Black</t>
  </si>
  <si>
    <t>18U W=565MM D=600MM Assembled, Side Panel with O-Lock COM-BOX Black</t>
  </si>
  <si>
    <t>22U W=565MM D=600MM Assembled, Side Panel with O-Lock COM-BOX Black</t>
  </si>
  <si>
    <t>MR.WTC06U45MN.01_KYK_SYM</t>
  </si>
  <si>
    <t>MR.WTC09U45MN.01_KYK_SYM</t>
  </si>
  <si>
    <t>MR.WTC12U45MN.01_KYK_SYM</t>
  </si>
  <si>
    <t>MR.WTC15U45MN.01_KYK_SYM</t>
  </si>
  <si>
    <t>MR.WTC18U45MN.01_KYK_SYM</t>
  </si>
  <si>
    <t>MR.WTC22U45MN.01_KYK_SYM</t>
  </si>
  <si>
    <t>MR.WTC06U60MN.01_KYK_SYM</t>
  </si>
  <si>
    <t>MR.WTC09U60MN.01_KYK_SYM</t>
  </si>
  <si>
    <t>MR.WTC12U60MN.01_KYK_SYM</t>
  </si>
  <si>
    <t>MR.WTC15U60MN.01_KYK_SYM</t>
  </si>
  <si>
    <t>MR.WTC18U60MN.01_KYK_SYM</t>
  </si>
  <si>
    <t>MR.WTC22U60MN.01_KYK_SYM</t>
  </si>
  <si>
    <t>MR.OKS01A60.XX</t>
  </si>
  <si>
    <t>CABLE ORGANIZER SET (HOOK TYPE), ALUMINIUM 44X60MM, 1SET =1PCS</t>
  </si>
  <si>
    <t>450X80 BRUSH</t>
  </si>
  <si>
    <t>300X65 BRUSH</t>
  </si>
  <si>
    <t>MR.MCT1U55.XX</t>
  </si>
  <si>
    <t>1U 19" D=55MM MEDIA CONVERTER HOLDER</t>
  </si>
  <si>
    <t>REAR ORGANIZER WITH HOOKS 42U 1SET = 2 PCS</t>
  </si>
  <si>
    <t>REAR ORGANIZER WITH HOOKS 33U 1SET = 2 PCS</t>
  </si>
  <si>
    <t>MR.IP55W07U66.03_SYM</t>
  </si>
  <si>
    <t>07U W=600mm D=600mm Wall-Mounted IP55 Cabinet 7035 Outdoor (Internally Lockable Side Panels, Front-Handled Lockable Metal Door)</t>
  </si>
  <si>
    <t>MR.IP55W09U66.03_SYM</t>
  </si>
  <si>
    <t>09U W=600mm D=600mm Wall-Mounted IP55 Cabinet 7035 Outdoor (Internally Lockable Side Panels, Front-Handled Lockable Metal Door)</t>
  </si>
  <si>
    <t>MR.IP55W12U66.03_SYM</t>
  </si>
  <si>
    <t>12U W=600mm D=600mm Wall-Mounted IP55 Cabinet 7035 Outdoor (Internally Lockable Side Panels, Front-Handled Lockable Metal Door)</t>
  </si>
  <si>
    <t>MR.IP55W16U66.03_SYM</t>
  </si>
  <si>
    <t>16U W=600mm D=600mm Wall-Mounted IP55 Cabinet 7035 Outdoor (Internally Lockable Side Panels, Front-Handled Lockable Metal Door)</t>
  </si>
  <si>
    <t>MR.IP55W18U66.03_SYM</t>
  </si>
  <si>
    <t>18U W=600mm D=600mm Wall-Mounted IP55 Cabinet 7035 Outdoor (Internally Lockable Side Panels, Front-Handled Lockable Metal Door)</t>
  </si>
  <si>
    <t>MR.IP55W20U66.03_SYM</t>
  </si>
  <si>
    <t>20U W=600mm D=600mm Wall-Mounted IP55 Cabinet 7035 Outdoor (Internally Lockable Side Panels, Front-Handled Lockable Metal Door)</t>
  </si>
  <si>
    <t>MR.IP55W22U66.03_SYM</t>
  </si>
  <si>
    <t>22U W=600mm D=600mm Wall-Mounted IP55 Cabinet 7035 Outdoor (Internally Lockable Side Panels, Front-Handled Lockable Metal Door)</t>
  </si>
  <si>
    <t>MR.IP55W07U66.03_CK_SYM</t>
  </si>
  <si>
    <t>07U W=600mm D=600mm Wall-Mounted IP55 Cabinet 7035 Outdoor (Internally Lockable Side Panels, Front-Handled Lockable Glass Door)</t>
  </si>
  <si>
    <t>MR.IP55W09U66.03_CK_SYM</t>
  </si>
  <si>
    <t>09U W=600mm D=600mm Wall-Mounted IP55 Cabinet 7035 Outdoor (Internally Lockable Side Panels, Front-Handled Lockable Glass Door)</t>
  </si>
  <si>
    <t>MR.IP55W12U66.03_CK_SYM</t>
  </si>
  <si>
    <t>12U W=600mm D=600mm Wall-Mounted IP55 Cabinet 7035 Outdoor (Internally Lockable Side Panels, Front-Handled Lockable Glass Door)</t>
  </si>
  <si>
    <t>MR.IP55W16U66.03_CK_SYM</t>
  </si>
  <si>
    <t>16U W=600mm D=600mm Wall-Mounted IP55 Cabinet 7035 Outdoor (Internally Lockable Side Panels, Front-Handled Lockable Glass Door)</t>
  </si>
  <si>
    <t>MR.IP55W18U66.03_CK_SYM</t>
  </si>
  <si>
    <t>18U W=600mm D=600mm Wall-Mounted IP55 Cabinet 7035 Outdoor (Internally Lockable Side Panels, Front-Handled Lockable Glass Door)</t>
  </si>
  <si>
    <t>MR.IP55W20U66.03_CK_SYM</t>
  </si>
  <si>
    <t>20U W=600mm D=600mm Wall-Mounted IP55 Cabinet 7035 Outdoor (Internally Lockable Side Panels, Front-Handled Lockable Glass Door)</t>
  </si>
  <si>
    <t>MR.IP55W22U66.03_CK_SYM</t>
  </si>
  <si>
    <t>22U W=600mm D=600mm Wall-Mounted IP55 Cabinet 7035 Outdoor (Internally Lockable Side Panels, Front-Handled Lockable Glass Door)</t>
  </si>
  <si>
    <t>MR.IP55W07U68.03_SYM</t>
  </si>
  <si>
    <t>07U W=600mm D=800mm Wall-Mounted IP55 Cabinet 7035 Outdoor (Internally Lockable Side Panels, Front-Handled Lockable Metal Door)</t>
  </si>
  <si>
    <t>MR.IP55W09U68.03_SYM</t>
  </si>
  <si>
    <t>09U W=600mm D=800mm Wall-Mounted IP55 Cabinet 7035 Outdoor (Internally Lockable Side Panels, Front-Handled Lockable Metal Door)</t>
  </si>
  <si>
    <t>MR.IP55W12U68.03_SYM</t>
  </si>
  <si>
    <t>12U W=600mm D=800mm Wall-Mounted IP55 Cabinet 7035 Outdoor (Internally Lockable Side Panels, Front-Handled Lockable Metal Door)</t>
  </si>
  <si>
    <t>MR.IP55W16U68.03_SYM</t>
  </si>
  <si>
    <t>16U W=600mm D=800mm Wall-Mounted IP55 Cabinet 7035 Outdoor (Internally Lockable Side Panels, Front-Handled Lockable Metal Door)</t>
  </si>
  <si>
    <t>MR.IP55W18U68.03_SYM</t>
  </si>
  <si>
    <t>18U W=600mm D=800mm Wall-Mounted IP55 Cabinet 7035 Outdoor (Internally Lockable Side Panels, Front-Handled Lockable Metal Door)</t>
  </si>
  <si>
    <t>MR.IP55W20U68.03_SYM</t>
  </si>
  <si>
    <t>20U W=600mm D=800mm Wall-Mounted IP55 Cabinet 7035 Outdoor (Internally Lockable Side Panels, Front-Handled Lockable Metal Door)</t>
  </si>
  <si>
    <t>MR.IP55W22U68.03_SYM</t>
  </si>
  <si>
    <t>22U W=600mm D=800mm Wall-Mounted IP55 Cabinet 7035 Outdoor (Internally Lockable Side Panels, Front-Handled Lockable Metal Door)</t>
  </si>
  <si>
    <t>MR.IP55W07U68.03_CK_SYM</t>
  </si>
  <si>
    <t>07U W=600mm D=800mm Wall-Mounted IP55 Cabinet 7035 Outdoor (Internally Lockable Side Panels, Front-Handled Lockable Glass Door)</t>
  </si>
  <si>
    <t>MR.IP55W09U68.03_CK_SYM</t>
  </si>
  <si>
    <t>09U W=600mm D=800mm Wall-Mounted IP55 Cabinet 7035 Outdoor (Internally Lockable Side Panels, Front-Handled Lockable Glass Door)</t>
  </si>
  <si>
    <t>MR.IP55W12U68.03_CK_SYM</t>
  </si>
  <si>
    <t>12U W=600mm D=800mm Wall-Mounted IP55 Cabinet 7035 Outdoor (Internally Lockable Side Panels, Front-Handled Lockable Glass Door)</t>
  </si>
  <si>
    <t>MR.IP55W16U68.03_CK_SYM</t>
  </si>
  <si>
    <t>16U W=600mm D=800mm Wall-Mounted IP55 Cabinet 7035 Outdoor (Internally Lockable Side Panels, Front-Handled Lockable Glass Door)</t>
  </si>
  <si>
    <t>MR.IP55W18U68.03_CK_SYM</t>
  </si>
  <si>
    <t>18U W=600mm D=800mm Wall-Mounted IP55 Cabinet 7035 Outdoor (Internally Lockable Side Panels, Front-Handled Lockable Glass Door)</t>
  </si>
  <si>
    <t>MR.IP55W20U68.03_CK_SYM</t>
  </si>
  <si>
    <t>20U W=600mm D=800mm Wall-Mounted IP55 Cabinet 7035 Outdoor (Internally Lockable Side Panels, Front-Handled Lockable Glass Door)</t>
  </si>
  <si>
    <t>MR.IP55W22U68.03_CK_SYM</t>
  </si>
  <si>
    <t>22U W=600mm D=800mm Wall-Mounted IP55 Cabinet 7035 Outdoor (Internally Lockable Side Panels, Front-Handled Lockable Glass Door)</t>
  </si>
  <si>
    <t>TG</t>
  </si>
  <si>
    <t>60 JOURS</t>
  </si>
  <si>
    <t>42U W=800mm D=800mm New Model GTN Hybrid Series Floor-Standing Cabinet Black (Front/Rear Leaf-Hinged Double Perforated Door, With Side Panels) (Incl. 1 Set of 2 ODKs, 1x300mm Cable Duct, 1 Set of 2 Z-Connection Kits, JUNCKIT, MR.TPS02)</t>
  </si>
  <si>
    <t>42U W=800mm D=800mm New Model GTN Hybrid Series Floor-Standing Cabinet Black (Front/Rear Leaf-Hinged Double Perforated Door, Doorless Side Panels) (Incl. 1 Set of 2 ODKs, 1x300mm Cable Duct, 1 Set of 2 Z-Connection Kits, JUNCKIT, MR.TPS02)</t>
  </si>
  <si>
    <t>42U W=600mm D=600mm New Model GTN Hybrid Series Floor-Standing Cabinet Black (Front/Rear Leaf-Hinged Single Perforated Door, With Side Panels) (Incl. 1x300mm Cable Duct, JUNCKIT, MR.TPS02)</t>
  </si>
  <si>
    <t>42U W=600mm D=600mm New Model GTN Hybrid Series Floor-Standing Cabinet Black (Front/Rear Leaf-Hinged Single Perforated Door, Doorless Side Panels) (Incl. 1x300mm Cable Duct, JUNCKIT, TPS02)</t>
  </si>
  <si>
    <t>42U W=600mm D=800mm New Model GTN Hybrid Series Floor-Standing Cabinet Black (Front/Rear Leaf-Hinged Single Perforated Door, With Side Panels) (Incl. 1x300mm Cable Duct, MR.TPS02, JUNCKIT)</t>
  </si>
  <si>
    <t>42U W=600mm D=800mm New Model GTN Hybrid Series Floor-Standing Cabinet Black (Front/Rear Leaf-Hinged Single Perforated Door, Doorless Side Panels) (Incl. 1x300mm Cable Duct, JUNCKIT, MR.TPS02)</t>
  </si>
  <si>
    <t>42U W=800mm D=1000mm New Model GTN Hybrid Series Floor-Standing Cabinet Black (Front/Rear Leaf-Hinged Double Perforated Door, With Side Panels) (Incl. 1 Set of 2 ODKs, 1x300mm Cable Duct, 1 Set of 2 Z-Connection Kits, JUNCKIT, MR.TPS02)</t>
  </si>
  <si>
    <t>42U W=800mm D=1000mm New Model GTN Hybrid Series Floor-Standing Cabinet Black (Front/Rear Leaf-Hinged Double Perforated Door, Doorless Side Panels) (Incl. 1 Set of 2 ODKs, 1x300mm Cable Duct, 1 Set of 2 Z-Connection Kits, JUNCKIT, MR.TPS02)</t>
  </si>
  <si>
    <t>47U W=800mm D=800mm New Model GTN Hybrid Series Floor-Standing Cabinet Black (Front/Rear Leaf-Hinged Double Perforated Door, With Side Panels) (Incl. 1 Set of 2 ODKs, 1x300mm Cable Duct, 1 Set of 2 Z-Connection Kits, JUNCKIT, MR.TPS02)</t>
  </si>
  <si>
    <t>47U W=800mm D=800mm New Model GTN Hybrid Series Floor-Standing Cabinet Black (Front/Rear Leaf-Hinged Double Perforated Door, Doorless Side Panels) (Incl. 1 Set of 2 ODKs, 1x300mm Cable Duct, 1 Set of 2 Z-Connection Kits, JUNCKIT, MR.TPS02)</t>
  </si>
  <si>
    <t>47U W=800mm D=1000mm New Model GTN Hybrid Series Floor-Standing Cabinet Black (Front/Rear Leaf-Hinged Double Perforated Door, With Side Panels) (Incl. 1 Set of 2 ODKs, 1x300mm Cable Duct, 1 Set of 2 Z-Connection Kits, JUNCKIT, MR.TPS02)</t>
  </si>
  <si>
    <t>47U W=800mm D=1000mm New Model GTN Hybrid Series Floor-Standing Cabinet Black (Front/Rear Leaf-Hinged Double Perforated Door, Doorless Side Panels) (Incl. 1 Set of 2 ODKs, 1x300mm Cable Duct, 1 Set of 2 Z-Connection Kits, JUNCKIT, MR.TPS02)</t>
  </si>
  <si>
    <t>MR.IP55W18U60.03</t>
  </si>
  <si>
    <t>MR.IP55W22U60.03</t>
  </si>
  <si>
    <t>691718IP55.3</t>
  </si>
  <si>
    <t>691720IP55.3</t>
  </si>
  <si>
    <t>691722IP55.2</t>
  </si>
  <si>
    <t>$120,00</t>
  </si>
  <si>
    <t>$130,00</t>
  </si>
  <si>
    <t>$140,00</t>
  </si>
  <si>
    <t>$160,00</t>
  </si>
  <si>
    <t>$170,00</t>
  </si>
  <si>
    <t>$180,00</t>
  </si>
  <si>
    <t>$200,00</t>
  </si>
  <si>
    <t>KRG2488SGR</t>
  </si>
  <si>
    <t>KRG2788SGR</t>
  </si>
  <si>
    <t>KRG3288SGR</t>
  </si>
  <si>
    <t>KRG4788SGR</t>
  </si>
  <si>
    <t>KRG47810SGR</t>
  </si>
  <si>
    <t>KRG42810SGR</t>
  </si>
  <si>
    <t>KRG42812SGR</t>
  </si>
  <si>
    <t>KRG47812SGR</t>
  </si>
  <si>
    <t>KRG4286SGR</t>
  </si>
  <si>
    <t>KRG2488SG2</t>
  </si>
  <si>
    <t>KRG2788SG2</t>
  </si>
  <si>
    <t>KRG3288SG2</t>
  </si>
  <si>
    <t>KRG3388SG2</t>
  </si>
  <si>
    <t>KRG4788SG2</t>
  </si>
  <si>
    <t>KRG42810SG2</t>
  </si>
  <si>
    <t>KRG42812SG2</t>
  </si>
  <si>
    <t>KRG47812SG2</t>
  </si>
  <si>
    <t>SG</t>
  </si>
  <si>
    <t>KWG22450</t>
  </si>
  <si>
    <t>KWG12600</t>
  </si>
  <si>
    <t>KWG22600</t>
  </si>
  <si>
    <t>KWI07600</t>
  </si>
  <si>
    <t>KWI09600</t>
  </si>
  <si>
    <t>KWI12600</t>
  </si>
  <si>
    <t>KWI18600</t>
  </si>
  <si>
    <t>MR.IP55W16U60.03</t>
  </si>
  <si>
    <t>KWI16600</t>
  </si>
  <si>
    <t>MR.IP55W20U60.03</t>
  </si>
  <si>
    <t>KWI20600</t>
  </si>
  <si>
    <t>KWI22600</t>
  </si>
  <si>
    <t xml:space="preserve">Panneau amovible </t>
  </si>
  <si>
    <t xml:space="preserve">RA </t>
  </si>
  <si>
    <t>(Remouvable Access)</t>
  </si>
  <si>
    <t>KWI07600FDRA</t>
  </si>
  <si>
    <t>KWI09600FDRA</t>
  </si>
  <si>
    <t>KWI12600FDRA</t>
  </si>
  <si>
    <t>KWI16600FDRA</t>
  </si>
  <si>
    <t>KWI18600FDRA</t>
  </si>
  <si>
    <t>KWI20600FDRA</t>
  </si>
  <si>
    <t>KWI22600FDRA</t>
  </si>
  <si>
    <t>KWI07600SGRA</t>
  </si>
  <si>
    <t>KWI09600SGRA</t>
  </si>
  <si>
    <t>KWI12600SGRA</t>
  </si>
  <si>
    <t>KWI16600SGRA</t>
  </si>
  <si>
    <t>KWI18600SGRA</t>
  </si>
  <si>
    <t>KWI20600SGRA</t>
  </si>
  <si>
    <t>KWI22600SGRA</t>
  </si>
  <si>
    <t>KWI07800FDRA</t>
  </si>
  <si>
    <t>KWI09800FDRA</t>
  </si>
  <si>
    <t>KWI12800FDRA</t>
  </si>
  <si>
    <t>KWI16800FDRA</t>
  </si>
  <si>
    <t>KWI18800FDRA</t>
  </si>
  <si>
    <t>KWI20800FDRA</t>
  </si>
  <si>
    <t>KWI22800FDRA</t>
  </si>
  <si>
    <t>KWI07800SGRA</t>
  </si>
  <si>
    <t>KWI09800SGRA</t>
  </si>
  <si>
    <t>KWI12800SGRA</t>
  </si>
  <si>
    <t>KWI16800SGRA</t>
  </si>
  <si>
    <t>KWI18800SGRA</t>
  </si>
  <si>
    <t>KWI20800SGRA</t>
  </si>
  <si>
    <t>KWI22800SGRA</t>
  </si>
  <si>
    <t>KRG4288EDF</t>
  </si>
  <si>
    <t>U1405002</t>
  </si>
  <si>
    <t>KRG4288EDFP</t>
  </si>
  <si>
    <t>U1405003</t>
  </si>
  <si>
    <t>KRG4266EDF</t>
  </si>
  <si>
    <t>U1405004</t>
  </si>
  <si>
    <t>KRG4266EDFP</t>
  </si>
  <si>
    <t>U1405005</t>
  </si>
  <si>
    <t>KRG4268EDF</t>
  </si>
  <si>
    <t>U1405006</t>
  </si>
  <si>
    <t>KRG4268EDFP</t>
  </si>
  <si>
    <t>U1405007</t>
  </si>
  <si>
    <t>KRG42810EDF</t>
  </si>
  <si>
    <t>U1405008</t>
  </si>
  <si>
    <t>KRG42810EDFP</t>
  </si>
  <si>
    <t>U1405009</t>
  </si>
  <si>
    <t>KRG4788EDF</t>
  </si>
  <si>
    <t>U1405010</t>
  </si>
  <si>
    <t>KRG4788EDFP</t>
  </si>
  <si>
    <t>U1405011</t>
  </si>
  <si>
    <t>KRG47810EDF</t>
  </si>
  <si>
    <t>U1405012</t>
  </si>
  <si>
    <t>KRG47810EDFP</t>
  </si>
  <si>
    <t>U1405013</t>
  </si>
  <si>
    <t xml:space="preserve">Single Glass door </t>
  </si>
  <si>
    <t>KWG09600FD</t>
  </si>
  <si>
    <t>KWG12600FD</t>
  </si>
  <si>
    <t>KWG12600PED</t>
  </si>
  <si>
    <t>KWGDOOR12PED</t>
  </si>
  <si>
    <t>KWGDOOR12FD</t>
  </si>
  <si>
    <t>KWG22450FD</t>
  </si>
  <si>
    <t>KWG22450PED</t>
  </si>
  <si>
    <t>KWG22600FD</t>
  </si>
  <si>
    <t>KWG226000PED</t>
  </si>
  <si>
    <t>KWGDOOR22FD</t>
  </si>
  <si>
    <t>KWGDOOR22PED</t>
  </si>
  <si>
    <t>MD32-10U-450-KYK.01_SYM</t>
  </si>
  <si>
    <t>MD32-13U-450-KYK.01_SYM</t>
  </si>
  <si>
    <t>MD32-22U-450-KYK.01_SYM</t>
  </si>
  <si>
    <t>MD32-10U-600-KYK.01_SYM</t>
  </si>
  <si>
    <t>MD32-13U-600-KYK.01_SYM</t>
  </si>
  <si>
    <t>MD32-22U-600-KYK.01_SYM</t>
  </si>
  <si>
    <t>10U 450mm Depth Mounted Lockable Side Cover Module, Black</t>
  </si>
  <si>
    <t>13U 450mm Depth Mounted Lockable Side Cover Module, Black</t>
  </si>
  <si>
    <t>22U 450mm Depth Mounted Lockable Side Cover Module, Black</t>
  </si>
  <si>
    <t>10U 600mm Depth Mounted Lockable Side Cover Module, Black</t>
  </si>
  <si>
    <t>13U 600mm Depth Mounted Lockable Side Cover Module, Black</t>
  </si>
  <si>
    <t>12U 600mm Depth Mounted Lockable Side Cover Module, Black</t>
  </si>
  <si>
    <t>MD35-10U-TAK.01_SYM</t>
  </si>
  <si>
    <t>10U 565mm Width Mounted Lockable Rear Cover Module, Black</t>
  </si>
  <si>
    <t>MD35-13U-TAK.01_SYM</t>
  </si>
  <si>
    <t>13U 565mm Width Mounted Lockable Rear Cover Module, Black</t>
  </si>
  <si>
    <t>MD35-22U-TAK.01_SYM</t>
  </si>
  <si>
    <t>22U 565mm Width Mounted Lockable Rear Cover Module, Black</t>
  </si>
  <si>
    <t>MR.WTC10U45MN.01_KYK_SYM</t>
  </si>
  <si>
    <t>MR.WTC13U45MN.01_KYK_SYM</t>
  </si>
  <si>
    <t>MR.WTC10U60MN.01_KYK_SYM</t>
  </si>
  <si>
    <t>MR.WTC13U60MN.01_KYK_SYM</t>
  </si>
  <si>
    <t>10U W=565MM D=450MM Assembled, Side Panel with O-Lock COM-BOX Black</t>
  </si>
  <si>
    <t>13U W=565MM D=450MM Assembled, Side Panel with O-Lock COM-BOX Black</t>
  </si>
  <si>
    <t>10U W=565MM D=600MM Assembled, Side Panel with O-Lock COM-BOX Black</t>
  </si>
  <si>
    <t>13U W=565MM D=600MM Assembled, Side Panel with O-Lock COM-BOX Black</t>
  </si>
  <si>
    <t>KRS27U800DP</t>
  </si>
  <si>
    <t>KRS32U800DP</t>
  </si>
  <si>
    <t>KRS42U800DP</t>
  </si>
  <si>
    <t>KCH881628</t>
  </si>
  <si>
    <t>KCH882852</t>
  </si>
  <si>
    <t>KCH8101628</t>
  </si>
  <si>
    <t>KCH8102852</t>
  </si>
  <si>
    <t>KCH661628</t>
  </si>
  <si>
    <t>KCH662852</t>
  </si>
  <si>
    <t>KCH681628</t>
  </si>
  <si>
    <t>KCH682852</t>
  </si>
  <si>
    <t>KCH6101628</t>
  </si>
  <si>
    <t>KCH6102852</t>
  </si>
  <si>
    <t>KFAN2V</t>
  </si>
  <si>
    <t>KFAN4V</t>
  </si>
  <si>
    <t>KGRND</t>
  </si>
  <si>
    <t>KITSCRW50</t>
  </si>
  <si>
    <t>KPLINT66</t>
  </si>
  <si>
    <t>KPLINT68</t>
  </si>
  <si>
    <t>KPLINT86</t>
  </si>
  <si>
    <t>KPLINT88</t>
  </si>
  <si>
    <t>KPLINT610</t>
  </si>
  <si>
    <t>KPLINT810</t>
  </si>
  <si>
    <t>KPLINT812</t>
  </si>
  <si>
    <t>KBLANK1U</t>
  </si>
  <si>
    <t>KBLANK2U</t>
  </si>
  <si>
    <t>KBLANK3U</t>
  </si>
  <si>
    <t>KBLANK5U</t>
  </si>
  <si>
    <t>KLEDPAN1U</t>
  </si>
  <si>
    <t>KIT6RINGS</t>
  </si>
  <si>
    <t>KTRAYSLID350MM</t>
  </si>
  <si>
    <t>KTRAYSLID550MM</t>
  </si>
  <si>
    <t>KTRAYSLID720MM</t>
  </si>
  <si>
    <t>KTRAY720MM</t>
  </si>
  <si>
    <t>KTRAY920MM</t>
  </si>
  <si>
    <t>KTRAY400MM</t>
  </si>
  <si>
    <t>KTRAY450MM</t>
  </si>
  <si>
    <t>KTRAY550MM</t>
  </si>
  <si>
    <t>KCASTOR4</t>
  </si>
  <si>
    <t>KFEET4</t>
  </si>
  <si>
    <t>MR.HD.GTN42U11.01_STRS</t>
  </si>
  <si>
    <t>MR.HD.GTN27U11.01_STRS</t>
  </si>
  <si>
    <t>27U 1000mmx1000mm</t>
  </si>
  <si>
    <t>MR.HD.GTN32U11.01_STRS</t>
  </si>
  <si>
    <t>32U 1000mmx1000mm</t>
  </si>
  <si>
    <t>42U 1000mmx1000mm</t>
  </si>
  <si>
    <t>MR.HD.GTN42U11.01_STRS_OAKPSZ</t>
  </si>
  <si>
    <t>MD21-1000-27U-PAK63SET.01</t>
  </si>
  <si>
    <t>MD21-1000-32U-PAK63SET.01</t>
  </si>
  <si>
    <t>MD21-1000-42U-PAK63SET.01</t>
  </si>
  <si>
    <t>MD16-1000-32U-CKSET.01</t>
  </si>
  <si>
    <t>MD16-1000-42U-CKSET.01</t>
  </si>
  <si>
    <t>MD21-1000-27U-TAK.01</t>
  </si>
  <si>
    <t>MD21-1000-32U-TAK.01</t>
  </si>
  <si>
    <t>MD21-1000-42U-TAK.01</t>
  </si>
  <si>
    <t>Packaged W=1000 mm 27U Side Panel Style Rear Door Module Black (1 Set 1 Unit)</t>
  </si>
  <si>
    <t>Packaged W=1000 mm 32U Side Panel Style Rear Door Module Black (1 Set 1 Unit)</t>
  </si>
  <si>
    <t>Packaged W=1000 mm 42U Side Panel Style Rear Door Module Black (1 Set 1 Unit)</t>
  </si>
  <si>
    <t>24RU 1000mmx1000mm</t>
  </si>
  <si>
    <t>27RU 1000mmx1000mm</t>
  </si>
  <si>
    <t>32RU 1000mmx1000mm</t>
  </si>
  <si>
    <t>42RU 1000mmx1000mm</t>
  </si>
  <si>
    <t>47RU 1000mmx1000mm</t>
  </si>
  <si>
    <t>MR.HD.GTN24U11G.01_GRID</t>
  </si>
  <si>
    <t>MR.HD.GTN27U11G.01_GRID</t>
  </si>
  <si>
    <t>MR.HD.GTN32U11G.01_GRID</t>
  </si>
  <si>
    <t>MR.HD.GTN42U11G.01_GRID</t>
  </si>
  <si>
    <t>MR.HD.GTN47U11G.01_GRID</t>
  </si>
  <si>
    <t>MR.HD.GTN24U11GG.01_GRID</t>
  </si>
  <si>
    <t>MR.HD.GTN27U11GG.01_GRID</t>
  </si>
  <si>
    <t>MR.HD.GTN32U11GG.01_GRID</t>
  </si>
  <si>
    <t>MR.HD.GTN42U11GG.01_GRID</t>
  </si>
  <si>
    <t>MR.HD.GTN47U11GG.01_GRID</t>
  </si>
  <si>
    <t>MR.HD.GTN33U11DG.01_GRID</t>
  </si>
  <si>
    <t>MR.HD.GTN42U11DG.01_GRID</t>
  </si>
  <si>
    <t>MR.HD.GTN47U11DG.01_GRID</t>
  </si>
  <si>
    <t>MR.HD.GTN33U11DGDG.01_GRID</t>
  </si>
  <si>
    <t>MR.HD.GTN42U11DGDG.01_GRID</t>
  </si>
  <si>
    <t>MR.HD.GTN47U11DGDG.01_GRID</t>
  </si>
  <si>
    <t>MR.HD.GTN33U11DP.01_GRID</t>
  </si>
  <si>
    <t>MR.HD.GTN42U11DP.01_GRID</t>
  </si>
  <si>
    <t>MR.HD.GTN47U11DP.01_GRID</t>
  </si>
  <si>
    <t>MR.HD.GTN33U11DPDP.01_GRID</t>
  </si>
  <si>
    <t>MR.HD.GTN42U11DPDP.01_GRID</t>
  </si>
  <si>
    <t>MR.HD.GTN47U11DPDP.01_GRID</t>
  </si>
  <si>
    <t>BASE FOR RACK 600MM - W600 / D600 / H100</t>
  </si>
  <si>
    <t>KRG241010SGR</t>
  </si>
  <si>
    <t>KRG271010SGR</t>
  </si>
  <si>
    <t>KRG321010SGR</t>
  </si>
  <si>
    <t>KRG421010SGR</t>
  </si>
  <si>
    <t>KRG471010SGR</t>
  </si>
  <si>
    <t>KRG241010SG2</t>
  </si>
  <si>
    <t>KRG271010SG2</t>
  </si>
  <si>
    <t>KRG321010SG2</t>
  </si>
  <si>
    <t>KRG421010SG2</t>
  </si>
  <si>
    <t>KRG471010SG2</t>
  </si>
  <si>
    <t>KRG321010DGR</t>
  </si>
  <si>
    <t>KRG421010DGR</t>
  </si>
  <si>
    <t>KRG471010DGR</t>
  </si>
  <si>
    <t>KRG321010DG2</t>
  </si>
  <si>
    <t>KRG421010DG2</t>
  </si>
  <si>
    <t>KRG471010DG2</t>
  </si>
  <si>
    <t>KRG321010DPR</t>
  </si>
  <si>
    <t>KRG421010DPR</t>
  </si>
  <si>
    <t>KRG471010DPR</t>
  </si>
  <si>
    <t>KRG321010DP2</t>
  </si>
  <si>
    <t>KRG421010DP2</t>
  </si>
  <si>
    <t>KRG471010DP2</t>
  </si>
  <si>
    <t>KRS271010DGR</t>
  </si>
  <si>
    <t>KRS321010DGR</t>
  </si>
  <si>
    <t>KRS421010DGR</t>
  </si>
  <si>
    <t>KRS421010WDR</t>
  </si>
  <si>
    <t>MR.PDT-42U_ZN (1 set 2 pcs)</t>
  </si>
  <si>
    <t>MR.PDT-32U_ZN (1 set 2 pcs)</t>
  </si>
  <si>
    <t>MR.PDT-27U_ZN (1 set 2 pcs)</t>
  </si>
  <si>
    <t xml:space="preserve">Front cable organizer </t>
  </si>
  <si>
    <t>WO cable organizer</t>
  </si>
  <si>
    <t>With Cable organizer</t>
  </si>
  <si>
    <t xml:space="preserve">WITH </t>
  </si>
  <si>
    <t>CAB ORGA</t>
  </si>
  <si>
    <t>CABINET CHAIR 800x1200 H.mm 158-280.5</t>
  </si>
  <si>
    <t>CABINET CHAIR 800x1200 H.mm 278-520.5</t>
  </si>
  <si>
    <t>Pallet Dimensions</t>
  </si>
  <si>
    <t>Qty</t>
  </si>
  <si>
    <t>950x1200x2100</t>
  </si>
  <si>
    <t>950x1200x2200</t>
  </si>
  <si>
    <t>950x1200x2400</t>
  </si>
  <si>
    <t>950x1200x1850</t>
  </si>
  <si>
    <t>1200x1300x2100</t>
  </si>
  <si>
    <t>1200x1300x2200</t>
  </si>
  <si>
    <t>1200x1300x2400</t>
  </si>
  <si>
    <t>1200x1300x1850</t>
  </si>
  <si>
    <t xml:space="preserve">1 SET 4 PCS </t>
  </si>
  <si>
    <t>ÉTAGÈRE GLISSIERE 19" 1U PROFONDEUR 550 MM AJUSTABLE PAR BOITE</t>
  </si>
  <si>
    <t>CHAISES DE BAIE 600x1000 H158-280</t>
  </si>
  <si>
    <t>CHAISES DE BAIE 600x1000 H278-520</t>
  </si>
  <si>
    <t>BAIE RESEAU "GRID" 42U 800x1000 19 POUCES DOUBLE PORTE AV/AR PERFOREES</t>
  </si>
  <si>
    <t>PLAQUE 4 VENTILATEURS, MODULE DE VENTILATEUR CONTRÔLÉ PAR THERMOSTAT ANALOGIQUE</t>
  </si>
  <si>
    <t>PIEDS DE BAIE 4PCS PAR BOITE</t>
  </si>
  <si>
    <t>ROULETTES AUTOPORTANTES  4 POINTS CONNECTION 4PCS (2 AVEC FREINS) PAR BOITE</t>
  </si>
  <si>
    <t>QTES</t>
  </si>
  <si>
    <t>KKITJUNC</t>
  </si>
  <si>
    <t>PRIX RENDU CORIS</t>
  </si>
  <si>
    <t>TT</t>
  </si>
  <si>
    <t>TOTAL HT</t>
  </si>
  <si>
    <t>KWIBASE600</t>
  </si>
  <si>
    <t>KWI12UFD</t>
  </si>
  <si>
    <t xml:space="preserve">PORTE PLEINE 12U IP55 AVEC SERRURE </t>
  </si>
  <si>
    <t>MR.SBR100.01_YK 19</t>
  </si>
  <si>
    <t>FIXED TRAY 1U - 1000 MM</t>
  </si>
  <si>
    <t>19 "D = 1000 4 POINT CONNECTED SIDE HANDLE FIXED SHELF BLACK</t>
  </si>
  <si>
    <t>KTRAY1000MM</t>
  </si>
  <si>
    <t>MR.TKR5525_GTN</t>
  </si>
  <si>
    <t>KSFS1U800</t>
  </si>
  <si>
    <t>KSFS1U1000</t>
  </si>
  <si>
    <t>KSC1U800</t>
  </si>
  <si>
    <t>KSC1U1000</t>
  </si>
  <si>
    <t>KW1/4T</t>
  </si>
  <si>
    <t>KWMTBALAI</t>
  </si>
  <si>
    <t>KWG06450</t>
  </si>
  <si>
    <t>KWG09450</t>
  </si>
  <si>
    <t>KWG10450</t>
  </si>
  <si>
    <t>KWG12450</t>
  </si>
  <si>
    <t>KWG13450</t>
  </si>
  <si>
    <t>KWG15450</t>
  </si>
  <si>
    <t>KWG18450</t>
  </si>
  <si>
    <t>KWG06600</t>
  </si>
  <si>
    <t>KWG09600</t>
  </si>
  <si>
    <t>KWG10600</t>
  </si>
  <si>
    <t>KWG13600</t>
  </si>
  <si>
    <t>KWG15600</t>
  </si>
  <si>
    <t>KWG18600</t>
  </si>
  <si>
    <t>MR.IP66W60406U.03</t>
  </si>
  <si>
    <t>6U 19'' W=600mm D=400mm Double-Walled Wall-Mounted External Panel, White</t>
  </si>
  <si>
    <t>MR.IP66W60407U.03</t>
  </si>
  <si>
    <t>7U 19'' W=600mm D=400mm Double-Walled Wall-Mounted External Panel, White</t>
  </si>
  <si>
    <t>MR.IP66W60409U.03</t>
  </si>
  <si>
    <t>9U 19'' W=600mm D=400mm Double-Walled Wall-Mounted External Panel, White</t>
  </si>
  <si>
    <t>MR.IP66W604010U.03</t>
  </si>
  <si>
    <t>10U 19'' W=600mm D=400mm Double-Walled Wall-Mounted External Panel, White</t>
  </si>
  <si>
    <t>MR.IP66W604012U.03</t>
  </si>
  <si>
    <t>12U 19'' W=600mm D=400mm Double-Walled Wall-Mounted External Panel, White</t>
  </si>
  <si>
    <t>MR.IP66W604013U.03</t>
  </si>
  <si>
    <t>13U 19'' W=600mm D=400mm Double-Walled Wall-Mounted External Panel, White</t>
  </si>
  <si>
    <t>MR.IP66W604015U.03</t>
  </si>
  <si>
    <t>15U 19'' W=600mm D=400mm Double-Walled Wall-Mounted External Panel, White</t>
  </si>
  <si>
    <t>MR.IP66W604016U.03</t>
  </si>
  <si>
    <t>16U 19'' W=600mm D=400mm Double-Walled Wall-Mounted External Panel, White</t>
  </si>
  <si>
    <t>MR.IP66W604018U.03</t>
  </si>
  <si>
    <t>18U 19'' W=600mm D=400mm Double-Walled Wall-Mounted External Panel, White</t>
  </si>
  <si>
    <t>MR.IP66W604020U.03</t>
  </si>
  <si>
    <t>20U 19'' W=600mm D=400mm Double-Walled Wall-Mounted External Panel, White</t>
  </si>
  <si>
    <t>MR.IP66W604022U.03</t>
  </si>
  <si>
    <t>22U 19'' W=600mm D=400mm Double-Walled Wall-Mounted External Panel, White</t>
  </si>
  <si>
    <t>MR.IP66W60606U.03</t>
  </si>
  <si>
    <t>6U 19'' W=600mm D=600mm Double-Walled Wall-Mounted External Panel, White</t>
  </si>
  <si>
    <t>MR.IP66W60607U.03</t>
  </si>
  <si>
    <t>7U 19'' W=600mm D=600mm Double-Walled Wall-Mounted External Panel, White</t>
  </si>
  <si>
    <t>MR.IP66W60609U.03</t>
  </si>
  <si>
    <t>9U 19'' W=600mm D=600mm Double-Walled Wall-Mounted External Panel, White</t>
  </si>
  <si>
    <t>MR.IP66W606010U.03</t>
  </si>
  <si>
    <t>10U 19'' W=600mm D=600mm Double-Walled Wall-Mounted External Panel, White</t>
  </si>
  <si>
    <t>MR.IP66W606012U.03</t>
  </si>
  <si>
    <t>12U 19'' W=600mm D=600mm Double-Walled Wall-Mounted External Panel, White</t>
  </si>
  <si>
    <t>MR.IP66W606013U.03</t>
  </si>
  <si>
    <t>13U 19'' W=600mm D=600mm Double-Walled Wall-Mounted External Panel, White</t>
  </si>
  <si>
    <t>MR.IP66W606015U.03</t>
  </si>
  <si>
    <t>15U 19'' W=600mm D=600mm Double-Walled Wall-Mounted External Panel, White</t>
  </si>
  <si>
    <t>MR.IP66W606016U.03</t>
  </si>
  <si>
    <t>16U 19'' W=600mm D=600mm Double-Walled Wall-Mounted External Panel, White</t>
  </si>
  <si>
    <t>MR.IP66W606018U.03</t>
  </si>
  <si>
    <t>18U 19'' W=600mm D=600mm Double-Walled Wall-Mounted External Panel, White</t>
  </si>
  <si>
    <t>MR.IP66W606020U.03</t>
  </si>
  <si>
    <t>20U 19'' W=600mm D=600mm Double-Walled Wall-Mounted External Panel, White</t>
  </si>
  <si>
    <t>MR.IP66W606022U.03</t>
  </si>
  <si>
    <t>22U 19'' W=600mm D=600mm Double-Walled Wall-Mounted External Panel, White</t>
  </si>
  <si>
    <t>MIR.FIRCA.300X65.SP</t>
  </si>
  <si>
    <t>MIR.KLT.250.20.03.57</t>
  </si>
  <si>
    <t>KCH8121628</t>
  </si>
  <si>
    <t>KCH8122852</t>
  </si>
  <si>
    <t>MR.HD.GTN42U86G.01_STRT</t>
  </si>
  <si>
    <t>MR.HD.GTN27U88G.01_STRT</t>
  </si>
  <si>
    <t>MR.HD.GTN32U88G.01_STRT</t>
  </si>
  <si>
    <t>MR.HD.GTN42U88G.01_STRT</t>
  </si>
  <si>
    <t>MR.HD.GTN27U86G.01_STRT</t>
  </si>
  <si>
    <t>MR.HD.GTN24U88G.01_STRT</t>
  </si>
  <si>
    <t>MR.HD.GTN24U86G.01_STRT</t>
  </si>
  <si>
    <t>MR.HD.GTN32U86G.01_STRT</t>
  </si>
  <si>
    <t>KSR4286SGR</t>
  </si>
  <si>
    <t>42RU 800mmX600mm</t>
  </si>
  <si>
    <t>KRS2788SGR</t>
  </si>
  <si>
    <t>42RU 800mmX800mm</t>
  </si>
  <si>
    <t>KRS3288SGR</t>
  </si>
  <si>
    <t>KRS2786SGR</t>
  </si>
  <si>
    <t>KRS2488SGR</t>
  </si>
  <si>
    <t>KRS2486SGR</t>
  </si>
  <si>
    <t>KRS3286SGR</t>
  </si>
  <si>
    <t>32RU 800mmX800mm</t>
  </si>
  <si>
    <t>27RU 800mmX800mm</t>
  </si>
  <si>
    <t>27RU 800mmX600mm</t>
  </si>
  <si>
    <t>24RU 800mmX800mm</t>
  </si>
  <si>
    <t>24RU 800mmX600mm</t>
  </si>
  <si>
    <t>32RU 800mmX600mm</t>
  </si>
  <si>
    <t>U1402023</t>
  </si>
  <si>
    <t>MR.HD.GTN33U88DPDP.01_EDF</t>
  </si>
  <si>
    <t>MR.HD.GTN32U88DPDP.01_EDF</t>
  </si>
  <si>
    <t>MR.HD.GTN27U88DPDP.01_EDF</t>
  </si>
  <si>
    <t>KRG3388EDF</t>
  </si>
  <si>
    <t>KRG3288EDF</t>
  </si>
  <si>
    <t>KRG2788EDF</t>
  </si>
  <si>
    <t>33U W=800MM D=800MM NEW MODEL GTN HYBRID SERIES STANDING TYPE CABINET BLACK (FRONT AND REAR LIFT-AND-REMOVE HINGED DOUBLE PERFORATED DOORS, SIDE DOORS 33U ONE-PIECE (1 SET INCLUDING 2 ODK PIECES, 1 300mm CABLE CHANNEL INCLUDED, 1 SET INCLUDING 4 JUCTION KITS, TPS02 INCLUDED))</t>
  </si>
  <si>
    <t>32U W=800MM D=800MM NEW MODEL GTN HYBRID SERIES STANDING TYPE CABINET BLACK (FRONT AND REAR LIFT-AND-REMOVE HINGED DOUBLE PERFORATED DOORS, SIDE DOORS 32U ONE-PIECE (1 SET INCLUDING 2 ODK PIECES, 1 300mm CABLE CHANNEL INCLUDED, 1 SET INCLUDING 4 JUCTION KITS, TPS02 INCLUDED))</t>
  </si>
  <si>
    <t>27U W=800MM D=800MM NEW MODEL GTN HYBRID SERIES STANDING TYPE CABINET BLACK (FRONT AND REAR LIFT-AND-REMOVE HINGED DOUBLE PERFORATED DOORS, SIDE DOORS 27U ONE PIECE (1 SET INCLUDING 2 ODK, 1 300mm CABLE CHANNEL, 1 SET INCLUDING 4 JUCTION KITS, TPS02 INCLUDED))</t>
  </si>
  <si>
    <t>MR.HD.GTN42U88NFR.01_GRID</t>
  </si>
  <si>
    <t>42U W=800MM D=800MM GTN HYBRID GRID SERIES STANDING TYPE CABINET BLACK (WITHOUT FRONT AND REAR DOORS, WITHOUT HINGES, SIDE DOORS ARE ONE SIZE, MR.ODK42UPK.01 INCLUDED)</t>
  </si>
  <si>
    <t>MR.HD.GTN42U81NFR.01_GRID</t>
  </si>
  <si>
    <t>42U W=800MM D=1000MM GTN HYBRID GRID SERIES STANDING TYPE CABINET BLACK (WITHOUT FRONT AND REAR DOORS, WITHOUT HINGES, SIDE DOORS ARE ONE SIZE, MR.ODK42UPK.01 INCLUDED)</t>
  </si>
  <si>
    <t>MD142S-800-42U-CKC.01</t>
  </si>
  <si>
    <t>SYMEA NEW GENERATION GTN HYBRID SERIES W=800mm 42U LIFT-AND-DETACH HINGED SINGLE METAL FRAMED GLASS DOOR MODULE BLACK (PACKAGED)</t>
  </si>
  <si>
    <t>MD142S-800-42U-CKCSET.01</t>
  </si>
  <si>
    <t>SYMEA NEW GENERATION GTN HYBRID SERIES W=800mm 42U LIFT-AND-DETACH HINGED DOUBLE METAL FRAMED GLASS DOOR MODULE BLACK (1 LOCK SIDE, 1 HINGE SIDE)</t>
  </si>
  <si>
    <t>MD142S-800-42U-DOK63.01</t>
  </si>
  <si>
    <t>SYMEA NEW GENERATION GTN HYBRID SERIES, PACKAGED, W=800mm, 42U, LIFT-AND-DETACH HINGED, 63% SINGLE PERFORATED COVER MODULE, BLACK.</t>
  </si>
  <si>
    <t>MD142S-800-42U-PAK63SET.01</t>
  </si>
  <si>
    <t>SYMEA NEW GENERATION GTN HYBRID SERIES W=800mm 42U LIFT-AND-PULL HINGED 63% DOUBLE PERFORATED COVER MODULE BLACK (1 LOCK SIDE, 1 HINGE SIDE)</t>
  </si>
  <si>
    <t>MD142S-800-42U-OMK.01</t>
  </si>
  <si>
    <t>SYMEA NEW GENERATION GTN HYBRID SERIES W=800mm 42U LIFT-AND-DETACH HINGED SINGLE METAL COVER MODULE BLACK (PACKAGED)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</si>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</sst>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#,##0\ &quot;€&quot;;\-#,##0\ &quot;€&quot;"/>
    <numFmt numFmtId="44" formatCode="_-* #,##0.00\ &quot;€&quot;_-;\-* #,##0.00\ &quot;€&quot;_-;_-* &quot;-&quot;??\ &quot;€&quot;_-;_-@_-"/>
    <numFmt numFmtId="164" formatCode="0.000"/>
    <numFmt numFmtId="165" formatCode="_-[$$-409]* #,##0.00_ ;_-[$$-409]* \-#,##0.00\ ;_-[$$-409]* &quot;-&quot;??_ ;_-@_ "/>
    <numFmt numFmtId="166" formatCode="0.0%"/>
    <numFmt numFmtId="167" formatCode="_-* #,##0.0\ &quot;€&quot;_-;\-* #,##0.0\ &quot;€&quot;_-;_-* &quot;-&quot;??\ &quot;€&quot;_-;_-@_-"/>
    <numFmt numFmtId="168" formatCode="_-[$$-409]* #,##0.0_ ;_-[$$-409]* \-#,##0.0\ ;_-[$$-409]* &quot;-&quot;??_ ;_-@_ "/>
    <numFmt numFmtId="169" formatCode="_-* #,##0.0\ [$€-40C]_-;\-* #,##0.0\ [$€-40C]_-;_-* &quot;-&quot;??\ [$€-40C]_-;_-@_-"/>
    <numFmt numFmtId="170" formatCode="_-* #,##0.00\ [$€-40C]_-;\-* #,##0.00\ [$€-40C]_-;_-* &quot;-&quot;??\ [$€-40C]_-;_-@_-"/>
    <numFmt numFmtId="171" formatCode="_-* #,##0.0\ &quot;€&quot;_-;\-* #,##0.0\ &quot;€&quot;_-;_-* &quot;-&quot;?\ &quot;€&quot;_-;_-@_-"/>
    <numFmt numFmtId="172" formatCode="[$$-409]#,##0.00"/>
    <numFmt numFmtId="173" formatCode="dd/mm/yy;@"/>
    <numFmt numFmtId="174" formatCode="_-* #,##0\ _€_-;\-* #,##0\ _€_-;_-* &quot;-&quot;??\ _€_-;_-@_-"/>
    <numFmt numFmtId="175" formatCode="_-* #,##0\ [$€-40C]_-;\-* #,##0\ [$€-40C]_-;_-* &quot;-&quot;??\ [$€-40C]_-;_-@_-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000000"/>
      <name val="Poppins"/>
    </font>
    <font>
      <sz val="9"/>
      <color rgb="FF000000"/>
      <name val="Poppins"/>
    </font>
    <font>
      <b/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9"/>
      <color rgb="FFFFFFFF"/>
      <name val="Poppin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rgb="FF54823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Poppins"/>
    </font>
    <font>
      <b/>
      <i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.5"/>
      <color rgb="FF0070C0"/>
      <name val="Calibri"/>
      <family val="2"/>
    </font>
    <font>
      <sz val="9"/>
      <color rgb="FF000000"/>
      <name val="Poppins"/>
    </font>
    <font>
      <b/>
      <i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2060"/>
      <name val="Calibri"/>
      <family val="2"/>
      <scheme val="minor"/>
    </font>
    <font>
      <b/>
      <sz val="10.5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trike/>
      <sz val="1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trike/>
      <sz val="10"/>
      <color rgb="FF002060"/>
      <name val="Calibri"/>
      <family val="2"/>
      <scheme val="minor"/>
    </font>
    <font>
      <strike/>
      <sz val="10"/>
      <color rgb="FF0070C0"/>
      <name val="Calibri"/>
      <family val="2"/>
      <scheme val="minor"/>
    </font>
    <font>
      <strike/>
      <sz val="10"/>
      <color rgb="FF000000"/>
      <name val="Calibri"/>
      <family val="2"/>
      <scheme val="minor"/>
    </font>
    <font>
      <b/>
      <strike/>
      <sz val="9"/>
      <color rgb="FF000000"/>
      <name val="Poppins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645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349">
    <xf numFmtId="0" fontId="0" fillId="0" borderId="0" xfId="0"/>
    <xf numFmtId="14" fontId="2" fillId="0" borderId="0" xfId="0" applyNumberFormat="1" applyFont="1" applyAlignment="1">
      <alignment horizontal="center"/>
    </xf>
    <xf numFmtId="0" fontId="7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169" fontId="3" fillId="3" borderId="5" xfId="0" applyNumberFormat="1" applyFont="1" applyFill="1" applyBorder="1" applyAlignment="1">
      <alignment horizontal="center" vertical="center"/>
    </xf>
    <xf numFmtId="169" fontId="3" fillId="3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164" fontId="7" fillId="0" borderId="0" xfId="0" applyNumberFormat="1" applyFont="1"/>
    <xf numFmtId="165" fontId="5" fillId="4" borderId="1" xfId="0" applyNumberFormat="1" applyFont="1" applyFill="1" applyBorder="1" applyAlignment="1">
      <alignment vertical="center"/>
    </xf>
    <xf numFmtId="169" fontId="6" fillId="0" borderId="0" xfId="0" applyNumberFormat="1" applyFont="1"/>
    <xf numFmtId="169" fontId="2" fillId="0" borderId="0" xfId="0" applyNumberFormat="1" applyFont="1"/>
    <xf numFmtId="16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8" fontId="5" fillId="5" borderId="1" xfId="1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165" fontId="11" fillId="0" borderId="0" xfId="0" applyNumberFormat="1" applyFont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  <xf numFmtId="165" fontId="10" fillId="7" borderId="6" xfId="0" applyNumberFormat="1" applyFont="1" applyFill="1" applyBorder="1" applyAlignment="1">
      <alignment horizontal="left" vertical="center"/>
    </xf>
    <xf numFmtId="165" fontId="12" fillId="6" borderId="6" xfId="0" applyNumberFormat="1" applyFont="1" applyFill="1" applyBorder="1" applyAlignment="1">
      <alignment horizontal="left" vertical="center"/>
    </xf>
    <xf numFmtId="165" fontId="12" fillId="9" borderId="6" xfId="0" applyNumberFormat="1" applyFont="1" applyFill="1" applyBorder="1" applyAlignment="1">
      <alignment horizontal="left" vertical="center"/>
    </xf>
    <xf numFmtId="165" fontId="10" fillId="0" borderId="6" xfId="0" applyNumberFormat="1" applyFont="1" applyBorder="1" applyAlignment="1">
      <alignment horizontal="left" vertical="center"/>
    </xf>
    <xf numFmtId="165" fontId="10" fillId="9" borderId="6" xfId="0" applyNumberFormat="1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left" vertical="center" wrapText="1"/>
    </xf>
    <xf numFmtId="172" fontId="19" fillId="11" borderId="1" xfId="0" applyNumberFormat="1" applyFont="1" applyFill="1" applyBorder="1" applyAlignment="1">
      <alignment horizontal="left" vertical="center"/>
    </xf>
    <xf numFmtId="172" fontId="2" fillId="0" borderId="0" xfId="0" applyNumberFormat="1" applyFont="1" applyAlignment="1">
      <alignment horizontal="left" vertical="center"/>
    </xf>
    <xf numFmtId="0" fontId="19" fillId="11" borderId="1" xfId="0" applyFont="1" applyFill="1" applyBorder="1" applyAlignment="1">
      <alignment horizontal="center" vertical="center"/>
    </xf>
    <xf numFmtId="172" fontId="6" fillId="11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5" fontId="6" fillId="11" borderId="1" xfId="0" applyNumberFormat="1" applyFont="1" applyFill="1" applyBorder="1" applyAlignment="1">
      <alignment horizontal="left" vertical="center"/>
    </xf>
    <xf numFmtId="170" fontId="2" fillId="11" borderId="1" xfId="0" applyNumberFormat="1" applyFont="1" applyFill="1" applyBorder="1" applyAlignment="1">
      <alignment horizontal="left" vertical="center"/>
    </xf>
    <xf numFmtId="44" fontId="2" fillId="0" borderId="0" xfId="1" applyFont="1" applyBorder="1" applyAlignment="1">
      <alignment horizontal="left" vertical="center"/>
    </xf>
    <xf numFmtId="170" fontId="2" fillId="0" borderId="0" xfId="0" applyNumberFormat="1" applyFont="1" applyAlignment="1">
      <alignment horizontal="left" vertical="center"/>
    </xf>
    <xf numFmtId="2" fontId="7" fillId="0" borderId="0" xfId="0" applyNumberFormat="1" applyFont="1"/>
    <xf numFmtId="165" fontId="2" fillId="0" borderId="0" xfId="0" applyNumberFormat="1" applyFont="1" applyAlignment="1">
      <alignment horizontal="left" vertical="center"/>
    </xf>
    <xf numFmtId="165" fontId="19" fillId="11" borderId="0" xfId="0" applyNumberFormat="1" applyFont="1" applyFill="1" applyAlignment="1">
      <alignment horizontal="center" vertical="center"/>
    </xf>
    <xf numFmtId="165" fontId="22" fillId="0" borderId="1" xfId="3" applyNumberFormat="1" applyFont="1" applyBorder="1" applyAlignment="1">
      <alignment horizontal="left" vertical="center"/>
    </xf>
    <xf numFmtId="165" fontId="22" fillId="0" borderId="8" xfId="3" applyNumberFormat="1" applyFont="1" applyBorder="1" applyAlignment="1">
      <alignment vertical="center"/>
    </xf>
    <xf numFmtId="165" fontId="6" fillId="0" borderId="1" xfId="3" applyNumberFormat="1" applyFont="1" applyBorder="1" applyAlignment="1">
      <alignment horizontal="left" vertical="center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169" fontId="5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/>
    </xf>
    <xf numFmtId="165" fontId="5" fillId="4" borderId="0" xfId="0" applyNumberFormat="1" applyFont="1" applyFill="1" applyAlignment="1">
      <alignment vertical="center"/>
    </xf>
    <xf numFmtId="167" fontId="0" fillId="0" borderId="0" xfId="0" applyNumberFormat="1"/>
    <xf numFmtId="165" fontId="5" fillId="5" borderId="0" xfId="1" applyNumberFormat="1" applyFont="1" applyFill="1" applyBorder="1" applyAlignment="1">
      <alignment vertical="center"/>
    </xf>
    <xf numFmtId="166" fontId="2" fillId="0" borderId="0" xfId="2" applyNumberFormat="1" applyFont="1" applyBorder="1" applyAlignment="1">
      <alignment horizontal="center"/>
    </xf>
    <xf numFmtId="5" fontId="0" fillId="0" borderId="0" xfId="0" applyNumberFormat="1" applyAlignment="1">
      <alignment horizontal="center"/>
    </xf>
    <xf numFmtId="165" fontId="2" fillId="4" borderId="0" xfId="0" applyNumberFormat="1" applyFont="1" applyFill="1"/>
    <xf numFmtId="165" fontId="0" fillId="4" borderId="0" xfId="0" applyNumberFormat="1" applyFill="1"/>
    <xf numFmtId="0" fontId="4" fillId="13" borderId="0" xfId="0" applyFont="1" applyFill="1" applyAlignment="1">
      <alignment vertical="center"/>
    </xf>
    <xf numFmtId="165" fontId="5" fillId="13" borderId="0" xfId="0" applyNumberFormat="1" applyFont="1" applyFill="1" applyAlignment="1">
      <alignment vertical="center"/>
    </xf>
    <xf numFmtId="167" fontId="5" fillId="13" borderId="0" xfId="1" applyNumberFormat="1" applyFont="1" applyFill="1" applyBorder="1" applyAlignment="1">
      <alignment vertical="center"/>
    </xf>
    <xf numFmtId="167" fontId="0" fillId="13" borderId="0" xfId="0" applyNumberFormat="1" applyFill="1"/>
    <xf numFmtId="0" fontId="0" fillId="13" borderId="0" xfId="0" applyFill="1"/>
    <xf numFmtId="165" fontId="5" fillId="13" borderId="0" xfId="1" applyNumberFormat="1" applyFont="1" applyFill="1" applyBorder="1" applyAlignment="1">
      <alignment vertical="center"/>
    </xf>
    <xf numFmtId="166" fontId="2" fillId="13" borderId="0" xfId="2" applyNumberFormat="1" applyFont="1" applyFill="1" applyBorder="1" applyAlignment="1">
      <alignment horizontal="center"/>
    </xf>
    <xf numFmtId="5" fontId="0" fillId="13" borderId="0" xfId="0" applyNumberFormat="1" applyFill="1" applyAlignment="1">
      <alignment horizontal="center"/>
    </xf>
    <xf numFmtId="0" fontId="0" fillId="5" borderId="0" xfId="0" applyFill="1"/>
    <xf numFmtId="165" fontId="6" fillId="4" borderId="0" xfId="0" applyNumberFormat="1" applyFont="1" applyFill="1"/>
    <xf numFmtId="165" fontId="6" fillId="5" borderId="0" xfId="1" applyNumberFormat="1" applyFont="1" applyFill="1" applyBorder="1" applyAlignment="1">
      <alignment vertical="center"/>
    </xf>
    <xf numFmtId="166" fontId="6" fillId="0" borderId="0" xfId="2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9" fontId="5" fillId="0" borderId="0" xfId="0" applyNumberFormat="1" applyFont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71" fontId="0" fillId="0" borderId="0" xfId="0" applyNumberFormat="1"/>
    <xf numFmtId="169" fontId="6" fillId="0" borderId="0" xfId="0" applyNumberFormat="1" applyFont="1" applyAlignment="1">
      <alignment horizontal="center" vertical="center"/>
    </xf>
    <xf numFmtId="9" fontId="2" fillId="0" borderId="0" xfId="2" applyFont="1" applyBorder="1"/>
    <xf numFmtId="9" fontId="2" fillId="0" borderId="0" xfId="2" applyFont="1" applyFill="1" applyBorder="1"/>
    <xf numFmtId="165" fontId="8" fillId="5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3" borderId="0" xfId="0" applyFont="1" applyFill="1" applyAlignment="1">
      <alignment horizontal="center" vertical="center"/>
    </xf>
    <xf numFmtId="5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6" fillId="0" borderId="0" xfId="0" applyFont="1" applyAlignment="1">
      <alignment horizontal="left" vertical="center"/>
    </xf>
    <xf numFmtId="165" fontId="6" fillId="4" borderId="0" xfId="0" applyNumberFormat="1" applyFont="1" applyFill="1" applyAlignment="1">
      <alignment vertical="center"/>
    </xf>
    <xf numFmtId="165" fontId="6" fillId="5" borderId="0" xfId="0" applyNumberFormat="1" applyFont="1" applyFill="1" applyAlignment="1">
      <alignment horizontal="center" vertical="center"/>
    </xf>
    <xf numFmtId="166" fontId="6" fillId="0" borderId="0" xfId="2" applyNumberFormat="1" applyFont="1" applyBorder="1"/>
    <xf numFmtId="171" fontId="6" fillId="0" borderId="0" xfId="0" applyNumberFormat="1" applyFont="1"/>
    <xf numFmtId="0" fontId="2" fillId="0" borderId="0" xfId="0" applyFont="1" applyAlignment="1">
      <alignment horizontal="left"/>
    </xf>
    <xf numFmtId="165" fontId="3" fillId="3" borderId="0" xfId="0" applyNumberFormat="1" applyFont="1" applyFill="1" applyAlignment="1">
      <alignment horizontal="center" vertical="center"/>
    </xf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165" fontId="2" fillId="4" borderId="0" xfId="2" applyNumberFormat="1" applyFont="1" applyFill="1"/>
    <xf numFmtId="165" fontId="6" fillId="4" borderId="0" xfId="2" applyNumberFormat="1" applyFont="1" applyFill="1"/>
    <xf numFmtId="173" fontId="6" fillId="0" borderId="0" xfId="0" applyNumberFormat="1" applyFont="1" applyAlignment="1">
      <alignment horizontal="center"/>
    </xf>
    <xf numFmtId="0" fontId="26" fillId="0" borderId="0" xfId="0" applyFont="1"/>
    <xf numFmtId="0" fontId="10" fillId="0" borderId="0" xfId="0" applyFont="1"/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/>
    </xf>
    <xf numFmtId="172" fontId="10" fillId="7" borderId="1" xfId="0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 wrapText="1"/>
    </xf>
    <xf numFmtId="168" fontId="5" fillId="5" borderId="8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6" fontId="8" fillId="0" borderId="0" xfId="2" applyNumberFormat="1" applyFont="1" applyBorder="1"/>
    <xf numFmtId="165" fontId="32" fillId="7" borderId="9" xfId="0" applyNumberFormat="1" applyFont="1" applyFill="1" applyBorder="1" applyAlignment="1">
      <alignment vertical="center"/>
    </xf>
    <xf numFmtId="165" fontId="32" fillId="7" borderId="9" xfId="0" applyNumberFormat="1" applyFont="1" applyFill="1" applyBorder="1" applyAlignment="1">
      <alignment horizontal="center" vertical="center"/>
    </xf>
    <xf numFmtId="172" fontId="33" fillId="7" borderId="1" xfId="0" applyNumberFormat="1" applyFont="1" applyFill="1" applyBorder="1" applyAlignment="1">
      <alignment horizontal="center" vertical="center" wrapText="1"/>
    </xf>
    <xf numFmtId="173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5" fontId="32" fillId="0" borderId="0" xfId="0" applyNumberFormat="1" applyFont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169" fontId="5" fillId="0" borderId="1" xfId="1" applyNumberFormat="1" applyFont="1" applyFill="1" applyBorder="1" applyAlignment="1">
      <alignment vertical="center"/>
    </xf>
    <xf numFmtId="168" fontId="5" fillId="0" borderId="1" xfId="1" applyNumberFormat="1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165" fontId="34" fillId="0" borderId="1" xfId="0" applyNumberFormat="1" applyFont="1" applyBorder="1" applyAlignment="1">
      <alignment horizontal="left" vertical="center"/>
    </xf>
    <xf numFmtId="165" fontId="5" fillId="14" borderId="0" xfId="0" applyNumberFormat="1" applyFont="1" applyFill="1" applyAlignment="1">
      <alignment vertical="center"/>
    </xf>
    <xf numFmtId="165" fontId="2" fillId="14" borderId="0" xfId="2" applyNumberFormat="1" applyFont="1" applyFill="1"/>
    <xf numFmtId="165" fontId="6" fillId="14" borderId="0" xfId="2" applyNumberFormat="1" applyFont="1" applyFill="1"/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166" fontId="2" fillId="0" borderId="0" xfId="2" applyNumberFormat="1" applyFont="1" applyFill="1" applyAlignment="1">
      <alignment horizontal="center"/>
    </xf>
    <xf numFmtId="166" fontId="6" fillId="0" borderId="0" xfId="2" applyNumberFormat="1" applyFont="1" applyFill="1" applyAlignment="1">
      <alignment horizontal="center"/>
    </xf>
    <xf numFmtId="165" fontId="6" fillId="14" borderId="0" xfId="0" applyNumberFormat="1" applyFont="1" applyFill="1" applyAlignment="1">
      <alignment vertical="center"/>
    </xf>
    <xf numFmtId="171" fontId="26" fillId="0" borderId="0" xfId="0" applyNumberFormat="1" applyFont="1"/>
    <xf numFmtId="9" fontId="6" fillId="0" borderId="0" xfId="2" applyFont="1" applyBorder="1"/>
    <xf numFmtId="0" fontId="27" fillId="0" borderId="0" xfId="0" applyFont="1" applyAlignment="1">
      <alignment horizontal="center" vertical="center"/>
    </xf>
    <xf numFmtId="9" fontId="33" fillId="0" borderId="0" xfId="2" applyFont="1" applyFill="1" applyBorder="1" applyAlignment="1">
      <alignment horizontal="center" vertical="center" wrapText="1"/>
    </xf>
    <xf numFmtId="165" fontId="12" fillId="0" borderId="0" xfId="0" applyNumberFormat="1" applyFont="1" applyAlignment="1">
      <alignment horizontal="left" vertical="center"/>
    </xf>
    <xf numFmtId="166" fontId="33" fillId="0" borderId="0" xfId="2" applyNumberFormat="1" applyFont="1" applyFill="1" applyBorder="1" applyAlignment="1">
      <alignment horizontal="center" vertical="center" wrapText="1"/>
    </xf>
    <xf numFmtId="9" fontId="20" fillId="0" borderId="0" xfId="2" applyFont="1" applyFill="1" applyBorder="1" applyAlignment="1">
      <alignment vertical="center"/>
    </xf>
    <xf numFmtId="9" fontId="20" fillId="0" borderId="13" xfId="2" applyFont="1" applyFill="1" applyBorder="1" applyAlignment="1">
      <alignment vertical="center"/>
    </xf>
    <xf numFmtId="165" fontId="5" fillId="0" borderId="13" xfId="0" applyNumberFormat="1" applyFont="1" applyBorder="1" applyAlignment="1">
      <alignment vertical="center"/>
    </xf>
    <xf numFmtId="165" fontId="35" fillId="0" borderId="0" xfId="0" applyNumberFormat="1" applyFont="1" applyAlignment="1">
      <alignment horizontal="left" vertical="center"/>
    </xf>
    <xf numFmtId="173" fontId="35" fillId="0" borderId="0" xfId="0" applyNumberFormat="1" applyFont="1" applyAlignment="1">
      <alignment horizontal="center" vertical="center"/>
    </xf>
    <xf numFmtId="166" fontId="5" fillId="0" borderId="13" xfId="2" applyNumberFormat="1" applyFont="1" applyFill="1" applyBorder="1" applyAlignment="1">
      <alignment vertical="center"/>
    </xf>
    <xf numFmtId="166" fontId="34" fillId="0" borderId="13" xfId="2" applyNumberFormat="1" applyFont="1" applyFill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  <xf numFmtId="170" fontId="2" fillId="15" borderId="1" xfId="0" applyNumberFormat="1" applyFont="1" applyFill="1" applyBorder="1" applyAlignment="1">
      <alignment horizontal="left" vertical="center"/>
    </xf>
    <xf numFmtId="167" fontId="5" fillId="16" borderId="0" xfId="1" applyNumberFormat="1" applyFont="1" applyFill="1" applyBorder="1" applyAlignment="1">
      <alignment vertical="center"/>
    </xf>
    <xf numFmtId="0" fontId="12" fillId="8" borderId="14" xfId="0" applyFont="1" applyFill="1" applyBorder="1" applyAlignment="1">
      <alignment horizontal="left" vertical="center" wrapText="1"/>
    </xf>
    <xf numFmtId="165" fontId="10" fillId="7" borderId="1" xfId="0" applyNumberFormat="1" applyFont="1" applyFill="1" applyBorder="1" applyAlignment="1">
      <alignment horizontal="left" vertical="center"/>
    </xf>
    <xf numFmtId="165" fontId="5" fillId="14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44" fontId="5" fillId="16" borderId="0" xfId="1" applyFont="1" applyFill="1" applyBorder="1" applyAlignment="1">
      <alignment horizontal="center" vertical="center"/>
    </xf>
    <xf numFmtId="44" fontId="6" fillId="16" borderId="0" xfId="1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65" fontId="5" fillId="14" borderId="1" xfId="0" applyNumberFormat="1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44" fontId="2" fillId="16" borderId="1" xfId="1" applyFont="1" applyFill="1" applyBorder="1" applyAlignment="1">
      <alignment vertical="center"/>
    </xf>
    <xf numFmtId="169" fontId="5" fillId="16" borderId="1" xfId="0" applyNumberFormat="1" applyFont="1" applyFill="1" applyBorder="1" applyAlignment="1">
      <alignment horizontal="center" vertical="center"/>
    </xf>
    <xf numFmtId="169" fontId="5" fillId="16" borderId="1" xfId="0" applyNumberFormat="1" applyFont="1" applyFill="1" applyBorder="1" applyAlignment="1">
      <alignment vertical="center"/>
    </xf>
    <xf numFmtId="9" fontId="5" fillId="0" borderId="1" xfId="2" applyFont="1" applyFill="1" applyBorder="1" applyAlignment="1">
      <alignment vertical="center"/>
    </xf>
    <xf numFmtId="165" fontId="8" fillId="0" borderId="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169" fontId="0" fillId="0" borderId="0" xfId="0" applyNumberFormat="1"/>
    <xf numFmtId="168" fontId="0" fillId="0" borderId="0" xfId="0" applyNumberFormat="1"/>
    <xf numFmtId="168" fontId="0" fillId="0" borderId="1" xfId="0" applyNumberFormat="1" applyBorder="1"/>
    <xf numFmtId="0" fontId="28" fillId="0" borderId="1" xfId="0" applyFont="1" applyBorder="1" applyAlignment="1">
      <alignment horizontal="left" vertical="center"/>
    </xf>
    <xf numFmtId="0" fontId="0" fillId="0" borderId="1" xfId="0" applyBorder="1"/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6" fillId="3" borderId="0" xfId="0" applyFont="1" applyFill="1" applyAlignment="1">
      <alignment horizontal="center" vertical="center"/>
    </xf>
    <xf numFmtId="0" fontId="36" fillId="2" borderId="1" xfId="0" applyFont="1" applyFill="1" applyBorder="1" applyAlignment="1">
      <alignment horizontal="left" vertical="center"/>
    </xf>
    <xf numFmtId="0" fontId="37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6" fillId="0" borderId="11" xfId="0" applyFont="1" applyBorder="1" applyAlignment="1">
      <alignment horizontal="left" vertical="center"/>
    </xf>
    <xf numFmtId="0" fontId="37" fillId="0" borderId="11" xfId="0" applyFont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/>
    </xf>
    <xf numFmtId="0" fontId="36" fillId="13" borderId="0" xfId="0" applyFont="1" applyFill="1" applyAlignment="1">
      <alignment vertical="center"/>
    </xf>
    <xf numFmtId="0" fontId="36" fillId="13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8" fillId="9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 wrapText="1"/>
    </xf>
    <xf numFmtId="0" fontId="38" fillId="9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9" fillId="7" borderId="1" xfId="0" applyFont="1" applyFill="1" applyBorder="1" applyAlignment="1">
      <alignment vertical="center"/>
    </xf>
    <xf numFmtId="165" fontId="29" fillId="7" borderId="1" xfId="0" applyNumberFormat="1" applyFont="1" applyFill="1" applyBorder="1" applyAlignment="1">
      <alignment vertical="center"/>
    </xf>
    <xf numFmtId="165" fontId="32" fillId="7" borderId="1" xfId="0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165" fontId="29" fillId="7" borderId="1" xfId="0" applyNumberFormat="1" applyFont="1" applyFill="1" applyBorder="1" applyAlignment="1">
      <alignment horizontal="center" vertical="center"/>
    </xf>
    <xf numFmtId="165" fontId="32" fillId="7" borderId="1" xfId="0" applyNumberFormat="1" applyFont="1" applyFill="1" applyBorder="1" applyAlignment="1">
      <alignment horizontal="center" vertical="center"/>
    </xf>
    <xf numFmtId="0" fontId="39" fillId="10" borderId="1" xfId="0" applyFont="1" applyFill="1" applyBorder="1" applyAlignment="1">
      <alignment horizontal="left" vertical="center"/>
    </xf>
    <xf numFmtId="0" fontId="39" fillId="10" borderId="1" xfId="0" applyFont="1" applyFill="1" applyBorder="1" applyAlignment="1">
      <alignment horizontal="left" vertical="center" wrapText="1"/>
    </xf>
    <xf numFmtId="0" fontId="40" fillId="0" borderId="15" xfId="0" applyFont="1" applyBorder="1"/>
    <xf numFmtId="167" fontId="0" fillId="0" borderId="0" xfId="0" applyNumberFormat="1" applyAlignment="1">
      <alignment horizontal="center"/>
    </xf>
    <xf numFmtId="166" fontId="5" fillId="0" borderId="0" xfId="2" applyNumberFormat="1" applyFont="1" applyFill="1" applyBorder="1" applyAlignment="1">
      <alignment vertical="center"/>
    </xf>
    <xf numFmtId="0" fontId="41" fillId="0" borderId="1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168" fontId="5" fillId="0" borderId="0" xfId="1" applyNumberFormat="1" applyFont="1" applyFill="1" applyBorder="1" applyAlignment="1">
      <alignment vertical="center"/>
    </xf>
    <xf numFmtId="44" fontId="2" fillId="0" borderId="0" xfId="0" applyNumberFormat="1" applyFont="1" applyAlignment="1">
      <alignment horizontal="left" vertical="center"/>
    </xf>
    <xf numFmtId="0" fontId="24" fillId="0" borderId="0" xfId="0" applyFont="1"/>
    <xf numFmtId="0" fontId="8" fillId="0" borderId="0" xfId="0" applyFont="1" applyAlignment="1">
      <alignment horizontal="center" vertical="center"/>
    </xf>
    <xf numFmtId="166" fontId="8" fillId="0" borderId="0" xfId="2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5" fontId="24" fillId="0" borderId="0" xfId="0" applyNumberFormat="1" applyFont="1" applyAlignment="1">
      <alignment horizontal="center"/>
    </xf>
    <xf numFmtId="170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5" fontId="6" fillId="4" borderId="1" xfId="0" applyNumberFormat="1" applyFont="1" applyFill="1" applyBorder="1" applyAlignment="1">
      <alignment vertical="center"/>
    </xf>
    <xf numFmtId="165" fontId="6" fillId="14" borderId="1" xfId="0" applyNumberFormat="1" applyFont="1" applyFill="1" applyBorder="1" applyAlignment="1">
      <alignment vertical="center"/>
    </xf>
    <xf numFmtId="166" fontId="6" fillId="0" borderId="13" xfId="2" applyNumberFormat="1" applyFont="1" applyFill="1" applyBorder="1" applyAlignment="1">
      <alignment vertical="center"/>
    </xf>
    <xf numFmtId="169" fontId="6" fillId="2" borderId="1" xfId="0" applyNumberFormat="1" applyFont="1" applyFill="1" applyBorder="1" applyAlignment="1">
      <alignment horizontal="center" vertical="center"/>
    </xf>
    <xf numFmtId="169" fontId="6" fillId="16" borderId="1" xfId="0" applyNumberFormat="1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vertical="center"/>
    </xf>
    <xf numFmtId="168" fontId="2" fillId="0" borderId="0" xfId="0" applyNumberFormat="1" applyFont="1"/>
    <xf numFmtId="168" fontId="0" fillId="0" borderId="16" xfId="0" applyNumberFormat="1" applyBorder="1"/>
    <xf numFmtId="165" fontId="2" fillId="4" borderId="0" xfId="2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7" fontId="5" fillId="0" borderId="0" xfId="1" applyNumberFormat="1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center" vertical="center"/>
    </xf>
    <xf numFmtId="167" fontId="5" fillId="13" borderId="0" xfId="1" applyNumberFormat="1" applyFont="1" applyFill="1" applyBorder="1" applyAlignment="1">
      <alignment horizontal="center" vertical="center"/>
    </xf>
    <xf numFmtId="167" fontId="5" fillId="16" borderId="0" xfId="1" applyNumberFormat="1" applyFont="1" applyFill="1" applyBorder="1" applyAlignment="1">
      <alignment horizontal="center" vertical="center"/>
    </xf>
    <xf numFmtId="167" fontId="6" fillId="16" borderId="0" xfId="1" applyNumberFormat="1" applyFont="1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 vertical="center"/>
    </xf>
    <xf numFmtId="165" fontId="5" fillId="1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21" fillId="0" borderId="1" xfId="3" applyNumberFormat="1" applyBorder="1" applyAlignment="1">
      <alignment horizontal="left" vertical="center"/>
    </xf>
    <xf numFmtId="165" fontId="21" fillId="0" borderId="8" xfId="3" applyNumberFormat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left" vertical="center"/>
    </xf>
    <xf numFmtId="44" fontId="2" fillId="16" borderId="1" xfId="1" applyFont="1" applyFill="1" applyBorder="1" applyAlignment="1">
      <alignment horizontal="left" vertical="center"/>
    </xf>
    <xf numFmtId="0" fontId="42" fillId="0" borderId="10" xfId="0" applyFont="1" applyBorder="1" applyAlignment="1">
      <alignment vertical="center"/>
    </xf>
    <xf numFmtId="0" fontId="23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170" fontId="0" fillId="0" borderId="0" xfId="0" applyNumberFormat="1"/>
    <xf numFmtId="2" fontId="9" fillId="0" borderId="0" xfId="0" applyNumberFormat="1" applyFont="1"/>
    <xf numFmtId="0" fontId="45" fillId="0" borderId="9" xfId="0" applyFont="1" applyBorder="1" applyAlignment="1">
      <alignment horizontal="left" vertical="center"/>
    </xf>
    <xf numFmtId="174" fontId="45" fillId="0" borderId="9" xfId="0" applyNumberFormat="1" applyFont="1" applyBorder="1"/>
    <xf numFmtId="0" fontId="45" fillId="0" borderId="9" xfId="0" applyFont="1" applyBorder="1"/>
    <xf numFmtId="0" fontId="46" fillId="0" borderId="9" xfId="0" applyFont="1" applyBorder="1" applyAlignment="1">
      <alignment horizontal="left" vertical="center"/>
    </xf>
    <xf numFmtId="170" fontId="45" fillId="0" borderId="9" xfId="1" applyNumberFormat="1" applyFont="1" applyBorder="1"/>
    <xf numFmtId="170" fontId="45" fillId="0" borderId="9" xfId="0" applyNumberFormat="1" applyFont="1" applyBorder="1"/>
    <xf numFmtId="0" fontId="46" fillId="0" borderId="9" xfId="0" applyFont="1" applyBorder="1" applyAlignment="1">
      <alignment vertical="center"/>
    </xf>
    <xf numFmtId="0" fontId="45" fillId="0" borderId="9" xfId="0" applyFont="1" applyBorder="1" applyAlignment="1">
      <alignment horizontal="center"/>
    </xf>
    <xf numFmtId="166" fontId="6" fillId="0" borderId="0" xfId="2" applyNumberFormat="1" applyFont="1" applyFill="1" applyBorder="1" applyAlignment="1">
      <alignment vertical="center"/>
    </xf>
    <xf numFmtId="169" fontId="6" fillId="2" borderId="0" xfId="0" applyNumberFormat="1" applyFont="1" applyFill="1" applyAlignment="1">
      <alignment horizontal="center" vertical="center"/>
    </xf>
    <xf numFmtId="169" fontId="6" fillId="16" borderId="0" xfId="0" applyNumberFormat="1" applyFont="1" applyFill="1" applyAlignment="1">
      <alignment horizontal="center" vertical="center"/>
    </xf>
    <xf numFmtId="168" fontId="6" fillId="0" borderId="0" xfId="0" applyNumberFormat="1" applyFont="1"/>
    <xf numFmtId="168" fontId="6" fillId="5" borderId="0" xfId="1" applyNumberFormat="1" applyFont="1" applyFill="1" applyBorder="1" applyAlignment="1">
      <alignment vertical="center"/>
    </xf>
    <xf numFmtId="165" fontId="6" fillId="0" borderId="0" xfId="0" applyNumberFormat="1" applyFont="1" applyAlignment="1">
      <alignment vertical="center"/>
    </xf>
    <xf numFmtId="168" fontId="6" fillId="0" borderId="0" xfId="1" applyNumberFormat="1" applyFont="1" applyFill="1" applyBorder="1" applyAlignment="1">
      <alignment vertical="center"/>
    </xf>
    <xf numFmtId="168" fontId="6" fillId="0" borderId="13" xfId="0" applyNumberFormat="1" applyFont="1" applyBorder="1"/>
    <xf numFmtId="0" fontId="14" fillId="0" borderId="1" xfId="0" applyFont="1" applyBorder="1" applyAlignment="1">
      <alignment horizontal="left" vertical="center"/>
    </xf>
    <xf numFmtId="165" fontId="13" fillId="0" borderId="6" xfId="0" applyNumberFormat="1" applyFont="1" applyBorder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170" fontId="8" fillId="0" borderId="1" xfId="0" applyNumberFormat="1" applyFont="1" applyBorder="1" applyAlignment="1">
      <alignment horizontal="center" vertical="center"/>
    </xf>
    <xf numFmtId="44" fontId="8" fillId="16" borderId="1" xfId="1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0" fontId="45" fillId="3" borderId="1" xfId="0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left" vertical="center"/>
    </xf>
    <xf numFmtId="0" fontId="47" fillId="10" borderId="1" xfId="0" applyFont="1" applyFill="1" applyBorder="1" applyAlignment="1">
      <alignment horizontal="left" vertical="center" wrapText="1"/>
    </xf>
    <xf numFmtId="0" fontId="46" fillId="0" borderId="15" xfId="0" applyFont="1" applyBorder="1"/>
    <xf numFmtId="0" fontId="47" fillId="9" borderId="1" xfId="0" applyFont="1" applyFill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left" vertical="center" wrapText="1"/>
    </xf>
    <xf numFmtId="0" fontId="47" fillId="9" borderId="1" xfId="0" applyFont="1" applyFill="1" applyBorder="1" applyAlignment="1">
      <alignment horizontal="left" vertical="center"/>
    </xf>
    <xf numFmtId="165" fontId="3" fillId="3" borderId="5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165" fontId="48" fillId="0" borderId="1" xfId="0" applyNumberFormat="1" applyFont="1" applyBorder="1" applyAlignment="1">
      <alignment horizontal="left" vertical="center"/>
    </xf>
    <xf numFmtId="9" fontId="2" fillId="0" borderId="0" xfId="2" applyFont="1" applyAlignment="1">
      <alignment horizontal="left" vertical="center"/>
    </xf>
    <xf numFmtId="0" fontId="2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2" fillId="5" borderId="0" xfId="0" applyFont="1" applyFill="1"/>
    <xf numFmtId="5" fontId="2" fillId="0" borderId="0" xfId="0" applyNumberFormat="1" applyFont="1" applyAlignment="1">
      <alignment horizontal="center"/>
    </xf>
    <xf numFmtId="175" fontId="0" fillId="0" borderId="0" xfId="0" applyNumberFormat="1"/>
    <xf numFmtId="0" fontId="16" fillId="0" borderId="1" xfId="0" applyFont="1" applyBorder="1" applyAlignment="1">
      <alignment horizontal="left" vertical="center"/>
    </xf>
    <xf numFmtId="0" fontId="49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0" fillId="0" borderId="1" xfId="0" applyFont="1" applyBorder="1" applyAlignment="1">
      <alignment horizontal="left" vertical="center" wrapText="1"/>
    </xf>
    <xf numFmtId="0" fontId="53" fillId="2" borderId="1" xfId="0" applyFont="1" applyFill="1" applyBorder="1" applyAlignment="1">
      <alignment horizontal="left" vertical="center" wrapText="1"/>
    </xf>
    <xf numFmtId="165" fontId="49" fillId="7" borderId="6" xfId="0" applyNumberFormat="1" applyFont="1" applyFill="1" applyBorder="1" applyAlignment="1">
      <alignment horizontal="left" vertical="center"/>
    </xf>
    <xf numFmtId="9" fontId="54" fillId="0" borderId="0" xfId="2" applyFont="1" applyFill="1" applyBorder="1" applyAlignment="1">
      <alignment horizontal="center" vertical="center" wrapText="1"/>
    </xf>
    <xf numFmtId="170" fontId="55" fillId="0" borderId="1" xfId="0" applyNumberFormat="1" applyFont="1" applyBorder="1" applyAlignment="1">
      <alignment horizontal="center" vertical="center"/>
    </xf>
    <xf numFmtId="0" fontId="56" fillId="0" borderId="0" xfId="0" applyFont="1"/>
    <xf numFmtId="44" fontId="55" fillId="16" borderId="1" xfId="1" applyFont="1" applyFill="1" applyBorder="1" applyAlignment="1">
      <alignment vertical="center"/>
    </xf>
    <xf numFmtId="14" fontId="3" fillId="3" borderId="0" xfId="0" applyNumberFormat="1" applyFont="1" applyFill="1" applyAlignment="1">
      <alignment horizontal="center" vertical="center"/>
    </xf>
    <xf numFmtId="165" fontId="6" fillId="4" borderId="0" xfId="2" applyNumberFormat="1" applyFont="1" applyFill="1" applyAlignment="1">
      <alignment horizontal="center"/>
    </xf>
    <xf numFmtId="44" fontId="5" fillId="16" borderId="0" xfId="1" applyFont="1" applyFill="1" applyBorder="1" applyAlignment="1">
      <alignment vertical="center"/>
    </xf>
    <xf numFmtId="44" fontId="6" fillId="16" borderId="0" xfId="1" applyFont="1" applyFill="1" applyBorder="1" applyAlignment="1">
      <alignment vertical="center"/>
    </xf>
    <xf numFmtId="44" fontId="3" fillId="3" borderId="0" xfId="0" applyNumberFormat="1" applyFont="1" applyFill="1" applyAlignment="1">
      <alignment horizontal="center" vertical="center"/>
    </xf>
    <xf numFmtId="0" fontId="12" fillId="8" borderId="6" xfId="0" applyFont="1" applyFill="1" applyBorder="1" applyAlignment="1">
      <alignment horizontal="left" vertical="center" wrapText="1"/>
    </xf>
    <xf numFmtId="0" fontId="12" fillId="8" borderId="9" xfId="0" applyFont="1" applyFill="1" applyBorder="1" applyAlignment="1">
      <alignment horizontal="left" vertical="center" wrapText="1"/>
    </xf>
    <xf numFmtId="0" fontId="12" fillId="8" borderId="17" xfId="0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 wrapText="1"/>
    </xf>
    <xf numFmtId="0" fontId="12" fillId="6" borderId="9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4">
    <cellStyle name="Lien hypertexte" xfId="3" builtinId="8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KN%20PRODUCTS%20DATABASE%20&amp;%20PRICELIST/Packing%20details/ODOO%20ITEMS%20BASE%20250725.xlsx" TargetMode="External"/><Relationship Id="rId2" Type="http://schemas.openxmlformats.org/officeDocument/2006/relationships/externalLinkPath" Target="https://symeagroup.sharepoint.com/sites/SYSKERN/Shared%20Documents/General/UKN%20PRODUCTS%20DATABASE%20&amp;%20PRICELIST/Packing%20details/ODOO%20ITEMS%20BASE%20250725.xlsx" TargetMode="External"/><Relationship Id="rId1" Type="http://schemas.openxmlformats.org/officeDocument/2006/relationships/externalLinkPath" Target="/sites/SYSKERN/Shared%20Documents/General/UKN%20PRODUCTS%20DATABASE%20&amp;%20PRICELIST/Packing%20details/ODOO%20ITEMS%20BASE%2025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Nom</v>
          </cell>
          <cell r="B1" t="str">
            <v>Item code</v>
          </cell>
        </row>
        <row r="2">
          <cell r="A2" t="str">
            <v>CR6ASSTPOH0,3GS</v>
          </cell>
          <cell r="B2"/>
        </row>
        <row r="3">
          <cell r="A3" t="str">
            <v>CR6ASSTPOH1GS</v>
          </cell>
          <cell r="B3"/>
        </row>
        <row r="4">
          <cell r="A4" t="str">
            <v>CR6ASSTPOH2GS</v>
          </cell>
          <cell r="B4"/>
        </row>
        <row r="5">
          <cell r="A5" t="str">
            <v>CR6ASSTPOH3GS</v>
          </cell>
          <cell r="B5"/>
        </row>
        <row r="6">
          <cell r="A6" t="str">
            <v>CR6ASSTPOH5GS</v>
          </cell>
          <cell r="B6"/>
        </row>
        <row r="7">
          <cell r="A7" t="str">
            <v>ELLCCFRHP4X15T10</v>
          </cell>
          <cell r="B7" t="str">
            <v>Z0401001</v>
          </cell>
        </row>
        <row r="8">
          <cell r="A8" t="str">
            <v>ELLCCFRHSLOZ1225T10</v>
          </cell>
          <cell r="B8" t="str">
            <v>Z0401002</v>
          </cell>
        </row>
        <row r="9">
          <cell r="A9" t="str">
            <v>ELLCCFRHSLOZ215T10</v>
          </cell>
          <cell r="B9" t="str">
            <v>Z0401003</v>
          </cell>
        </row>
        <row r="10">
          <cell r="A10" t="str">
            <v>ELLCCFRHSLOZ415T10</v>
          </cell>
          <cell r="B10" t="str">
            <v>Z0401004</v>
          </cell>
        </row>
        <row r="11">
          <cell r="A11" t="str">
            <v>ELLCCFRHSLOZ46T15</v>
          </cell>
          <cell r="B11" t="str">
            <v>Z0401005</v>
          </cell>
        </row>
        <row r="12">
          <cell r="A12" t="str">
            <v>ELLCCFRHSLOZ725T10</v>
          </cell>
          <cell r="B12" t="str">
            <v>Z0401006</v>
          </cell>
        </row>
        <row r="13">
          <cell r="A13" t="str">
            <v>ELLEGFA19P2088T500</v>
          </cell>
          <cell r="B13" t="str">
            <v>Z0401007</v>
          </cell>
        </row>
        <row r="14">
          <cell r="A14" t="str">
            <v>ELLEGFA1Q4088T500</v>
          </cell>
          <cell r="B14" t="str">
            <v>Z0401008</v>
          </cell>
        </row>
        <row r="15">
          <cell r="A15" t="str">
            <v>ELLU1000RVFV12G2.5T1000</v>
          </cell>
          <cell r="B15" t="str">
            <v>Z0402001</v>
          </cell>
        </row>
        <row r="16">
          <cell r="A16" t="str">
            <v>K19SK1</v>
          </cell>
          <cell r="B16" t="str">
            <v>U1301004</v>
          </cell>
        </row>
        <row r="17">
          <cell r="A17" t="str">
            <v>KCDOM3LCLC1MEF</v>
          </cell>
          <cell r="B17" t="str">
            <v>U0901001</v>
          </cell>
        </row>
        <row r="18">
          <cell r="A18"/>
          <cell r="B18"/>
        </row>
        <row r="19">
          <cell r="A19"/>
          <cell r="B19"/>
        </row>
        <row r="20">
          <cell r="A20"/>
          <cell r="B20"/>
        </row>
        <row r="21">
          <cell r="A21" t="str">
            <v>KCDOM3LCLC2MEF</v>
          </cell>
          <cell r="B21" t="str">
            <v>U0901002</v>
          </cell>
        </row>
        <row r="22">
          <cell r="A22" t="str">
            <v>KCDOM3LCLC3MEF</v>
          </cell>
          <cell r="B22" t="str">
            <v>U0901003</v>
          </cell>
        </row>
        <row r="23">
          <cell r="A23"/>
          <cell r="B23"/>
        </row>
        <row r="24">
          <cell r="A24"/>
          <cell r="B24"/>
        </row>
        <row r="25">
          <cell r="A25"/>
          <cell r="B25"/>
        </row>
        <row r="26">
          <cell r="A26" t="str">
            <v>KCDOM3LCLC5MEF</v>
          </cell>
          <cell r="B26" t="str">
            <v>U0901004</v>
          </cell>
        </row>
        <row r="27">
          <cell r="A27"/>
          <cell r="B27"/>
        </row>
        <row r="28">
          <cell r="A28"/>
          <cell r="B28"/>
        </row>
        <row r="29">
          <cell r="A29"/>
          <cell r="B29"/>
        </row>
        <row r="30">
          <cell r="A30" t="str">
            <v>KCDOM3SCLC1MEF</v>
          </cell>
          <cell r="B30" t="str">
            <v>U0901005</v>
          </cell>
        </row>
        <row r="31">
          <cell r="A31"/>
          <cell r="B31"/>
        </row>
        <row r="32">
          <cell r="A32"/>
          <cell r="B32"/>
        </row>
        <row r="33">
          <cell r="A33"/>
          <cell r="B33"/>
        </row>
        <row r="34">
          <cell r="A34" t="str">
            <v>KCDOM3SCLC2MEF</v>
          </cell>
          <cell r="B34" t="str">
            <v>U0901006</v>
          </cell>
        </row>
        <row r="35">
          <cell r="A35" t="str">
            <v>KCDOM3SCLC3MEF</v>
          </cell>
          <cell r="B35" t="str">
            <v>U0901007</v>
          </cell>
        </row>
        <row r="36">
          <cell r="A36"/>
          <cell r="B36"/>
        </row>
        <row r="37">
          <cell r="A37"/>
          <cell r="B37"/>
        </row>
        <row r="38">
          <cell r="A38"/>
          <cell r="B38"/>
        </row>
        <row r="39">
          <cell r="A39" t="str">
            <v>KCDOM3SCLC5MEF</v>
          </cell>
          <cell r="B39" t="str">
            <v>U0901008</v>
          </cell>
        </row>
        <row r="40">
          <cell r="A40" t="str">
            <v>KCDOM3SCSC1MEF</v>
          </cell>
          <cell r="B40" t="str">
            <v>U0901009</v>
          </cell>
        </row>
        <row r="41">
          <cell r="A41" t="str">
            <v>KCDOM3SCSC2MEF</v>
          </cell>
          <cell r="B41" t="str">
            <v>U0901010</v>
          </cell>
        </row>
        <row r="42">
          <cell r="A42" t="str">
            <v>KCDOM3SCSC3MEF</v>
          </cell>
          <cell r="B42" t="str">
            <v>U0901011</v>
          </cell>
        </row>
        <row r="43">
          <cell r="A43" t="str">
            <v>KCDOM3SCSC5MEF</v>
          </cell>
          <cell r="B43" t="str">
            <v>U0901012</v>
          </cell>
        </row>
        <row r="44">
          <cell r="A44" t="str">
            <v>KCDOM4LCLC1MEF</v>
          </cell>
          <cell r="B44" t="str">
            <v>U0902001</v>
          </cell>
        </row>
        <row r="45">
          <cell r="A45"/>
          <cell r="B45"/>
        </row>
        <row r="46">
          <cell r="A46"/>
          <cell r="B46"/>
        </row>
        <row r="47">
          <cell r="A47"/>
          <cell r="B47"/>
        </row>
        <row r="48">
          <cell r="A48" t="str">
            <v>KCDOM4LCLC2MEF</v>
          </cell>
          <cell r="B48" t="str">
            <v>U0902002</v>
          </cell>
        </row>
        <row r="49">
          <cell r="A49"/>
          <cell r="B49"/>
        </row>
        <row r="50">
          <cell r="A50"/>
          <cell r="B50"/>
        </row>
        <row r="51">
          <cell r="A51"/>
          <cell r="B51"/>
        </row>
        <row r="52">
          <cell r="A52" t="str">
            <v>KCDOM4LCLC3MEF</v>
          </cell>
          <cell r="B52" t="str">
            <v>U0902003</v>
          </cell>
        </row>
        <row r="53">
          <cell r="A53"/>
          <cell r="B53"/>
        </row>
        <row r="54">
          <cell r="A54"/>
          <cell r="B54"/>
        </row>
        <row r="55">
          <cell r="A55"/>
          <cell r="B55"/>
        </row>
        <row r="56">
          <cell r="A56" t="str">
            <v>KCDOM4LCLC5MEF</v>
          </cell>
          <cell r="B56" t="str">
            <v>U0902004</v>
          </cell>
        </row>
        <row r="57">
          <cell r="A57"/>
          <cell r="B57"/>
        </row>
        <row r="58">
          <cell r="A58"/>
          <cell r="B58"/>
        </row>
        <row r="59">
          <cell r="A59"/>
          <cell r="B59"/>
        </row>
        <row r="60">
          <cell r="A60" t="str">
            <v>KCDOM4SCLC1MEF</v>
          </cell>
          <cell r="B60" t="str">
            <v>U0902005</v>
          </cell>
        </row>
        <row r="61">
          <cell r="A61" t="str">
            <v>KCDOM4SCLC2MEF</v>
          </cell>
          <cell r="B61" t="str">
            <v>U0902006</v>
          </cell>
        </row>
        <row r="62">
          <cell r="A62" t="str">
            <v>KCDOM4SCLC3MEF</v>
          </cell>
          <cell r="B62" t="str">
            <v>U0902007</v>
          </cell>
        </row>
        <row r="63">
          <cell r="A63" t="str">
            <v>KCDOM4SCLC5MEF</v>
          </cell>
          <cell r="B63" t="str">
            <v>U0902008</v>
          </cell>
        </row>
        <row r="64">
          <cell r="A64" t="str">
            <v>KCDOM4SCSC1MEF</v>
          </cell>
          <cell r="B64" t="str">
            <v>U0902009</v>
          </cell>
        </row>
        <row r="65">
          <cell r="A65" t="str">
            <v>KCDOM4SCSC2MEF</v>
          </cell>
          <cell r="B65" t="str">
            <v>U0902010</v>
          </cell>
        </row>
        <row r="66">
          <cell r="A66" t="str">
            <v>KCDOM4SCSC3MEF</v>
          </cell>
          <cell r="B66" t="str">
            <v>U0902011</v>
          </cell>
        </row>
        <row r="67">
          <cell r="A67" t="str">
            <v>KCDOM4SCSC5MEF</v>
          </cell>
          <cell r="B67" t="str">
            <v>U0902012</v>
          </cell>
        </row>
        <row r="68">
          <cell r="A68" t="str">
            <v>KCDOM5LCLC1MEF</v>
          </cell>
          <cell r="B68" t="str">
            <v>U0903001</v>
          </cell>
        </row>
        <row r="69">
          <cell r="A69" t="str">
            <v>KCDOM5LCLC2MEF</v>
          </cell>
          <cell r="B69" t="str">
            <v>U0903002</v>
          </cell>
        </row>
        <row r="70">
          <cell r="A70" t="str">
            <v>KCDOM5LCLC3MEF</v>
          </cell>
          <cell r="B70" t="str">
            <v>U0903003</v>
          </cell>
        </row>
        <row r="71">
          <cell r="A71" t="str">
            <v>KCDOM5LCLC5MEF</v>
          </cell>
          <cell r="B71" t="str">
            <v>U0903004</v>
          </cell>
        </row>
        <row r="72">
          <cell r="A72" t="str">
            <v>KCDOM5SCLC1MEF</v>
          </cell>
          <cell r="B72" t="str">
            <v>U0903005</v>
          </cell>
        </row>
        <row r="73">
          <cell r="A73" t="str">
            <v>KCDOM5SCLC2MEF</v>
          </cell>
          <cell r="B73" t="str">
            <v>U0903006</v>
          </cell>
        </row>
        <row r="74">
          <cell r="A74" t="str">
            <v>KCDOM5SCLC3MEF</v>
          </cell>
          <cell r="B74" t="str">
            <v>U0903007</v>
          </cell>
        </row>
        <row r="75">
          <cell r="A75" t="str">
            <v>KCDOM5SCLC5MEF</v>
          </cell>
          <cell r="B75" t="str">
            <v>U0903008</v>
          </cell>
        </row>
        <row r="76">
          <cell r="A76" t="str">
            <v>KCDOM5SCSC1MEF</v>
          </cell>
          <cell r="B76" t="str">
            <v>U0903009</v>
          </cell>
        </row>
        <row r="77">
          <cell r="A77" t="str">
            <v>KCDOM5SCSC2MEF</v>
          </cell>
          <cell r="B77" t="str">
            <v>U0903010</v>
          </cell>
        </row>
        <row r="78">
          <cell r="A78" t="str">
            <v>KCDOM5SCSC3MEF</v>
          </cell>
          <cell r="B78" t="str">
            <v>U0903011</v>
          </cell>
        </row>
        <row r="79">
          <cell r="A79" t="str">
            <v>KCDOM5SCSC5MEF</v>
          </cell>
          <cell r="B79" t="str">
            <v>U0903012</v>
          </cell>
        </row>
        <row r="80">
          <cell r="A80" t="str">
            <v>KCDOS2LCLC1MEF</v>
          </cell>
          <cell r="B80" t="str">
            <v>U0904001</v>
          </cell>
        </row>
        <row r="81">
          <cell r="A81"/>
          <cell r="B81"/>
        </row>
        <row r="82">
          <cell r="A82"/>
          <cell r="B82"/>
        </row>
        <row r="83">
          <cell r="A83"/>
          <cell r="B83"/>
        </row>
        <row r="84">
          <cell r="A84" t="str">
            <v>KCDOS2LCLC2MEF</v>
          </cell>
          <cell r="B84" t="str">
            <v>U0904002</v>
          </cell>
        </row>
        <row r="85">
          <cell r="A85" t="str">
            <v>KCDOS2LCLC3MEF</v>
          </cell>
          <cell r="B85" t="str">
            <v>U0904003</v>
          </cell>
        </row>
        <row r="86">
          <cell r="A86"/>
          <cell r="B86"/>
        </row>
        <row r="87">
          <cell r="A87"/>
          <cell r="B87"/>
        </row>
        <row r="88">
          <cell r="A88"/>
          <cell r="B88"/>
        </row>
        <row r="89">
          <cell r="A89" t="str">
            <v>KCDOS2LCLC5MEF</v>
          </cell>
          <cell r="B89" t="str">
            <v>U0904004</v>
          </cell>
        </row>
        <row r="90">
          <cell r="A90"/>
          <cell r="B90"/>
        </row>
        <row r="91">
          <cell r="A91"/>
          <cell r="B91"/>
        </row>
        <row r="92">
          <cell r="A92"/>
          <cell r="B92"/>
        </row>
        <row r="93">
          <cell r="A93" t="str">
            <v>KCDOS2SCLC1MEF</v>
          </cell>
          <cell r="B93" t="str">
            <v>U0904005</v>
          </cell>
        </row>
        <row r="94">
          <cell r="A94"/>
          <cell r="B94"/>
        </row>
        <row r="95">
          <cell r="A95"/>
          <cell r="B95"/>
        </row>
        <row r="96">
          <cell r="A96"/>
          <cell r="B96"/>
        </row>
        <row r="97">
          <cell r="A97" t="str">
            <v>KCDOS2SCLC2MEF</v>
          </cell>
          <cell r="B97" t="str">
            <v>U0904006</v>
          </cell>
        </row>
        <row r="98">
          <cell r="A98" t="str">
            <v>KCDOS2SCLC3MEF</v>
          </cell>
          <cell r="B98" t="str">
            <v>U0904007</v>
          </cell>
        </row>
        <row r="99">
          <cell r="A99" t="str">
            <v>KCDOS2SCLC5MEF</v>
          </cell>
          <cell r="B99" t="str">
            <v>U0904008</v>
          </cell>
        </row>
        <row r="100">
          <cell r="A100" t="str">
            <v>KCDOS2SCSC1MEF</v>
          </cell>
          <cell r="B100" t="str">
            <v>U0904009</v>
          </cell>
        </row>
        <row r="101">
          <cell r="A101" t="str">
            <v>KCDOS2SCSC2MEF</v>
          </cell>
          <cell r="B101" t="str">
            <v>U0904010</v>
          </cell>
        </row>
        <row r="102">
          <cell r="A102" t="str">
            <v>KCDOS2SCSC3MEF</v>
          </cell>
          <cell r="B102" t="str">
            <v>U0904011</v>
          </cell>
        </row>
        <row r="103">
          <cell r="A103" t="str">
            <v>KCDOS2SCSC5MEF</v>
          </cell>
          <cell r="B103" t="str">
            <v>U0904012</v>
          </cell>
        </row>
        <row r="104">
          <cell r="A104" t="str">
            <v>KCFF6A4PZHB2BL5</v>
          </cell>
          <cell r="B104" t="str">
            <v>U0103002</v>
          </cell>
        </row>
        <row r="105">
          <cell r="A105"/>
          <cell r="B105"/>
        </row>
        <row r="106">
          <cell r="A106" t="str">
            <v>KCFF6A4PZHCBL5</v>
          </cell>
          <cell r="B106" t="str">
            <v>U0103003</v>
          </cell>
        </row>
        <row r="107">
          <cell r="A107"/>
          <cell r="B107"/>
        </row>
        <row r="108">
          <cell r="A108" t="str">
            <v>KCFF6A4PZHCBLB</v>
          </cell>
          <cell r="B108" t="str">
            <v>U0103019</v>
          </cell>
        </row>
        <row r="109">
          <cell r="A109" t="str">
            <v>KCFF6A4PZHCOUT5</v>
          </cell>
          <cell r="B109" t="str">
            <v>U0103004</v>
          </cell>
        </row>
        <row r="110">
          <cell r="A110" t="str">
            <v>KCFF6A4PZHDBL5</v>
          </cell>
          <cell r="B110" t="str">
            <v>U0103001</v>
          </cell>
        </row>
        <row r="111">
          <cell r="A111"/>
          <cell r="B111"/>
        </row>
        <row r="112">
          <cell r="A112" t="str">
            <v>KCFF6A4PZHDBL5ST</v>
          </cell>
          <cell r="B112" t="str">
            <v>U0103005</v>
          </cell>
        </row>
        <row r="113">
          <cell r="A113" t="str">
            <v>KCFF6A4PZHDBLB</v>
          </cell>
          <cell r="B113" t="str">
            <v>U0103006</v>
          </cell>
        </row>
        <row r="114">
          <cell r="A114"/>
          <cell r="B114"/>
        </row>
        <row r="115">
          <cell r="A115" t="str">
            <v>KCFF6A4PZHDGR5</v>
          </cell>
          <cell r="B115" t="str">
            <v>U0103016</v>
          </cell>
        </row>
        <row r="116">
          <cell r="A116"/>
          <cell r="B116"/>
        </row>
        <row r="117">
          <cell r="A117" t="str">
            <v>KCFF6A8PZHCBL5</v>
          </cell>
          <cell r="B117" t="str">
            <v>U0103020</v>
          </cell>
        </row>
        <row r="118">
          <cell r="A118"/>
          <cell r="B118"/>
        </row>
        <row r="119">
          <cell r="A119" t="str">
            <v>KCFF6A8PZHDBL5</v>
          </cell>
          <cell r="B119" t="str">
            <v>U0103007</v>
          </cell>
        </row>
        <row r="120">
          <cell r="A120"/>
          <cell r="B120"/>
        </row>
        <row r="121">
          <cell r="A121" t="str">
            <v>KCFF6A8PZHDGR5</v>
          </cell>
          <cell r="B121" t="str">
            <v>U0103017</v>
          </cell>
        </row>
        <row r="122">
          <cell r="A122"/>
          <cell r="B122"/>
        </row>
        <row r="123">
          <cell r="A123" t="str">
            <v>KCFU5E4PDGR5</v>
          </cell>
          <cell r="B123" t="str">
            <v>U0101001</v>
          </cell>
        </row>
        <row r="124">
          <cell r="A124" t="str">
            <v>KCFU5E4PZHDGR5</v>
          </cell>
          <cell r="B124" t="str">
            <v>U0101002</v>
          </cell>
        </row>
        <row r="125">
          <cell r="A125" t="str">
            <v>KCFU64PZHDGR5</v>
          </cell>
          <cell r="B125" t="str">
            <v>U0102001</v>
          </cell>
        </row>
        <row r="126">
          <cell r="A126"/>
          <cell r="B126"/>
        </row>
        <row r="127">
          <cell r="A127" t="str">
            <v>KCFU64PZHDGRB</v>
          </cell>
          <cell r="B127" t="str">
            <v>U0102002</v>
          </cell>
        </row>
        <row r="128">
          <cell r="A128" t="str">
            <v>KCFU68PZHDGR5</v>
          </cell>
          <cell r="B128" t="str">
            <v>U0102003</v>
          </cell>
        </row>
        <row r="129">
          <cell r="A129"/>
          <cell r="B129"/>
        </row>
        <row r="130">
          <cell r="A130" t="str">
            <v>KCFU6A4PZHDWH5</v>
          </cell>
          <cell r="B130" t="str">
            <v>U0103018</v>
          </cell>
        </row>
        <row r="131">
          <cell r="A131"/>
          <cell r="B131"/>
        </row>
        <row r="132">
          <cell r="A132" t="str">
            <v>KCSF6A4PZHCBL5</v>
          </cell>
          <cell r="B132" t="str">
            <v>U0103008</v>
          </cell>
        </row>
        <row r="133">
          <cell r="A133" t="str">
            <v>KCSF6A4PZHDBL5</v>
          </cell>
          <cell r="B133" t="str">
            <v>U0103009</v>
          </cell>
        </row>
        <row r="134">
          <cell r="A134"/>
          <cell r="B134"/>
        </row>
        <row r="135">
          <cell r="A135" t="str">
            <v>KCSF6A4PZHMCB2R</v>
          </cell>
          <cell r="B135" t="str">
            <v>U0103022</v>
          </cell>
        </row>
        <row r="136">
          <cell r="A136" t="str">
            <v>KCSF6A8PZHCBL5</v>
          </cell>
          <cell r="B136" t="str">
            <v>U0103021</v>
          </cell>
        </row>
        <row r="137">
          <cell r="A137" t="str">
            <v>KCSF6A8PZHDBL5</v>
          </cell>
          <cell r="B137" t="str">
            <v>U0103023</v>
          </cell>
        </row>
        <row r="138">
          <cell r="A138"/>
          <cell r="B138"/>
        </row>
        <row r="139">
          <cell r="A139" t="str">
            <v>KCSF74PEAOUT5</v>
          </cell>
          <cell r="B139" t="str">
            <v>U0104001</v>
          </cell>
        </row>
        <row r="140">
          <cell r="A140" t="str">
            <v>KCSF74PEOUT5</v>
          </cell>
          <cell r="B140" t="str">
            <v>U0104002</v>
          </cell>
        </row>
        <row r="141">
          <cell r="A141" t="str">
            <v>KCSF74PZHB2OR5</v>
          </cell>
          <cell r="B141" t="str">
            <v>U0104003</v>
          </cell>
        </row>
        <row r="142">
          <cell r="A142"/>
          <cell r="B142"/>
        </row>
        <row r="143">
          <cell r="A143" t="str">
            <v>KCSF74PZHCOR5</v>
          </cell>
          <cell r="B143" t="str">
            <v>U0104004</v>
          </cell>
        </row>
        <row r="144">
          <cell r="A144"/>
          <cell r="B144"/>
        </row>
        <row r="145">
          <cell r="A145" t="str">
            <v>KCSF74PZHDOR5</v>
          </cell>
          <cell r="B145" t="str">
            <v>U0104006</v>
          </cell>
        </row>
        <row r="146">
          <cell r="A146"/>
          <cell r="B146"/>
        </row>
        <row r="147">
          <cell r="A147" t="str">
            <v>KCSF78PZHCOR5</v>
          </cell>
          <cell r="B147" t="str">
            <v>U0104007</v>
          </cell>
        </row>
        <row r="148">
          <cell r="A148"/>
          <cell r="B148"/>
        </row>
        <row r="149">
          <cell r="A149" t="str">
            <v>KCSF78PZHDOR5</v>
          </cell>
          <cell r="B149" t="str">
            <v>U0104008</v>
          </cell>
        </row>
        <row r="150">
          <cell r="A150"/>
          <cell r="B150"/>
        </row>
        <row r="151">
          <cell r="A151" t="str">
            <v>KCSF7A4PBZHCYE5</v>
          </cell>
          <cell r="B151" t="str">
            <v>U0105001</v>
          </cell>
        </row>
        <row r="152">
          <cell r="A152" t="str">
            <v>KCSF7A4PZHCYE5</v>
          </cell>
          <cell r="B152" t="str">
            <v>U0105002</v>
          </cell>
        </row>
        <row r="153">
          <cell r="A153" t="str">
            <v>KCSF84PZHB2LI5</v>
          </cell>
          <cell r="B153" t="str">
            <v>U0106001</v>
          </cell>
        </row>
        <row r="154">
          <cell r="A154" t="str">
            <v>KCSFU5E4PZHDGR5</v>
          </cell>
          <cell r="B154" t="str">
            <v>U0101003</v>
          </cell>
        </row>
        <row r="155">
          <cell r="A155" t="str">
            <v>KCU5E4PZHDGR5</v>
          </cell>
          <cell r="B155" t="str">
            <v>U0101004</v>
          </cell>
        </row>
        <row r="156">
          <cell r="A156" t="str">
            <v>KCU64PEOUT5</v>
          </cell>
          <cell r="B156" t="str">
            <v>U0102004</v>
          </cell>
        </row>
        <row r="157">
          <cell r="A157" t="str">
            <v>KCU64PLGRB</v>
          </cell>
          <cell r="B157" t="str">
            <v>U0102005</v>
          </cell>
        </row>
        <row r="158">
          <cell r="A158"/>
          <cell r="B158"/>
        </row>
        <row r="159">
          <cell r="A159" t="str">
            <v>KCU64PLZHDGR5</v>
          </cell>
          <cell r="B159" t="str">
            <v>U0102006</v>
          </cell>
        </row>
        <row r="160">
          <cell r="A160"/>
          <cell r="B160"/>
        </row>
        <row r="161">
          <cell r="A161" t="str">
            <v>KCU64PLZHDGRB</v>
          </cell>
          <cell r="B161" t="str">
            <v>U0102007</v>
          </cell>
        </row>
        <row r="162">
          <cell r="A162"/>
          <cell r="B162"/>
        </row>
        <row r="163">
          <cell r="A163" t="str">
            <v>KCU64PZHDGR5</v>
          </cell>
          <cell r="B163" t="str">
            <v>U0102008</v>
          </cell>
        </row>
        <row r="164">
          <cell r="A164" t="str">
            <v>KCU64PZHDGRB</v>
          </cell>
          <cell r="B164" t="str">
            <v>U0102009</v>
          </cell>
        </row>
        <row r="165">
          <cell r="A165" t="str">
            <v>KCU6A4PLZHDBL5</v>
          </cell>
          <cell r="B165" t="str">
            <v>U0103010</v>
          </cell>
        </row>
        <row r="166">
          <cell r="A166"/>
          <cell r="B166"/>
        </row>
        <row r="167">
          <cell r="A167" t="str">
            <v>KCU6A4PZHDBL5</v>
          </cell>
          <cell r="B167" t="str">
            <v>U0103011</v>
          </cell>
        </row>
        <row r="168">
          <cell r="A168" t="str">
            <v>KCUF6A4PZHB2BL5</v>
          </cell>
          <cell r="B168" t="str">
            <v>U0103012</v>
          </cell>
        </row>
        <row r="169">
          <cell r="A169"/>
          <cell r="B169"/>
        </row>
        <row r="170">
          <cell r="A170" t="str">
            <v>KCUF6A4PZHCBL5</v>
          </cell>
          <cell r="B170" t="str">
            <v>U0103013</v>
          </cell>
        </row>
        <row r="171">
          <cell r="A171"/>
          <cell r="B171"/>
        </row>
        <row r="172">
          <cell r="A172" t="str">
            <v>KCUF6A4PZHDBL5</v>
          </cell>
          <cell r="B172" t="str">
            <v>U0103014</v>
          </cell>
        </row>
        <row r="173">
          <cell r="A173"/>
          <cell r="B173"/>
        </row>
        <row r="174">
          <cell r="A174" t="str">
            <v>KCUF6A8PZHDBL5</v>
          </cell>
          <cell r="B174" t="str">
            <v>U0103015</v>
          </cell>
        </row>
        <row r="175">
          <cell r="A175"/>
          <cell r="B175"/>
        </row>
        <row r="176">
          <cell r="A176" t="str">
            <v>KFO12OM3CT</v>
          </cell>
          <cell r="B176" t="str">
            <v>U0802001</v>
          </cell>
        </row>
        <row r="177">
          <cell r="A177" t="str">
            <v>KFO12OM3CTA</v>
          </cell>
          <cell r="B177" t="str">
            <v>U0801001</v>
          </cell>
        </row>
        <row r="178">
          <cell r="A178" t="str">
            <v>KFO12OM3CTZHC</v>
          </cell>
          <cell r="B178" t="str">
            <v>U0803019</v>
          </cell>
        </row>
        <row r="179">
          <cell r="A179" t="str">
            <v>KFO12OM3CTZHD20</v>
          </cell>
          <cell r="B179" t="str">
            <v>U0803001</v>
          </cell>
        </row>
        <row r="180">
          <cell r="A180" t="str">
            <v>KFO12OM3TBZHC</v>
          </cell>
          <cell r="B180" t="str">
            <v>U0807001</v>
          </cell>
        </row>
        <row r="181">
          <cell r="A181" t="str">
            <v>KFO12OM4CTZHD20</v>
          </cell>
          <cell r="B181" t="str">
            <v>U0803002</v>
          </cell>
        </row>
        <row r="182">
          <cell r="A182" t="str">
            <v>KFO12OM4TBZHC</v>
          </cell>
          <cell r="B182" t="str">
            <v>U0807002</v>
          </cell>
        </row>
        <row r="183">
          <cell r="A183" t="str">
            <v>KFO12OM5CTZHD</v>
          </cell>
          <cell r="B183" t="str">
            <v>U0803003</v>
          </cell>
        </row>
        <row r="184">
          <cell r="A184" t="str">
            <v>KFO12OM5TBZHC</v>
          </cell>
          <cell r="B184" t="str">
            <v>U0807003</v>
          </cell>
        </row>
        <row r="185">
          <cell r="A185" t="str">
            <v>KFO12OS2CT</v>
          </cell>
          <cell r="B185" t="str">
            <v>U0802002</v>
          </cell>
        </row>
        <row r="186">
          <cell r="A186" t="str">
            <v>KFO12OS2CTA20</v>
          </cell>
          <cell r="B186" t="str">
            <v>U0801002</v>
          </cell>
        </row>
        <row r="187">
          <cell r="A187" t="str">
            <v>KFO12OS2CTZHC</v>
          </cell>
          <cell r="B187" t="str">
            <v>U0803020</v>
          </cell>
        </row>
        <row r="188">
          <cell r="A188" t="str">
            <v>KFO12OS2CTZHD20</v>
          </cell>
          <cell r="B188" t="str">
            <v>U0803004</v>
          </cell>
        </row>
        <row r="189">
          <cell r="A189" t="str">
            <v>KFO12OS2TBZHC</v>
          </cell>
          <cell r="B189" t="str">
            <v>U0807004</v>
          </cell>
        </row>
        <row r="190">
          <cell r="A190" t="str">
            <v>KFO24OM3CT</v>
          </cell>
          <cell r="B190" t="str">
            <v>U0802003</v>
          </cell>
        </row>
        <row r="191">
          <cell r="A191" t="str">
            <v>KFO24OM3CTA</v>
          </cell>
          <cell r="B191" t="str">
            <v>U0801003</v>
          </cell>
        </row>
        <row r="192">
          <cell r="A192" t="str">
            <v>KFO24OM3CTZHC</v>
          </cell>
          <cell r="B192" t="str">
            <v>U0803021</v>
          </cell>
        </row>
        <row r="193">
          <cell r="A193" t="str">
            <v>KFO24OM3CTZHD</v>
          </cell>
          <cell r="B193" t="str">
            <v>U0803005</v>
          </cell>
        </row>
        <row r="194">
          <cell r="A194" t="str">
            <v>KFO24OM3TBZHC</v>
          </cell>
          <cell r="B194" t="str">
            <v>U0807005</v>
          </cell>
        </row>
        <row r="195">
          <cell r="A195" t="str">
            <v>KFO24OM4CTZHD20</v>
          </cell>
          <cell r="B195" t="str">
            <v>U0803006</v>
          </cell>
        </row>
        <row r="196">
          <cell r="A196" t="str">
            <v>KFO24OM4TBZHC</v>
          </cell>
          <cell r="B196" t="str">
            <v>U0807006</v>
          </cell>
        </row>
        <row r="197">
          <cell r="A197" t="str">
            <v>KFO24OM5CTZHD</v>
          </cell>
          <cell r="B197" t="str">
            <v>U0803007</v>
          </cell>
        </row>
        <row r="198">
          <cell r="A198" t="str">
            <v>KFO24OM5TBZHC</v>
          </cell>
          <cell r="B198" t="str">
            <v>U0807007</v>
          </cell>
        </row>
        <row r="199">
          <cell r="A199" t="str">
            <v>KFO24OS2CT</v>
          </cell>
          <cell r="B199" t="str">
            <v>U0802004</v>
          </cell>
        </row>
        <row r="200">
          <cell r="A200" t="str">
            <v>KFO24OS2CTA20</v>
          </cell>
          <cell r="B200" t="str">
            <v>U0801004</v>
          </cell>
        </row>
        <row r="201">
          <cell r="A201" t="str">
            <v>KFO24OS2CTABLE20</v>
          </cell>
          <cell r="B201" t="str">
            <v>U0801009</v>
          </cell>
        </row>
        <row r="202">
          <cell r="A202" t="str">
            <v>KFO24OS2CTAZHBLE20</v>
          </cell>
          <cell r="B202" t="str">
            <v>U0808003</v>
          </cell>
        </row>
        <row r="203">
          <cell r="A203" t="str">
            <v>KFO24OS2CTZHC</v>
          </cell>
          <cell r="B203" t="str">
            <v>U0803022</v>
          </cell>
        </row>
        <row r="204">
          <cell r="A204" t="str">
            <v>KFO24OS2CTZHD20</v>
          </cell>
          <cell r="B204" t="str">
            <v>U0803008</v>
          </cell>
        </row>
        <row r="205">
          <cell r="A205" t="str">
            <v>KFO24OS2MTBLE15</v>
          </cell>
          <cell r="B205" t="str">
            <v>U0805009</v>
          </cell>
        </row>
        <row r="206">
          <cell r="A206" t="str">
            <v>KFO24OS2MTBLE25</v>
          </cell>
          <cell r="B206" t="str">
            <v>U0805010</v>
          </cell>
        </row>
        <row r="207">
          <cell r="A207" t="str">
            <v>KFO24OS2TBZHC</v>
          </cell>
          <cell r="B207" t="str">
            <v>U0807008</v>
          </cell>
        </row>
        <row r="208">
          <cell r="A208" t="str">
            <v>KFO48OM3MT</v>
          </cell>
          <cell r="B208" t="str">
            <v>U0805001</v>
          </cell>
        </row>
        <row r="209">
          <cell r="A209" t="str">
            <v>KFO48OM3MTA</v>
          </cell>
          <cell r="B209" t="str">
            <v>U0804001</v>
          </cell>
        </row>
        <row r="210">
          <cell r="A210" t="str">
            <v>KFO48OM3MTZHD</v>
          </cell>
          <cell r="B210" t="str">
            <v>U0806001</v>
          </cell>
        </row>
        <row r="211">
          <cell r="A211" t="str">
            <v>KFO48OM4MT</v>
          </cell>
          <cell r="B211" t="str">
            <v>U0805002</v>
          </cell>
        </row>
        <row r="212">
          <cell r="A212" t="str">
            <v>KFO48OM4MTA</v>
          </cell>
          <cell r="B212" t="str">
            <v>U0804002</v>
          </cell>
        </row>
        <row r="213">
          <cell r="A213" t="str">
            <v>KFO48OM4MTZHD</v>
          </cell>
          <cell r="B213" t="str">
            <v>U0806002</v>
          </cell>
        </row>
        <row r="214">
          <cell r="A214" t="str">
            <v>KFO48OM5MTZHD</v>
          </cell>
          <cell r="B214" t="str">
            <v>U0806003</v>
          </cell>
        </row>
        <row r="215">
          <cell r="A215" t="str">
            <v>KFO48OS2MT</v>
          </cell>
          <cell r="B215" t="str">
            <v>U0805003</v>
          </cell>
        </row>
        <row r="216">
          <cell r="A216" t="str">
            <v>KFO48OS2MTA</v>
          </cell>
          <cell r="B216" t="str">
            <v>U0804003</v>
          </cell>
        </row>
        <row r="217">
          <cell r="A217" t="str">
            <v>KFO48OS2MTAZHBLE30</v>
          </cell>
          <cell r="B217" t="str">
            <v>U0808001</v>
          </cell>
        </row>
        <row r="218">
          <cell r="A218" t="str">
            <v>KFO48OS2MTAZHBLE40</v>
          </cell>
          <cell r="B218" t="str">
            <v>U0808002</v>
          </cell>
        </row>
        <row r="219">
          <cell r="A219" t="str">
            <v>KFO48OS2MTBLE20</v>
          </cell>
          <cell r="B219" t="str">
            <v>U0805007</v>
          </cell>
        </row>
        <row r="220">
          <cell r="A220" t="str">
            <v>KFO48OS2MTBLE25</v>
          </cell>
          <cell r="B220" t="str">
            <v>U0805008</v>
          </cell>
        </row>
        <row r="221">
          <cell r="A221" t="str">
            <v>KFO48OS2MTZHD</v>
          </cell>
          <cell r="B221" t="str">
            <v>U0806004</v>
          </cell>
        </row>
        <row r="222">
          <cell r="A222" t="str">
            <v>KFO6OM3CT</v>
          </cell>
          <cell r="B222" t="str">
            <v>U0802005</v>
          </cell>
        </row>
        <row r="223">
          <cell r="A223" t="str">
            <v>KFO6OM3CTA</v>
          </cell>
          <cell r="B223" t="str">
            <v>U0801005</v>
          </cell>
        </row>
        <row r="224">
          <cell r="A224" t="str">
            <v>KFO6OM3CTZHD</v>
          </cell>
          <cell r="B224" t="str">
            <v>U0803009</v>
          </cell>
        </row>
        <row r="225">
          <cell r="A225" t="str">
            <v>KFO6OM3CTZHD20</v>
          </cell>
          <cell r="B225" t="str">
            <v>U0803010</v>
          </cell>
        </row>
        <row r="226">
          <cell r="A226" t="str">
            <v>KFO6OM3TBZHC</v>
          </cell>
          <cell r="B226" t="str">
            <v>U0807009</v>
          </cell>
        </row>
        <row r="227">
          <cell r="A227" t="str">
            <v>KFO6OM4CTZHD</v>
          </cell>
          <cell r="B227" t="str">
            <v>U0803011</v>
          </cell>
        </row>
        <row r="228">
          <cell r="A228" t="str">
            <v>KFO6OM4TBZHC</v>
          </cell>
          <cell r="B228" t="str">
            <v>U0807010</v>
          </cell>
        </row>
        <row r="229">
          <cell r="A229" t="str">
            <v>KFO6OM5CTZHD</v>
          </cell>
          <cell r="B229" t="str">
            <v>U0803012</v>
          </cell>
        </row>
        <row r="230">
          <cell r="A230" t="str">
            <v>KFO6OM5TBZHC</v>
          </cell>
          <cell r="B230" t="str">
            <v>U0807011</v>
          </cell>
        </row>
        <row r="231">
          <cell r="A231" t="str">
            <v>KFO6OS2CT</v>
          </cell>
          <cell r="B231" t="str">
            <v>U0802006</v>
          </cell>
        </row>
        <row r="232">
          <cell r="A232" t="str">
            <v>KFO6OS2CTA</v>
          </cell>
          <cell r="B232" t="str">
            <v>U0801006</v>
          </cell>
        </row>
        <row r="233">
          <cell r="A233" t="str">
            <v>KFO6OS2CTRZHD20</v>
          </cell>
          <cell r="B233" t="str">
            <v>U0803013</v>
          </cell>
        </row>
        <row r="234">
          <cell r="A234" t="str">
            <v>KFO6OS2CTZHC</v>
          </cell>
          <cell r="B234" t="str">
            <v>U0803023</v>
          </cell>
        </row>
        <row r="235">
          <cell r="A235" t="str">
            <v>KFO6OS2CTZHD20</v>
          </cell>
          <cell r="B235" t="str">
            <v>U0803014</v>
          </cell>
        </row>
        <row r="236">
          <cell r="A236" t="str">
            <v>KFO6OS2TBZHC</v>
          </cell>
          <cell r="B236" t="str">
            <v>U0807012</v>
          </cell>
        </row>
        <row r="237">
          <cell r="A237" t="str">
            <v>KFO8OM3CT</v>
          </cell>
          <cell r="B237" t="str">
            <v>U0802007</v>
          </cell>
        </row>
        <row r="238">
          <cell r="A238" t="str">
            <v>KFO8OM3CTA</v>
          </cell>
          <cell r="B238" t="str">
            <v>U0801007</v>
          </cell>
        </row>
        <row r="239">
          <cell r="A239" t="str">
            <v>KFO8OM3CTZHD</v>
          </cell>
          <cell r="B239" t="str">
            <v>U0803015</v>
          </cell>
        </row>
        <row r="240">
          <cell r="A240" t="str">
            <v>KFO8OM3TBZHC</v>
          </cell>
          <cell r="B240" t="str">
            <v>U0807013</v>
          </cell>
        </row>
        <row r="241">
          <cell r="A241" t="str">
            <v>KFO8OM4CTZHD20</v>
          </cell>
          <cell r="B241" t="str">
            <v>U0803016</v>
          </cell>
        </row>
        <row r="242">
          <cell r="A242" t="str">
            <v>KFO8OM4TBZHC</v>
          </cell>
          <cell r="B242" t="str">
            <v>U0807014</v>
          </cell>
        </row>
        <row r="243">
          <cell r="A243" t="str">
            <v>KFO8OM5CTZHD</v>
          </cell>
          <cell r="B243" t="str">
            <v>U0803017</v>
          </cell>
        </row>
        <row r="244">
          <cell r="A244" t="str">
            <v>KFO8OM5TBZHC</v>
          </cell>
          <cell r="B244" t="str">
            <v>U0807015</v>
          </cell>
        </row>
        <row r="245">
          <cell r="A245" t="str">
            <v>KFO8OS2CT</v>
          </cell>
          <cell r="B245" t="str">
            <v>U0802008</v>
          </cell>
        </row>
        <row r="246">
          <cell r="A246" t="str">
            <v>KFO8OS2CTA</v>
          </cell>
          <cell r="B246" t="str">
            <v>U0801008</v>
          </cell>
        </row>
        <row r="247">
          <cell r="A247" t="str">
            <v>KFO8OS2CTZHD20</v>
          </cell>
          <cell r="B247" t="str">
            <v>U0803018</v>
          </cell>
        </row>
        <row r="248">
          <cell r="A248" t="str">
            <v>KFO8OS2TBZHC</v>
          </cell>
          <cell r="B248" t="str">
            <v>U0807016</v>
          </cell>
        </row>
        <row r="249">
          <cell r="A249" t="str">
            <v>KFO96OM3MT</v>
          </cell>
          <cell r="B249" t="str">
            <v>U0805004</v>
          </cell>
        </row>
        <row r="250">
          <cell r="A250" t="str">
            <v>KFO96OM3MTA</v>
          </cell>
          <cell r="B250" t="str">
            <v>U0804004</v>
          </cell>
        </row>
        <row r="251">
          <cell r="A251" t="str">
            <v>KFO96OM3MTZHD</v>
          </cell>
          <cell r="B251" t="str">
            <v>U0806005</v>
          </cell>
        </row>
        <row r="252">
          <cell r="A252" t="str">
            <v>KFO96OM4MT</v>
          </cell>
          <cell r="B252" t="str">
            <v>U0805005</v>
          </cell>
        </row>
        <row r="253">
          <cell r="A253" t="str">
            <v>KFO96OM4MTA</v>
          </cell>
          <cell r="B253" t="str">
            <v>U0804005</v>
          </cell>
        </row>
        <row r="254">
          <cell r="A254" t="str">
            <v>KFO96OM4MTZHD</v>
          </cell>
          <cell r="B254" t="str">
            <v>U0806006</v>
          </cell>
        </row>
        <row r="255">
          <cell r="A255" t="str">
            <v>KFO96OM5MTZHD</v>
          </cell>
          <cell r="B255" t="str">
            <v>U0806007</v>
          </cell>
        </row>
        <row r="256">
          <cell r="A256" t="str">
            <v>KFO96OS2MT</v>
          </cell>
          <cell r="B256" t="str">
            <v>U0805006</v>
          </cell>
        </row>
        <row r="257">
          <cell r="A257" t="str">
            <v>KFO96OS2MTA</v>
          </cell>
          <cell r="B257" t="str">
            <v>U0804006</v>
          </cell>
        </row>
        <row r="258">
          <cell r="A258" t="str">
            <v>KFO96OS2MTZHD</v>
          </cell>
          <cell r="B258" t="str">
            <v>U0806008</v>
          </cell>
        </row>
        <row r="259">
          <cell r="A259" t="str">
            <v>KFP225451PEF8</v>
          </cell>
          <cell r="B259" t="str">
            <v>U0301001</v>
          </cell>
        </row>
        <row r="260">
          <cell r="A260" t="str">
            <v>KFP45451PABEF8</v>
          </cell>
          <cell r="B260" t="str">
            <v>U0301002</v>
          </cell>
        </row>
        <row r="261">
          <cell r="A261"/>
          <cell r="B261"/>
        </row>
        <row r="262">
          <cell r="A262"/>
          <cell r="B262"/>
        </row>
        <row r="263">
          <cell r="A263"/>
          <cell r="B263"/>
        </row>
        <row r="264">
          <cell r="A264" t="str">
            <v>KFP45451PANGEF8</v>
          </cell>
          <cell r="B264" t="str">
            <v>U0301003</v>
          </cell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 t="str">
            <v>KFP45451PEF8</v>
          </cell>
          <cell r="B268" t="str">
            <v>U0301004</v>
          </cell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 t="str">
            <v>KFP45452PABEF8</v>
          </cell>
          <cell r="B272" t="str">
            <v>U0301005</v>
          </cell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 t="str">
            <v>KFP45452PANGEF8</v>
          </cell>
          <cell r="B276" t="str">
            <v>U0301006</v>
          </cell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 t="str">
            <v>KFP45452PEF8</v>
          </cell>
          <cell r="B280" t="str">
            <v>U0301007</v>
          </cell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 t="str">
            <v>KJ5EFSEF24</v>
          </cell>
          <cell r="B284" t="str">
            <v>U0201001</v>
          </cell>
        </row>
        <row r="285">
          <cell r="A285" t="str">
            <v>KJ5EU180DEF24</v>
          </cell>
          <cell r="B285" t="str">
            <v>U0201002</v>
          </cell>
        </row>
        <row r="286">
          <cell r="A286" t="str">
            <v>KJ6ADSBL</v>
          </cell>
          <cell r="B286" t="str">
            <v>U0203001</v>
          </cell>
        </row>
        <row r="287">
          <cell r="A287" t="str">
            <v>KJ6ADSGE</v>
          </cell>
          <cell r="B287" t="str">
            <v>U0203002</v>
          </cell>
        </row>
        <row r="288">
          <cell r="A288" t="str">
            <v>KJ6ADSOR</v>
          </cell>
          <cell r="B288" t="str">
            <v>U0203003</v>
          </cell>
        </row>
        <row r="289">
          <cell r="A289" t="str">
            <v>KJ6ADSRD</v>
          </cell>
          <cell r="B289" t="str">
            <v>U0203004</v>
          </cell>
        </row>
        <row r="290">
          <cell r="A290" t="str">
            <v>KJ6AFSEF1</v>
          </cell>
          <cell r="B290" t="str">
            <v>U0203005</v>
          </cell>
        </row>
        <row r="291">
          <cell r="A291"/>
          <cell r="B291"/>
        </row>
        <row r="292">
          <cell r="A292"/>
          <cell r="B292"/>
        </row>
        <row r="293">
          <cell r="A293" t="str">
            <v>KJ6AFSEF24</v>
          </cell>
          <cell r="B293" t="str">
            <v>U0203006</v>
          </cell>
        </row>
        <row r="294">
          <cell r="A294"/>
          <cell r="B294"/>
        </row>
        <row r="295">
          <cell r="A295"/>
          <cell r="B295"/>
        </row>
        <row r="296">
          <cell r="A296" t="str">
            <v>KJ6AFSEF8</v>
          </cell>
          <cell r="B296" t="str">
            <v>U0203007</v>
          </cell>
        </row>
        <row r="297">
          <cell r="A297"/>
          <cell r="B297"/>
        </row>
        <row r="298">
          <cell r="A298"/>
          <cell r="B298"/>
        </row>
        <row r="299">
          <cell r="A299" t="str">
            <v>KJ6AFSHQEF1</v>
          </cell>
          <cell r="B299" t="str">
            <v>U0203008</v>
          </cell>
        </row>
        <row r="300">
          <cell r="A300"/>
          <cell r="B300"/>
        </row>
        <row r="301">
          <cell r="A301"/>
          <cell r="B301"/>
        </row>
        <row r="302">
          <cell r="A302" t="str">
            <v>KJ6AFSHQEF24</v>
          </cell>
          <cell r="B302" t="str">
            <v>U0203009</v>
          </cell>
        </row>
        <row r="303">
          <cell r="A303"/>
          <cell r="B303"/>
        </row>
        <row r="304">
          <cell r="A304"/>
          <cell r="B304"/>
        </row>
        <row r="305">
          <cell r="A305" t="str">
            <v>KJ6AFSHQEF8</v>
          </cell>
          <cell r="B305" t="str">
            <v>U0203010</v>
          </cell>
        </row>
        <row r="306">
          <cell r="A306"/>
          <cell r="B306"/>
        </row>
        <row r="307">
          <cell r="A307"/>
          <cell r="B307"/>
        </row>
        <row r="308">
          <cell r="A308" t="str">
            <v>KJ6AUEF24</v>
          </cell>
          <cell r="B308" t="str">
            <v>U0203011</v>
          </cell>
        </row>
        <row r="309">
          <cell r="A309"/>
          <cell r="B309"/>
        </row>
        <row r="310">
          <cell r="A310"/>
          <cell r="B310"/>
        </row>
        <row r="311">
          <cell r="A311" t="str">
            <v>KJ6AUHQEF24</v>
          </cell>
          <cell r="B311" t="str">
            <v>U0203012</v>
          </cell>
        </row>
        <row r="312">
          <cell r="A312"/>
          <cell r="B312"/>
        </row>
        <row r="313">
          <cell r="A313"/>
          <cell r="B313"/>
        </row>
        <row r="314">
          <cell r="A314" t="str">
            <v>KJ6FSEF1</v>
          </cell>
          <cell r="B314" t="str">
            <v>U0202001</v>
          </cell>
        </row>
        <row r="315">
          <cell r="A315"/>
          <cell r="B315"/>
        </row>
        <row r="316">
          <cell r="A316"/>
          <cell r="B316"/>
        </row>
        <row r="317">
          <cell r="A317" t="str">
            <v>KJ6FSEF24</v>
          </cell>
          <cell r="B317" t="str">
            <v>U0202002</v>
          </cell>
        </row>
        <row r="318">
          <cell r="A318"/>
          <cell r="B318"/>
        </row>
        <row r="319">
          <cell r="A319"/>
          <cell r="B319"/>
        </row>
        <row r="320">
          <cell r="A320" t="str">
            <v>KJ6FSEF8</v>
          </cell>
          <cell r="B320" t="str">
            <v>U0202003</v>
          </cell>
        </row>
        <row r="321">
          <cell r="A321"/>
          <cell r="B321"/>
        </row>
        <row r="322">
          <cell r="A322"/>
          <cell r="B322"/>
        </row>
        <row r="323">
          <cell r="A323" t="str">
            <v>KJ6FSHQEF24</v>
          </cell>
          <cell r="B323" t="str">
            <v>U0202004</v>
          </cell>
        </row>
        <row r="324">
          <cell r="A324"/>
          <cell r="B324"/>
        </row>
        <row r="325">
          <cell r="A325"/>
          <cell r="B325"/>
        </row>
        <row r="326">
          <cell r="A326" t="str">
            <v>KJ6FSHQEF8</v>
          </cell>
          <cell r="B326" t="str">
            <v>U0202005</v>
          </cell>
        </row>
        <row r="327">
          <cell r="A327"/>
          <cell r="B327"/>
        </row>
        <row r="328">
          <cell r="A328"/>
          <cell r="B328"/>
        </row>
        <row r="329">
          <cell r="A329" t="str">
            <v>KJ6U180DEF24</v>
          </cell>
          <cell r="B329" t="str">
            <v>U0202006</v>
          </cell>
        </row>
        <row r="330">
          <cell r="A330"/>
          <cell r="B330"/>
        </row>
        <row r="331">
          <cell r="A331"/>
          <cell r="B331"/>
        </row>
        <row r="332">
          <cell r="A332" t="str">
            <v>KJ6U90DEF24</v>
          </cell>
          <cell r="B332" t="str">
            <v>U0202007</v>
          </cell>
        </row>
        <row r="333">
          <cell r="A333"/>
          <cell r="B333"/>
        </row>
        <row r="334">
          <cell r="A334"/>
          <cell r="B334"/>
        </row>
        <row r="335">
          <cell r="A335" t="str">
            <v>KJ6UEF24</v>
          </cell>
          <cell r="B335" t="str">
            <v>U0202008</v>
          </cell>
        </row>
        <row r="336">
          <cell r="A336"/>
          <cell r="B336"/>
        </row>
        <row r="337">
          <cell r="A337"/>
          <cell r="B337"/>
        </row>
        <row r="338">
          <cell r="A338" t="str">
            <v>KJ6UHQEF24</v>
          </cell>
          <cell r="B338" t="str">
            <v>U0202009</v>
          </cell>
        </row>
        <row r="339">
          <cell r="A339"/>
          <cell r="B339"/>
        </row>
        <row r="340">
          <cell r="A340"/>
          <cell r="B340"/>
        </row>
        <row r="341">
          <cell r="A341" t="str">
            <v>KJ8FSHQEF24</v>
          </cell>
          <cell r="B341" t="str">
            <v>U0204001</v>
          </cell>
        </row>
        <row r="342">
          <cell r="A342" t="str">
            <v>KJPP1U245EUEF</v>
          </cell>
          <cell r="B342" t="str">
            <v>U0501001</v>
          </cell>
        </row>
        <row r="343">
          <cell r="A343" t="str">
            <v>KJPP1U246SHQEF</v>
          </cell>
          <cell r="B343" t="str">
            <v>U0501002</v>
          </cell>
        </row>
        <row r="344">
          <cell r="A344" t="str">
            <v>KJPP1U246UEF</v>
          </cell>
          <cell r="B344" t="str">
            <v>U0501003</v>
          </cell>
        </row>
        <row r="345">
          <cell r="A345" t="str">
            <v>KJPP1U25UEF</v>
          </cell>
          <cell r="B345" t="str">
            <v>U0501004</v>
          </cell>
        </row>
        <row r="346">
          <cell r="A346" t="str">
            <v>KJPP1U50UEF</v>
          </cell>
          <cell r="B346" t="str">
            <v>U0501005</v>
          </cell>
        </row>
        <row r="347">
          <cell r="A347" t="str">
            <v>KJPP1U60UEF</v>
          </cell>
          <cell r="B347" t="str">
            <v>U0501006</v>
          </cell>
        </row>
        <row r="348">
          <cell r="A348" t="str">
            <v>KJPP1UBCANEF</v>
          </cell>
          <cell r="B348" t="str">
            <v>U0501007</v>
          </cell>
        </row>
        <row r="349">
          <cell r="A349"/>
          <cell r="B349"/>
        </row>
        <row r="350">
          <cell r="A350"/>
          <cell r="B350"/>
        </row>
        <row r="351">
          <cell r="A351" t="str">
            <v>KJPP1UBCEF</v>
          </cell>
          <cell r="B351" t="str">
            <v>U0501008</v>
          </cell>
        </row>
        <row r="352">
          <cell r="A352"/>
          <cell r="B352"/>
        </row>
        <row r="353">
          <cell r="A353"/>
          <cell r="B353"/>
        </row>
        <row r="354">
          <cell r="A354" t="str">
            <v>KJPP1UBCTEF</v>
          </cell>
          <cell r="B354" t="str">
            <v>U0501009</v>
          </cell>
        </row>
        <row r="355">
          <cell r="A355"/>
          <cell r="B355"/>
        </row>
        <row r="356">
          <cell r="A356"/>
          <cell r="B356"/>
        </row>
        <row r="357">
          <cell r="A357" t="str">
            <v>KJPP1UBEF</v>
          </cell>
          <cell r="B357" t="str">
            <v>U0501010</v>
          </cell>
        </row>
        <row r="358">
          <cell r="A358"/>
          <cell r="B358"/>
        </row>
        <row r="359">
          <cell r="A359"/>
          <cell r="B359"/>
        </row>
        <row r="360">
          <cell r="A360" t="str">
            <v>KJPP1UBMCTEF</v>
          </cell>
          <cell r="B360" t="str">
            <v>U0501011</v>
          </cell>
        </row>
        <row r="361">
          <cell r="A361"/>
          <cell r="B361"/>
        </row>
        <row r="362">
          <cell r="A362"/>
          <cell r="B362"/>
        </row>
        <row r="363">
          <cell r="A363" t="str">
            <v>KJPP1UCE</v>
          </cell>
          <cell r="B363" t="str">
            <v>U0501012</v>
          </cell>
        </row>
        <row r="364">
          <cell r="A364" t="str">
            <v>KJPP1UEF</v>
          </cell>
          <cell r="B364" t="str">
            <v>U0501013</v>
          </cell>
        </row>
        <row r="365">
          <cell r="A365"/>
          <cell r="B365"/>
        </row>
        <row r="366">
          <cell r="A366"/>
          <cell r="B366"/>
        </row>
        <row r="367">
          <cell r="A367" t="str">
            <v>KJPP1UUEF</v>
          </cell>
          <cell r="B367" t="str">
            <v>U0501014</v>
          </cell>
        </row>
        <row r="368">
          <cell r="A368"/>
          <cell r="B368"/>
        </row>
        <row r="369">
          <cell r="A369"/>
          <cell r="B369"/>
        </row>
        <row r="370">
          <cell r="A370" t="str">
            <v>KJPP2UBMCTEF</v>
          </cell>
          <cell r="B370" t="str">
            <v>U0501015</v>
          </cell>
        </row>
        <row r="371">
          <cell r="A371"/>
          <cell r="B371"/>
        </row>
        <row r="372">
          <cell r="A372"/>
          <cell r="B372"/>
        </row>
        <row r="373">
          <cell r="A373" t="str">
            <v>KJPPGC45</v>
          </cell>
          <cell r="B373" t="str">
            <v>U0501016</v>
          </cell>
        </row>
        <row r="374">
          <cell r="A374" t="str">
            <v>KN-AR2V3240T400</v>
          </cell>
          <cell r="B374" t="str">
            <v>Z0402002</v>
          </cell>
        </row>
        <row r="375">
          <cell r="A375" t="str">
            <v>KN-R2V3G10T500</v>
          </cell>
          <cell r="B375" t="str">
            <v>Z0402003</v>
          </cell>
        </row>
        <row r="376">
          <cell r="A376" t="str">
            <v>KN-R2V3G15T500</v>
          </cell>
          <cell r="B376" t="str">
            <v>Z0402004</v>
          </cell>
        </row>
        <row r="377">
          <cell r="A377" t="str">
            <v>KN-R2V3G16T500</v>
          </cell>
          <cell r="B377" t="str">
            <v>Z0402005</v>
          </cell>
        </row>
        <row r="378">
          <cell r="A378" t="str">
            <v>KN-R2V3G25T500</v>
          </cell>
          <cell r="B378" t="str">
            <v>Z0402006</v>
          </cell>
        </row>
        <row r="379">
          <cell r="A379" t="str">
            <v>KN-R2V3G4T500</v>
          </cell>
          <cell r="B379" t="str">
            <v>Z0402007</v>
          </cell>
        </row>
        <row r="380">
          <cell r="A380" t="str">
            <v>KN-R2V3G6T500</v>
          </cell>
          <cell r="B380" t="str">
            <v>Z0402008</v>
          </cell>
        </row>
        <row r="381">
          <cell r="A381" t="str">
            <v>KN-R2V4G10T500</v>
          </cell>
          <cell r="B381" t="str">
            <v>Z0402009</v>
          </cell>
        </row>
        <row r="382">
          <cell r="A382" t="str">
            <v>KN-R2V4G15T500</v>
          </cell>
          <cell r="B382" t="str">
            <v>Z0402010</v>
          </cell>
        </row>
        <row r="383">
          <cell r="A383" t="str">
            <v>KN-R2V4G16T500</v>
          </cell>
          <cell r="B383" t="str">
            <v>Z0402011</v>
          </cell>
        </row>
        <row r="384">
          <cell r="A384" t="str">
            <v>KN-R2V4G25T500</v>
          </cell>
          <cell r="B384" t="str">
            <v>Z0402012</v>
          </cell>
        </row>
        <row r="385">
          <cell r="A385" t="str">
            <v>KN-R2V4G5T500</v>
          </cell>
          <cell r="B385" t="str">
            <v>Z0402013</v>
          </cell>
        </row>
        <row r="386">
          <cell r="A386" t="str">
            <v>KN-R2V4G6T500</v>
          </cell>
          <cell r="B386" t="str">
            <v>Z0402014</v>
          </cell>
        </row>
        <row r="387">
          <cell r="A387" t="str">
            <v>KN-R2V5G10T500</v>
          </cell>
          <cell r="B387" t="str">
            <v>Z0402015</v>
          </cell>
        </row>
        <row r="388">
          <cell r="A388" t="str">
            <v>KN-R2V5G15T500</v>
          </cell>
          <cell r="B388" t="str">
            <v>Z0402016</v>
          </cell>
        </row>
        <row r="389">
          <cell r="A389" t="str">
            <v>KN-R2V5G16T500</v>
          </cell>
          <cell r="B389" t="str">
            <v>Z0402017</v>
          </cell>
        </row>
        <row r="390">
          <cell r="A390" t="str">
            <v>KN-R2V5G25T500</v>
          </cell>
          <cell r="B390" t="str">
            <v>Z0402018</v>
          </cell>
        </row>
        <row r="391">
          <cell r="A391" t="str">
            <v>KN-R2V5G4T500</v>
          </cell>
          <cell r="B391" t="str">
            <v>Z0402019</v>
          </cell>
        </row>
        <row r="392">
          <cell r="A392" t="str">
            <v>KN-R2V5G6T500</v>
          </cell>
          <cell r="B392" t="str">
            <v>Z0402020</v>
          </cell>
        </row>
        <row r="393">
          <cell r="A393" t="str">
            <v>KPDU6PCCB</v>
          </cell>
          <cell r="B393" t="str">
            <v>U1301001</v>
          </cell>
        </row>
        <row r="394">
          <cell r="A394" t="str">
            <v>KPDU8PC90</v>
          </cell>
          <cell r="B394" t="str">
            <v>U1301002</v>
          </cell>
        </row>
        <row r="395">
          <cell r="A395"/>
          <cell r="B395"/>
        </row>
        <row r="396">
          <cell r="A396"/>
          <cell r="B396"/>
        </row>
        <row r="397">
          <cell r="A397" t="str">
            <v>KPDU8PCSW90</v>
          </cell>
          <cell r="B397" t="str">
            <v>U1301003</v>
          </cell>
        </row>
        <row r="398">
          <cell r="A398"/>
          <cell r="B398"/>
        </row>
        <row r="399">
          <cell r="A399"/>
          <cell r="B399"/>
        </row>
        <row r="400">
          <cell r="A400" t="str">
            <v>KPFU5EZH03EF</v>
          </cell>
          <cell r="B400" t="str">
            <v>U0401001</v>
          </cell>
        </row>
        <row r="401">
          <cell r="A401" t="str">
            <v>KPFU5EZH05EF</v>
          </cell>
          <cell r="B401" t="str">
            <v>U0401002</v>
          </cell>
        </row>
        <row r="402">
          <cell r="A402" t="str">
            <v>KPFU5EZH10EF</v>
          </cell>
          <cell r="B402" t="str">
            <v>U0401003</v>
          </cell>
        </row>
        <row r="403">
          <cell r="A403" t="str">
            <v>KPFU5EZH1EF</v>
          </cell>
          <cell r="B403" t="str">
            <v>U0401004</v>
          </cell>
        </row>
        <row r="404">
          <cell r="A404" t="str">
            <v>KPFU5EZH2EF</v>
          </cell>
          <cell r="B404" t="str">
            <v>U0401005</v>
          </cell>
        </row>
        <row r="405">
          <cell r="A405" t="str">
            <v>KPFU5EZH3EF</v>
          </cell>
          <cell r="B405" t="str">
            <v>U0401006</v>
          </cell>
        </row>
        <row r="406">
          <cell r="A406" t="str">
            <v>KPFU5EZH5EF</v>
          </cell>
          <cell r="B406" t="str">
            <v>U0401007</v>
          </cell>
        </row>
        <row r="407">
          <cell r="A407" t="str">
            <v>KPFU603EF</v>
          </cell>
          <cell r="B407" t="str">
            <v>U0403001</v>
          </cell>
        </row>
        <row r="408">
          <cell r="A408"/>
          <cell r="B408"/>
        </row>
        <row r="409">
          <cell r="A409"/>
          <cell r="B409"/>
        </row>
        <row r="410">
          <cell r="A410"/>
          <cell r="B410"/>
        </row>
        <row r="411">
          <cell r="A411" t="str">
            <v>KPFU605EF</v>
          </cell>
          <cell r="B411" t="str">
            <v>U0403002</v>
          </cell>
        </row>
        <row r="412">
          <cell r="A412"/>
          <cell r="B412"/>
        </row>
        <row r="413">
          <cell r="A413"/>
          <cell r="B413"/>
        </row>
        <row r="414">
          <cell r="A414"/>
          <cell r="B414"/>
        </row>
        <row r="415">
          <cell r="A415" t="str">
            <v>KPFU610EF</v>
          </cell>
          <cell r="B415" t="str">
            <v>U0403003</v>
          </cell>
        </row>
        <row r="416">
          <cell r="A416"/>
          <cell r="B416"/>
        </row>
        <row r="417">
          <cell r="A417"/>
          <cell r="B417"/>
        </row>
        <row r="418">
          <cell r="A418"/>
          <cell r="B418"/>
        </row>
        <row r="419">
          <cell r="A419" t="str">
            <v>KPFU61EF</v>
          </cell>
          <cell r="B419" t="str">
            <v>U0403004</v>
          </cell>
        </row>
        <row r="420">
          <cell r="A420"/>
          <cell r="B420"/>
        </row>
        <row r="421">
          <cell r="A421"/>
          <cell r="B421"/>
        </row>
        <row r="422">
          <cell r="A422"/>
          <cell r="B422"/>
        </row>
        <row r="423">
          <cell r="A423" t="str">
            <v>KPFU62EF</v>
          </cell>
          <cell r="B423" t="str">
            <v>U0403005</v>
          </cell>
        </row>
        <row r="424">
          <cell r="A424"/>
          <cell r="B424"/>
        </row>
        <row r="425">
          <cell r="A425"/>
          <cell r="B425"/>
        </row>
        <row r="426">
          <cell r="A426"/>
          <cell r="B426"/>
        </row>
        <row r="427">
          <cell r="A427" t="str">
            <v>KPFU63EF</v>
          </cell>
          <cell r="B427" t="str">
            <v>U0403006</v>
          </cell>
        </row>
        <row r="428">
          <cell r="A428"/>
          <cell r="B428"/>
        </row>
        <row r="429">
          <cell r="A429"/>
          <cell r="B429"/>
        </row>
        <row r="430">
          <cell r="A430"/>
          <cell r="B430"/>
        </row>
        <row r="431">
          <cell r="A431" t="str">
            <v>KPFU65EF</v>
          </cell>
          <cell r="B431" t="str">
            <v>U0403007</v>
          </cell>
        </row>
        <row r="432">
          <cell r="A432"/>
          <cell r="B432"/>
        </row>
        <row r="433">
          <cell r="A433"/>
          <cell r="B433"/>
        </row>
        <row r="434">
          <cell r="A434"/>
          <cell r="B434"/>
        </row>
        <row r="435">
          <cell r="A435" t="str">
            <v>KPFU6ZH03EF</v>
          </cell>
          <cell r="B435" t="str">
            <v>U0403008</v>
          </cell>
        </row>
        <row r="436">
          <cell r="A436" t="str">
            <v>KPFU6ZH05EF</v>
          </cell>
          <cell r="B436" t="str">
            <v>U0403009</v>
          </cell>
        </row>
        <row r="437">
          <cell r="A437" t="str">
            <v>KPFU6ZH10EF</v>
          </cell>
          <cell r="B437" t="str">
            <v>U0403010</v>
          </cell>
        </row>
        <row r="438">
          <cell r="A438" t="str">
            <v>KPFU6ZH1EF</v>
          </cell>
          <cell r="B438" t="str">
            <v>U0403011</v>
          </cell>
        </row>
        <row r="439">
          <cell r="A439" t="str">
            <v>KPFU6ZH2EF</v>
          </cell>
          <cell r="B439" t="str">
            <v>U0403012</v>
          </cell>
        </row>
        <row r="440">
          <cell r="A440" t="str">
            <v>KPFU6ZH3EF</v>
          </cell>
          <cell r="B440" t="str">
            <v>U0403013</v>
          </cell>
        </row>
        <row r="441">
          <cell r="A441" t="str">
            <v>KPFU6ZH5EF</v>
          </cell>
          <cell r="B441" t="str">
            <v>U0403014</v>
          </cell>
        </row>
        <row r="442">
          <cell r="A442" t="str">
            <v>KPIGOM3LC2MEF</v>
          </cell>
          <cell r="B442" t="str">
            <v>U1101001</v>
          </cell>
        </row>
        <row r="443">
          <cell r="A443" t="str">
            <v>KPIGOM3SC2MEF</v>
          </cell>
          <cell r="B443" t="str">
            <v>U1101002</v>
          </cell>
        </row>
        <row r="444">
          <cell r="A444" t="str">
            <v>KPIGOM4LC2MEF</v>
          </cell>
          <cell r="B444" t="str">
            <v>U1102001</v>
          </cell>
        </row>
        <row r="445">
          <cell r="A445" t="str">
            <v>KPIGOM4SC2MEF</v>
          </cell>
          <cell r="B445" t="str">
            <v>U1102002</v>
          </cell>
        </row>
        <row r="446">
          <cell r="A446" t="str">
            <v>KPIGOM5LC2MEF</v>
          </cell>
          <cell r="B446" t="str">
            <v>U1103001</v>
          </cell>
        </row>
        <row r="447">
          <cell r="A447" t="str">
            <v>KPIGOM5SC2MEF</v>
          </cell>
          <cell r="B447" t="str">
            <v>U1103002</v>
          </cell>
        </row>
        <row r="448">
          <cell r="A448" t="str">
            <v>KPIGOS2LC2MEF</v>
          </cell>
          <cell r="B448" t="str">
            <v>U1104001</v>
          </cell>
        </row>
        <row r="449">
          <cell r="A449"/>
          <cell r="B449"/>
        </row>
        <row r="450">
          <cell r="A450"/>
          <cell r="B450"/>
        </row>
        <row r="451">
          <cell r="A451"/>
          <cell r="B451"/>
        </row>
        <row r="452">
          <cell r="A452" t="str">
            <v>KPIGOS2SC2MEF</v>
          </cell>
          <cell r="B452" t="str">
            <v>U1104002</v>
          </cell>
        </row>
        <row r="453">
          <cell r="A453"/>
          <cell r="B453"/>
        </row>
        <row r="454">
          <cell r="A454"/>
          <cell r="B454"/>
        </row>
        <row r="455">
          <cell r="A455"/>
          <cell r="B455"/>
        </row>
        <row r="456">
          <cell r="A456" t="str">
            <v>KPL45BIBOGR</v>
          </cell>
          <cell r="B456" t="str">
            <v>U0206001</v>
          </cell>
        </row>
        <row r="457">
          <cell r="A457" t="str">
            <v>KPL45BITOOL</v>
          </cell>
          <cell r="B457" t="str">
            <v>U0206002</v>
          </cell>
        </row>
        <row r="458">
          <cell r="A458" t="str">
            <v>KPL45S6</v>
          </cell>
          <cell r="B458" t="str">
            <v>U0206003</v>
          </cell>
        </row>
        <row r="459">
          <cell r="A459" t="str">
            <v>KPL45S6A</v>
          </cell>
          <cell r="B459" t="str">
            <v>U0206004</v>
          </cell>
        </row>
        <row r="460">
          <cell r="A460" t="str">
            <v>KPL45S6BI</v>
          </cell>
          <cell r="B460" t="str">
            <v>U0206005</v>
          </cell>
        </row>
        <row r="461">
          <cell r="A461" t="str">
            <v>KPL45U5E</v>
          </cell>
          <cell r="B461" t="str">
            <v>U0206006</v>
          </cell>
        </row>
        <row r="462">
          <cell r="A462" t="str">
            <v>KPL45U6</v>
          </cell>
          <cell r="B462" t="str">
            <v>U0206007</v>
          </cell>
        </row>
        <row r="463">
          <cell r="A463" t="str">
            <v>KPL6AFSEF8</v>
          </cell>
          <cell r="B463" t="str">
            <v>U0205001</v>
          </cell>
        </row>
        <row r="464">
          <cell r="A464" t="str">
            <v>KPL6AFSHQEF8</v>
          </cell>
          <cell r="B464" t="str">
            <v>U0205002</v>
          </cell>
        </row>
        <row r="465">
          <cell r="A465" t="str">
            <v>KPLFF6AFSEF8</v>
          </cell>
          <cell r="B465" t="str">
            <v>U0205003</v>
          </cell>
        </row>
        <row r="466">
          <cell r="A466" t="str">
            <v>KPSF6AZH03EF</v>
          </cell>
          <cell r="B466" t="str">
            <v>U0405001</v>
          </cell>
        </row>
        <row r="467">
          <cell r="A467"/>
          <cell r="B467"/>
        </row>
        <row r="468">
          <cell r="A468"/>
          <cell r="B468"/>
        </row>
        <row r="469">
          <cell r="A469"/>
          <cell r="B469"/>
        </row>
        <row r="470">
          <cell r="A470" t="str">
            <v>KPSF6AZH05EF</v>
          </cell>
          <cell r="B470" t="str">
            <v>U0405002</v>
          </cell>
        </row>
        <row r="471">
          <cell r="A471"/>
          <cell r="B471"/>
        </row>
        <row r="472">
          <cell r="A472"/>
          <cell r="B472"/>
        </row>
        <row r="473">
          <cell r="A473"/>
          <cell r="B473"/>
        </row>
        <row r="474">
          <cell r="A474" t="str">
            <v>KPSF6AZH10EF</v>
          </cell>
          <cell r="B474" t="str">
            <v>U0405003</v>
          </cell>
        </row>
        <row r="475">
          <cell r="A475"/>
          <cell r="B475"/>
        </row>
        <row r="476">
          <cell r="A476"/>
          <cell r="B476"/>
        </row>
        <row r="477">
          <cell r="A477"/>
          <cell r="B477"/>
        </row>
        <row r="478">
          <cell r="A478" t="str">
            <v>KPSF6AZH15EF</v>
          </cell>
          <cell r="B478" t="str">
            <v>U0405004</v>
          </cell>
        </row>
        <row r="479">
          <cell r="A479"/>
          <cell r="B479"/>
        </row>
        <row r="480">
          <cell r="A480"/>
          <cell r="B480"/>
        </row>
        <row r="481">
          <cell r="A481"/>
          <cell r="B481"/>
        </row>
        <row r="482">
          <cell r="A482" t="str">
            <v>KPSF6AZH1EF</v>
          </cell>
          <cell r="B482" t="str">
            <v>U0405005</v>
          </cell>
        </row>
        <row r="483">
          <cell r="A483"/>
          <cell r="B483"/>
        </row>
        <row r="484">
          <cell r="A484"/>
          <cell r="B484"/>
        </row>
        <row r="485">
          <cell r="A485"/>
          <cell r="B485"/>
        </row>
        <row r="486">
          <cell r="A486" t="str">
            <v>KPSF6AZH20EF</v>
          </cell>
          <cell r="B486" t="str">
            <v>U0405006</v>
          </cell>
        </row>
        <row r="487">
          <cell r="A487"/>
          <cell r="B487"/>
        </row>
        <row r="488">
          <cell r="A488"/>
          <cell r="B488"/>
        </row>
        <row r="489">
          <cell r="A489"/>
          <cell r="B489"/>
        </row>
        <row r="490">
          <cell r="A490" t="str">
            <v>KPSF6AZH2EF</v>
          </cell>
          <cell r="B490" t="str">
            <v>U0405007</v>
          </cell>
        </row>
        <row r="491">
          <cell r="A491"/>
          <cell r="B491"/>
        </row>
        <row r="492">
          <cell r="A492"/>
          <cell r="B492"/>
        </row>
        <row r="493">
          <cell r="A493"/>
          <cell r="B493"/>
        </row>
        <row r="494">
          <cell r="A494" t="str">
            <v>KPSF6AZH3EF</v>
          </cell>
          <cell r="B494" t="str">
            <v>U0405008</v>
          </cell>
        </row>
        <row r="495">
          <cell r="A495"/>
          <cell r="B495"/>
        </row>
        <row r="496">
          <cell r="A496"/>
          <cell r="B496"/>
        </row>
        <row r="497">
          <cell r="A497"/>
          <cell r="B497"/>
        </row>
        <row r="498">
          <cell r="A498" t="str">
            <v>KPSF6AZH5EF</v>
          </cell>
          <cell r="B498" t="str">
            <v>U0405009</v>
          </cell>
        </row>
        <row r="499">
          <cell r="A499"/>
          <cell r="B499"/>
        </row>
        <row r="500">
          <cell r="A500"/>
          <cell r="B500"/>
        </row>
        <row r="501">
          <cell r="A501"/>
          <cell r="B501"/>
        </row>
        <row r="502">
          <cell r="A502" t="str">
            <v>KPSF6AZHL03EF</v>
          </cell>
          <cell r="B502" t="str">
            <v>U0405010</v>
          </cell>
        </row>
        <row r="503">
          <cell r="A503" t="str">
            <v>KPSF6AZHL05EF</v>
          </cell>
          <cell r="B503" t="str">
            <v>U0405011</v>
          </cell>
        </row>
        <row r="504">
          <cell r="A504" t="str">
            <v>KPSF6AZHL10EF</v>
          </cell>
          <cell r="B504" t="str">
            <v>U0405012</v>
          </cell>
        </row>
        <row r="505">
          <cell r="A505" t="str">
            <v>KPSF6AZHL1EF</v>
          </cell>
          <cell r="B505" t="str">
            <v>U0405013</v>
          </cell>
        </row>
        <row r="506">
          <cell r="A506" t="str">
            <v>KPSF6AZHL2EF</v>
          </cell>
          <cell r="B506" t="str">
            <v>U0405014</v>
          </cell>
        </row>
        <row r="507">
          <cell r="A507" t="str">
            <v>KPSF6AZHL3EF</v>
          </cell>
          <cell r="B507" t="str">
            <v>U0405015</v>
          </cell>
        </row>
        <row r="508">
          <cell r="A508" t="str">
            <v>KPSF6AZHL5EF</v>
          </cell>
          <cell r="B508" t="str">
            <v>U0405016</v>
          </cell>
        </row>
        <row r="509">
          <cell r="A509" t="str">
            <v>KPSF8ZH03EF</v>
          </cell>
          <cell r="B509" t="str">
            <v>U0407001</v>
          </cell>
        </row>
        <row r="510">
          <cell r="A510" t="str">
            <v>KPSF8ZH05EF</v>
          </cell>
          <cell r="B510" t="str">
            <v>U0407002</v>
          </cell>
        </row>
        <row r="511">
          <cell r="A511" t="str">
            <v>KPSF8ZH10EF</v>
          </cell>
          <cell r="B511" t="str">
            <v>U0407003</v>
          </cell>
        </row>
        <row r="512">
          <cell r="A512" t="str">
            <v>KPSF8ZH1EF</v>
          </cell>
          <cell r="B512" t="str">
            <v>U0407004</v>
          </cell>
        </row>
        <row r="513">
          <cell r="A513" t="str">
            <v>KPSF8ZH2EF</v>
          </cell>
          <cell r="B513" t="str">
            <v>U0407005</v>
          </cell>
        </row>
        <row r="514">
          <cell r="A514" t="str">
            <v>KPSF8ZH3EF</v>
          </cell>
          <cell r="B514" t="str">
            <v>U0407006</v>
          </cell>
        </row>
        <row r="515">
          <cell r="A515" t="str">
            <v>KPSF8ZH5EF</v>
          </cell>
          <cell r="B515" t="str">
            <v>U0407007</v>
          </cell>
        </row>
        <row r="516">
          <cell r="A516" t="str">
            <v>KPSLF6AZHSL03EF</v>
          </cell>
          <cell r="B516" t="str">
            <v>U0405017</v>
          </cell>
        </row>
        <row r="517">
          <cell r="A517" t="str">
            <v>KPSLF6AZHSL05EF</v>
          </cell>
          <cell r="B517" t="str">
            <v>U0405018</v>
          </cell>
        </row>
        <row r="518">
          <cell r="A518" t="str">
            <v>KPSLF6AZHSL10EF</v>
          </cell>
          <cell r="B518" t="str">
            <v>U0405019</v>
          </cell>
        </row>
        <row r="519">
          <cell r="A519" t="str">
            <v>KPSLF6AZHSL1EF</v>
          </cell>
          <cell r="B519" t="str">
            <v>U0405020</v>
          </cell>
        </row>
        <row r="520">
          <cell r="A520" t="str">
            <v>KPSLF6AZHSL2EF</v>
          </cell>
          <cell r="B520" t="str">
            <v>U0405021</v>
          </cell>
        </row>
        <row r="521">
          <cell r="A521" t="str">
            <v>KPSLF6AZHSL3EF</v>
          </cell>
          <cell r="B521" t="str">
            <v>U0405022</v>
          </cell>
        </row>
        <row r="522">
          <cell r="A522" t="str">
            <v>KPSLF6AZHSL5EF</v>
          </cell>
          <cell r="B522" t="str">
            <v>U0405023</v>
          </cell>
        </row>
        <row r="523">
          <cell r="A523" t="str">
            <v>KPUU5EZH03EF</v>
          </cell>
          <cell r="B523" t="str">
            <v>U0402001</v>
          </cell>
        </row>
        <row r="524">
          <cell r="A524" t="str">
            <v>KPUU5EZH05EF</v>
          </cell>
          <cell r="B524" t="str">
            <v>U0402002</v>
          </cell>
        </row>
        <row r="525">
          <cell r="A525" t="str">
            <v>KPUU5EZH10EF</v>
          </cell>
          <cell r="B525" t="str">
            <v>U0402003</v>
          </cell>
        </row>
        <row r="526">
          <cell r="A526" t="str">
            <v>KPUU5EZH1EF</v>
          </cell>
          <cell r="B526" t="str">
            <v>U0402004</v>
          </cell>
        </row>
        <row r="527">
          <cell r="A527" t="str">
            <v>KPUU5EZH2EF</v>
          </cell>
          <cell r="B527" t="str">
            <v>U0402005</v>
          </cell>
        </row>
        <row r="528">
          <cell r="A528" t="str">
            <v>KPUU5EZH3EF</v>
          </cell>
          <cell r="B528" t="str">
            <v>U0402006</v>
          </cell>
        </row>
        <row r="529">
          <cell r="A529" t="str">
            <v>KPUU5EZH5EF</v>
          </cell>
          <cell r="B529" t="str">
            <v>U0402007</v>
          </cell>
        </row>
        <row r="530">
          <cell r="A530" t="str">
            <v>KPUU6AZH03EF</v>
          </cell>
          <cell r="B530" t="str">
            <v>U0406001</v>
          </cell>
        </row>
        <row r="531">
          <cell r="A531" t="str">
            <v>KPUU6AZH05EF</v>
          </cell>
          <cell r="B531" t="str">
            <v>U0406002</v>
          </cell>
        </row>
        <row r="532">
          <cell r="A532"/>
          <cell r="B532"/>
        </row>
        <row r="533">
          <cell r="A533"/>
          <cell r="B533"/>
        </row>
        <row r="534">
          <cell r="A534"/>
          <cell r="B534"/>
        </row>
        <row r="535">
          <cell r="A535" t="str">
            <v>KPUU6AZH10EF</v>
          </cell>
          <cell r="B535" t="str">
            <v>U0406003</v>
          </cell>
        </row>
        <row r="536">
          <cell r="A536" t="str">
            <v>KPUU6AZH1EF</v>
          </cell>
          <cell r="B536" t="str">
            <v>U0406004</v>
          </cell>
        </row>
        <row r="537">
          <cell r="A537"/>
          <cell r="B537"/>
        </row>
        <row r="538">
          <cell r="A538"/>
          <cell r="B538"/>
        </row>
        <row r="539">
          <cell r="A539"/>
          <cell r="B539"/>
        </row>
        <row r="540">
          <cell r="A540" t="str">
            <v>KPUU6AZH2EF</v>
          </cell>
          <cell r="B540" t="str">
            <v>U0406005</v>
          </cell>
        </row>
        <row r="541">
          <cell r="A541" t="str">
            <v>KPUU6AZH3EF</v>
          </cell>
          <cell r="B541" t="str">
            <v>U0406006</v>
          </cell>
        </row>
        <row r="542">
          <cell r="A542"/>
          <cell r="B542"/>
        </row>
        <row r="543">
          <cell r="A543"/>
          <cell r="B543"/>
        </row>
        <row r="544">
          <cell r="A544"/>
          <cell r="B544"/>
        </row>
        <row r="545">
          <cell r="A545" t="str">
            <v>KPUU6AZH5EF</v>
          </cell>
          <cell r="B545" t="str">
            <v>U0406007</v>
          </cell>
        </row>
        <row r="546">
          <cell r="A546" t="str">
            <v>KPUU6AZHSL03EF</v>
          </cell>
          <cell r="B546" t="str">
            <v>U0406008</v>
          </cell>
        </row>
        <row r="547">
          <cell r="A547" t="str">
            <v>KPUU6AZHSL05EF</v>
          </cell>
          <cell r="B547" t="str">
            <v>U0406009</v>
          </cell>
        </row>
        <row r="548">
          <cell r="A548" t="str">
            <v>KPUU6AZHSL10EF</v>
          </cell>
          <cell r="B548" t="str">
            <v>U0406010</v>
          </cell>
        </row>
        <row r="549">
          <cell r="A549" t="str">
            <v>KPUU6AZHSL1EF</v>
          </cell>
          <cell r="B549" t="str">
            <v>U0406011</v>
          </cell>
        </row>
        <row r="550">
          <cell r="A550" t="str">
            <v>KPUU6AZHSL2EF</v>
          </cell>
          <cell r="B550" t="str">
            <v>U0406012</v>
          </cell>
        </row>
        <row r="551">
          <cell r="A551" t="str">
            <v>KPUU6AZHSL3EF</v>
          </cell>
          <cell r="B551" t="str">
            <v>U0406013</v>
          </cell>
        </row>
        <row r="552">
          <cell r="A552" t="str">
            <v>KPUU6AZHSL5EF</v>
          </cell>
          <cell r="B552" t="str">
            <v>U0406014</v>
          </cell>
        </row>
        <row r="553">
          <cell r="A553" t="str">
            <v>KPUU6ZH03EF</v>
          </cell>
          <cell r="B553" t="str">
            <v>U0404001</v>
          </cell>
        </row>
        <row r="554">
          <cell r="A554"/>
          <cell r="B554"/>
        </row>
        <row r="555">
          <cell r="A555"/>
          <cell r="B555"/>
        </row>
        <row r="556">
          <cell r="A556"/>
          <cell r="B556"/>
        </row>
        <row r="557">
          <cell r="A557" t="str">
            <v>KPUU6ZH05EF</v>
          </cell>
          <cell r="B557" t="str">
            <v>U0404002</v>
          </cell>
        </row>
        <row r="558">
          <cell r="A558"/>
          <cell r="B558"/>
        </row>
        <row r="559">
          <cell r="A559"/>
          <cell r="B559"/>
        </row>
        <row r="560">
          <cell r="A560"/>
          <cell r="B560"/>
        </row>
        <row r="561">
          <cell r="A561" t="str">
            <v>KPUU6ZH10EF</v>
          </cell>
          <cell r="B561" t="str">
            <v>U0404003</v>
          </cell>
        </row>
        <row r="562">
          <cell r="A562"/>
          <cell r="B562"/>
        </row>
        <row r="563">
          <cell r="A563"/>
          <cell r="B563"/>
        </row>
        <row r="564">
          <cell r="A564"/>
          <cell r="B564"/>
        </row>
        <row r="565">
          <cell r="A565" t="str">
            <v>KPUU6ZH1EF</v>
          </cell>
          <cell r="B565" t="str">
            <v>U0404004</v>
          </cell>
        </row>
        <row r="566">
          <cell r="A566"/>
          <cell r="B566"/>
        </row>
        <row r="567">
          <cell r="A567"/>
          <cell r="B567"/>
        </row>
        <row r="568">
          <cell r="A568"/>
          <cell r="B568"/>
        </row>
        <row r="569">
          <cell r="A569" t="str">
            <v>KPUU6ZH2EF</v>
          </cell>
          <cell r="B569" t="str">
            <v>U0404005</v>
          </cell>
        </row>
        <row r="570">
          <cell r="A570"/>
          <cell r="B570"/>
        </row>
        <row r="571">
          <cell r="A571"/>
          <cell r="B571"/>
        </row>
        <row r="572">
          <cell r="A572"/>
          <cell r="B572"/>
        </row>
        <row r="573">
          <cell r="A573" t="str">
            <v>KPUU6ZH3EF</v>
          </cell>
          <cell r="B573" t="str">
            <v>U0404006</v>
          </cell>
        </row>
        <row r="574">
          <cell r="A574"/>
          <cell r="B574"/>
        </row>
        <row r="575">
          <cell r="A575"/>
          <cell r="B575"/>
        </row>
        <row r="576">
          <cell r="A576"/>
          <cell r="B576"/>
        </row>
        <row r="577">
          <cell r="A577" t="str">
            <v>KPUU6ZH5EF</v>
          </cell>
          <cell r="B577" t="str">
            <v>U0404007</v>
          </cell>
        </row>
        <row r="578">
          <cell r="A578"/>
          <cell r="B578"/>
        </row>
        <row r="579">
          <cell r="A579"/>
          <cell r="B579"/>
        </row>
        <row r="580">
          <cell r="A580"/>
          <cell r="B580"/>
        </row>
        <row r="581">
          <cell r="A581" t="str">
            <v>KPUU6ZHSL03EF</v>
          </cell>
          <cell r="B581" t="str">
            <v>U0404008</v>
          </cell>
        </row>
        <row r="582">
          <cell r="A582" t="str">
            <v>KPUU6ZHSL05EF</v>
          </cell>
          <cell r="B582" t="str">
            <v>U0404009</v>
          </cell>
        </row>
        <row r="583">
          <cell r="A583" t="str">
            <v>KPUU6ZHSL10EF</v>
          </cell>
          <cell r="B583" t="str">
            <v>U0404010</v>
          </cell>
        </row>
        <row r="584">
          <cell r="A584" t="str">
            <v>KPUU6ZHSL1EF</v>
          </cell>
          <cell r="B584" t="str">
            <v>U0404011</v>
          </cell>
        </row>
        <row r="585">
          <cell r="A585" t="str">
            <v>KPUU6ZHSL2EF</v>
          </cell>
          <cell r="B585" t="str">
            <v>U0404012</v>
          </cell>
        </row>
        <row r="586">
          <cell r="A586" t="str">
            <v>KPUU6ZHSL3EF</v>
          </cell>
          <cell r="B586" t="str">
            <v>U0404013</v>
          </cell>
        </row>
        <row r="587">
          <cell r="A587" t="str">
            <v>KPUU6ZHSL5EF</v>
          </cell>
          <cell r="B587" t="str">
            <v>U0404014</v>
          </cell>
        </row>
        <row r="588">
          <cell r="A588" t="str">
            <v>KRG2266SG2</v>
          </cell>
          <cell r="B588" t="str">
            <v>U1403010</v>
          </cell>
        </row>
        <row r="589">
          <cell r="A589" t="str">
            <v>KRG2266SGR</v>
          </cell>
          <cell r="B589" t="str">
            <v>U1403001</v>
          </cell>
        </row>
        <row r="590">
          <cell r="A590" t="str">
            <v>KRG2266SP2</v>
          </cell>
          <cell r="B590" t="str">
            <v>U1403042</v>
          </cell>
        </row>
        <row r="591">
          <cell r="A591" t="str">
            <v>KRG2266SPR</v>
          </cell>
          <cell r="B591" t="str">
            <v>U1403032</v>
          </cell>
        </row>
        <row r="592">
          <cell r="A592" t="str">
            <v>KRG2268SG2</v>
          </cell>
          <cell r="B592" t="str">
            <v>U1403015</v>
          </cell>
        </row>
        <row r="593">
          <cell r="A593" t="str">
            <v>KRG2268SGR</v>
          </cell>
          <cell r="B593" t="str">
            <v>U1403006</v>
          </cell>
        </row>
        <row r="594">
          <cell r="A594" t="str">
            <v>KRG2268SP2</v>
          </cell>
          <cell r="B594" t="str">
            <v>U1403047</v>
          </cell>
        </row>
        <row r="595">
          <cell r="A595" t="str">
            <v>KRG2268SPR</v>
          </cell>
          <cell r="B595" t="str">
            <v>U1403037</v>
          </cell>
        </row>
        <row r="596">
          <cell r="A596" t="str">
            <v>KRG2466SG2</v>
          </cell>
          <cell r="B596" t="str">
            <v>U1403011</v>
          </cell>
        </row>
        <row r="597">
          <cell r="A597" t="str">
            <v>KRG2466SGR</v>
          </cell>
          <cell r="B597" t="str">
            <v>U1403002</v>
          </cell>
        </row>
        <row r="598">
          <cell r="A598" t="str">
            <v>KRG2466SP2</v>
          </cell>
          <cell r="B598" t="str">
            <v>U1403043</v>
          </cell>
        </row>
        <row r="599">
          <cell r="A599" t="str">
            <v>KRG2466SPR</v>
          </cell>
          <cell r="B599" t="str">
            <v>U1403033</v>
          </cell>
        </row>
        <row r="600">
          <cell r="A600" t="str">
            <v>KRG2766SG2</v>
          </cell>
          <cell r="B600" t="str">
            <v>U1403012</v>
          </cell>
        </row>
        <row r="601">
          <cell r="A601" t="str">
            <v>KRG2766SGR</v>
          </cell>
          <cell r="B601" t="str">
            <v>U1403003</v>
          </cell>
        </row>
        <row r="602">
          <cell r="A602" t="str">
            <v>KRG2766SP2</v>
          </cell>
          <cell r="B602" t="str">
            <v>U1403044</v>
          </cell>
        </row>
        <row r="603">
          <cell r="A603" t="str">
            <v>KRG2766SPR</v>
          </cell>
          <cell r="B603" t="str">
            <v>U1403034</v>
          </cell>
        </row>
        <row r="604">
          <cell r="A604" t="str">
            <v>KRG2768SG2</v>
          </cell>
          <cell r="B604" t="str">
            <v>U1403016</v>
          </cell>
        </row>
        <row r="605">
          <cell r="A605" t="str">
            <v>KRG2768SGR</v>
          </cell>
          <cell r="B605" t="str">
            <v>U1403007</v>
          </cell>
        </row>
        <row r="606">
          <cell r="A606" t="str">
            <v>KRG2768SP2</v>
          </cell>
          <cell r="B606" t="str">
            <v>U1403048</v>
          </cell>
        </row>
        <row r="607">
          <cell r="A607" t="str">
            <v>KRG2768SPR</v>
          </cell>
          <cell r="B607" t="str">
            <v>U1403038</v>
          </cell>
        </row>
        <row r="608">
          <cell r="A608" t="str">
            <v>KRG3266SG2</v>
          </cell>
          <cell r="B608" t="str">
            <v>U1403013</v>
          </cell>
        </row>
        <row r="609">
          <cell r="A609" t="str">
            <v>KRG3266SGR</v>
          </cell>
          <cell r="B609" t="str">
            <v>U1403004</v>
          </cell>
        </row>
        <row r="610">
          <cell r="A610" t="str">
            <v>KRG3266SP2</v>
          </cell>
          <cell r="B610" t="str">
            <v>U1403045</v>
          </cell>
        </row>
        <row r="611">
          <cell r="A611" t="str">
            <v>KRG3266SPR</v>
          </cell>
          <cell r="B611" t="str">
            <v>U1403035</v>
          </cell>
        </row>
        <row r="612">
          <cell r="A612" t="str">
            <v>KRG3288DG2</v>
          </cell>
          <cell r="B612" t="str">
            <v>U1403026</v>
          </cell>
        </row>
        <row r="613">
          <cell r="A613" t="str">
            <v>KRG3288DGR</v>
          </cell>
          <cell r="B613" t="str">
            <v>U1403020</v>
          </cell>
        </row>
        <row r="614">
          <cell r="A614" t="str">
            <v>KRG3288DP2</v>
          </cell>
          <cell r="B614" t="str">
            <v>U1403061</v>
          </cell>
        </row>
        <row r="615">
          <cell r="A615" t="str">
            <v>KRG3288DPR</v>
          </cell>
          <cell r="B615" t="str">
            <v>U1403053</v>
          </cell>
        </row>
        <row r="616">
          <cell r="A616" t="str">
            <v>KRG42610SG2</v>
          </cell>
          <cell r="B616" t="str">
            <v>U1403018</v>
          </cell>
        </row>
        <row r="617">
          <cell r="A617" t="str">
            <v>KRG42610SGR</v>
          </cell>
          <cell r="B617" t="str">
            <v>U1403009</v>
          </cell>
        </row>
        <row r="618">
          <cell r="A618" t="str">
            <v>KRG42610SP2</v>
          </cell>
          <cell r="B618" t="str">
            <v>U1403051</v>
          </cell>
        </row>
        <row r="619">
          <cell r="A619" t="str">
            <v>KRG42610SPR</v>
          </cell>
          <cell r="B619" t="str">
            <v>U1403041</v>
          </cell>
        </row>
        <row r="620">
          <cell r="A620" t="str">
            <v>KRG4266EDF</v>
          </cell>
          <cell r="B620" t="str">
            <v>U1405004</v>
          </cell>
        </row>
        <row r="621">
          <cell r="A621" t="str">
            <v>KRG4266EDFP</v>
          </cell>
          <cell r="B621" t="str">
            <v>U1405005</v>
          </cell>
        </row>
        <row r="622">
          <cell r="A622" t="str">
            <v>KRG4266SG2</v>
          </cell>
          <cell r="B622" t="str">
            <v>U1403014</v>
          </cell>
        </row>
        <row r="623">
          <cell r="A623" t="str">
            <v>KRG4266SGR</v>
          </cell>
          <cell r="B623" t="str">
            <v>U1403005</v>
          </cell>
        </row>
        <row r="624">
          <cell r="A624" t="str">
            <v>KRG4266SP2</v>
          </cell>
          <cell r="B624" t="str">
            <v>U1403046</v>
          </cell>
        </row>
        <row r="625">
          <cell r="A625" t="str">
            <v>KRG4266SPR</v>
          </cell>
          <cell r="B625" t="str">
            <v>U1403036</v>
          </cell>
        </row>
        <row r="626">
          <cell r="A626" t="str">
            <v>KRG4268EDF</v>
          </cell>
          <cell r="B626" t="str">
            <v>U1405006</v>
          </cell>
        </row>
        <row r="627">
          <cell r="A627" t="str">
            <v>KRG4268EDFP</v>
          </cell>
          <cell r="B627" t="str">
            <v>U1405007</v>
          </cell>
        </row>
        <row r="628">
          <cell r="A628" t="str">
            <v>KRG4268SG2</v>
          </cell>
          <cell r="B628" t="str">
            <v>U1403017</v>
          </cell>
        </row>
        <row r="629">
          <cell r="A629" t="str">
            <v>KRG4268SGR</v>
          </cell>
          <cell r="B629" t="str">
            <v>U1403008</v>
          </cell>
        </row>
        <row r="630">
          <cell r="A630" t="str">
            <v>KRG4268SP2</v>
          </cell>
          <cell r="B630" t="str">
            <v>U1403049</v>
          </cell>
        </row>
        <row r="631">
          <cell r="A631" t="str">
            <v>KRG4268SPR</v>
          </cell>
          <cell r="B631" t="str">
            <v>U1403039</v>
          </cell>
        </row>
        <row r="632">
          <cell r="A632" t="str">
            <v>KRG42810DG2</v>
          </cell>
          <cell r="B632" t="str">
            <v>U1403029</v>
          </cell>
        </row>
        <row r="633">
          <cell r="A633" t="str">
            <v>KRG42810DGR</v>
          </cell>
          <cell r="B633" t="str">
            <v>U1403023</v>
          </cell>
        </row>
        <row r="634">
          <cell r="A634" t="str">
            <v>KRG42810DP2</v>
          </cell>
          <cell r="B634" t="str">
            <v>U1403064</v>
          </cell>
        </row>
        <row r="635">
          <cell r="A635" t="str">
            <v>KRG42810DPR</v>
          </cell>
          <cell r="B635" t="str">
            <v>U1403056</v>
          </cell>
        </row>
        <row r="636">
          <cell r="A636" t="str">
            <v>KRG42810EDF</v>
          </cell>
          <cell r="B636" t="str">
            <v>U1405008</v>
          </cell>
        </row>
        <row r="637">
          <cell r="A637" t="str">
            <v>KRG42810EDFP</v>
          </cell>
          <cell r="B637" t="str">
            <v>U1405009</v>
          </cell>
        </row>
        <row r="638">
          <cell r="A638" t="str">
            <v>KRG42812DG2</v>
          </cell>
          <cell r="B638" t="str">
            <v>U1403030</v>
          </cell>
        </row>
        <row r="639">
          <cell r="A639" t="str">
            <v>KRG42812DGR</v>
          </cell>
          <cell r="B639" t="str">
            <v>U1403024</v>
          </cell>
        </row>
        <row r="640">
          <cell r="A640" t="str">
            <v>KRG42812DP2</v>
          </cell>
          <cell r="B640" t="str">
            <v>U1403066</v>
          </cell>
        </row>
        <row r="641">
          <cell r="A641" t="str">
            <v>KRG42812DPR</v>
          </cell>
          <cell r="B641" t="str">
            <v>U1403058</v>
          </cell>
        </row>
        <row r="642">
          <cell r="A642" t="str">
            <v>KRG4286DGR</v>
          </cell>
          <cell r="B642" t="str">
            <v>U1403019</v>
          </cell>
        </row>
        <row r="643">
          <cell r="A643" t="str">
            <v>KRG4286DP2</v>
          </cell>
          <cell r="B643" t="str">
            <v>U1403060</v>
          </cell>
        </row>
        <row r="644">
          <cell r="A644" t="str">
            <v>KRG4286DPR</v>
          </cell>
          <cell r="B644" t="str">
            <v>U1403052</v>
          </cell>
        </row>
        <row r="645">
          <cell r="A645" t="str">
            <v>KRG4288DG2</v>
          </cell>
          <cell r="B645" t="str">
            <v>U1403027</v>
          </cell>
        </row>
        <row r="646">
          <cell r="A646" t="str">
            <v>KRG4288DGR</v>
          </cell>
          <cell r="B646" t="str">
            <v>U1403021</v>
          </cell>
        </row>
        <row r="647">
          <cell r="A647" t="str">
            <v>KRG4288DP2</v>
          </cell>
          <cell r="B647" t="str">
            <v>U1403062</v>
          </cell>
        </row>
        <row r="648">
          <cell r="A648" t="str">
            <v>KRG4288DPR</v>
          </cell>
          <cell r="B648" t="str">
            <v>U1403054</v>
          </cell>
        </row>
        <row r="649">
          <cell r="A649" t="str">
            <v>KRG4288EDF</v>
          </cell>
          <cell r="B649" t="str">
            <v>U1405002</v>
          </cell>
        </row>
        <row r="650">
          <cell r="A650" t="str">
            <v>KRG4288EDFP</v>
          </cell>
          <cell r="B650" t="str">
            <v>U1405003</v>
          </cell>
        </row>
        <row r="651">
          <cell r="A651" t="str">
            <v>KRG4768SP2</v>
          </cell>
          <cell r="B651" t="str">
            <v>U1403050</v>
          </cell>
        </row>
        <row r="652">
          <cell r="A652" t="str">
            <v>KRG4768SPR</v>
          </cell>
          <cell r="B652" t="str">
            <v>U1403040</v>
          </cell>
        </row>
        <row r="653">
          <cell r="A653" t="str">
            <v>KRG47810DP2</v>
          </cell>
          <cell r="B653" t="str">
            <v>U1403065</v>
          </cell>
        </row>
        <row r="654">
          <cell r="A654" t="str">
            <v>KRG47810DPR</v>
          </cell>
          <cell r="B654" t="str">
            <v>U1403057</v>
          </cell>
        </row>
        <row r="655">
          <cell r="A655" t="str">
            <v>KRG47810EDF</v>
          </cell>
          <cell r="B655" t="str">
            <v>U1405012</v>
          </cell>
        </row>
        <row r="656">
          <cell r="A656" t="str">
            <v>KRG47810EDFP</v>
          </cell>
          <cell r="B656" t="str">
            <v>U1405013</v>
          </cell>
        </row>
        <row r="657">
          <cell r="A657" t="str">
            <v>KRG47812DG2</v>
          </cell>
          <cell r="B657" t="str">
            <v>U1403031</v>
          </cell>
        </row>
        <row r="658">
          <cell r="A658" t="str">
            <v>KRG47812DGR</v>
          </cell>
          <cell r="B658" t="str">
            <v>U1403025</v>
          </cell>
        </row>
        <row r="659">
          <cell r="A659" t="str">
            <v>KRG47812DP2</v>
          </cell>
          <cell r="B659" t="str">
            <v>U1403067</v>
          </cell>
        </row>
        <row r="660">
          <cell r="A660" t="str">
            <v>KRG47812DPR</v>
          </cell>
          <cell r="B660" t="str">
            <v>U1403059</v>
          </cell>
        </row>
        <row r="661">
          <cell r="A661" t="str">
            <v>KRG4788DG2</v>
          </cell>
          <cell r="B661" t="str">
            <v>U1403028</v>
          </cell>
        </row>
        <row r="662">
          <cell r="A662" t="str">
            <v>KRG4788DGR</v>
          </cell>
          <cell r="B662" t="str">
            <v>U1403022</v>
          </cell>
        </row>
        <row r="663">
          <cell r="A663" t="str">
            <v>KRG4788DP2</v>
          </cell>
          <cell r="B663" t="str">
            <v>U1403063</v>
          </cell>
        </row>
        <row r="664">
          <cell r="A664" t="str">
            <v>KRG4788DPR</v>
          </cell>
          <cell r="B664" t="str">
            <v>U1403055</v>
          </cell>
        </row>
        <row r="665">
          <cell r="A665" t="str">
            <v>KRG4788EDF</v>
          </cell>
          <cell r="B665" t="str">
            <v>U1405010</v>
          </cell>
        </row>
        <row r="666">
          <cell r="A666" t="str">
            <v>KRG4788EDFP</v>
          </cell>
          <cell r="B666" t="str">
            <v>U1405011</v>
          </cell>
        </row>
        <row r="667">
          <cell r="A667" t="str">
            <v>KRH4288EDF</v>
          </cell>
          <cell r="B667" t="str">
            <v>U1405001</v>
          </cell>
        </row>
        <row r="668">
          <cell r="A668" t="str">
            <v>KRS2266SGR</v>
          </cell>
          <cell r="B668" t="str">
            <v>U1402001</v>
          </cell>
        </row>
        <row r="669">
          <cell r="A669" t="str">
            <v>KRS2268SGR</v>
          </cell>
          <cell r="B669" t="str">
            <v>U1402007</v>
          </cell>
        </row>
        <row r="670">
          <cell r="A670" t="str">
            <v>KRS2466SGR</v>
          </cell>
          <cell r="B670" t="str">
            <v>U1402002</v>
          </cell>
        </row>
        <row r="671">
          <cell r="A671" t="str">
            <v>KRS2468SGR</v>
          </cell>
          <cell r="B671" t="str">
            <v>U1402008</v>
          </cell>
        </row>
        <row r="672">
          <cell r="A672" t="str">
            <v>KRS2766SGR</v>
          </cell>
          <cell r="B672" t="str">
            <v>U1402003</v>
          </cell>
        </row>
        <row r="673">
          <cell r="A673" t="str">
            <v>KRS2768SGR</v>
          </cell>
          <cell r="B673" t="str">
            <v>U1402009</v>
          </cell>
        </row>
        <row r="674">
          <cell r="A674" t="str">
            <v>KRS2788DGR</v>
          </cell>
          <cell r="B674" t="str">
            <v>U1402016</v>
          </cell>
        </row>
        <row r="675">
          <cell r="A675" t="str">
            <v>KRS3266SGR</v>
          </cell>
          <cell r="B675" t="str">
            <v>U1402004</v>
          </cell>
        </row>
        <row r="676">
          <cell r="A676" t="str">
            <v>KRS3268SGR</v>
          </cell>
          <cell r="B676" t="str">
            <v>U1402010</v>
          </cell>
        </row>
        <row r="677">
          <cell r="A677" t="str">
            <v>KRS3288DGR</v>
          </cell>
          <cell r="B677" t="str">
            <v>U1402017</v>
          </cell>
        </row>
        <row r="678">
          <cell r="A678" t="str">
            <v>KRS42610SGR</v>
          </cell>
          <cell r="B678" t="str">
            <v>U1402013</v>
          </cell>
        </row>
        <row r="679">
          <cell r="A679" t="str">
            <v>KRS4266SGR</v>
          </cell>
          <cell r="B679" t="str">
            <v>U1402005</v>
          </cell>
        </row>
        <row r="680">
          <cell r="A680" t="str">
            <v>KRS4266WDR</v>
          </cell>
          <cell r="B680" t="str">
            <v>U1402006</v>
          </cell>
        </row>
        <row r="681">
          <cell r="A681" t="str">
            <v>KRS4268SGR</v>
          </cell>
          <cell r="B681" t="str">
            <v>U1402011</v>
          </cell>
        </row>
        <row r="682">
          <cell r="A682" t="str">
            <v>KRS4268WDR</v>
          </cell>
          <cell r="B682" t="str">
            <v>U1402012</v>
          </cell>
        </row>
        <row r="683">
          <cell r="A683" t="str">
            <v>KRS42810DGR</v>
          </cell>
          <cell r="B683" t="str">
            <v>U1402020</v>
          </cell>
        </row>
        <row r="684">
          <cell r="A684" t="str">
            <v>KRS42810WDR</v>
          </cell>
          <cell r="B684" t="str">
            <v>U1402021</v>
          </cell>
        </row>
        <row r="685">
          <cell r="A685" t="str">
            <v>KRS4286DGR</v>
          </cell>
          <cell r="B685" t="str">
            <v>U1402014</v>
          </cell>
        </row>
        <row r="686">
          <cell r="A686" t="str">
            <v>KRS4286WDR</v>
          </cell>
          <cell r="B686" t="str">
            <v>U1402015</v>
          </cell>
        </row>
        <row r="687">
          <cell r="A687" t="str">
            <v>KRS4288DGR</v>
          </cell>
          <cell r="B687" t="str">
            <v>U1402018</v>
          </cell>
        </row>
        <row r="688">
          <cell r="A688" t="str">
            <v>KRS4288WDR</v>
          </cell>
          <cell r="B688" t="str">
            <v>U1402019</v>
          </cell>
        </row>
        <row r="689">
          <cell r="A689" t="str">
            <v>KRSBGALCDM40</v>
          </cell>
          <cell r="B689" t="str">
            <v>U0601005</v>
          </cell>
        </row>
        <row r="690">
          <cell r="A690" t="str">
            <v>KSALCDM40</v>
          </cell>
          <cell r="B690" t="str">
            <v>U0601001</v>
          </cell>
        </row>
        <row r="691">
          <cell r="A691"/>
          <cell r="B691"/>
        </row>
        <row r="692">
          <cell r="A692"/>
          <cell r="B692"/>
        </row>
        <row r="693">
          <cell r="A693"/>
          <cell r="B693"/>
        </row>
        <row r="694">
          <cell r="A694" t="str">
            <v>KSALCDS40</v>
          </cell>
          <cell r="B694" t="str">
            <v>U0601002</v>
          </cell>
        </row>
        <row r="695">
          <cell r="A695"/>
          <cell r="B695"/>
        </row>
        <row r="696">
          <cell r="A696"/>
          <cell r="B696"/>
        </row>
        <row r="697">
          <cell r="A697"/>
          <cell r="B697"/>
        </row>
        <row r="698">
          <cell r="A698" t="str">
            <v>KSASCDM20</v>
          </cell>
          <cell r="B698" t="str">
            <v>U0601003</v>
          </cell>
        </row>
        <row r="699">
          <cell r="A699"/>
          <cell r="B699"/>
        </row>
        <row r="700">
          <cell r="A700"/>
          <cell r="B700"/>
        </row>
        <row r="701">
          <cell r="A701"/>
          <cell r="B701"/>
        </row>
        <row r="702">
          <cell r="A702" t="str">
            <v>KSASCDS20</v>
          </cell>
          <cell r="B702" t="str">
            <v>U0601004</v>
          </cell>
        </row>
        <row r="703">
          <cell r="A703"/>
          <cell r="B703"/>
        </row>
        <row r="704">
          <cell r="A704"/>
          <cell r="B704"/>
        </row>
        <row r="705">
          <cell r="A705"/>
          <cell r="B705"/>
        </row>
        <row r="706">
          <cell r="A706" t="str">
            <v>KSB868636EF</v>
          </cell>
          <cell r="B706" t="str">
            <v>U0301008</v>
          </cell>
        </row>
        <row r="707">
          <cell r="A707" t="str">
            <v>KSB868645EF</v>
          </cell>
          <cell r="B707" t="str">
            <v>U0301009</v>
          </cell>
        </row>
        <row r="708">
          <cell r="A708" t="str">
            <v>KSBRUSHCEF</v>
          </cell>
          <cell r="B708" t="str">
            <v>U1201001</v>
          </cell>
        </row>
        <row r="709">
          <cell r="A709"/>
          <cell r="B709"/>
        </row>
        <row r="710">
          <cell r="A710"/>
          <cell r="B710"/>
        </row>
        <row r="711">
          <cell r="A711" t="str">
            <v>KSBRUSHEF</v>
          </cell>
          <cell r="B711" t="str">
            <v>U1201002</v>
          </cell>
        </row>
        <row r="712">
          <cell r="A712" t="str">
            <v>KSET24FO</v>
          </cell>
          <cell r="B712" t="str">
            <v>U0701002</v>
          </cell>
        </row>
        <row r="713">
          <cell r="A713"/>
          <cell r="B713"/>
        </row>
        <row r="714">
          <cell r="A714"/>
          <cell r="B714"/>
        </row>
        <row r="715">
          <cell r="A715" t="str">
            <v>KSFP1U205NPCEF</v>
          </cell>
          <cell r="B715" t="str">
            <v>U1001001</v>
          </cell>
        </row>
        <row r="716">
          <cell r="A716"/>
          <cell r="B716"/>
        </row>
        <row r="717">
          <cell r="A717"/>
          <cell r="B717"/>
        </row>
        <row r="718">
          <cell r="A718" t="str">
            <v>KSFP1U245NPCEF</v>
          </cell>
          <cell r="B718" t="str">
            <v>U1001002</v>
          </cell>
        </row>
        <row r="719">
          <cell r="A719"/>
          <cell r="B719"/>
        </row>
        <row r="720">
          <cell r="A720"/>
          <cell r="B720"/>
        </row>
        <row r="721">
          <cell r="A721" t="str">
            <v>KSFP1U245NPLCEF</v>
          </cell>
          <cell r="B721" t="str">
            <v>U1001003</v>
          </cell>
        </row>
        <row r="722">
          <cell r="A722"/>
          <cell r="B722"/>
        </row>
        <row r="723">
          <cell r="A723"/>
          <cell r="B723"/>
        </row>
        <row r="724">
          <cell r="A724" t="str">
            <v>KSFP1UFP12SCDEF</v>
          </cell>
          <cell r="B724" t="str">
            <v>U1001004</v>
          </cell>
        </row>
        <row r="725">
          <cell r="A725"/>
          <cell r="B725"/>
        </row>
        <row r="726">
          <cell r="A726"/>
          <cell r="B726"/>
        </row>
        <row r="727">
          <cell r="A727" t="str">
            <v>KSFP1UFP12SCSEF</v>
          </cell>
          <cell r="B727" t="str">
            <v>U1001005</v>
          </cell>
        </row>
        <row r="728">
          <cell r="A728"/>
          <cell r="B728"/>
        </row>
        <row r="729">
          <cell r="A729"/>
          <cell r="B729"/>
        </row>
        <row r="730">
          <cell r="A730" t="str">
            <v>KSFP1UFP12SCSLEF</v>
          </cell>
          <cell r="B730" t="str">
            <v>U1001006</v>
          </cell>
        </row>
        <row r="731">
          <cell r="A731"/>
          <cell r="B731"/>
        </row>
        <row r="732">
          <cell r="A732"/>
          <cell r="B732"/>
        </row>
        <row r="733">
          <cell r="A733" t="str">
            <v>KSFP1UFP2412LCDMEF</v>
          </cell>
          <cell r="B733" t="str">
            <v>U1001007</v>
          </cell>
        </row>
        <row r="734">
          <cell r="A734"/>
          <cell r="B734"/>
        </row>
        <row r="735">
          <cell r="A735"/>
          <cell r="B735"/>
        </row>
        <row r="736">
          <cell r="A736" t="str">
            <v>KSFP1UFP2412LCDSEF</v>
          </cell>
          <cell r="B736" t="str">
            <v>U1001008</v>
          </cell>
        </row>
        <row r="737">
          <cell r="A737"/>
          <cell r="B737"/>
        </row>
        <row r="738">
          <cell r="A738"/>
          <cell r="B738"/>
        </row>
        <row r="739">
          <cell r="A739" t="str">
            <v>KSFP1UFP2412SCDMEF</v>
          </cell>
          <cell r="B739" t="str">
            <v>U1001009</v>
          </cell>
        </row>
        <row r="740">
          <cell r="A740"/>
          <cell r="B740"/>
        </row>
        <row r="741">
          <cell r="A741"/>
          <cell r="B741"/>
        </row>
        <row r="742">
          <cell r="A742" t="str">
            <v>KSFP1UFP2412SCDSEF</v>
          </cell>
          <cell r="B742" t="str">
            <v>U1001010</v>
          </cell>
        </row>
        <row r="743">
          <cell r="A743"/>
          <cell r="B743"/>
        </row>
        <row r="744">
          <cell r="A744"/>
          <cell r="B744"/>
        </row>
        <row r="745">
          <cell r="A745" t="str">
            <v>KSFP1UFP2424LCDMEF</v>
          </cell>
          <cell r="B745" t="str">
            <v>U1001011</v>
          </cell>
        </row>
        <row r="746">
          <cell r="A746"/>
          <cell r="B746"/>
        </row>
        <row r="747">
          <cell r="A747"/>
          <cell r="B747"/>
        </row>
        <row r="748">
          <cell r="A748" t="str">
            <v>KSFP1UFP2424LCDSEF</v>
          </cell>
          <cell r="B748" t="str">
            <v>U1001012</v>
          </cell>
        </row>
        <row r="749">
          <cell r="A749"/>
          <cell r="B749"/>
        </row>
        <row r="750">
          <cell r="A750"/>
          <cell r="B750"/>
        </row>
        <row r="751">
          <cell r="A751" t="str">
            <v>KSFP1UFP2424SCDMEF</v>
          </cell>
          <cell r="B751" t="str">
            <v>U1001013</v>
          </cell>
        </row>
        <row r="752">
          <cell r="A752"/>
          <cell r="B752"/>
        </row>
        <row r="753">
          <cell r="A753"/>
          <cell r="B753"/>
        </row>
        <row r="754">
          <cell r="A754" t="str">
            <v>KSFP1UFP2424SCDSEF</v>
          </cell>
          <cell r="B754" t="str">
            <v>U1001014</v>
          </cell>
        </row>
        <row r="755">
          <cell r="A755"/>
          <cell r="B755"/>
        </row>
        <row r="756">
          <cell r="A756"/>
          <cell r="B756"/>
        </row>
        <row r="757">
          <cell r="A757" t="str">
            <v>KSFP1UFP24SCDEF</v>
          </cell>
          <cell r="B757" t="str">
            <v>U1001015</v>
          </cell>
        </row>
        <row r="758">
          <cell r="A758"/>
          <cell r="B758"/>
        </row>
        <row r="759">
          <cell r="A759"/>
          <cell r="B759"/>
        </row>
        <row r="760">
          <cell r="A760" t="str">
            <v>KSFP1UFP24SCSEF</v>
          </cell>
          <cell r="B760" t="str">
            <v>U1001016</v>
          </cell>
        </row>
        <row r="761">
          <cell r="A761"/>
          <cell r="B761"/>
        </row>
        <row r="762">
          <cell r="A762"/>
          <cell r="B762"/>
        </row>
        <row r="763">
          <cell r="A763" t="str">
            <v>KSFP1UFP24SCSLEF</v>
          </cell>
          <cell r="B763" t="str">
            <v>U1001017</v>
          </cell>
        </row>
        <row r="764">
          <cell r="A764"/>
          <cell r="B764"/>
        </row>
        <row r="765">
          <cell r="A765"/>
          <cell r="B765"/>
        </row>
        <row r="766">
          <cell r="A766" t="str">
            <v>KSFP1UFP24STEF</v>
          </cell>
          <cell r="B766" t="str">
            <v>U1001018</v>
          </cell>
        </row>
        <row r="767">
          <cell r="A767" t="str">
            <v>KSFP1UFP3LGXEF</v>
          </cell>
          <cell r="B767" t="str">
            <v>U1001019</v>
          </cell>
        </row>
        <row r="768">
          <cell r="A768" t="str">
            <v>KSFS1U250</v>
          </cell>
          <cell r="B768" t="str">
            <v>U1201003</v>
          </cell>
        </row>
        <row r="769">
          <cell r="A769"/>
          <cell r="B769"/>
        </row>
        <row r="770">
          <cell r="A770"/>
          <cell r="B770"/>
        </row>
        <row r="771">
          <cell r="A771" t="str">
            <v>KSFS2U250</v>
          </cell>
          <cell r="B771" t="str">
            <v>U1201004</v>
          </cell>
        </row>
        <row r="772">
          <cell r="A772" t="str">
            <v>KSOB1UC</v>
          </cell>
          <cell r="B772" t="str">
            <v>U1201005</v>
          </cell>
        </row>
        <row r="773">
          <cell r="A773" t="str">
            <v>KSONO12X15ZHB2BR10</v>
          </cell>
          <cell r="B773" t="str">
            <v>Z0403009</v>
          </cell>
        </row>
        <row r="774">
          <cell r="A774" t="str">
            <v>KSONO12X15ZHNAB2BR10</v>
          </cell>
          <cell r="B774" t="str">
            <v>Z0403004</v>
          </cell>
        </row>
        <row r="775">
          <cell r="A775" t="str">
            <v>KSONO24X15ZHB2BR10</v>
          </cell>
          <cell r="B775" t="str">
            <v>Z0403010</v>
          </cell>
        </row>
        <row r="776">
          <cell r="A776" t="str">
            <v>KSONO24X15ZHNAB2BR10</v>
          </cell>
          <cell r="B776" t="str">
            <v>Z0403005</v>
          </cell>
        </row>
        <row r="777">
          <cell r="A777" t="str">
            <v>KSONO2X15ZHB2BR10</v>
          </cell>
          <cell r="B777" t="str">
            <v>Z0403006</v>
          </cell>
        </row>
        <row r="778">
          <cell r="A778" t="str">
            <v>KSONO2X15ZHNAB2BR10</v>
          </cell>
          <cell r="B778" t="str">
            <v>Z0403001</v>
          </cell>
        </row>
        <row r="779">
          <cell r="A779" t="str">
            <v>KSONO4X15ZHB2BR10</v>
          </cell>
          <cell r="B779" t="str">
            <v>Z0403007</v>
          </cell>
        </row>
        <row r="780">
          <cell r="A780" t="str">
            <v>KSONO4X15ZHNAB2BR10</v>
          </cell>
          <cell r="B780" t="str">
            <v>Z0403002</v>
          </cell>
        </row>
        <row r="781">
          <cell r="A781" t="str">
            <v>KSONO7X15ZHB2BR10</v>
          </cell>
          <cell r="B781" t="str">
            <v>Z0403008</v>
          </cell>
        </row>
        <row r="782">
          <cell r="A782" t="str">
            <v>KSONO7X15ZHNAB2BR10</v>
          </cell>
          <cell r="B782" t="str">
            <v>Z0403003</v>
          </cell>
        </row>
        <row r="783">
          <cell r="A783" t="str">
            <v>KSPFK1U4RCEF</v>
          </cell>
          <cell r="B783" t="str">
            <v>U1201006</v>
          </cell>
        </row>
        <row r="784">
          <cell r="A784"/>
          <cell r="B784"/>
        </row>
        <row r="785">
          <cell r="A785"/>
          <cell r="B785"/>
        </row>
        <row r="786">
          <cell r="A786" t="str">
            <v>KSPFK1U4RCFEF</v>
          </cell>
          <cell r="B786" t="str">
            <v>U1201007</v>
          </cell>
        </row>
        <row r="787">
          <cell r="A787"/>
          <cell r="B787"/>
        </row>
        <row r="788">
          <cell r="A788"/>
          <cell r="B788"/>
        </row>
        <row r="789">
          <cell r="A789" t="str">
            <v>KSPFK1U4REF</v>
          </cell>
          <cell r="B789" t="str">
            <v>U1201008</v>
          </cell>
        </row>
        <row r="790">
          <cell r="A790" t="str">
            <v>KSPFK1U5RCFEF</v>
          </cell>
          <cell r="B790" t="str">
            <v>U1201009</v>
          </cell>
        </row>
        <row r="791">
          <cell r="A791" t="str">
            <v>KSPFK1UAIHDCEF</v>
          </cell>
          <cell r="B791" t="str">
            <v>U1201010</v>
          </cell>
        </row>
        <row r="792">
          <cell r="A792" t="str">
            <v>KSPFK1UHDCEF</v>
          </cell>
          <cell r="B792" t="str">
            <v>U1201011</v>
          </cell>
        </row>
        <row r="793">
          <cell r="A793" t="str">
            <v>KSPLICE60MM</v>
          </cell>
          <cell r="B793" t="str">
            <v>U0701001</v>
          </cell>
        </row>
        <row r="794">
          <cell r="A794"/>
          <cell r="B794"/>
        </row>
        <row r="795">
          <cell r="A795"/>
          <cell r="B795"/>
        </row>
        <row r="796">
          <cell r="A796" t="str">
            <v>KWG09600FD</v>
          </cell>
          <cell r="B796" t="str">
            <v>U1503001</v>
          </cell>
        </row>
        <row r="797">
          <cell r="A797" t="str">
            <v>KWG12600</v>
          </cell>
          <cell r="B797" t="str">
            <v>U1503002</v>
          </cell>
        </row>
        <row r="798">
          <cell r="A798" t="str">
            <v>KWG12600FD</v>
          </cell>
          <cell r="B798" t="str">
            <v>U1503003</v>
          </cell>
        </row>
        <row r="799">
          <cell r="A799" t="str">
            <v>KWG12600PED</v>
          </cell>
          <cell r="B799" t="str">
            <v>U1503004</v>
          </cell>
        </row>
        <row r="800">
          <cell r="A800" t="str">
            <v>KWG22450</v>
          </cell>
          <cell r="B800" t="str">
            <v>U1503007</v>
          </cell>
        </row>
        <row r="801">
          <cell r="A801" t="str">
            <v>KWG22450FD</v>
          </cell>
          <cell r="B801" t="str">
            <v>U1503008</v>
          </cell>
        </row>
        <row r="802">
          <cell r="A802" t="str">
            <v>KWG22450PED</v>
          </cell>
          <cell r="B802" t="str">
            <v>U1503009</v>
          </cell>
        </row>
        <row r="803">
          <cell r="A803" t="str">
            <v>KWG22600</v>
          </cell>
          <cell r="B803" t="str">
            <v>U1503010</v>
          </cell>
        </row>
        <row r="804">
          <cell r="A804" t="str">
            <v>KWG226000PED</v>
          </cell>
          <cell r="B804" t="str">
            <v>U1503012</v>
          </cell>
        </row>
        <row r="805">
          <cell r="A805" t="str">
            <v>KWG22600FD</v>
          </cell>
          <cell r="B805" t="str">
            <v>U1503011</v>
          </cell>
        </row>
        <row r="806">
          <cell r="A806" t="str">
            <v>KWGDOOR12FD</v>
          </cell>
          <cell r="B806" t="str">
            <v>U1503006</v>
          </cell>
        </row>
        <row r="807">
          <cell r="A807" t="str">
            <v>KWGDOOR12PED</v>
          </cell>
          <cell r="B807" t="str">
            <v>U1503005</v>
          </cell>
        </row>
        <row r="808">
          <cell r="A808" t="str">
            <v>KWGDOOR22FD</v>
          </cell>
          <cell r="B808" t="str">
            <v>U1503013</v>
          </cell>
        </row>
        <row r="809">
          <cell r="A809" t="str">
            <v>KWGDOOR22PED</v>
          </cell>
          <cell r="B809" t="str">
            <v>U1503014</v>
          </cell>
        </row>
        <row r="810">
          <cell r="A810" t="str">
            <v>KWP86861PEF8</v>
          </cell>
          <cell r="B810" t="str">
            <v>U0301010</v>
          </cell>
        </row>
        <row r="811">
          <cell r="A811"/>
          <cell r="B811"/>
        </row>
        <row r="812">
          <cell r="A812"/>
          <cell r="B812"/>
        </row>
        <row r="813">
          <cell r="A813"/>
          <cell r="B813"/>
        </row>
        <row r="814">
          <cell r="A814" t="str">
            <v>KWP86862PEF8</v>
          </cell>
          <cell r="B814" t="str">
            <v>U0301011</v>
          </cell>
        </row>
        <row r="815">
          <cell r="A815"/>
          <cell r="B815"/>
        </row>
        <row r="816">
          <cell r="A816"/>
          <cell r="B816"/>
        </row>
        <row r="817">
          <cell r="A817"/>
          <cell r="B817"/>
        </row>
        <row r="818">
          <cell r="A818" t="str">
            <v>KX310100</v>
          </cell>
          <cell r="B818" t="str">
            <v>Z0603003</v>
          </cell>
        </row>
        <row r="819">
          <cell r="A819" t="str">
            <v>OEG3TVs4DT40</v>
          </cell>
          <cell r="B819" t="str">
            <v>O0101001</v>
          </cell>
        </row>
        <row r="820">
          <cell r="A820"/>
          <cell r="B820"/>
        </row>
        <row r="821">
          <cell r="A821" t="str">
            <v>OEG3TVs4DT5</v>
          </cell>
          <cell r="B821" t="str">
            <v>O0101002</v>
          </cell>
        </row>
        <row r="822">
          <cell r="A822"/>
          <cell r="B822"/>
        </row>
        <row r="823">
          <cell r="A823" t="str">
            <v>OEG3TVs4DT5</v>
          </cell>
          <cell r="B823" t="str">
            <v>O0101003</v>
          </cell>
        </row>
        <row r="824">
          <cell r="A824" t="str">
            <v>TRANSPORT</v>
          </cell>
          <cell r="B824"/>
        </row>
        <row r="825">
          <cell r="A825" t="str">
            <v>Transportation Fee</v>
          </cell>
          <cell r="B825"/>
        </row>
        <row r="826">
          <cell r="A826" t="str">
            <v>XELBC45F05</v>
          </cell>
          <cell r="B826" t="str">
            <v>Z0301001</v>
          </cell>
        </row>
        <row r="827">
          <cell r="A827" t="str">
            <v>XELFF6A4PDT5</v>
          </cell>
          <cell r="B827" t="str">
            <v>Z0603001</v>
          </cell>
        </row>
        <row r="828">
          <cell r="A828" t="str">
            <v>XELFF6A8PDT5</v>
          </cell>
          <cell r="B828" t="str">
            <v>Z0603002</v>
          </cell>
        </row>
        <row r="829">
          <cell r="A829" t="str">
            <v>XELPCFUTP6G015</v>
          </cell>
          <cell r="B829" t="str">
            <v>Z0101006</v>
          </cell>
        </row>
        <row r="830">
          <cell r="A830" t="str">
            <v>XELPCFUTP6G03</v>
          </cell>
          <cell r="B830" t="str">
            <v>Z0101010</v>
          </cell>
        </row>
        <row r="831">
          <cell r="A831" t="str">
            <v>XELPCFUTP6G05</v>
          </cell>
          <cell r="B831" t="str">
            <v>Z0101009</v>
          </cell>
        </row>
        <row r="832">
          <cell r="A832" t="str">
            <v>XELPCFUTP6G1</v>
          </cell>
          <cell r="B832" t="str">
            <v>Z0101008</v>
          </cell>
        </row>
        <row r="833">
          <cell r="A833" t="str">
            <v>XELPCFUTP6G10</v>
          </cell>
          <cell r="B833" t="str">
            <v>Z0101007</v>
          </cell>
        </row>
        <row r="834">
          <cell r="A834" t="str">
            <v>XELPCFUTP6G15</v>
          </cell>
          <cell r="B834" t="str">
            <v>Z0101011</v>
          </cell>
        </row>
        <row r="835">
          <cell r="A835" t="str">
            <v>XELPCFUTP6G2</v>
          </cell>
          <cell r="B835" t="str">
            <v>Z0101012</v>
          </cell>
        </row>
        <row r="836">
          <cell r="A836" t="str">
            <v>XELPCFUTP6G20</v>
          </cell>
          <cell r="B836" t="str">
            <v>Z0101005</v>
          </cell>
        </row>
        <row r="837">
          <cell r="A837" t="str">
            <v>XELPCFUTP6G25</v>
          </cell>
          <cell r="B837" t="str">
            <v>Z0101004</v>
          </cell>
        </row>
        <row r="838">
          <cell r="A838" t="str">
            <v>XELPCFUTP6G3</v>
          </cell>
          <cell r="B838" t="str">
            <v>Z0101003</v>
          </cell>
        </row>
        <row r="839">
          <cell r="A839" t="str">
            <v>XELPCFUTP6G30</v>
          </cell>
          <cell r="B839" t="str">
            <v>Z0101002</v>
          </cell>
        </row>
        <row r="840">
          <cell r="A840" t="str">
            <v>XELPCFUTP6G5</v>
          </cell>
          <cell r="B840" t="str">
            <v>Z0101001</v>
          </cell>
        </row>
        <row r="841">
          <cell r="A841" t="str">
            <v>XELPCSFTP6AZHG015</v>
          </cell>
          <cell r="B841" t="str">
            <v>Z0102017</v>
          </cell>
        </row>
        <row r="842">
          <cell r="A842" t="str">
            <v>XELPCSFTP6AZHG03</v>
          </cell>
          <cell r="B842" t="str">
            <v>Z0102016</v>
          </cell>
        </row>
        <row r="843">
          <cell r="A843" t="str">
            <v>XELPCSFTP6AZHG05</v>
          </cell>
          <cell r="B843" t="str">
            <v>Z0102015</v>
          </cell>
        </row>
        <row r="844">
          <cell r="A844" t="str">
            <v>XELPCSFTP6AZHG1</v>
          </cell>
          <cell r="B844" t="str">
            <v>Z0102014</v>
          </cell>
        </row>
        <row r="845">
          <cell r="A845" t="str">
            <v>XELPCSFTP6AZHG10</v>
          </cell>
          <cell r="B845" t="str">
            <v>Z0102013</v>
          </cell>
        </row>
        <row r="846">
          <cell r="A846" t="str">
            <v>XELPCSFTP6AZHG15</v>
          </cell>
          <cell r="B846" t="str">
            <v>Z0102012</v>
          </cell>
        </row>
        <row r="847">
          <cell r="A847" t="str">
            <v>XELPCSFTP6AZHG2</v>
          </cell>
          <cell r="B847" t="str">
            <v>Z0102011</v>
          </cell>
        </row>
        <row r="848">
          <cell r="A848" t="str">
            <v>XELPCSFTP6AZHG20</v>
          </cell>
          <cell r="B848" t="str">
            <v>Z0102010</v>
          </cell>
        </row>
        <row r="849">
          <cell r="A849" t="str">
            <v>XELPCSFTP6AZHG25</v>
          </cell>
          <cell r="B849" t="str">
            <v>Z0102009</v>
          </cell>
        </row>
        <row r="850">
          <cell r="A850" t="str">
            <v>XELPCSFTP6AZHG3</v>
          </cell>
          <cell r="B850" t="str">
            <v>Z0102008</v>
          </cell>
        </row>
        <row r="851">
          <cell r="A851" t="str">
            <v>XELPCSFTP6AZHG30</v>
          </cell>
          <cell r="B851" t="str">
            <v>Z0102007</v>
          </cell>
        </row>
        <row r="852">
          <cell r="A852" t="str">
            <v>XELPCSFTP6AZHG4</v>
          </cell>
          <cell r="B852" t="str">
            <v>Z0102006</v>
          </cell>
        </row>
        <row r="853">
          <cell r="A853" t="str">
            <v>XELPCSFTP6AZHG5</v>
          </cell>
          <cell r="B853" t="str">
            <v>Z0102005</v>
          </cell>
        </row>
        <row r="854">
          <cell r="A854" t="str">
            <v>XELPCSFTP6AZHG50</v>
          </cell>
          <cell r="B854" t="str">
            <v>Z0102004</v>
          </cell>
        </row>
        <row r="855">
          <cell r="A855" t="str">
            <v>XELPCSFTP6AZHG6</v>
          </cell>
          <cell r="B855" t="str">
            <v>Z0102003</v>
          </cell>
        </row>
        <row r="856">
          <cell r="A856" t="str">
            <v>XELPCSFTP6AZHG8</v>
          </cell>
          <cell r="B856" t="str">
            <v>Z0102002</v>
          </cell>
        </row>
        <row r="857">
          <cell r="A857" t="str">
            <v>XELPCSFTPA6ZHG05</v>
          </cell>
          <cell r="B857" t="str">
            <v>Z0102001</v>
          </cell>
        </row>
        <row r="858">
          <cell r="A858" t="str">
            <v>XELRMKITAPLATE</v>
          </cell>
          <cell r="B858" t="str">
            <v>Z0501001</v>
          </cell>
        </row>
        <row r="859">
          <cell r="A859" t="str">
            <v>XELRMKITPSACTR</v>
          </cell>
          <cell r="B859" t="str">
            <v>Z0501002</v>
          </cell>
        </row>
        <row r="860">
          <cell r="A860" t="str">
            <v>XELWCSE12U450</v>
          </cell>
          <cell r="B860" t="str">
            <v>Z0201001</v>
          </cell>
        </row>
        <row r="861">
          <cell r="A861" t="str">
            <v>XELWCSE12U600</v>
          </cell>
          <cell r="B861" t="str">
            <v>Z0201002</v>
          </cell>
        </row>
        <row r="862">
          <cell r="A862" t="str">
            <v>XELWCSE15U450</v>
          </cell>
          <cell r="B862" t="str">
            <v>Z0201003</v>
          </cell>
        </row>
        <row r="863">
          <cell r="A863" t="str">
            <v>XELWCSE15U600</v>
          </cell>
          <cell r="B863" t="str">
            <v>Z0201004</v>
          </cell>
        </row>
        <row r="864">
          <cell r="A864" t="str">
            <v>XELWCSE18U450</v>
          </cell>
          <cell r="B864" t="str">
            <v>Z0201005</v>
          </cell>
        </row>
        <row r="865">
          <cell r="A865" t="str">
            <v>XELWCSE18U600</v>
          </cell>
          <cell r="B865" t="str">
            <v>Z0201006</v>
          </cell>
        </row>
        <row r="866">
          <cell r="A866" t="str">
            <v>XELWCSE22U450</v>
          </cell>
          <cell r="B866" t="str">
            <v>Z0201007</v>
          </cell>
        </row>
        <row r="867">
          <cell r="A867" t="str">
            <v>XELWCSE22U600</v>
          </cell>
          <cell r="B867" t="str">
            <v>Z0201008</v>
          </cell>
        </row>
        <row r="868">
          <cell r="A868" t="str">
            <v>XELWCSE27U450</v>
          </cell>
          <cell r="B868" t="str">
            <v>Z0201009</v>
          </cell>
        </row>
        <row r="869">
          <cell r="A869" t="str">
            <v>XELWCSE27U600</v>
          </cell>
          <cell r="B869" t="str">
            <v>Z0201010</v>
          </cell>
        </row>
        <row r="870">
          <cell r="A870" t="str">
            <v>XELWCSE6U450</v>
          </cell>
          <cell r="B870" t="str">
            <v>Z0201011</v>
          </cell>
        </row>
        <row r="871">
          <cell r="A871" t="str">
            <v>XELWCSE6U600</v>
          </cell>
          <cell r="B871" t="str">
            <v>Z0201012</v>
          </cell>
        </row>
        <row r="872">
          <cell r="A872" t="str">
            <v>XELWCSE9U450</v>
          </cell>
          <cell r="B872" t="str">
            <v>Z0201013</v>
          </cell>
        </row>
        <row r="873">
          <cell r="A873" t="str">
            <v>XELWCSE9U600</v>
          </cell>
          <cell r="B873" t="str">
            <v>Z0201014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4.ACCESSORIES%2019''/TDS/GTN%20PLINTH%20W600-W800_DS.pdf" TargetMode="External"/><Relationship Id="rId13" Type="http://schemas.openxmlformats.org/officeDocument/2006/relationships/hyperlink" Target="4.ACCESSORIES%2019''/TDS/MR.PKV.XX_DS.pdf" TargetMode="External"/><Relationship Id="rId18" Type="http://schemas.openxmlformats.org/officeDocument/2006/relationships/hyperlink" Target="4.ACCESSORIES%2019''/TDS/SLIDING%20SHELVES%20FOR%20D600%20D800%20D1000%20CABINET_DS.pdf" TargetMode="External"/><Relationship Id="rId26" Type="http://schemas.openxmlformats.org/officeDocument/2006/relationships/comments" Target="../comments1.xml"/><Relationship Id="rId3" Type="http://schemas.openxmlformats.org/officeDocument/2006/relationships/hyperlink" Target="4.ACCESSORIES%2019''/TDS/MR.HRK35.XX_YK_DS.pdf" TargetMode="External"/><Relationship Id="rId21" Type="http://schemas.openxmlformats.org/officeDocument/2006/relationships/hyperlink" Target="4.ACCESSORIES%2019''/TDS/CABLE%20TRAY_DS.pdf" TargetMode="External"/><Relationship Id="rId7" Type="http://schemas.openxmlformats.org/officeDocument/2006/relationships/hyperlink" Target="4.ACCESSORIES%2019''/TDS/LIGHTING%20MODULE_DS.pdf" TargetMode="External"/><Relationship Id="rId12" Type="http://schemas.openxmlformats.org/officeDocument/2006/relationships/hyperlink" Target="4.ACCESSORIES%2019''/TDS/MR.LDS80.ZN_DS%2007.05.2025.pdf" TargetMode="External"/><Relationship Id="rId17" Type="http://schemas.openxmlformats.org/officeDocument/2006/relationships/hyperlink" Target="4.ACCESSORIES%2019''/TDS/MR.TPS01_DS.pdf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4.ACCESSORIES%2019''/TDS/MR.FAN4AT_DS.pdf" TargetMode="External"/><Relationship Id="rId16" Type="http://schemas.openxmlformats.org/officeDocument/2006/relationships/hyperlink" Target="4.ACCESSORIES%2019''/TDS/MR.TKR5525_GTN_DS.pdf" TargetMode="External"/><Relationship Id="rId20" Type="http://schemas.openxmlformats.org/officeDocument/2006/relationships/hyperlink" Target="4.ACCESSORIES%2019''/TDS/2%20POINT%20CONNECTED%20RACK%20MOUNT%20SHELVES%20-Accessory_DS.pdf" TargetMode="External"/><Relationship Id="rId1" Type="http://schemas.openxmlformats.org/officeDocument/2006/relationships/hyperlink" Target="4.ACCESSORIES%2019''/TDS/MR.FAN2AT_DS.pdf" TargetMode="External"/><Relationship Id="rId6" Type="http://schemas.openxmlformats.org/officeDocument/2006/relationships/hyperlink" Target="4.ACCESSORIES%2019''/TDS/MR.SBR80.01_YK-DS.pdf" TargetMode="External"/><Relationship Id="rId11" Type="http://schemas.openxmlformats.org/officeDocument/2006/relationships/hyperlink" Target="4.ACCESSORIES%2019''/TDS/MR.LDS60.ZN_DS%2007.05.2025.pdf" TargetMode="External"/><Relationship Id="rId24" Type="http://schemas.openxmlformats.org/officeDocument/2006/relationships/printerSettings" Target="../printerSettings/printerSettings6.bin"/><Relationship Id="rId5" Type="http://schemas.openxmlformats.org/officeDocument/2006/relationships/hyperlink" Target="4.ACCESSORIES%2019''/TDS/MR.SBR60.01_YK-DS.pdf" TargetMode="External"/><Relationship Id="rId15" Type="http://schemas.openxmlformats.org/officeDocument/2006/relationships/hyperlink" Target="4.ACCESSORIES%2019''/TDS/MR.PNY25_DS.pdf" TargetMode="External"/><Relationship Id="rId23" Type="http://schemas.openxmlformats.org/officeDocument/2006/relationships/hyperlink" Target="4.ACCESSORIES%2019''/TDS/MIRSAN-Organizer%20with%20Hooks_DS.pdf" TargetMode="External"/><Relationship Id="rId10" Type="http://schemas.openxmlformats.org/officeDocument/2006/relationships/hyperlink" Target="4.ACCESSORIES%2019''/TDS/GTN%20PLINTH%20W600-W800_DS.pdf" TargetMode="External"/><Relationship Id="rId19" Type="http://schemas.openxmlformats.org/officeDocument/2006/relationships/hyperlink" Target="4.ACCESSORIES%2019''/TDS/2%20POINT%20CONNECTED%20RACK%20MOUNT%20SHELVES%20-Accessory_DS.pdf" TargetMode="External"/><Relationship Id="rId4" Type="http://schemas.openxmlformats.org/officeDocument/2006/relationships/hyperlink" Target="4.ACCESSORIES%2019''/TDS/MR.HRK55.XX_YK_DS.pdf" TargetMode="External"/><Relationship Id="rId9" Type="http://schemas.openxmlformats.org/officeDocument/2006/relationships/hyperlink" Target="4.ACCESSORIES%2019''/TDS/GTN%20PLINTH%20W600-W800_DS.pdf" TargetMode="External"/><Relationship Id="rId14" Type="http://schemas.openxmlformats.org/officeDocument/2006/relationships/hyperlink" Target="4.ACCESSORIES%2019''/TDS/MR.PKV.XX_DS.pdf" TargetMode="External"/><Relationship Id="rId22" Type="http://schemas.openxmlformats.org/officeDocument/2006/relationships/hyperlink" Target="4.ACCESSORIES%2019''/TDS/CABLE%20TRAY_DS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80E6-CDBE-4862-90EB-6AC427B654E3}">
  <dimension ref="A1:E32"/>
  <sheetViews>
    <sheetView workbookViewId="0">
      <selection activeCell="E18" sqref="E18"/>
    </sheetView>
  </sheetViews>
  <sheetFormatPr baseColWidth="10" defaultRowHeight="15" x14ac:dyDescent="0.25"/>
  <cols>
    <col min="1" max="1" width="55" customWidth="1"/>
    <col min="2" max="2" width="10.85546875" bestFit="1" customWidth="1"/>
    <col min="3" max="5" width="18.5703125" customWidth="1"/>
  </cols>
  <sheetData>
    <row r="1" spans="1:5" x14ac:dyDescent="0.25">
      <c r="A1" s="11" t="s">
        <v>150</v>
      </c>
      <c r="C1" s="348" t="s">
        <v>447</v>
      </c>
      <c r="D1" s="348"/>
    </row>
    <row r="2" spans="1:5" x14ac:dyDescent="0.25">
      <c r="C2" s="72" t="s">
        <v>445</v>
      </c>
      <c r="D2" s="72" t="s">
        <v>446</v>
      </c>
      <c r="E2" s="72"/>
    </row>
    <row r="3" spans="1:5" x14ac:dyDescent="0.25">
      <c r="A3" t="s">
        <v>420</v>
      </c>
      <c r="B3" t="s">
        <v>436</v>
      </c>
      <c r="C3" s="72" t="s">
        <v>448</v>
      </c>
      <c r="D3" s="72" t="s">
        <v>457</v>
      </c>
      <c r="E3" s="72"/>
    </row>
    <row r="4" spans="1:5" x14ac:dyDescent="0.25">
      <c r="A4" t="s">
        <v>421</v>
      </c>
      <c r="B4" t="s">
        <v>437</v>
      </c>
      <c r="C4" s="72" t="s">
        <v>449</v>
      </c>
      <c r="D4" s="72" t="s">
        <v>458</v>
      </c>
      <c r="E4" s="72"/>
    </row>
    <row r="5" spans="1:5" x14ac:dyDescent="0.25">
      <c r="A5" t="s">
        <v>466</v>
      </c>
      <c r="B5" t="s">
        <v>467</v>
      </c>
      <c r="C5" s="72" t="s">
        <v>468</v>
      </c>
      <c r="D5" s="72" t="s">
        <v>469</v>
      </c>
      <c r="E5" s="72"/>
    </row>
    <row r="6" spans="1:5" x14ac:dyDescent="0.25">
      <c r="A6" t="s">
        <v>422</v>
      </c>
      <c r="B6" t="s">
        <v>438</v>
      </c>
      <c r="C6" s="72" t="s">
        <v>450</v>
      </c>
      <c r="D6" s="72" t="s">
        <v>459</v>
      </c>
      <c r="E6" s="72"/>
    </row>
    <row r="7" spans="1:5" x14ac:dyDescent="0.25">
      <c r="A7" s="71" t="s">
        <v>427</v>
      </c>
      <c r="B7" t="s">
        <v>439</v>
      </c>
      <c r="C7" s="72" t="s">
        <v>451</v>
      </c>
      <c r="D7" s="72" t="s">
        <v>462</v>
      </c>
      <c r="E7" s="72"/>
    </row>
    <row r="8" spans="1:5" x14ac:dyDescent="0.25">
      <c r="A8" s="73" t="s">
        <v>426</v>
      </c>
      <c r="B8" t="s">
        <v>440</v>
      </c>
      <c r="C8" s="72" t="s">
        <v>452</v>
      </c>
      <c r="D8" s="72" t="s">
        <v>463</v>
      </c>
      <c r="E8" s="72"/>
    </row>
    <row r="9" spans="1:5" x14ac:dyDescent="0.25">
      <c r="A9" s="71" t="s">
        <v>429</v>
      </c>
      <c r="B9" t="s">
        <v>441</v>
      </c>
      <c r="C9" s="72" t="s">
        <v>453</v>
      </c>
      <c r="D9" s="72" t="s">
        <v>460</v>
      </c>
      <c r="E9" s="72"/>
    </row>
    <row r="10" spans="1:5" x14ac:dyDescent="0.25">
      <c r="A10" s="71" t="s">
        <v>62</v>
      </c>
      <c r="B10" t="s">
        <v>443</v>
      </c>
      <c r="C10" s="72" t="s">
        <v>454</v>
      </c>
      <c r="D10" s="72" t="s">
        <v>464</v>
      </c>
      <c r="E10" s="72"/>
    </row>
    <row r="11" spans="1:5" x14ac:dyDescent="0.25">
      <c r="A11" s="71" t="s">
        <v>430</v>
      </c>
      <c r="B11" t="s">
        <v>442</v>
      </c>
      <c r="C11" s="72" t="s">
        <v>455</v>
      </c>
      <c r="D11" s="72" t="s">
        <v>461</v>
      </c>
      <c r="E11" s="72"/>
    </row>
    <row r="12" spans="1:5" x14ac:dyDescent="0.25">
      <c r="A12" s="71" t="s">
        <v>63</v>
      </c>
      <c r="B12" t="s">
        <v>444</v>
      </c>
      <c r="C12" s="72" t="s">
        <v>456</v>
      </c>
      <c r="D12" s="72" t="s">
        <v>465</v>
      </c>
      <c r="E12" s="72"/>
    </row>
    <row r="13" spans="1:5" x14ac:dyDescent="0.25">
      <c r="A13" s="71"/>
      <c r="C13" s="72"/>
      <c r="D13" s="72"/>
      <c r="E13" s="72"/>
    </row>
    <row r="14" spans="1:5" x14ac:dyDescent="0.25">
      <c r="A14" s="74" t="s">
        <v>415</v>
      </c>
      <c r="B14" t="s">
        <v>575</v>
      </c>
      <c r="C14" s="72"/>
      <c r="D14" s="72"/>
      <c r="E14" s="72"/>
    </row>
    <row r="15" spans="1:5" x14ac:dyDescent="0.25">
      <c r="A15" s="74" t="s">
        <v>418</v>
      </c>
      <c r="B15" t="s">
        <v>576</v>
      </c>
      <c r="C15" s="72"/>
      <c r="D15" s="72"/>
      <c r="E15" s="72"/>
    </row>
    <row r="16" spans="1:5" x14ac:dyDescent="0.25">
      <c r="A16" t="s">
        <v>416</v>
      </c>
      <c r="B16" t="s">
        <v>577</v>
      </c>
      <c r="C16" s="72"/>
      <c r="D16" s="72"/>
      <c r="E16" s="72"/>
    </row>
    <row r="17" spans="1:5" x14ac:dyDescent="0.25">
      <c r="A17" t="s">
        <v>417</v>
      </c>
      <c r="B17" t="s">
        <v>578</v>
      </c>
      <c r="C17" s="72"/>
      <c r="D17" s="72"/>
      <c r="E17" s="72"/>
    </row>
    <row r="18" spans="1:5" x14ac:dyDescent="0.25">
      <c r="A18" t="s">
        <v>424</v>
      </c>
      <c r="B18" t="s">
        <v>573</v>
      </c>
      <c r="C18" s="72" t="s">
        <v>569</v>
      </c>
      <c r="D18" s="72"/>
      <c r="E18" s="72"/>
    </row>
    <row r="19" spans="1:5" x14ac:dyDescent="0.25">
      <c r="A19" t="s">
        <v>425</v>
      </c>
      <c r="B19" t="s">
        <v>574</v>
      </c>
      <c r="C19" s="72" t="s">
        <v>572</v>
      </c>
      <c r="D19" s="72"/>
      <c r="E19" s="72"/>
    </row>
    <row r="21" spans="1:5" x14ac:dyDescent="0.25">
      <c r="A21" t="s">
        <v>431</v>
      </c>
    </row>
    <row r="22" spans="1:5" x14ac:dyDescent="0.25">
      <c r="A22" t="s">
        <v>432</v>
      </c>
    </row>
    <row r="23" spans="1:5" x14ac:dyDescent="0.25">
      <c r="A23" t="s">
        <v>433</v>
      </c>
    </row>
    <row r="24" spans="1:5" x14ac:dyDescent="0.25">
      <c r="A24" t="s">
        <v>434</v>
      </c>
    </row>
    <row r="25" spans="1:5" x14ac:dyDescent="0.25">
      <c r="A25" t="s">
        <v>435</v>
      </c>
    </row>
    <row r="26" spans="1:5" x14ac:dyDescent="0.25">
      <c r="A26" t="s">
        <v>475</v>
      </c>
    </row>
    <row r="28" spans="1:5" x14ac:dyDescent="0.25">
      <c r="A28" s="11" t="s">
        <v>470</v>
      </c>
    </row>
    <row r="29" spans="1:5" x14ac:dyDescent="0.25">
      <c r="A29" t="s">
        <v>471</v>
      </c>
      <c r="B29" t="s">
        <v>472</v>
      </c>
    </row>
    <row r="30" spans="1:5" x14ac:dyDescent="0.25">
      <c r="A30" t="s">
        <v>473</v>
      </c>
      <c r="B30" t="s">
        <v>474</v>
      </c>
    </row>
    <row r="31" spans="1:5" x14ac:dyDescent="0.25">
      <c r="A31" t="s">
        <v>1046</v>
      </c>
      <c r="B31" t="s">
        <v>978</v>
      </c>
    </row>
    <row r="32" spans="1:5" x14ac:dyDescent="0.25">
      <c r="A32" t="s">
        <v>991</v>
      </c>
      <c r="B32" t="s">
        <v>992</v>
      </c>
      <c r="C32" t="s">
        <v>993</v>
      </c>
    </row>
  </sheetData>
  <mergeCells count="1">
    <mergeCell ref="C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6A4F-0D16-4D49-B451-964A754BF411}">
  <dimension ref="A1:AE113"/>
  <sheetViews>
    <sheetView zoomScale="80" zoomScaleNormal="80" workbookViewId="0">
      <pane ySplit="5" topLeftCell="A6" activePane="bottomLeft" state="frozen"/>
      <selection pane="bottomLeft" activeCell="R30" sqref="R30"/>
    </sheetView>
  </sheetViews>
  <sheetFormatPr baseColWidth="10" defaultRowHeight="15" x14ac:dyDescent="0.25"/>
  <cols>
    <col min="1" max="1" width="31.85546875" bestFit="1" customWidth="1"/>
    <col min="2" max="2" width="18.5703125" style="216" bestFit="1" customWidth="1"/>
    <col min="3" max="3" width="16.5703125" style="213" bestFit="1" customWidth="1"/>
    <col min="4" max="4" width="29" customWidth="1"/>
    <col min="5" max="5" width="43.28515625" customWidth="1"/>
    <col min="6" max="6" width="13.5703125" hidden="1" customWidth="1"/>
    <col min="7" max="7" width="11.5703125" hidden="1" customWidth="1"/>
    <col min="8" max="10" width="11.140625" style="10" hidden="1" customWidth="1"/>
    <col min="11" max="11" width="11.140625" style="10" bestFit="1" customWidth="1"/>
    <col min="12" max="12" width="11.140625" style="156" bestFit="1" customWidth="1"/>
    <col min="13" max="13" width="2.140625" style="156" customWidth="1"/>
    <col min="14" max="14" width="17.85546875" style="72" bestFit="1" customWidth="1"/>
    <col min="15" max="15" width="19.140625" style="72" bestFit="1" customWidth="1"/>
    <col min="16" max="16" width="1.5703125" customWidth="1"/>
    <col min="17" max="17" width="18.42578125" bestFit="1" customWidth="1"/>
    <col min="18" max="18" width="18.42578125" customWidth="1"/>
    <col min="19" max="19" width="4.28515625" customWidth="1"/>
    <col min="20" max="20" width="19.42578125" customWidth="1"/>
    <col min="21" max="21" width="6.42578125" style="75" bestFit="1" customWidth="1"/>
    <col min="22" max="22" width="4.42578125" customWidth="1"/>
    <col min="23" max="25" width="6.5703125" customWidth="1"/>
  </cols>
  <sheetData>
    <row r="1" spans="1:25" x14ac:dyDescent="0.25">
      <c r="A1" s="117" t="s">
        <v>936</v>
      </c>
      <c r="H1" s="119"/>
      <c r="I1" s="119"/>
      <c r="J1" s="119"/>
      <c r="K1" s="11" t="s">
        <v>27</v>
      </c>
      <c r="L1" s="75"/>
      <c r="M1" s="120"/>
      <c r="N1" s="260">
        <v>1</v>
      </c>
      <c r="O1" s="260">
        <f>+N1</f>
        <v>1</v>
      </c>
      <c r="P1" s="11"/>
      <c r="Q1" s="2">
        <v>0.94</v>
      </c>
      <c r="R1" s="2">
        <f>Q1</f>
        <v>0.94</v>
      </c>
      <c r="S1" s="11"/>
    </row>
    <row r="2" spans="1:25" x14ac:dyDescent="0.25">
      <c r="H2" s="119"/>
      <c r="I2" s="119"/>
      <c r="J2" s="119"/>
      <c r="K2" s="11" t="s">
        <v>28</v>
      </c>
      <c r="L2" s="75" t="s">
        <v>1202</v>
      </c>
      <c r="M2" s="120"/>
      <c r="N2" s="260">
        <v>1.1664000000000001</v>
      </c>
      <c r="O2" s="260">
        <f>+N2</f>
        <v>1.1664000000000001</v>
      </c>
      <c r="P2" s="11"/>
      <c r="Q2" s="11"/>
      <c r="R2" s="11"/>
      <c r="S2" s="11"/>
    </row>
    <row r="3" spans="1:25" ht="6" customHeight="1" x14ac:dyDescent="0.25">
      <c r="N3" s="260"/>
      <c r="O3" s="260"/>
      <c r="P3" s="11"/>
      <c r="Q3" s="11"/>
      <c r="R3" s="11"/>
      <c r="S3" s="11"/>
    </row>
    <row r="4" spans="1:25" x14ac:dyDescent="0.25">
      <c r="F4" s="1"/>
      <c r="G4" s="1"/>
      <c r="H4" s="120"/>
      <c r="I4" s="120"/>
      <c r="J4" s="120"/>
      <c r="K4" s="120"/>
      <c r="L4" s="120" t="s">
        <v>1203</v>
      </c>
      <c r="M4" s="120"/>
      <c r="N4" s="75" t="s">
        <v>1200</v>
      </c>
      <c r="O4" s="75" t="s">
        <v>1201</v>
      </c>
      <c r="P4" s="11"/>
      <c r="Q4" s="75" t="s">
        <v>1200</v>
      </c>
      <c r="R4" s="75" t="s">
        <v>1201</v>
      </c>
      <c r="S4" s="11"/>
      <c r="T4" s="17" t="s">
        <v>29</v>
      </c>
    </row>
    <row r="5" spans="1:25" x14ac:dyDescent="0.25">
      <c r="G5" s="97">
        <v>45826</v>
      </c>
      <c r="H5" s="123">
        <v>45859</v>
      </c>
      <c r="I5" s="123">
        <v>45863</v>
      </c>
      <c r="J5" s="123">
        <v>45863</v>
      </c>
      <c r="K5" s="123">
        <v>45869</v>
      </c>
      <c r="L5" s="123">
        <v>45971</v>
      </c>
      <c r="M5" s="123"/>
    </row>
    <row r="6" spans="1:25" x14ac:dyDescent="0.25">
      <c r="A6" s="76" t="s">
        <v>410</v>
      </c>
      <c r="B6" s="212" t="s">
        <v>600</v>
      </c>
      <c r="C6" s="212" t="s">
        <v>482</v>
      </c>
      <c r="D6" s="76" t="s">
        <v>1</v>
      </c>
      <c r="E6" s="76" t="s">
        <v>419</v>
      </c>
      <c r="F6" s="76" t="s">
        <v>2</v>
      </c>
      <c r="G6" s="76" t="s">
        <v>2</v>
      </c>
      <c r="H6" s="118" t="s">
        <v>2</v>
      </c>
      <c r="I6" s="118" t="s">
        <v>2</v>
      </c>
      <c r="J6" s="118" t="s">
        <v>935</v>
      </c>
      <c r="K6" s="118" t="s">
        <v>2</v>
      </c>
      <c r="L6" s="118" t="s">
        <v>2</v>
      </c>
      <c r="M6" s="155"/>
      <c r="N6" s="76" t="s">
        <v>57</v>
      </c>
      <c r="O6" s="76" t="s">
        <v>57</v>
      </c>
      <c r="Q6" s="76" t="s">
        <v>58</v>
      </c>
      <c r="R6" s="76" t="s">
        <v>58</v>
      </c>
      <c r="T6" s="76" t="s">
        <v>30</v>
      </c>
    </row>
    <row r="7" spans="1:25" x14ac:dyDescent="0.25">
      <c r="A7" s="74" t="s">
        <v>476</v>
      </c>
      <c r="B7" s="217" t="s">
        <v>546</v>
      </c>
      <c r="C7" s="215" t="s">
        <v>579</v>
      </c>
      <c r="D7" s="74" t="s">
        <v>4</v>
      </c>
      <c r="E7" t="s">
        <v>420</v>
      </c>
      <c r="F7" s="84">
        <v>0</v>
      </c>
      <c r="G7" s="83">
        <v>153.4</v>
      </c>
      <c r="H7" s="121">
        <v>152.9</v>
      </c>
      <c r="I7" s="121">
        <v>152.9</v>
      </c>
      <c r="J7" s="153">
        <v>143</v>
      </c>
      <c r="K7" s="121">
        <v>145</v>
      </c>
      <c r="L7" s="259" t="s">
        <v>265</v>
      </c>
      <c r="M7" s="158"/>
      <c r="N7" s="261">
        <f>(K7*N$1)/N$2</f>
        <v>124.31412894375856</v>
      </c>
      <c r="O7" s="261" t="s">
        <v>265</v>
      </c>
      <c r="Q7" s="338">
        <f>(N7/Q$1)</f>
        <v>132.249073344424</v>
      </c>
      <c r="R7" s="264" t="s">
        <v>265</v>
      </c>
      <c r="T7" s="80"/>
      <c r="U7" s="81"/>
      <c r="W7" s="82">
        <f>Q7/0.8</f>
        <v>165.31134168053001</v>
      </c>
      <c r="X7" s="82">
        <f t="shared" ref="X7:X77" si="0">Q7/0.85</f>
        <v>155.58714511108707</v>
      </c>
      <c r="Y7" s="82">
        <f t="shared" ref="Y7:Y77" si="1">Q7/0.9</f>
        <v>146.94341482713779</v>
      </c>
    </row>
    <row r="8" spans="1:25" x14ac:dyDescent="0.25">
      <c r="A8" s="74" t="s">
        <v>477</v>
      </c>
      <c r="B8" s="217" t="s">
        <v>547</v>
      </c>
      <c r="C8" s="215" t="s">
        <v>580</v>
      </c>
      <c r="D8" s="74" t="s">
        <v>6</v>
      </c>
      <c r="E8" t="s">
        <v>420</v>
      </c>
      <c r="F8" s="84">
        <v>0</v>
      </c>
      <c r="G8" s="83">
        <v>163.4</v>
      </c>
      <c r="H8" s="121">
        <v>162.80000000000001</v>
      </c>
      <c r="I8" s="121">
        <v>162.80000000000001</v>
      </c>
      <c r="J8" s="153">
        <v>152</v>
      </c>
      <c r="K8" s="121">
        <v>155</v>
      </c>
      <c r="L8" s="259" t="s">
        <v>265</v>
      </c>
      <c r="M8" s="158"/>
      <c r="N8" s="261">
        <f t="shared" ref="N8:N12" si="2">(K8*N$1)/N$2</f>
        <v>132.88751714677639</v>
      </c>
      <c r="O8" s="261" t="s">
        <v>265</v>
      </c>
      <c r="Q8" s="338">
        <f t="shared" ref="Q8:Q12" si="3">(N8/Q$1)</f>
        <v>141.36969909231533</v>
      </c>
      <c r="R8" s="264" t="s">
        <v>265</v>
      </c>
      <c r="S8">
        <v>195</v>
      </c>
      <c r="T8" s="80">
        <v>158</v>
      </c>
      <c r="U8" s="96">
        <f>(K8-T8)/T8</f>
        <v>-1.8987341772151899E-2</v>
      </c>
      <c r="W8" s="82">
        <f t="shared" ref="W8:W77" si="4">Q8/0.8</f>
        <v>176.71212386539415</v>
      </c>
      <c r="X8" s="82">
        <f t="shared" si="0"/>
        <v>166.31729304978273</v>
      </c>
      <c r="Y8" s="82">
        <f t="shared" si="1"/>
        <v>157.07744343590591</v>
      </c>
    </row>
    <row r="9" spans="1:25" x14ac:dyDescent="0.25">
      <c r="A9" s="74" t="s">
        <v>478</v>
      </c>
      <c r="B9" s="217" t="s">
        <v>548</v>
      </c>
      <c r="C9" s="215" t="s">
        <v>581</v>
      </c>
      <c r="D9" s="74" t="s">
        <v>8</v>
      </c>
      <c r="E9" t="s">
        <v>420</v>
      </c>
      <c r="F9" s="84">
        <v>0</v>
      </c>
      <c r="G9" s="83">
        <v>173.4</v>
      </c>
      <c r="H9" s="121">
        <v>172.6</v>
      </c>
      <c r="I9" s="121">
        <v>172.6</v>
      </c>
      <c r="J9" s="153">
        <v>161</v>
      </c>
      <c r="K9" s="121">
        <v>165</v>
      </c>
      <c r="L9" s="259" t="s">
        <v>265</v>
      </c>
      <c r="M9" s="158"/>
      <c r="N9" s="261">
        <f t="shared" si="2"/>
        <v>141.46090534979422</v>
      </c>
      <c r="O9" s="261" t="s">
        <v>265</v>
      </c>
      <c r="Q9" s="338">
        <f>(N9/Q$1)</f>
        <v>150.49032484020663</v>
      </c>
      <c r="R9" s="264" t="s">
        <v>265</v>
      </c>
      <c r="S9">
        <v>202</v>
      </c>
      <c r="T9" s="80">
        <v>165</v>
      </c>
      <c r="U9" s="81">
        <f>(K9-T9)/T9</f>
        <v>0</v>
      </c>
      <c r="W9" s="82">
        <f t="shared" si="4"/>
        <v>188.11290605025826</v>
      </c>
      <c r="X9" s="82">
        <f t="shared" si="0"/>
        <v>177.0474409884784</v>
      </c>
      <c r="Y9" s="82">
        <f t="shared" si="1"/>
        <v>167.21147204467403</v>
      </c>
    </row>
    <row r="10" spans="1:25" x14ac:dyDescent="0.25">
      <c r="A10" s="74" t="s">
        <v>479</v>
      </c>
      <c r="B10" s="217" t="s">
        <v>549</v>
      </c>
      <c r="C10" s="215" t="s">
        <v>582</v>
      </c>
      <c r="D10" s="74" t="s">
        <v>10</v>
      </c>
      <c r="E10" t="s">
        <v>420</v>
      </c>
      <c r="F10" s="84">
        <v>0</v>
      </c>
      <c r="G10" s="83">
        <v>188.4</v>
      </c>
      <c r="H10" s="121">
        <v>187.3</v>
      </c>
      <c r="I10" s="121">
        <v>187.3</v>
      </c>
      <c r="J10" s="153">
        <v>174</v>
      </c>
      <c r="K10" s="121">
        <v>180</v>
      </c>
      <c r="L10" s="259" t="s">
        <v>265</v>
      </c>
      <c r="M10" s="158"/>
      <c r="N10" s="261">
        <f t="shared" si="2"/>
        <v>154.32098765432099</v>
      </c>
      <c r="O10" s="261" t="s">
        <v>265</v>
      </c>
      <c r="Q10" s="338">
        <f>(N10/Q$1)</f>
        <v>164.17126346204361</v>
      </c>
      <c r="R10" s="264" t="s">
        <v>265</v>
      </c>
      <c r="T10" s="80"/>
      <c r="U10" s="81"/>
      <c r="W10" s="82">
        <f t="shared" si="4"/>
        <v>205.21407932755451</v>
      </c>
      <c r="X10" s="82">
        <f t="shared" si="0"/>
        <v>193.1426628965219</v>
      </c>
      <c r="Y10" s="82">
        <f t="shared" si="1"/>
        <v>182.41251495782623</v>
      </c>
    </row>
    <row r="11" spans="1:25" s="108" customFormat="1" x14ac:dyDescent="0.25">
      <c r="A11" s="107" t="s">
        <v>480</v>
      </c>
      <c r="B11" s="217" t="s">
        <v>550</v>
      </c>
      <c r="C11" s="215" t="s">
        <v>583</v>
      </c>
      <c r="D11" s="107" t="s">
        <v>12</v>
      </c>
      <c r="E11" s="108" t="s">
        <v>420</v>
      </c>
      <c r="F11" s="94">
        <v>0</v>
      </c>
      <c r="G11" s="94">
        <v>233.4</v>
      </c>
      <c r="H11" s="122">
        <v>233.4</v>
      </c>
      <c r="I11" s="122">
        <v>233.4</v>
      </c>
      <c r="J11" s="154">
        <v>201</v>
      </c>
      <c r="K11" s="122">
        <v>215</v>
      </c>
      <c r="L11" s="259" t="s">
        <v>265</v>
      </c>
      <c r="M11" s="159"/>
      <c r="N11" s="262">
        <f t="shared" si="2"/>
        <v>184.32784636488338</v>
      </c>
      <c r="O11" s="261" t="s">
        <v>265</v>
      </c>
      <c r="Q11" s="339">
        <f t="shared" si="3"/>
        <v>196.09345357966319</v>
      </c>
      <c r="R11" s="264" t="s">
        <v>265</v>
      </c>
      <c r="S11" s="108">
        <v>252</v>
      </c>
      <c r="T11" s="95">
        <v>205</v>
      </c>
      <c r="U11" s="96">
        <f>(K11-T11)/T11</f>
        <v>4.878048780487805E-2</v>
      </c>
      <c r="W11" s="110">
        <f>Q11/0.8</f>
        <v>245.11681697457897</v>
      </c>
      <c r="X11" s="110">
        <f>Q11/0.85</f>
        <v>230.6981806819567</v>
      </c>
      <c r="Y11" s="110">
        <f>Q11/0.9</f>
        <v>217.88161508851465</v>
      </c>
    </row>
    <row r="12" spans="1:25" x14ac:dyDescent="0.25">
      <c r="A12" s="74" t="s">
        <v>481</v>
      </c>
      <c r="B12" s="217" t="s">
        <v>551</v>
      </c>
      <c r="C12" s="215" t="s">
        <v>584</v>
      </c>
      <c r="D12" s="74" t="s">
        <v>12</v>
      </c>
      <c r="E12" t="s">
        <v>421</v>
      </c>
      <c r="F12" s="84">
        <v>0</v>
      </c>
      <c r="G12" s="83">
        <v>182</v>
      </c>
      <c r="H12" s="121">
        <v>182</v>
      </c>
      <c r="I12" s="121">
        <v>182</v>
      </c>
      <c r="J12" s="153">
        <v>169</v>
      </c>
      <c r="K12" s="121">
        <v>169</v>
      </c>
      <c r="L12" s="259" t="s">
        <v>265</v>
      </c>
      <c r="M12" s="158"/>
      <c r="N12" s="261">
        <f t="shared" si="2"/>
        <v>144.89026063100135</v>
      </c>
      <c r="O12" s="261" t="s">
        <v>265</v>
      </c>
      <c r="Q12" s="338">
        <f t="shared" si="3"/>
        <v>154.13857513936316</v>
      </c>
      <c r="R12" s="264" t="s">
        <v>265</v>
      </c>
      <c r="T12" s="80"/>
      <c r="U12" s="81"/>
      <c r="W12" s="82">
        <f t="shared" si="4"/>
        <v>192.67321892420392</v>
      </c>
      <c r="X12" s="82">
        <f t="shared" si="0"/>
        <v>181.33950016395667</v>
      </c>
      <c r="Y12" s="82">
        <f t="shared" si="1"/>
        <v>171.26508348818129</v>
      </c>
    </row>
    <row r="13" spans="1:25" x14ac:dyDescent="0.25">
      <c r="A13" s="76" t="s">
        <v>410</v>
      </c>
      <c r="B13" s="212" t="s">
        <v>600</v>
      </c>
      <c r="C13" s="212" t="s">
        <v>482</v>
      </c>
      <c r="D13" s="76" t="s">
        <v>1</v>
      </c>
      <c r="E13" s="76" t="s">
        <v>419</v>
      </c>
      <c r="F13" s="76" t="s">
        <v>2</v>
      </c>
      <c r="G13" s="76" t="s">
        <v>2</v>
      </c>
      <c r="H13" s="118" t="s">
        <v>2</v>
      </c>
      <c r="I13" s="118" t="s">
        <v>2</v>
      </c>
      <c r="J13" s="118" t="s">
        <v>935</v>
      </c>
      <c r="K13" s="118" t="s">
        <v>2</v>
      </c>
      <c r="L13" s="118" t="s">
        <v>2</v>
      </c>
      <c r="M13" s="158"/>
      <c r="N13" s="76" t="s">
        <v>57</v>
      </c>
      <c r="O13" s="76" t="s">
        <v>57</v>
      </c>
      <c r="Q13" s="340" t="s">
        <v>58</v>
      </c>
      <c r="R13" s="76" t="s">
        <v>58</v>
      </c>
      <c r="T13" s="76" t="s">
        <v>30</v>
      </c>
      <c r="W13" s="82"/>
      <c r="X13" s="82"/>
      <c r="Y13" s="82"/>
    </row>
    <row r="14" spans="1:25" x14ac:dyDescent="0.25">
      <c r="A14" s="74" t="s">
        <v>483</v>
      </c>
      <c r="B14" s="217" t="s">
        <v>552</v>
      </c>
      <c r="C14" s="215" t="s">
        <v>585</v>
      </c>
      <c r="D14" s="74" t="s">
        <v>14</v>
      </c>
      <c r="E14" t="s">
        <v>420</v>
      </c>
      <c r="F14" s="84">
        <v>0</v>
      </c>
      <c r="G14" s="83">
        <v>173.4</v>
      </c>
      <c r="H14" s="121">
        <v>172.9</v>
      </c>
      <c r="I14" s="121">
        <v>172.9</v>
      </c>
      <c r="J14" s="153">
        <v>169</v>
      </c>
      <c r="K14" s="121">
        <v>170</v>
      </c>
      <c r="L14" s="259" t="s">
        <v>265</v>
      </c>
      <c r="M14" s="158"/>
      <c r="N14" s="261">
        <f t="shared" ref="N14:N17" si="5">(K14*N$1)/N$2</f>
        <v>145.74759945130313</v>
      </c>
      <c r="O14" s="261" t="s">
        <v>265</v>
      </c>
      <c r="Q14" s="338">
        <f t="shared" ref="Q14:Q80" si="6">(N14/Q$1)</f>
        <v>155.05063771415229</v>
      </c>
      <c r="R14" s="264" t="s">
        <v>265</v>
      </c>
      <c r="T14" s="93"/>
      <c r="W14" s="82">
        <f t="shared" si="4"/>
        <v>193.81329714269035</v>
      </c>
      <c r="X14" s="82">
        <f t="shared" si="0"/>
        <v>182.41251495782623</v>
      </c>
      <c r="Y14" s="82">
        <f t="shared" si="1"/>
        <v>172.27848634905808</v>
      </c>
    </row>
    <row r="15" spans="1:25" x14ac:dyDescent="0.25">
      <c r="A15" s="74" t="s">
        <v>484</v>
      </c>
      <c r="B15" s="217" t="s">
        <v>553</v>
      </c>
      <c r="C15" s="215" t="s">
        <v>587</v>
      </c>
      <c r="D15" s="74" t="s">
        <v>413</v>
      </c>
      <c r="E15" t="s">
        <v>420</v>
      </c>
      <c r="F15" s="84">
        <v>0</v>
      </c>
      <c r="G15" s="83">
        <v>184.7</v>
      </c>
      <c r="H15" s="121">
        <v>184.1</v>
      </c>
      <c r="I15" s="121">
        <v>184.1</v>
      </c>
      <c r="J15" s="153">
        <v>180</v>
      </c>
      <c r="K15" s="121">
        <v>180</v>
      </c>
      <c r="L15" s="259" t="s">
        <v>265</v>
      </c>
      <c r="M15" s="158"/>
      <c r="N15" s="261">
        <f t="shared" si="5"/>
        <v>154.32098765432099</v>
      </c>
      <c r="O15" s="261" t="s">
        <v>265</v>
      </c>
      <c r="Q15" s="338">
        <f t="shared" si="6"/>
        <v>164.17126346204361</v>
      </c>
      <c r="R15" s="264" t="s">
        <v>265</v>
      </c>
      <c r="T15" s="93"/>
      <c r="W15" s="82">
        <f t="shared" si="4"/>
        <v>205.21407932755451</v>
      </c>
      <c r="X15" s="82">
        <f t="shared" si="0"/>
        <v>193.1426628965219</v>
      </c>
      <c r="Y15" s="82">
        <f t="shared" si="1"/>
        <v>182.41251495782623</v>
      </c>
    </row>
    <row r="16" spans="1:25" x14ac:dyDescent="0.25">
      <c r="A16" s="74" t="s">
        <v>485</v>
      </c>
      <c r="B16" s="217" t="s">
        <v>554</v>
      </c>
      <c r="C16" s="215" t="s">
        <v>586</v>
      </c>
      <c r="D16" s="74" t="s">
        <v>16</v>
      </c>
      <c r="E16" t="s">
        <v>420</v>
      </c>
      <c r="F16" s="84">
        <v>0</v>
      </c>
      <c r="G16" s="83">
        <v>193.4</v>
      </c>
      <c r="H16" s="121">
        <v>192.6</v>
      </c>
      <c r="I16" s="121">
        <v>192.6</v>
      </c>
      <c r="J16" s="153">
        <v>187</v>
      </c>
      <c r="K16" s="121">
        <v>187</v>
      </c>
      <c r="L16" s="259" t="s">
        <v>265</v>
      </c>
      <c r="M16" s="158"/>
      <c r="N16" s="261">
        <f t="shared" si="5"/>
        <v>160.32235939643346</v>
      </c>
      <c r="O16" s="261" t="s">
        <v>265</v>
      </c>
      <c r="Q16" s="338">
        <f t="shared" si="6"/>
        <v>170.55570148556751</v>
      </c>
      <c r="R16" s="264" t="s">
        <v>265</v>
      </c>
      <c r="T16" s="93"/>
      <c r="W16" s="82">
        <f t="shared" si="4"/>
        <v>213.19462685695939</v>
      </c>
      <c r="X16" s="82">
        <f t="shared" si="0"/>
        <v>200.65376645360885</v>
      </c>
      <c r="Y16" s="82">
        <f t="shared" si="1"/>
        <v>189.50633498396391</v>
      </c>
    </row>
    <row r="17" spans="1:25" x14ac:dyDescent="0.25">
      <c r="A17" s="74" t="s">
        <v>486</v>
      </c>
      <c r="B17" s="217" t="s">
        <v>555</v>
      </c>
      <c r="C17" s="215" t="s">
        <v>588</v>
      </c>
      <c r="D17" s="74" t="s">
        <v>414</v>
      </c>
      <c r="E17" t="s">
        <v>420</v>
      </c>
      <c r="F17" s="84">
        <v>0</v>
      </c>
      <c r="G17" s="83">
        <v>210.1</v>
      </c>
      <c r="H17" s="121">
        <v>209</v>
      </c>
      <c r="I17" s="121">
        <v>209</v>
      </c>
      <c r="J17" s="153">
        <v>204</v>
      </c>
      <c r="K17" s="121">
        <v>205</v>
      </c>
      <c r="L17" s="259" t="s">
        <v>265</v>
      </c>
      <c r="M17" s="158"/>
      <c r="N17" s="261">
        <f t="shared" si="5"/>
        <v>175.75445816186556</v>
      </c>
      <c r="O17" s="261" t="s">
        <v>265</v>
      </c>
      <c r="Q17" s="338">
        <f t="shared" si="6"/>
        <v>186.97282783177187</v>
      </c>
      <c r="R17" s="264" t="s">
        <v>265</v>
      </c>
      <c r="T17" s="93"/>
      <c r="W17" s="82">
        <f t="shared" si="4"/>
        <v>233.71603478971483</v>
      </c>
      <c r="X17" s="82">
        <f t="shared" si="0"/>
        <v>219.96803274326103</v>
      </c>
      <c r="Y17" s="82">
        <f t="shared" si="1"/>
        <v>207.7475864797465</v>
      </c>
    </row>
    <row r="18" spans="1:25" s="108" customFormat="1" x14ac:dyDescent="0.25">
      <c r="A18" s="107" t="s">
        <v>487</v>
      </c>
      <c r="B18" s="217" t="s">
        <v>556</v>
      </c>
      <c r="C18" s="215" t="s">
        <v>589</v>
      </c>
      <c r="D18" s="107" t="s">
        <v>18</v>
      </c>
      <c r="E18" s="108" t="s">
        <v>420</v>
      </c>
      <c r="F18" s="94">
        <v>0</v>
      </c>
      <c r="G18" s="94">
        <v>238.4</v>
      </c>
      <c r="H18" s="122">
        <v>237.1</v>
      </c>
      <c r="I18" s="122">
        <v>237.1</v>
      </c>
      <c r="J18" s="154">
        <v>227</v>
      </c>
      <c r="K18" s="122">
        <v>230</v>
      </c>
      <c r="L18" s="259" t="s">
        <v>265</v>
      </c>
      <c r="M18" s="159"/>
      <c r="N18" s="262">
        <f>(K18*N$1)/N$2</f>
        <v>197.18792866941013</v>
      </c>
      <c r="O18" s="262" t="s">
        <v>265</v>
      </c>
      <c r="Q18" s="339">
        <f>(N18/Q$1)</f>
        <v>209.77439220150015</v>
      </c>
      <c r="R18" s="265" t="s">
        <v>265</v>
      </c>
      <c r="S18" s="108">
        <v>288</v>
      </c>
      <c r="T18" s="95">
        <v>232</v>
      </c>
      <c r="U18" s="96">
        <f>(K18-T18)/T18</f>
        <v>-8.6206896551724137E-3</v>
      </c>
      <c r="W18" s="110">
        <f t="shared" si="4"/>
        <v>262.21799025187516</v>
      </c>
      <c r="X18" s="110">
        <f t="shared" si="0"/>
        <v>246.79340259000017</v>
      </c>
      <c r="Y18" s="110">
        <f t="shared" si="1"/>
        <v>233.08265800166683</v>
      </c>
    </row>
    <row r="19" spans="1:25" x14ac:dyDescent="0.25">
      <c r="A19" s="74" t="s">
        <v>488</v>
      </c>
      <c r="B19" s="217" t="s">
        <v>557</v>
      </c>
      <c r="C19" s="215" t="s">
        <v>590</v>
      </c>
      <c r="D19" s="74" t="s">
        <v>18</v>
      </c>
      <c r="E19" t="s">
        <v>421</v>
      </c>
      <c r="F19" s="84">
        <v>0</v>
      </c>
      <c r="G19" s="83">
        <v>187</v>
      </c>
      <c r="H19" s="121">
        <v>187</v>
      </c>
      <c r="I19" s="121">
        <v>187</v>
      </c>
      <c r="J19" s="153">
        <v>180</v>
      </c>
      <c r="K19" s="121">
        <v>180</v>
      </c>
      <c r="L19" s="259" t="s">
        <v>265</v>
      </c>
      <c r="M19" s="158"/>
      <c r="N19" s="261">
        <f>(K19*N$1)/N$2</f>
        <v>154.32098765432099</v>
      </c>
      <c r="O19" s="261" t="s">
        <v>265</v>
      </c>
      <c r="Q19" s="338">
        <f t="shared" si="6"/>
        <v>164.17126346204361</v>
      </c>
      <c r="R19" s="264" t="s">
        <v>265</v>
      </c>
      <c r="T19" s="93"/>
      <c r="W19" s="82">
        <f t="shared" si="4"/>
        <v>205.21407932755451</v>
      </c>
      <c r="X19" s="82">
        <f t="shared" si="0"/>
        <v>193.1426628965219</v>
      </c>
      <c r="Y19" s="82">
        <f t="shared" si="1"/>
        <v>182.41251495782623</v>
      </c>
    </row>
    <row r="20" spans="1:25" x14ac:dyDescent="0.25">
      <c r="A20" s="76" t="s">
        <v>410</v>
      </c>
      <c r="B20" s="212" t="s">
        <v>600</v>
      </c>
      <c r="C20" s="212" t="s">
        <v>482</v>
      </c>
      <c r="D20" s="76" t="s">
        <v>1</v>
      </c>
      <c r="E20" s="76" t="s">
        <v>419</v>
      </c>
      <c r="F20" s="76" t="s">
        <v>2</v>
      </c>
      <c r="G20" s="76" t="s">
        <v>2</v>
      </c>
      <c r="H20" s="76" t="s">
        <v>2</v>
      </c>
      <c r="I20" s="76" t="s">
        <v>2</v>
      </c>
      <c r="J20" s="118" t="s">
        <v>935</v>
      </c>
      <c r="K20" s="76" t="s">
        <v>2</v>
      </c>
      <c r="L20" s="76" t="s">
        <v>2</v>
      </c>
      <c r="M20" s="158"/>
      <c r="N20" s="76" t="s">
        <v>57</v>
      </c>
      <c r="O20" s="76" t="s">
        <v>57</v>
      </c>
      <c r="Q20" s="340" t="s">
        <v>58</v>
      </c>
      <c r="R20" s="76" t="s">
        <v>58</v>
      </c>
      <c r="T20" s="76" t="s">
        <v>30</v>
      </c>
      <c r="W20" s="82"/>
      <c r="X20" s="82"/>
      <c r="Y20" s="82"/>
    </row>
    <row r="21" spans="1:25" x14ac:dyDescent="0.25">
      <c r="A21" s="74" t="s">
        <v>489</v>
      </c>
      <c r="B21" s="217" t="s">
        <v>558</v>
      </c>
      <c r="C21" s="215" t="s">
        <v>591</v>
      </c>
      <c r="D21" s="74" t="s">
        <v>20</v>
      </c>
      <c r="E21" t="s">
        <v>420</v>
      </c>
      <c r="F21" s="84">
        <v>0</v>
      </c>
      <c r="G21" s="83">
        <v>278.39999999999998</v>
      </c>
      <c r="H21" s="121">
        <v>277.10000000000002</v>
      </c>
      <c r="I21" s="121">
        <v>277.10000000000002</v>
      </c>
      <c r="J21" s="153">
        <v>275</v>
      </c>
      <c r="K21" s="121">
        <v>275</v>
      </c>
      <c r="L21" s="259" t="s">
        <v>265</v>
      </c>
      <c r="M21" s="158"/>
      <c r="N21" s="261">
        <f>(K21*N$1)/N$2</f>
        <v>235.76817558299038</v>
      </c>
      <c r="O21" s="261" t="s">
        <v>265</v>
      </c>
      <c r="Q21" s="338">
        <f t="shared" si="6"/>
        <v>250.81720806701105</v>
      </c>
      <c r="R21" s="264" t="s">
        <v>265</v>
      </c>
      <c r="T21" s="93"/>
      <c r="W21" s="82">
        <f t="shared" si="4"/>
        <v>313.52151008376381</v>
      </c>
      <c r="X21" s="82">
        <f t="shared" si="0"/>
        <v>295.07906831413067</v>
      </c>
      <c r="Y21" s="82">
        <f t="shared" si="1"/>
        <v>278.68578674112337</v>
      </c>
    </row>
    <row r="22" spans="1:25" x14ac:dyDescent="0.25">
      <c r="A22" s="76" t="s">
        <v>410</v>
      </c>
      <c r="B22" s="212" t="s">
        <v>600</v>
      </c>
      <c r="C22" s="212" t="s">
        <v>482</v>
      </c>
      <c r="D22" s="76" t="s">
        <v>1</v>
      </c>
      <c r="E22" s="76" t="s">
        <v>419</v>
      </c>
      <c r="F22" s="76" t="s">
        <v>2</v>
      </c>
      <c r="G22" s="76" t="s">
        <v>2</v>
      </c>
      <c r="H22" s="76" t="s">
        <v>2</v>
      </c>
      <c r="I22" s="76" t="s">
        <v>2</v>
      </c>
      <c r="J22" s="118" t="s">
        <v>935</v>
      </c>
      <c r="K22" s="76" t="s">
        <v>2</v>
      </c>
      <c r="L22" s="336">
        <v>46083</v>
      </c>
      <c r="M22" s="158"/>
      <c r="N22" s="76" t="s">
        <v>57</v>
      </c>
      <c r="O22" s="76" t="s">
        <v>57</v>
      </c>
      <c r="Q22" s="76" t="s">
        <v>58</v>
      </c>
      <c r="R22" s="76" t="s">
        <v>58</v>
      </c>
      <c r="T22" s="76" t="s">
        <v>30</v>
      </c>
      <c r="W22" s="82"/>
      <c r="X22" s="82"/>
      <c r="Y22" s="82"/>
    </row>
    <row r="23" spans="1:25" s="11" customFormat="1" x14ac:dyDescent="0.25">
      <c r="A23" s="320" t="s">
        <v>1310</v>
      </c>
      <c r="B23" s="217" t="s">
        <v>1319</v>
      </c>
      <c r="C23" s="215"/>
      <c r="D23" s="320" t="s">
        <v>1325</v>
      </c>
      <c r="E23" s="11" t="s">
        <v>420</v>
      </c>
      <c r="F23" s="83"/>
      <c r="G23" s="83"/>
      <c r="H23" s="121"/>
      <c r="I23" s="121"/>
      <c r="J23" s="153"/>
      <c r="K23" s="121"/>
      <c r="L23" s="337">
        <v>234</v>
      </c>
      <c r="M23" s="158"/>
      <c r="N23" s="261"/>
      <c r="O23" s="261">
        <f>(L23*O$1)/O$2</f>
        <v>200.61728395061726</v>
      </c>
      <c r="Q23" s="176"/>
      <c r="R23" s="338">
        <f t="shared" ref="R23:R25" si="7">O23/R$1</f>
        <v>213.42264250065668</v>
      </c>
      <c r="T23" s="321"/>
      <c r="U23" s="75"/>
      <c r="W23" s="322"/>
      <c r="X23" s="322"/>
      <c r="Y23" s="322"/>
    </row>
    <row r="24" spans="1:25" s="11" customFormat="1" x14ac:dyDescent="0.25">
      <c r="A24" s="320" t="s">
        <v>1308</v>
      </c>
      <c r="B24" s="217" t="s">
        <v>1317</v>
      </c>
      <c r="C24" s="215"/>
      <c r="D24" s="320" t="s">
        <v>1323</v>
      </c>
      <c r="E24" s="11" t="s">
        <v>420</v>
      </c>
      <c r="F24" s="83"/>
      <c r="G24" s="83"/>
      <c r="H24" s="121"/>
      <c r="I24" s="121"/>
      <c r="J24" s="153"/>
      <c r="K24" s="121"/>
      <c r="L24" s="337">
        <v>245</v>
      </c>
      <c r="M24" s="158"/>
      <c r="N24" s="261"/>
      <c r="O24" s="261">
        <f t="shared" ref="O24:O25" si="8">(L24*O$1)/O$2</f>
        <v>210.04801097393687</v>
      </c>
      <c r="Q24" s="176"/>
      <c r="R24" s="338">
        <f t="shared" si="7"/>
        <v>223.45533082333711</v>
      </c>
      <c r="T24" s="321"/>
      <c r="U24" s="75"/>
      <c r="W24" s="322"/>
      <c r="X24" s="322"/>
      <c r="Y24" s="322"/>
    </row>
    <row r="25" spans="1:25" s="11" customFormat="1" x14ac:dyDescent="0.25">
      <c r="A25" s="320" t="s">
        <v>1311</v>
      </c>
      <c r="B25" s="217" t="s">
        <v>1320</v>
      </c>
      <c r="C25" s="215"/>
      <c r="D25" s="320" t="s">
        <v>1326</v>
      </c>
      <c r="E25" s="11" t="s">
        <v>420</v>
      </c>
      <c r="F25" s="83"/>
      <c r="G25" s="83"/>
      <c r="H25" s="121"/>
      <c r="I25" s="121"/>
      <c r="J25" s="153"/>
      <c r="K25" s="121"/>
      <c r="L25" s="337">
        <v>271</v>
      </c>
      <c r="M25" s="158"/>
      <c r="N25" s="261"/>
      <c r="O25" s="261">
        <f t="shared" si="8"/>
        <v>232.33882030178324</v>
      </c>
      <c r="Q25" s="176"/>
      <c r="R25" s="338">
        <f t="shared" si="7"/>
        <v>247.16895776785452</v>
      </c>
      <c r="T25" s="321"/>
      <c r="U25" s="75"/>
      <c r="W25" s="322"/>
      <c r="X25" s="322"/>
      <c r="Y25" s="322"/>
    </row>
    <row r="26" spans="1:25" s="11" customFormat="1" x14ac:dyDescent="0.25">
      <c r="A26" s="320" t="s">
        <v>1304</v>
      </c>
      <c r="B26" s="217" t="s">
        <v>1312</v>
      </c>
      <c r="C26" s="215"/>
      <c r="D26" s="320" t="s">
        <v>1313</v>
      </c>
      <c r="E26" s="11" t="s">
        <v>420</v>
      </c>
      <c r="F26" s="83"/>
      <c r="G26" s="83"/>
      <c r="H26" s="121"/>
      <c r="I26" s="121"/>
      <c r="J26" s="153"/>
      <c r="K26" s="121"/>
      <c r="L26" s="337">
        <v>318</v>
      </c>
      <c r="M26" s="158"/>
      <c r="N26" s="261"/>
      <c r="O26" s="261">
        <f>(L26*O$1)/O$2</f>
        <v>272.63374485596705</v>
      </c>
      <c r="Q26" s="176"/>
      <c r="R26" s="338">
        <f>O26/R$1</f>
        <v>290.03589878294366</v>
      </c>
      <c r="T26" s="321"/>
      <c r="U26" s="75"/>
      <c r="W26" s="322"/>
      <c r="X26" s="322"/>
      <c r="Y26" s="322"/>
    </row>
    <row r="27" spans="1:25" s="11" customFormat="1" x14ac:dyDescent="0.25">
      <c r="A27" s="320" t="s">
        <v>1309</v>
      </c>
      <c r="B27" s="217" t="s">
        <v>1318</v>
      </c>
      <c r="C27" s="215"/>
      <c r="D27" s="320" t="s">
        <v>1324</v>
      </c>
      <c r="E27" s="11" t="s">
        <v>420</v>
      </c>
      <c r="F27" s="83"/>
      <c r="G27" s="83"/>
      <c r="H27" s="121"/>
      <c r="I27" s="121"/>
      <c r="J27" s="153"/>
      <c r="K27" s="121"/>
      <c r="L27" s="337">
        <v>255</v>
      </c>
      <c r="M27" s="158"/>
      <c r="N27" s="261"/>
      <c r="O27" s="261">
        <f t="shared" ref="O27" si="9">(L27*O$1)/O$2</f>
        <v>218.62139917695472</v>
      </c>
      <c r="Q27" s="176"/>
      <c r="R27" s="338">
        <f t="shared" ref="R27" si="10">O27/R$1</f>
        <v>232.57595657122843</v>
      </c>
      <c r="T27" s="321"/>
      <c r="U27" s="75"/>
      <c r="W27" s="322"/>
      <c r="X27" s="322"/>
      <c r="Y27" s="322"/>
    </row>
    <row r="28" spans="1:25" s="11" customFormat="1" x14ac:dyDescent="0.25">
      <c r="A28" s="320" t="s">
        <v>1305</v>
      </c>
      <c r="B28" s="217" t="s">
        <v>1314</v>
      </c>
      <c r="C28" s="215"/>
      <c r="D28" s="320" t="s">
        <v>1322</v>
      </c>
      <c r="E28" s="11" t="s">
        <v>420</v>
      </c>
      <c r="F28" s="83"/>
      <c r="G28" s="83"/>
      <c r="H28" s="121"/>
      <c r="I28" s="121"/>
      <c r="J28" s="153"/>
      <c r="K28" s="121"/>
      <c r="L28" s="337">
        <v>269</v>
      </c>
      <c r="M28" s="158"/>
      <c r="N28" s="261"/>
      <c r="O28" s="261">
        <f t="shared" ref="O28:O30" si="11">(L28*O$1)/O$2</f>
        <v>230.62414266117969</v>
      </c>
      <c r="Q28" s="176"/>
      <c r="R28" s="338">
        <f t="shared" ref="R28:R30" si="12">O28/R$1</f>
        <v>245.34483261827629</v>
      </c>
      <c r="T28" s="321"/>
      <c r="U28" s="75"/>
      <c r="W28" s="322"/>
      <c r="X28" s="322"/>
      <c r="Y28" s="322"/>
    </row>
    <row r="29" spans="1:25" s="11" customFormat="1" x14ac:dyDescent="0.25">
      <c r="A29" s="320" t="s">
        <v>1306</v>
      </c>
      <c r="B29" s="217" t="s">
        <v>1316</v>
      </c>
      <c r="C29" s="215"/>
      <c r="D29" s="320" t="s">
        <v>1321</v>
      </c>
      <c r="E29" s="11" t="s">
        <v>420</v>
      </c>
      <c r="F29" s="83"/>
      <c r="G29" s="83"/>
      <c r="H29" s="121"/>
      <c r="I29" s="121"/>
      <c r="J29" s="153"/>
      <c r="K29" s="121"/>
      <c r="L29" s="337">
        <v>295</v>
      </c>
      <c r="M29" s="158"/>
      <c r="N29" s="261"/>
      <c r="O29" s="261">
        <f t="shared" si="11"/>
        <v>252.91495198902604</v>
      </c>
      <c r="Q29" s="176"/>
      <c r="R29" s="338">
        <f t="shared" si="12"/>
        <v>269.05845956279364</v>
      </c>
      <c r="T29" s="321"/>
      <c r="U29" s="75"/>
      <c r="W29" s="322"/>
      <c r="X29" s="322"/>
      <c r="Y29" s="322"/>
    </row>
    <row r="30" spans="1:25" s="11" customFormat="1" x14ac:dyDescent="0.25">
      <c r="A30" s="320" t="s">
        <v>1307</v>
      </c>
      <c r="B30" s="217" t="s">
        <v>448</v>
      </c>
      <c r="C30" s="215" t="s">
        <v>1327</v>
      </c>
      <c r="D30" s="320" t="s">
        <v>1315</v>
      </c>
      <c r="E30" s="11" t="s">
        <v>420</v>
      </c>
      <c r="F30" s="83"/>
      <c r="G30" s="83"/>
      <c r="H30" s="121"/>
      <c r="I30" s="121"/>
      <c r="J30" s="153"/>
      <c r="K30" s="121"/>
      <c r="L30" s="337">
        <v>328</v>
      </c>
      <c r="M30" s="158"/>
      <c r="N30" s="261"/>
      <c r="O30" s="261">
        <f t="shared" si="11"/>
        <v>281.20713305898488</v>
      </c>
      <c r="Q30" s="176"/>
      <c r="R30" s="338">
        <f t="shared" si="12"/>
        <v>299.15652453083499</v>
      </c>
      <c r="T30" s="321"/>
      <c r="U30" s="75"/>
      <c r="W30" s="322"/>
      <c r="X30" s="322"/>
      <c r="Y30" s="322"/>
    </row>
    <row r="31" spans="1:25" x14ac:dyDescent="0.25">
      <c r="A31" s="76" t="s">
        <v>410</v>
      </c>
      <c r="B31" s="212" t="s">
        <v>600</v>
      </c>
      <c r="C31" s="212" t="s">
        <v>482</v>
      </c>
      <c r="D31" s="76" t="s">
        <v>1</v>
      </c>
      <c r="E31" s="76" t="s">
        <v>419</v>
      </c>
      <c r="F31" s="76" t="s">
        <v>2</v>
      </c>
      <c r="G31" s="76" t="s">
        <v>2</v>
      </c>
      <c r="H31" s="76" t="s">
        <v>2</v>
      </c>
      <c r="I31" s="76" t="s">
        <v>2</v>
      </c>
      <c r="J31" s="118" t="s">
        <v>935</v>
      </c>
      <c r="K31" s="76" t="s">
        <v>2</v>
      </c>
      <c r="L31" s="76" t="s">
        <v>2</v>
      </c>
      <c r="M31" s="158"/>
      <c r="N31" s="76" t="s">
        <v>57</v>
      </c>
      <c r="O31" s="76" t="s">
        <v>57</v>
      </c>
      <c r="Q31" s="76" t="s">
        <v>58</v>
      </c>
      <c r="R31" s="76" t="s">
        <v>58</v>
      </c>
      <c r="T31" s="76" t="s">
        <v>30</v>
      </c>
      <c r="W31" s="82"/>
      <c r="X31" s="82"/>
      <c r="Y31" s="82"/>
    </row>
    <row r="32" spans="1:25" x14ac:dyDescent="0.25">
      <c r="A32" s="74" t="s">
        <v>490</v>
      </c>
      <c r="B32" s="217" t="s">
        <v>559</v>
      </c>
      <c r="C32" s="215" t="s">
        <v>592</v>
      </c>
      <c r="D32" s="74" t="s">
        <v>22</v>
      </c>
      <c r="E32" t="s">
        <v>422</v>
      </c>
      <c r="F32" s="84">
        <v>0</v>
      </c>
      <c r="G32" s="83">
        <v>253.4</v>
      </c>
      <c r="H32" s="121">
        <v>252.1</v>
      </c>
      <c r="I32" s="121">
        <v>252.1</v>
      </c>
      <c r="J32" s="153">
        <v>242</v>
      </c>
      <c r="K32" s="121">
        <v>245</v>
      </c>
      <c r="L32" s="259">
        <f>K32+L$83</f>
        <v>272.10000000000002</v>
      </c>
      <c r="M32" s="158"/>
      <c r="N32" s="261">
        <f t="shared" ref="N32:N33" si="13">(K32*N$1)/N$2</f>
        <v>210.04801097393687</v>
      </c>
      <c r="O32" s="261">
        <f>(L32*O$1)/O$2</f>
        <v>233.28189300411523</v>
      </c>
      <c r="Q32" s="176">
        <f t="shared" si="6"/>
        <v>223.45533082333711</v>
      </c>
      <c r="R32" s="176">
        <f>O32/R$1</f>
        <v>248.1722266001226</v>
      </c>
      <c r="T32" s="93"/>
      <c r="W32" s="82">
        <f t="shared" si="4"/>
        <v>279.31916352917136</v>
      </c>
      <c r="X32" s="82">
        <f t="shared" si="0"/>
        <v>262.88862449804367</v>
      </c>
      <c r="Y32" s="82">
        <f t="shared" si="1"/>
        <v>248.28370091481901</v>
      </c>
    </row>
    <row r="33" spans="1:31" x14ac:dyDescent="0.25">
      <c r="A33" s="74" t="s">
        <v>491</v>
      </c>
      <c r="B33" s="217" t="s">
        <v>560</v>
      </c>
      <c r="C33" s="215" t="s">
        <v>593</v>
      </c>
      <c r="D33" s="74" t="s">
        <v>22</v>
      </c>
      <c r="E33" t="s">
        <v>423</v>
      </c>
      <c r="F33" s="84">
        <v>0</v>
      </c>
      <c r="G33" s="83">
        <v>191.4</v>
      </c>
      <c r="H33" s="121">
        <v>191.4</v>
      </c>
      <c r="I33" s="121">
        <v>191.4</v>
      </c>
      <c r="J33" s="153">
        <v>184</v>
      </c>
      <c r="K33" s="121">
        <v>185</v>
      </c>
      <c r="L33" s="259">
        <f>K33+L$83</f>
        <v>212.1</v>
      </c>
      <c r="M33" s="158"/>
      <c r="N33" s="261">
        <f t="shared" si="13"/>
        <v>158.6076817558299</v>
      </c>
      <c r="O33" s="261">
        <f>(L33*O$1)/O$2</f>
        <v>181.84156378600821</v>
      </c>
      <c r="Q33" s="176">
        <f t="shared" si="6"/>
        <v>168.73157633598927</v>
      </c>
      <c r="R33" s="176">
        <f>O33/R$1</f>
        <v>193.44847211277471</v>
      </c>
      <c r="T33" s="93"/>
      <c r="W33" s="82">
        <f t="shared" si="4"/>
        <v>210.91447041998657</v>
      </c>
      <c r="X33" s="82">
        <f t="shared" si="0"/>
        <v>198.50773686586973</v>
      </c>
      <c r="Y33" s="82">
        <f t="shared" si="1"/>
        <v>187.47952926221029</v>
      </c>
    </row>
    <row r="34" spans="1:31" x14ac:dyDescent="0.25">
      <c r="A34" s="76" t="s">
        <v>410</v>
      </c>
      <c r="B34" s="212" t="s">
        <v>600</v>
      </c>
      <c r="C34" s="212" t="s">
        <v>482</v>
      </c>
      <c r="D34" s="76" t="s">
        <v>1</v>
      </c>
      <c r="E34" s="76" t="s">
        <v>419</v>
      </c>
      <c r="F34" s="76" t="s">
        <v>2</v>
      </c>
      <c r="G34" s="76" t="s">
        <v>2</v>
      </c>
      <c r="H34" s="76" t="s">
        <v>2</v>
      </c>
      <c r="I34" s="76" t="s">
        <v>2</v>
      </c>
      <c r="J34" s="118" t="s">
        <v>935</v>
      </c>
      <c r="K34" s="76" t="s">
        <v>2</v>
      </c>
      <c r="L34" s="76" t="s">
        <v>2</v>
      </c>
      <c r="M34" s="158"/>
      <c r="N34" s="76" t="s">
        <v>57</v>
      </c>
      <c r="O34" s="76" t="s">
        <v>57</v>
      </c>
      <c r="Q34" s="76" t="s">
        <v>58</v>
      </c>
      <c r="R34" s="76" t="s">
        <v>58</v>
      </c>
      <c r="T34" s="76" t="s">
        <v>30</v>
      </c>
      <c r="W34" s="82"/>
      <c r="X34" s="82"/>
      <c r="Y34" s="82"/>
    </row>
    <row r="35" spans="1:31" x14ac:dyDescent="0.25">
      <c r="A35" s="74" t="s">
        <v>492</v>
      </c>
      <c r="B35" s="217" t="s">
        <v>561</v>
      </c>
      <c r="C35" s="215" t="s">
        <v>594</v>
      </c>
      <c r="D35" s="74" t="s">
        <v>412</v>
      </c>
      <c r="E35" t="s">
        <v>422</v>
      </c>
      <c r="F35" s="84">
        <v>0</v>
      </c>
      <c r="G35" s="83">
        <v>230.4</v>
      </c>
      <c r="H35" s="121">
        <v>229.6</v>
      </c>
      <c r="I35" s="121">
        <v>229.6</v>
      </c>
      <c r="J35" s="153">
        <v>226</v>
      </c>
      <c r="K35" s="121">
        <v>226</v>
      </c>
      <c r="L35" s="259">
        <f>K35+L$81</f>
        <v>245.7</v>
      </c>
      <c r="M35" s="158"/>
      <c r="N35" s="261">
        <f t="shared" ref="N35:N38" si="14">(K35*N$1)/N$2</f>
        <v>193.75857338820299</v>
      </c>
      <c r="O35" s="261">
        <f t="shared" ref="O35:O38" si="15">(L35*O$1)/O$2</f>
        <v>210.64814814814812</v>
      </c>
      <c r="Q35" s="176">
        <f t="shared" si="6"/>
        <v>206.12614190234362</v>
      </c>
      <c r="R35" s="176">
        <f t="shared" ref="R35:R38" si="16">O35/R$1</f>
        <v>224.09377462568952</v>
      </c>
      <c r="T35" s="93"/>
      <c r="W35" s="82">
        <f t="shared" si="4"/>
        <v>257.65767737792953</v>
      </c>
      <c r="X35" s="82">
        <f t="shared" si="0"/>
        <v>242.5013434145219</v>
      </c>
      <c r="Y35" s="82">
        <f t="shared" si="1"/>
        <v>229.02904655815956</v>
      </c>
    </row>
    <row r="36" spans="1:31" ht="15" customHeight="1" x14ac:dyDescent="0.25">
      <c r="A36" s="74" t="s">
        <v>493</v>
      </c>
      <c r="B36" s="217" t="s">
        <v>562</v>
      </c>
      <c r="C36" s="215" t="s">
        <v>595</v>
      </c>
      <c r="D36" s="74" t="s">
        <v>411</v>
      </c>
      <c r="E36" t="s">
        <v>422</v>
      </c>
      <c r="F36" s="84">
        <v>0</v>
      </c>
      <c r="G36" s="83">
        <v>248.8</v>
      </c>
      <c r="H36" s="121">
        <v>247.7</v>
      </c>
      <c r="I36" s="121">
        <v>247.7</v>
      </c>
      <c r="J36" s="153">
        <v>238</v>
      </c>
      <c r="K36" s="121">
        <v>238</v>
      </c>
      <c r="L36" s="259">
        <f>K36+L$82</f>
        <v>260.3</v>
      </c>
      <c r="M36" s="158"/>
      <c r="N36" s="261">
        <f t="shared" si="14"/>
        <v>204.0466392318244</v>
      </c>
      <c r="O36" s="261">
        <f t="shared" si="15"/>
        <v>223.16529492455416</v>
      </c>
      <c r="Q36" s="176">
        <f t="shared" si="6"/>
        <v>217.07089279981321</v>
      </c>
      <c r="R36" s="176">
        <f t="shared" si="16"/>
        <v>237.40988821761081</v>
      </c>
      <c r="T36" s="93"/>
      <c r="W36" s="82">
        <f t="shared" si="4"/>
        <v>271.33861599976649</v>
      </c>
      <c r="X36" s="82">
        <f t="shared" si="0"/>
        <v>255.37752094095671</v>
      </c>
      <c r="Y36" s="82">
        <f t="shared" si="1"/>
        <v>241.18988088868133</v>
      </c>
    </row>
    <row r="37" spans="1:31" s="108" customFormat="1" x14ac:dyDescent="0.25">
      <c r="A37" s="107" t="s">
        <v>494</v>
      </c>
      <c r="B37" s="217" t="s">
        <v>450</v>
      </c>
      <c r="C37" s="215" t="s">
        <v>596</v>
      </c>
      <c r="D37" s="107" t="s">
        <v>24</v>
      </c>
      <c r="E37" s="108" t="s">
        <v>422</v>
      </c>
      <c r="F37" s="94">
        <v>0</v>
      </c>
      <c r="G37" s="94">
        <v>278.39999999999998</v>
      </c>
      <c r="H37" s="122">
        <v>277.10000000000002</v>
      </c>
      <c r="I37" s="122">
        <v>277.10000000000002</v>
      </c>
      <c r="J37" s="154">
        <v>263</v>
      </c>
      <c r="K37" s="122">
        <v>265</v>
      </c>
      <c r="L37" s="259">
        <f t="shared" ref="L37:L38" si="17">K37+L$83</f>
        <v>292.10000000000002</v>
      </c>
      <c r="M37" s="159"/>
      <c r="N37" s="262">
        <f t="shared" si="14"/>
        <v>227.19478737997255</v>
      </c>
      <c r="O37" s="262">
        <f t="shared" si="15"/>
        <v>250.42866941015089</v>
      </c>
      <c r="Q37" s="176">
        <f t="shared" si="6"/>
        <v>241.69658231911976</v>
      </c>
      <c r="R37" s="176">
        <f t="shared" si="16"/>
        <v>266.41347809590519</v>
      </c>
      <c r="S37" s="108">
        <v>340</v>
      </c>
      <c r="T37" s="95">
        <v>273</v>
      </c>
      <c r="U37" s="96">
        <f>(K37-T37)/T37</f>
        <v>-2.9304029304029304E-2</v>
      </c>
      <c r="W37" s="110">
        <f t="shared" si="4"/>
        <v>302.1207278988997</v>
      </c>
      <c r="X37" s="110">
        <f t="shared" si="0"/>
        <v>284.348920375435</v>
      </c>
      <c r="Y37" s="110">
        <f>Q37/0.9</f>
        <v>268.5517581323553</v>
      </c>
    </row>
    <row r="38" spans="1:31" x14ac:dyDescent="0.25">
      <c r="A38" s="74" t="s">
        <v>495</v>
      </c>
      <c r="B38" s="217" t="s">
        <v>449</v>
      </c>
      <c r="C38" s="215" t="s">
        <v>597</v>
      </c>
      <c r="D38" s="74" t="s">
        <v>24</v>
      </c>
      <c r="E38" t="s">
        <v>423</v>
      </c>
      <c r="F38" s="84">
        <v>0</v>
      </c>
      <c r="G38" s="83">
        <v>216.4</v>
      </c>
      <c r="H38" s="121">
        <v>216.4</v>
      </c>
      <c r="I38" s="121">
        <v>216.4</v>
      </c>
      <c r="J38" s="153">
        <v>209</v>
      </c>
      <c r="K38" s="121">
        <v>210</v>
      </c>
      <c r="L38" s="259">
        <f t="shared" si="17"/>
        <v>237.1</v>
      </c>
      <c r="M38" s="158"/>
      <c r="N38" s="261">
        <f t="shared" si="14"/>
        <v>180.04115226337447</v>
      </c>
      <c r="O38" s="261">
        <f t="shared" si="15"/>
        <v>203.27503429355278</v>
      </c>
      <c r="Q38" s="176">
        <f>(N38/Q$1)</f>
        <v>191.53314070571753</v>
      </c>
      <c r="R38" s="176">
        <f t="shared" si="16"/>
        <v>216.25003648250296</v>
      </c>
      <c r="T38" s="93"/>
      <c r="W38" s="82">
        <f>Q38/0.8</f>
        <v>239.41642588214691</v>
      </c>
      <c r="X38" s="82">
        <f>Q38/0.85</f>
        <v>225.33310671260887</v>
      </c>
      <c r="Y38" s="82">
        <f>Q38/0.9</f>
        <v>212.81460078413059</v>
      </c>
      <c r="AA38" s="238"/>
      <c r="AB38" s="238"/>
      <c r="AC38" s="238"/>
    </row>
    <row r="39" spans="1:31" x14ac:dyDescent="0.25">
      <c r="A39" s="76" t="s">
        <v>410</v>
      </c>
      <c r="B39" s="212" t="s">
        <v>600</v>
      </c>
      <c r="C39" s="212" t="s">
        <v>482</v>
      </c>
      <c r="D39" s="76" t="s">
        <v>1</v>
      </c>
      <c r="E39" s="76" t="s">
        <v>419</v>
      </c>
      <c r="F39" s="76" t="s">
        <v>2</v>
      </c>
      <c r="G39" s="76" t="s">
        <v>2</v>
      </c>
      <c r="H39" s="76" t="s">
        <v>2</v>
      </c>
      <c r="I39" s="76" t="s">
        <v>2</v>
      </c>
      <c r="J39" s="118" t="s">
        <v>935</v>
      </c>
      <c r="K39" s="76" t="s">
        <v>2</v>
      </c>
      <c r="L39" s="76" t="s">
        <v>2</v>
      </c>
      <c r="M39" s="158"/>
      <c r="N39" s="76" t="s">
        <v>57</v>
      </c>
      <c r="O39" s="76" t="s">
        <v>57</v>
      </c>
      <c r="Q39" s="76" t="s">
        <v>58</v>
      </c>
      <c r="R39" s="76" t="s">
        <v>58</v>
      </c>
      <c r="T39" s="76" t="s">
        <v>30</v>
      </c>
      <c r="W39" s="82"/>
      <c r="X39" s="82"/>
      <c r="Y39" s="82"/>
    </row>
    <row r="40" spans="1:31" x14ac:dyDescent="0.25">
      <c r="A40" s="74" t="s">
        <v>496</v>
      </c>
      <c r="B40" s="217" t="s">
        <v>563</v>
      </c>
      <c r="C40" s="215" t="s">
        <v>598</v>
      </c>
      <c r="D40" s="74" t="s">
        <v>26</v>
      </c>
      <c r="E40" t="s">
        <v>422</v>
      </c>
      <c r="F40" s="84">
        <v>0</v>
      </c>
      <c r="G40" s="83">
        <v>313.39999999999998</v>
      </c>
      <c r="H40" s="121">
        <v>312.10000000000002</v>
      </c>
      <c r="I40" s="121">
        <v>312.10000000000002</v>
      </c>
      <c r="J40" s="153">
        <v>299</v>
      </c>
      <c r="K40" s="121">
        <v>300</v>
      </c>
      <c r="L40" s="259">
        <f t="shared" ref="L40:L41" si="18">K40+L$83</f>
        <v>327.10000000000002</v>
      </c>
      <c r="M40" s="158"/>
      <c r="N40" s="261">
        <f t="shared" ref="N40:N46" si="19">(K40*N$1)/N$2</f>
        <v>257.20164609053495</v>
      </c>
      <c r="O40" s="261">
        <f t="shared" ref="O40:O41" si="20">(L40*O$1)/O$2</f>
        <v>280.43552812071329</v>
      </c>
      <c r="Q40" s="176">
        <f t="shared" si="6"/>
        <v>273.61877243673933</v>
      </c>
      <c r="R40" s="176">
        <f t="shared" ref="R40:R41" si="21">O40/R$1</f>
        <v>298.3356682135248</v>
      </c>
      <c r="S40">
        <v>341</v>
      </c>
      <c r="T40" s="80">
        <v>320</v>
      </c>
      <c r="U40" s="96">
        <f>(K40-T40)/T40</f>
        <v>-6.25E-2</v>
      </c>
      <c r="W40" s="82">
        <f t="shared" si="4"/>
        <v>342.02346554592413</v>
      </c>
      <c r="X40" s="82">
        <f t="shared" si="0"/>
        <v>321.9044381608698</v>
      </c>
      <c r="Y40" s="82">
        <f t="shared" si="1"/>
        <v>304.02085826304369</v>
      </c>
    </row>
    <row r="41" spans="1:31" x14ac:dyDescent="0.25">
      <c r="A41" s="74" t="s">
        <v>497</v>
      </c>
      <c r="B41" s="217" t="s">
        <v>564</v>
      </c>
      <c r="C41" s="215" t="s">
        <v>599</v>
      </c>
      <c r="D41" s="74" t="s">
        <v>26</v>
      </c>
      <c r="E41" t="s">
        <v>423</v>
      </c>
      <c r="F41" s="84">
        <v>0</v>
      </c>
      <c r="G41" s="83">
        <v>251.4</v>
      </c>
      <c r="H41" s="121">
        <v>251.4</v>
      </c>
      <c r="I41" s="121">
        <v>251.4</v>
      </c>
      <c r="J41" s="153">
        <v>244</v>
      </c>
      <c r="K41" s="121">
        <v>245</v>
      </c>
      <c r="L41" s="259">
        <f t="shared" si="18"/>
        <v>272.10000000000002</v>
      </c>
      <c r="M41" s="158"/>
      <c r="N41" s="261">
        <f t="shared" si="19"/>
        <v>210.04801097393687</v>
      </c>
      <c r="O41" s="261">
        <f t="shared" si="20"/>
        <v>233.28189300411523</v>
      </c>
      <c r="Q41" s="176">
        <f t="shared" si="6"/>
        <v>223.45533082333711</v>
      </c>
      <c r="R41" s="176">
        <f t="shared" si="21"/>
        <v>248.1722266001226</v>
      </c>
      <c r="T41" s="93"/>
      <c r="W41" s="82">
        <f t="shared" si="4"/>
        <v>279.31916352917136</v>
      </c>
      <c r="X41" s="82">
        <f t="shared" si="0"/>
        <v>262.88862449804367</v>
      </c>
      <c r="Y41" s="82">
        <f t="shared" si="1"/>
        <v>248.28370091481901</v>
      </c>
    </row>
    <row r="42" spans="1:31" x14ac:dyDescent="0.25">
      <c r="A42" s="76" t="s">
        <v>410</v>
      </c>
      <c r="B42" s="212" t="s">
        <v>600</v>
      </c>
      <c r="C42" s="212" t="s">
        <v>482</v>
      </c>
      <c r="D42" s="76" t="s">
        <v>1</v>
      </c>
      <c r="E42" s="76" t="s">
        <v>419</v>
      </c>
      <c r="F42" s="76" t="s">
        <v>2</v>
      </c>
      <c r="G42" s="76" t="s">
        <v>2</v>
      </c>
      <c r="H42" s="76" t="s">
        <v>2</v>
      </c>
      <c r="I42" s="76" t="s">
        <v>2</v>
      </c>
      <c r="J42" s="118" t="s">
        <v>935</v>
      </c>
      <c r="K42" s="76" t="s">
        <v>2</v>
      </c>
      <c r="L42" s="76" t="s">
        <v>2</v>
      </c>
      <c r="M42" s="158"/>
      <c r="N42" s="76" t="s">
        <v>57</v>
      </c>
      <c r="O42" s="76" t="s">
        <v>57</v>
      </c>
      <c r="Q42" s="76" t="s">
        <v>58</v>
      </c>
      <c r="R42" s="76" t="s">
        <v>58</v>
      </c>
      <c r="T42" s="76" t="s">
        <v>30</v>
      </c>
      <c r="W42" s="82"/>
      <c r="X42" s="82"/>
      <c r="Y42" s="82"/>
    </row>
    <row r="43" spans="1:31" s="244" customFormat="1" x14ac:dyDescent="0.25">
      <c r="A43" s="244" t="s">
        <v>1125</v>
      </c>
      <c r="B43" s="214" t="s">
        <v>1192</v>
      </c>
      <c r="C43" s="215" t="s">
        <v>265</v>
      </c>
      <c r="D43" s="73" t="s">
        <v>1126</v>
      </c>
      <c r="E43" t="s">
        <v>422</v>
      </c>
      <c r="F43" s="84"/>
      <c r="G43" s="84"/>
      <c r="H43" s="83"/>
      <c r="I43" s="121"/>
      <c r="J43" s="153"/>
      <c r="K43" s="83">
        <v>318.10000000000002</v>
      </c>
      <c r="L43" s="259">
        <f>K43+L$81</f>
        <v>337.8</v>
      </c>
      <c r="M43" s="246"/>
      <c r="N43" s="249">
        <f t="shared" si="19"/>
        <v>272.71947873799724</v>
      </c>
      <c r="O43" s="249">
        <f t="shared" ref="O43:O46" si="22">(L43*O$1)/O$2</f>
        <v>289.6090534979424</v>
      </c>
      <c r="Q43" s="176">
        <f t="shared" si="6"/>
        <v>290.12710504042263</v>
      </c>
      <c r="R43" s="176">
        <f t="shared" ref="R43:R46" si="23">O43/R$1</f>
        <v>308.09473776376853</v>
      </c>
      <c r="T43" s="93"/>
      <c r="U43" s="247"/>
      <c r="W43" s="248"/>
      <c r="X43" s="248"/>
      <c r="Y43" s="248"/>
    </row>
    <row r="44" spans="1:31" s="244" customFormat="1" x14ac:dyDescent="0.25">
      <c r="A44" t="s">
        <v>1127</v>
      </c>
      <c r="B44" s="214" t="s">
        <v>1193</v>
      </c>
      <c r="C44" s="215" t="s">
        <v>265</v>
      </c>
      <c r="D44" s="73" t="s">
        <v>1128</v>
      </c>
      <c r="E44" t="s">
        <v>422</v>
      </c>
      <c r="F44" s="84"/>
      <c r="G44" s="84"/>
      <c r="H44" s="83"/>
      <c r="I44" s="121"/>
      <c r="J44" s="153"/>
      <c r="K44" s="83">
        <v>355.9</v>
      </c>
      <c r="L44" s="259">
        <f>K44+L$82</f>
        <v>378.2</v>
      </c>
      <c r="M44" s="246"/>
      <c r="N44" s="249">
        <f t="shared" si="19"/>
        <v>305.12688614540463</v>
      </c>
      <c r="O44" s="249">
        <f t="shared" si="22"/>
        <v>324.24554183813439</v>
      </c>
      <c r="Q44" s="176">
        <f t="shared" si="6"/>
        <v>324.60307036745172</v>
      </c>
      <c r="R44" s="176">
        <f t="shared" si="23"/>
        <v>344.94206578524938</v>
      </c>
      <c r="T44" s="93"/>
      <c r="U44" s="247"/>
      <c r="W44" s="248"/>
      <c r="X44" s="248"/>
      <c r="Y44" s="248"/>
    </row>
    <row r="45" spans="1:31" s="244" customFormat="1" x14ac:dyDescent="0.25">
      <c r="A45" t="s">
        <v>1124</v>
      </c>
      <c r="B45" s="214" t="s">
        <v>1194</v>
      </c>
      <c r="C45" s="215" t="s">
        <v>265</v>
      </c>
      <c r="D45" s="73" t="s">
        <v>1129</v>
      </c>
      <c r="E45" t="s">
        <v>422</v>
      </c>
      <c r="F45" s="84"/>
      <c r="G45" s="84"/>
      <c r="H45" s="83"/>
      <c r="I45" s="121"/>
      <c r="J45" s="153"/>
      <c r="K45" s="83">
        <v>402.6</v>
      </c>
      <c r="L45" s="259">
        <f t="shared" ref="L45:L46" si="24">K45+L$83</f>
        <v>429.70000000000005</v>
      </c>
      <c r="M45" s="246"/>
      <c r="N45" s="249">
        <f t="shared" si="19"/>
        <v>345.16460905349794</v>
      </c>
      <c r="O45" s="249">
        <f t="shared" si="22"/>
        <v>368.39849108367628</v>
      </c>
      <c r="Q45" s="176">
        <f t="shared" si="6"/>
        <v>367.19639261010423</v>
      </c>
      <c r="R45" s="176">
        <f t="shared" si="23"/>
        <v>391.91328838688969</v>
      </c>
      <c r="T45" s="93"/>
      <c r="U45" s="247"/>
      <c r="W45" s="248"/>
      <c r="X45" s="248"/>
      <c r="Y45" s="248"/>
    </row>
    <row r="46" spans="1:31" s="244" customFormat="1" x14ac:dyDescent="0.25">
      <c r="A46" t="s">
        <v>1130</v>
      </c>
      <c r="B46" s="214" t="s">
        <v>1195</v>
      </c>
      <c r="C46" s="215" t="s">
        <v>265</v>
      </c>
      <c r="D46" s="73" t="s">
        <v>1129</v>
      </c>
      <c r="E46" t="s">
        <v>423</v>
      </c>
      <c r="F46" s="84"/>
      <c r="G46" s="84"/>
      <c r="H46" s="83"/>
      <c r="I46" s="121"/>
      <c r="J46" s="153"/>
      <c r="K46" s="83">
        <v>323.2</v>
      </c>
      <c r="L46" s="259">
        <f t="shared" si="24"/>
        <v>350.3</v>
      </c>
      <c r="M46" s="246"/>
      <c r="N46" s="249">
        <f t="shared" si="19"/>
        <v>277.0919067215363</v>
      </c>
      <c r="O46" s="249">
        <f t="shared" si="22"/>
        <v>300.32578875171464</v>
      </c>
      <c r="Q46" s="176">
        <f t="shared" si="6"/>
        <v>294.77862417184713</v>
      </c>
      <c r="R46" s="176">
        <f t="shared" si="23"/>
        <v>319.49551994863259</v>
      </c>
      <c r="T46" s="93"/>
      <c r="U46" s="247"/>
      <c r="W46" s="248"/>
      <c r="X46" s="248"/>
      <c r="Y46" s="248"/>
      <c r="AE46" s="244" t="s">
        <v>836</v>
      </c>
    </row>
    <row r="47" spans="1:31" x14ac:dyDescent="0.25">
      <c r="A47" s="76" t="s">
        <v>410</v>
      </c>
      <c r="B47" s="212" t="s">
        <v>600</v>
      </c>
      <c r="C47" s="212" t="s">
        <v>482</v>
      </c>
      <c r="D47" s="76" t="s">
        <v>1</v>
      </c>
      <c r="E47" s="76" t="s">
        <v>419</v>
      </c>
      <c r="F47" s="76" t="s">
        <v>2</v>
      </c>
      <c r="G47" s="76" t="s">
        <v>2</v>
      </c>
      <c r="H47" s="76" t="s">
        <v>2</v>
      </c>
      <c r="I47" s="76" t="s">
        <v>2</v>
      </c>
      <c r="J47" s="118" t="s">
        <v>935</v>
      </c>
      <c r="K47" s="76" t="s">
        <v>2</v>
      </c>
      <c r="L47" s="76" t="s">
        <v>2</v>
      </c>
      <c r="M47" s="158"/>
      <c r="N47" s="76" t="s">
        <v>57</v>
      </c>
      <c r="O47" s="76" t="s">
        <v>57</v>
      </c>
      <c r="Q47" s="76" t="s">
        <v>58</v>
      </c>
      <c r="R47" s="76" t="s">
        <v>58</v>
      </c>
      <c r="T47" s="76" t="s">
        <v>30</v>
      </c>
      <c r="W47" s="82"/>
      <c r="X47" s="82"/>
      <c r="Y47" s="82"/>
    </row>
    <row r="48" spans="1:31" x14ac:dyDescent="0.25">
      <c r="A48" t="s">
        <v>498</v>
      </c>
      <c r="B48" s="216" t="s">
        <v>601</v>
      </c>
      <c r="C48" s="215" t="s">
        <v>265</v>
      </c>
      <c r="D48" s="74"/>
      <c r="E48" s="74" t="s">
        <v>522</v>
      </c>
      <c r="F48" s="84">
        <v>0</v>
      </c>
      <c r="G48" s="83">
        <v>27.3</v>
      </c>
      <c r="H48" s="121">
        <v>26.8</v>
      </c>
      <c r="I48" s="121">
        <v>26.8</v>
      </c>
      <c r="J48" s="153">
        <v>25.2</v>
      </c>
      <c r="K48" s="121">
        <v>26</v>
      </c>
      <c r="L48" s="259" t="s">
        <v>265</v>
      </c>
      <c r="M48" s="158"/>
      <c r="N48" s="261">
        <f t="shared" ref="N48:N80" si="25">(K48*N$1)/N$2</f>
        <v>22.290809327846365</v>
      </c>
      <c r="O48" s="72" t="s">
        <v>265</v>
      </c>
      <c r="Q48" s="176">
        <f t="shared" si="6"/>
        <v>23.713626944517411</v>
      </c>
      <c r="R48" s="176"/>
      <c r="T48" s="93"/>
      <c r="W48" s="82">
        <f t="shared" si="4"/>
        <v>29.642033680646762</v>
      </c>
      <c r="X48" s="82">
        <f t="shared" si="0"/>
        <v>27.898384640608722</v>
      </c>
      <c r="Y48" s="82">
        <f t="shared" si="1"/>
        <v>26.348474382797122</v>
      </c>
      <c r="AA48" s="238">
        <f t="shared" ref="AA48:AA77" si="26">Q48/0.77</f>
        <v>30.796918109762871</v>
      </c>
    </row>
    <row r="49" spans="1:30" x14ac:dyDescent="0.25">
      <c r="A49" t="s">
        <v>499</v>
      </c>
      <c r="B49" s="216" t="s">
        <v>602</v>
      </c>
      <c r="C49" s="215" t="s">
        <v>265</v>
      </c>
      <c r="D49" s="74"/>
      <c r="E49" s="74" t="s">
        <v>523</v>
      </c>
      <c r="F49" s="84">
        <v>0</v>
      </c>
      <c r="G49" s="83">
        <v>28.8</v>
      </c>
      <c r="H49" s="121">
        <v>28.2</v>
      </c>
      <c r="I49" s="121">
        <v>28.2</v>
      </c>
      <c r="J49" s="153">
        <v>26.5</v>
      </c>
      <c r="K49" s="121">
        <v>27</v>
      </c>
      <c r="L49" s="259" t="s">
        <v>265</v>
      </c>
      <c r="M49" s="158"/>
      <c r="N49" s="261">
        <f t="shared" si="25"/>
        <v>23.148148148148145</v>
      </c>
      <c r="O49" s="72" t="s">
        <v>265</v>
      </c>
      <c r="Q49" s="176">
        <f t="shared" si="6"/>
        <v>24.62568951930654</v>
      </c>
      <c r="R49" s="176"/>
      <c r="T49" s="93"/>
      <c r="W49" s="82">
        <f t="shared" si="4"/>
        <v>30.782111899133174</v>
      </c>
      <c r="X49" s="82">
        <f t="shared" si="0"/>
        <v>28.971399434478283</v>
      </c>
      <c r="Y49" s="82">
        <f t="shared" si="1"/>
        <v>27.361877243673934</v>
      </c>
      <c r="AA49" s="238">
        <f t="shared" si="26"/>
        <v>31.981414960138363</v>
      </c>
    </row>
    <row r="50" spans="1:30" x14ac:dyDescent="0.25">
      <c r="A50" t="s">
        <v>500</v>
      </c>
      <c r="B50" s="216" t="s">
        <v>603</v>
      </c>
      <c r="C50" s="215" t="s">
        <v>265</v>
      </c>
      <c r="D50" s="74"/>
      <c r="E50" t="s">
        <v>524</v>
      </c>
      <c r="F50" s="84">
        <v>0</v>
      </c>
      <c r="G50" s="83">
        <v>31.2</v>
      </c>
      <c r="H50" s="121">
        <v>30.4</v>
      </c>
      <c r="I50" s="121">
        <v>30.4</v>
      </c>
      <c r="J50" s="153">
        <v>28.6</v>
      </c>
      <c r="K50" s="121">
        <v>29</v>
      </c>
      <c r="L50" s="259" t="s">
        <v>265</v>
      </c>
      <c r="M50" s="158"/>
      <c r="N50" s="261">
        <f t="shared" si="25"/>
        <v>24.862825788751714</v>
      </c>
      <c r="O50" s="72" t="s">
        <v>265</v>
      </c>
      <c r="Q50" s="176">
        <f t="shared" si="6"/>
        <v>26.449814668884802</v>
      </c>
      <c r="R50" s="176"/>
      <c r="T50" s="93"/>
      <c r="W50" s="82">
        <f t="shared" si="4"/>
        <v>33.062268336106001</v>
      </c>
      <c r="X50" s="82">
        <f t="shared" si="0"/>
        <v>31.117429022217415</v>
      </c>
      <c r="Y50" s="82">
        <f t="shared" si="1"/>
        <v>29.388682965427556</v>
      </c>
      <c r="AA50" s="238">
        <f t="shared" si="26"/>
        <v>34.35040866088935</v>
      </c>
    </row>
    <row r="51" spans="1:30" x14ac:dyDescent="0.25">
      <c r="A51" t="s">
        <v>501</v>
      </c>
      <c r="B51" s="216" t="s">
        <v>604</v>
      </c>
      <c r="C51" s="215" t="s">
        <v>265</v>
      </c>
      <c r="D51" s="74"/>
      <c r="E51" t="s">
        <v>525</v>
      </c>
      <c r="F51" s="84">
        <v>0</v>
      </c>
      <c r="G51" s="83">
        <v>35.1</v>
      </c>
      <c r="H51" s="121">
        <v>34</v>
      </c>
      <c r="I51" s="121">
        <v>34</v>
      </c>
      <c r="J51" s="153">
        <v>32</v>
      </c>
      <c r="K51" s="121">
        <v>32</v>
      </c>
      <c r="L51" s="259" t="s">
        <v>265</v>
      </c>
      <c r="M51" s="158"/>
      <c r="N51" s="261">
        <f t="shared" si="25"/>
        <v>27.434842249657063</v>
      </c>
      <c r="O51" s="72" t="s">
        <v>265</v>
      </c>
      <c r="Q51" s="176">
        <f t="shared" si="6"/>
        <v>29.186002393252195</v>
      </c>
      <c r="R51" s="176"/>
      <c r="T51" s="93"/>
      <c r="W51" s="82">
        <f t="shared" si="4"/>
        <v>36.482502991565241</v>
      </c>
      <c r="X51" s="82">
        <f t="shared" si="0"/>
        <v>34.336473403826112</v>
      </c>
      <c r="Y51" s="82">
        <f t="shared" si="1"/>
        <v>32.428891548057997</v>
      </c>
      <c r="AA51" s="238">
        <f t="shared" si="26"/>
        <v>37.903899212015837</v>
      </c>
    </row>
    <row r="52" spans="1:30" x14ac:dyDescent="0.25">
      <c r="A52" t="s">
        <v>502</v>
      </c>
      <c r="B52" s="216" t="s">
        <v>605</v>
      </c>
      <c r="C52" s="215" t="s">
        <v>265</v>
      </c>
      <c r="D52" s="74"/>
      <c r="E52" t="s">
        <v>526</v>
      </c>
      <c r="F52" s="84">
        <v>0</v>
      </c>
      <c r="G52" s="83">
        <v>42.9</v>
      </c>
      <c r="H52" s="121">
        <v>41.6</v>
      </c>
      <c r="I52" s="121">
        <v>41.6</v>
      </c>
      <c r="J52" s="153">
        <v>39.1</v>
      </c>
      <c r="K52" s="121">
        <v>40</v>
      </c>
      <c r="L52" s="259" t="s">
        <v>265</v>
      </c>
      <c r="M52" s="158"/>
      <c r="N52" s="261">
        <f t="shared" si="25"/>
        <v>34.293552812071326</v>
      </c>
      <c r="O52" s="72" t="s">
        <v>265</v>
      </c>
      <c r="Q52" s="176">
        <f t="shared" si="6"/>
        <v>36.482502991565241</v>
      </c>
      <c r="R52" s="176"/>
      <c r="T52" s="93"/>
      <c r="W52" s="82">
        <f t="shared" si="4"/>
        <v>45.603128739456551</v>
      </c>
      <c r="X52" s="82">
        <f t="shared" si="0"/>
        <v>42.920591754782635</v>
      </c>
      <c r="Y52" s="82">
        <f t="shared" si="1"/>
        <v>40.536114435072491</v>
      </c>
      <c r="AA52" s="238">
        <f t="shared" si="26"/>
        <v>47.379874015019794</v>
      </c>
    </row>
    <row r="53" spans="1:30" x14ac:dyDescent="0.25">
      <c r="A53" t="s">
        <v>503</v>
      </c>
      <c r="B53" s="216" t="s">
        <v>611</v>
      </c>
      <c r="C53" s="215" t="s">
        <v>265</v>
      </c>
      <c r="D53" s="74"/>
      <c r="E53" t="s">
        <v>527</v>
      </c>
      <c r="F53" s="84">
        <v>0</v>
      </c>
      <c r="G53" s="83">
        <v>32.6</v>
      </c>
      <c r="H53" s="121">
        <v>31.8</v>
      </c>
      <c r="I53" s="121">
        <v>31.8</v>
      </c>
      <c r="J53" s="153">
        <v>30</v>
      </c>
      <c r="K53" s="121">
        <v>30</v>
      </c>
      <c r="L53" s="259" t="s">
        <v>265</v>
      </c>
      <c r="M53" s="158"/>
      <c r="N53" s="261">
        <f t="shared" si="25"/>
        <v>25.720164609053494</v>
      </c>
      <c r="O53" s="72" t="s">
        <v>265</v>
      </c>
      <c r="Q53" s="176">
        <f t="shared" si="6"/>
        <v>27.361877243673931</v>
      </c>
      <c r="R53" s="176"/>
      <c r="T53" s="93"/>
      <c r="W53" s="82">
        <f t="shared" si="4"/>
        <v>34.20234655459241</v>
      </c>
      <c r="X53" s="82">
        <f t="shared" si="0"/>
        <v>32.190443816086976</v>
      </c>
      <c r="Y53" s="82">
        <f t="shared" si="1"/>
        <v>30.402085826304365</v>
      </c>
      <c r="AA53" s="238">
        <f t="shared" si="26"/>
        <v>35.534905511264846</v>
      </c>
    </row>
    <row r="54" spans="1:30" x14ac:dyDescent="0.25">
      <c r="A54" t="s">
        <v>504</v>
      </c>
      <c r="B54" s="216" t="s">
        <v>612</v>
      </c>
      <c r="C54" s="215" t="s">
        <v>265</v>
      </c>
      <c r="E54" t="s">
        <v>528</v>
      </c>
      <c r="F54" s="84">
        <v>0</v>
      </c>
      <c r="G54" s="83">
        <v>37.200000000000003</v>
      </c>
      <c r="H54" s="121">
        <v>36.1</v>
      </c>
      <c r="I54" s="121">
        <v>36.1</v>
      </c>
      <c r="J54" s="153">
        <v>34</v>
      </c>
      <c r="K54" s="121">
        <v>35</v>
      </c>
      <c r="L54" s="259" t="s">
        <v>265</v>
      </c>
      <c r="M54" s="158"/>
      <c r="N54" s="261">
        <f t="shared" si="25"/>
        <v>30.006858710562412</v>
      </c>
      <c r="O54" s="72" t="s">
        <v>265</v>
      </c>
      <c r="Q54" s="176">
        <f t="shared" si="6"/>
        <v>31.922190117619589</v>
      </c>
      <c r="R54" s="176"/>
      <c r="T54" s="93"/>
      <c r="W54" s="82">
        <f t="shared" si="4"/>
        <v>39.902737647024487</v>
      </c>
      <c r="X54" s="82">
        <f t="shared" si="0"/>
        <v>37.555517785434809</v>
      </c>
      <c r="Y54" s="82">
        <f t="shared" si="1"/>
        <v>35.469100130688432</v>
      </c>
      <c r="AA54" s="238">
        <f t="shared" si="26"/>
        <v>41.457389763142324</v>
      </c>
    </row>
    <row r="55" spans="1:30" x14ac:dyDescent="0.25">
      <c r="A55" t="s">
        <v>505</v>
      </c>
      <c r="B55" s="216" t="s">
        <v>613</v>
      </c>
      <c r="C55" s="215" t="s">
        <v>265</v>
      </c>
      <c r="E55" t="s">
        <v>529</v>
      </c>
      <c r="F55" s="84">
        <v>0</v>
      </c>
      <c r="G55" s="83">
        <v>46.4</v>
      </c>
      <c r="H55" s="121">
        <v>45.1</v>
      </c>
      <c r="I55" s="121">
        <v>45.1</v>
      </c>
      <c r="J55" s="153">
        <v>42.4</v>
      </c>
      <c r="K55" s="121">
        <v>43</v>
      </c>
      <c r="L55" s="259" t="s">
        <v>265</v>
      </c>
      <c r="M55" s="158"/>
      <c r="N55" s="261">
        <f t="shared" si="25"/>
        <v>36.865569272976678</v>
      </c>
      <c r="O55" s="72" t="s">
        <v>265</v>
      </c>
      <c r="Q55" s="176">
        <f t="shared" si="6"/>
        <v>39.218690715932638</v>
      </c>
      <c r="R55" s="176"/>
      <c r="T55" s="93"/>
      <c r="W55" s="82">
        <f t="shared" si="4"/>
        <v>49.023363394915798</v>
      </c>
      <c r="X55" s="82">
        <f t="shared" si="0"/>
        <v>46.139636136391339</v>
      </c>
      <c r="Y55" s="82">
        <f t="shared" si="1"/>
        <v>43.576323017702933</v>
      </c>
      <c r="AA55" s="238">
        <f t="shared" si="26"/>
        <v>50.933364566146281</v>
      </c>
    </row>
    <row r="56" spans="1:30" x14ac:dyDescent="0.25">
      <c r="A56" t="s">
        <v>506</v>
      </c>
      <c r="B56" s="216" t="s">
        <v>606</v>
      </c>
      <c r="C56" s="215" t="s">
        <v>265</v>
      </c>
      <c r="E56" t="s">
        <v>530</v>
      </c>
      <c r="F56" s="84">
        <v>0</v>
      </c>
      <c r="G56" s="83">
        <v>40.9</v>
      </c>
      <c r="H56" s="121">
        <v>40.9</v>
      </c>
      <c r="I56" s="121">
        <v>40.9</v>
      </c>
      <c r="J56" s="153">
        <v>38.5</v>
      </c>
      <c r="K56" s="121">
        <v>38.5</v>
      </c>
      <c r="L56" s="259" t="s">
        <v>265</v>
      </c>
      <c r="M56" s="158"/>
      <c r="N56" s="261">
        <f t="shared" si="25"/>
        <v>33.007544581618653</v>
      </c>
      <c r="O56" s="72" t="s">
        <v>265</v>
      </c>
      <c r="Q56" s="176">
        <f t="shared" si="6"/>
        <v>35.114409129381549</v>
      </c>
      <c r="R56" s="176"/>
      <c r="T56" s="93"/>
      <c r="W56" s="82">
        <f t="shared" si="4"/>
        <v>43.893011411726931</v>
      </c>
      <c r="X56" s="82">
        <f t="shared" si="0"/>
        <v>41.311069563978293</v>
      </c>
      <c r="Y56" s="82">
        <f t="shared" si="1"/>
        <v>39.016010143757278</v>
      </c>
      <c r="AA56" s="238">
        <f t="shared" si="26"/>
        <v>45.603128739456558</v>
      </c>
    </row>
    <row r="57" spans="1:30" x14ac:dyDescent="0.25">
      <c r="A57" t="s">
        <v>507</v>
      </c>
      <c r="B57" s="216" t="s">
        <v>607</v>
      </c>
      <c r="C57" s="215" t="s">
        <v>265</v>
      </c>
      <c r="E57" t="s">
        <v>531</v>
      </c>
      <c r="F57" s="84">
        <v>0</v>
      </c>
      <c r="G57" s="83">
        <v>42.5</v>
      </c>
      <c r="H57" s="121">
        <v>42.5</v>
      </c>
      <c r="I57" s="121">
        <v>42.5</v>
      </c>
      <c r="J57" s="153">
        <v>40</v>
      </c>
      <c r="K57" s="121">
        <v>40</v>
      </c>
      <c r="L57" s="259" t="s">
        <v>265</v>
      </c>
      <c r="M57" s="158"/>
      <c r="N57" s="261">
        <f t="shared" si="25"/>
        <v>34.293552812071326</v>
      </c>
      <c r="O57" s="72" t="s">
        <v>265</v>
      </c>
      <c r="Q57" s="176">
        <f t="shared" si="6"/>
        <v>36.482502991565241</v>
      </c>
      <c r="R57" s="176"/>
      <c r="T57" s="93"/>
      <c r="W57" s="82">
        <f t="shared" si="4"/>
        <v>45.603128739456551</v>
      </c>
      <c r="X57" s="82">
        <f t="shared" si="0"/>
        <v>42.920591754782635</v>
      </c>
      <c r="Y57" s="82">
        <f t="shared" si="1"/>
        <v>40.536114435072491</v>
      </c>
      <c r="AA57" s="238">
        <f t="shared" si="26"/>
        <v>47.379874015019794</v>
      </c>
    </row>
    <row r="58" spans="1:30" x14ac:dyDescent="0.25">
      <c r="A58" t="s">
        <v>508</v>
      </c>
      <c r="B58" s="216" t="s">
        <v>608</v>
      </c>
      <c r="C58" s="215" t="s">
        <v>265</v>
      </c>
      <c r="E58" t="s">
        <v>532</v>
      </c>
      <c r="F58" s="84">
        <v>0</v>
      </c>
      <c r="G58" s="83">
        <v>44.9</v>
      </c>
      <c r="H58" s="121">
        <v>44.9</v>
      </c>
      <c r="I58" s="121">
        <v>44.9</v>
      </c>
      <c r="J58" s="153">
        <v>42.3</v>
      </c>
      <c r="K58" s="121">
        <v>43</v>
      </c>
      <c r="L58" s="259" t="s">
        <v>265</v>
      </c>
      <c r="M58" s="158"/>
      <c r="N58" s="261">
        <f>(K58*N$1)/N$2</f>
        <v>36.865569272976678</v>
      </c>
      <c r="O58" s="72" t="s">
        <v>265</v>
      </c>
      <c r="Q58" s="176">
        <f>(N58/Q$1)</f>
        <v>39.218690715932638</v>
      </c>
      <c r="R58" s="176"/>
      <c r="T58" s="93"/>
      <c r="W58" s="82">
        <f t="shared" si="4"/>
        <v>49.023363394915798</v>
      </c>
      <c r="X58" s="82">
        <f t="shared" si="0"/>
        <v>46.139636136391339</v>
      </c>
      <c r="Y58" s="82">
        <f t="shared" si="1"/>
        <v>43.576323017702933</v>
      </c>
      <c r="AA58" s="238">
        <f t="shared" si="26"/>
        <v>50.933364566146281</v>
      </c>
    </row>
    <row r="59" spans="1:30" x14ac:dyDescent="0.25">
      <c r="A59" t="s">
        <v>509</v>
      </c>
      <c r="B59" s="216" t="s">
        <v>609</v>
      </c>
      <c r="C59" s="215" t="s">
        <v>265</v>
      </c>
      <c r="E59" t="s">
        <v>533</v>
      </c>
      <c r="F59" s="84">
        <v>0</v>
      </c>
      <c r="G59" s="83">
        <v>50.5</v>
      </c>
      <c r="H59" s="121">
        <v>50.5</v>
      </c>
      <c r="I59" s="121">
        <v>50.5</v>
      </c>
      <c r="J59" s="153">
        <v>47.5</v>
      </c>
      <c r="K59" s="121">
        <v>48</v>
      </c>
      <c r="L59" s="259" t="s">
        <v>265</v>
      </c>
      <c r="M59" s="158"/>
      <c r="N59" s="261">
        <f t="shared" si="25"/>
        <v>41.152263374485592</v>
      </c>
      <c r="O59" s="72" t="s">
        <v>265</v>
      </c>
      <c r="Q59" s="176">
        <f t="shared" si="6"/>
        <v>43.779003589878293</v>
      </c>
      <c r="R59" s="176"/>
      <c r="T59" s="93"/>
      <c r="W59" s="82">
        <f t="shared" si="4"/>
        <v>54.723754487347861</v>
      </c>
      <c r="X59" s="82">
        <f t="shared" si="0"/>
        <v>51.504710105739171</v>
      </c>
      <c r="Y59" s="82">
        <f t="shared" si="1"/>
        <v>48.643337322086992</v>
      </c>
      <c r="AA59" s="238">
        <f t="shared" si="26"/>
        <v>56.855848818023759</v>
      </c>
    </row>
    <row r="60" spans="1:30" x14ac:dyDescent="0.25">
      <c r="A60" t="s">
        <v>510</v>
      </c>
      <c r="B60" s="216" t="s">
        <v>610</v>
      </c>
      <c r="C60" s="215" t="s">
        <v>265</v>
      </c>
      <c r="E60" t="s">
        <v>534</v>
      </c>
      <c r="F60" s="84">
        <v>0</v>
      </c>
      <c r="G60" s="83">
        <v>58.6</v>
      </c>
      <c r="H60" s="121">
        <v>58.6</v>
      </c>
      <c r="I60" s="121">
        <v>58.6</v>
      </c>
      <c r="J60" s="153">
        <v>55</v>
      </c>
      <c r="K60" s="121">
        <v>55</v>
      </c>
      <c r="L60" s="259" t="s">
        <v>265</v>
      </c>
      <c r="M60" s="158"/>
      <c r="N60" s="261">
        <f t="shared" si="25"/>
        <v>47.153635116598075</v>
      </c>
      <c r="O60" s="72" t="s">
        <v>265</v>
      </c>
      <c r="Q60" s="176">
        <f t="shared" si="6"/>
        <v>50.163441613402213</v>
      </c>
      <c r="R60" s="176"/>
      <c r="T60" s="93"/>
      <c r="W60" s="82">
        <f t="shared" si="4"/>
        <v>62.704302016752763</v>
      </c>
      <c r="X60" s="82">
        <f t="shared" si="0"/>
        <v>59.015813662826133</v>
      </c>
      <c r="Y60" s="82">
        <f t="shared" si="1"/>
        <v>55.737157348224677</v>
      </c>
      <c r="AA60" s="238">
        <f t="shared" si="26"/>
        <v>65.147326770652228</v>
      </c>
    </row>
    <row r="61" spans="1:30" x14ac:dyDescent="0.25">
      <c r="A61" t="s">
        <v>511</v>
      </c>
      <c r="B61" s="216" t="s">
        <v>1084</v>
      </c>
      <c r="C61" s="215" t="s">
        <v>265</v>
      </c>
      <c r="E61" t="s">
        <v>535</v>
      </c>
      <c r="F61" s="84">
        <v>0</v>
      </c>
      <c r="G61" s="83">
        <v>57.4</v>
      </c>
      <c r="H61" s="121">
        <v>57.4</v>
      </c>
      <c r="I61" s="121">
        <v>57.4</v>
      </c>
      <c r="J61" s="153">
        <v>54</v>
      </c>
      <c r="K61" s="121">
        <v>55</v>
      </c>
      <c r="L61" s="259" t="s">
        <v>265</v>
      </c>
      <c r="M61" s="158"/>
      <c r="N61" s="261">
        <f t="shared" si="25"/>
        <v>47.153635116598075</v>
      </c>
      <c r="O61" s="72" t="s">
        <v>265</v>
      </c>
      <c r="Q61" s="176">
        <f t="shared" si="6"/>
        <v>50.163441613402213</v>
      </c>
      <c r="R61" s="176"/>
      <c r="T61" s="93"/>
      <c r="W61" s="82">
        <f t="shared" si="4"/>
        <v>62.704302016752763</v>
      </c>
      <c r="X61" s="82">
        <f t="shared" si="0"/>
        <v>59.015813662826133</v>
      </c>
      <c r="Y61" s="82">
        <f t="shared" si="1"/>
        <v>55.737157348224677</v>
      </c>
      <c r="AA61" s="238">
        <f t="shared" si="26"/>
        <v>65.147326770652228</v>
      </c>
    </row>
    <row r="62" spans="1:30" x14ac:dyDescent="0.25">
      <c r="A62" t="s">
        <v>512</v>
      </c>
      <c r="B62" s="216" t="s">
        <v>1085</v>
      </c>
      <c r="C62" s="215" t="s">
        <v>265</v>
      </c>
      <c r="E62" t="s">
        <v>536</v>
      </c>
      <c r="F62" s="84">
        <v>0</v>
      </c>
      <c r="G62" s="83">
        <v>65.2</v>
      </c>
      <c r="H62" s="121">
        <v>65.199999999999989</v>
      </c>
      <c r="I62" s="121">
        <v>65.199999999999989</v>
      </c>
      <c r="J62" s="153">
        <v>61.3</v>
      </c>
      <c r="K62" s="121">
        <v>62</v>
      </c>
      <c r="L62" s="259" t="s">
        <v>265</v>
      </c>
      <c r="M62" s="158"/>
      <c r="N62" s="261">
        <f t="shared" si="25"/>
        <v>53.155006858710557</v>
      </c>
      <c r="O62" s="72" t="s">
        <v>265</v>
      </c>
      <c r="Q62" s="176">
        <f t="shared" si="6"/>
        <v>56.547879636926126</v>
      </c>
      <c r="R62" s="176"/>
      <c r="T62" s="93"/>
      <c r="W62" s="82">
        <f t="shared" si="4"/>
        <v>70.68484954615765</v>
      </c>
      <c r="X62" s="82">
        <f t="shared" si="0"/>
        <v>66.526917219913088</v>
      </c>
      <c r="Y62" s="82">
        <f t="shared" si="1"/>
        <v>62.830977374362362</v>
      </c>
      <c r="AA62" s="238">
        <f t="shared" si="26"/>
        <v>73.438804723280683</v>
      </c>
    </row>
    <row r="63" spans="1:30" x14ac:dyDescent="0.25">
      <c r="A63" t="s">
        <v>513</v>
      </c>
      <c r="B63" s="216" t="s">
        <v>1086</v>
      </c>
      <c r="C63" s="215" t="s">
        <v>265</v>
      </c>
      <c r="E63" t="s">
        <v>537</v>
      </c>
      <c r="F63" s="84">
        <v>0</v>
      </c>
      <c r="G63" s="83">
        <v>76</v>
      </c>
      <c r="H63" s="121">
        <v>76</v>
      </c>
      <c r="I63" s="121">
        <v>76</v>
      </c>
      <c r="J63" s="153">
        <v>71.5</v>
      </c>
      <c r="K63" s="121">
        <v>72</v>
      </c>
      <c r="L63" s="259" t="s">
        <v>265</v>
      </c>
      <c r="M63" s="158"/>
      <c r="N63" s="261">
        <f t="shared" si="25"/>
        <v>61.728395061728392</v>
      </c>
      <c r="O63" s="72" t="s">
        <v>265</v>
      </c>
      <c r="Q63" s="176">
        <f t="shared" si="6"/>
        <v>65.668505384817436</v>
      </c>
      <c r="R63" s="176"/>
      <c r="T63" s="93"/>
      <c r="W63" s="82">
        <f t="shared" si="4"/>
        <v>82.085631731021792</v>
      </c>
      <c r="X63" s="82">
        <f>Q63/0.85</f>
        <v>77.257065158608754</v>
      </c>
      <c r="Y63" s="82">
        <f t="shared" si="1"/>
        <v>72.965005983130482</v>
      </c>
      <c r="AA63" s="238">
        <f>Q63/0.77</f>
        <v>85.283773227035624</v>
      </c>
      <c r="AB63" s="101">
        <f>AA63*2</f>
        <v>170.56754645407125</v>
      </c>
      <c r="AD63" s="101">
        <f>Q63*2</f>
        <v>131.33701076963487</v>
      </c>
    </row>
    <row r="64" spans="1:30" x14ac:dyDescent="0.25">
      <c r="A64" t="s">
        <v>514</v>
      </c>
      <c r="B64" s="216" t="s">
        <v>565</v>
      </c>
      <c r="C64" s="215" t="s">
        <v>265</v>
      </c>
      <c r="E64" t="s">
        <v>538</v>
      </c>
      <c r="F64" s="84">
        <v>0</v>
      </c>
      <c r="G64" s="83">
        <v>18</v>
      </c>
      <c r="H64" s="121">
        <v>18</v>
      </c>
      <c r="I64" s="121">
        <v>18</v>
      </c>
      <c r="J64" s="153">
        <v>17</v>
      </c>
      <c r="K64" s="121">
        <v>17</v>
      </c>
      <c r="L64" s="259" t="s">
        <v>265</v>
      </c>
      <c r="M64" s="158"/>
      <c r="N64" s="261">
        <f t="shared" si="25"/>
        <v>14.574759945130314</v>
      </c>
      <c r="O64" s="72" t="s">
        <v>265</v>
      </c>
      <c r="Q64" s="176">
        <f t="shared" si="6"/>
        <v>15.505063771415228</v>
      </c>
      <c r="R64" s="176"/>
      <c r="T64" s="93"/>
      <c r="W64" s="82">
        <f t="shared" si="4"/>
        <v>19.381329714269036</v>
      </c>
      <c r="X64" s="82">
        <f t="shared" si="0"/>
        <v>18.24125149578262</v>
      </c>
      <c r="Y64" s="82">
        <f t="shared" si="1"/>
        <v>17.227848634905808</v>
      </c>
      <c r="AA64" s="238">
        <f t="shared" si="26"/>
        <v>20.136446456383414</v>
      </c>
    </row>
    <row r="65" spans="1:27" x14ac:dyDescent="0.25">
      <c r="A65" t="s">
        <v>515</v>
      </c>
      <c r="B65" s="216" t="s">
        <v>566</v>
      </c>
      <c r="C65" s="215" t="s">
        <v>265</v>
      </c>
      <c r="E65" t="s">
        <v>539</v>
      </c>
      <c r="F65" s="84">
        <v>0</v>
      </c>
      <c r="G65" s="83">
        <v>19</v>
      </c>
      <c r="H65" s="121">
        <v>19</v>
      </c>
      <c r="I65" s="121">
        <v>19</v>
      </c>
      <c r="J65" s="153">
        <v>17.899999999999999</v>
      </c>
      <c r="K65" s="121">
        <v>18</v>
      </c>
      <c r="L65" s="259" t="s">
        <v>265</v>
      </c>
      <c r="M65" s="158"/>
      <c r="N65" s="261">
        <f t="shared" si="25"/>
        <v>15.432098765432098</v>
      </c>
      <c r="O65" s="72" t="s">
        <v>265</v>
      </c>
      <c r="Q65" s="176">
        <f t="shared" si="6"/>
        <v>16.417126346204359</v>
      </c>
      <c r="R65" s="176"/>
      <c r="T65" s="93"/>
      <c r="W65" s="82">
        <f t="shared" si="4"/>
        <v>20.521407932755448</v>
      </c>
      <c r="X65" s="82">
        <f t="shared" si="0"/>
        <v>19.314266289652188</v>
      </c>
      <c r="Y65" s="82">
        <f t="shared" si="1"/>
        <v>18.24125149578262</v>
      </c>
      <c r="AA65" s="238">
        <f t="shared" si="26"/>
        <v>21.320943306758906</v>
      </c>
    </row>
    <row r="66" spans="1:27" x14ac:dyDescent="0.25">
      <c r="A66" t="s">
        <v>516</v>
      </c>
      <c r="B66" s="216" t="s">
        <v>567</v>
      </c>
      <c r="C66" s="215" t="s">
        <v>265</v>
      </c>
      <c r="E66" t="s">
        <v>540</v>
      </c>
      <c r="F66" s="84">
        <v>0</v>
      </c>
      <c r="G66" s="83">
        <v>20.6</v>
      </c>
      <c r="H66" s="121">
        <v>20.6</v>
      </c>
      <c r="I66" s="121">
        <v>20.6</v>
      </c>
      <c r="J66" s="153">
        <v>19.399999999999999</v>
      </c>
      <c r="K66" s="121">
        <v>20</v>
      </c>
      <c r="L66" s="259" t="s">
        <v>265</v>
      </c>
      <c r="M66" s="158"/>
      <c r="N66" s="261">
        <f t="shared" si="25"/>
        <v>17.146776406035663</v>
      </c>
      <c r="O66" s="72" t="s">
        <v>265</v>
      </c>
      <c r="Q66" s="176">
        <f t="shared" si="6"/>
        <v>18.24125149578262</v>
      </c>
      <c r="R66" s="176"/>
      <c r="T66" s="93"/>
      <c r="W66" s="82">
        <f t="shared" si="4"/>
        <v>22.801564369728275</v>
      </c>
      <c r="X66" s="82">
        <f t="shared" si="0"/>
        <v>21.460295877391317</v>
      </c>
      <c r="Y66" s="82">
        <f t="shared" si="1"/>
        <v>20.268057217536246</v>
      </c>
      <c r="AA66" s="238">
        <f t="shared" si="26"/>
        <v>23.689937007509897</v>
      </c>
    </row>
    <row r="67" spans="1:27" x14ac:dyDescent="0.25">
      <c r="A67" t="s">
        <v>517</v>
      </c>
      <c r="B67" s="216" t="s">
        <v>568</v>
      </c>
      <c r="C67" s="215" t="s">
        <v>265</v>
      </c>
      <c r="E67" t="s">
        <v>541</v>
      </c>
      <c r="F67" s="84">
        <v>0</v>
      </c>
      <c r="G67" s="83">
        <v>23.5</v>
      </c>
      <c r="H67" s="121">
        <v>23.5</v>
      </c>
      <c r="I67" s="121">
        <v>23.5</v>
      </c>
      <c r="J67" s="153">
        <v>22.1</v>
      </c>
      <c r="K67" s="121">
        <v>22</v>
      </c>
      <c r="L67" s="259" t="s">
        <v>265</v>
      </c>
      <c r="M67" s="158"/>
      <c r="N67" s="261">
        <f t="shared" si="25"/>
        <v>18.861454046639231</v>
      </c>
      <c r="O67" s="72" t="s">
        <v>265</v>
      </c>
      <c r="Q67" s="176">
        <f t="shared" si="6"/>
        <v>20.065376645360885</v>
      </c>
      <c r="R67" s="176"/>
      <c r="T67" s="93"/>
      <c r="W67" s="82">
        <f t="shared" si="4"/>
        <v>25.081720806701107</v>
      </c>
      <c r="X67" s="82">
        <f t="shared" si="0"/>
        <v>23.606325465130453</v>
      </c>
      <c r="Y67" s="82">
        <f t="shared" si="1"/>
        <v>22.294862939289871</v>
      </c>
      <c r="AA67" s="238">
        <f t="shared" si="26"/>
        <v>26.058930708260888</v>
      </c>
    </row>
    <row r="68" spans="1:27" x14ac:dyDescent="0.25">
      <c r="A68" t="s">
        <v>518</v>
      </c>
      <c r="B68" s="216" t="s">
        <v>569</v>
      </c>
      <c r="C68" s="215" t="s">
        <v>265</v>
      </c>
      <c r="E68" t="s">
        <v>542</v>
      </c>
      <c r="F68" s="84">
        <v>0</v>
      </c>
      <c r="G68" s="83">
        <v>28.8</v>
      </c>
      <c r="H68" s="121">
        <v>28.8</v>
      </c>
      <c r="I68" s="121">
        <v>28.8</v>
      </c>
      <c r="J68" s="153">
        <v>27.1</v>
      </c>
      <c r="K68" s="121">
        <v>28</v>
      </c>
      <c r="L68" s="259" t="s">
        <v>265</v>
      </c>
      <c r="M68" s="158"/>
      <c r="N68" s="261">
        <f t="shared" si="25"/>
        <v>24.005486968449929</v>
      </c>
      <c r="O68" s="72" t="s">
        <v>265</v>
      </c>
      <c r="Q68" s="176">
        <f t="shared" si="6"/>
        <v>25.537752094095673</v>
      </c>
      <c r="R68" s="176"/>
      <c r="T68" s="93"/>
      <c r="W68" s="82">
        <f t="shared" si="4"/>
        <v>31.922190117619589</v>
      </c>
      <c r="X68" s="82">
        <f t="shared" si="0"/>
        <v>30.044414228347851</v>
      </c>
      <c r="Y68" s="82">
        <f t="shared" si="1"/>
        <v>28.375280104550747</v>
      </c>
      <c r="AA68" s="238">
        <f t="shared" si="26"/>
        <v>33.165911810513862</v>
      </c>
    </row>
    <row r="69" spans="1:27" x14ac:dyDescent="0.25">
      <c r="A69" t="s">
        <v>519</v>
      </c>
      <c r="B69" s="216" t="s">
        <v>570</v>
      </c>
      <c r="C69" s="215" t="s">
        <v>265</v>
      </c>
      <c r="E69" t="s">
        <v>543</v>
      </c>
      <c r="F69" s="84">
        <v>0</v>
      </c>
      <c r="G69" s="83">
        <v>28.1</v>
      </c>
      <c r="H69" s="121">
        <v>28.1</v>
      </c>
      <c r="I69" s="121">
        <v>28.1</v>
      </c>
      <c r="J69" s="153">
        <v>26.4</v>
      </c>
      <c r="K69" s="121">
        <v>26.5</v>
      </c>
      <c r="L69" s="259" t="s">
        <v>265</v>
      </c>
      <c r="M69" s="158"/>
      <c r="N69" s="261">
        <f t="shared" si="25"/>
        <v>22.719478737997253</v>
      </c>
      <c r="O69" s="72" t="s">
        <v>265</v>
      </c>
      <c r="Q69" s="176">
        <f t="shared" si="6"/>
        <v>24.169658231911974</v>
      </c>
      <c r="R69" s="176"/>
      <c r="T69" s="93"/>
      <c r="W69" s="82">
        <f t="shared" si="4"/>
        <v>30.212072789889966</v>
      </c>
      <c r="X69" s="82">
        <f t="shared" si="0"/>
        <v>28.434892037543499</v>
      </c>
      <c r="Y69" s="82">
        <f t="shared" si="1"/>
        <v>26.855175813235526</v>
      </c>
      <c r="AA69" s="238">
        <f t="shared" si="26"/>
        <v>31.389166534950615</v>
      </c>
    </row>
    <row r="70" spans="1:27" x14ac:dyDescent="0.25">
      <c r="A70" t="s">
        <v>520</v>
      </c>
      <c r="B70" s="216" t="s">
        <v>571</v>
      </c>
      <c r="C70" s="215" t="s">
        <v>265</v>
      </c>
      <c r="E70" t="s">
        <v>544</v>
      </c>
      <c r="F70" s="84">
        <v>0</v>
      </c>
      <c r="G70" s="83">
        <v>32.200000000000003</v>
      </c>
      <c r="H70" s="121">
        <v>32.200000000000003</v>
      </c>
      <c r="I70" s="121">
        <v>32.200000000000003</v>
      </c>
      <c r="J70" s="153">
        <v>30.2</v>
      </c>
      <c r="K70" s="121">
        <v>31</v>
      </c>
      <c r="L70" s="259" t="s">
        <v>265</v>
      </c>
      <c r="M70" s="158"/>
      <c r="N70" s="261">
        <f t="shared" si="25"/>
        <v>26.577503429355279</v>
      </c>
      <c r="O70" s="72" t="s">
        <v>265</v>
      </c>
      <c r="Q70" s="176">
        <f t="shared" si="6"/>
        <v>28.273939818463063</v>
      </c>
      <c r="R70" s="176"/>
      <c r="T70" s="93"/>
      <c r="W70" s="82">
        <f t="shared" si="4"/>
        <v>35.342424773078825</v>
      </c>
      <c r="X70" s="82">
        <f t="shared" si="0"/>
        <v>33.263458609956544</v>
      </c>
      <c r="Y70" s="82">
        <f t="shared" si="1"/>
        <v>31.415488687181181</v>
      </c>
      <c r="AA70" s="238">
        <f t="shared" si="26"/>
        <v>36.719402361640341</v>
      </c>
    </row>
    <row r="71" spans="1:27" x14ac:dyDescent="0.25">
      <c r="A71" t="s">
        <v>521</v>
      </c>
      <c r="B71" s="216" t="s">
        <v>572</v>
      </c>
      <c r="C71" s="215" t="s">
        <v>265</v>
      </c>
      <c r="E71" t="s">
        <v>545</v>
      </c>
      <c r="F71" s="84">
        <v>0</v>
      </c>
      <c r="G71" s="83">
        <v>40.200000000000003</v>
      </c>
      <c r="H71" s="121">
        <v>40.200000000000003</v>
      </c>
      <c r="I71" s="121">
        <v>40.200000000000003</v>
      </c>
      <c r="J71" s="153">
        <v>37.799999999999997</v>
      </c>
      <c r="K71" s="121">
        <v>38</v>
      </c>
      <c r="L71" s="259" t="s">
        <v>265</v>
      </c>
      <c r="M71" s="158"/>
      <c r="N71" s="261">
        <f t="shared" si="25"/>
        <v>32.578875171467764</v>
      </c>
      <c r="O71" s="72" t="s">
        <v>265</v>
      </c>
      <c r="Q71" s="176">
        <f t="shared" si="6"/>
        <v>34.658377841986983</v>
      </c>
      <c r="R71" s="176"/>
      <c r="T71" s="93"/>
      <c r="W71" s="82">
        <f t="shared" si="4"/>
        <v>43.322972302483727</v>
      </c>
      <c r="X71" s="82">
        <f t="shared" si="0"/>
        <v>40.774562167043513</v>
      </c>
      <c r="Y71" s="82">
        <f t="shared" si="1"/>
        <v>38.509308713318866</v>
      </c>
      <c r="AA71" s="238">
        <f t="shared" si="26"/>
        <v>45.01088031426881</v>
      </c>
    </row>
    <row r="72" spans="1:27" x14ac:dyDescent="0.25">
      <c r="A72" t="s">
        <v>1136</v>
      </c>
      <c r="C72" s="215" t="s">
        <v>265</v>
      </c>
      <c r="E72" t="s">
        <v>1139</v>
      </c>
      <c r="F72" s="84">
        <v>0</v>
      </c>
      <c r="G72" s="83"/>
      <c r="H72" s="121"/>
      <c r="I72" s="121"/>
      <c r="J72" s="153"/>
      <c r="K72" s="121">
        <v>35.6</v>
      </c>
      <c r="L72" s="259" t="s">
        <v>265</v>
      </c>
      <c r="M72" s="158"/>
      <c r="N72" s="261">
        <f t="shared" si="25"/>
        <v>30.521262002743484</v>
      </c>
      <c r="O72" s="72" t="s">
        <v>265</v>
      </c>
      <c r="Q72" s="176">
        <f t="shared" si="6"/>
        <v>32.469427662493068</v>
      </c>
      <c r="R72" s="176"/>
      <c r="T72" s="93"/>
      <c r="W72" s="82"/>
      <c r="X72" s="82"/>
      <c r="Y72" s="82"/>
      <c r="AA72" s="238"/>
    </row>
    <row r="73" spans="1:27" x14ac:dyDescent="0.25">
      <c r="A73" t="s">
        <v>1137</v>
      </c>
      <c r="C73" s="215" t="s">
        <v>265</v>
      </c>
      <c r="E73" t="s">
        <v>1140</v>
      </c>
      <c r="F73" s="84">
        <v>0</v>
      </c>
      <c r="G73" s="83"/>
      <c r="H73" s="121"/>
      <c r="I73" s="121"/>
      <c r="J73" s="153"/>
      <c r="K73" s="121">
        <v>40.700000000000003</v>
      </c>
      <c r="L73" s="259" t="s">
        <v>265</v>
      </c>
      <c r="M73" s="158"/>
      <c r="N73" s="261">
        <f t="shared" si="25"/>
        <v>34.893689986282581</v>
      </c>
      <c r="O73" s="72" t="s">
        <v>265</v>
      </c>
      <c r="Q73" s="176">
        <f t="shared" si="6"/>
        <v>37.120946793917639</v>
      </c>
      <c r="R73" s="176"/>
      <c r="T73" s="93"/>
      <c r="W73" s="82"/>
      <c r="X73" s="82"/>
      <c r="Y73" s="82"/>
      <c r="AA73" s="238"/>
    </row>
    <row r="74" spans="1:27" x14ac:dyDescent="0.25">
      <c r="A74" t="s">
        <v>1136</v>
      </c>
      <c r="C74" s="215" t="s">
        <v>265</v>
      </c>
      <c r="E74" t="s">
        <v>1141</v>
      </c>
      <c r="F74" s="84">
        <v>0</v>
      </c>
      <c r="G74" s="83"/>
      <c r="H74" s="121"/>
      <c r="I74" s="121"/>
      <c r="J74" s="153"/>
      <c r="K74" s="121">
        <v>50.4</v>
      </c>
      <c r="L74" s="259" t="s">
        <v>265</v>
      </c>
      <c r="M74" s="158"/>
      <c r="N74" s="261">
        <f t="shared" si="25"/>
        <v>43.209876543209873</v>
      </c>
      <c r="O74" s="72" t="s">
        <v>265</v>
      </c>
      <c r="Q74" s="176">
        <f t="shared" si="6"/>
        <v>45.967953769372208</v>
      </c>
      <c r="R74" s="176"/>
      <c r="T74" s="93"/>
      <c r="W74" s="82"/>
      <c r="X74" s="82"/>
      <c r="Y74" s="82"/>
      <c r="AA74" s="238"/>
    </row>
    <row r="75" spans="1:27" x14ac:dyDescent="0.25">
      <c r="A75" t="s">
        <v>1138</v>
      </c>
      <c r="C75" s="215" t="s">
        <v>265</v>
      </c>
      <c r="E75" t="s">
        <v>524</v>
      </c>
      <c r="F75" s="84">
        <v>0</v>
      </c>
      <c r="G75" s="83"/>
      <c r="H75" s="121"/>
      <c r="I75" s="121"/>
      <c r="J75" s="153"/>
      <c r="K75" s="121">
        <v>50.3</v>
      </c>
      <c r="L75" s="259" t="s">
        <v>265</v>
      </c>
      <c r="M75" s="158"/>
      <c r="N75" s="261">
        <f t="shared" si="25"/>
        <v>43.12414266117969</v>
      </c>
      <c r="O75" s="72" t="s">
        <v>265</v>
      </c>
      <c r="Q75" s="176">
        <f t="shared" si="6"/>
        <v>45.876747511893292</v>
      </c>
      <c r="R75" s="176"/>
      <c r="T75" s="93"/>
      <c r="W75" s="82">
        <f t="shared" si="4"/>
        <v>57.345934389866613</v>
      </c>
      <c r="X75" s="82">
        <f t="shared" si="0"/>
        <v>53.972644131639171</v>
      </c>
      <c r="Y75" s="82">
        <f t="shared" si="1"/>
        <v>50.974163902103655</v>
      </c>
      <c r="AA75" s="238">
        <f t="shared" si="26"/>
        <v>59.58019157388739</v>
      </c>
    </row>
    <row r="76" spans="1:27" x14ac:dyDescent="0.25">
      <c r="A76" t="s">
        <v>1134</v>
      </c>
      <c r="C76" s="215" t="s">
        <v>265</v>
      </c>
      <c r="E76" t="s">
        <v>525</v>
      </c>
      <c r="F76" s="84">
        <v>0</v>
      </c>
      <c r="G76" s="83"/>
      <c r="H76" s="121"/>
      <c r="I76" s="121"/>
      <c r="J76" s="153"/>
      <c r="K76" s="121">
        <v>57.3</v>
      </c>
      <c r="L76" s="259" t="s">
        <v>265</v>
      </c>
      <c r="M76" s="158"/>
      <c r="N76" s="261">
        <f t="shared" si="25"/>
        <v>49.125514403292172</v>
      </c>
      <c r="O76" s="72" t="s">
        <v>265</v>
      </c>
      <c r="Q76" s="176">
        <f t="shared" si="6"/>
        <v>52.261185535417205</v>
      </c>
      <c r="R76" s="176"/>
      <c r="T76" s="93"/>
      <c r="W76" s="82">
        <f t="shared" si="4"/>
        <v>65.326481919271501</v>
      </c>
      <c r="X76" s="82">
        <f t="shared" si="0"/>
        <v>61.483747688726126</v>
      </c>
      <c r="Y76" s="82">
        <f t="shared" si="1"/>
        <v>58.06798392824134</v>
      </c>
      <c r="AA76" s="238">
        <f t="shared" si="26"/>
        <v>67.871669526515845</v>
      </c>
    </row>
    <row r="77" spans="1:27" x14ac:dyDescent="0.25">
      <c r="A77" t="s">
        <v>1135</v>
      </c>
      <c r="C77" s="215" t="s">
        <v>265</v>
      </c>
      <c r="E77" t="s">
        <v>526</v>
      </c>
      <c r="F77" s="84">
        <v>0</v>
      </c>
      <c r="G77" s="83"/>
      <c r="H77" s="121"/>
      <c r="I77" s="121"/>
      <c r="J77" s="153"/>
      <c r="K77" s="121">
        <v>71.599999999999994</v>
      </c>
      <c r="L77" s="259" t="s">
        <v>265</v>
      </c>
      <c r="M77" s="158"/>
      <c r="N77" s="261">
        <f t="shared" si="25"/>
        <v>61.385459533607673</v>
      </c>
      <c r="O77" s="72" t="s">
        <v>265</v>
      </c>
      <c r="Q77" s="176">
        <f t="shared" si="6"/>
        <v>65.303680354901786</v>
      </c>
      <c r="R77" s="176"/>
      <c r="T77" s="93"/>
      <c r="W77" s="82">
        <f t="shared" si="4"/>
        <v>81.629600443627226</v>
      </c>
      <c r="X77" s="82">
        <f t="shared" si="0"/>
        <v>76.827859241060921</v>
      </c>
      <c r="Y77" s="82">
        <f t="shared" si="1"/>
        <v>72.559644838779761</v>
      </c>
      <c r="AA77" s="238">
        <f t="shared" si="26"/>
        <v>84.809974486885437</v>
      </c>
    </row>
    <row r="78" spans="1:27" s="244" customFormat="1" x14ac:dyDescent="0.25">
      <c r="A78" t="s">
        <v>1131</v>
      </c>
      <c r="B78" s="245"/>
      <c r="C78" s="215" t="s">
        <v>265</v>
      </c>
      <c r="D78" s="73"/>
      <c r="E78" t="s">
        <v>535</v>
      </c>
      <c r="F78" s="84">
        <v>0</v>
      </c>
      <c r="G78" s="84"/>
      <c r="H78" s="83"/>
      <c r="I78" s="121"/>
      <c r="J78" s="153"/>
      <c r="K78" s="83">
        <v>75.2</v>
      </c>
      <c r="L78" s="259" t="s">
        <v>265</v>
      </c>
      <c r="M78" s="246"/>
      <c r="N78" s="249">
        <f t="shared" si="25"/>
        <v>64.471879286694104</v>
      </c>
      <c r="O78" s="72" t="s">
        <v>265</v>
      </c>
      <c r="Q78" s="176">
        <f t="shared" si="6"/>
        <v>68.587105624142666</v>
      </c>
      <c r="R78" s="176"/>
      <c r="T78" s="93"/>
      <c r="U78" s="247"/>
      <c r="W78" s="248"/>
      <c r="X78" s="248"/>
      <c r="Y78" s="248"/>
    </row>
    <row r="79" spans="1:27" s="244" customFormat="1" x14ac:dyDescent="0.25">
      <c r="A79" t="s">
        <v>1132</v>
      </c>
      <c r="B79" s="245"/>
      <c r="C79" s="215" t="s">
        <v>265</v>
      </c>
      <c r="D79" s="73"/>
      <c r="E79" t="s">
        <v>536</v>
      </c>
      <c r="F79" s="84">
        <v>0</v>
      </c>
      <c r="G79" s="84"/>
      <c r="H79" s="83"/>
      <c r="I79" s="121"/>
      <c r="J79" s="153"/>
      <c r="K79" s="83">
        <v>82.7</v>
      </c>
      <c r="L79" s="259" t="s">
        <v>265</v>
      </c>
      <c r="M79" s="246"/>
      <c r="N79" s="249">
        <f t="shared" si="25"/>
        <v>70.901920438957475</v>
      </c>
      <c r="O79" s="72" t="s">
        <v>265</v>
      </c>
      <c r="Q79" s="176">
        <f t="shared" si="6"/>
        <v>75.427574935061145</v>
      </c>
      <c r="R79" s="176"/>
      <c r="T79" s="93"/>
      <c r="U79" s="247"/>
      <c r="W79" s="248"/>
      <c r="X79" s="248"/>
      <c r="Y79" s="248"/>
    </row>
    <row r="80" spans="1:27" s="244" customFormat="1" x14ac:dyDescent="0.25">
      <c r="A80" t="s">
        <v>1133</v>
      </c>
      <c r="B80" s="245"/>
      <c r="C80" s="215" t="s">
        <v>265</v>
      </c>
      <c r="D80" s="73"/>
      <c r="E80" t="s">
        <v>537</v>
      </c>
      <c r="F80" s="84">
        <v>0</v>
      </c>
      <c r="G80" s="84"/>
      <c r="H80" s="83"/>
      <c r="I80" s="121"/>
      <c r="J80" s="153"/>
      <c r="K80" s="83">
        <v>96.8</v>
      </c>
      <c r="L80" s="259" t="s">
        <v>265</v>
      </c>
      <c r="M80" s="246"/>
      <c r="N80" s="249">
        <f t="shared" si="25"/>
        <v>82.990397805212609</v>
      </c>
      <c r="O80" s="72" t="s">
        <v>265</v>
      </c>
      <c r="Q80" s="176">
        <f t="shared" si="6"/>
        <v>88.287657239587887</v>
      </c>
      <c r="R80" s="176"/>
      <c r="T80" s="93"/>
      <c r="U80" s="247"/>
      <c r="W80" s="248"/>
      <c r="X80" s="248"/>
      <c r="Y80" s="248"/>
    </row>
    <row r="81" spans="1:20" x14ac:dyDescent="0.25">
      <c r="A81" t="s">
        <v>1198</v>
      </c>
      <c r="C81" s="215" t="s">
        <v>265</v>
      </c>
      <c r="E81" t="s">
        <v>1199</v>
      </c>
      <c r="K81" s="259" t="s">
        <v>265</v>
      </c>
      <c r="L81" s="266">
        <v>19.7</v>
      </c>
      <c r="N81" s="72" t="s">
        <v>265</v>
      </c>
      <c r="O81" s="72" t="s">
        <v>265</v>
      </c>
      <c r="Q81" s="176"/>
      <c r="R81" s="176"/>
      <c r="T81" s="93"/>
    </row>
    <row r="82" spans="1:20" x14ac:dyDescent="0.25">
      <c r="A82" t="s">
        <v>1197</v>
      </c>
      <c r="C82" s="215" t="s">
        <v>265</v>
      </c>
      <c r="E82" t="s">
        <v>1199</v>
      </c>
      <c r="K82" s="259" t="s">
        <v>265</v>
      </c>
      <c r="L82" s="266">
        <v>22.3</v>
      </c>
      <c r="N82" s="72" t="s">
        <v>265</v>
      </c>
      <c r="O82" s="72" t="s">
        <v>265</v>
      </c>
      <c r="Q82" s="176"/>
      <c r="R82" s="176"/>
      <c r="T82" s="93"/>
    </row>
    <row r="83" spans="1:20" x14ac:dyDescent="0.25">
      <c r="A83" t="s">
        <v>1196</v>
      </c>
      <c r="C83" s="215" t="s">
        <v>265</v>
      </c>
      <c r="E83" t="s">
        <v>1199</v>
      </c>
      <c r="K83" s="259" t="s">
        <v>265</v>
      </c>
      <c r="L83" s="266">
        <v>27.1</v>
      </c>
      <c r="N83" s="72" t="s">
        <v>265</v>
      </c>
      <c r="O83" s="72" t="s">
        <v>265</v>
      </c>
      <c r="Q83" s="176"/>
      <c r="R83" s="176"/>
      <c r="T83" s="93"/>
    </row>
    <row r="96" spans="1:20" x14ac:dyDescent="0.25">
      <c r="F96" s="1">
        <v>45614</v>
      </c>
      <c r="G96" s="1">
        <v>45702</v>
      </c>
      <c r="H96" s="120"/>
      <c r="I96" s="120"/>
      <c r="J96" s="120"/>
      <c r="K96" s="120"/>
      <c r="L96" s="120"/>
      <c r="M96" s="120"/>
      <c r="P96" s="11"/>
      <c r="S96" s="11"/>
      <c r="T96" s="17" t="s">
        <v>29</v>
      </c>
    </row>
    <row r="97" spans="1:25" x14ac:dyDescent="0.25">
      <c r="A97" s="76" t="s">
        <v>410</v>
      </c>
      <c r="B97" s="205"/>
      <c r="C97" s="205"/>
      <c r="D97" s="76" t="s">
        <v>1</v>
      </c>
      <c r="E97" s="76"/>
      <c r="F97" s="76" t="s">
        <v>2</v>
      </c>
      <c r="G97" s="76" t="s">
        <v>2</v>
      </c>
      <c r="H97" s="118"/>
      <c r="I97" s="118"/>
      <c r="J97" s="118"/>
      <c r="K97" s="118"/>
      <c r="L97" s="118"/>
      <c r="M97" s="155"/>
      <c r="N97" s="76" t="s">
        <v>57</v>
      </c>
      <c r="O97" s="76"/>
      <c r="Q97" s="76" t="s">
        <v>58</v>
      </c>
      <c r="R97" s="76"/>
      <c r="T97" s="76" t="s">
        <v>30</v>
      </c>
      <c r="W97" s="77">
        <v>0.2</v>
      </c>
      <c r="X97" s="77">
        <v>0.15</v>
      </c>
      <c r="Y97" s="77">
        <v>0.1</v>
      </c>
    </row>
    <row r="98" spans="1:25" x14ac:dyDescent="0.25">
      <c r="A98" s="74" t="s">
        <v>3</v>
      </c>
      <c r="B98" s="217"/>
      <c r="C98" s="215"/>
      <c r="D98" s="74" t="s">
        <v>4</v>
      </c>
      <c r="E98" s="107" t="s">
        <v>614</v>
      </c>
      <c r="F98" s="78">
        <v>155</v>
      </c>
      <c r="G98" s="78">
        <v>150</v>
      </c>
      <c r="H98" s="78"/>
      <c r="I98" s="78"/>
      <c r="J98" s="152"/>
      <c r="K98" s="78"/>
      <c r="L98" s="267"/>
      <c r="M98" s="157"/>
      <c r="N98" s="261">
        <f>(G98*N$1)/N$2</f>
        <v>128.60082304526748</v>
      </c>
      <c r="O98" s="261"/>
      <c r="P98" s="79"/>
      <c r="Q98" s="176">
        <f>(N98/Q$1)</f>
        <v>136.80938621836967</v>
      </c>
      <c r="R98" s="176"/>
      <c r="T98" s="80"/>
      <c r="U98" s="81"/>
      <c r="W98" s="82">
        <f>Q98/0.8</f>
        <v>171.01173277296206</v>
      </c>
      <c r="X98" s="82">
        <f>Q98/0.85</f>
        <v>160.9522190804349</v>
      </c>
      <c r="Y98" s="82">
        <f>Q98/0.9</f>
        <v>152.01042913152185</v>
      </c>
    </row>
    <row r="99" spans="1:25" x14ac:dyDescent="0.25">
      <c r="A99" s="74" t="s">
        <v>5</v>
      </c>
      <c r="B99" s="217"/>
      <c r="C99" s="215"/>
      <c r="D99" s="74" t="s">
        <v>6</v>
      </c>
      <c r="E99" s="107" t="s">
        <v>614</v>
      </c>
      <c r="F99" s="78">
        <v>165</v>
      </c>
      <c r="G99" s="78">
        <v>160</v>
      </c>
      <c r="H99" s="78"/>
      <c r="I99" s="78"/>
      <c r="J99" s="152"/>
      <c r="K99" s="78"/>
      <c r="L99" s="267"/>
      <c r="M99" s="157"/>
      <c r="N99" s="261">
        <f>(G99*N$1)/N$2</f>
        <v>137.1742112482853</v>
      </c>
      <c r="O99" s="261"/>
      <c r="P99" s="79"/>
      <c r="Q99" s="176">
        <f>(N99/Q$1)</f>
        <v>145.93001196626096</v>
      </c>
      <c r="R99" s="176"/>
      <c r="T99" s="80">
        <v>158</v>
      </c>
      <c r="U99" s="81">
        <f>(G99-T99)/T99</f>
        <v>1.2658227848101266E-2</v>
      </c>
      <c r="W99" s="82">
        <f t="shared" ref="W99:W102" si="27">Q99/0.8</f>
        <v>182.4125149578262</v>
      </c>
      <c r="X99" s="82">
        <f t="shared" ref="X99:X102" si="28">Q99/0.85</f>
        <v>171.68236701913054</v>
      </c>
      <c r="Y99" s="82">
        <f t="shared" ref="Y99:Y102" si="29">Q99/0.9</f>
        <v>162.14445774028997</v>
      </c>
    </row>
    <row r="100" spans="1:25" x14ac:dyDescent="0.25">
      <c r="A100" s="74" t="s">
        <v>7</v>
      </c>
      <c r="B100" s="217"/>
      <c r="C100" s="215"/>
      <c r="D100" s="74" t="s">
        <v>8</v>
      </c>
      <c r="E100" s="107" t="s">
        <v>614</v>
      </c>
      <c r="F100" s="78">
        <v>175</v>
      </c>
      <c r="G100" s="78">
        <v>170</v>
      </c>
      <c r="H100" s="78"/>
      <c r="I100" s="78"/>
      <c r="J100" s="152"/>
      <c r="K100" s="78"/>
      <c r="L100" s="267"/>
      <c r="M100" s="157"/>
      <c r="N100" s="261">
        <f>(G100*N$1)/N$2</f>
        <v>145.74759945130313</v>
      </c>
      <c r="O100" s="261"/>
      <c r="P100" s="79"/>
      <c r="Q100" s="176">
        <f>(N100/Q$1)</f>
        <v>155.05063771415229</v>
      </c>
      <c r="R100" s="176"/>
      <c r="T100" s="80">
        <v>165</v>
      </c>
      <c r="U100" s="81">
        <f t="shared" ref="U100" si="30">(G100-T100)/T100</f>
        <v>3.0303030303030304E-2</v>
      </c>
      <c r="W100" s="82">
        <f t="shared" si="27"/>
        <v>193.81329714269035</v>
      </c>
      <c r="X100" s="82">
        <f t="shared" si="28"/>
        <v>182.41251495782623</v>
      </c>
      <c r="Y100" s="82">
        <f t="shared" si="29"/>
        <v>172.27848634905808</v>
      </c>
    </row>
    <row r="101" spans="1:25" x14ac:dyDescent="0.25">
      <c r="A101" s="74" t="s">
        <v>9</v>
      </c>
      <c r="B101" s="217"/>
      <c r="C101" s="215"/>
      <c r="D101" s="74" t="s">
        <v>10</v>
      </c>
      <c r="E101" s="107" t="s">
        <v>614</v>
      </c>
      <c r="F101" s="78">
        <v>190</v>
      </c>
      <c r="G101" s="78">
        <v>185</v>
      </c>
      <c r="H101" s="78"/>
      <c r="I101" s="78"/>
      <c r="J101" s="152"/>
      <c r="K101" s="78"/>
      <c r="L101" s="267"/>
      <c r="M101" s="157"/>
      <c r="N101" s="261">
        <f>(G101*N$1)/N$2</f>
        <v>158.6076817558299</v>
      </c>
      <c r="O101" s="261"/>
      <c r="P101" s="79"/>
      <c r="Q101" s="176">
        <f>(N101/Q$1)</f>
        <v>168.73157633598927</v>
      </c>
      <c r="R101" s="176"/>
      <c r="T101" s="80"/>
      <c r="U101" s="81"/>
      <c r="W101" s="82">
        <f t="shared" si="27"/>
        <v>210.91447041998657</v>
      </c>
      <c r="X101" s="82">
        <f t="shared" si="28"/>
        <v>198.50773686586973</v>
      </c>
      <c r="Y101" s="82">
        <f t="shared" si="29"/>
        <v>187.47952926221029</v>
      </c>
    </row>
    <row r="102" spans="1:25" x14ac:dyDescent="0.25">
      <c r="A102" s="74" t="s">
        <v>11</v>
      </c>
      <c r="B102" s="217"/>
      <c r="C102" s="215"/>
      <c r="D102" s="74" t="s">
        <v>12</v>
      </c>
      <c r="E102" s="107" t="s">
        <v>614</v>
      </c>
      <c r="F102" s="78">
        <v>235</v>
      </c>
      <c r="G102" s="78">
        <v>230</v>
      </c>
      <c r="H102" s="78"/>
      <c r="I102" s="78"/>
      <c r="J102" s="152"/>
      <c r="K102" s="78"/>
      <c r="L102" s="267"/>
      <c r="M102" s="157"/>
      <c r="N102" s="261">
        <f>(G102*N$1)/N$2</f>
        <v>197.18792866941013</v>
      </c>
      <c r="O102" s="261"/>
      <c r="P102" s="79"/>
      <c r="Q102" s="176">
        <f>(N102/Q$1)</f>
        <v>209.77439220150015</v>
      </c>
      <c r="R102" s="176"/>
      <c r="T102" s="80">
        <v>205</v>
      </c>
      <c r="U102" s="81">
        <f t="shared" ref="U102" si="31">(G102-T102)/T102</f>
        <v>0.12195121951219512</v>
      </c>
      <c r="W102" s="82">
        <f t="shared" si="27"/>
        <v>262.21799025187516</v>
      </c>
      <c r="X102" s="82">
        <f t="shared" si="28"/>
        <v>246.79340259000017</v>
      </c>
      <c r="Y102" s="82">
        <f t="shared" si="29"/>
        <v>233.08265800166683</v>
      </c>
    </row>
    <row r="103" spans="1:25" x14ac:dyDescent="0.25">
      <c r="A103" s="76" t="s">
        <v>410</v>
      </c>
      <c r="B103" s="205"/>
      <c r="C103" s="205"/>
      <c r="D103" s="76" t="s">
        <v>1</v>
      </c>
      <c r="E103" s="109"/>
      <c r="F103" s="76" t="s">
        <v>2</v>
      </c>
      <c r="G103" s="76" t="s">
        <v>2</v>
      </c>
      <c r="H103" s="118"/>
      <c r="I103" s="118"/>
      <c r="J103" s="118"/>
      <c r="K103" s="118"/>
      <c r="L103" s="118"/>
      <c r="M103" s="155"/>
      <c r="N103" s="76" t="s">
        <v>57</v>
      </c>
      <c r="O103" s="76"/>
      <c r="Q103" s="76" t="s">
        <v>58</v>
      </c>
      <c r="R103" s="76"/>
      <c r="T103" s="76" t="s">
        <v>30</v>
      </c>
      <c r="W103" s="77"/>
      <c r="X103" s="82"/>
      <c r="Y103" s="82"/>
    </row>
    <row r="104" spans="1:25" x14ac:dyDescent="0.25">
      <c r="A104" s="74" t="s">
        <v>13</v>
      </c>
      <c r="B104" s="217"/>
      <c r="C104" s="215"/>
      <c r="D104" s="74" t="s">
        <v>14</v>
      </c>
      <c r="E104" s="107" t="s">
        <v>614</v>
      </c>
      <c r="F104" s="78">
        <v>175</v>
      </c>
      <c r="G104" s="78">
        <v>170</v>
      </c>
      <c r="H104" s="78"/>
      <c r="I104" s="78"/>
      <c r="J104" s="152"/>
      <c r="K104" s="78"/>
      <c r="L104" s="267"/>
      <c r="M104" s="157"/>
      <c r="N104" s="261">
        <f>(G104*N$1)/N$2</f>
        <v>145.74759945130313</v>
      </c>
      <c r="O104" s="261"/>
      <c r="P104" s="79"/>
      <c r="Q104" s="176">
        <f>(N104/Q$1)</f>
        <v>155.05063771415229</v>
      </c>
      <c r="R104" s="176"/>
      <c r="T104" s="80"/>
      <c r="U104" s="81"/>
      <c r="W104" s="82">
        <f t="shared" ref="W104:W106" si="32">Q104/0.8</f>
        <v>193.81329714269035</v>
      </c>
      <c r="X104" s="82">
        <f t="shared" ref="X104:X106" si="33">Q104/0.85</f>
        <v>182.41251495782623</v>
      </c>
      <c r="Y104" s="82">
        <f t="shared" ref="Y104:Y106" si="34">Q104/0.9</f>
        <v>172.27848634905808</v>
      </c>
    </row>
    <row r="105" spans="1:25" x14ac:dyDescent="0.25">
      <c r="A105" s="74" t="s">
        <v>15</v>
      </c>
      <c r="B105" s="217"/>
      <c r="C105" s="215"/>
      <c r="D105" s="74" t="s">
        <v>16</v>
      </c>
      <c r="E105" s="107" t="s">
        <v>614</v>
      </c>
      <c r="F105" s="78">
        <v>195</v>
      </c>
      <c r="G105" s="78">
        <v>190</v>
      </c>
      <c r="H105" s="78"/>
      <c r="I105" s="78"/>
      <c r="J105" s="152"/>
      <c r="K105" s="78"/>
      <c r="L105" s="267"/>
      <c r="M105" s="157"/>
      <c r="N105" s="261">
        <f>(G105*N$1)/N$2</f>
        <v>162.89437585733882</v>
      </c>
      <c r="O105" s="261"/>
      <c r="P105" s="79"/>
      <c r="Q105" s="176">
        <f>(N105/Q$1)</f>
        <v>173.29188920993491</v>
      </c>
      <c r="R105" s="176"/>
      <c r="T105" s="80"/>
      <c r="U105" s="81"/>
      <c r="W105" s="82">
        <f t="shared" si="32"/>
        <v>216.61486151241863</v>
      </c>
      <c r="X105" s="82">
        <f t="shared" si="33"/>
        <v>203.87281083521754</v>
      </c>
      <c r="Y105" s="82">
        <f t="shared" si="34"/>
        <v>192.54654356659432</v>
      </c>
    </row>
    <row r="106" spans="1:25" x14ac:dyDescent="0.25">
      <c r="A106" s="74" t="s">
        <v>17</v>
      </c>
      <c r="B106" s="217"/>
      <c r="C106" s="215"/>
      <c r="D106" s="74" t="s">
        <v>18</v>
      </c>
      <c r="E106" s="107" t="s">
        <v>614</v>
      </c>
      <c r="F106" s="78">
        <v>240</v>
      </c>
      <c r="G106" s="78">
        <v>235</v>
      </c>
      <c r="H106" s="78"/>
      <c r="I106" s="78"/>
      <c r="J106" s="152"/>
      <c r="K106" s="78"/>
      <c r="L106" s="267"/>
      <c r="M106" s="157"/>
      <c r="N106" s="261">
        <f>(G106*N$1)/N$2</f>
        <v>201.47462277091904</v>
      </c>
      <c r="O106" s="261"/>
      <c r="P106" s="79"/>
      <c r="Q106" s="176">
        <f>(N106/Q$1)</f>
        <v>214.33470507544581</v>
      </c>
      <c r="R106" s="176"/>
      <c r="T106" s="80">
        <v>232</v>
      </c>
      <c r="U106" s="81">
        <f t="shared" ref="U106" si="35">(G106-T106)/T106</f>
        <v>1.2931034482758621E-2</v>
      </c>
      <c r="W106" s="82">
        <f t="shared" si="32"/>
        <v>267.91838134430725</v>
      </c>
      <c r="X106" s="82">
        <f t="shared" si="33"/>
        <v>252.15847655934803</v>
      </c>
      <c r="Y106" s="82">
        <f t="shared" si="34"/>
        <v>238.14967230605089</v>
      </c>
    </row>
    <row r="107" spans="1:25" x14ac:dyDescent="0.25">
      <c r="A107" s="76" t="s">
        <v>410</v>
      </c>
      <c r="B107" s="205"/>
      <c r="C107" s="205"/>
      <c r="D107" s="76" t="s">
        <v>1</v>
      </c>
      <c r="E107" s="109"/>
      <c r="F107" s="76" t="s">
        <v>2</v>
      </c>
      <c r="G107" s="76" t="s">
        <v>2</v>
      </c>
      <c r="H107" s="118"/>
      <c r="I107" s="118"/>
      <c r="J107" s="118"/>
      <c r="K107" s="118"/>
      <c r="L107" s="118"/>
      <c r="M107" s="155"/>
      <c r="N107" s="76" t="s">
        <v>57</v>
      </c>
      <c r="O107" s="76"/>
      <c r="Q107" s="76" t="s">
        <v>58</v>
      </c>
      <c r="R107" s="76"/>
      <c r="T107" s="76" t="s">
        <v>30</v>
      </c>
      <c r="W107" s="77"/>
      <c r="X107" s="82"/>
      <c r="Y107" s="82"/>
    </row>
    <row r="108" spans="1:25" x14ac:dyDescent="0.25">
      <c r="A108" s="74" t="s">
        <v>19</v>
      </c>
      <c r="B108" s="217"/>
      <c r="C108" s="215"/>
      <c r="D108" s="74" t="s">
        <v>20</v>
      </c>
      <c r="E108" s="107" t="s">
        <v>614</v>
      </c>
      <c r="F108" s="78">
        <v>280</v>
      </c>
      <c r="G108" s="78">
        <v>275</v>
      </c>
      <c r="H108" s="78"/>
      <c r="I108" s="78"/>
      <c r="J108" s="152"/>
      <c r="K108" s="78"/>
      <c r="L108" s="267"/>
      <c r="M108" s="157"/>
      <c r="N108" s="261">
        <f>(G108*N$1)/N$2</f>
        <v>235.76817558299038</v>
      </c>
      <c r="O108" s="261"/>
      <c r="P108" s="79"/>
      <c r="Q108" s="176">
        <f>(N108/Q$1)</f>
        <v>250.81720806701105</v>
      </c>
      <c r="R108" s="176"/>
      <c r="T108" s="80"/>
      <c r="U108" s="81"/>
      <c r="W108" s="82">
        <f t="shared" ref="W108" si="36">Q108/0.8</f>
        <v>313.52151008376381</v>
      </c>
      <c r="X108" s="82">
        <f t="shared" ref="X108" si="37">Q108/0.85</f>
        <v>295.07906831413067</v>
      </c>
      <c r="Y108" s="82">
        <f t="shared" ref="Y108" si="38">Q108/0.9</f>
        <v>278.68578674112337</v>
      </c>
    </row>
    <row r="109" spans="1:25" x14ac:dyDescent="0.25">
      <c r="A109" s="76" t="s">
        <v>410</v>
      </c>
      <c r="B109" s="205"/>
      <c r="C109" s="205"/>
      <c r="D109" s="76" t="s">
        <v>1</v>
      </c>
      <c r="E109" s="109"/>
      <c r="F109" s="76" t="s">
        <v>2</v>
      </c>
      <c r="G109" s="76" t="s">
        <v>2</v>
      </c>
      <c r="H109" s="118"/>
      <c r="I109" s="118"/>
      <c r="J109" s="118"/>
      <c r="K109" s="118"/>
      <c r="L109" s="118"/>
      <c r="M109" s="155"/>
      <c r="N109" s="76" t="s">
        <v>57</v>
      </c>
      <c r="O109" s="76"/>
      <c r="Q109" s="76" t="s">
        <v>58</v>
      </c>
      <c r="R109" s="76"/>
      <c r="T109" s="76" t="s">
        <v>30</v>
      </c>
      <c r="W109" s="77"/>
      <c r="X109" s="82"/>
      <c r="Y109" s="82"/>
    </row>
    <row r="110" spans="1:25" x14ac:dyDescent="0.25">
      <c r="A110" s="74" t="s">
        <v>21</v>
      </c>
      <c r="B110" s="217"/>
      <c r="C110" s="215"/>
      <c r="D110" s="74" t="s">
        <v>22</v>
      </c>
      <c r="E110" s="107" t="s">
        <v>614</v>
      </c>
      <c r="F110" s="78">
        <v>255</v>
      </c>
      <c r="G110" s="78">
        <v>250</v>
      </c>
      <c r="H110" s="78"/>
      <c r="I110" s="78"/>
      <c r="J110" s="152"/>
      <c r="K110" s="78"/>
      <c r="L110" s="267"/>
      <c r="M110" s="157"/>
      <c r="N110" s="261">
        <f>(G110*N$1)/N$2</f>
        <v>214.33470507544581</v>
      </c>
      <c r="O110" s="261"/>
      <c r="P110" s="79"/>
      <c r="Q110" s="176">
        <f>(N110/Q$1)</f>
        <v>228.0156436972828</v>
      </c>
      <c r="R110" s="176"/>
      <c r="T110" s="80"/>
      <c r="U110" s="81"/>
      <c r="W110" s="82">
        <f t="shared" ref="W110" si="39">Q110/0.8</f>
        <v>285.0195546216035</v>
      </c>
      <c r="X110" s="82">
        <f t="shared" ref="X110:X112" si="40">Q110/0.85</f>
        <v>268.25369846739153</v>
      </c>
      <c r="Y110" s="82">
        <f t="shared" ref="Y110:Y112" si="41">Q110/0.9</f>
        <v>253.3507152192031</v>
      </c>
    </row>
    <row r="111" spans="1:25" x14ac:dyDescent="0.25">
      <c r="A111" s="74" t="s">
        <v>23</v>
      </c>
      <c r="B111" s="217"/>
      <c r="C111" s="215"/>
      <c r="D111" s="74" t="s">
        <v>24</v>
      </c>
      <c r="E111" s="107" t="s">
        <v>614</v>
      </c>
      <c r="F111" s="78">
        <v>280</v>
      </c>
      <c r="G111" s="78">
        <v>275</v>
      </c>
      <c r="H111" s="78"/>
      <c r="I111" s="78"/>
      <c r="J111" s="152"/>
      <c r="K111" s="78"/>
      <c r="L111" s="267"/>
      <c r="M111" s="157"/>
      <c r="N111" s="261">
        <f>(G111*N$1)/N$2</f>
        <v>235.76817558299038</v>
      </c>
      <c r="O111" s="261"/>
      <c r="P111" s="79"/>
      <c r="Q111" s="176">
        <f>(N111/Q$1)</f>
        <v>250.81720806701105</v>
      </c>
      <c r="R111" s="176"/>
      <c r="T111" s="80">
        <v>273</v>
      </c>
      <c r="U111" s="81">
        <f t="shared" ref="U111:U112" si="42">(G111-T111)/T111</f>
        <v>7.326007326007326E-3</v>
      </c>
      <c r="W111" s="82">
        <f>Q111/0.8</f>
        <v>313.52151008376381</v>
      </c>
      <c r="X111" s="82">
        <f t="shared" si="40"/>
        <v>295.07906831413067</v>
      </c>
      <c r="Y111" s="82">
        <f t="shared" si="41"/>
        <v>278.68578674112337</v>
      </c>
    </row>
    <row r="112" spans="1:25" x14ac:dyDescent="0.25">
      <c r="A112" s="74" t="s">
        <v>25</v>
      </c>
      <c r="B112" s="217"/>
      <c r="C112" s="215"/>
      <c r="D112" s="74" t="s">
        <v>26</v>
      </c>
      <c r="E112" s="107" t="s">
        <v>614</v>
      </c>
      <c r="F112" s="78">
        <v>315</v>
      </c>
      <c r="G112" s="78">
        <v>310</v>
      </c>
      <c r="H112" s="78"/>
      <c r="I112" s="78"/>
      <c r="J112" s="152"/>
      <c r="K112" s="78"/>
      <c r="L112" s="267"/>
      <c r="M112" s="157"/>
      <c r="N112" s="261">
        <f>(G112*N$1)/N$2</f>
        <v>265.77503429355278</v>
      </c>
      <c r="O112" s="261"/>
      <c r="P112" s="79"/>
      <c r="Q112" s="176">
        <f>(N112/Q$1)</f>
        <v>282.73939818463066</v>
      </c>
      <c r="R112" s="176"/>
      <c r="T112" s="80">
        <v>320</v>
      </c>
      <c r="U112" s="81">
        <f t="shared" si="42"/>
        <v>-3.125E-2</v>
      </c>
      <c r="W112" s="82">
        <f t="shared" ref="W112" si="43">Q112/0.8</f>
        <v>353.4242477307883</v>
      </c>
      <c r="X112" s="82">
        <f t="shared" si="40"/>
        <v>332.63458609956547</v>
      </c>
      <c r="Y112" s="82">
        <f t="shared" si="41"/>
        <v>314.15488687181181</v>
      </c>
    </row>
    <row r="113" spans="1:23" s="89" customFormat="1" ht="8.85" customHeight="1" x14ac:dyDescent="0.25">
      <c r="A113" s="85"/>
      <c r="B113" s="218"/>
      <c r="C113" s="219"/>
      <c r="D113" s="85"/>
      <c r="E113" s="85"/>
      <c r="F113" s="86"/>
      <c r="G113" s="86"/>
      <c r="H113" s="86"/>
      <c r="I113" s="86"/>
      <c r="J113" s="86"/>
      <c r="K113" s="86"/>
      <c r="L113" s="268"/>
      <c r="M113" s="157"/>
      <c r="N113" s="263"/>
      <c r="O113" s="263"/>
      <c r="P113" s="88"/>
      <c r="Q113" s="87"/>
      <c r="R113" s="87"/>
      <c r="T113" s="90"/>
      <c r="U113" s="91"/>
      <c r="W113" s="92"/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0305-31E8-40F1-B530-25C3F063543E}">
  <dimension ref="A1:U130"/>
  <sheetViews>
    <sheetView zoomScale="80" zoomScaleNormal="80" workbookViewId="0">
      <pane ySplit="4" topLeftCell="A47" activePane="bottomLeft" state="frozen"/>
      <selection pane="bottomLeft" activeCell="N74" sqref="N74"/>
    </sheetView>
  </sheetViews>
  <sheetFormatPr baseColWidth="10" defaultRowHeight="15" x14ac:dyDescent="0.25"/>
  <cols>
    <col min="1" max="1" width="32.5703125" style="98" customWidth="1"/>
    <col min="2" max="2" width="18" style="203" bestFit="1" customWidth="1"/>
    <col min="3" max="3" width="16.5703125" style="213" bestFit="1" customWidth="1"/>
    <col min="4" max="4" width="23.5703125" style="98" bestFit="1" customWidth="1"/>
    <col min="5" max="5" width="66.5703125" style="98" customWidth="1"/>
    <col min="6" max="10" width="12.42578125" hidden="1" customWidth="1"/>
    <col min="11" max="11" width="12.42578125" customWidth="1"/>
    <col min="12" max="12" width="16.42578125" customWidth="1"/>
    <col min="13" max="13" width="2.42578125" customWidth="1"/>
    <col min="14" max="14" width="17.5703125" bestFit="1" customWidth="1"/>
    <col min="15" max="15" width="4.42578125" bestFit="1" customWidth="1"/>
    <col min="16" max="16" width="20.42578125" customWidth="1"/>
    <col min="17" max="17" width="9.42578125" bestFit="1" customWidth="1"/>
    <col min="18" max="18" width="3.5703125" customWidth="1"/>
  </cols>
  <sheetData>
    <row r="1" spans="1:19" x14ac:dyDescent="0.25">
      <c r="A1" s="117" t="s">
        <v>936</v>
      </c>
      <c r="G1" s="11"/>
      <c r="H1" s="11"/>
      <c r="I1" s="11"/>
      <c r="J1" s="11"/>
      <c r="K1" s="11" t="s">
        <v>27</v>
      </c>
      <c r="L1" s="12">
        <v>1</v>
      </c>
      <c r="N1" s="2">
        <v>0.94</v>
      </c>
    </row>
    <row r="2" spans="1:19" x14ac:dyDescent="0.25">
      <c r="G2" s="11"/>
      <c r="H2" s="11"/>
      <c r="I2" s="11"/>
      <c r="J2" s="11"/>
      <c r="K2" s="11" t="s">
        <v>28</v>
      </c>
      <c r="L2" s="260">
        <v>1.1555</v>
      </c>
    </row>
    <row r="4" spans="1:19" x14ac:dyDescent="0.25">
      <c r="F4" s="97">
        <v>45743</v>
      </c>
      <c r="G4" s="97">
        <v>45828</v>
      </c>
      <c r="H4" s="97">
        <v>45859</v>
      </c>
      <c r="I4" s="97">
        <v>45863</v>
      </c>
      <c r="J4" s="97">
        <v>45863</v>
      </c>
      <c r="K4" s="97">
        <v>45869</v>
      </c>
      <c r="P4" s="17" t="s">
        <v>29</v>
      </c>
      <c r="S4" t="s">
        <v>812</v>
      </c>
    </row>
    <row r="5" spans="1:19" x14ac:dyDescent="0.25">
      <c r="A5" s="76" t="s">
        <v>410</v>
      </c>
      <c r="B5" s="212" t="s">
        <v>600</v>
      </c>
      <c r="C5" s="212" t="s">
        <v>482</v>
      </c>
      <c r="D5" s="76" t="s">
        <v>1</v>
      </c>
      <c r="E5" s="76" t="s">
        <v>59</v>
      </c>
      <c r="F5" s="76" t="s">
        <v>2</v>
      </c>
      <c r="G5" s="76" t="s">
        <v>2</v>
      </c>
      <c r="H5" s="76" t="s">
        <v>2</v>
      </c>
      <c r="I5" s="76" t="s">
        <v>2</v>
      </c>
      <c r="J5" s="118" t="s">
        <v>935</v>
      </c>
      <c r="K5" s="76" t="s">
        <v>2</v>
      </c>
      <c r="L5" s="76" t="s">
        <v>57</v>
      </c>
      <c r="N5" s="76" t="s">
        <v>58</v>
      </c>
      <c r="P5" s="76" t="s">
        <v>30</v>
      </c>
    </row>
    <row r="6" spans="1:19" x14ac:dyDescent="0.25">
      <c r="A6" s="74" t="s">
        <v>615</v>
      </c>
      <c r="B6" s="214" t="s">
        <v>682</v>
      </c>
      <c r="C6" s="215" t="s">
        <v>745</v>
      </c>
      <c r="D6" s="71" t="s">
        <v>4</v>
      </c>
      <c r="E6" s="71" t="s">
        <v>60</v>
      </c>
      <c r="F6" s="78">
        <v>164</v>
      </c>
      <c r="G6" s="78">
        <v>193.1</v>
      </c>
      <c r="H6" s="78">
        <v>195.8958574144734</v>
      </c>
      <c r="I6" s="78">
        <v>187</v>
      </c>
      <c r="J6" s="152">
        <v>161</v>
      </c>
      <c r="K6" s="78">
        <v>175</v>
      </c>
      <c r="L6" s="99">
        <f t="shared" ref="L6:L23" si="0">(K6*L$1/L$2)</f>
        <v>151.44958892254436</v>
      </c>
      <c r="N6" s="183">
        <f>L6/N$1</f>
        <v>161.11658396015358</v>
      </c>
      <c r="P6" s="100"/>
      <c r="S6" s="101">
        <f>N6/0.85</f>
        <v>189.54892230606305</v>
      </c>
    </row>
    <row r="7" spans="1:19" x14ac:dyDescent="0.25">
      <c r="A7" s="74" t="s">
        <v>616</v>
      </c>
      <c r="B7" s="214" t="s">
        <v>683</v>
      </c>
      <c r="C7" s="215" t="s">
        <v>746</v>
      </c>
      <c r="D7" s="71" t="s">
        <v>6</v>
      </c>
      <c r="E7" s="71" t="s">
        <v>60</v>
      </c>
      <c r="F7" s="78">
        <v>175</v>
      </c>
      <c r="G7" s="78">
        <v>201.7</v>
      </c>
      <c r="H7" s="78">
        <v>204.5</v>
      </c>
      <c r="I7" s="78">
        <v>195</v>
      </c>
      <c r="J7" s="152">
        <v>172</v>
      </c>
      <c r="K7" s="78">
        <v>180</v>
      </c>
      <c r="L7" s="99">
        <f t="shared" si="0"/>
        <v>155.77672003461706</v>
      </c>
      <c r="N7" s="183">
        <f t="shared" ref="N7:N23" si="1">L7/N$1</f>
        <v>165.71991493044368</v>
      </c>
      <c r="P7" s="100"/>
      <c r="S7" s="101">
        <f t="shared" ref="S7:S68" si="2">N7/0.85</f>
        <v>194.96460580052198</v>
      </c>
    </row>
    <row r="8" spans="1:19" x14ac:dyDescent="0.25">
      <c r="A8" s="74" t="s">
        <v>617</v>
      </c>
      <c r="B8" s="214" t="s">
        <v>684</v>
      </c>
      <c r="C8" s="215" t="s">
        <v>747</v>
      </c>
      <c r="D8" s="71" t="s">
        <v>8</v>
      </c>
      <c r="E8" s="71" t="s">
        <v>60</v>
      </c>
      <c r="F8" s="78">
        <v>184</v>
      </c>
      <c r="G8" s="78">
        <v>211.3</v>
      </c>
      <c r="H8" s="78">
        <v>214.1</v>
      </c>
      <c r="I8" s="78">
        <v>204</v>
      </c>
      <c r="J8" s="152">
        <v>180</v>
      </c>
      <c r="K8" s="78">
        <v>190</v>
      </c>
      <c r="L8" s="99">
        <f t="shared" si="0"/>
        <v>164.43098225876244</v>
      </c>
      <c r="N8" s="183">
        <f t="shared" si="1"/>
        <v>174.92657687102388</v>
      </c>
      <c r="O8">
        <v>206</v>
      </c>
      <c r="P8" s="100">
        <v>212.31</v>
      </c>
      <c r="Q8" s="115">
        <f>(K8-P8)/P8</f>
        <v>-0.1050821911356036</v>
      </c>
      <c r="S8" s="101">
        <f t="shared" si="2"/>
        <v>205.79597278943987</v>
      </c>
    </row>
    <row r="9" spans="1:19" x14ac:dyDescent="0.25">
      <c r="A9" s="74" t="s">
        <v>618</v>
      </c>
      <c r="B9" s="214" t="s">
        <v>685</v>
      </c>
      <c r="C9" s="215" t="s">
        <v>748</v>
      </c>
      <c r="D9" s="71" t="s">
        <v>10</v>
      </c>
      <c r="E9" s="71" t="s">
        <v>60</v>
      </c>
      <c r="F9" s="78">
        <v>200</v>
      </c>
      <c r="G9" s="78">
        <v>235.7</v>
      </c>
      <c r="H9" s="78">
        <v>238.5</v>
      </c>
      <c r="I9" s="78">
        <v>227</v>
      </c>
      <c r="J9" s="152">
        <v>196</v>
      </c>
      <c r="K9" s="78">
        <v>210</v>
      </c>
      <c r="L9" s="99">
        <f t="shared" si="0"/>
        <v>181.73950670705324</v>
      </c>
      <c r="N9" s="183">
        <f>L9/N$1</f>
        <v>193.33990075218432</v>
      </c>
      <c r="O9">
        <v>288</v>
      </c>
      <c r="P9" s="100">
        <v>235.77</v>
      </c>
      <c r="Q9" s="115">
        <f>(K9-P9)/P9</f>
        <v>-0.10930143784196467</v>
      </c>
      <c r="S9" s="101">
        <f t="shared" si="2"/>
        <v>227.45870676727569</v>
      </c>
    </row>
    <row r="10" spans="1:19" s="108" customFormat="1" x14ac:dyDescent="0.25">
      <c r="A10" s="107" t="s">
        <v>619</v>
      </c>
      <c r="B10" s="214" t="s">
        <v>686</v>
      </c>
      <c r="C10" s="215" t="s">
        <v>749</v>
      </c>
      <c r="D10" s="112" t="s">
        <v>12</v>
      </c>
      <c r="E10" s="112" t="s">
        <v>60</v>
      </c>
      <c r="F10" s="113">
        <v>246</v>
      </c>
      <c r="G10" s="113">
        <v>269.2</v>
      </c>
      <c r="H10" s="113">
        <v>272</v>
      </c>
      <c r="I10" s="113">
        <v>259</v>
      </c>
      <c r="J10" s="160">
        <v>242</v>
      </c>
      <c r="K10" s="113">
        <v>245</v>
      </c>
      <c r="L10" s="102">
        <f t="shared" si="0"/>
        <v>212.02942449156211</v>
      </c>
      <c r="M10" s="124"/>
      <c r="N10" s="184">
        <f t="shared" si="1"/>
        <v>225.56321754421504</v>
      </c>
      <c r="O10" s="108">
        <v>313</v>
      </c>
      <c r="P10" s="114">
        <v>263.8</v>
      </c>
      <c r="Q10" s="115">
        <f>(K10-P10)/P10</f>
        <v>-7.1266110689916645E-2</v>
      </c>
      <c r="S10" s="116">
        <f t="shared" si="2"/>
        <v>265.36849122848827</v>
      </c>
    </row>
    <row r="11" spans="1:19" x14ac:dyDescent="0.25">
      <c r="A11" s="74" t="s">
        <v>620</v>
      </c>
      <c r="B11" s="214" t="s">
        <v>687</v>
      </c>
      <c r="C11" s="215" t="s">
        <v>750</v>
      </c>
      <c r="D11" s="71" t="s">
        <v>14</v>
      </c>
      <c r="E11" s="71" t="s">
        <v>60</v>
      </c>
      <c r="F11" s="78">
        <v>185</v>
      </c>
      <c r="G11" s="78">
        <v>210.9</v>
      </c>
      <c r="H11" s="78">
        <v>213.7</v>
      </c>
      <c r="I11" s="78">
        <v>204</v>
      </c>
      <c r="J11" s="152">
        <v>180</v>
      </c>
      <c r="K11" s="78">
        <v>190</v>
      </c>
      <c r="L11" s="99">
        <f t="shared" si="0"/>
        <v>164.43098225876244</v>
      </c>
      <c r="N11" s="183">
        <f t="shared" si="1"/>
        <v>174.92657687102388</v>
      </c>
      <c r="P11" s="100"/>
      <c r="Q11" s="115"/>
      <c r="S11" s="101">
        <f t="shared" si="2"/>
        <v>205.79597278943987</v>
      </c>
    </row>
    <row r="12" spans="1:19" x14ac:dyDescent="0.25">
      <c r="A12" s="74" t="s">
        <v>621</v>
      </c>
      <c r="B12" s="214" t="s">
        <v>688</v>
      </c>
      <c r="C12" s="215" t="s">
        <v>751</v>
      </c>
      <c r="D12" s="71" t="s">
        <v>16</v>
      </c>
      <c r="E12" s="71" t="s">
        <v>60</v>
      </c>
      <c r="F12" s="78">
        <v>204</v>
      </c>
      <c r="G12" s="78">
        <v>231</v>
      </c>
      <c r="H12" s="78">
        <v>233.8</v>
      </c>
      <c r="I12" s="78">
        <v>223</v>
      </c>
      <c r="J12" s="152">
        <v>198</v>
      </c>
      <c r="K12" s="78">
        <v>210</v>
      </c>
      <c r="L12" s="99">
        <f t="shared" si="0"/>
        <v>181.73950670705324</v>
      </c>
      <c r="N12" s="183">
        <f t="shared" si="1"/>
        <v>193.33990075218432</v>
      </c>
      <c r="P12" s="100"/>
      <c r="Q12" s="115"/>
      <c r="S12" s="101">
        <f t="shared" si="2"/>
        <v>227.45870676727569</v>
      </c>
    </row>
    <row r="13" spans="1:19" x14ac:dyDescent="0.25">
      <c r="A13" s="74" t="s">
        <v>622</v>
      </c>
      <c r="B13" s="214" t="s">
        <v>689</v>
      </c>
      <c r="C13" s="215" t="s">
        <v>752</v>
      </c>
      <c r="D13" s="71" t="s">
        <v>18</v>
      </c>
      <c r="E13" s="71" t="s">
        <v>60</v>
      </c>
      <c r="F13" s="78">
        <v>251</v>
      </c>
      <c r="G13" s="78">
        <v>294</v>
      </c>
      <c r="H13" s="78">
        <v>296.79569967467603</v>
      </c>
      <c r="I13" s="78">
        <v>283</v>
      </c>
      <c r="J13" s="152">
        <v>245</v>
      </c>
      <c r="K13" s="78">
        <v>265</v>
      </c>
      <c r="L13" s="99">
        <f t="shared" si="0"/>
        <v>229.33794893985288</v>
      </c>
      <c r="N13" s="183">
        <f t="shared" si="1"/>
        <v>243.97654142537542</v>
      </c>
      <c r="O13">
        <v>350</v>
      </c>
      <c r="P13" s="100">
        <v>283.58</v>
      </c>
      <c r="Q13" s="115">
        <f>(K13-P13)/P13</f>
        <v>-6.5519430143169424E-2</v>
      </c>
      <c r="S13" s="101">
        <f t="shared" si="2"/>
        <v>287.03122520632405</v>
      </c>
    </row>
    <row r="14" spans="1:19" x14ac:dyDescent="0.25">
      <c r="A14" s="74" t="s">
        <v>623</v>
      </c>
      <c r="B14" s="214" t="s">
        <v>690</v>
      </c>
      <c r="C14" s="215" t="s">
        <v>753</v>
      </c>
      <c r="D14" s="71" t="s">
        <v>20</v>
      </c>
      <c r="E14" s="71" t="s">
        <v>60</v>
      </c>
      <c r="F14" s="78">
        <v>290</v>
      </c>
      <c r="G14" s="78">
        <v>318.89999999999998</v>
      </c>
      <c r="H14" s="78">
        <v>321.8</v>
      </c>
      <c r="I14" s="78">
        <v>306</v>
      </c>
      <c r="J14" s="152">
        <v>284</v>
      </c>
      <c r="K14" s="78">
        <v>290</v>
      </c>
      <c r="L14" s="99">
        <f t="shared" si="0"/>
        <v>250.97360450021637</v>
      </c>
      <c r="N14" s="183">
        <f t="shared" si="1"/>
        <v>266.99319627682593</v>
      </c>
      <c r="P14" s="100"/>
      <c r="Q14" s="103"/>
      <c r="S14" s="101">
        <f t="shared" si="2"/>
        <v>314.10964267861874</v>
      </c>
    </row>
    <row r="15" spans="1:19" x14ac:dyDescent="0.25">
      <c r="A15" s="74" t="s">
        <v>624</v>
      </c>
      <c r="B15" s="214" t="s">
        <v>691</v>
      </c>
      <c r="C15" s="215" t="s">
        <v>754</v>
      </c>
      <c r="D15" s="71" t="s">
        <v>4</v>
      </c>
      <c r="E15" s="71" t="s">
        <v>427</v>
      </c>
      <c r="F15" s="78"/>
      <c r="G15" s="78">
        <v>216.5</v>
      </c>
      <c r="H15" s="78">
        <v>219.2</v>
      </c>
      <c r="I15" s="78">
        <v>209</v>
      </c>
      <c r="J15" s="152">
        <v>202</v>
      </c>
      <c r="K15" s="78">
        <v>205</v>
      </c>
      <c r="L15" s="99">
        <f t="shared" si="0"/>
        <v>177.41237559498055</v>
      </c>
      <c r="N15" s="183">
        <f t="shared" si="1"/>
        <v>188.73656978189422</v>
      </c>
      <c r="P15" s="100"/>
      <c r="S15" s="101">
        <f t="shared" si="2"/>
        <v>222.04302327281673</v>
      </c>
    </row>
    <row r="16" spans="1:19" x14ac:dyDescent="0.25">
      <c r="A16" s="74" t="s">
        <v>625</v>
      </c>
      <c r="B16" s="214" t="s">
        <v>692</v>
      </c>
      <c r="C16" s="215" t="s">
        <v>755</v>
      </c>
      <c r="D16" s="71" t="s">
        <v>6</v>
      </c>
      <c r="E16" s="71" t="s">
        <v>427</v>
      </c>
      <c r="F16" s="78"/>
      <c r="G16" s="78">
        <v>225.7</v>
      </c>
      <c r="H16" s="78">
        <v>228.4</v>
      </c>
      <c r="I16" s="78">
        <v>218</v>
      </c>
      <c r="J16" s="152">
        <v>211</v>
      </c>
      <c r="K16" s="78">
        <v>211</v>
      </c>
      <c r="L16" s="99">
        <f t="shared" si="0"/>
        <v>182.60493292946776</v>
      </c>
      <c r="N16" s="183">
        <f t="shared" si="1"/>
        <v>194.26056694624231</v>
      </c>
      <c r="P16" s="100"/>
      <c r="S16" s="101">
        <f t="shared" si="2"/>
        <v>228.54184346616742</v>
      </c>
    </row>
    <row r="17" spans="1:21" x14ac:dyDescent="0.25">
      <c r="A17" s="74" t="s">
        <v>626</v>
      </c>
      <c r="B17" s="214" t="s">
        <v>693</v>
      </c>
      <c r="C17" s="215" t="s">
        <v>756</v>
      </c>
      <c r="D17" s="71" t="s">
        <v>8</v>
      </c>
      <c r="E17" s="71" t="s">
        <v>427</v>
      </c>
      <c r="F17" s="78"/>
      <c r="G17" s="78">
        <v>236.2</v>
      </c>
      <c r="H17" s="78">
        <v>238.79850494574472</v>
      </c>
      <c r="I17" s="78">
        <v>227</v>
      </c>
      <c r="J17" s="152">
        <v>220</v>
      </c>
      <c r="K17" s="78">
        <v>220</v>
      </c>
      <c r="L17" s="99">
        <f t="shared" si="0"/>
        <v>190.39376893119862</v>
      </c>
      <c r="N17" s="183">
        <f t="shared" si="1"/>
        <v>202.5465626927645</v>
      </c>
      <c r="P17" s="100"/>
      <c r="Q17" s="103"/>
      <c r="S17" s="101">
        <f t="shared" si="2"/>
        <v>238.29007375619352</v>
      </c>
    </row>
    <row r="18" spans="1:21" x14ac:dyDescent="0.25">
      <c r="A18" s="74" t="s">
        <v>627</v>
      </c>
      <c r="B18" s="214" t="s">
        <v>694</v>
      </c>
      <c r="C18" s="215" t="s">
        <v>757</v>
      </c>
      <c r="D18" s="71" t="s">
        <v>10</v>
      </c>
      <c r="E18" s="71" t="s">
        <v>427</v>
      </c>
      <c r="F18" s="78"/>
      <c r="G18" s="78">
        <v>265.3</v>
      </c>
      <c r="H18" s="78">
        <v>267.89999999999998</v>
      </c>
      <c r="I18" s="78">
        <v>255</v>
      </c>
      <c r="J18" s="152">
        <v>247</v>
      </c>
      <c r="K18" s="78">
        <v>247</v>
      </c>
      <c r="L18" s="99">
        <f t="shared" si="0"/>
        <v>213.76027693639116</v>
      </c>
      <c r="N18" s="183">
        <f t="shared" si="1"/>
        <v>227.40454993233104</v>
      </c>
      <c r="P18" s="100"/>
      <c r="Q18" s="103"/>
      <c r="S18" s="101">
        <f t="shared" si="2"/>
        <v>267.53476462627179</v>
      </c>
    </row>
    <row r="19" spans="1:21" s="108" customFormat="1" x14ac:dyDescent="0.25">
      <c r="A19" s="107" t="s">
        <v>628</v>
      </c>
      <c r="B19" s="214" t="s">
        <v>695</v>
      </c>
      <c r="C19" s="215" t="s">
        <v>758</v>
      </c>
      <c r="D19" s="112" t="s">
        <v>12</v>
      </c>
      <c r="E19" s="112" t="s">
        <v>427</v>
      </c>
      <c r="F19" s="113"/>
      <c r="G19" s="113">
        <v>301.39999999999998</v>
      </c>
      <c r="H19" s="113">
        <v>304</v>
      </c>
      <c r="I19" s="113">
        <v>290</v>
      </c>
      <c r="J19" s="160">
        <v>273</v>
      </c>
      <c r="K19" s="113">
        <v>275</v>
      </c>
      <c r="L19" s="102">
        <f t="shared" si="0"/>
        <v>237.99221116399826</v>
      </c>
      <c r="M19" s="124"/>
      <c r="N19" s="184">
        <f t="shared" si="1"/>
        <v>253.18320336595562</v>
      </c>
      <c r="P19" s="114"/>
      <c r="Q19" s="162"/>
      <c r="S19" s="116">
        <f t="shared" si="2"/>
        <v>297.86259219524192</v>
      </c>
    </row>
    <row r="20" spans="1:21" x14ac:dyDescent="0.25">
      <c r="A20" s="74" t="s">
        <v>629</v>
      </c>
      <c r="B20" s="214" t="s">
        <v>696</v>
      </c>
      <c r="C20" s="215" t="s">
        <v>759</v>
      </c>
      <c r="D20" s="71" t="s">
        <v>14</v>
      </c>
      <c r="E20" s="71" t="s">
        <v>427</v>
      </c>
      <c r="F20" s="78"/>
      <c r="G20" s="78">
        <v>233.8</v>
      </c>
      <c r="H20" s="78">
        <v>236.6</v>
      </c>
      <c r="I20" s="78">
        <v>225</v>
      </c>
      <c r="J20" s="152">
        <v>218</v>
      </c>
      <c r="K20" s="78">
        <v>220</v>
      </c>
      <c r="L20" s="99">
        <f t="shared" si="0"/>
        <v>190.39376893119862</v>
      </c>
      <c r="N20" s="183">
        <f t="shared" si="1"/>
        <v>202.5465626927645</v>
      </c>
      <c r="P20" s="100"/>
      <c r="Q20" s="103"/>
      <c r="S20" s="101">
        <f t="shared" si="2"/>
        <v>238.29007375619352</v>
      </c>
    </row>
    <row r="21" spans="1:21" x14ac:dyDescent="0.25">
      <c r="A21" s="74" t="s">
        <v>630</v>
      </c>
      <c r="B21" s="214" t="s">
        <v>697</v>
      </c>
      <c r="C21" s="215" t="s">
        <v>760</v>
      </c>
      <c r="D21" s="71" t="s">
        <v>16</v>
      </c>
      <c r="E21" s="71" t="s">
        <v>427</v>
      </c>
      <c r="F21" s="78"/>
      <c r="G21" s="78">
        <v>255.4</v>
      </c>
      <c r="H21" s="78">
        <v>258.2</v>
      </c>
      <c r="I21" s="78">
        <v>246</v>
      </c>
      <c r="J21" s="152">
        <v>238</v>
      </c>
      <c r="K21" s="78">
        <v>240</v>
      </c>
      <c r="L21" s="99">
        <f t="shared" si="0"/>
        <v>207.70229337948939</v>
      </c>
      <c r="N21" s="183">
        <f t="shared" si="1"/>
        <v>220.9598865739249</v>
      </c>
      <c r="P21" s="100"/>
      <c r="Q21" s="103"/>
      <c r="S21" s="101">
        <f t="shared" si="2"/>
        <v>259.95280773402931</v>
      </c>
    </row>
    <row r="22" spans="1:21" x14ac:dyDescent="0.25">
      <c r="A22" s="74" t="s">
        <v>631</v>
      </c>
      <c r="B22" s="214" t="s">
        <v>698</v>
      </c>
      <c r="C22" s="215" t="s">
        <v>761</v>
      </c>
      <c r="D22" s="71" t="s">
        <v>18</v>
      </c>
      <c r="E22" s="71" t="s">
        <v>427</v>
      </c>
      <c r="F22" s="78"/>
      <c r="G22" s="78">
        <v>325.5</v>
      </c>
      <c r="H22" s="78">
        <v>328.3</v>
      </c>
      <c r="I22" s="78">
        <v>313</v>
      </c>
      <c r="J22" s="152">
        <v>299</v>
      </c>
      <c r="K22" s="78">
        <v>300</v>
      </c>
      <c r="L22" s="99">
        <f t="shared" si="0"/>
        <v>259.62786672436175</v>
      </c>
      <c r="N22" s="183">
        <f t="shared" si="1"/>
        <v>276.19985821740613</v>
      </c>
      <c r="P22" s="100"/>
      <c r="Q22" s="135"/>
      <c r="S22" s="101">
        <f t="shared" si="2"/>
        <v>324.94100966753666</v>
      </c>
    </row>
    <row r="23" spans="1:21" x14ac:dyDescent="0.25">
      <c r="A23" s="74" t="s">
        <v>632</v>
      </c>
      <c r="B23" s="214" t="s">
        <v>699</v>
      </c>
      <c r="C23" s="215" t="s">
        <v>762</v>
      </c>
      <c r="D23" s="71" t="s">
        <v>20</v>
      </c>
      <c r="E23" s="71" t="s">
        <v>427</v>
      </c>
      <c r="F23" s="78"/>
      <c r="G23" s="78">
        <v>350.4</v>
      </c>
      <c r="H23" s="78">
        <v>353.1</v>
      </c>
      <c r="I23" s="78">
        <v>336</v>
      </c>
      <c r="J23" s="152">
        <v>330</v>
      </c>
      <c r="K23" s="78">
        <v>330</v>
      </c>
      <c r="L23" s="99">
        <f t="shared" si="0"/>
        <v>285.5906533967979</v>
      </c>
      <c r="N23" s="183">
        <f t="shared" si="1"/>
        <v>303.81984403914674</v>
      </c>
      <c r="P23" s="100"/>
      <c r="Q23" s="103"/>
      <c r="S23" s="101">
        <f t="shared" si="2"/>
        <v>357.43511063429031</v>
      </c>
    </row>
    <row r="24" spans="1:21" x14ac:dyDescent="0.25">
      <c r="A24" s="76" t="s">
        <v>410</v>
      </c>
      <c r="B24" s="212" t="s">
        <v>600</v>
      </c>
      <c r="C24" s="212" t="s">
        <v>482</v>
      </c>
      <c r="D24" s="76" t="s">
        <v>1</v>
      </c>
      <c r="E24" s="76" t="s">
        <v>59</v>
      </c>
      <c r="F24" s="76" t="s">
        <v>2</v>
      </c>
      <c r="G24" s="76" t="s">
        <v>2</v>
      </c>
      <c r="H24" s="76" t="s">
        <v>2</v>
      </c>
      <c r="I24" s="76" t="s">
        <v>2</v>
      </c>
      <c r="J24" s="118" t="s">
        <v>935</v>
      </c>
      <c r="K24" s="76" t="s">
        <v>2</v>
      </c>
      <c r="L24" s="76" t="s">
        <v>57</v>
      </c>
      <c r="N24" s="76" t="s">
        <v>57</v>
      </c>
      <c r="P24" s="76" t="s">
        <v>30</v>
      </c>
      <c r="S24" s="101"/>
    </row>
    <row r="25" spans="1:21" x14ac:dyDescent="0.25">
      <c r="A25" s="74" t="s">
        <v>633</v>
      </c>
      <c r="B25" s="214" t="s">
        <v>700</v>
      </c>
      <c r="C25" s="215" t="s">
        <v>763</v>
      </c>
      <c r="D25" s="71" t="s">
        <v>22</v>
      </c>
      <c r="E25" s="71" t="s">
        <v>61</v>
      </c>
      <c r="F25" s="78">
        <v>271</v>
      </c>
      <c r="G25" s="78">
        <v>388.2</v>
      </c>
      <c r="H25" s="78">
        <v>373.9</v>
      </c>
      <c r="I25" s="78">
        <v>356</v>
      </c>
      <c r="J25" s="152">
        <v>320</v>
      </c>
      <c r="K25" s="78">
        <v>340</v>
      </c>
      <c r="L25" s="99">
        <f t="shared" ref="L25:L37" si="3">(K25*L$1/L$2)</f>
        <v>294.24491562094335</v>
      </c>
      <c r="N25" s="183">
        <f t="shared" ref="N25:N37" si="4">L25/N$1</f>
        <v>313.02650597972701</v>
      </c>
      <c r="O25">
        <v>380</v>
      </c>
      <c r="P25" s="100">
        <v>326.25</v>
      </c>
      <c r="Q25" s="135">
        <f>(K25-P25)/P25</f>
        <v>4.2145593869731802E-2</v>
      </c>
      <c r="S25" s="101">
        <f t="shared" si="2"/>
        <v>368.26647762320823</v>
      </c>
    </row>
    <row r="26" spans="1:21" x14ac:dyDescent="0.25">
      <c r="A26" s="74" t="s">
        <v>634</v>
      </c>
      <c r="B26" s="214" t="s">
        <v>701</v>
      </c>
      <c r="C26" s="215" t="s">
        <v>764</v>
      </c>
      <c r="D26" s="71" t="s">
        <v>411</v>
      </c>
      <c r="E26" s="73" t="s">
        <v>61</v>
      </c>
      <c r="F26" s="78"/>
      <c r="G26" s="78">
        <v>367.4</v>
      </c>
      <c r="H26" s="78">
        <v>354.9</v>
      </c>
      <c r="I26" s="78">
        <v>338</v>
      </c>
      <c r="J26" s="152">
        <v>324</v>
      </c>
      <c r="K26" s="78">
        <v>325</v>
      </c>
      <c r="L26" s="99">
        <f t="shared" si="3"/>
        <v>281.26352228472524</v>
      </c>
      <c r="N26" s="183">
        <f t="shared" si="4"/>
        <v>299.21651306885667</v>
      </c>
      <c r="P26" s="100">
        <v>329.75</v>
      </c>
      <c r="Q26" s="104"/>
      <c r="S26" s="101">
        <f t="shared" si="2"/>
        <v>352.01942713983141</v>
      </c>
    </row>
    <row r="27" spans="1:21" s="108" customFormat="1" x14ac:dyDescent="0.25">
      <c r="A27" s="107" t="s">
        <v>635</v>
      </c>
      <c r="B27" s="214" t="s">
        <v>459</v>
      </c>
      <c r="C27" s="215" t="s">
        <v>765</v>
      </c>
      <c r="D27" s="112" t="s">
        <v>24</v>
      </c>
      <c r="E27" s="112" t="s">
        <v>61</v>
      </c>
      <c r="F27" s="113">
        <v>296</v>
      </c>
      <c r="G27" s="113">
        <v>414.7</v>
      </c>
      <c r="H27" s="113">
        <v>399.5</v>
      </c>
      <c r="I27" s="113">
        <v>365</v>
      </c>
      <c r="J27" s="160">
        <v>335</v>
      </c>
      <c r="K27" s="113">
        <v>340</v>
      </c>
      <c r="L27" s="102">
        <f t="shared" si="3"/>
        <v>294.24491562094335</v>
      </c>
      <c r="M27" s="124"/>
      <c r="N27" s="184">
        <f t="shared" si="4"/>
        <v>313.02650597972701</v>
      </c>
      <c r="O27" s="108">
        <v>330</v>
      </c>
      <c r="P27" s="114">
        <v>340.54</v>
      </c>
      <c r="Q27" s="115">
        <f>(K27-P27)/P27</f>
        <v>-1.5857168027251438E-3</v>
      </c>
      <c r="S27" s="161">
        <f t="shared" si="2"/>
        <v>368.26647762320823</v>
      </c>
      <c r="U27" s="116"/>
    </row>
    <row r="28" spans="1:21" x14ac:dyDescent="0.25">
      <c r="A28" s="74" t="s">
        <v>636</v>
      </c>
      <c r="B28" s="214" t="s">
        <v>702</v>
      </c>
      <c r="C28" s="215" t="s">
        <v>766</v>
      </c>
      <c r="D28" s="73" t="s">
        <v>33</v>
      </c>
      <c r="E28" s="71" t="s">
        <v>61</v>
      </c>
      <c r="F28" s="78"/>
      <c r="G28" s="78">
        <v>454.3</v>
      </c>
      <c r="H28" s="78">
        <v>437.4</v>
      </c>
      <c r="I28" s="78">
        <v>417</v>
      </c>
      <c r="J28" s="152">
        <v>396</v>
      </c>
      <c r="K28" s="78">
        <v>400</v>
      </c>
      <c r="L28" s="99">
        <f t="shared" si="3"/>
        <v>346.17048896581565</v>
      </c>
      <c r="N28" s="183">
        <f t="shared" si="4"/>
        <v>368.26647762320817</v>
      </c>
      <c r="O28">
        <v>490</v>
      </c>
      <c r="P28" s="105">
        <v>390.75</v>
      </c>
      <c r="Q28" s="135">
        <f>(K28-P28)/P28</f>
        <v>2.3672424824056303E-2</v>
      </c>
      <c r="S28" s="101">
        <f t="shared" si="2"/>
        <v>433.25467955671553</v>
      </c>
      <c r="U28" s="101"/>
    </row>
    <row r="29" spans="1:21" x14ac:dyDescent="0.25">
      <c r="A29" s="74" t="s">
        <v>637</v>
      </c>
      <c r="B29" s="214" t="s">
        <v>703</v>
      </c>
      <c r="C29" s="215" t="s">
        <v>767</v>
      </c>
      <c r="D29" s="71" t="s">
        <v>26</v>
      </c>
      <c r="E29" s="71" t="s">
        <v>61</v>
      </c>
      <c r="F29" s="78">
        <v>334</v>
      </c>
      <c r="G29" s="78">
        <v>440.7</v>
      </c>
      <c r="H29" s="78">
        <v>425.50138282993771</v>
      </c>
      <c r="I29" s="78">
        <v>405</v>
      </c>
      <c r="J29" s="152">
        <v>380</v>
      </c>
      <c r="K29" s="78">
        <v>385</v>
      </c>
      <c r="L29" s="99">
        <f t="shared" si="3"/>
        <v>333.1890956295976</v>
      </c>
      <c r="N29" s="183">
        <f t="shared" si="4"/>
        <v>354.4564847123379</v>
      </c>
      <c r="O29">
        <v>384</v>
      </c>
      <c r="P29" s="100">
        <v>396.32</v>
      </c>
      <c r="Q29" s="115">
        <f>(K29-P29)/P29</f>
        <v>-2.8562777553492111E-2</v>
      </c>
      <c r="S29" s="101">
        <f t="shared" si="2"/>
        <v>417.00762907333871</v>
      </c>
    </row>
    <row r="30" spans="1:21" x14ac:dyDescent="0.25">
      <c r="A30" s="74" t="s">
        <v>638</v>
      </c>
      <c r="B30" s="214" t="s">
        <v>704</v>
      </c>
      <c r="C30" s="215" t="s">
        <v>768</v>
      </c>
      <c r="D30" s="71" t="s">
        <v>35</v>
      </c>
      <c r="E30" s="71" t="s">
        <v>61</v>
      </c>
      <c r="F30" s="78">
        <v>367</v>
      </c>
      <c r="G30" s="78">
        <v>487.4</v>
      </c>
      <c r="H30" s="78">
        <v>472.5</v>
      </c>
      <c r="I30" s="78">
        <v>450</v>
      </c>
      <c r="J30" s="152">
        <v>427</v>
      </c>
      <c r="K30" s="78">
        <v>435</v>
      </c>
      <c r="L30" s="99">
        <f t="shared" si="3"/>
        <v>376.46040675032452</v>
      </c>
      <c r="N30" s="183">
        <f t="shared" si="4"/>
        <v>400.48979441523886</v>
      </c>
      <c r="P30" s="100"/>
      <c r="S30" s="101">
        <f t="shared" si="2"/>
        <v>471.16446401792808</v>
      </c>
    </row>
    <row r="31" spans="1:21" x14ac:dyDescent="0.25">
      <c r="A31" s="74" t="s">
        <v>639</v>
      </c>
      <c r="B31" s="214" t="s">
        <v>705</v>
      </c>
      <c r="C31" s="215" t="s">
        <v>769</v>
      </c>
      <c r="D31" s="71" t="s">
        <v>36</v>
      </c>
      <c r="E31" s="71" t="s">
        <v>61</v>
      </c>
      <c r="F31" s="78">
        <v>396</v>
      </c>
      <c r="G31" s="78">
        <v>533.20000000000005</v>
      </c>
      <c r="H31" s="78">
        <v>516.70000000000005</v>
      </c>
      <c r="I31" s="78">
        <v>492</v>
      </c>
      <c r="J31" s="152">
        <v>456</v>
      </c>
      <c r="K31" s="78">
        <v>470</v>
      </c>
      <c r="L31" s="99">
        <f t="shared" si="3"/>
        <v>406.7503245348334</v>
      </c>
      <c r="N31" s="183">
        <f t="shared" si="4"/>
        <v>432.71311120726961</v>
      </c>
      <c r="P31" s="100"/>
      <c r="S31" s="101">
        <f t="shared" si="2"/>
        <v>509.07424847914075</v>
      </c>
    </row>
    <row r="32" spans="1:21" x14ac:dyDescent="0.25">
      <c r="A32" s="74" t="s">
        <v>640</v>
      </c>
      <c r="B32" s="214" t="s">
        <v>706</v>
      </c>
      <c r="C32" s="215" t="s">
        <v>770</v>
      </c>
      <c r="D32" s="71" t="s">
        <v>411</v>
      </c>
      <c r="E32" s="73" t="s">
        <v>426</v>
      </c>
      <c r="F32" s="78"/>
      <c r="G32" s="78">
        <v>415.6</v>
      </c>
      <c r="H32" s="78">
        <v>402.8</v>
      </c>
      <c r="I32" s="78">
        <v>384</v>
      </c>
      <c r="J32" s="152">
        <v>372</v>
      </c>
      <c r="K32" s="78">
        <v>375</v>
      </c>
      <c r="L32" s="99">
        <f t="shared" si="3"/>
        <v>324.53483340545222</v>
      </c>
      <c r="N32" s="183">
        <f t="shared" si="4"/>
        <v>345.24982277175769</v>
      </c>
      <c r="P32" s="100"/>
      <c r="S32" s="101">
        <f t="shared" si="2"/>
        <v>406.17626208442084</v>
      </c>
    </row>
    <row r="33" spans="1:19" s="108" customFormat="1" x14ac:dyDescent="0.25">
      <c r="A33" s="107" t="s">
        <v>641</v>
      </c>
      <c r="B33" s="214" t="s">
        <v>463</v>
      </c>
      <c r="C33" s="215" t="s">
        <v>771</v>
      </c>
      <c r="D33" s="112" t="s">
        <v>24</v>
      </c>
      <c r="E33" s="112" t="s">
        <v>426</v>
      </c>
      <c r="F33" s="113"/>
      <c r="G33" s="113">
        <v>467.9</v>
      </c>
      <c r="H33" s="113">
        <v>452.29992810385312</v>
      </c>
      <c r="I33" s="113">
        <v>431</v>
      </c>
      <c r="J33" s="160">
        <v>401</v>
      </c>
      <c r="K33" s="113">
        <v>420</v>
      </c>
      <c r="L33" s="102">
        <f t="shared" si="3"/>
        <v>363.47901341410648</v>
      </c>
      <c r="M33" s="124"/>
      <c r="N33" s="184">
        <f t="shared" si="4"/>
        <v>386.67980150436864</v>
      </c>
      <c r="P33" s="114"/>
      <c r="S33" s="116">
        <f t="shared" si="2"/>
        <v>454.91741353455137</v>
      </c>
    </row>
    <row r="34" spans="1:19" x14ac:dyDescent="0.25">
      <c r="A34" s="74" t="s">
        <v>642</v>
      </c>
      <c r="B34" s="214" t="s">
        <v>707</v>
      </c>
      <c r="C34" s="215" t="s">
        <v>772</v>
      </c>
      <c r="D34" s="73" t="s">
        <v>33</v>
      </c>
      <c r="E34" s="73" t="s">
        <v>426</v>
      </c>
      <c r="F34" s="78"/>
      <c r="G34" s="78">
        <v>509.6</v>
      </c>
      <c r="H34" s="78">
        <v>492.4</v>
      </c>
      <c r="I34" s="78">
        <v>469</v>
      </c>
      <c r="J34" s="152">
        <v>455</v>
      </c>
      <c r="K34" s="78">
        <v>455</v>
      </c>
      <c r="L34" s="99">
        <f t="shared" si="3"/>
        <v>393.76893119861535</v>
      </c>
      <c r="N34" s="183">
        <f t="shared" si="4"/>
        <v>418.90311829639933</v>
      </c>
      <c r="P34" s="100"/>
      <c r="S34" s="101">
        <f t="shared" si="2"/>
        <v>492.82719799576392</v>
      </c>
    </row>
    <row r="35" spans="1:19" x14ac:dyDescent="0.25">
      <c r="A35" s="74" t="s">
        <v>643</v>
      </c>
      <c r="B35" s="214" t="s">
        <v>708</v>
      </c>
      <c r="C35" s="215" t="s">
        <v>773</v>
      </c>
      <c r="D35" s="71" t="s">
        <v>26</v>
      </c>
      <c r="E35" s="73" t="s">
        <v>426</v>
      </c>
      <c r="F35" s="78"/>
      <c r="G35" s="78">
        <v>493.9</v>
      </c>
      <c r="H35" s="78">
        <v>478.4</v>
      </c>
      <c r="I35" s="78">
        <v>456</v>
      </c>
      <c r="J35" s="152">
        <v>442</v>
      </c>
      <c r="K35" s="78">
        <v>445</v>
      </c>
      <c r="L35" s="99">
        <f t="shared" si="3"/>
        <v>385.11466897446996</v>
      </c>
      <c r="N35" s="183">
        <f t="shared" si="4"/>
        <v>409.69645635581912</v>
      </c>
      <c r="P35" s="100"/>
      <c r="S35" s="101">
        <f t="shared" si="2"/>
        <v>481.99583100684606</v>
      </c>
    </row>
    <row r="36" spans="1:19" x14ac:dyDescent="0.25">
      <c r="A36" s="74" t="s">
        <v>644</v>
      </c>
      <c r="B36" s="214" t="s">
        <v>709</v>
      </c>
      <c r="C36" s="215" t="s">
        <v>774</v>
      </c>
      <c r="D36" s="71" t="s">
        <v>35</v>
      </c>
      <c r="E36" s="73" t="s">
        <v>426</v>
      </c>
      <c r="F36" s="78"/>
      <c r="G36" s="78">
        <v>540</v>
      </c>
      <c r="H36" s="78">
        <v>524.70000000000005</v>
      </c>
      <c r="I36" s="78">
        <v>500</v>
      </c>
      <c r="J36" s="152">
        <v>485</v>
      </c>
      <c r="K36" s="78">
        <v>490</v>
      </c>
      <c r="L36" s="99">
        <f t="shared" si="3"/>
        <v>424.05884898312422</v>
      </c>
      <c r="N36" s="183">
        <f t="shared" si="4"/>
        <v>451.12643508843007</v>
      </c>
      <c r="P36" s="100"/>
      <c r="S36" s="101">
        <f t="shared" si="2"/>
        <v>530.73698245697653</v>
      </c>
    </row>
    <row r="37" spans="1:19" x14ac:dyDescent="0.25">
      <c r="A37" s="74" t="s">
        <v>645</v>
      </c>
      <c r="B37" s="214" t="s">
        <v>710</v>
      </c>
      <c r="C37" s="215" t="s">
        <v>775</v>
      </c>
      <c r="D37" s="71" t="s">
        <v>36</v>
      </c>
      <c r="E37" s="73" t="s">
        <v>426</v>
      </c>
      <c r="F37" s="78"/>
      <c r="G37" s="78">
        <v>588.5</v>
      </c>
      <c r="H37" s="78">
        <v>571.70000000000005</v>
      </c>
      <c r="I37" s="78">
        <v>544</v>
      </c>
      <c r="J37" s="152">
        <v>528</v>
      </c>
      <c r="K37" s="78">
        <v>530</v>
      </c>
      <c r="L37" s="99">
        <f t="shared" si="3"/>
        <v>458.67589787970576</v>
      </c>
      <c r="N37" s="183">
        <f t="shared" si="4"/>
        <v>487.95308285075083</v>
      </c>
      <c r="P37" s="100"/>
      <c r="S37" s="101">
        <f t="shared" si="2"/>
        <v>574.0624504126481</v>
      </c>
    </row>
    <row r="38" spans="1:19" x14ac:dyDescent="0.25">
      <c r="A38" s="76" t="s">
        <v>410</v>
      </c>
      <c r="B38" s="212" t="s">
        <v>600</v>
      </c>
      <c r="C38" s="212" t="s">
        <v>482</v>
      </c>
      <c r="D38" s="76" t="s">
        <v>1</v>
      </c>
      <c r="E38" s="76" t="s">
        <v>59</v>
      </c>
      <c r="F38" s="76" t="s">
        <v>2</v>
      </c>
      <c r="G38" s="76" t="s">
        <v>2</v>
      </c>
      <c r="H38" s="76" t="s">
        <v>2</v>
      </c>
      <c r="I38" s="76" t="s">
        <v>2</v>
      </c>
      <c r="J38" s="118" t="s">
        <v>935</v>
      </c>
      <c r="K38" s="76" t="s">
        <v>2</v>
      </c>
      <c r="L38" s="76" t="s">
        <v>57</v>
      </c>
      <c r="N38" s="76" t="s">
        <v>57</v>
      </c>
      <c r="P38" s="76" t="s">
        <v>30</v>
      </c>
      <c r="S38" s="101"/>
    </row>
    <row r="39" spans="1:19" x14ac:dyDescent="0.25">
      <c r="A39" s="74" t="s">
        <v>646</v>
      </c>
      <c r="B39" s="214" t="s">
        <v>711</v>
      </c>
      <c r="C39" s="215" t="s">
        <v>776</v>
      </c>
      <c r="D39" s="71" t="s">
        <v>4</v>
      </c>
      <c r="E39" s="71" t="s">
        <v>428</v>
      </c>
      <c r="F39" s="78"/>
      <c r="G39" s="78">
        <v>194</v>
      </c>
      <c r="H39" s="78">
        <v>196.9</v>
      </c>
      <c r="I39" s="78">
        <v>188</v>
      </c>
      <c r="J39" s="152">
        <v>180</v>
      </c>
      <c r="K39" s="78">
        <v>180</v>
      </c>
      <c r="L39" s="99">
        <f t="shared" ref="L39:L48" si="5">(K39*L$1/L$2)</f>
        <v>155.77672003461706</v>
      </c>
      <c r="N39" s="183">
        <f t="shared" ref="N39:N48" si="6">L39/N$1</f>
        <v>165.71991493044368</v>
      </c>
      <c r="P39" s="106"/>
      <c r="S39" s="101">
        <f t="shared" si="2"/>
        <v>194.96460580052198</v>
      </c>
    </row>
    <row r="40" spans="1:19" x14ac:dyDescent="0.25">
      <c r="A40" s="74" t="s">
        <v>647</v>
      </c>
      <c r="B40" s="214" t="s">
        <v>712</v>
      </c>
      <c r="C40" s="215" t="s">
        <v>777</v>
      </c>
      <c r="D40" s="71" t="s">
        <v>6</v>
      </c>
      <c r="E40" s="71" t="s">
        <v>428</v>
      </c>
      <c r="F40" s="78"/>
      <c r="G40" s="78">
        <v>202.7</v>
      </c>
      <c r="H40" s="78">
        <v>205.5</v>
      </c>
      <c r="I40" s="78">
        <v>196</v>
      </c>
      <c r="J40" s="152">
        <v>188</v>
      </c>
      <c r="K40" s="78">
        <v>190</v>
      </c>
      <c r="L40" s="99">
        <f t="shared" si="5"/>
        <v>164.43098225876244</v>
      </c>
      <c r="N40" s="183">
        <f t="shared" si="6"/>
        <v>174.92657687102388</v>
      </c>
      <c r="P40" s="106"/>
      <c r="S40" s="101">
        <f t="shared" si="2"/>
        <v>205.79597278943987</v>
      </c>
    </row>
    <row r="41" spans="1:19" x14ac:dyDescent="0.25">
      <c r="A41" s="74" t="s">
        <v>648</v>
      </c>
      <c r="B41" s="214" t="s">
        <v>713</v>
      </c>
      <c r="C41" s="215" t="s">
        <v>778</v>
      </c>
      <c r="D41" s="71" t="s">
        <v>8</v>
      </c>
      <c r="E41" s="71" t="s">
        <v>428</v>
      </c>
      <c r="F41" s="78"/>
      <c r="G41" s="78">
        <v>212.3</v>
      </c>
      <c r="H41" s="78">
        <v>215.2</v>
      </c>
      <c r="I41" s="78">
        <v>205</v>
      </c>
      <c r="J41" s="152">
        <v>197</v>
      </c>
      <c r="K41" s="78">
        <v>200</v>
      </c>
      <c r="L41" s="99">
        <f t="shared" si="5"/>
        <v>173.08524448290783</v>
      </c>
      <c r="N41" s="183">
        <f t="shared" si="6"/>
        <v>184.13323881160409</v>
      </c>
      <c r="P41" s="106"/>
      <c r="S41" s="101">
        <f t="shared" si="2"/>
        <v>216.62733977835776</v>
      </c>
    </row>
    <row r="42" spans="1:19" x14ac:dyDescent="0.25">
      <c r="A42" s="74" t="s">
        <v>649</v>
      </c>
      <c r="B42" s="214" t="s">
        <v>714</v>
      </c>
      <c r="C42" s="215" t="s">
        <v>779</v>
      </c>
      <c r="D42" s="71" t="s">
        <v>10</v>
      </c>
      <c r="E42" s="71" t="s">
        <v>428</v>
      </c>
      <c r="F42" s="78"/>
      <c r="G42" s="78">
        <v>237</v>
      </c>
      <c r="H42" s="78">
        <v>239.9</v>
      </c>
      <c r="I42" s="78">
        <v>228</v>
      </c>
      <c r="J42" s="152">
        <v>220</v>
      </c>
      <c r="K42" s="78">
        <v>220</v>
      </c>
      <c r="L42" s="99">
        <f t="shared" si="5"/>
        <v>190.39376893119862</v>
      </c>
      <c r="N42" s="183">
        <f t="shared" si="6"/>
        <v>202.5465626927645</v>
      </c>
      <c r="P42" s="106"/>
      <c r="S42" s="101">
        <f t="shared" si="2"/>
        <v>238.29007375619352</v>
      </c>
    </row>
    <row r="43" spans="1:19" s="108" customFormat="1" x14ac:dyDescent="0.25">
      <c r="A43" s="107" t="s">
        <v>650</v>
      </c>
      <c r="B43" s="214" t="s">
        <v>715</v>
      </c>
      <c r="C43" s="215" t="s">
        <v>780</v>
      </c>
      <c r="D43" s="112" t="s">
        <v>12</v>
      </c>
      <c r="E43" s="112" t="s">
        <v>428</v>
      </c>
      <c r="F43" s="113">
        <v>268.60000000000002</v>
      </c>
      <c r="G43" s="113">
        <v>270.7</v>
      </c>
      <c r="H43" s="113">
        <v>273.60000000000002</v>
      </c>
      <c r="I43" s="113">
        <v>261</v>
      </c>
      <c r="J43" s="160">
        <v>244</v>
      </c>
      <c r="K43" s="113">
        <v>250</v>
      </c>
      <c r="L43" s="102">
        <f t="shared" si="5"/>
        <v>216.3565556036348</v>
      </c>
      <c r="M43" s="124"/>
      <c r="N43" s="184">
        <f>L43/N$1</f>
        <v>230.16654851450511</v>
      </c>
      <c r="P43" s="114"/>
      <c r="S43" s="116">
        <f t="shared" si="2"/>
        <v>270.78417472294717</v>
      </c>
    </row>
    <row r="44" spans="1:19" x14ac:dyDescent="0.25">
      <c r="A44" s="74" t="s">
        <v>651</v>
      </c>
      <c r="B44" s="214" t="s">
        <v>716</v>
      </c>
      <c r="C44" s="215" t="s">
        <v>781</v>
      </c>
      <c r="D44" s="71" t="s">
        <v>14</v>
      </c>
      <c r="E44" s="71" t="s">
        <v>428</v>
      </c>
      <c r="F44" s="78"/>
      <c r="G44" s="78">
        <v>211.7</v>
      </c>
      <c r="H44" s="78">
        <v>214.60311610457964</v>
      </c>
      <c r="I44" s="78">
        <v>204</v>
      </c>
      <c r="J44" s="152">
        <v>196</v>
      </c>
      <c r="K44" s="78">
        <v>200</v>
      </c>
      <c r="L44" s="99">
        <f t="shared" si="5"/>
        <v>173.08524448290783</v>
      </c>
      <c r="N44" s="183">
        <f t="shared" si="6"/>
        <v>184.13323881160409</v>
      </c>
      <c r="P44" s="100"/>
      <c r="S44" s="101">
        <f t="shared" si="2"/>
        <v>216.62733977835776</v>
      </c>
    </row>
    <row r="45" spans="1:19" x14ac:dyDescent="0.25">
      <c r="A45" s="74" t="s">
        <v>652</v>
      </c>
      <c r="B45" s="214" t="s">
        <v>717</v>
      </c>
      <c r="C45" s="215" t="s">
        <v>782</v>
      </c>
      <c r="D45" s="71" t="s">
        <v>16</v>
      </c>
      <c r="E45" s="71" t="s">
        <v>428</v>
      </c>
      <c r="F45" s="78"/>
      <c r="G45" s="78">
        <v>232</v>
      </c>
      <c r="H45" s="78">
        <v>234.9</v>
      </c>
      <c r="I45" s="78">
        <v>224</v>
      </c>
      <c r="J45" s="152">
        <v>215</v>
      </c>
      <c r="K45" s="78">
        <v>220</v>
      </c>
      <c r="L45" s="99">
        <f t="shared" si="5"/>
        <v>190.39376893119862</v>
      </c>
      <c r="N45" s="183">
        <f t="shared" si="6"/>
        <v>202.5465626927645</v>
      </c>
      <c r="P45" s="100"/>
      <c r="S45" s="101">
        <f t="shared" si="2"/>
        <v>238.29007375619352</v>
      </c>
    </row>
    <row r="46" spans="1:19" x14ac:dyDescent="0.25">
      <c r="A46" s="74" t="s">
        <v>653</v>
      </c>
      <c r="B46" s="214" t="s">
        <v>718</v>
      </c>
      <c r="C46" s="215" t="s">
        <v>783</v>
      </c>
      <c r="D46" s="71" t="s">
        <v>18</v>
      </c>
      <c r="E46" s="71" t="s">
        <v>428</v>
      </c>
      <c r="F46" s="78"/>
      <c r="G46" s="78">
        <v>295.39999999999998</v>
      </c>
      <c r="H46" s="78">
        <v>298.39913653627599</v>
      </c>
      <c r="I46" s="78">
        <v>284</v>
      </c>
      <c r="J46" s="152">
        <v>266</v>
      </c>
      <c r="K46" s="78">
        <v>270</v>
      </c>
      <c r="L46" s="99">
        <f t="shared" si="5"/>
        <v>233.66508005192557</v>
      </c>
      <c r="N46" s="183">
        <f t="shared" si="6"/>
        <v>248.57987239566552</v>
      </c>
      <c r="P46" s="100"/>
      <c r="S46" s="101">
        <f t="shared" si="2"/>
        <v>292.44690870078296</v>
      </c>
    </row>
    <row r="47" spans="1:19" x14ac:dyDescent="0.25">
      <c r="A47" s="74" t="s">
        <v>654</v>
      </c>
      <c r="B47" s="214" t="s">
        <v>719</v>
      </c>
      <c r="C47" s="215" t="s">
        <v>784</v>
      </c>
      <c r="D47" s="71" t="s">
        <v>31</v>
      </c>
      <c r="E47" s="71" t="s">
        <v>428</v>
      </c>
      <c r="F47" s="78">
        <v>329.5</v>
      </c>
      <c r="G47" s="78">
        <v>313.3</v>
      </c>
      <c r="H47" s="78">
        <v>316.29653289567545</v>
      </c>
      <c r="I47" s="78">
        <v>301</v>
      </c>
      <c r="J47" s="152">
        <v>276</v>
      </c>
      <c r="K47" s="78">
        <v>290</v>
      </c>
      <c r="L47" s="99">
        <f t="shared" si="5"/>
        <v>250.97360450021637</v>
      </c>
      <c r="N47" s="183">
        <f t="shared" si="6"/>
        <v>266.99319627682593</v>
      </c>
      <c r="P47" s="100"/>
      <c r="S47" s="101">
        <f t="shared" si="2"/>
        <v>314.10964267861874</v>
      </c>
    </row>
    <row r="48" spans="1:19" x14ac:dyDescent="0.25">
      <c r="A48" s="74" t="s">
        <v>655</v>
      </c>
      <c r="B48" s="214" t="s">
        <v>720</v>
      </c>
      <c r="C48" s="215" t="s">
        <v>785</v>
      </c>
      <c r="D48" s="71" t="s">
        <v>20</v>
      </c>
      <c r="E48" s="71" t="s">
        <v>428</v>
      </c>
      <c r="F48" s="78">
        <v>312.39999999999998</v>
      </c>
      <c r="G48" s="78">
        <v>320.3</v>
      </c>
      <c r="H48" s="78">
        <v>323.39999999999998</v>
      </c>
      <c r="I48" s="78">
        <v>308</v>
      </c>
      <c r="J48" s="152">
        <v>283</v>
      </c>
      <c r="K48" s="78">
        <v>295</v>
      </c>
      <c r="L48" s="99">
        <f t="shared" si="5"/>
        <v>255.30073561228906</v>
      </c>
      <c r="N48" s="183">
        <f t="shared" si="6"/>
        <v>271.59652724711606</v>
      </c>
      <c r="P48" s="100">
        <v>283.58</v>
      </c>
      <c r="Q48" s="135">
        <f>(K48-P48)/P48</f>
        <v>4.0270823048169889E-2</v>
      </c>
      <c r="S48" s="101">
        <f t="shared" si="2"/>
        <v>319.5253261730777</v>
      </c>
    </row>
    <row r="49" spans="1:21" x14ac:dyDescent="0.25">
      <c r="A49" s="76" t="s">
        <v>410</v>
      </c>
      <c r="B49" s="212" t="s">
        <v>600</v>
      </c>
      <c r="C49" s="212" t="s">
        <v>482</v>
      </c>
      <c r="D49" s="76" t="s">
        <v>1</v>
      </c>
      <c r="E49" s="76" t="s">
        <v>59</v>
      </c>
      <c r="F49" s="76" t="s">
        <v>2</v>
      </c>
      <c r="G49" s="76" t="s">
        <v>2</v>
      </c>
      <c r="H49" s="76" t="s">
        <v>2</v>
      </c>
      <c r="I49" s="76" t="s">
        <v>2</v>
      </c>
      <c r="J49" s="118" t="s">
        <v>935</v>
      </c>
      <c r="K49" s="76" t="s">
        <v>2</v>
      </c>
      <c r="L49" s="76" t="s">
        <v>57</v>
      </c>
      <c r="N49" s="76" t="s">
        <v>57</v>
      </c>
      <c r="P49" s="76" t="s">
        <v>30</v>
      </c>
      <c r="S49" s="101"/>
    </row>
    <row r="50" spans="1:21" x14ac:dyDescent="0.25">
      <c r="A50" s="74" t="s">
        <v>656</v>
      </c>
      <c r="B50" s="214" t="s">
        <v>721</v>
      </c>
      <c r="C50" s="215" t="s">
        <v>786</v>
      </c>
      <c r="D50" s="71" t="s">
        <v>4</v>
      </c>
      <c r="E50" s="71" t="s">
        <v>62</v>
      </c>
      <c r="F50" s="78"/>
      <c r="G50" s="78">
        <v>219.5</v>
      </c>
      <c r="H50" s="78">
        <v>222.3</v>
      </c>
      <c r="I50" s="78">
        <v>212</v>
      </c>
      <c r="J50" s="152">
        <v>205</v>
      </c>
      <c r="K50" s="78">
        <v>205</v>
      </c>
      <c r="L50" s="99">
        <f t="shared" ref="L50:L59" si="7">(K50*L$1/L$2)</f>
        <v>177.41237559498055</v>
      </c>
      <c r="N50" s="183">
        <f t="shared" ref="N50" si="8">L50/N$1</f>
        <v>188.73656978189422</v>
      </c>
      <c r="P50" s="106"/>
      <c r="S50" s="101">
        <f t="shared" si="2"/>
        <v>222.04302327281673</v>
      </c>
    </row>
    <row r="51" spans="1:21" x14ac:dyDescent="0.25">
      <c r="A51" s="74" t="s">
        <v>657</v>
      </c>
      <c r="B51" s="214" t="s">
        <v>722</v>
      </c>
      <c r="C51" s="215" t="s">
        <v>787</v>
      </c>
      <c r="D51" s="71" t="s">
        <v>6</v>
      </c>
      <c r="E51" s="71" t="s">
        <v>62</v>
      </c>
      <c r="F51" s="78"/>
      <c r="G51" s="78">
        <v>228.7</v>
      </c>
      <c r="H51" s="78">
        <v>231.6</v>
      </c>
      <c r="I51" s="78">
        <v>221</v>
      </c>
      <c r="J51" s="152">
        <v>214</v>
      </c>
      <c r="K51" s="78">
        <v>215</v>
      </c>
      <c r="L51" s="99">
        <f t="shared" si="7"/>
        <v>186.06663781912593</v>
      </c>
      <c r="N51" s="183">
        <f t="shared" ref="N51:N59" si="9">L51/N$1</f>
        <v>197.94323172247439</v>
      </c>
      <c r="P51" s="106"/>
      <c r="S51" s="101">
        <f t="shared" si="2"/>
        <v>232.87439026173459</v>
      </c>
    </row>
    <row r="52" spans="1:21" x14ac:dyDescent="0.25">
      <c r="A52" s="74" t="s">
        <v>658</v>
      </c>
      <c r="B52" s="214" t="s">
        <v>723</v>
      </c>
      <c r="C52" s="215" t="s">
        <v>788</v>
      </c>
      <c r="D52" s="71" t="s">
        <v>8</v>
      </c>
      <c r="E52" s="71" t="s">
        <v>62</v>
      </c>
      <c r="F52" s="78"/>
      <c r="G52" s="78">
        <v>239.3</v>
      </c>
      <c r="H52" s="78">
        <v>242.2</v>
      </c>
      <c r="I52" s="78">
        <v>231</v>
      </c>
      <c r="J52" s="152">
        <v>224</v>
      </c>
      <c r="K52" s="78">
        <v>225</v>
      </c>
      <c r="L52" s="99">
        <f t="shared" si="7"/>
        <v>194.72090004327131</v>
      </c>
      <c r="N52" s="183">
        <f t="shared" si="9"/>
        <v>207.1498936630546</v>
      </c>
      <c r="P52" s="106"/>
      <c r="S52" s="101">
        <f t="shared" si="2"/>
        <v>243.70575725065248</v>
      </c>
    </row>
    <row r="53" spans="1:21" x14ac:dyDescent="0.25">
      <c r="A53" s="74" t="s">
        <v>659</v>
      </c>
      <c r="B53" s="214" t="s">
        <v>724</v>
      </c>
      <c r="C53" s="215" t="s">
        <v>789</v>
      </c>
      <c r="D53" s="71" t="s">
        <v>10</v>
      </c>
      <c r="E53" s="71" t="s">
        <v>62</v>
      </c>
      <c r="F53" s="78"/>
      <c r="G53" s="78">
        <v>268.39999999999998</v>
      </c>
      <c r="H53" s="78">
        <v>271.20063708907492</v>
      </c>
      <c r="I53" s="78">
        <v>258</v>
      </c>
      <c r="J53" s="152">
        <v>248</v>
      </c>
      <c r="K53" s="78">
        <v>250</v>
      </c>
      <c r="L53" s="99">
        <f t="shared" si="7"/>
        <v>216.3565556036348</v>
      </c>
      <c r="N53" s="183">
        <f t="shared" si="9"/>
        <v>230.16654851450511</v>
      </c>
      <c r="P53" s="106"/>
      <c r="S53" s="101">
        <f t="shared" si="2"/>
        <v>270.78417472294717</v>
      </c>
    </row>
    <row r="54" spans="1:21" s="108" customFormat="1" x14ac:dyDescent="0.25">
      <c r="A54" s="107" t="s">
        <v>660</v>
      </c>
      <c r="B54" s="214" t="s">
        <v>725</v>
      </c>
      <c r="C54" s="215" t="s">
        <v>790</v>
      </c>
      <c r="D54" s="112" t="s">
        <v>12</v>
      </c>
      <c r="E54" s="112" t="s">
        <v>62</v>
      </c>
      <c r="F54" s="113">
        <v>268.60000000000002</v>
      </c>
      <c r="G54" s="113">
        <v>304.89999999999998</v>
      </c>
      <c r="H54" s="113">
        <v>307.8</v>
      </c>
      <c r="I54" s="113">
        <v>293</v>
      </c>
      <c r="J54" s="160">
        <v>266</v>
      </c>
      <c r="K54" s="113">
        <v>280</v>
      </c>
      <c r="L54" s="102">
        <f t="shared" si="7"/>
        <v>242.31934227607098</v>
      </c>
      <c r="M54" s="124"/>
      <c r="N54" s="184">
        <f t="shared" si="9"/>
        <v>257.78653433624572</v>
      </c>
      <c r="P54" s="114"/>
      <c r="S54" s="116">
        <f t="shared" si="2"/>
        <v>303.27827568970088</v>
      </c>
    </row>
    <row r="55" spans="1:21" x14ac:dyDescent="0.25">
      <c r="A55" s="74" t="s">
        <v>661</v>
      </c>
      <c r="B55" s="214" t="s">
        <v>726</v>
      </c>
      <c r="C55" s="215" t="s">
        <v>791</v>
      </c>
      <c r="D55" s="71" t="s">
        <v>14</v>
      </c>
      <c r="E55" s="71" t="s">
        <v>62</v>
      </c>
      <c r="F55" s="78"/>
      <c r="G55" s="78">
        <v>236.8</v>
      </c>
      <c r="H55" s="78">
        <v>239.7</v>
      </c>
      <c r="I55" s="78">
        <v>228</v>
      </c>
      <c r="J55" s="152">
        <v>220</v>
      </c>
      <c r="K55" s="78">
        <v>220</v>
      </c>
      <c r="L55" s="99">
        <f t="shared" si="7"/>
        <v>190.39376893119862</v>
      </c>
      <c r="N55" s="183">
        <f t="shared" si="9"/>
        <v>202.5465626927645</v>
      </c>
      <c r="P55" s="100"/>
      <c r="S55" s="101">
        <f t="shared" si="2"/>
        <v>238.29007375619352</v>
      </c>
    </row>
    <row r="56" spans="1:21" x14ac:dyDescent="0.25">
      <c r="A56" s="74" t="s">
        <v>662</v>
      </c>
      <c r="B56" s="214" t="s">
        <v>727</v>
      </c>
      <c r="C56" s="215" t="s">
        <v>792</v>
      </c>
      <c r="D56" s="71" t="s">
        <v>16</v>
      </c>
      <c r="E56" s="71" t="s">
        <v>62</v>
      </c>
      <c r="F56" s="78"/>
      <c r="G56" s="78">
        <v>258.60000000000002</v>
      </c>
      <c r="H56" s="78">
        <v>261.5</v>
      </c>
      <c r="I56" s="78">
        <v>249</v>
      </c>
      <c r="J56" s="152">
        <v>240</v>
      </c>
      <c r="K56" s="78">
        <v>240</v>
      </c>
      <c r="L56" s="99">
        <f t="shared" si="7"/>
        <v>207.70229337948939</v>
      </c>
      <c r="N56" s="183">
        <f t="shared" si="9"/>
        <v>220.9598865739249</v>
      </c>
      <c r="P56" s="100"/>
      <c r="S56" s="101">
        <f t="shared" si="2"/>
        <v>259.95280773402931</v>
      </c>
    </row>
    <row r="57" spans="1:21" x14ac:dyDescent="0.25">
      <c r="A57" s="74" t="s">
        <v>663</v>
      </c>
      <c r="B57" s="214" t="s">
        <v>728</v>
      </c>
      <c r="C57" s="215" t="s">
        <v>793</v>
      </c>
      <c r="D57" s="71" t="s">
        <v>18</v>
      </c>
      <c r="E57" s="71" t="s">
        <v>62</v>
      </c>
      <c r="F57" s="78"/>
      <c r="G57" s="78">
        <v>329.6</v>
      </c>
      <c r="H57" s="78">
        <v>332.6</v>
      </c>
      <c r="I57" s="78">
        <v>317</v>
      </c>
      <c r="J57" s="152">
        <v>305</v>
      </c>
      <c r="K57" s="78">
        <v>305</v>
      </c>
      <c r="L57" s="99">
        <f t="shared" si="7"/>
        <v>263.95499783643447</v>
      </c>
      <c r="N57" s="183">
        <f t="shared" si="9"/>
        <v>280.80318918769626</v>
      </c>
      <c r="P57" s="100"/>
      <c r="S57" s="101">
        <f t="shared" si="2"/>
        <v>330.35669316199562</v>
      </c>
    </row>
    <row r="58" spans="1:21" x14ac:dyDescent="0.25">
      <c r="A58" s="74" t="s">
        <v>664</v>
      </c>
      <c r="B58" s="214" t="s">
        <v>729</v>
      </c>
      <c r="C58" s="215" t="s">
        <v>794</v>
      </c>
      <c r="D58" s="71" t="s">
        <v>31</v>
      </c>
      <c r="E58" s="71" t="s">
        <v>62</v>
      </c>
      <c r="F58" s="78">
        <v>329.5</v>
      </c>
      <c r="G58" s="78">
        <v>349.5</v>
      </c>
      <c r="H58" s="78">
        <v>352.39799313734801</v>
      </c>
      <c r="I58" s="78">
        <v>336</v>
      </c>
      <c r="J58" s="152">
        <v>328</v>
      </c>
      <c r="K58" s="78">
        <v>328</v>
      </c>
      <c r="L58" s="99">
        <f t="shared" si="7"/>
        <v>283.85980095196885</v>
      </c>
      <c r="N58" s="183">
        <f t="shared" si="9"/>
        <v>301.97851165103071</v>
      </c>
      <c r="P58" s="100"/>
      <c r="S58" s="101">
        <f t="shared" si="2"/>
        <v>355.26883723650673</v>
      </c>
    </row>
    <row r="59" spans="1:21" x14ac:dyDescent="0.25">
      <c r="A59" s="74" t="s">
        <v>665</v>
      </c>
      <c r="B59" s="214" t="s">
        <v>730</v>
      </c>
      <c r="C59" s="215" t="s">
        <v>795</v>
      </c>
      <c r="D59" s="71" t="s">
        <v>20</v>
      </c>
      <c r="E59" s="71" t="s">
        <v>62</v>
      </c>
      <c r="F59" s="78">
        <v>312.39999999999998</v>
      </c>
      <c r="G59" s="78">
        <v>354.5</v>
      </c>
      <c r="H59" s="78">
        <v>357.6</v>
      </c>
      <c r="I59" s="78">
        <v>341</v>
      </c>
      <c r="J59" s="152">
        <v>333</v>
      </c>
      <c r="K59" s="78">
        <v>333</v>
      </c>
      <c r="L59" s="99">
        <f t="shared" si="7"/>
        <v>288.18693206404157</v>
      </c>
      <c r="N59" s="183">
        <f t="shared" si="9"/>
        <v>306.58184262132085</v>
      </c>
      <c r="P59" s="100">
        <v>374.45</v>
      </c>
      <c r="Q59" s="115">
        <f>(K59-P59)/P59</f>
        <v>-0.11069568700761113</v>
      </c>
      <c r="S59" s="101">
        <f t="shared" si="2"/>
        <v>360.68452073096569</v>
      </c>
    </row>
    <row r="60" spans="1:21" x14ac:dyDescent="0.25">
      <c r="A60" s="76" t="s">
        <v>410</v>
      </c>
      <c r="B60" s="212" t="s">
        <v>600</v>
      </c>
      <c r="C60" s="212" t="s">
        <v>482</v>
      </c>
      <c r="D60" s="76" t="s">
        <v>1</v>
      </c>
      <c r="E60" s="76" t="s">
        <v>59</v>
      </c>
      <c r="F60" s="76" t="s">
        <v>2</v>
      </c>
      <c r="G60" s="76" t="s">
        <v>2</v>
      </c>
      <c r="H60" s="76" t="s">
        <v>2</v>
      </c>
      <c r="I60" s="76" t="s">
        <v>2</v>
      </c>
      <c r="J60" s="118" t="s">
        <v>935</v>
      </c>
      <c r="K60" s="76" t="s">
        <v>2</v>
      </c>
      <c r="L60" s="76" t="s">
        <v>57</v>
      </c>
      <c r="N60" s="76" t="s">
        <v>57</v>
      </c>
      <c r="P60" s="76" t="s">
        <v>30</v>
      </c>
      <c r="S60" s="101"/>
    </row>
    <row r="61" spans="1:21" x14ac:dyDescent="0.25">
      <c r="A61" s="74" t="s">
        <v>666</v>
      </c>
      <c r="B61" s="214" t="s">
        <v>731</v>
      </c>
      <c r="C61" s="215" t="s">
        <v>796</v>
      </c>
      <c r="D61" s="71" t="s">
        <v>22</v>
      </c>
      <c r="E61" s="71" t="s">
        <v>64</v>
      </c>
      <c r="F61" s="78"/>
      <c r="G61" s="78">
        <v>377.9</v>
      </c>
      <c r="H61" s="78">
        <v>362.7</v>
      </c>
      <c r="I61" s="78">
        <v>345</v>
      </c>
      <c r="J61" s="152">
        <v>334</v>
      </c>
      <c r="K61" s="78">
        <v>335</v>
      </c>
      <c r="L61" s="99">
        <f t="shared" ref="L61:L68" si="10">(K61*L$1/L$2)</f>
        <v>289.91778450887062</v>
      </c>
      <c r="N61" s="183">
        <f t="shared" ref="N61:N68" si="11">L61/N$1</f>
        <v>308.42317500943687</v>
      </c>
      <c r="P61" s="100"/>
      <c r="S61" s="101">
        <f t="shared" si="2"/>
        <v>362.85079412874927</v>
      </c>
    </row>
    <row r="62" spans="1:21" x14ac:dyDescent="0.25">
      <c r="A62" s="74" t="s">
        <v>667</v>
      </c>
      <c r="B62" s="214" t="s">
        <v>732</v>
      </c>
      <c r="C62" s="215" t="s">
        <v>797</v>
      </c>
      <c r="D62" s="71" t="s">
        <v>411</v>
      </c>
      <c r="E62" s="71" t="s">
        <v>64</v>
      </c>
      <c r="F62" s="78"/>
      <c r="G62" s="78">
        <v>359.1</v>
      </c>
      <c r="H62" s="78">
        <v>346.7</v>
      </c>
      <c r="I62" s="78">
        <v>330</v>
      </c>
      <c r="J62" s="152">
        <v>320</v>
      </c>
      <c r="K62" s="78">
        <v>320</v>
      </c>
      <c r="L62" s="99">
        <f t="shared" si="10"/>
        <v>276.93639117265252</v>
      </c>
      <c r="N62" s="183">
        <f t="shared" si="11"/>
        <v>294.61318209856654</v>
      </c>
      <c r="P62" s="100"/>
      <c r="S62" s="101">
        <f t="shared" si="2"/>
        <v>346.60374364537239</v>
      </c>
    </row>
    <row r="63" spans="1:21" s="108" customFormat="1" x14ac:dyDescent="0.25">
      <c r="A63" s="107" t="s">
        <v>668</v>
      </c>
      <c r="B63" s="214" t="s">
        <v>461</v>
      </c>
      <c r="C63" s="215" t="s">
        <v>798</v>
      </c>
      <c r="D63" s="112" t="s">
        <v>24</v>
      </c>
      <c r="E63" s="112" t="s">
        <v>64</v>
      </c>
      <c r="F63" s="113">
        <v>321.60000000000002</v>
      </c>
      <c r="G63" s="113">
        <v>404.4</v>
      </c>
      <c r="H63" s="113">
        <v>389.3</v>
      </c>
      <c r="I63" s="113">
        <v>355</v>
      </c>
      <c r="J63" s="160">
        <v>330</v>
      </c>
      <c r="K63" s="113">
        <v>340</v>
      </c>
      <c r="L63" s="102">
        <f t="shared" si="10"/>
        <v>294.24491562094335</v>
      </c>
      <c r="M63" s="124"/>
      <c r="N63" s="184">
        <f t="shared" si="11"/>
        <v>313.02650597972701</v>
      </c>
      <c r="P63" s="114"/>
      <c r="S63" s="116">
        <f t="shared" si="2"/>
        <v>368.26647762320823</v>
      </c>
      <c r="U63" s="116"/>
    </row>
    <row r="64" spans="1:21" x14ac:dyDescent="0.25">
      <c r="A64" s="74" t="s">
        <v>669</v>
      </c>
      <c r="B64" s="214" t="s">
        <v>733</v>
      </c>
      <c r="C64" s="215" t="s">
        <v>799</v>
      </c>
      <c r="D64" s="71" t="s">
        <v>33</v>
      </c>
      <c r="E64" s="71" t="s">
        <v>64</v>
      </c>
      <c r="F64" s="78">
        <v>354.1</v>
      </c>
      <c r="G64" s="78">
        <v>442.6</v>
      </c>
      <c r="H64" s="78">
        <v>425.9</v>
      </c>
      <c r="I64" s="78">
        <v>406</v>
      </c>
      <c r="J64" s="152">
        <v>398</v>
      </c>
      <c r="K64" s="78">
        <v>400</v>
      </c>
      <c r="L64" s="99">
        <f t="shared" si="10"/>
        <v>346.17048896581565</v>
      </c>
      <c r="N64" s="183">
        <f t="shared" si="11"/>
        <v>368.26647762320817</v>
      </c>
      <c r="P64" s="100"/>
      <c r="S64" s="101">
        <f t="shared" si="2"/>
        <v>433.25467955671553</v>
      </c>
    </row>
    <row r="65" spans="1:21" x14ac:dyDescent="0.25">
      <c r="A65" s="74" t="s">
        <v>670</v>
      </c>
      <c r="B65" s="214" t="s">
        <v>734</v>
      </c>
      <c r="C65" s="215" t="s">
        <v>800</v>
      </c>
      <c r="D65" s="71" t="s">
        <v>26</v>
      </c>
      <c r="E65" s="71" t="s">
        <v>64</v>
      </c>
      <c r="F65" s="78">
        <v>361.6</v>
      </c>
      <c r="G65" s="78">
        <v>430.4</v>
      </c>
      <c r="H65" s="78">
        <v>415.4</v>
      </c>
      <c r="I65" s="78">
        <v>396</v>
      </c>
      <c r="J65" s="152">
        <v>388</v>
      </c>
      <c r="K65" s="78">
        <v>390</v>
      </c>
      <c r="L65" s="99">
        <f t="shared" si="10"/>
        <v>337.51622674167027</v>
      </c>
      <c r="N65" s="183">
        <f t="shared" si="11"/>
        <v>359.05981568262797</v>
      </c>
      <c r="P65" s="100">
        <v>396.32</v>
      </c>
      <c r="Q65" s="115">
        <f>(K65-P65)/P65</f>
        <v>-1.5946709729511489E-2</v>
      </c>
      <c r="S65" s="101">
        <f t="shared" si="2"/>
        <v>422.42331256779761</v>
      </c>
    </row>
    <row r="66" spans="1:21" x14ac:dyDescent="0.25">
      <c r="A66" s="74" t="s">
        <v>671</v>
      </c>
      <c r="B66" s="214" t="s">
        <v>735</v>
      </c>
      <c r="C66" s="215" t="s">
        <v>801</v>
      </c>
      <c r="D66" s="71" t="s">
        <v>34</v>
      </c>
      <c r="E66" s="71" t="s">
        <v>64</v>
      </c>
      <c r="F66" s="78">
        <v>379.8</v>
      </c>
      <c r="G66" s="78">
        <v>471</v>
      </c>
      <c r="H66" s="78">
        <v>454.4</v>
      </c>
      <c r="I66" s="78">
        <v>433</v>
      </c>
      <c r="J66" s="152">
        <v>424</v>
      </c>
      <c r="K66" s="78">
        <v>425</v>
      </c>
      <c r="L66" s="99">
        <f t="shared" si="10"/>
        <v>367.80614452617914</v>
      </c>
      <c r="N66" s="183">
        <f t="shared" si="11"/>
        <v>391.28313247465866</v>
      </c>
      <c r="P66" s="100">
        <v>432.96</v>
      </c>
      <c r="Q66" s="115">
        <f>(K66-P66)/P66</f>
        <v>-1.838507021433846E-2</v>
      </c>
      <c r="S66" s="101">
        <f t="shared" si="2"/>
        <v>460.33309702901022</v>
      </c>
    </row>
    <row r="67" spans="1:21" x14ac:dyDescent="0.25">
      <c r="A67" s="74" t="s">
        <v>672</v>
      </c>
      <c r="B67" s="214" t="s">
        <v>736</v>
      </c>
      <c r="C67" s="215" t="s">
        <v>802</v>
      </c>
      <c r="D67" s="71" t="s">
        <v>35</v>
      </c>
      <c r="E67" s="71" t="s">
        <v>64</v>
      </c>
      <c r="F67" s="78"/>
      <c r="G67" s="78">
        <v>477.2</v>
      </c>
      <c r="H67" s="78">
        <v>462.4</v>
      </c>
      <c r="I67" s="78">
        <v>440</v>
      </c>
      <c r="J67" s="152">
        <v>431</v>
      </c>
      <c r="K67" s="78">
        <v>431</v>
      </c>
      <c r="L67" s="99">
        <f t="shared" si="10"/>
        <v>372.99870186066642</v>
      </c>
      <c r="N67" s="183">
        <f t="shared" si="11"/>
        <v>396.80712963900686</v>
      </c>
      <c r="P67" s="100"/>
      <c r="S67" s="101">
        <f t="shared" si="2"/>
        <v>466.83191722236103</v>
      </c>
    </row>
    <row r="68" spans="1:21" x14ac:dyDescent="0.25">
      <c r="A68" s="74" t="s">
        <v>673</v>
      </c>
      <c r="B68" s="214" t="s">
        <v>737</v>
      </c>
      <c r="C68" s="215" t="s">
        <v>803</v>
      </c>
      <c r="D68" s="71" t="s">
        <v>36</v>
      </c>
      <c r="E68" s="71" t="s">
        <v>64</v>
      </c>
      <c r="F68" s="78"/>
      <c r="G68" s="78">
        <v>522.29999999999995</v>
      </c>
      <c r="H68" s="78">
        <v>505.8965916178081</v>
      </c>
      <c r="I68" s="78">
        <v>482</v>
      </c>
      <c r="J68" s="152">
        <v>472</v>
      </c>
      <c r="K68" s="78">
        <v>475</v>
      </c>
      <c r="L68" s="99">
        <f t="shared" si="10"/>
        <v>411.07745564690612</v>
      </c>
      <c r="N68" s="183">
        <f t="shared" si="11"/>
        <v>437.31644217755974</v>
      </c>
      <c r="P68" s="100"/>
      <c r="S68" s="101">
        <f t="shared" si="2"/>
        <v>514.48993197359971</v>
      </c>
    </row>
    <row r="69" spans="1:21" x14ac:dyDescent="0.25">
      <c r="A69" s="76" t="s">
        <v>410</v>
      </c>
      <c r="B69" s="212" t="s">
        <v>600</v>
      </c>
      <c r="C69" s="212" t="s">
        <v>482</v>
      </c>
      <c r="D69" s="76" t="s">
        <v>1</v>
      </c>
      <c r="E69" s="76" t="s">
        <v>59</v>
      </c>
      <c r="F69" s="76" t="s">
        <v>2</v>
      </c>
      <c r="G69" s="76" t="s">
        <v>2</v>
      </c>
      <c r="H69" s="76" t="s">
        <v>2</v>
      </c>
      <c r="I69" s="76" t="s">
        <v>2</v>
      </c>
      <c r="J69" s="118" t="s">
        <v>935</v>
      </c>
      <c r="K69" s="76" t="s">
        <v>2</v>
      </c>
      <c r="L69" s="76" t="s">
        <v>57</v>
      </c>
      <c r="N69" s="76" t="s">
        <v>57</v>
      </c>
      <c r="P69" s="76" t="s">
        <v>30</v>
      </c>
      <c r="S69" s="101"/>
    </row>
    <row r="70" spans="1:21" x14ac:dyDescent="0.25">
      <c r="A70" s="74" t="s">
        <v>674</v>
      </c>
      <c r="B70" s="214" t="s">
        <v>738</v>
      </c>
      <c r="C70" s="215" t="s">
        <v>804</v>
      </c>
      <c r="D70" s="71" t="s">
        <v>22</v>
      </c>
      <c r="E70" s="71" t="s">
        <v>63</v>
      </c>
      <c r="F70" s="78"/>
      <c r="G70" s="78">
        <v>421.5</v>
      </c>
      <c r="H70" s="78">
        <v>406.2</v>
      </c>
      <c r="I70" s="78">
        <v>387</v>
      </c>
      <c r="J70" s="152">
        <v>375</v>
      </c>
      <c r="K70" s="78">
        <v>380</v>
      </c>
      <c r="L70" s="99">
        <f t="shared" ref="L70:L77" si="12">(K70*L$1/L$2)</f>
        <v>328.86196451752488</v>
      </c>
      <c r="N70" s="183">
        <f t="shared" ref="N70:N77" si="13">L70/N$1</f>
        <v>349.85315374204777</v>
      </c>
      <c r="P70" s="100"/>
      <c r="S70" s="101">
        <f t="shared" ref="S70:S77" si="14">N70/0.85</f>
        <v>411.59194557887974</v>
      </c>
    </row>
    <row r="71" spans="1:21" x14ac:dyDescent="0.25">
      <c r="A71" s="74" t="s">
        <v>675</v>
      </c>
      <c r="B71" s="214" t="s">
        <v>739</v>
      </c>
      <c r="C71" s="215" t="s">
        <v>805</v>
      </c>
      <c r="D71" s="71" t="s">
        <v>411</v>
      </c>
      <c r="E71" s="71" t="s">
        <v>63</v>
      </c>
      <c r="F71" s="78">
        <v>317.3</v>
      </c>
      <c r="G71" s="78">
        <v>399.9</v>
      </c>
      <c r="H71" s="78">
        <v>387.3</v>
      </c>
      <c r="I71" s="78">
        <v>369</v>
      </c>
      <c r="J71" s="152">
        <v>357</v>
      </c>
      <c r="K71" s="78">
        <v>360</v>
      </c>
      <c r="L71" s="99">
        <f t="shared" si="12"/>
        <v>311.55344006923411</v>
      </c>
      <c r="N71" s="183">
        <f t="shared" si="13"/>
        <v>331.43982986088736</v>
      </c>
      <c r="P71" s="100"/>
      <c r="S71" s="101">
        <f t="shared" si="14"/>
        <v>389.92921160104396</v>
      </c>
    </row>
    <row r="72" spans="1:21" s="108" customFormat="1" x14ac:dyDescent="0.25">
      <c r="A72" s="107" t="s">
        <v>676</v>
      </c>
      <c r="B72" s="214" t="s">
        <v>465</v>
      </c>
      <c r="C72" s="215" t="s">
        <v>806</v>
      </c>
      <c r="D72" s="112" t="s">
        <v>24</v>
      </c>
      <c r="E72" s="112" t="s">
        <v>63</v>
      </c>
      <c r="F72" s="113">
        <v>341.8</v>
      </c>
      <c r="G72" s="113">
        <v>448.1</v>
      </c>
      <c r="H72" s="113">
        <v>432.8</v>
      </c>
      <c r="I72" s="113">
        <v>395</v>
      </c>
      <c r="J72" s="160">
        <v>376</v>
      </c>
      <c r="K72" s="113">
        <v>380</v>
      </c>
      <c r="L72" s="102">
        <f t="shared" si="12"/>
        <v>328.86196451752488</v>
      </c>
      <c r="M72" s="124"/>
      <c r="N72" s="184">
        <f>L72/N$1</f>
        <v>349.85315374204777</v>
      </c>
      <c r="O72" s="108">
        <v>380</v>
      </c>
      <c r="P72" s="114">
        <v>391.58</v>
      </c>
      <c r="Q72" s="115">
        <f t="shared" ref="Q72:Q77" si="15">(K72-P72)/P72</f>
        <v>-2.9572501149190418E-2</v>
      </c>
      <c r="S72" s="116">
        <f t="shared" si="14"/>
        <v>411.59194557887974</v>
      </c>
      <c r="U72" s="111"/>
    </row>
    <row r="73" spans="1:21" x14ac:dyDescent="0.25">
      <c r="A73" s="74" t="s">
        <v>677</v>
      </c>
      <c r="B73" s="214" t="s">
        <v>740</v>
      </c>
      <c r="C73" s="215" t="s">
        <v>807</v>
      </c>
      <c r="D73" s="71" t="s">
        <v>33</v>
      </c>
      <c r="E73" s="71" t="s">
        <v>63</v>
      </c>
      <c r="F73" s="78">
        <v>375.4</v>
      </c>
      <c r="G73" s="78">
        <v>487.9</v>
      </c>
      <c r="H73" s="78">
        <v>488.9</v>
      </c>
      <c r="I73" s="78">
        <v>466</v>
      </c>
      <c r="J73" s="152">
        <v>452</v>
      </c>
      <c r="K73" s="78">
        <v>455</v>
      </c>
      <c r="L73" s="99">
        <f t="shared" si="12"/>
        <v>393.76893119861535</v>
      </c>
      <c r="N73" s="183">
        <f t="shared" si="13"/>
        <v>418.90311829639933</v>
      </c>
      <c r="P73" s="100">
        <v>462.5</v>
      </c>
      <c r="Q73" s="115">
        <f t="shared" si="15"/>
        <v>-1.6216216216216217E-2</v>
      </c>
      <c r="S73" s="101">
        <f t="shared" si="14"/>
        <v>492.82719799576392</v>
      </c>
    </row>
    <row r="74" spans="1:21" s="108" customFormat="1" x14ac:dyDescent="0.25">
      <c r="A74" s="107" t="s">
        <v>678</v>
      </c>
      <c r="B74" s="214" t="s">
        <v>741</v>
      </c>
      <c r="C74" s="215" t="s">
        <v>808</v>
      </c>
      <c r="D74" s="112" t="s">
        <v>26</v>
      </c>
      <c r="E74" s="112" t="s">
        <v>63</v>
      </c>
      <c r="F74" s="113">
        <v>364.4</v>
      </c>
      <c r="G74" s="113">
        <v>474</v>
      </c>
      <c r="H74" s="113">
        <v>458.9</v>
      </c>
      <c r="I74" s="113">
        <v>437</v>
      </c>
      <c r="J74" s="160">
        <v>420</v>
      </c>
      <c r="K74" s="113">
        <v>425</v>
      </c>
      <c r="L74" s="102">
        <f t="shared" si="12"/>
        <v>367.80614452617914</v>
      </c>
      <c r="N74" s="184">
        <f>L74/N$1</f>
        <v>391.28313247465866</v>
      </c>
      <c r="O74" s="108">
        <v>411</v>
      </c>
      <c r="P74" s="114">
        <v>422.95</v>
      </c>
      <c r="Q74" s="115">
        <f t="shared" si="15"/>
        <v>4.8469086180399842E-3</v>
      </c>
      <c r="S74" s="116">
        <f t="shared" si="14"/>
        <v>460.33309702901022</v>
      </c>
    </row>
    <row r="75" spans="1:21" x14ac:dyDescent="0.25">
      <c r="A75" s="74" t="s">
        <v>679</v>
      </c>
      <c r="B75" s="214" t="s">
        <v>742</v>
      </c>
      <c r="C75" s="215" t="s">
        <v>809</v>
      </c>
      <c r="D75" s="71" t="s">
        <v>34</v>
      </c>
      <c r="E75" s="71" t="s">
        <v>63</v>
      </c>
      <c r="F75" s="78">
        <v>399.1</v>
      </c>
      <c r="G75" s="78">
        <v>516.29999999999995</v>
      </c>
      <c r="H75" s="78">
        <v>499.5</v>
      </c>
      <c r="I75" s="78">
        <v>476</v>
      </c>
      <c r="J75" s="152">
        <v>462</v>
      </c>
      <c r="K75" s="78">
        <v>465</v>
      </c>
      <c r="L75" s="99">
        <f t="shared" si="12"/>
        <v>402.42319342276073</v>
      </c>
      <c r="N75" s="183">
        <f t="shared" si="13"/>
        <v>428.10978023697953</v>
      </c>
      <c r="P75" s="100">
        <v>494.4</v>
      </c>
      <c r="Q75" s="115">
        <f t="shared" si="15"/>
        <v>-5.9466019417475688E-2</v>
      </c>
      <c r="S75" s="101">
        <f t="shared" si="14"/>
        <v>503.65856498468179</v>
      </c>
    </row>
    <row r="76" spans="1:21" x14ac:dyDescent="0.25">
      <c r="A76" s="74" t="s">
        <v>680</v>
      </c>
      <c r="B76" s="214" t="s">
        <v>743</v>
      </c>
      <c r="C76" s="215" t="s">
        <v>810</v>
      </c>
      <c r="D76" s="71" t="s">
        <v>35</v>
      </c>
      <c r="E76" s="71" t="s">
        <v>63</v>
      </c>
      <c r="F76" s="78">
        <v>397.9</v>
      </c>
      <c r="G76" s="78">
        <v>520.9</v>
      </c>
      <c r="H76" s="78">
        <v>505.9</v>
      </c>
      <c r="I76" s="78">
        <v>482</v>
      </c>
      <c r="J76" s="152">
        <v>468</v>
      </c>
      <c r="K76" s="78">
        <v>470</v>
      </c>
      <c r="L76" s="99">
        <f t="shared" si="12"/>
        <v>406.7503245348334</v>
      </c>
      <c r="N76" s="183">
        <f t="shared" si="13"/>
        <v>432.71311120726961</v>
      </c>
      <c r="O76">
        <v>595</v>
      </c>
      <c r="P76" s="100">
        <v>489.92</v>
      </c>
      <c r="Q76" s="115">
        <f t="shared" si="15"/>
        <v>-4.0659699542782528E-2</v>
      </c>
      <c r="S76" s="101">
        <f t="shared" si="14"/>
        <v>509.07424847914075</v>
      </c>
    </row>
    <row r="77" spans="1:21" x14ac:dyDescent="0.25">
      <c r="A77" s="74" t="s">
        <v>681</v>
      </c>
      <c r="B77" s="214" t="s">
        <v>744</v>
      </c>
      <c r="C77" s="215" t="s">
        <v>811</v>
      </c>
      <c r="D77" s="71" t="s">
        <v>36</v>
      </c>
      <c r="E77" s="71" t="s">
        <v>63</v>
      </c>
      <c r="F77" s="78">
        <v>437.1</v>
      </c>
      <c r="G77" s="78">
        <v>567.6</v>
      </c>
      <c r="H77" s="78">
        <v>551.1</v>
      </c>
      <c r="I77" s="78">
        <v>525</v>
      </c>
      <c r="J77" s="152">
        <v>512</v>
      </c>
      <c r="K77" s="78">
        <v>515</v>
      </c>
      <c r="L77" s="99">
        <f t="shared" si="12"/>
        <v>445.69450454348765</v>
      </c>
      <c r="N77" s="183">
        <f t="shared" si="13"/>
        <v>474.1430899398805</v>
      </c>
      <c r="O77">
        <v>506</v>
      </c>
      <c r="P77" s="100">
        <v>521.33000000000004</v>
      </c>
      <c r="Q77" s="115">
        <f t="shared" si="15"/>
        <v>-1.2142021368423149E-2</v>
      </c>
      <c r="S77" s="101">
        <f t="shared" si="14"/>
        <v>557.81539992927117</v>
      </c>
    </row>
    <row r="78" spans="1:21" x14ac:dyDescent="0.25">
      <c r="A78" s="76" t="s">
        <v>410</v>
      </c>
      <c r="B78" s="212" t="s">
        <v>600</v>
      </c>
      <c r="C78" s="212" t="s">
        <v>482</v>
      </c>
      <c r="D78" s="76" t="s">
        <v>1</v>
      </c>
      <c r="E78" s="76" t="s">
        <v>59</v>
      </c>
      <c r="F78" s="76" t="s">
        <v>2</v>
      </c>
      <c r="G78" s="76" t="s">
        <v>2</v>
      </c>
      <c r="H78" s="76" t="s">
        <v>2</v>
      </c>
      <c r="I78" s="76" t="s">
        <v>2</v>
      </c>
      <c r="J78" s="118" t="s">
        <v>935</v>
      </c>
      <c r="K78" s="76" t="s">
        <v>2</v>
      </c>
      <c r="L78" s="76" t="s">
        <v>57</v>
      </c>
      <c r="N78" s="76" t="s">
        <v>57</v>
      </c>
      <c r="P78" s="76" t="s">
        <v>30</v>
      </c>
      <c r="S78" s="101"/>
    </row>
    <row r="79" spans="1:21" x14ac:dyDescent="0.25">
      <c r="A79" s="98" t="s">
        <v>813</v>
      </c>
      <c r="B79" s="203" t="s">
        <v>961</v>
      </c>
      <c r="C79" s="213" t="s">
        <v>265</v>
      </c>
      <c r="D79" s="98" t="s">
        <v>833</v>
      </c>
      <c r="E79" s="98" t="s">
        <v>834</v>
      </c>
      <c r="F79" s="78" t="s">
        <v>836</v>
      </c>
      <c r="G79" s="78"/>
      <c r="H79" s="78">
        <v>286.89999999999998</v>
      </c>
      <c r="I79" s="78">
        <v>273</v>
      </c>
      <c r="J79" s="152">
        <v>259</v>
      </c>
      <c r="K79" s="78">
        <v>265</v>
      </c>
      <c r="L79" s="99">
        <f t="shared" ref="L79:L98" si="16">(K79*L$1/L$2)</f>
        <v>229.33794893985288</v>
      </c>
      <c r="N79" s="183">
        <f t="shared" ref="N79:N98" si="17">L79/N$1</f>
        <v>243.97654142537542</v>
      </c>
      <c r="P79" s="100"/>
    </row>
    <row r="80" spans="1:21" x14ac:dyDescent="0.25">
      <c r="A80" s="98" t="s">
        <v>814</v>
      </c>
      <c r="B80" s="203" t="s">
        <v>962</v>
      </c>
      <c r="C80" s="213" t="s">
        <v>265</v>
      </c>
      <c r="D80" s="98" t="s">
        <v>412</v>
      </c>
      <c r="E80" s="98" t="s">
        <v>834</v>
      </c>
      <c r="F80" s="78"/>
      <c r="G80" s="78"/>
      <c r="H80" s="78">
        <v>301.60000000000002</v>
      </c>
      <c r="I80" s="78">
        <v>287</v>
      </c>
      <c r="J80" s="152">
        <v>273</v>
      </c>
      <c r="K80" s="78">
        <v>275</v>
      </c>
      <c r="L80" s="99">
        <f t="shared" si="16"/>
        <v>237.99221116399826</v>
      </c>
      <c r="N80" s="183">
        <f t="shared" si="17"/>
        <v>253.18320336595562</v>
      </c>
      <c r="P80" s="100"/>
    </row>
    <row r="81" spans="1:16" x14ac:dyDescent="0.25">
      <c r="A81" s="98" t="s">
        <v>815</v>
      </c>
      <c r="B81" s="203" t="s">
        <v>963</v>
      </c>
      <c r="C81" s="213" t="s">
        <v>265</v>
      </c>
      <c r="D81" s="98" t="s">
        <v>411</v>
      </c>
      <c r="E81" s="98" t="s">
        <v>834</v>
      </c>
      <c r="F81" s="78"/>
      <c r="G81" s="78"/>
      <c r="H81" s="78">
        <v>335.4</v>
      </c>
      <c r="I81" s="78">
        <v>319</v>
      </c>
      <c r="J81" s="152">
        <v>303</v>
      </c>
      <c r="K81" s="78">
        <v>305</v>
      </c>
      <c r="L81" s="99">
        <f t="shared" si="16"/>
        <v>263.95499783643447</v>
      </c>
      <c r="N81" s="183">
        <f t="shared" si="17"/>
        <v>280.80318918769626</v>
      </c>
      <c r="P81" s="100"/>
    </row>
    <row r="82" spans="1:16" x14ac:dyDescent="0.25">
      <c r="A82" s="98" t="s">
        <v>816</v>
      </c>
      <c r="B82" s="203" t="s">
        <v>965</v>
      </c>
      <c r="C82" s="213" t="s">
        <v>265</v>
      </c>
      <c r="D82" s="98" t="s">
        <v>34</v>
      </c>
      <c r="E82" s="98" t="s">
        <v>834</v>
      </c>
      <c r="F82" s="78"/>
      <c r="G82" s="78"/>
      <c r="H82" s="78">
        <v>461.2</v>
      </c>
      <c r="I82" s="78">
        <v>439</v>
      </c>
      <c r="J82" s="152">
        <v>417</v>
      </c>
      <c r="K82" s="78">
        <v>425</v>
      </c>
      <c r="L82" s="99">
        <f t="shared" si="16"/>
        <v>367.80614452617914</v>
      </c>
      <c r="N82" s="183">
        <f t="shared" si="17"/>
        <v>391.28313247465866</v>
      </c>
      <c r="P82" s="100"/>
    </row>
    <row r="83" spans="1:16" x14ac:dyDescent="0.25">
      <c r="A83" s="98" t="s">
        <v>817</v>
      </c>
      <c r="B83" s="203" t="s">
        <v>969</v>
      </c>
      <c r="C83" s="213" t="s">
        <v>265</v>
      </c>
      <c r="D83" s="98" t="s">
        <v>22</v>
      </c>
      <c r="E83" s="98" t="s">
        <v>834</v>
      </c>
      <c r="F83" s="78"/>
      <c r="G83" s="78"/>
      <c r="H83" s="78">
        <v>359.6</v>
      </c>
      <c r="I83" s="78">
        <v>342</v>
      </c>
      <c r="J83" s="152">
        <v>324</v>
      </c>
      <c r="K83" s="78">
        <v>330</v>
      </c>
      <c r="L83" s="99">
        <f t="shared" si="16"/>
        <v>285.5906533967979</v>
      </c>
      <c r="N83" s="183">
        <f t="shared" si="17"/>
        <v>303.81984403914674</v>
      </c>
      <c r="P83" s="100"/>
    </row>
    <row r="84" spans="1:16" x14ac:dyDescent="0.25">
      <c r="A84" s="98" t="s">
        <v>818</v>
      </c>
      <c r="B84" s="203" t="s">
        <v>963</v>
      </c>
      <c r="C84" s="213" t="s">
        <v>265</v>
      </c>
      <c r="D84" s="98" t="s">
        <v>411</v>
      </c>
      <c r="E84" s="98" t="s">
        <v>834</v>
      </c>
      <c r="F84" s="78"/>
      <c r="G84" s="78"/>
      <c r="H84" s="78">
        <v>342.3</v>
      </c>
      <c r="I84" s="78">
        <v>326</v>
      </c>
      <c r="J84" s="152">
        <v>310</v>
      </c>
      <c r="K84" s="78">
        <v>315</v>
      </c>
      <c r="L84" s="99">
        <f t="shared" si="16"/>
        <v>272.60926006057986</v>
      </c>
      <c r="N84" s="183">
        <f t="shared" si="17"/>
        <v>290.00985112827647</v>
      </c>
      <c r="P84" s="100"/>
    </row>
    <row r="85" spans="1:16" s="124" customFormat="1" x14ac:dyDescent="0.25">
      <c r="A85" s="318" t="s">
        <v>819</v>
      </c>
      <c r="B85" s="319" t="s">
        <v>457</v>
      </c>
      <c r="C85" s="17" t="s">
        <v>265</v>
      </c>
      <c r="D85" s="318" t="s">
        <v>24</v>
      </c>
      <c r="E85" s="318" t="s">
        <v>834</v>
      </c>
      <c r="F85" s="113"/>
      <c r="G85" s="113"/>
      <c r="H85" s="113">
        <v>386.4</v>
      </c>
      <c r="I85" s="113">
        <v>350</v>
      </c>
      <c r="J85" s="160">
        <v>332</v>
      </c>
      <c r="K85" s="113">
        <v>340</v>
      </c>
      <c r="L85" s="102">
        <f t="shared" si="16"/>
        <v>294.24491562094335</v>
      </c>
      <c r="N85" s="184">
        <f t="shared" si="17"/>
        <v>313.02650597972701</v>
      </c>
      <c r="P85" s="114"/>
    </row>
    <row r="86" spans="1:16" x14ac:dyDescent="0.25">
      <c r="A86" s="98" t="s">
        <v>820</v>
      </c>
      <c r="B86" s="203" t="s">
        <v>964</v>
      </c>
      <c r="C86" s="213" t="s">
        <v>265</v>
      </c>
      <c r="D86" s="98" t="s">
        <v>33</v>
      </c>
      <c r="E86" s="98" t="s">
        <v>834</v>
      </c>
      <c r="F86" s="78"/>
      <c r="G86" s="78"/>
      <c r="H86" s="78">
        <v>424.1</v>
      </c>
      <c r="I86" s="78">
        <v>404</v>
      </c>
      <c r="J86" s="152">
        <v>384</v>
      </c>
      <c r="K86" s="78">
        <v>390</v>
      </c>
      <c r="L86" s="99">
        <f t="shared" si="16"/>
        <v>337.51622674167027</v>
      </c>
      <c r="N86" s="183">
        <f t="shared" si="17"/>
        <v>359.05981568262797</v>
      </c>
      <c r="P86" s="100"/>
    </row>
    <row r="87" spans="1:16" x14ac:dyDescent="0.25">
      <c r="A87" s="98" t="s">
        <v>821</v>
      </c>
      <c r="B87" s="203" t="s">
        <v>966</v>
      </c>
      <c r="C87" s="213" t="s">
        <v>265</v>
      </c>
      <c r="D87" s="98" t="s">
        <v>26</v>
      </c>
      <c r="E87" s="98" t="s">
        <v>834</v>
      </c>
      <c r="F87" s="78"/>
      <c r="G87" s="78"/>
      <c r="H87" s="78">
        <v>420.20328040230504</v>
      </c>
      <c r="I87" s="78">
        <v>400</v>
      </c>
      <c r="J87" s="152">
        <v>380</v>
      </c>
      <c r="K87" s="78">
        <v>385</v>
      </c>
      <c r="L87" s="99">
        <f t="shared" si="16"/>
        <v>333.1890956295976</v>
      </c>
      <c r="N87" s="183">
        <f t="shared" si="17"/>
        <v>354.4564847123379</v>
      </c>
      <c r="P87" s="100"/>
    </row>
    <row r="88" spans="1:16" x14ac:dyDescent="0.25">
      <c r="A88" s="98" t="s">
        <v>822</v>
      </c>
      <c r="B88" s="203" t="s">
        <v>967</v>
      </c>
      <c r="C88" s="213" t="s">
        <v>265</v>
      </c>
      <c r="D88" s="98" t="s">
        <v>35</v>
      </c>
      <c r="E88" s="98" t="s">
        <v>834</v>
      </c>
      <c r="F88" s="78"/>
      <c r="G88" s="78"/>
      <c r="H88" s="78">
        <v>467.5</v>
      </c>
      <c r="I88" s="78">
        <v>445</v>
      </c>
      <c r="J88" s="152">
        <v>423</v>
      </c>
      <c r="K88" s="78">
        <v>430</v>
      </c>
      <c r="L88" s="99">
        <f t="shared" si="16"/>
        <v>372.13327563825186</v>
      </c>
      <c r="N88" s="183">
        <f t="shared" si="17"/>
        <v>395.88646344494879</v>
      </c>
      <c r="P88" s="100"/>
    </row>
    <row r="89" spans="1:16" x14ac:dyDescent="0.25">
      <c r="A89" s="98" t="s">
        <v>823</v>
      </c>
      <c r="B89" s="203" t="s">
        <v>968</v>
      </c>
      <c r="C89" s="213" t="s">
        <v>265</v>
      </c>
      <c r="D89" s="98" t="s">
        <v>36</v>
      </c>
      <c r="E89" s="98" t="s">
        <v>834</v>
      </c>
      <c r="F89" s="78"/>
      <c r="G89" s="78"/>
      <c r="H89" s="78">
        <v>511.6</v>
      </c>
      <c r="I89" s="78">
        <v>487</v>
      </c>
      <c r="J89" s="152">
        <v>463</v>
      </c>
      <c r="K89" s="78">
        <v>470</v>
      </c>
      <c r="L89" s="99">
        <f t="shared" si="16"/>
        <v>406.7503245348334</v>
      </c>
      <c r="N89" s="183">
        <f t="shared" si="17"/>
        <v>432.71311120726961</v>
      </c>
      <c r="P89" s="100"/>
    </row>
    <row r="90" spans="1:16" x14ac:dyDescent="0.25">
      <c r="A90" s="98" t="s">
        <v>824</v>
      </c>
      <c r="B90" s="203" t="s">
        <v>970</v>
      </c>
      <c r="C90" s="213" t="s">
        <v>265</v>
      </c>
      <c r="D90" s="98" t="s">
        <v>833</v>
      </c>
      <c r="E90" s="98" t="s">
        <v>835</v>
      </c>
      <c r="F90" s="78"/>
      <c r="G90" s="78"/>
      <c r="H90" s="78">
        <v>312.5</v>
      </c>
      <c r="I90" s="78">
        <v>298</v>
      </c>
      <c r="J90" s="152">
        <v>283</v>
      </c>
      <c r="K90" s="78">
        <v>285</v>
      </c>
      <c r="L90" s="99">
        <f t="shared" si="16"/>
        <v>246.64647338814368</v>
      </c>
      <c r="N90" s="183">
        <f t="shared" si="17"/>
        <v>262.38986530653585</v>
      </c>
      <c r="P90" s="100"/>
    </row>
    <row r="91" spans="1:16" x14ac:dyDescent="0.25">
      <c r="A91" s="98" t="s">
        <v>825</v>
      </c>
      <c r="B91" s="203" t="s">
        <v>971</v>
      </c>
      <c r="C91" s="213" t="s">
        <v>265</v>
      </c>
      <c r="D91" s="98" t="s">
        <v>412</v>
      </c>
      <c r="E91" s="98" t="s">
        <v>835</v>
      </c>
      <c r="F91" s="78"/>
      <c r="G91" s="78"/>
      <c r="H91" s="78">
        <v>328.1</v>
      </c>
      <c r="I91" s="78">
        <v>312</v>
      </c>
      <c r="J91" s="152">
        <v>297</v>
      </c>
      <c r="K91" s="78">
        <v>300</v>
      </c>
      <c r="L91" s="99">
        <f t="shared" si="16"/>
        <v>259.62786672436175</v>
      </c>
      <c r="N91" s="183">
        <f t="shared" si="17"/>
        <v>276.19985821740613</v>
      </c>
      <c r="P91" s="100"/>
    </row>
    <row r="92" spans="1:16" x14ac:dyDescent="0.25">
      <c r="A92" s="98" t="s">
        <v>826</v>
      </c>
      <c r="B92" s="203" t="s">
        <v>972</v>
      </c>
      <c r="C92" s="213" t="s">
        <v>265</v>
      </c>
      <c r="D92" s="98" t="s">
        <v>411</v>
      </c>
      <c r="E92" s="98" t="s">
        <v>835</v>
      </c>
      <c r="F92" s="78"/>
      <c r="G92" s="78"/>
      <c r="H92" s="78">
        <v>363.4</v>
      </c>
      <c r="I92" s="78">
        <v>346</v>
      </c>
      <c r="J92" s="152">
        <v>329</v>
      </c>
      <c r="K92" s="78">
        <v>335</v>
      </c>
      <c r="L92" s="99">
        <f t="shared" si="16"/>
        <v>289.91778450887062</v>
      </c>
      <c r="N92" s="183">
        <f t="shared" si="17"/>
        <v>308.42317500943687</v>
      </c>
      <c r="P92" s="100"/>
    </row>
    <row r="93" spans="1:16" x14ac:dyDescent="0.25">
      <c r="A93" s="98" t="s">
        <v>827</v>
      </c>
      <c r="B93" s="203" t="s">
        <v>973</v>
      </c>
      <c r="C93" s="213" t="s">
        <v>265</v>
      </c>
      <c r="D93" s="98" t="s">
        <v>32</v>
      </c>
      <c r="E93" s="98" t="s">
        <v>835</v>
      </c>
      <c r="F93" s="78"/>
      <c r="G93" s="78"/>
      <c r="H93" s="78">
        <v>370.6</v>
      </c>
      <c r="I93" s="78">
        <v>353</v>
      </c>
      <c r="J93" s="152">
        <v>336</v>
      </c>
      <c r="K93" s="78">
        <v>340</v>
      </c>
      <c r="L93" s="99">
        <f t="shared" si="16"/>
        <v>294.24491562094335</v>
      </c>
      <c r="N93" s="183">
        <f t="shared" si="17"/>
        <v>313.02650597972701</v>
      </c>
      <c r="P93" s="100"/>
    </row>
    <row r="94" spans="1:16" x14ac:dyDescent="0.25">
      <c r="A94" s="98" t="s">
        <v>828</v>
      </c>
      <c r="B94" s="203" t="s">
        <v>462</v>
      </c>
      <c r="C94" s="213" t="s">
        <v>265</v>
      </c>
      <c r="D94" s="98" t="s">
        <v>24</v>
      </c>
      <c r="E94" s="98" t="s">
        <v>835</v>
      </c>
      <c r="F94" s="78"/>
      <c r="G94" s="78"/>
      <c r="H94" s="78">
        <v>417.40157019824477</v>
      </c>
      <c r="I94" s="78">
        <v>398</v>
      </c>
      <c r="J94" s="152">
        <v>378</v>
      </c>
      <c r="K94" s="78">
        <v>385</v>
      </c>
      <c r="L94" s="99">
        <f t="shared" si="16"/>
        <v>333.1890956295976</v>
      </c>
      <c r="N94" s="183">
        <f t="shared" si="17"/>
        <v>354.4564847123379</v>
      </c>
      <c r="P94" s="100"/>
    </row>
    <row r="95" spans="1:16" x14ac:dyDescent="0.25">
      <c r="A95" s="98" t="s">
        <v>829</v>
      </c>
      <c r="B95" s="203" t="s">
        <v>974</v>
      </c>
      <c r="C95" s="213" t="s">
        <v>265</v>
      </c>
      <c r="D95" s="98" t="s">
        <v>33</v>
      </c>
      <c r="E95" s="98" t="s">
        <v>835</v>
      </c>
      <c r="F95" s="78"/>
      <c r="G95" s="78"/>
      <c r="H95" s="78">
        <v>455.69881709662877</v>
      </c>
      <c r="I95" s="78">
        <v>434</v>
      </c>
      <c r="J95" s="152">
        <v>412</v>
      </c>
      <c r="K95" s="78">
        <v>420</v>
      </c>
      <c r="L95" s="99">
        <f t="shared" si="16"/>
        <v>363.47901341410648</v>
      </c>
      <c r="N95" s="183">
        <f t="shared" si="17"/>
        <v>386.67980150436864</v>
      </c>
      <c r="P95" s="100"/>
    </row>
    <row r="96" spans="1:16" x14ac:dyDescent="0.25">
      <c r="A96" s="98" t="s">
        <v>830</v>
      </c>
      <c r="B96" s="203" t="s">
        <v>975</v>
      </c>
      <c r="C96" s="213" t="s">
        <v>265</v>
      </c>
      <c r="D96" s="98" t="s">
        <v>26</v>
      </c>
      <c r="E96" s="98" t="s">
        <v>835</v>
      </c>
      <c r="F96" s="78"/>
      <c r="G96" s="78"/>
      <c r="H96" s="78">
        <v>443.7</v>
      </c>
      <c r="I96" s="78">
        <v>423</v>
      </c>
      <c r="J96" s="152">
        <v>402</v>
      </c>
      <c r="K96" s="78">
        <v>410</v>
      </c>
      <c r="L96" s="99">
        <f t="shared" si="16"/>
        <v>354.82475118996109</v>
      </c>
      <c r="N96" s="183">
        <f t="shared" si="17"/>
        <v>377.47313956378844</v>
      </c>
      <c r="P96" s="100"/>
    </row>
    <row r="97" spans="1:19" x14ac:dyDescent="0.25">
      <c r="A97" s="98" t="s">
        <v>831</v>
      </c>
      <c r="B97" s="203" t="s">
        <v>976</v>
      </c>
      <c r="C97" s="213" t="s">
        <v>265</v>
      </c>
      <c r="D97" s="98" t="s">
        <v>35</v>
      </c>
      <c r="E97" s="98" t="s">
        <v>835</v>
      </c>
      <c r="F97" s="78"/>
      <c r="G97" s="78"/>
      <c r="H97" s="78">
        <v>490.2</v>
      </c>
      <c r="I97" s="78">
        <v>467</v>
      </c>
      <c r="J97" s="152">
        <v>444</v>
      </c>
      <c r="K97" s="78">
        <v>450</v>
      </c>
      <c r="L97" s="99">
        <f t="shared" si="16"/>
        <v>389.44180008654263</v>
      </c>
      <c r="N97" s="183">
        <f t="shared" si="17"/>
        <v>414.2997873261092</v>
      </c>
      <c r="P97" s="100"/>
    </row>
    <row r="98" spans="1:19" x14ac:dyDescent="0.25">
      <c r="A98" s="98" t="s">
        <v>832</v>
      </c>
      <c r="B98" s="203" t="s">
        <v>977</v>
      </c>
      <c r="C98" s="213" t="s">
        <v>265</v>
      </c>
      <c r="D98" s="98" t="s">
        <v>36</v>
      </c>
      <c r="E98" s="98" t="s">
        <v>835</v>
      </c>
      <c r="F98" s="78"/>
      <c r="G98" s="78"/>
      <c r="H98" s="78">
        <v>535.9</v>
      </c>
      <c r="I98" s="78">
        <v>510</v>
      </c>
      <c r="J98" s="152">
        <v>485</v>
      </c>
      <c r="K98" s="78">
        <v>500</v>
      </c>
      <c r="L98" s="99">
        <f t="shared" si="16"/>
        <v>432.71311120726961</v>
      </c>
      <c r="N98" s="183">
        <f t="shared" si="17"/>
        <v>460.33309702901022</v>
      </c>
      <c r="P98" s="100"/>
    </row>
    <row r="99" spans="1:19" x14ac:dyDescent="0.25">
      <c r="A99" s="76" t="s">
        <v>410</v>
      </c>
      <c r="B99" s="212" t="s">
        <v>600</v>
      </c>
      <c r="C99" s="212" t="s">
        <v>482</v>
      </c>
      <c r="D99" s="76" t="s">
        <v>1</v>
      </c>
      <c r="E99" s="76" t="s">
        <v>59</v>
      </c>
      <c r="F99" s="76" t="s">
        <v>2</v>
      </c>
      <c r="G99" s="76" t="s">
        <v>2</v>
      </c>
      <c r="H99" s="76" t="s">
        <v>2</v>
      </c>
      <c r="I99" s="76" t="s">
        <v>2</v>
      </c>
      <c r="J99" s="118" t="s">
        <v>935</v>
      </c>
      <c r="K99" s="76" t="s">
        <v>2</v>
      </c>
      <c r="L99" s="76" t="s">
        <v>57</v>
      </c>
      <c r="N99" s="76" t="s">
        <v>57</v>
      </c>
      <c r="P99" s="76" t="s">
        <v>30</v>
      </c>
      <c r="S99" s="101"/>
    </row>
    <row r="100" spans="1:19" x14ac:dyDescent="0.25">
      <c r="A100" t="s">
        <v>1147</v>
      </c>
      <c r="B100" s="203" t="s">
        <v>1170</v>
      </c>
      <c r="D100" s="98" t="s">
        <v>1142</v>
      </c>
      <c r="E100" s="98" t="s">
        <v>834</v>
      </c>
      <c r="F100" s="78"/>
      <c r="G100" s="78"/>
      <c r="H100" s="78"/>
      <c r="I100" s="78"/>
      <c r="J100" s="152"/>
      <c r="K100" s="78">
        <v>359.7</v>
      </c>
      <c r="L100" s="99">
        <f t="shared" ref="L100:L129" si="18">(K100*L$1/L$2)</f>
        <v>311.29381220250974</v>
      </c>
      <c r="N100" s="183">
        <f t="shared" ref="N100:N104" si="19">L100/N$1</f>
        <v>331.16363000266995</v>
      </c>
      <c r="P100" s="100"/>
    </row>
    <row r="101" spans="1:19" x14ac:dyDescent="0.25">
      <c r="A101" t="s">
        <v>1148</v>
      </c>
      <c r="B101" s="203" t="s">
        <v>1171</v>
      </c>
      <c r="D101" s="98" t="s">
        <v>1143</v>
      </c>
      <c r="E101" s="98" t="s">
        <v>834</v>
      </c>
      <c r="F101" s="78"/>
      <c r="G101" s="78"/>
      <c r="H101" s="78"/>
      <c r="I101" s="78"/>
      <c r="J101" s="152"/>
      <c r="K101" s="78">
        <v>390.8</v>
      </c>
      <c r="L101" s="99">
        <f t="shared" si="18"/>
        <v>338.20856771960194</v>
      </c>
      <c r="N101" s="183">
        <f t="shared" si="19"/>
        <v>359.79634863787442</v>
      </c>
      <c r="P101" s="100"/>
    </row>
    <row r="102" spans="1:19" x14ac:dyDescent="0.25">
      <c r="A102" t="s">
        <v>1149</v>
      </c>
      <c r="B102" s="203" t="s">
        <v>1172</v>
      </c>
      <c r="D102" s="98" t="s">
        <v>1144</v>
      </c>
      <c r="E102" s="98" t="s">
        <v>834</v>
      </c>
      <c r="F102" s="78"/>
      <c r="G102" s="78"/>
      <c r="H102" s="78"/>
      <c r="I102" s="78"/>
      <c r="J102" s="152"/>
      <c r="K102" s="78">
        <v>427.3</v>
      </c>
      <c r="L102" s="99">
        <f t="shared" si="18"/>
        <v>369.79662483773262</v>
      </c>
      <c r="N102" s="183">
        <f t="shared" si="19"/>
        <v>393.40066472099215</v>
      </c>
      <c r="P102" s="100"/>
    </row>
    <row r="103" spans="1:19" x14ac:dyDescent="0.25">
      <c r="A103" t="s">
        <v>1150</v>
      </c>
      <c r="B103" s="203" t="s">
        <v>1173</v>
      </c>
      <c r="D103" s="98" t="s">
        <v>1145</v>
      </c>
      <c r="E103" s="98" t="s">
        <v>834</v>
      </c>
      <c r="F103" s="78"/>
      <c r="G103" s="78"/>
      <c r="H103" s="78"/>
      <c r="I103" s="78"/>
      <c r="J103" s="152"/>
      <c r="K103" s="78">
        <v>486.2</v>
      </c>
      <c r="L103" s="99">
        <f t="shared" si="18"/>
        <v>420.77022933794893</v>
      </c>
      <c r="N103" s="183">
        <f t="shared" si="19"/>
        <v>447.62790355100952</v>
      </c>
      <c r="P103" s="100"/>
    </row>
    <row r="104" spans="1:19" x14ac:dyDescent="0.25">
      <c r="A104" t="s">
        <v>1151</v>
      </c>
      <c r="B104" s="203" t="s">
        <v>1174</v>
      </c>
      <c r="D104" s="98" t="s">
        <v>1146</v>
      </c>
      <c r="E104" s="98" t="s">
        <v>834</v>
      </c>
      <c r="F104" s="78"/>
      <c r="G104" s="78"/>
      <c r="H104" s="78"/>
      <c r="I104" s="78"/>
      <c r="J104" s="152"/>
      <c r="K104" s="78">
        <v>516.1</v>
      </c>
      <c r="L104" s="99">
        <f t="shared" si="18"/>
        <v>446.6464733881437</v>
      </c>
      <c r="N104" s="183">
        <f t="shared" si="19"/>
        <v>475.15582275334441</v>
      </c>
      <c r="P104" s="100"/>
    </row>
    <row r="105" spans="1:19" x14ac:dyDescent="0.25">
      <c r="A105" t="s">
        <v>1152</v>
      </c>
      <c r="B105" s="203" t="s">
        <v>1175</v>
      </c>
      <c r="D105" s="98" t="s">
        <v>1142</v>
      </c>
      <c r="E105" s="98" t="s">
        <v>835</v>
      </c>
      <c r="F105" s="78"/>
      <c r="G105" s="78"/>
      <c r="H105" s="78"/>
      <c r="I105" s="78"/>
      <c r="J105" s="152"/>
      <c r="K105" s="78">
        <v>394.2</v>
      </c>
      <c r="L105" s="99">
        <f t="shared" si="18"/>
        <v>341.15101687581131</v>
      </c>
      <c r="N105" s="183">
        <f t="shared" ref="N105:N109" si="20">L105/N$1</f>
        <v>362.9266136976716</v>
      </c>
      <c r="P105" s="100"/>
    </row>
    <row r="106" spans="1:19" x14ac:dyDescent="0.25">
      <c r="A106" t="s">
        <v>1153</v>
      </c>
      <c r="B106" s="203" t="s">
        <v>1176</v>
      </c>
      <c r="D106" s="98" t="s">
        <v>1143</v>
      </c>
      <c r="E106" s="98" t="s">
        <v>835</v>
      </c>
      <c r="F106" s="78"/>
      <c r="G106" s="78"/>
      <c r="H106" s="78"/>
      <c r="I106" s="78"/>
      <c r="J106" s="152"/>
      <c r="K106" s="78">
        <v>425.5</v>
      </c>
      <c r="L106" s="99">
        <f t="shared" si="18"/>
        <v>368.23885763738645</v>
      </c>
      <c r="N106" s="183">
        <f t="shared" si="20"/>
        <v>391.74346557168775</v>
      </c>
      <c r="P106" s="100"/>
    </row>
    <row r="107" spans="1:19" x14ac:dyDescent="0.25">
      <c r="A107" t="s">
        <v>1154</v>
      </c>
      <c r="B107" s="203" t="s">
        <v>1177</v>
      </c>
      <c r="D107" s="98" t="s">
        <v>1144</v>
      </c>
      <c r="E107" s="98" t="s">
        <v>835</v>
      </c>
      <c r="F107" s="78"/>
      <c r="G107" s="78"/>
      <c r="H107" s="78"/>
      <c r="I107" s="78"/>
      <c r="J107" s="152"/>
      <c r="K107" s="78">
        <v>464.6</v>
      </c>
      <c r="L107" s="99">
        <f t="shared" si="18"/>
        <v>402.07702293379492</v>
      </c>
      <c r="N107" s="183">
        <f t="shared" si="20"/>
        <v>427.74151375935634</v>
      </c>
      <c r="P107" s="100"/>
    </row>
    <row r="108" spans="1:19" x14ac:dyDescent="0.25">
      <c r="A108" t="s">
        <v>1155</v>
      </c>
      <c r="B108" s="203" t="s">
        <v>1178</v>
      </c>
      <c r="D108" s="98" t="s">
        <v>1145</v>
      </c>
      <c r="E108" s="98" t="s">
        <v>835</v>
      </c>
      <c r="F108" s="78"/>
      <c r="G108" s="78"/>
      <c r="H108" s="78"/>
      <c r="I108" s="78"/>
      <c r="J108" s="152"/>
      <c r="K108" s="78">
        <v>528.5</v>
      </c>
      <c r="L108" s="99">
        <f t="shared" si="18"/>
        <v>457.37775854608395</v>
      </c>
      <c r="N108" s="183">
        <f t="shared" si="20"/>
        <v>486.57208355966378</v>
      </c>
      <c r="P108" s="100"/>
    </row>
    <row r="109" spans="1:19" x14ac:dyDescent="0.25">
      <c r="A109" t="s">
        <v>1156</v>
      </c>
      <c r="B109" s="203" t="s">
        <v>1179</v>
      </c>
      <c r="D109" s="98" t="s">
        <v>1146</v>
      </c>
      <c r="E109" s="98" t="s">
        <v>835</v>
      </c>
      <c r="F109" s="78"/>
      <c r="G109" s="78"/>
      <c r="H109" s="78"/>
      <c r="I109" s="78"/>
      <c r="J109" s="152"/>
      <c r="K109" s="78">
        <v>561.4</v>
      </c>
      <c r="L109" s="99">
        <f t="shared" si="18"/>
        <v>485.85028126352228</v>
      </c>
      <c r="N109" s="183">
        <f t="shared" si="20"/>
        <v>516.86200134417265</v>
      </c>
      <c r="P109" s="100"/>
    </row>
    <row r="110" spans="1:19" x14ac:dyDescent="0.25">
      <c r="A110" t="s">
        <v>1157</v>
      </c>
      <c r="B110" s="203" t="s">
        <v>1180</v>
      </c>
      <c r="D110" s="98" t="s">
        <v>1144</v>
      </c>
      <c r="E110" t="s">
        <v>61</v>
      </c>
      <c r="F110" s="78"/>
      <c r="G110" s="78"/>
      <c r="H110" s="78"/>
      <c r="I110" s="78"/>
      <c r="J110" s="152"/>
      <c r="K110" s="78">
        <v>461.6</v>
      </c>
      <c r="L110" s="99">
        <f t="shared" si="18"/>
        <v>399.48074426655131</v>
      </c>
      <c r="N110" s="183">
        <f t="shared" ref="N110:N112" si="21">L110/N$1</f>
        <v>424.97951517718229</v>
      </c>
      <c r="P110" s="100"/>
    </row>
    <row r="111" spans="1:19" x14ac:dyDescent="0.25">
      <c r="A111" t="s">
        <v>1158</v>
      </c>
      <c r="B111" s="203" t="s">
        <v>1181</v>
      </c>
      <c r="D111" s="98" t="s">
        <v>1145</v>
      </c>
      <c r="E111" t="s">
        <v>61</v>
      </c>
      <c r="F111" s="78"/>
      <c r="G111" s="78"/>
      <c r="H111" s="78"/>
      <c r="I111" s="78"/>
      <c r="J111" s="152"/>
      <c r="K111" s="78">
        <v>505.3</v>
      </c>
      <c r="L111" s="99">
        <f t="shared" si="18"/>
        <v>437.29987018606664</v>
      </c>
      <c r="N111" s="183">
        <f t="shared" si="21"/>
        <v>465.2126278575177</v>
      </c>
      <c r="P111" s="100"/>
    </row>
    <row r="112" spans="1:19" x14ac:dyDescent="0.25">
      <c r="A112" t="s">
        <v>1159</v>
      </c>
      <c r="B112" s="203" t="s">
        <v>1182</v>
      </c>
      <c r="D112" s="98" t="s">
        <v>1146</v>
      </c>
      <c r="E112" t="s">
        <v>61</v>
      </c>
      <c r="F112" s="78"/>
      <c r="G112" s="78"/>
      <c r="H112" s="78"/>
      <c r="I112" s="78"/>
      <c r="J112" s="152"/>
      <c r="K112" s="78">
        <v>529.70000000000005</v>
      </c>
      <c r="L112" s="99">
        <f t="shared" si="18"/>
        <v>458.41627001298144</v>
      </c>
      <c r="N112" s="183">
        <f t="shared" si="21"/>
        <v>487.67688299253348</v>
      </c>
      <c r="P112" s="100"/>
    </row>
    <row r="113" spans="1:19" x14ac:dyDescent="0.25">
      <c r="A113" t="s">
        <v>1160</v>
      </c>
      <c r="B113" s="203" t="s">
        <v>1183</v>
      </c>
      <c r="D113" s="98" t="s">
        <v>1144</v>
      </c>
      <c r="E113" s="98" t="s">
        <v>426</v>
      </c>
      <c r="F113" s="78"/>
      <c r="G113" s="78"/>
      <c r="H113" s="78"/>
      <c r="I113" s="78"/>
      <c r="J113" s="152"/>
      <c r="K113" s="78">
        <v>513.9</v>
      </c>
      <c r="L113" s="99">
        <f t="shared" si="18"/>
        <v>444.74253569883166</v>
      </c>
      <c r="N113" s="183">
        <f t="shared" ref="N113:N115" si="22">L113/N$1</f>
        <v>473.1303571264167</v>
      </c>
      <c r="P113" s="100"/>
    </row>
    <row r="114" spans="1:19" x14ac:dyDescent="0.25">
      <c r="A114" t="s">
        <v>1161</v>
      </c>
      <c r="B114" s="203" t="s">
        <v>1184</v>
      </c>
      <c r="D114" s="98" t="s">
        <v>1145</v>
      </c>
      <c r="E114" s="98" t="s">
        <v>426</v>
      </c>
      <c r="F114" s="78"/>
      <c r="G114" s="78"/>
      <c r="H114" s="78"/>
      <c r="I114" s="78"/>
      <c r="J114" s="152"/>
      <c r="K114" s="78">
        <v>561.1</v>
      </c>
      <c r="L114" s="99">
        <f t="shared" si="18"/>
        <v>485.59065339679796</v>
      </c>
      <c r="N114" s="183">
        <f t="shared" si="22"/>
        <v>516.58580148595536</v>
      </c>
      <c r="P114" s="100"/>
    </row>
    <row r="115" spans="1:19" x14ac:dyDescent="0.25">
      <c r="A115" t="s">
        <v>1162</v>
      </c>
      <c r="B115" s="203" t="s">
        <v>1185</v>
      </c>
      <c r="D115" s="98" t="s">
        <v>1146</v>
      </c>
      <c r="E115" s="98" t="s">
        <v>426</v>
      </c>
      <c r="F115" s="78"/>
      <c r="G115" s="78"/>
      <c r="H115" s="78"/>
      <c r="I115" s="78"/>
      <c r="J115" s="152"/>
      <c r="K115" s="78">
        <v>588.20000000000005</v>
      </c>
      <c r="L115" s="99">
        <f t="shared" si="18"/>
        <v>509.043704024232</v>
      </c>
      <c r="N115" s="183">
        <f t="shared" si="22"/>
        <v>541.53585534492765</v>
      </c>
      <c r="P115" s="100"/>
    </row>
    <row r="116" spans="1:19" x14ac:dyDescent="0.25">
      <c r="A116" t="s">
        <v>1163</v>
      </c>
      <c r="B116" s="203" t="s">
        <v>1186</v>
      </c>
      <c r="D116" s="98" t="s">
        <v>1144</v>
      </c>
      <c r="E116" s="71" t="s">
        <v>64</v>
      </c>
      <c r="F116" s="78"/>
      <c r="G116" s="78"/>
      <c r="H116" s="78"/>
      <c r="I116" s="78"/>
      <c r="J116" s="152"/>
      <c r="K116" s="78">
        <v>454.2</v>
      </c>
      <c r="L116" s="99">
        <f t="shared" si="18"/>
        <v>393.07659022068367</v>
      </c>
      <c r="N116" s="183">
        <f t="shared" ref="N116:N129" si="23">L116/N$1</f>
        <v>418.16658534115288</v>
      </c>
      <c r="P116" s="100"/>
    </row>
    <row r="117" spans="1:19" x14ac:dyDescent="0.25">
      <c r="A117" t="s">
        <v>1164</v>
      </c>
      <c r="B117" s="203" t="s">
        <v>1187</v>
      </c>
      <c r="D117" s="98" t="s">
        <v>1145</v>
      </c>
      <c r="E117" s="71" t="s">
        <v>64</v>
      </c>
      <c r="F117" s="78"/>
      <c r="G117" s="78"/>
      <c r="H117" s="78"/>
      <c r="I117" s="78"/>
      <c r="J117" s="152"/>
      <c r="K117" s="78">
        <v>495.4</v>
      </c>
      <c r="L117" s="99">
        <f t="shared" si="18"/>
        <v>428.7321505841627</v>
      </c>
      <c r="N117" s="183">
        <f t="shared" si="23"/>
        <v>456.09803253634334</v>
      </c>
      <c r="P117" s="100"/>
    </row>
    <row r="118" spans="1:19" x14ac:dyDescent="0.25">
      <c r="A118" t="s">
        <v>1165</v>
      </c>
      <c r="B118" s="203" t="s">
        <v>1188</v>
      </c>
      <c r="D118" s="98" t="s">
        <v>1146</v>
      </c>
      <c r="E118" s="71" t="s">
        <v>64</v>
      </c>
      <c r="F118" s="78"/>
      <c r="G118" s="78"/>
      <c r="H118" s="78"/>
      <c r="I118" s="78"/>
      <c r="J118" s="152"/>
      <c r="K118" s="78">
        <v>518.29999999999995</v>
      </c>
      <c r="L118" s="99">
        <f t="shared" si="18"/>
        <v>448.55041107745564</v>
      </c>
      <c r="N118" s="183">
        <f t="shared" si="23"/>
        <v>477.18128838027195</v>
      </c>
      <c r="P118" s="100"/>
    </row>
    <row r="119" spans="1:19" x14ac:dyDescent="0.25">
      <c r="A119" t="s">
        <v>1166</v>
      </c>
      <c r="B119" s="203" t="s">
        <v>1189</v>
      </c>
      <c r="D119" s="98" t="s">
        <v>1144</v>
      </c>
      <c r="E119" s="71" t="s">
        <v>63</v>
      </c>
      <c r="F119" s="78"/>
      <c r="G119" s="78"/>
      <c r="H119" s="78"/>
      <c r="I119" s="78"/>
      <c r="J119" s="152"/>
      <c r="K119" s="78">
        <v>497.6</v>
      </c>
      <c r="L119" s="99">
        <f t="shared" si="18"/>
        <v>430.63608827347474</v>
      </c>
      <c r="N119" s="183">
        <f t="shared" si="23"/>
        <v>458.12349816327105</v>
      </c>
      <c r="P119" s="100"/>
    </row>
    <row r="120" spans="1:19" x14ac:dyDescent="0.25">
      <c r="A120" t="s">
        <v>1167</v>
      </c>
      <c r="B120" s="203" t="s">
        <v>1190</v>
      </c>
      <c r="D120" s="98" t="s">
        <v>1145</v>
      </c>
      <c r="E120" s="71" t="s">
        <v>63</v>
      </c>
      <c r="F120" s="78"/>
      <c r="G120" s="78"/>
      <c r="H120" s="78"/>
      <c r="I120" s="78"/>
      <c r="J120" s="152"/>
      <c r="K120" s="78">
        <v>541.1</v>
      </c>
      <c r="L120" s="99">
        <f t="shared" si="18"/>
        <v>468.28212894850719</v>
      </c>
      <c r="N120" s="183">
        <f t="shared" si="23"/>
        <v>498.17247760479489</v>
      </c>
      <c r="P120" s="100"/>
    </row>
    <row r="121" spans="1:19" x14ac:dyDescent="0.25">
      <c r="A121" t="s">
        <v>1168</v>
      </c>
      <c r="B121" s="203" t="s">
        <v>1191</v>
      </c>
      <c r="D121" s="98" t="s">
        <v>1146</v>
      </c>
      <c r="E121" s="71" t="s">
        <v>63</v>
      </c>
      <c r="F121" s="78"/>
      <c r="G121" s="78"/>
      <c r="H121" s="78"/>
      <c r="I121" s="78"/>
      <c r="J121" s="152"/>
      <c r="K121" s="78">
        <v>565.4</v>
      </c>
      <c r="L121" s="99">
        <f t="shared" si="18"/>
        <v>489.31198615318044</v>
      </c>
      <c r="N121" s="183">
        <f t="shared" si="23"/>
        <v>520.54466612040471</v>
      </c>
      <c r="P121" s="100"/>
    </row>
    <row r="122" spans="1:19" x14ac:dyDescent="0.25">
      <c r="A122" s="76" t="s">
        <v>410</v>
      </c>
      <c r="B122" s="212" t="s">
        <v>600</v>
      </c>
      <c r="C122" s="212" t="s">
        <v>482</v>
      </c>
      <c r="D122" s="76" t="s">
        <v>1</v>
      </c>
      <c r="E122" s="76" t="s">
        <v>59</v>
      </c>
      <c r="F122" s="76" t="s">
        <v>2</v>
      </c>
      <c r="G122" s="76" t="s">
        <v>2</v>
      </c>
      <c r="H122" s="76" t="s">
        <v>2</v>
      </c>
      <c r="I122" s="76" t="s">
        <v>2</v>
      </c>
      <c r="J122" s="118" t="s">
        <v>935</v>
      </c>
      <c r="K122" s="76" t="s">
        <v>2</v>
      </c>
      <c r="L122" s="76" t="s">
        <v>57</v>
      </c>
      <c r="N122" s="76" t="s">
        <v>57</v>
      </c>
      <c r="P122" s="76" t="s">
        <v>30</v>
      </c>
      <c r="S122" s="101"/>
    </row>
    <row r="123" spans="1:19" x14ac:dyDescent="0.25">
      <c r="A123" t="s">
        <v>1337</v>
      </c>
      <c r="B123"/>
      <c r="C123"/>
      <c r="D123"/>
      <c r="E123" t="s">
        <v>1338</v>
      </c>
      <c r="F123" t="s">
        <v>1351</v>
      </c>
      <c r="K123" s="78">
        <v>267.39999999999998</v>
      </c>
      <c r="L123" s="99">
        <f>(K123*L$1/L$2)</f>
        <v>231.41497187364774</v>
      </c>
      <c r="N123" s="183">
        <f>L123/N$1</f>
        <v>246.18614029111464</v>
      </c>
    </row>
    <row r="124" spans="1:19" x14ac:dyDescent="0.25">
      <c r="A124" t="s">
        <v>1339</v>
      </c>
      <c r="B124"/>
      <c r="C124"/>
      <c r="D124"/>
      <c r="E124" t="s">
        <v>1340</v>
      </c>
      <c r="F124" t="s">
        <v>1351</v>
      </c>
      <c r="K124" s="78">
        <v>292.39999999999998</v>
      </c>
      <c r="L124" s="99">
        <f t="shared" si="18"/>
        <v>253.05062743401123</v>
      </c>
      <c r="N124" s="183">
        <f t="shared" si="23"/>
        <v>269.20279514256515</v>
      </c>
    </row>
    <row r="125" spans="1:19" x14ac:dyDescent="0.25">
      <c r="A125" t="s">
        <v>1341</v>
      </c>
      <c r="B125"/>
      <c r="C125"/>
      <c r="D125"/>
      <c r="E125" t="s">
        <v>1342</v>
      </c>
      <c r="F125" t="s">
        <v>1351</v>
      </c>
      <c r="K125" s="78">
        <v>77.3</v>
      </c>
      <c r="L125" s="99">
        <f t="shared" si="18"/>
        <v>66.897446992643879</v>
      </c>
      <c r="N125" s="183">
        <f t="shared" si="23"/>
        <v>71.167496800684987</v>
      </c>
    </row>
    <row r="126" spans="1:19" x14ac:dyDescent="0.25">
      <c r="A126" t="s">
        <v>1343</v>
      </c>
      <c r="B126"/>
      <c r="C126"/>
      <c r="D126"/>
      <c r="E126" t="s">
        <v>1344</v>
      </c>
      <c r="F126" t="s">
        <v>1351</v>
      </c>
      <c r="K126" s="78">
        <v>94.6</v>
      </c>
      <c r="L126" s="99">
        <f t="shared" si="18"/>
        <v>81.869320640415395</v>
      </c>
      <c r="N126" s="183">
        <f t="shared" si="23"/>
        <v>87.095021957888719</v>
      </c>
    </row>
    <row r="127" spans="1:19" x14ac:dyDescent="0.25">
      <c r="A127" t="s">
        <v>1345</v>
      </c>
      <c r="B127"/>
      <c r="C127"/>
      <c r="D127"/>
      <c r="E127" t="s">
        <v>1346</v>
      </c>
      <c r="F127" t="s">
        <v>1351</v>
      </c>
      <c r="K127" s="78">
        <v>71.099999999999994</v>
      </c>
      <c r="L127" s="99">
        <f t="shared" si="18"/>
        <v>61.531804413673733</v>
      </c>
      <c r="N127" s="183">
        <f t="shared" si="23"/>
        <v>65.459366397525258</v>
      </c>
    </row>
    <row r="128" spans="1:19" x14ac:dyDescent="0.25">
      <c r="A128" t="s">
        <v>1347</v>
      </c>
      <c r="B128"/>
      <c r="C128"/>
      <c r="D128"/>
      <c r="E128" t="s">
        <v>1348</v>
      </c>
      <c r="F128" t="s">
        <v>1351</v>
      </c>
      <c r="K128" s="78">
        <v>86.8</v>
      </c>
      <c r="L128" s="99">
        <f t="shared" si="18"/>
        <v>75.118996105581999</v>
      </c>
      <c r="N128" s="183">
        <f t="shared" si="23"/>
        <v>79.913825644236169</v>
      </c>
    </row>
    <row r="129" spans="1:14" x14ac:dyDescent="0.25">
      <c r="A129" t="s">
        <v>1349</v>
      </c>
      <c r="B129"/>
      <c r="C129"/>
      <c r="D129"/>
      <c r="E129" t="s">
        <v>1350</v>
      </c>
      <c r="F129" t="s">
        <v>1351</v>
      </c>
      <c r="K129" s="78">
        <v>58.4</v>
      </c>
      <c r="L129" s="99">
        <f t="shared" si="18"/>
        <v>50.54089138900909</v>
      </c>
      <c r="N129" s="183">
        <f t="shared" si="23"/>
        <v>53.766905732988398</v>
      </c>
    </row>
    <row r="130" spans="1:14" x14ac:dyDescent="0.25">
      <c r="A130"/>
      <c r="B130"/>
      <c r="C130"/>
      <c r="D130"/>
      <c r="E130"/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A159-5114-4F56-A61A-9F7E9868ECAF}">
  <dimension ref="A1:R116"/>
  <sheetViews>
    <sheetView zoomScale="80" zoomScaleNormal="80" workbookViewId="0">
      <pane ySplit="5" topLeftCell="A47" activePane="bottomLeft" state="frozen"/>
      <selection pane="bottomLeft" activeCell="J60" sqref="J60"/>
    </sheetView>
  </sheetViews>
  <sheetFormatPr baseColWidth="10" defaultColWidth="11.5703125" defaultRowHeight="15" x14ac:dyDescent="0.25"/>
  <cols>
    <col min="1" max="1" width="34.5703125" style="98" customWidth="1"/>
    <col min="2" max="2" width="23.5703125" style="203" customWidth="1"/>
    <col min="3" max="3" width="22.42578125" style="204" customWidth="1"/>
    <col min="4" max="4" width="86.85546875" style="98" customWidth="1"/>
    <col min="5" max="8" width="13.42578125" hidden="1" customWidth="1"/>
    <col min="9" max="9" width="11.5703125" hidden="1" customWidth="1"/>
    <col min="10" max="10" width="13.42578125" customWidth="1"/>
    <col min="11" max="11" width="2" customWidth="1"/>
    <col min="12" max="12" width="17.5703125" bestFit="1" customWidth="1"/>
    <col min="13" max="13" width="1.42578125" customWidth="1"/>
    <col min="14" max="14" width="19.42578125" bestFit="1" customWidth="1"/>
    <col min="15" max="15" width="1.42578125" customWidth="1"/>
    <col min="16" max="16" width="18.42578125" bestFit="1" customWidth="1"/>
    <col min="17" max="17" width="16.7109375" style="72" bestFit="1" customWidth="1"/>
    <col min="18" max="18" width="4" style="72" bestFit="1" customWidth="1"/>
  </cols>
  <sheetData>
    <row r="1" spans="1:17" x14ac:dyDescent="0.25">
      <c r="F1" s="11"/>
      <c r="G1" s="11"/>
      <c r="H1" s="11"/>
      <c r="I1" s="11"/>
      <c r="J1" s="11" t="s">
        <v>27</v>
      </c>
      <c r="K1" s="11"/>
      <c r="L1" s="58">
        <v>1</v>
      </c>
      <c r="N1" s="2">
        <v>0.94</v>
      </c>
    </row>
    <row r="2" spans="1:17" x14ac:dyDescent="0.25">
      <c r="F2" s="11"/>
      <c r="G2" s="11"/>
      <c r="H2" s="11"/>
      <c r="I2" s="11"/>
      <c r="J2" s="11" t="s">
        <v>28</v>
      </c>
      <c r="K2" s="11"/>
      <c r="L2" s="2">
        <v>1.1659999999999999</v>
      </c>
    </row>
    <row r="3" spans="1:17" x14ac:dyDescent="0.25">
      <c r="L3" s="2"/>
    </row>
    <row r="4" spans="1:17" ht="15.75" thickBot="1" x14ac:dyDescent="0.3">
      <c r="E4" s="1">
        <v>45741</v>
      </c>
      <c r="F4" s="1">
        <v>45751</v>
      </c>
      <c r="G4" s="1">
        <v>45859</v>
      </c>
      <c r="H4" s="1">
        <v>45863</v>
      </c>
      <c r="I4" s="97">
        <v>45863</v>
      </c>
      <c r="J4" s="1">
        <v>45869</v>
      </c>
      <c r="K4" s="1"/>
      <c r="P4" s="16" t="s">
        <v>29</v>
      </c>
    </row>
    <row r="5" spans="1:17" x14ac:dyDescent="0.25">
      <c r="A5" s="180" t="s">
        <v>37</v>
      </c>
      <c r="B5" s="212" t="s">
        <v>600</v>
      </c>
      <c r="C5" s="212" t="s">
        <v>482</v>
      </c>
      <c r="D5" s="180" t="s">
        <v>38</v>
      </c>
      <c r="E5" s="3" t="s">
        <v>39</v>
      </c>
      <c r="F5" s="3" t="s">
        <v>39</v>
      </c>
      <c r="G5" s="3" t="s">
        <v>39</v>
      </c>
      <c r="H5" s="3" t="s">
        <v>39</v>
      </c>
      <c r="I5" s="182" t="s">
        <v>935</v>
      </c>
      <c r="J5" s="3" t="s">
        <v>39</v>
      </c>
      <c r="K5" s="145"/>
      <c r="L5" s="5" t="s">
        <v>57</v>
      </c>
      <c r="N5" s="3" t="s">
        <v>58</v>
      </c>
      <c r="P5" s="6" t="s">
        <v>30</v>
      </c>
    </row>
    <row r="6" spans="1:17" x14ac:dyDescent="0.25">
      <c r="A6" s="147" t="s">
        <v>40</v>
      </c>
      <c r="B6" s="206" t="s">
        <v>982</v>
      </c>
      <c r="C6" s="207" t="s">
        <v>265</v>
      </c>
      <c r="D6" s="147" t="s">
        <v>41</v>
      </c>
      <c r="E6" s="13">
        <v>166.93</v>
      </c>
      <c r="F6" s="13">
        <v>136.85</v>
      </c>
      <c r="G6" s="13"/>
      <c r="H6" s="13"/>
      <c r="I6" s="186" t="s">
        <v>954</v>
      </c>
      <c r="J6" s="187">
        <v>120</v>
      </c>
      <c r="K6" s="173"/>
      <c r="L6" s="7">
        <f>(J6*L$1)/L$2</f>
        <v>102.91595197255575</v>
      </c>
      <c r="M6" s="195"/>
      <c r="N6" s="189">
        <f>L6/N$1</f>
        <v>109.48505528995292</v>
      </c>
      <c r="O6" s="196"/>
      <c r="P6" s="197"/>
      <c r="Q6" s="156"/>
    </row>
    <row r="7" spans="1:17" x14ac:dyDescent="0.25">
      <c r="A7" s="147" t="s">
        <v>42</v>
      </c>
      <c r="B7" s="206" t="s">
        <v>983</v>
      </c>
      <c r="C7" s="207" t="s">
        <v>265</v>
      </c>
      <c r="D7" s="147" t="s">
        <v>43</v>
      </c>
      <c r="E7" s="13">
        <v>175.34</v>
      </c>
      <c r="F7" s="13">
        <v>152.94999999999999</v>
      </c>
      <c r="G7" s="13"/>
      <c r="H7" s="13"/>
      <c r="I7" s="186" t="s">
        <v>955</v>
      </c>
      <c r="J7" s="187">
        <v>130</v>
      </c>
      <c r="K7" s="173"/>
      <c r="L7" s="7">
        <f t="shared" ref="L7:L12" si="0">(J7*L$1)/L$2</f>
        <v>111.49228130360207</v>
      </c>
      <c r="M7" s="195"/>
      <c r="N7" s="189">
        <f t="shared" ref="N7:N12" si="1">L7/N$1</f>
        <v>118.60880989744902</v>
      </c>
      <c r="O7" s="196"/>
      <c r="P7" s="197"/>
      <c r="Q7" s="156"/>
    </row>
    <row r="8" spans="1:17" x14ac:dyDescent="0.25">
      <c r="A8" s="147" t="s">
        <v>44</v>
      </c>
      <c r="B8" s="206" t="s">
        <v>984</v>
      </c>
      <c r="C8" s="207" t="s">
        <v>265</v>
      </c>
      <c r="D8" s="147" t="s">
        <v>45</v>
      </c>
      <c r="E8" s="13">
        <v>186.13</v>
      </c>
      <c r="F8" s="13">
        <v>165.6</v>
      </c>
      <c r="G8" s="13"/>
      <c r="H8" s="13"/>
      <c r="I8" s="186" t="s">
        <v>956</v>
      </c>
      <c r="J8" s="187">
        <v>140</v>
      </c>
      <c r="K8" s="173"/>
      <c r="L8" s="7">
        <f t="shared" si="0"/>
        <v>120.06861063464838</v>
      </c>
      <c r="M8" s="195"/>
      <c r="N8" s="189">
        <f t="shared" si="1"/>
        <v>127.73256450494509</v>
      </c>
      <c r="O8" s="196"/>
      <c r="P8" s="197"/>
      <c r="Q8" s="156"/>
    </row>
    <row r="9" spans="1:17" x14ac:dyDescent="0.25">
      <c r="A9" s="147" t="s">
        <v>46</v>
      </c>
      <c r="B9" s="206" t="s">
        <v>987</v>
      </c>
      <c r="C9" s="207" t="s">
        <v>265</v>
      </c>
      <c r="D9" s="147" t="s">
        <v>986</v>
      </c>
      <c r="E9" s="13">
        <v>202.22</v>
      </c>
      <c r="F9" s="13">
        <v>181.7</v>
      </c>
      <c r="G9" s="13"/>
      <c r="H9" s="13"/>
      <c r="I9" s="186" t="s">
        <v>957</v>
      </c>
      <c r="J9" s="187">
        <v>160</v>
      </c>
      <c r="K9" s="173"/>
      <c r="L9" s="7">
        <f t="shared" si="0"/>
        <v>137.22126929674101</v>
      </c>
      <c r="M9" s="195"/>
      <c r="N9" s="189">
        <f t="shared" si="1"/>
        <v>145.98007371993725</v>
      </c>
      <c r="O9" s="196"/>
      <c r="P9" s="197"/>
      <c r="Q9" s="156"/>
    </row>
    <row r="10" spans="1:17" x14ac:dyDescent="0.25">
      <c r="A10" s="147" t="s">
        <v>951</v>
      </c>
      <c r="B10" s="206" t="s">
        <v>985</v>
      </c>
      <c r="C10" s="207" t="s">
        <v>265</v>
      </c>
      <c r="D10" s="147" t="s">
        <v>949</v>
      </c>
      <c r="E10" s="13"/>
      <c r="F10" s="13"/>
      <c r="G10" s="13"/>
      <c r="H10" s="13"/>
      <c r="I10" s="186" t="s">
        <v>958</v>
      </c>
      <c r="J10" s="187">
        <v>170</v>
      </c>
      <c r="K10" s="173"/>
      <c r="L10" s="7">
        <f t="shared" si="0"/>
        <v>145.79759862778732</v>
      </c>
      <c r="M10" s="195"/>
      <c r="N10" s="189">
        <f t="shared" si="1"/>
        <v>155.10382832743332</v>
      </c>
      <c r="O10" s="196"/>
      <c r="P10" s="197"/>
      <c r="Q10" s="156"/>
    </row>
    <row r="11" spans="1:17" x14ac:dyDescent="0.25">
      <c r="A11" s="147" t="s">
        <v>953</v>
      </c>
      <c r="B11" s="206" t="s">
        <v>989</v>
      </c>
      <c r="C11" s="207" t="s">
        <v>265</v>
      </c>
      <c r="D11" s="147" t="s">
        <v>988</v>
      </c>
      <c r="E11" s="13">
        <v>217.6</v>
      </c>
      <c r="F11" s="13">
        <v>204.13</v>
      </c>
      <c r="G11" s="13"/>
      <c r="H11" s="13"/>
      <c r="I11" s="186" t="s">
        <v>959</v>
      </c>
      <c r="J11" s="187">
        <v>180</v>
      </c>
      <c r="K11" s="173"/>
      <c r="L11" s="7">
        <f>(J11*L$1)/L$2</f>
        <v>154.37392795883363</v>
      </c>
      <c r="M11" s="195"/>
      <c r="N11" s="189">
        <f>L11/N$1</f>
        <v>164.22758293492942</v>
      </c>
      <c r="O11" s="196"/>
      <c r="P11" s="197"/>
      <c r="Q11" s="156"/>
    </row>
    <row r="12" spans="1:17" ht="15.75" thickBot="1" x14ac:dyDescent="0.3">
      <c r="A12" s="147" t="s">
        <v>952</v>
      </c>
      <c r="B12" s="206" t="s">
        <v>990</v>
      </c>
      <c r="C12" s="207" t="s">
        <v>265</v>
      </c>
      <c r="D12" s="147" t="s">
        <v>950</v>
      </c>
      <c r="E12" s="13"/>
      <c r="F12" s="13"/>
      <c r="G12" s="13"/>
      <c r="H12" s="13"/>
      <c r="I12" s="186" t="s">
        <v>960</v>
      </c>
      <c r="J12" s="187">
        <v>200</v>
      </c>
      <c r="K12" s="173"/>
      <c r="L12" s="7">
        <f t="shared" si="0"/>
        <v>171.52658662092625</v>
      </c>
      <c r="M12" s="195"/>
      <c r="N12" s="189">
        <f t="shared" si="1"/>
        <v>182.47509214992155</v>
      </c>
      <c r="O12" s="196"/>
      <c r="P12" s="197"/>
      <c r="Q12" s="156"/>
    </row>
    <row r="13" spans="1:17" x14ac:dyDescent="0.25">
      <c r="A13" s="180" t="s">
        <v>37</v>
      </c>
      <c r="B13" s="212" t="s">
        <v>600</v>
      </c>
      <c r="C13" s="212" t="s">
        <v>482</v>
      </c>
      <c r="D13" s="180" t="s">
        <v>38</v>
      </c>
      <c r="E13" s="3" t="s">
        <v>39</v>
      </c>
      <c r="F13" s="3" t="s">
        <v>39</v>
      </c>
      <c r="G13" s="3" t="s">
        <v>39</v>
      </c>
      <c r="H13" s="3" t="s">
        <v>39</v>
      </c>
      <c r="I13" s="182" t="s">
        <v>935</v>
      </c>
      <c r="J13" s="3" t="s">
        <v>39</v>
      </c>
      <c r="K13" s="168"/>
      <c r="L13" s="5" t="s">
        <v>57</v>
      </c>
      <c r="N13" s="3" t="s">
        <v>58</v>
      </c>
      <c r="P13" s="6" t="s">
        <v>30</v>
      </c>
    </row>
    <row r="14" spans="1:17" x14ac:dyDescent="0.25">
      <c r="A14" s="147" t="s">
        <v>879</v>
      </c>
      <c r="B14" s="206" t="s">
        <v>994</v>
      </c>
      <c r="C14" s="207" t="s">
        <v>265</v>
      </c>
      <c r="D14" s="147" t="s">
        <v>880</v>
      </c>
      <c r="E14" s="13">
        <v>0</v>
      </c>
      <c r="F14" s="13"/>
      <c r="G14" s="13">
        <v>227.2</v>
      </c>
      <c r="H14" s="13"/>
      <c r="I14" s="179">
        <v>156</v>
      </c>
      <c r="J14" s="13">
        <v>185</v>
      </c>
      <c r="K14" s="168"/>
      <c r="L14" s="7">
        <f t="shared" ref="L14:L20" si="2">(J14*L$1)/L$2</f>
        <v>158.66209262435677</v>
      </c>
      <c r="M14" s="195"/>
      <c r="N14" s="189">
        <f t="shared" ref="N14:N20" si="3">L14/N$1</f>
        <v>168.78946023867744</v>
      </c>
      <c r="O14" s="196"/>
      <c r="P14" s="197"/>
      <c r="Q14" s="156"/>
    </row>
    <row r="15" spans="1:17" x14ac:dyDescent="0.25">
      <c r="A15" s="147" t="s">
        <v>881</v>
      </c>
      <c r="B15" s="206" t="s">
        <v>995</v>
      </c>
      <c r="C15" s="207" t="s">
        <v>265</v>
      </c>
      <c r="D15" s="147" t="s">
        <v>882</v>
      </c>
      <c r="E15" s="13">
        <v>0</v>
      </c>
      <c r="F15" s="13"/>
      <c r="G15" s="13">
        <v>236.9</v>
      </c>
      <c r="H15" s="13"/>
      <c r="I15" s="179">
        <v>169</v>
      </c>
      <c r="J15" s="13">
        <v>195</v>
      </c>
      <c r="K15" s="168"/>
      <c r="L15" s="7">
        <f t="shared" si="2"/>
        <v>167.23842195540311</v>
      </c>
      <c r="M15" s="195"/>
      <c r="N15" s="189">
        <f t="shared" si="3"/>
        <v>177.91321484617353</v>
      </c>
      <c r="O15" s="196"/>
      <c r="P15" s="197"/>
      <c r="Q15" s="156"/>
    </row>
    <row r="16" spans="1:17" x14ac:dyDescent="0.25">
      <c r="A16" s="147" t="s">
        <v>883</v>
      </c>
      <c r="B16" s="206" t="s">
        <v>996</v>
      </c>
      <c r="C16" s="207" t="s">
        <v>265</v>
      </c>
      <c r="D16" s="147" t="s">
        <v>884</v>
      </c>
      <c r="E16" s="13">
        <v>0</v>
      </c>
      <c r="F16" s="13"/>
      <c r="G16" s="13">
        <v>251.6</v>
      </c>
      <c r="H16" s="13"/>
      <c r="I16" s="179">
        <v>182</v>
      </c>
      <c r="J16" s="13">
        <v>210</v>
      </c>
      <c r="K16" s="168"/>
      <c r="L16" s="7">
        <f t="shared" si="2"/>
        <v>180.10291595197256</v>
      </c>
      <c r="M16" s="195"/>
      <c r="N16" s="189">
        <f t="shared" si="3"/>
        <v>191.59884675741762</v>
      </c>
      <c r="O16" s="196"/>
      <c r="P16" s="197"/>
      <c r="Q16" s="156"/>
    </row>
    <row r="17" spans="1:17" x14ac:dyDescent="0.25">
      <c r="A17" s="147" t="s">
        <v>885</v>
      </c>
      <c r="B17" s="206" t="s">
        <v>997</v>
      </c>
      <c r="C17" s="207" t="s">
        <v>265</v>
      </c>
      <c r="D17" s="147" t="s">
        <v>886</v>
      </c>
      <c r="E17" s="13">
        <v>0</v>
      </c>
      <c r="F17" s="13"/>
      <c r="G17" s="13">
        <v>279.7</v>
      </c>
      <c r="H17" s="13"/>
      <c r="I17" s="179">
        <v>208</v>
      </c>
      <c r="J17" s="13">
        <v>225</v>
      </c>
      <c r="K17" s="168"/>
      <c r="L17" s="7">
        <f t="shared" si="2"/>
        <v>192.96740994854204</v>
      </c>
      <c r="M17" s="195"/>
      <c r="N17" s="189">
        <f t="shared" si="3"/>
        <v>205.28447866866176</v>
      </c>
      <c r="O17" s="196"/>
      <c r="P17" s="197"/>
      <c r="Q17" s="156"/>
    </row>
    <row r="18" spans="1:17" x14ac:dyDescent="0.25">
      <c r="A18" s="147" t="s">
        <v>887</v>
      </c>
      <c r="B18" s="206" t="s">
        <v>998</v>
      </c>
      <c r="C18" s="207" t="s">
        <v>265</v>
      </c>
      <c r="D18" s="147" t="s">
        <v>888</v>
      </c>
      <c r="E18" s="13">
        <v>0</v>
      </c>
      <c r="F18" s="13"/>
      <c r="G18" s="13">
        <v>290.89999999999998</v>
      </c>
      <c r="H18" s="13">
        <v>277</v>
      </c>
      <c r="I18" s="179">
        <v>221</v>
      </c>
      <c r="J18" s="13">
        <v>250</v>
      </c>
      <c r="K18" s="168"/>
      <c r="L18" s="7">
        <f t="shared" si="2"/>
        <v>214.40823327615783</v>
      </c>
      <c r="M18" s="195"/>
      <c r="N18" s="189">
        <f t="shared" si="3"/>
        <v>228.09386518740195</v>
      </c>
      <c r="O18" s="196"/>
      <c r="P18" s="197"/>
      <c r="Q18" s="156"/>
    </row>
    <row r="19" spans="1:17" x14ac:dyDescent="0.25">
      <c r="A19" s="147" t="s">
        <v>889</v>
      </c>
      <c r="B19" s="206" t="s">
        <v>999</v>
      </c>
      <c r="C19" s="207" t="s">
        <v>265</v>
      </c>
      <c r="D19" s="147" t="s">
        <v>890</v>
      </c>
      <c r="E19" s="13">
        <v>0</v>
      </c>
      <c r="F19" s="13"/>
      <c r="G19" s="13">
        <v>298.5</v>
      </c>
      <c r="H19" s="13"/>
      <c r="I19" s="179">
        <v>234</v>
      </c>
      <c r="J19" s="13">
        <v>270</v>
      </c>
      <c r="K19" s="168"/>
      <c r="L19" s="7">
        <f t="shared" si="2"/>
        <v>231.56089193825045</v>
      </c>
      <c r="M19" s="195"/>
      <c r="N19" s="189">
        <f t="shared" si="3"/>
        <v>246.34137440239411</v>
      </c>
      <c r="O19" s="196"/>
      <c r="P19" s="197"/>
      <c r="Q19" s="156"/>
    </row>
    <row r="20" spans="1:17" x14ac:dyDescent="0.25">
      <c r="A20" s="147" t="s">
        <v>891</v>
      </c>
      <c r="B20" s="206" t="s">
        <v>1000</v>
      </c>
      <c r="C20" s="207" t="s">
        <v>265</v>
      </c>
      <c r="D20" s="147" t="s">
        <v>892</v>
      </c>
      <c r="E20" s="13">
        <v>0</v>
      </c>
      <c r="F20" s="13"/>
      <c r="G20" s="13">
        <v>309.8</v>
      </c>
      <c r="H20" s="13">
        <v>295</v>
      </c>
      <c r="I20" s="179">
        <v>260</v>
      </c>
      <c r="J20" s="13">
        <v>280</v>
      </c>
      <c r="K20" s="168"/>
      <c r="L20" s="7">
        <f t="shared" si="2"/>
        <v>240.13722126929676</v>
      </c>
      <c r="M20" s="195"/>
      <c r="N20" s="189">
        <f t="shared" si="3"/>
        <v>255.46512900989018</v>
      </c>
      <c r="O20" s="196"/>
      <c r="P20" s="197"/>
      <c r="Q20" s="156"/>
    </row>
    <row r="21" spans="1:17" x14ac:dyDescent="0.25">
      <c r="A21" s="148"/>
      <c r="B21" s="208"/>
      <c r="C21" s="209"/>
      <c r="D21" s="148"/>
      <c r="E21" s="19"/>
      <c r="F21" s="19"/>
      <c r="G21" s="19"/>
      <c r="H21" s="19"/>
      <c r="I21" s="19"/>
      <c r="J21" s="19"/>
      <c r="K21" s="168"/>
      <c r="L21" s="174"/>
      <c r="M21" s="195"/>
      <c r="N21" s="174"/>
      <c r="O21" s="196"/>
      <c r="P21" s="197"/>
      <c r="Q21" s="156"/>
    </row>
    <row r="22" spans="1:17" ht="30" x14ac:dyDescent="0.25">
      <c r="A22" s="200" t="s">
        <v>893</v>
      </c>
      <c r="B22" s="206" t="s">
        <v>1001</v>
      </c>
      <c r="C22" s="207" t="s">
        <v>265</v>
      </c>
      <c r="D22" s="201" t="s">
        <v>894</v>
      </c>
      <c r="E22" s="13">
        <v>0</v>
      </c>
      <c r="F22" s="13"/>
      <c r="G22" s="13">
        <v>227.2</v>
      </c>
      <c r="H22" s="13">
        <v>224</v>
      </c>
      <c r="I22" s="179">
        <v>156</v>
      </c>
      <c r="J22" s="13">
        <v>195</v>
      </c>
      <c r="K22" s="168"/>
      <c r="L22" s="7">
        <f t="shared" ref="L22:L28" si="4">(J22*L$1)/L$2</f>
        <v>167.23842195540311</v>
      </c>
      <c r="M22" s="195"/>
      <c r="N22" s="189">
        <f t="shared" ref="N22:N28" si="5">L22/N$1</f>
        <v>177.91321484617353</v>
      </c>
      <c r="O22" s="196"/>
      <c r="P22" s="197"/>
      <c r="Q22" s="156"/>
    </row>
    <row r="23" spans="1:17" ht="30" x14ac:dyDescent="0.25">
      <c r="A23" s="200" t="s">
        <v>895</v>
      </c>
      <c r="B23" s="206" t="s">
        <v>1002</v>
      </c>
      <c r="C23" s="207" t="s">
        <v>265</v>
      </c>
      <c r="D23" s="201" t="s">
        <v>896</v>
      </c>
      <c r="E23" s="13">
        <v>0</v>
      </c>
      <c r="F23" s="13"/>
      <c r="G23" s="13">
        <v>236.9</v>
      </c>
      <c r="H23" s="13">
        <v>234</v>
      </c>
      <c r="I23" s="179">
        <v>169</v>
      </c>
      <c r="J23" s="13">
        <v>205</v>
      </c>
      <c r="K23" s="168"/>
      <c r="L23" s="7">
        <f t="shared" si="4"/>
        <v>175.81475128644942</v>
      </c>
      <c r="M23" s="195"/>
      <c r="N23" s="189">
        <f t="shared" si="5"/>
        <v>187.0369694536696</v>
      </c>
      <c r="O23" s="196"/>
      <c r="P23" s="197"/>
      <c r="Q23" s="156"/>
    </row>
    <row r="24" spans="1:17" ht="30" x14ac:dyDescent="0.25">
      <c r="A24" s="200" t="s">
        <v>897</v>
      </c>
      <c r="B24" s="206" t="s">
        <v>1003</v>
      </c>
      <c r="C24" s="207" t="s">
        <v>265</v>
      </c>
      <c r="D24" s="201" t="s">
        <v>898</v>
      </c>
      <c r="E24" s="13">
        <v>0</v>
      </c>
      <c r="F24" s="13"/>
      <c r="G24" s="13">
        <v>251.6</v>
      </c>
      <c r="H24" s="13">
        <v>248</v>
      </c>
      <c r="I24" s="179">
        <v>182</v>
      </c>
      <c r="J24" s="13">
        <v>220</v>
      </c>
      <c r="K24" s="168"/>
      <c r="L24" s="7">
        <f t="shared" si="4"/>
        <v>188.67924528301887</v>
      </c>
      <c r="M24" s="195"/>
      <c r="N24" s="189">
        <f t="shared" si="5"/>
        <v>200.72260136491371</v>
      </c>
      <c r="O24" s="196"/>
      <c r="P24" s="197"/>
      <c r="Q24" s="156"/>
    </row>
    <row r="25" spans="1:17" ht="30" x14ac:dyDescent="0.25">
      <c r="A25" s="200" t="s">
        <v>899</v>
      </c>
      <c r="B25" s="206" t="s">
        <v>1004</v>
      </c>
      <c r="C25" s="207" t="s">
        <v>265</v>
      </c>
      <c r="D25" s="201" t="s">
        <v>900</v>
      </c>
      <c r="E25" s="13">
        <v>0</v>
      </c>
      <c r="F25" s="13"/>
      <c r="G25" s="13">
        <v>279.7</v>
      </c>
      <c r="H25" s="13">
        <v>276</v>
      </c>
      <c r="I25" s="179">
        <v>208</v>
      </c>
      <c r="J25" s="13">
        <v>235</v>
      </c>
      <c r="K25" s="168"/>
      <c r="L25" s="7">
        <f t="shared" si="4"/>
        <v>201.54373927958835</v>
      </c>
      <c r="M25" s="195"/>
      <c r="N25" s="189">
        <f t="shared" si="5"/>
        <v>214.40823327615783</v>
      </c>
      <c r="O25" s="196"/>
      <c r="P25" s="197"/>
      <c r="Q25" s="156"/>
    </row>
    <row r="26" spans="1:17" ht="30" x14ac:dyDescent="0.25">
      <c r="A26" s="200" t="s">
        <v>901</v>
      </c>
      <c r="B26" s="206" t="s">
        <v>1005</v>
      </c>
      <c r="C26" s="207" t="s">
        <v>265</v>
      </c>
      <c r="D26" s="201" t="s">
        <v>902</v>
      </c>
      <c r="E26" s="13">
        <v>0</v>
      </c>
      <c r="F26" s="13"/>
      <c r="G26" s="13">
        <v>290.89999999999998</v>
      </c>
      <c r="H26" s="13">
        <v>284</v>
      </c>
      <c r="I26" s="179">
        <v>221</v>
      </c>
      <c r="J26" s="13">
        <v>260</v>
      </c>
      <c r="K26" s="168"/>
      <c r="L26" s="7">
        <f t="shared" si="4"/>
        <v>222.98456260720414</v>
      </c>
      <c r="M26" s="195"/>
      <c r="N26" s="189">
        <f t="shared" si="5"/>
        <v>237.21761979489804</v>
      </c>
      <c r="O26" s="196"/>
      <c r="P26" s="197"/>
      <c r="Q26" s="156"/>
    </row>
    <row r="27" spans="1:17" ht="30" x14ac:dyDescent="0.25">
      <c r="A27" s="200" t="s">
        <v>903</v>
      </c>
      <c r="B27" s="206" t="s">
        <v>1006</v>
      </c>
      <c r="C27" s="207" t="s">
        <v>265</v>
      </c>
      <c r="D27" s="201" t="s">
        <v>904</v>
      </c>
      <c r="E27" s="13">
        <v>0</v>
      </c>
      <c r="F27" s="13"/>
      <c r="G27" s="13">
        <v>298.5</v>
      </c>
      <c r="H27" s="13">
        <v>294</v>
      </c>
      <c r="I27" s="179">
        <v>234</v>
      </c>
      <c r="J27" s="13">
        <v>280</v>
      </c>
      <c r="K27" s="168"/>
      <c r="L27" s="7">
        <f t="shared" si="4"/>
        <v>240.13722126929676</v>
      </c>
      <c r="M27" s="195"/>
      <c r="N27" s="189">
        <f t="shared" si="5"/>
        <v>255.46512900989018</v>
      </c>
      <c r="O27" s="196"/>
      <c r="P27" s="197"/>
      <c r="Q27" s="156"/>
    </row>
    <row r="28" spans="1:17" ht="30" x14ac:dyDescent="0.25">
      <c r="A28" s="200" t="s">
        <v>905</v>
      </c>
      <c r="B28" s="206" t="s">
        <v>1007</v>
      </c>
      <c r="C28" s="207" t="s">
        <v>265</v>
      </c>
      <c r="D28" s="201" t="s">
        <v>906</v>
      </c>
      <c r="E28" s="13">
        <v>0</v>
      </c>
      <c r="F28" s="13"/>
      <c r="G28" s="13">
        <v>309.8</v>
      </c>
      <c r="H28" s="13">
        <v>304</v>
      </c>
      <c r="I28" s="179">
        <v>260</v>
      </c>
      <c r="J28" s="13">
        <v>290</v>
      </c>
      <c r="K28" s="168"/>
      <c r="L28" s="7">
        <f t="shared" si="4"/>
        <v>248.71355060034307</v>
      </c>
      <c r="M28" s="195"/>
      <c r="N28" s="189">
        <f t="shared" si="5"/>
        <v>264.58888361738627</v>
      </c>
      <c r="O28" s="196"/>
      <c r="P28" s="197"/>
      <c r="Q28" s="156"/>
    </row>
    <row r="29" spans="1:17" x14ac:dyDescent="0.25">
      <c r="A29" s="148"/>
      <c r="B29" s="208"/>
      <c r="C29" s="209"/>
      <c r="D29" s="148"/>
      <c r="E29" s="19"/>
      <c r="F29" s="19"/>
      <c r="G29" s="19"/>
      <c r="H29" s="19"/>
      <c r="I29" s="19"/>
      <c r="J29" s="19"/>
      <c r="K29" s="168"/>
      <c r="L29" s="174"/>
      <c r="M29" s="195"/>
      <c r="N29" s="174"/>
      <c r="O29" s="196"/>
      <c r="P29" s="197"/>
      <c r="Q29" s="156"/>
    </row>
    <row r="30" spans="1:17" ht="30" x14ac:dyDescent="0.25">
      <c r="A30" s="200" t="s">
        <v>907</v>
      </c>
      <c r="B30" s="206" t="s">
        <v>1008</v>
      </c>
      <c r="C30" s="207" t="s">
        <v>265</v>
      </c>
      <c r="D30" s="201" t="s">
        <v>908</v>
      </c>
      <c r="E30" s="13">
        <v>0</v>
      </c>
      <c r="F30" s="13"/>
      <c r="G30" s="13">
        <v>251.2</v>
      </c>
      <c r="H30" s="13">
        <v>239</v>
      </c>
      <c r="I30" s="179">
        <v>175</v>
      </c>
      <c r="J30" s="13">
        <v>205</v>
      </c>
      <c r="K30" s="168"/>
      <c r="L30" s="7">
        <f t="shared" ref="L30:L36" si="6">(J30*L$1)/L$2</f>
        <v>175.81475128644942</v>
      </c>
      <c r="M30" s="195"/>
      <c r="N30" s="189">
        <f t="shared" ref="N30:N36" si="7">L30/N$1</f>
        <v>187.0369694536696</v>
      </c>
      <c r="O30" s="196"/>
      <c r="P30" s="197"/>
      <c r="Q30" s="156"/>
    </row>
    <row r="31" spans="1:17" ht="30" x14ac:dyDescent="0.25">
      <c r="A31" s="200" t="s">
        <v>909</v>
      </c>
      <c r="B31" s="206" t="s">
        <v>1009</v>
      </c>
      <c r="C31" s="207" t="s">
        <v>265</v>
      </c>
      <c r="D31" s="201" t="s">
        <v>910</v>
      </c>
      <c r="E31" s="13">
        <v>0</v>
      </c>
      <c r="F31" s="13"/>
      <c r="G31" s="13">
        <v>262.10000000000002</v>
      </c>
      <c r="H31" s="13">
        <v>250</v>
      </c>
      <c r="I31" s="179">
        <v>190</v>
      </c>
      <c r="J31" s="13">
        <v>215</v>
      </c>
      <c r="K31" s="168"/>
      <c r="L31" s="7">
        <f t="shared" si="6"/>
        <v>184.39108061749573</v>
      </c>
      <c r="M31" s="195"/>
      <c r="N31" s="189">
        <f t="shared" si="7"/>
        <v>196.16072406116569</v>
      </c>
      <c r="O31" s="196"/>
      <c r="P31" s="197"/>
      <c r="Q31" s="156"/>
    </row>
    <row r="32" spans="1:17" ht="30" x14ac:dyDescent="0.25">
      <c r="A32" s="200" t="s">
        <v>911</v>
      </c>
      <c r="B32" s="206" t="s">
        <v>1010</v>
      </c>
      <c r="C32" s="207" t="s">
        <v>265</v>
      </c>
      <c r="D32" s="201" t="s">
        <v>912</v>
      </c>
      <c r="E32" s="13">
        <v>0</v>
      </c>
      <c r="F32" s="13"/>
      <c r="G32" s="13">
        <v>278.39999999999998</v>
      </c>
      <c r="H32" s="13">
        <v>265</v>
      </c>
      <c r="I32" s="179">
        <v>202</v>
      </c>
      <c r="J32" s="13">
        <v>233</v>
      </c>
      <c r="K32" s="168"/>
      <c r="L32" s="7">
        <f t="shared" si="6"/>
        <v>199.8284734133791</v>
      </c>
      <c r="M32" s="195"/>
      <c r="N32" s="189">
        <f t="shared" si="7"/>
        <v>212.58348235465863</v>
      </c>
      <c r="O32" s="196"/>
      <c r="P32" s="197"/>
      <c r="Q32" s="156"/>
    </row>
    <row r="33" spans="1:18" ht="30" x14ac:dyDescent="0.25">
      <c r="A33" s="200" t="s">
        <v>913</v>
      </c>
      <c r="B33" s="206" t="s">
        <v>1011</v>
      </c>
      <c r="C33" s="207" t="s">
        <v>265</v>
      </c>
      <c r="D33" s="201" t="s">
        <v>914</v>
      </c>
      <c r="E33" s="13">
        <v>0</v>
      </c>
      <c r="F33" s="13"/>
      <c r="G33" s="13">
        <v>310.2</v>
      </c>
      <c r="H33" s="13">
        <v>295</v>
      </c>
      <c r="I33" s="179">
        <v>231</v>
      </c>
      <c r="J33" s="13">
        <v>250</v>
      </c>
      <c r="K33" s="168"/>
      <c r="L33" s="7">
        <f t="shared" si="6"/>
        <v>214.40823327615783</v>
      </c>
      <c r="M33" s="195"/>
      <c r="N33" s="189">
        <f t="shared" si="7"/>
        <v>228.09386518740195</v>
      </c>
      <c r="O33" s="196"/>
      <c r="P33" s="197"/>
      <c r="Q33" s="156"/>
    </row>
    <row r="34" spans="1:18" ht="30" x14ac:dyDescent="0.25">
      <c r="A34" s="200" t="s">
        <v>915</v>
      </c>
      <c r="B34" s="206" t="s">
        <v>1012</v>
      </c>
      <c r="C34" s="207" t="s">
        <v>265</v>
      </c>
      <c r="D34" s="201" t="s">
        <v>916</v>
      </c>
      <c r="E34" s="13">
        <v>0</v>
      </c>
      <c r="F34" s="13"/>
      <c r="G34" s="13">
        <v>320.39999999999998</v>
      </c>
      <c r="H34" s="13">
        <v>305</v>
      </c>
      <c r="I34" s="179">
        <v>246</v>
      </c>
      <c r="J34" s="13">
        <v>275</v>
      </c>
      <c r="K34" s="168"/>
      <c r="L34" s="7">
        <f t="shared" si="6"/>
        <v>235.84905660377359</v>
      </c>
      <c r="M34" s="195"/>
      <c r="N34" s="189">
        <f t="shared" si="7"/>
        <v>250.90325170614213</v>
      </c>
      <c r="O34" s="196"/>
      <c r="P34" s="197"/>
      <c r="Q34" s="156"/>
    </row>
    <row r="35" spans="1:18" ht="30" x14ac:dyDescent="0.25">
      <c r="A35" s="200" t="s">
        <v>917</v>
      </c>
      <c r="B35" s="206" t="s">
        <v>1013</v>
      </c>
      <c r="C35" s="207" t="s">
        <v>265</v>
      </c>
      <c r="D35" s="201" t="s">
        <v>918</v>
      </c>
      <c r="E35" s="13">
        <v>0</v>
      </c>
      <c r="F35" s="13"/>
      <c r="G35" s="13">
        <v>331.1</v>
      </c>
      <c r="H35" s="13">
        <v>315</v>
      </c>
      <c r="I35" s="179">
        <v>260</v>
      </c>
      <c r="J35" s="13">
        <v>295</v>
      </c>
      <c r="K35" s="168"/>
      <c r="L35" s="7">
        <f t="shared" si="6"/>
        <v>253.00171526586624</v>
      </c>
      <c r="M35" s="195"/>
      <c r="N35" s="189">
        <f t="shared" si="7"/>
        <v>269.15076092113429</v>
      </c>
      <c r="O35" s="196"/>
      <c r="P35" s="197"/>
      <c r="Q35" s="156"/>
    </row>
    <row r="36" spans="1:18" ht="30" x14ac:dyDescent="0.25">
      <c r="A36" s="200" t="s">
        <v>919</v>
      </c>
      <c r="B36" s="206" t="s">
        <v>1014</v>
      </c>
      <c r="C36" s="207" t="s">
        <v>265</v>
      </c>
      <c r="D36" s="201" t="s">
        <v>920</v>
      </c>
      <c r="E36" s="13">
        <v>0</v>
      </c>
      <c r="F36" s="13"/>
      <c r="G36" s="13">
        <v>341.3</v>
      </c>
      <c r="H36" s="13">
        <v>325</v>
      </c>
      <c r="I36" s="179">
        <v>289</v>
      </c>
      <c r="J36" s="13">
        <v>315</v>
      </c>
      <c r="K36" s="168"/>
      <c r="L36" s="7">
        <f t="shared" si="6"/>
        <v>270.15437392795883</v>
      </c>
      <c r="M36" s="195"/>
      <c r="N36" s="189">
        <f t="shared" si="7"/>
        <v>287.39827013612643</v>
      </c>
      <c r="O36" s="196"/>
      <c r="P36" s="197"/>
      <c r="Q36" s="156"/>
    </row>
    <row r="37" spans="1:18" x14ac:dyDescent="0.25">
      <c r="A37" s="148"/>
      <c r="B37" s="208"/>
      <c r="C37" s="209"/>
      <c r="D37" s="202"/>
      <c r="E37" s="19"/>
      <c r="F37" s="19"/>
      <c r="G37" s="199"/>
      <c r="H37" s="19"/>
      <c r="I37" s="19"/>
      <c r="J37" s="19"/>
      <c r="K37" s="168"/>
      <c r="L37" s="174"/>
      <c r="M37" s="195"/>
      <c r="N37" s="174"/>
      <c r="O37" s="196"/>
      <c r="P37" s="197"/>
      <c r="Q37" s="156"/>
    </row>
    <row r="38" spans="1:18" ht="30" x14ac:dyDescent="0.25">
      <c r="A38" s="200" t="s">
        <v>921</v>
      </c>
      <c r="B38" s="206" t="s">
        <v>1015</v>
      </c>
      <c r="C38" s="207" t="s">
        <v>265</v>
      </c>
      <c r="D38" s="201" t="s">
        <v>922</v>
      </c>
      <c r="E38" s="13">
        <v>0</v>
      </c>
      <c r="F38" s="13"/>
      <c r="G38" s="13">
        <v>257.60000000000002</v>
      </c>
      <c r="H38" s="13">
        <v>245</v>
      </c>
      <c r="I38" s="179">
        <v>175</v>
      </c>
      <c r="J38" s="13">
        <v>215</v>
      </c>
      <c r="K38" s="168"/>
      <c r="L38" s="7">
        <f t="shared" ref="L38:L44" si="8">(J38*L$1)/L$2</f>
        <v>184.39108061749573</v>
      </c>
      <c r="M38" s="195"/>
      <c r="N38" s="189">
        <f t="shared" ref="N38:N44" si="9">L38/N$1</f>
        <v>196.16072406116569</v>
      </c>
      <c r="O38" s="196"/>
      <c r="P38" s="197"/>
      <c r="Q38" s="156"/>
    </row>
    <row r="39" spans="1:18" ht="30" x14ac:dyDescent="0.25">
      <c r="A39" s="200" t="s">
        <v>923</v>
      </c>
      <c r="B39" s="206" t="s">
        <v>1016</v>
      </c>
      <c r="C39" s="207" t="s">
        <v>265</v>
      </c>
      <c r="D39" s="201" t="s">
        <v>924</v>
      </c>
      <c r="E39" s="13">
        <v>0</v>
      </c>
      <c r="F39" s="13"/>
      <c r="G39" s="13">
        <v>268.7</v>
      </c>
      <c r="H39" s="13">
        <v>256</v>
      </c>
      <c r="I39" s="179">
        <v>190</v>
      </c>
      <c r="J39" s="13">
        <v>225</v>
      </c>
      <c r="K39" s="168"/>
      <c r="L39" s="7">
        <f t="shared" si="8"/>
        <v>192.96740994854204</v>
      </c>
      <c r="M39" s="195"/>
      <c r="N39" s="189">
        <f t="shared" si="9"/>
        <v>205.28447866866176</v>
      </c>
      <c r="O39" s="196"/>
      <c r="P39" s="197"/>
      <c r="Q39" s="156"/>
    </row>
    <row r="40" spans="1:18" ht="30" x14ac:dyDescent="0.25">
      <c r="A40" s="200" t="s">
        <v>925</v>
      </c>
      <c r="B40" s="206" t="s">
        <v>1017</v>
      </c>
      <c r="C40" s="207" t="s">
        <v>265</v>
      </c>
      <c r="D40" s="201" t="s">
        <v>926</v>
      </c>
      <c r="E40" s="13">
        <v>0</v>
      </c>
      <c r="F40" s="13"/>
      <c r="G40" s="13">
        <v>285.5</v>
      </c>
      <c r="H40" s="13">
        <v>272</v>
      </c>
      <c r="I40" s="179">
        <v>202</v>
      </c>
      <c r="J40" s="13">
        <v>240</v>
      </c>
      <c r="K40" s="168"/>
      <c r="L40" s="7">
        <f t="shared" si="8"/>
        <v>205.83190394511149</v>
      </c>
      <c r="M40" s="195"/>
      <c r="N40" s="189">
        <f t="shared" si="9"/>
        <v>218.97011057990585</v>
      </c>
      <c r="O40" s="196"/>
      <c r="P40" s="197"/>
      <c r="Q40" s="156"/>
    </row>
    <row r="41" spans="1:18" ht="30" x14ac:dyDescent="0.25">
      <c r="A41" s="200" t="s">
        <v>927</v>
      </c>
      <c r="B41" s="206" t="s">
        <v>1018</v>
      </c>
      <c r="C41" s="207" t="s">
        <v>265</v>
      </c>
      <c r="D41" s="201" t="s">
        <v>928</v>
      </c>
      <c r="E41" s="13">
        <v>0</v>
      </c>
      <c r="F41" s="13"/>
      <c r="G41" s="13">
        <v>317.8</v>
      </c>
      <c r="H41" s="13">
        <v>303</v>
      </c>
      <c r="I41" s="179">
        <v>231</v>
      </c>
      <c r="J41" s="13">
        <v>260</v>
      </c>
      <c r="K41" s="168"/>
      <c r="L41" s="7">
        <f t="shared" si="8"/>
        <v>222.98456260720414</v>
      </c>
      <c r="M41" s="195"/>
      <c r="N41" s="189">
        <f t="shared" si="9"/>
        <v>237.21761979489804</v>
      </c>
      <c r="O41" s="196"/>
      <c r="P41" s="197"/>
      <c r="Q41" s="156"/>
    </row>
    <row r="42" spans="1:18" ht="30" x14ac:dyDescent="0.25">
      <c r="A42" s="200" t="s">
        <v>929</v>
      </c>
      <c r="B42" s="206" t="s">
        <v>1019</v>
      </c>
      <c r="C42" s="207" t="s">
        <v>265</v>
      </c>
      <c r="D42" s="201" t="s">
        <v>930</v>
      </c>
      <c r="E42" s="13">
        <v>0</v>
      </c>
      <c r="F42" s="13"/>
      <c r="G42" s="13">
        <v>328.4</v>
      </c>
      <c r="H42" s="13">
        <v>313</v>
      </c>
      <c r="I42" s="179">
        <v>246</v>
      </c>
      <c r="J42" s="13">
        <v>285</v>
      </c>
      <c r="K42" s="168"/>
      <c r="L42" s="7">
        <f t="shared" si="8"/>
        <v>244.4253859348199</v>
      </c>
      <c r="M42" s="195"/>
      <c r="N42" s="189">
        <f t="shared" si="9"/>
        <v>260.0270063136382</v>
      </c>
      <c r="O42" s="196"/>
      <c r="P42" s="197"/>
      <c r="Q42" s="156"/>
    </row>
    <row r="43" spans="1:18" ht="30" x14ac:dyDescent="0.25">
      <c r="A43" s="200" t="s">
        <v>931</v>
      </c>
      <c r="B43" s="206" t="s">
        <v>1020</v>
      </c>
      <c r="C43" s="207" t="s">
        <v>265</v>
      </c>
      <c r="D43" s="201" t="s">
        <v>932</v>
      </c>
      <c r="E43" s="13">
        <v>0</v>
      </c>
      <c r="F43" s="13"/>
      <c r="G43" s="13">
        <v>339.00218749550857</v>
      </c>
      <c r="H43" s="13">
        <v>323</v>
      </c>
      <c r="I43" s="179">
        <v>260</v>
      </c>
      <c r="J43" s="13">
        <v>310</v>
      </c>
      <c r="K43" s="168"/>
      <c r="L43" s="7">
        <f t="shared" si="8"/>
        <v>265.86620926243569</v>
      </c>
      <c r="M43" s="195"/>
      <c r="N43" s="189">
        <f t="shared" si="9"/>
        <v>282.83639283237841</v>
      </c>
      <c r="O43" s="196"/>
      <c r="P43" s="197"/>
      <c r="Q43" s="156"/>
    </row>
    <row r="44" spans="1:18" ht="30" x14ac:dyDescent="0.25">
      <c r="A44" s="200" t="s">
        <v>933</v>
      </c>
      <c r="B44" s="206" t="s">
        <v>1021</v>
      </c>
      <c r="C44" s="207" t="s">
        <v>265</v>
      </c>
      <c r="D44" s="201" t="s">
        <v>934</v>
      </c>
      <c r="E44" s="13">
        <v>0</v>
      </c>
      <c r="F44" s="13"/>
      <c r="G44" s="13">
        <v>349.8</v>
      </c>
      <c r="H44" s="13">
        <v>334</v>
      </c>
      <c r="I44" s="179">
        <v>289</v>
      </c>
      <c r="J44" s="13">
        <v>320</v>
      </c>
      <c r="K44" s="168"/>
      <c r="L44" s="7">
        <f t="shared" si="8"/>
        <v>274.44253859348203</v>
      </c>
      <c r="M44" s="195"/>
      <c r="N44" s="189">
        <f t="shared" si="9"/>
        <v>291.9601474398745</v>
      </c>
      <c r="O44" s="196"/>
      <c r="P44" s="197"/>
      <c r="Q44" s="156"/>
    </row>
    <row r="45" spans="1:18" s="108" customFormat="1" x14ac:dyDescent="0.25">
      <c r="A45" s="250"/>
      <c r="B45" s="206" t="s">
        <v>1229</v>
      </c>
      <c r="C45" s="209" t="s">
        <v>265</v>
      </c>
      <c r="D45" s="250" t="s">
        <v>1169</v>
      </c>
      <c r="E45" s="251"/>
      <c r="F45" s="251"/>
      <c r="G45" s="251"/>
      <c r="H45" s="251"/>
      <c r="I45" s="252"/>
      <c r="J45" s="251">
        <v>39.4</v>
      </c>
      <c r="K45" s="253"/>
      <c r="L45" s="254">
        <f>(J45*L$1)/L$2</f>
        <v>33.79073756432247</v>
      </c>
      <c r="M45" s="14"/>
      <c r="N45" s="255">
        <f>L45/N$1</f>
        <v>35.947593153534541</v>
      </c>
      <c r="O45" s="298"/>
      <c r="P45" s="256"/>
      <c r="Q45" s="280"/>
      <c r="R45" s="280"/>
    </row>
    <row r="46" spans="1:18" s="108" customFormat="1" x14ac:dyDescent="0.25">
      <c r="A46" s="250"/>
      <c r="B46" s="206" t="s">
        <v>1230</v>
      </c>
      <c r="C46" s="209" t="s">
        <v>265</v>
      </c>
      <c r="D46" s="250" t="s">
        <v>1231</v>
      </c>
      <c r="E46" s="251"/>
      <c r="F46" s="251"/>
      <c r="G46" s="251"/>
      <c r="H46" s="251"/>
      <c r="I46" s="252"/>
      <c r="J46" s="251">
        <v>37.700000000000003</v>
      </c>
      <c r="K46" s="291"/>
      <c r="L46" s="254">
        <f>(J46*L$1)/L$2</f>
        <v>32.332761578044604</v>
      </c>
      <c r="M46" s="14"/>
      <c r="N46" s="255">
        <f>L46/N$1</f>
        <v>34.396554870260218</v>
      </c>
      <c r="O46" s="294"/>
      <c r="P46" s="256"/>
      <c r="Q46" s="17"/>
      <c r="R46" s="17"/>
    </row>
    <row r="47" spans="1:18" s="108" customFormat="1" x14ac:dyDescent="0.25">
      <c r="A47" s="112"/>
      <c r="B47" s="112"/>
      <c r="C47" s="241"/>
      <c r="D47" s="112"/>
      <c r="E47" s="296"/>
      <c r="F47" s="296"/>
      <c r="G47" s="296"/>
      <c r="H47" s="296"/>
      <c r="I47" s="296"/>
      <c r="J47" s="296"/>
      <c r="K47" s="291"/>
      <c r="L47" s="102"/>
      <c r="M47" s="14"/>
      <c r="N47" s="102"/>
      <c r="O47" s="294"/>
      <c r="P47" s="297"/>
      <c r="Q47" s="17"/>
      <c r="R47" s="17"/>
    </row>
    <row r="48" spans="1:18" ht="15.75" thickBot="1" x14ac:dyDescent="0.3">
      <c r="E48" s="1">
        <v>45614</v>
      </c>
      <c r="F48" s="1"/>
      <c r="G48" s="1">
        <v>45859</v>
      </c>
      <c r="H48" s="1">
        <v>45863</v>
      </c>
      <c r="I48" s="97">
        <v>45863</v>
      </c>
      <c r="J48" s="1">
        <v>45869</v>
      </c>
      <c r="K48" s="1"/>
      <c r="L48" s="14"/>
      <c r="M48" s="15"/>
      <c r="N48" s="14"/>
      <c r="O48" s="196"/>
      <c r="P48" s="16" t="s">
        <v>29</v>
      </c>
    </row>
    <row r="49" spans="1:18" ht="18.75" x14ac:dyDescent="0.25">
      <c r="A49" s="180" t="s">
        <v>0</v>
      </c>
      <c r="B49" s="212" t="s">
        <v>600</v>
      </c>
      <c r="C49" s="212" t="s">
        <v>482</v>
      </c>
      <c r="D49" s="180" t="s">
        <v>1</v>
      </c>
      <c r="E49" s="3" t="s">
        <v>2</v>
      </c>
      <c r="F49" s="3" t="s">
        <v>2</v>
      </c>
      <c r="G49" s="3" t="s">
        <v>2</v>
      </c>
      <c r="H49" s="3" t="s">
        <v>2</v>
      </c>
      <c r="I49" s="182" t="s">
        <v>935</v>
      </c>
      <c r="J49" s="3" t="s">
        <v>2</v>
      </c>
      <c r="K49" s="145"/>
      <c r="L49" s="8" t="s">
        <v>57</v>
      </c>
      <c r="M49" s="15"/>
      <c r="N49" s="9" t="s">
        <v>58</v>
      </c>
      <c r="O49" s="257"/>
      <c r="P49" s="6" t="s">
        <v>30</v>
      </c>
      <c r="Q49" s="277" t="s">
        <v>1206</v>
      </c>
      <c r="R49" s="277" t="s">
        <v>1207</v>
      </c>
    </row>
    <row r="50" spans="1:18" x14ac:dyDescent="0.25">
      <c r="A50" s="148" t="s">
        <v>859</v>
      </c>
      <c r="B50" s="208" t="s">
        <v>1243</v>
      </c>
      <c r="C50" s="209" t="s">
        <v>265</v>
      </c>
      <c r="D50" s="148" t="s">
        <v>847</v>
      </c>
      <c r="E50" s="13">
        <v>45</v>
      </c>
      <c r="F50" s="13"/>
      <c r="G50" s="13">
        <v>63.8</v>
      </c>
      <c r="H50" s="13">
        <v>59</v>
      </c>
      <c r="I50" s="179">
        <v>40</v>
      </c>
      <c r="J50" s="13">
        <v>55</v>
      </c>
      <c r="K50" s="172"/>
      <c r="L50" s="7">
        <f t="shared" ref="L50:L57" si="10">(J50*L$1)/L$2</f>
        <v>47.169811320754718</v>
      </c>
      <c r="M50" s="195"/>
      <c r="N50" s="189">
        <f t="shared" ref="N50:N57" si="11">L50/N$1</f>
        <v>50.180650341228429</v>
      </c>
      <c r="O50" s="196"/>
      <c r="P50" s="18">
        <v>39.130000000000003</v>
      </c>
      <c r="Q50" s="278" t="s">
        <v>1208</v>
      </c>
      <c r="R50" s="279">
        <v>20</v>
      </c>
    </row>
    <row r="51" spans="1:18" x14ac:dyDescent="0.25">
      <c r="A51" s="148" t="s">
        <v>860</v>
      </c>
      <c r="B51" s="208" t="s">
        <v>1244</v>
      </c>
      <c r="C51" s="209" t="s">
        <v>265</v>
      </c>
      <c r="D51" s="148" t="s">
        <v>848</v>
      </c>
      <c r="E51" s="13">
        <v>49</v>
      </c>
      <c r="F51" s="13"/>
      <c r="G51" s="13">
        <v>71.599999999999994</v>
      </c>
      <c r="H51" s="13">
        <v>66</v>
      </c>
      <c r="I51" s="179">
        <v>45</v>
      </c>
      <c r="J51" s="13">
        <v>60</v>
      </c>
      <c r="K51" s="172"/>
      <c r="L51" s="7">
        <f t="shared" si="10"/>
        <v>51.457975986277873</v>
      </c>
      <c r="M51" s="195"/>
      <c r="N51" s="189">
        <f t="shared" si="11"/>
        <v>54.742527644976462</v>
      </c>
      <c r="O51" s="196"/>
      <c r="P51" s="18">
        <v>44.84</v>
      </c>
      <c r="Q51" s="278" t="s">
        <v>1209</v>
      </c>
      <c r="R51" s="279">
        <v>16</v>
      </c>
    </row>
    <row r="52" spans="1:18" ht="18.75" x14ac:dyDescent="0.25">
      <c r="A52" s="240" t="s">
        <v>1076</v>
      </c>
      <c r="B52" s="208" t="s">
        <v>1245</v>
      </c>
      <c r="C52" s="209" t="s">
        <v>265</v>
      </c>
      <c r="D52" s="148" t="s">
        <v>1080</v>
      </c>
      <c r="E52" s="13"/>
      <c r="F52" s="13"/>
      <c r="G52" s="13"/>
      <c r="H52" s="13"/>
      <c r="I52" s="179"/>
      <c r="J52" s="13">
        <v>62</v>
      </c>
      <c r="K52" s="172"/>
      <c r="L52" s="7">
        <f t="shared" si="10"/>
        <v>53.173241852487138</v>
      </c>
      <c r="M52" s="195"/>
      <c r="N52" s="189">
        <f t="shared" si="11"/>
        <v>56.567278566475679</v>
      </c>
      <c r="O52" s="196"/>
      <c r="P52" s="18"/>
      <c r="Q52" s="278" t="s">
        <v>1209</v>
      </c>
      <c r="R52" s="279">
        <v>16</v>
      </c>
    </row>
    <row r="53" spans="1:18" x14ac:dyDescent="0.25">
      <c r="A53" s="148" t="s">
        <v>861</v>
      </c>
      <c r="B53" s="208" t="s">
        <v>1246</v>
      </c>
      <c r="C53" s="209" t="s">
        <v>265</v>
      </c>
      <c r="D53" s="148" t="s">
        <v>849</v>
      </c>
      <c r="E53" s="13">
        <v>55</v>
      </c>
      <c r="F53" s="13"/>
      <c r="G53" s="13">
        <v>79.3</v>
      </c>
      <c r="H53" s="13">
        <v>74</v>
      </c>
      <c r="I53" s="179">
        <v>55</v>
      </c>
      <c r="J53" s="13">
        <v>65</v>
      </c>
      <c r="K53" s="172"/>
      <c r="L53" s="7">
        <f t="shared" si="10"/>
        <v>55.746140651801035</v>
      </c>
      <c r="M53" s="195"/>
      <c r="N53" s="189">
        <f t="shared" si="11"/>
        <v>59.30440494872451</v>
      </c>
      <c r="O53" s="196"/>
      <c r="P53" s="18">
        <v>54.77</v>
      </c>
      <c r="Q53" s="278" t="s">
        <v>1208</v>
      </c>
      <c r="R53" s="279">
        <v>12</v>
      </c>
    </row>
    <row r="54" spans="1:18" ht="18.75" x14ac:dyDescent="0.25">
      <c r="A54" s="240" t="s">
        <v>1077</v>
      </c>
      <c r="B54" s="208" t="s">
        <v>1247</v>
      </c>
      <c r="C54" s="209" t="s">
        <v>265</v>
      </c>
      <c r="D54" s="148" t="s">
        <v>1081</v>
      </c>
      <c r="E54" s="13"/>
      <c r="F54" s="13"/>
      <c r="G54" s="13"/>
      <c r="H54" s="13"/>
      <c r="I54" s="179"/>
      <c r="J54" s="13">
        <v>70</v>
      </c>
      <c r="K54" s="172"/>
      <c r="L54" s="7">
        <f t="shared" si="10"/>
        <v>60.03430531732419</v>
      </c>
      <c r="M54" s="195"/>
      <c r="N54" s="189">
        <f t="shared" si="11"/>
        <v>63.866282252472544</v>
      </c>
      <c r="O54" s="196"/>
      <c r="P54" s="18"/>
      <c r="Q54" s="278" t="s">
        <v>1208</v>
      </c>
      <c r="R54" s="279">
        <v>12</v>
      </c>
    </row>
    <row r="55" spans="1:18" x14ac:dyDescent="0.25">
      <c r="A55" s="148" t="s">
        <v>862</v>
      </c>
      <c r="B55" s="208" t="s">
        <v>1248</v>
      </c>
      <c r="C55" s="209" t="s">
        <v>265</v>
      </c>
      <c r="D55" s="148" t="s">
        <v>850</v>
      </c>
      <c r="E55" s="13">
        <v>64</v>
      </c>
      <c r="F55" s="13"/>
      <c r="G55" s="13">
        <v>88.7</v>
      </c>
      <c r="H55" s="13">
        <v>82</v>
      </c>
      <c r="I55" s="179">
        <v>65</v>
      </c>
      <c r="J55" s="13">
        <v>75</v>
      </c>
      <c r="K55" s="172"/>
      <c r="L55" s="7">
        <f t="shared" si="10"/>
        <v>64.322469982847352</v>
      </c>
      <c r="M55" s="195"/>
      <c r="N55" s="189">
        <f t="shared" si="11"/>
        <v>68.428159556220592</v>
      </c>
      <c r="O55" s="196"/>
      <c r="P55" s="18">
        <v>63.12</v>
      </c>
      <c r="Q55" s="278" t="s">
        <v>1210</v>
      </c>
      <c r="R55" s="279">
        <v>10</v>
      </c>
    </row>
    <row r="56" spans="1:18" x14ac:dyDescent="0.25">
      <c r="A56" s="148" t="s">
        <v>863</v>
      </c>
      <c r="B56" s="208" t="s">
        <v>1249</v>
      </c>
      <c r="C56" s="209" t="s">
        <v>265</v>
      </c>
      <c r="D56" s="148" t="s">
        <v>851</v>
      </c>
      <c r="E56" s="13">
        <v>75</v>
      </c>
      <c r="F56" s="13"/>
      <c r="G56" s="13">
        <v>97.1</v>
      </c>
      <c r="H56" s="13">
        <v>90</v>
      </c>
      <c r="I56" s="179">
        <v>75</v>
      </c>
      <c r="J56" s="13">
        <v>80</v>
      </c>
      <c r="K56" s="172"/>
      <c r="L56" s="7">
        <f t="shared" si="10"/>
        <v>68.610634648370507</v>
      </c>
      <c r="M56" s="195"/>
      <c r="N56" s="189">
        <f t="shared" si="11"/>
        <v>72.990036859968626</v>
      </c>
      <c r="O56" s="196"/>
      <c r="P56" s="18"/>
      <c r="Q56" s="278" t="s">
        <v>1211</v>
      </c>
      <c r="R56" s="279">
        <v>8</v>
      </c>
    </row>
    <row r="57" spans="1:18" x14ac:dyDescent="0.25">
      <c r="A57" s="148" t="s">
        <v>864</v>
      </c>
      <c r="B57" s="208" t="s">
        <v>979</v>
      </c>
      <c r="C57" s="209" t="s">
        <v>265</v>
      </c>
      <c r="D57" s="148" t="s">
        <v>852</v>
      </c>
      <c r="E57" s="13"/>
      <c r="F57" s="13"/>
      <c r="G57" s="13">
        <v>108.8</v>
      </c>
      <c r="H57" s="13">
        <v>100</v>
      </c>
      <c r="I57" s="179">
        <v>85</v>
      </c>
      <c r="J57" s="13">
        <v>90</v>
      </c>
      <c r="K57" s="172"/>
      <c r="L57" s="7">
        <f t="shared" si="10"/>
        <v>77.186963979416817</v>
      </c>
      <c r="M57" s="195"/>
      <c r="N57" s="189">
        <f t="shared" si="11"/>
        <v>82.113791467464708</v>
      </c>
      <c r="O57" s="196"/>
      <c r="P57" s="18"/>
      <c r="Q57" s="278" t="s">
        <v>1209</v>
      </c>
      <c r="R57" s="279">
        <v>8</v>
      </c>
    </row>
    <row r="58" spans="1:18" x14ac:dyDescent="0.25">
      <c r="A58" s="148"/>
      <c r="B58" s="208"/>
      <c r="C58" s="209"/>
      <c r="D58" s="148"/>
      <c r="E58" s="19"/>
      <c r="F58" s="19"/>
      <c r="G58" s="19"/>
      <c r="H58" s="19"/>
      <c r="I58" s="191"/>
      <c r="J58" s="19"/>
      <c r="K58" s="172"/>
      <c r="L58" s="143"/>
      <c r="M58" s="195"/>
      <c r="N58" s="143"/>
      <c r="O58" s="196"/>
      <c r="P58" s="144"/>
      <c r="Q58" s="278"/>
      <c r="R58" s="279"/>
    </row>
    <row r="59" spans="1:18" x14ac:dyDescent="0.25">
      <c r="A59" s="148" t="s">
        <v>865</v>
      </c>
      <c r="B59" s="208" t="s">
        <v>1250</v>
      </c>
      <c r="C59" s="209" t="s">
        <v>265</v>
      </c>
      <c r="D59" s="148" t="s">
        <v>853</v>
      </c>
      <c r="E59" s="13">
        <v>54</v>
      </c>
      <c r="F59" s="13"/>
      <c r="G59" s="13">
        <v>69.5</v>
      </c>
      <c r="H59" s="13">
        <v>64</v>
      </c>
      <c r="I59" s="179">
        <v>52</v>
      </c>
      <c r="J59" s="13">
        <v>60</v>
      </c>
      <c r="K59" s="172"/>
      <c r="L59" s="7">
        <f t="shared" ref="L59:L66" si="12">(J59*L$1)/L$2</f>
        <v>51.457975986277873</v>
      </c>
      <c r="M59" s="195"/>
      <c r="N59" s="189">
        <f t="shared" ref="N59:N66" si="13">L59/N$1</f>
        <v>54.742527644976462</v>
      </c>
      <c r="O59" s="196"/>
      <c r="P59" s="18"/>
      <c r="Q59" s="278" t="s">
        <v>1212</v>
      </c>
      <c r="R59" s="279">
        <v>20</v>
      </c>
    </row>
    <row r="60" spans="1:18" x14ac:dyDescent="0.25">
      <c r="A60" s="148" t="s">
        <v>866</v>
      </c>
      <c r="B60" s="208" t="s">
        <v>1251</v>
      </c>
      <c r="C60" s="209" t="s">
        <v>265</v>
      </c>
      <c r="D60" s="148" t="s">
        <v>854</v>
      </c>
      <c r="E60" s="13">
        <v>57</v>
      </c>
      <c r="F60" s="13"/>
      <c r="G60" s="13">
        <v>78.099999999999994</v>
      </c>
      <c r="H60" s="13">
        <v>72</v>
      </c>
      <c r="I60" s="179">
        <v>55</v>
      </c>
      <c r="J60" s="13">
        <v>65</v>
      </c>
      <c r="K60" s="172"/>
      <c r="L60" s="7">
        <f t="shared" si="12"/>
        <v>55.746140651801035</v>
      </c>
      <c r="M60" s="195"/>
      <c r="N60" s="189">
        <f t="shared" si="13"/>
        <v>59.30440494872451</v>
      </c>
      <c r="O60" s="196"/>
      <c r="P60" s="18">
        <v>55.27</v>
      </c>
      <c r="Q60" s="278" t="s">
        <v>1213</v>
      </c>
      <c r="R60" s="279">
        <v>16</v>
      </c>
    </row>
    <row r="61" spans="1:18" ht="18.75" x14ac:dyDescent="0.25">
      <c r="A61" s="240" t="s">
        <v>1078</v>
      </c>
      <c r="B61" s="208" t="s">
        <v>1252</v>
      </c>
      <c r="C61" s="209" t="s">
        <v>265</v>
      </c>
      <c r="D61" s="148" t="s">
        <v>1082</v>
      </c>
      <c r="E61" s="13"/>
      <c r="F61" s="13"/>
      <c r="G61" s="13"/>
      <c r="H61" s="13"/>
      <c r="I61" s="179"/>
      <c r="J61" s="13">
        <v>68</v>
      </c>
      <c r="K61" s="172"/>
      <c r="L61" s="7">
        <f t="shared" si="12"/>
        <v>58.319039451114925</v>
      </c>
      <c r="M61" s="195"/>
      <c r="N61" s="189">
        <f t="shared" si="13"/>
        <v>62.041531330973328</v>
      </c>
      <c r="O61" s="196"/>
      <c r="P61" s="132"/>
      <c r="Q61" s="278" t="s">
        <v>1213</v>
      </c>
      <c r="R61" s="279">
        <v>16</v>
      </c>
    </row>
    <row r="62" spans="1:18" x14ac:dyDescent="0.25">
      <c r="A62" s="148" t="s">
        <v>867</v>
      </c>
      <c r="B62" s="208" t="s">
        <v>980</v>
      </c>
      <c r="C62" s="209" t="s">
        <v>265</v>
      </c>
      <c r="D62" s="148" t="s">
        <v>855</v>
      </c>
      <c r="E62" s="13">
        <v>65</v>
      </c>
      <c r="F62" s="13"/>
      <c r="G62" s="13">
        <v>86.4</v>
      </c>
      <c r="H62" s="13">
        <v>80</v>
      </c>
      <c r="I62" s="179">
        <v>60</v>
      </c>
      <c r="J62" s="13">
        <v>72</v>
      </c>
      <c r="K62" s="172"/>
      <c r="L62" s="7">
        <f t="shared" si="12"/>
        <v>61.749571183533455</v>
      </c>
      <c r="M62" s="195"/>
      <c r="N62" s="189">
        <f t="shared" si="13"/>
        <v>65.691033173971761</v>
      </c>
      <c r="O62" s="196"/>
      <c r="P62" s="132">
        <v>63.12</v>
      </c>
      <c r="Q62" s="278" t="s">
        <v>1212</v>
      </c>
      <c r="R62" s="279">
        <v>12</v>
      </c>
    </row>
    <row r="63" spans="1:18" ht="18.75" x14ac:dyDescent="0.25">
      <c r="A63" s="240" t="s">
        <v>1079</v>
      </c>
      <c r="B63" s="208" t="s">
        <v>1253</v>
      </c>
      <c r="C63" s="209" t="s">
        <v>265</v>
      </c>
      <c r="D63" s="148" t="s">
        <v>1083</v>
      </c>
      <c r="E63" s="13"/>
      <c r="F63" s="13"/>
      <c r="G63" s="13"/>
      <c r="H63" s="13"/>
      <c r="I63" s="179"/>
      <c r="J63" s="13">
        <v>75</v>
      </c>
      <c r="K63" s="172"/>
      <c r="L63" s="7">
        <f t="shared" si="12"/>
        <v>64.322469982847352</v>
      </c>
      <c r="M63" s="195"/>
      <c r="N63" s="189">
        <f t="shared" si="13"/>
        <v>68.428159556220592</v>
      </c>
      <c r="O63" s="196"/>
      <c r="P63" s="132"/>
      <c r="Q63" s="278" t="s">
        <v>1212</v>
      </c>
      <c r="R63" s="279">
        <v>12</v>
      </c>
    </row>
    <row r="64" spans="1:18" x14ac:dyDescent="0.25">
      <c r="A64" s="148" t="s">
        <v>868</v>
      </c>
      <c r="B64" s="208" t="s">
        <v>1254</v>
      </c>
      <c r="C64" s="209" t="s">
        <v>265</v>
      </c>
      <c r="D64" s="148" t="s">
        <v>856</v>
      </c>
      <c r="E64" s="13">
        <v>75</v>
      </c>
      <c r="F64" s="13"/>
      <c r="G64" s="13">
        <v>96.7</v>
      </c>
      <c r="H64" s="13">
        <v>90</v>
      </c>
      <c r="I64" s="179">
        <v>74</v>
      </c>
      <c r="J64" s="13">
        <v>80</v>
      </c>
      <c r="K64" s="172"/>
      <c r="L64" s="7">
        <f t="shared" si="12"/>
        <v>68.610634648370507</v>
      </c>
      <c r="M64" s="195"/>
      <c r="N64" s="189">
        <f t="shared" si="13"/>
        <v>72.990036859968626</v>
      </c>
      <c r="O64" s="258"/>
      <c r="P64" s="18">
        <v>74.13</v>
      </c>
      <c r="Q64" s="278" t="s">
        <v>1214</v>
      </c>
      <c r="R64" s="279">
        <v>10</v>
      </c>
    </row>
    <row r="65" spans="1:18" x14ac:dyDescent="0.25">
      <c r="A65" s="148" t="s">
        <v>869</v>
      </c>
      <c r="B65" s="208" t="s">
        <v>1255</v>
      </c>
      <c r="C65" s="209" t="s">
        <v>265</v>
      </c>
      <c r="D65" s="148" t="s">
        <v>857</v>
      </c>
      <c r="E65" s="13">
        <v>84</v>
      </c>
      <c r="F65" s="13"/>
      <c r="G65" s="13">
        <v>105.8</v>
      </c>
      <c r="H65" s="13">
        <v>98</v>
      </c>
      <c r="I65" s="179">
        <v>80</v>
      </c>
      <c r="J65" s="13">
        <v>90</v>
      </c>
      <c r="K65" s="172"/>
      <c r="L65" s="7">
        <f t="shared" si="12"/>
        <v>77.186963979416817</v>
      </c>
      <c r="M65" s="195"/>
      <c r="N65" s="189">
        <f t="shared" si="13"/>
        <v>82.113791467464708</v>
      </c>
      <c r="O65" s="258"/>
      <c r="P65" s="18">
        <v>82.92</v>
      </c>
      <c r="Q65" s="278" t="s">
        <v>1215</v>
      </c>
      <c r="R65" s="279">
        <v>8</v>
      </c>
    </row>
    <row r="66" spans="1:18" x14ac:dyDescent="0.25">
      <c r="A66" s="148" t="s">
        <v>870</v>
      </c>
      <c r="B66" s="208" t="s">
        <v>981</v>
      </c>
      <c r="C66" s="209" t="s">
        <v>265</v>
      </c>
      <c r="D66" s="148" t="s">
        <v>858</v>
      </c>
      <c r="E66" s="13"/>
      <c r="F66" s="13"/>
      <c r="G66" s="13">
        <v>118.5</v>
      </c>
      <c r="H66" s="13">
        <v>110</v>
      </c>
      <c r="I66" s="179">
        <v>92</v>
      </c>
      <c r="J66" s="13">
        <v>100</v>
      </c>
      <c r="K66" s="172"/>
      <c r="L66" s="7">
        <f t="shared" si="12"/>
        <v>85.763293310463126</v>
      </c>
      <c r="M66" s="195"/>
      <c r="N66" s="189">
        <f t="shared" si="13"/>
        <v>91.237546074960775</v>
      </c>
      <c r="O66" s="258"/>
      <c r="P66" s="18"/>
      <c r="Q66" s="278" t="s">
        <v>1213</v>
      </c>
      <c r="R66" s="279">
        <v>8</v>
      </c>
    </row>
    <row r="67" spans="1:18" s="108" customFormat="1" x14ac:dyDescent="0.25">
      <c r="A67" s="112"/>
      <c r="B67" s="112"/>
      <c r="C67" s="241"/>
      <c r="D67" s="112"/>
      <c r="E67" s="113"/>
      <c r="F67" s="113"/>
      <c r="G67" s="113"/>
      <c r="H67" s="113"/>
      <c r="I67" s="160"/>
      <c r="J67" s="113"/>
      <c r="K67" s="291"/>
      <c r="L67" s="292"/>
      <c r="M67" s="14"/>
      <c r="N67" s="293"/>
      <c r="O67" s="294"/>
      <c r="P67" s="295"/>
      <c r="Q67" s="17"/>
      <c r="R67" s="17"/>
    </row>
    <row r="68" spans="1:18" x14ac:dyDescent="0.25">
      <c r="A68" s="71"/>
      <c r="B68" s="214"/>
      <c r="C68" s="241"/>
      <c r="D68" s="71"/>
      <c r="E68" s="134"/>
      <c r="F68" s="134"/>
      <c r="G68" s="134"/>
      <c r="H68" s="134"/>
      <c r="I68" s="134"/>
      <c r="J68" s="134"/>
      <c r="K68" s="239"/>
      <c r="L68" s="99"/>
      <c r="M68" s="195"/>
      <c r="N68" s="99"/>
      <c r="O68" s="196"/>
      <c r="P68" s="242"/>
    </row>
    <row r="69" spans="1:18" x14ac:dyDescent="0.25">
      <c r="A69" s="198" t="s">
        <v>1058</v>
      </c>
      <c r="B69" s="208"/>
      <c r="C69" s="209"/>
      <c r="D69" s="198" t="s">
        <v>1064</v>
      </c>
      <c r="E69" s="13"/>
      <c r="F69" s="13"/>
      <c r="G69" s="13"/>
      <c r="H69" s="13"/>
      <c r="I69" s="179"/>
      <c r="J69" s="13">
        <v>7.1</v>
      </c>
      <c r="K69" s="239"/>
      <c r="L69" s="7">
        <f>(J69*L$1)/L$2</f>
        <v>6.0891938250428819</v>
      </c>
      <c r="M69" s="195"/>
      <c r="N69" s="189">
        <f>L69/N$1</f>
        <v>6.4778657713222154</v>
      </c>
      <c r="O69" s="196"/>
      <c r="P69" s="18"/>
    </row>
    <row r="70" spans="1:18" x14ac:dyDescent="0.25">
      <c r="A70" s="198" t="s">
        <v>1059</v>
      </c>
      <c r="B70" s="208"/>
      <c r="C70" s="209"/>
      <c r="D70" s="198" t="s">
        <v>1065</v>
      </c>
      <c r="E70" s="13"/>
      <c r="F70" s="13"/>
      <c r="G70" s="13"/>
      <c r="H70" s="13"/>
      <c r="I70" s="179"/>
      <c r="J70" s="13">
        <v>8</v>
      </c>
      <c r="K70" s="239"/>
      <c r="L70" s="7">
        <f t="shared" ref="L70:L77" si="14">(J70*L$1)/L$2</f>
        <v>6.8610634648370503</v>
      </c>
      <c r="M70" s="195"/>
      <c r="N70" s="189">
        <f t="shared" ref="N70:N77" si="15">L70/N$1</f>
        <v>7.2990036859968628</v>
      </c>
      <c r="O70" s="196"/>
      <c r="P70" s="18"/>
    </row>
    <row r="71" spans="1:18" x14ac:dyDescent="0.25">
      <c r="A71" s="198" t="s">
        <v>1060</v>
      </c>
      <c r="B71" s="208"/>
      <c r="C71" s="209"/>
      <c r="D71" s="198" t="s">
        <v>1066</v>
      </c>
      <c r="E71" s="13"/>
      <c r="F71" s="13"/>
      <c r="G71" s="13"/>
      <c r="H71" s="13"/>
      <c r="I71" s="179"/>
      <c r="J71" s="13">
        <v>11.2</v>
      </c>
      <c r="K71" s="239"/>
      <c r="L71" s="7">
        <f t="shared" si="14"/>
        <v>9.6054888507718701</v>
      </c>
      <c r="M71" s="195"/>
      <c r="N71" s="189">
        <f t="shared" si="15"/>
        <v>10.218605160395606</v>
      </c>
      <c r="O71" s="196"/>
      <c r="P71" s="18"/>
    </row>
    <row r="72" spans="1:18" x14ac:dyDescent="0.25">
      <c r="A72" s="198" t="s">
        <v>1061</v>
      </c>
      <c r="B72" s="208"/>
      <c r="C72" s="209"/>
      <c r="D72" s="198" t="s">
        <v>1067</v>
      </c>
      <c r="E72" s="13"/>
      <c r="F72" s="13"/>
      <c r="G72" s="13"/>
      <c r="H72" s="13"/>
      <c r="I72" s="179"/>
      <c r="J72" s="13">
        <v>8.6</v>
      </c>
      <c r="K72" s="239"/>
      <c r="L72" s="7">
        <f t="shared" si="14"/>
        <v>7.3756432246998287</v>
      </c>
      <c r="M72" s="195"/>
      <c r="N72" s="189">
        <f t="shared" si="15"/>
        <v>7.8464289624466268</v>
      </c>
      <c r="O72" s="196"/>
      <c r="P72" s="18"/>
    </row>
    <row r="73" spans="1:18" x14ac:dyDescent="0.25">
      <c r="A73" s="198" t="s">
        <v>1062</v>
      </c>
      <c r="B73" s="208"/>
      <c r="C73" s="209"/>
      <c r="D73" s="198" t="s">
        <v>1068</v>
      </c>
      <c r="E73" s="13"/>
      <c r="F73" s="13"/>
      <c r="G73" s="13"/>
      <c r="H73" s="13"/>
      <c r="I73" s="179"/>
      <c r="J73" s="13">
        <v>9.9</v>
      </c>
      <c r="K73" s="239"/>
      <c r="L73" s="7">
        <f t="shared" si="14"/>
        <v>8.4905660377358494</v>
      </c>
      <c r="M73" s="195"/>
      <c r="N73" s="189">
        <f t="shared" si="15"/>
        <v>9.0325170614211174</v>
      </c>
      <c r="O73" s="196"/>
      <c r="P73" s="18"/>
    </row>
    <row r="74" spans="1:18" x14ac:dyDescent="0.25">
      <c r="A74" s="198" t="s">
        <v>1063</v>
      </c>
      <c r="B74" s="208"/>
      <c r="C74" s="209"/>
      <c r="D74" s="198" t="s">
        <v>1069</v>
      </c>
      <c r="E74" s="13"/>
      <c r="F74" s="13"/>
      <c r="G74" s="13"/>
      <c r="H74" s="13"/>
      <c r="I74" s="179"/>
      <c r="J74" s="13">
        <v>14.4</v>
      </c>
      <c r="K74" s="239"/>
      <c r="L74" s="7">
        <f t="shared" si="14"/>
        <v>12.34991423670669</v>
      </c>
      <c r="M74" s="195"/>
      <c r="N74" s="189">
        <f t="shared" si="15"/>
        <v>13.138206634794352</v>
      </c>
      <c r="O74" s="196"/>
      <c r="P74" s="18"/>
    </row>
    <row r="75" spans="1:18" x14ac:dyDescent="0.25">
      <c r="A75" s="198" t="s">
        <v>1070</v>
      </c>
      <c r="B75" s="208"/>
      <c r="C75" s="209"/>
      <c r="D75" s="198" t="s">
        <v>1071</v>
      </c>
      <c r="E75" s="13"/>
      <c r="F75" s="13"/>
      <c r="G75" s="13"/>
      <c r="H75" s="13"/>
      <c r="I75" s="179"/>
      <c r="J75" s="13">
        <v>7.9</v>
      </c>
      <c r="K75" s="239"/>
      <c r="L75" s="7">
        <f t="shared" si="14"/>
        <v>6.7753001715265873</v>
      </c>
      <c r="M75" s="195"/>
      <c r="N75" s="189">
        <f t="shared" si="15"/>
        <v>7.207766139921902</v>
      </c>
      <c r="O75" s="196"/>
      <c r="P75" s="18"/>
    </row>
    <row r="76" spans="1:18" x14ac:dyDescent="0.25">
      <c r="A76" s="198" t="s">
        <v>1072</v>
      </c>
      <c r="B76" s="208"/>
      <c r="C76" s="209"/>
      <c r="D76" s="198" t="s">
        <v>1073</v>
      </c>
      <c r="E76" s="13"/>
      <c r="F76" s="13"/>
      <c r="G76" s="13"/>
      <c r="H76" s="13"/>
      <c r="I76" s="179"/>
      <c r="J76" s="13">
        <v>9.6</v>
      </c>
      <c r="K76" s="239"/>
      <c r="L76" s="7">
        <f t="shared" si="14"/>
        <v>8.2332761578044593</v>
      </c>
      <c r="M76" s="195"/>
      <c r="N76" s="189">
        <f t="shared" si="15"/>
        <v>8.7588044231962332</v>
      </c>
      <c r="O76" s="196"/>
      <c r="P76" s="18"/>
    </row>
    <row r="77" spans="1:18" x14ac:dyDescent="0.25">
      <c r="A77" s="198" t="s">
        <v>1074</v>
      </c>
      <c r="B77" s="208"/>
      <c r="C77" s="209"/>
      <c r="D77" s="198" t="s">
        <v>1075</v>
      </c>
      <c r="E77" s="13"/>
      <c r="F77" s="13"/>
      <c r="G77" s="13"/>
      <c r="H77" s="13"/>
      <c r="I77" s="179"/>
      <c r="J77" s="13">
        <v>15</v>
      </c>
      <c r="K77" s="239"/>
      <c r="L77" s="7">
        <f t="shared" si="14"/>
        <v>12.864493996569468</v>
      </c>
      <c r="M77" s="195"/>
      <c r="N77" s="189">
        <f t="shared" si="15"/>
        <v>13.685631911244116</v>
      </c>
      <c r="O77" s="196"/>
      <c r="P77" s="18"/>
    </row>
    <row r="79" spans="1:18" ht="15.75" thickBot="1" x14ac:dyDescent="0.3">
      <c r="E79" s="1">
        <v>45799</v>
      </c>
      <c r="P79" s="16" t="s">
        <v>29</v>
      </c>
    </row>
    <row r="80" spans="1:18" x14ac:dyDescent="0.25">
      <c r="A80" s="146" t="s">
        <v>0</v>
      </c>
      <c r="B80" s="212" t="s">
        <v>600</v>
      </c>
      <c r="C80" s="212" t="s">
        <v>482</v>
      </c>
      <c r="D80" s="146" t="s">
        <v>37</v>
      </c>
      <c r="E80" s="4" t="s">
        <v>2</v>
      </c>
      <c r="F80" s="5" t="s">
        <v>2</v>
      </c>
      <c r="G80" s="5" t="s">
        <v>2</v>
      </c>
      <c r="H80" s="5" t="s">
        <v>2</v>
      </c>
      <c r="I80" s="133"/>
      <c r="J80" s="5" t="s">
        <v>2</v>
      </c>
      <c r="K80" s="145"/>
      <c r="L80" s="8" t="s">
        <v>57</v>
      </c>
      <c r="N80" s="9" t="s">
        <v>58</v>
      </c>
      <c r="P80" s="6" t="s">
        <v>30</v>
      </c>
    </row>
    <row r="81" spans="1:17" ht="15.75" thickBot="1" x14ac:dyDescent="0.3">
      <c r="A81" s="149" t="s">
        <v>390</v>
      </c>
      <c r="B81" s="210"/>
      <c r="C81" s="211"/>
      <c r="D81" s="193" t="s">
        <v>406</v>
      </c>
      <c r="E81" s="13">
        <v>156.88</v>
      </c>
      <c r="F81" s="13"/>
      <c r="G81" s="13"/>
      <c r="H81" s="13"/>
      <c r="I81" s="134"/>
      <c r="J81" s="13"/>
      <c r="K81" s="169"/>
      <c r="L81" s="70">
        <f>(E81*L$1)/L$2</f>
        <v>134.54545454545456</v>
      </c>
      <c r="M81" s="195"/>
      <c r="N81" s="190">
        <f>L81/N$1</f>
        <v>143.13346228239848</v>
      </c>
      <c r="P81" s="19"/>
    </row>
    <row r="82" spans="1:17" ht="15.75" thickBot="1" x14ac:dyDescent="0.3">
      <c r="A82" s="149" t="s">
        <v>394</v>
      </c>
      <c r="B82" s="210"/>
      <c r="C82" s="211"/>
      <c r="D82" s="193" t="s">
        <v>407</v>
      </c>
      <c r="E82" s="13">
        <v>162.97999999999999</v>
      </c>
      <c r="F82" s="13"/>
      <c r="G82" s="13"/>
      <c r="H82" s="13"/>
      <c r="I82" s="134"/>
      <c r="J82" s="13"/>
      <c r="K82" s="169"/>
      <c r="L82" s="70">
        <f>(E82*L$1)/L$2</f>
        <v>139.77701543739281</v>
      </c>
      <c r="M82" s="195"/>
      <c r="N82" s="190">
        <f t="shared" ref="N82:N84" si="16">L82/N$1</f>
        <v>148.69895259297107</v>
      </c>
      <c r="P82" s="19"/>
    </row>
    <row r="83" spans="1:17" ht="15.75" thickBot="1" x14ac:dyDescent="0.3">
      <c r="A83" s="149" t="s">
        <v>398</v>
      </c>
      <c r="B83" s="210"/>
      <c r="C83" s="211"/>
      <c r="D83" s="193" t="s">
        <v>408</v>
      </c>
      <c r="E83" s="13">
        <v>172.37</v>
      </c>
      <c r="F83" s="13"/>
      <c r="G83" s="13"/>
      <c r="H83" s="13"/>
      <c r="I83" s="134"/>
      <c r="J83" s="13"/>
      <c r="K83" s="169"/>
      <c r="L83" s="70">
        <f>(E83*L$1)/L$2</f>
        <v>147.83018867924531</v>
      </c>
      <c r="M83" s="195"/>
      <c r="N83" s="190">
        <f t="shared" si="16"/>
        <v>157.26615816940992</v>
      </c>
      <c r="P83" s="19"/>
    </row>
    <row r="84" spans="1:17" ht="15.75" thickBot="1" x14ac:dyDescent="0.3">
      <c r="A84" s="149" t="s">
        <v>402</v>
      </c>
      <c r="B84" s="210"/>
      <c r="C84" s="211"/>
      <c r="D84" s="193" t="s">
        <v>409</v>
      </c>
      <c r="E84" s="13">
        <v>181.96</v>
      </c>
      <c r="F84" s="13"/>
      <c r="G84" s="13"/>
      <c r="H84" s="13"/>
      <c r="I84" s="134"/>
      <c r="J84" s="13"/>
      <c r="K84" s="169"/>
      <c r="L84" s="70">
        <f>(E84*L$1)/L$2</f>
        <v>156.05488850771872</v>
      </c>
      <c r="M84" s="195"/>
      <c r="N84" s="190">
        <f t="shared" si="16"/>
        <v>166.01583883799864</v>
      </c>
      <c r="P84" s="19"/>
    </row>
    <row r="85" spans="1:17" x14ac:dyDescent="0.25">
      <c r="A85" s="146" t="s">
        <v>37</v>
      </c>
      <c r="B85" s="212" t="s">
        <v>600</v>
      </c>
      <c r="C85" s="212" t="s">
        <v>482</v>
      </c>
      <c r="D85" s="194" t="s">
        <v>38</v>
      </c>
      <c r="E85" s="5" t="s">
        <v>39</v>
      </c>
      <c r="F85" s="5" t="s">
        <v>39</v>
      </c>
      <c r="G85" s="5" t="s">
        <v>39</v>
      </c>
      <c r="H85" s="5" t="s">
        <v>39</v>
      </c>
      <c r="I85" s="133"/>
      <c r="J85" s="5" t="s">
        <v>39</v>
      </c>
      <c r="K85" s="145"/>
      <c r="L85" s="5" t="s">
        <v>57</v>
      </c>
      <c r="N85" s="3" t="s">
        <v>58</v>
      </c>
      <c r="P85" s="6" t="s">
        <v>30</v>
      </c>
    </row>
    <row r="86" spans="1:17" x14ac:dyDescent="0.25">
      <c r="A86" s="147" t="s">
        <v>47</v>
      </c>
      <c r="B86" s="206"/>
      <c r="C86" s="207"/>
      <c r="D86" s="147" t="s">
        <v>48</v>
      </c>
      <c r="E86" s="13">
        <v>133.06</v>
      </c>
      <c r="F86" s="13">
        <v>123.88</v>
      </c>
      <c r="G86" s="13"/>
      <c r="H86" s="13"/>
      <c r="I86" s="167"/>
      <c r="J86" s="13"/>
      <c r="K86" s="168"/>
      <c r="L86" s="7">
        <f>(F86*L$1)/L$2</f>
        <v>106.24356775300171</v>
      </c>
      <c r="M86" s="195"/>
      <c r="N86" s="189">
        <f>L86/N$1</f>
        <v>113.02507207766141</v>
      </c>
      <c r="O86" s="196"/>
      <c r="P86" s="197"/>
      <c r="Q86" s="156"/>
    </row>
    <row r="87" spans="1:17" x14ac:dyDescent="0.25">
      <c r="A87" s="147" t="s">
        <v>49</v>
      </c>
      <c r="B87" s="206"/>
      <c r="C87" s="207"/>
      <c r="D87" s="147" t="s">
        <v>50</v>
      </c>
      <c r="E87" s="13">
        <v>147.55000000000001</v>
      </c>
      <c r="F87" s="13">
        <v>137.37</v>
      </c>
      <c r="G87" s="13"/>
      <c r="H87" s="13"/>
      <c r="I87" s="167"/>
      <c r="J87" s="13"/>
      <c r="K87" s="168"/>
      <c r="L87" s="7">
        <f>(F87*L$1)/L$2</f>
        <v>117.8130360205832</v>
      </c>
      <c r="M87" s="195"/>
      <c r="N87" s="189">
        <f>L87/N$1</f>
        <v>125.33301704317363</v>
      </c>
      <c r="O87" s="196"/>
      <c r="P87" s="197"/>
      <c r="Q87" s="156"/>
    </row>
    <row r="88" spans="1:17" x14ac:dyDescent="0.25">
      <c r="A88" s="147" t="s">
        <v>51</v>
      </c>
      <c r="B88" s="206"/>
      <c r="C88" s="207"/>
      <c r="D88" s="147" t="s">
        <v>52</v>
      </c>
      <c r="E88" s="13">
        <v>166.73</v>
      </c>
      <c r="F88" s="13">
        <v>155.22999999999999</v>
      </c>
      <c r="G88" s="13"/>
      <c r="H88" s="13"/>
      <c r="I88" s="167"/>
      <c r="J88" s="13"/>
      <c r="K88" s="168"/>
      <c r="L88" s="7">
        <f>(F88*L$1)/L$2</f>
        <v>133.13036020583189</v>
      </c>
      <c r="M88" s="195"/>
      <c r="N88" s="189">
        <f>L88/N$1</f>
        <v>141.62804277216159</v>
      </c>
      <c r="O88" s="196"/>
      <c r="P88" s="197"/>
      <c r="Q88" s="156"/>
    </row>
    <row r="89" spans="1:17" x14ac:dyDescent="0.25">
      <c r="A89" s="147" t="s">
        <v>53</v>
      </c>
      <c r="B89" s="206"/>
      <c r="C89" s="207"/>
      <c r="D89" s="147" t="s">
        <v>54</v>
      </c>
      <c r="E89" s="13">
        <v>174.62</v>
      </c>
      <c r="F89" s="13">
        <v>162.57</v>
      </c>
      <c r="G89" s="13"/>
      <c r="H89" s="13"/>
      <c r="I89" s="167"/>
      <c r="J89" s="13"/>
      <c r="K89" s="168"/>
      <c r="L89" s="7">
        <f>(F89*L$1)/L$2</f>
        <v>139.4253859348199</v>
      </c>
      <c r="M89" s="195"/>
      <c r="N89" s="189">
        <f>L89/N$1</f>
        <v>148.32487865406372</v>
      </c>
      <c r="O89" s="196"/>
      <c r="P89" s="197"/>
      <c r="Q89" s="156"/>
    </row>
    <row r="90" spans="1:17" x14ac:dyDescent="0.25">
      <c r="A90" s="147" t="s">
        <v>55</v>
      </c>
      <c r="B90" s="206"/>
      <c r="C90" s="207"/>
      <c r="D90" s="147" t="s">
        <v>56</v>
      </c>
      <c r="E90" s="13">
        <v>189.76</v>
      </c>
      <c r="F90" s="13">
        <v>176.67</v>
      </c>
      <c r="G90" s="13"/>
      <c r="H90" s="13"/>
      <c r="I90" s="167"/>
      <c r="J90" s="13"/>
      <c r="K90" s="168"/>
      <c r="L90" s="7">
        <f>(F90*L$1)/L$2</f>
        <v>151.5180102915952</v>
      </c>
      <c r="M90" s="195"/>
      <c r="N90" s="189">
        <f>L90/N$1</f>
        <v>161.1893726506332</v>
      </c>
      <c r="O90" s="196"/>
      <c r="P90" s="197"/>
      <c r="Q90" s="156"/>
    </row>
    <row r="92" spans="1:17" ht="15.75" thickBot="1" x14ac:dyDescent="0.3"/>
    <row r="93" spans="1:17" x14ac:dyDescent="0.25">
      <c r="A93" s="146" t="s">
        <v>0</v>
      </c>
      <c r="B93" s="212" t="s">
        <v>600</v>
      </c>
      <c r="C93" s="212" t="s">
        <v>482</v>
      </c>
      <c r="D93" s="146" t="s">
        <v>37</v>
      </c>
      <c r="E93" s="4" t="s">
        <v>2</v>
      </c>
      <c r="F93" s="5" t="s">
        <v>2</v>
      </c>
      <c r="G93" s="5" t="s">
        <v>2</v>
      </c>
      <c r="H93" s="5" t="s">
        <v>2</v>
      </c>
      <c r="I93" s="133"/>
      <c r="J93" s="5" t="s">
        <v>2</v>
      </c>
      <c r="K93" s="145"/>
      <c r="L93" s="8" t="s">
        <v>57</v>
      </c>
      <c r="N93" s="9" t="s">
        <v>58</v>
      </c>
      <c r="P93" s="6" t="s">
        <v>30</v>
      </c>
    </row>
    <row r="94" spans="1:17" x14ac:dyDescent="0.25">
      <c r="A94" s="147" t="s">
        <v>1256</v>
      </c>
      <c r="B94" s="147"/>
      <c r="C94" s="147"/>
      <c r="D94" s="147" t="s">
        <v>1257</v>
      </c>
      <c r="E94" s="147"/>
      <c r="F94" s="147"/>
      <c r="G94" s="147"/>
      <c r="H94" s="147"/>
      <c r="I94" s="147"/>
      <c r="J94" s="314">
        <v>202.4</v>
      </c>
      <c r="L94" s="7">
        <f>(J94*L$1)/L$2</f>
        <v>173.58490566037739</v>
      </c>
      <c r="M94" s="195"/>
      <c r="N94" s="189">
        <f>L94/N$1</f>
        <v>184.66479325572064</v>
      </c>
      <c r="P94" s="147"/>
    </row>
    <row r="95" spans="1:17" x14ac:dyDescent="0.25">
      <c r="A95" s="147" t="s">
        <v>1258</v>
      </c>
      <c r="B95" s="147"/>
      <c r="C95" s="147"/>
      <c r="D95" s="147" t="s">
        <v>1259</v>
      </c>
      <c r="E95" s="147"/>
      <c r="F95" s="147"/>
      <c r="G95" s="147"/>
      <c r="H95" s="147"/>
      <c r="I95" s="147"/>
      <c r="J95" s="314">
        <v>206.3</v>
      </c>
      <c r="L95" s="7">
        <f t="shared" ref="L95:L104" si="17">(J95*L$1)/L$2</f>
        <v>176.92967409948545</v>
      </c>
      <c r="M95" s="195"/>
      <c r="N95" s="189">
        <f>L95/N$1</f>
        <v>188.22305755264412</v>
      </c>
      <c r="P95" s="147"/>
    </row>
    <row r="96" spans="1:17" x14ac:dyDescent="0.25">
      <c r="A96" s="147" t="s">
        <v>1260</v>
      </c>
      <c r="B96" s="147"/>
      <c r="C96" s="147"/>
      <c r="D96" s="147" t="s">
        <v>1261</v>
      </c>
      <c r="E96" s="147"/>
      <c r="F96" s="147"/>
      <c r="G96" s="147"/>
      <c r="H96" s="147"/>
      <c r="I96" s="147"/>
      <c r="J96" s="314">
        <v>216.6</v>
      </c>
      <c r="L96" s="7">
        <f t="shared" si="17"/>
        <v>185.76329331046313</v>
      </c>
      <c r="M96" s="195"/>
      <c r="N96" s="189">
        <f t="shared" ref="N96:N104" si="18">L96/N$1</f>
        <v>197.62052479836504</v>
      </c>
      <c r="P96" s="147"/>
    </row>
    <row r="97" spans="1:16" x14ac:dyDescent="0.25">
      <c r="A97" s="147" t="s">
        <v>1262</v>
      </c>
      <c r="B97" s="147"/>
      <c r="C97" s="147"/>
      <c r="D97" s="147" t="s">
        <v>1263</v>
      </c>
      <c r="E97" s="147"/>
      <c r="F97" s="147"/>
      <c r="G97" s="147"/>
      <c r="H97" s="147"/>
      <c r="I97" s="147"/>
      <c r="J97" s="314">
        <v>223.2</v>
      </c>
      <c r="L97" s="7">
        <f t="shared" si="17"/>
        <v>191.42367066895369</v>
      </c>
      <c r="M97" s="195"/>
      <c r="N97" s="189">
        <f t="shared" si="18"/>
        <v>203.64220283931246</v>
      </c>
      <c r="P97" s="147"/>
    </row>
    <row r="98" spans="1:16" x14ac:dyDescent="0.25">
      <c r="A98" s="147" t="s">
        <v>1264</v>
      </c>
      <c r="B98" s="147"/>
      <c r="C98" s="147"/>
      <c r="D98" s="147" t="s">
        <v>1265</v>
      </c>
      <c r="E98" s="147"/>
      <c r="F98" s="147"/>
      <c r="G98" s="147"/>
      <c r="H98" s="147"/>
      <c r="I98" s="147"/>
      <c r="J98" s="314">
        <v>227.5</v>
      </c>
      <c r="L98" s="7">
        <f t="shared" si="17"/>
        <v>195.11149228130361</v>
      </c>
      <c r="M98" s="195"/>
      <c r="N98" s="189">
        <f t="shared" si="18"/>
        <v>207.56541732053577</v>
      </c>
      <c r="P98" s="147"/>
    </row>
    <row r="99" spans="1:16" x14ac:dyDescent="0.25">
      <c r="A99" s="147" t="s">
        <v>1266</v>
      </c>
      <c r="B99" s="147"/>
      <c r="C99" s="147"/>
      <c r="D99" s="147" t="s">
        <v>1267</v>
      </c>
      <c r="E99" s="147"/>
      <c r="F99" s="147"/>
      <c r="G99" s="147"/>
      <c r="H99" s="147"/>
      <c r="I99" s="147"/>
      <c r="J99" s="314">
        <v>233.9</v>
      </c>
      <c r="L99" s="7">
        <f t="shared" si="17"/>
        <v>200.60034305317325</v>
      </c>
      <c r="M99" s="195"/>
      <c r="N99" s="189">
        <f t="shared" si="18"/>
        <v>213.40462026933326</v>
      </c>
      <c r="P99" s="147"/>
    </row>
    <row r="100" spans="1:16" x14ac:dyDescent="0.25">
      <c r="A100" s="147" t="s">
        <v>1268</v>
      </c>
      <c r="B100" s="147"/>
      <c r="C100" s="147"/>
      <c r="D100" s="147" t="s">
        <v>1269</v>
      </c>
      <c r="E100" s="147"/>
      <c r="F100" s="147"/>
      <c r="G100" s="147"/>
      <c r="H100" s="147"/>
      <c r="I100" s="147"/>
      <c r="J100" s="314">
        <v>241.8</v>
      </c>
      <c r="L100" s="7">
        <f t="shared" si="17"/>
        <v>207.37564322469984</v>
      </c>
      <c r="M100" s="195"/>
      <c r="N100" s="189">
        <f t="shared" si="18"/>
        <v>220.61238640925515</v>
      </c>
      <c r="P100" s="147"/>
    </row>
    <row r="101" spans="1:16" x14ac:dyDescent="0.25">
      <c r="A101" s="147" t="s">
        <v>1270</v>
      </c>
      <c r="B101" s="147"/>
      <c r="C101" s="147"/>
      <c r="D101" s="147" t="s">
        <v>1271</v>
      </c>
      <c r="E101" s="147"/>
      <c r="F101" s="147"/>
      <c r="G101" s="147"/>
      <c r="H101" s="147"/>
      <c r="I101" s="147"/>
      <c r="J101" s="314">
        <v>247.4</v>
      </c>
      <c r="L101" s="7">
        <f t="shared" si="17"/>
        <v>212.1783876500858</v>
      </c>
      <c r="M101" s="195"/>
      <c r="N101" s="189">
        <f t="shared" si="18"/>
        <v>225.72168898945299</v>
      </c>
      <c r="P101" s="147"/>
    </row>
    <row r="102" spans="1:16" x14ac:dyDescent="0.25">
      <c r="A102" s="147" t="s">
        <v>1272</v>
      </c>
      <c r="B102" s="147"/>
      <c r="C102" s="147"/>
      <c r="D102" s="147" t="s">
        <v>1273</v>
      </c>
      <c r="E102" s="147"/>
      <c r="F102" s="147"/>
      <c r="G102" s="147"/>
      <c r="H102" s="147"/>
      <c r="I102" s="147"/>
      <c r="J102" s="314">
        <v>265.10000000000002</v>
      </c>
      <c r="L102" s="7">
        <f t="shared" si="17"/>
        <v>227.35849056603777</v>
      </c>
      <c r="M102" s="195"/>
      <c r="N102" s="189">
        <f t="shared" si="18"/>
        <v>241.87073464472104</v>
      </c>
      <c r="P102" s="147"/>
    </row>
    <row r="103" spans="1:16" x14ac:dyDescent="0.25">
      <c r="A103" s="147" t="s">
        <v>1274</v>
      </c>
      <c r="B103" s="147"/>
      <c r="C103" s="147"/>
      <c r="D103" s="147" t="s">
        <v>1275</v>
      </c>
      <c r="E103" s="147"/>
      <c r="F103" s="147"/>
      <c r="G103" s="147"/>
      <c r="H103" s="147"/>
      <c r="I103" s="147"/>
      <c r="J103" s="314">
        <v>282.7</v>
      </c>
      <c r="L103" s="7">
        <f t="shared" si="17"/>
        <v>242.45283018867926</v>
      </c>
      <c r="M103" s="195"/>
      <c r="N103" s="189">
        <f t="shared" si="18"/>
        <v>257.92854275391414</v>
      </c>
      <c r="P103" s="147"/>
    </row>
    <row r="104" spans="1:16" ht="15.75" thickBot="1" x14ac:dyDescent="0.3">
      <c r="A104" s="147" t="s">
        <v>1276</v>
      </c>
      <c r="B104" s="147"/>
      <c r="C104" s="147"/>
      <c r="D104" s="147" t="s">
        <v>1277</v>
      </c>
      <c r="E104" s="147"/>
      <c r="F104" s="147"/>
      <c r="G104" s="147"/>
      <c r="H104" s="147"/>
      <c r="I104" s="147"/>
      <c r="J104" s="314">
        <v>292.60000000000002</v>
      </c>
      <c r="L104" s="7">
        <f t="shared" si="17"/>
        <v>250.94339622641513</v>
      </c>
      <c r="M104" s="195"/>
      <c r="N104" s="189">
        <f t="shared" si="18"/>
        <v>266.96105981533526</v>
      </c>
      <c r="P104" s="147"/>
    </row>
    <row r="105" spans="1:16" x14ac:dyDescent="0.25">
      <c r="A105" s="146" t="s">
        <v>0</v>
      </c>
      <c r="B105" s="212" t="s">
        <v>600</v>
      </c>
      <c r="C105" s="212" t="s">
        <v>482</v>
      </c>
      <c r="D105" s="146" t="s">
        <v>37</v>
      </c>
      <c r="E105" s="4" t="s">
        <v>2</v>
      </c>
      <c r="F105" s="5" t="s">
        <v>2</v>
      </c>
      <c r="G105" s="5" t="s">
        <v>2</v>
      </c>
      <c r="H105" s="5" t="s">
        <v>2</v>
      </c>
      <c r="I105" s="133"/>
      <c r="J105" s="313" t="s">
        <v>2</v>
      </c>
      <c r="K105" s="145"/>
      <c r="L105" s="8" t="s">
        <v>57</v>
      </c>
      <c r="N105" s="9" t="s">
        <v>58</v>
      </c>
      <c r="P105" s="6" t="s">
        <v>30</v>
      </c>
    </row>
    <row r="106" spans="1:16" x14ac:dyDescent="0.25">
      <c r="A106" s="147" t="s">
        <v>1278</v>
      </c>
      <c r="B106" s="147"/>
      <c r="C106" s="147"/>
      <c r="D106" s="147" t="s">
        <v>1279</v>
      </c>
      <c r="J106" s="314">
        <v>230.6</v>
      </c>
      <c r="L106" s="7">
        <f t="shared" ref="L106:L116" si="19">(J106*L$1)/L$2</f>
        <v>197.77015437392797</v>
      </c>
      <c r="M106" s="195"/>
      <c r="N106" s="189">
        <f t="shared" ref="N106:N116" si="20">L106/N$1</f>
        <v>210.39378124885954</v>
      </c>
      <c r="P106" s="147"/>
    </row>
    <row r="107" spans="1:16" x14ac:dyDescent="0.25">
      <c r="A107" s="147" t="s">
        <v>1280</v>
      </c>
      <c r="B107" s="147"/>
      <c r="C107" s="147"/>
      <c r="D107" s="147" t="s">
        <v>1281</v>
      </c>
      <c r="J107" s="314">
        <v>234.8</v>
      </c>
      <c r="L107" s="7">
        <f t="shared" si="19"/>
        <v>201.37221269296742</v>
      </c>
      <c r="M107" s="195"/>
      <c r="N107" s="189">
        <f t="shared" si="20"/>
        <v>214.2257581840079</v>
      </c>
      <c r="P107" s="147"/>
    </row>
    <row r="108" spans="1:16" x14ac:dyDescent="0.25">
      <c r="A108" s="147" t="s">
        <v>1282</v>
      </c>
      <c r="B108" s="147"/>
      <c r="C108" s="147"/>
      <c r="D108" s="147" t="s">
        <v>1283</v>
      </c>
      <c r="J108" s="314">
        <v>244.9</v>
      </c>
      <c r="L108" s="7">
        <f t="shared" si="19"/>
        <v>210.0343053173242</v>
      </c>
      <c r="M108" s="195"/>
      <c r="N108" s="189">
        <f t="shared" si="20"/>
        <v>223.44075033757895</v>
      </c>
      <c r="P108" s="147"/>
    </row>
    <row r="109" spans="1:16" x14ac:dyDescent="0.25">
      <c r="A109" s="147" t="s">
        <v>1284</v>
      </c>
      <c r="B109" s="147"/>
      <c r="C109" s="147"/>
      <c r="D109" s="147" t="s">
        <v>1285</v>
      </c>
      <c r="J109" s="314">
        <v>250.7</v>
      </c>
      <c r="L109" s="7">
        <f t="shared" si="19"/>
        <v>215.00857632933105</v>
      </c>
      <c r="M109" s="195"/>
      <c r="N109" s="189">
        <f t="shared" si="20"/>
        <v>228.73252800992665</v>
      </c>
      <c r="P109" s="147"/>
    </row>
    <row r="110" spans="1:16" x14ac:dyDescent="0.25">
      <c r="A110" s="147" t="s">
        <v>1286</v>
      </c>
      <c r="B110" s="147"/>
      <c r="C110" s="147"/>
      <c r="D110" s="147" t="s">
        <v>1287</v>
      </c>
      <c r="J110" s="314">
        <v>257.39999999999998</v>
      </c>
      <c r="L110" s="7">
        <f t="shared" si="19"/>
        <v>220.75471698113208</v>
      </c>
      <c r="M110" s="195"/>
      <c r="N110" s="189">
        <f t="shared" si="20"/>
        <v>234.84544359694902</v>
      </c>
      <c r="P110" s="147"/>
    </row>
    <row r="111" spans="1:16" x14ac:dyDescent="0.25">
      <c r="A111" s="147" t="s">
        <v>1288</v>
      </c>
      <c r="B111" s="147"/>
      <c r="C111" s="147"/>
      <c r="D111" s="147" t="s">
        <v>1289</v>
      </c>
      <c r="J111" s="314">
        <v>263.10000000000002</v>
      </c>
      <c r="L111" s="7">
        <f t="shared" si="19"/>
        <v>225.64322469982849</v>
      </c>
      <c r="M111" s="195"/>
      <c r="N111" s="189">
        <f t="shared" si="20"/>
        <v>240.04598372322181</v>
      </c>
      <c r="P111" s="147"/>
    </row>
    <row r="112" spans="1:16" x14ac:dyDescent="0.25">
      <c r="A112" s="147" t="s">
        <v>1290</v>
      </c>
      <c r="B112" s="147"/>
      <c r="C112" s="147"/>
      <c r="D112" s="147" t="s">
        <v>1291</v>
      </c>
      <c r="J112" s="314">
        <v>272.2</v>
      </c>
      <c r="L112" s="7">
        <f t="shared" si="19"/>
        <v>233.44768439108063</v>
      </c>
      <c r="M112" s="195"/>
      <c r="N112" s="189">
        <f t="shared" si="20"/>
        <v>248.34860041604324</v>
      </c>
      <c r="P112" s="147"/>
    </row>
    <row r="113" spans="1:16" x14ac:dyDescent="0.25">
      <c r="A113" s="147" t="s">
        <v>1292</v>
      </c>
      <c r="B113" s="147"/>
      <c r="C113" s="147"/>
      <c r="D113" s="147" t="s">
        <v>1293</v>
      </c>
      <c r="J113" s="314">
        <v>277.39999999999998</v>
      </c>
      <c r="L113" s="7">
        <f t="shared" si="19"/>
        <v>237.9073756432247</v>
      </c>
      <c r="M113" s="195"/>
      <c r="N113" s="189">
        <f t="shared" si="20"/>
        <v>253.09295281194119</v>
      </c>
      <c r="P113" s="147"/>
    </row>
    <row r="114" spans="1:16" x14ac:dyDescent="0.25">
      <c r="A114" s="147" t="s">
        <v>1294</v>
      </c>
      <c r="B114" s="147"/>
      <c r="C114" s="147"/>
      <c r="D114" s="147" t="s">
        <v>1295</v>
      </c>
      <c r="J114" s="314">
        <v>292.5</v>
      </c>
      <c r="L114" s="7">
        <f t="shared" si="19"/>
        <v>250.85763293310464</v>
      </c>
      <c r="M114" s="195"/>
      <c r="N114" s="189">
        <f t="shared" si="20"/>
        <v>266.86982226926028</v>
      </c>
      <c r="P114" s="147"/>
    </row>
    <row r="115" spans="1:16" x14ac:dyDescent="0.25">
      <c r="A115" s="147" t="s">
        <v>1296</v>
      </c>
      <c r="B115" s="147"/>
      <c r="C115" s="147"/>
      <c r="D115" s="147" t="s">
        <v>1297</v>
      </c>
      <c r="J115" s="314">
        <v>306.7</v>
      </c>
      <c r="L115" s="7">
        <f t="shared" si="19"/>
        <v>263.03602058319041</v>
      </c>
      <c r="M115" s="195"/>
      <c r="N115" s="189">
        <f t="shared" si="20"/>
        <v>279.82555381190468</v>
      </c>
      <c r="P115" s="147"/>
    </row>
    <row r="116" spans="1:16" x14ac:dyDescent="0.25">
      <c r="A116" s="147" t="s">
        <v>1298</v>
      </c>
      <c r="B116" s="147"/>
      <c r="C116" s="147"/>
      <c r="D116" s="147" t="s">
        <v>1299</v>
      </c>
      <c r="J116" s="314">
        <v>316.39999999999998</v>
      </c>
      <c r="L116" s="7">
        <f t="shared" si="19"/>
        <v>271.35506003430532</v>
      </c>
      <c r="M116" s="195"/>
      <c r="N116" s="189">
        <f t="shared" si="20"/>
        <v>288.6755957811759</v>
      </c>
      <c r="P116" s="147"/>
    </row>
  </sheetData>
  <autoFilter ref="A49:P49" xr:uid="{7BF5A159-5114-4F56-A61A-9F7E9868ECAF}">
    <sortState xmlns:xlrd2="http://schemas.microsoft.com/office/spreadsheetml/2017/richdata2" ref="A50:P59">
      <sortCondition ref="D49"/>
    </sortState>
  </autoFilter>
  <phoneticPr fontId="2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7198-0B24-4708-BAFF-57F99D81612F}">
  <dimension ref="A1:R91"/>
  <sheetViews>
    <sheetView tabSelected="1" topLeftCell="A8" zoomScale="80" zoomScaleNormal="80" workbookViewId="0">
      <selection activeCell="W18" sqref="W18"/>
    </sheetView>
  </sheetViews>
  <sheetFormatPr baseColWidth="10" defaultColWidth="11.5703125" defaultRowHeight="15" x14ac:dyDescent="0.25"/>
  <cols>
    <col min="1" max="1" width="21.140625" style="20" customWidth="1"/>
    <col min="2" max="2" width="31.5703125" style="21" bestFit="1" customWidth="1"/>
    <col min="3" max="3" width="19.140625" style="304" bestFit="1" customWidth="1"/>
    <col min="4" max="4" width="17.5703125" style="220" bestFit="1" customWidth="1"/>
    <col min="5" max="5" width="51.42578125" style="21" customWidth="1"/>
    <col min="6" max="6" width="36.7109375" style="21" customWidth="1"/>
    <col min="7" max="7" width="13.42578125" style="22" hidden="1" customWidth="1"/>
    <col min="8" max="11" width="13.5703125" style="22" hidden="1" customWidth="1"/>
    <col min="12" max="12" width="11.140625" style="22" hidden="1" customWidth="1"/>
    <col min="13" max="13" width="13.5703125" style="22" bestFit="1" customWidth="1"/>
    <col min="14" max="14" width="2.42578125" style="22" customWidth="1"/>
    <col min="15" max="15" width="20.42578125" customWidth="1"/>
    <col min="16" max="16" width="3.42578125" customWidth="1"/>
    <col min="17" max="17" width="22.42578125" customWidth="1"/>
    <col min="18" max="19" width="11.5703125" customWidth="1"/>
  </cols>
  <sheetData>
    <row r="1" spans="1:17" ht="15.75" x14ac:dyDescent="0.25">
      <c r="H1" s="11"/>
      <c r="I1" s="125"/>
      <c r="J1" s="125"/>
      <c r="K1" s="125"/>
      <c r="L1" s="125"/>
      <c r="M1" s="11" t="s">
        <v>27</v>
      </c>
      <c r="N1" s="125"/>
      <c r="O1" s="282">
        <v>1</v>
      </c>
      <c r="Q1" s="2">
        <v>0.94</v>
      </c>
    </row>
    <row r="2" spans="1:17" x14ac:dyDescent="0.25">
      <c r="H2" s="11"/>
      <c r="I2" s="125"/>
      <c r="J2" s="125"/>
      <c r="K2" s="125"/>
      <c r="M2" s="11" t="s">
        <v>28</v>
      </c>
      <c r="N2" s="125"/>
      <c r="O2" s="260">
        <v>1.1664000000000001</v>
      </c>
    </row>
    <row r="3" spans="1:17" s="11" customFormat="1" ht="15.75" thickBot="1" x14ac:dyDescent="0.3">
      <c r="A3" s="20"/>
      <c r="B3" s="20"/>
      <c r="C3" s="304"/>
      <c r="D3" s="221"/>
      <c r="E3" s="20"/>
      <c r="F3" s="20"/>
      <c r="G3" s="170"/>
      <c r="H3" s="171">
        <v>45765</v>
      </c>
      <c r="I3" s="171">
        <v>45828</v>
      </c>
      <c r="J3" s="171">
        <v>45859</v>
      </c>
      <c r="K3" s="171">
        <v>45863</v>
      </c>
      <c r="L3" s="97">
        <v>45863</v>
      </c>
      <c r="M3" s="171">
        <v>45869</v>
      </c>
      <c r="N3" s="139"/>
    </row>
    <row r="4" spans="1:17" x14ac:dyDescent="0.25">
      <c r="A4" s="3" t="s">
        <v>65</v>
      </c>
      <c r="B4" s="180" t="s">
        <v>0</v>
      </c>
      <c r="C4" s="305" t="s">
        <v>600</v>
      </c>
      <c r="D4" s="226" t="s">
        <v>482</v>
      </c>
      <c r="E4" s="180"/>
      <c r="F4" s="180" t="s">
        <v>37</v>
      </c>
      <c r="G4" s="3" t="s">
        <v>39</v>
      </c>
      <c r="H4" s="3" t="s">
        <v>39</v>
      </c>
      <c r="I4" s="181" t="s">
        <v>39</v>
      </c>
      <c r="J4" s="181" t="s">
        <v>39</v>
      </c>
      <c r="K4" s="181" t="s">
        <v>39</v>
      </c>
      <c r="L4" s="182" t="s">
        <v>935</v>
      </c>
      <c r="M4" s="181" t="s">
        <v>39</v>
      </c>
      <c r="N4" s="163"/>
      <c r="O4" s="5" t="s">
        <v>39</v>
      </c>
      <c r="Q4" s="41" t="s">
        <v>58</v>
      </c>
    </row>
    <row r="5" spans="1:17" ht="76.5" x14ac:dyDescent="0.25">
      <c r="A5" s="126" t="s">
        <v>66</v>
      </c>
      <c r="B5" s="128" t="s">
        <v>68</v>
      </c>
      <c r="C5" s="306" t="s">
        <v>1022</v>
      </c>
      <c r="D5" s="235" t="s">
        <v>1023</v>
      </c>
      <c r="E5" s="127" t="s">
        <v>67</v>
      </c>
      <c r="F5" s="30" t="s">
        <v>937</v>
      </c>
      <c r="G5" s="178">
        <v>388.9</v>
      </c>
      <c r="H5" s="178">
        <v>429.1</v>
      </c>
      <c r="I5" s="129">
        <v>480.6</v>
      </c>
      <c r="J5" s="129">
        <v>448.1</v>
      </c>
      <c r="K5" s="138">
        <v>423</v>
      </c>
      <c r="L5" s="179">
        <v>405</v>
      </c>
      <c r="M5" s="138">
        <v>410</v>
      </c>
      <c r="N5" s="166"/>
      <c r="O5" s="185">
        <f>(M5*O$1)/O$2</f>
        <v>351.50891632373111</v>
      </c>
      <c r="Q5" s="188">
        <f>+O5/Q$1</f>
        <v>373.94565566354373</v>
      </c>
    </row>
    <row r="6" spans="1:17" ht="76.5" x14ac:dyDescent="0.25">
      <c r="A6" s="24" t="s">
        <v>69</v>
      </c>
      <c r="B6" s="130" t="s">
        <v>71</v>
      </c>
      <c r="C6" s="306" t="s">
        <v>1024</v>
      </c>
      <c r="D6" s="235" t="s">
        <v>1025</v>
      </c>
      <c r="E6" s="25" t="s">
        <v>70</v>
      </c>
      <c r="F6" s="30" t="s">
        <v>938</v>
      </c>
      <c r="G6" s="178">
        <v>326.10000000000002</v>
      </c>
      <c r="H6" s="178">
        <v>366.2</v>
      </c>
      <c r="I6" s="129">
        <v>419.9</v>
      </c>
      <c r="J6" s="129">
        <v>386.5</v>
      </c>
      <c r="K6" s="138">
        <v>364</v>
      </c>
      <c r="L6" s="179">
        <v>346</v>
      </c>
      <c r="M6" s="138">
        <v>355</v>
      </c>
      <c r="N6" s="166"/>
      <c r="O6" s="185">
        <f t="shared" ref="O6:O72" si="0">(M6*O$1)/O$2</f>
        <v>304.35528120713303</v>
      </c>
      <c r="Q6" s="188">
        <f t="shared" ref="Q6:Q72" si="1">+O6/Q$1</f>
        <v>323.78221405014153</v>
      </c>
    </row>
    <row r="7" spans="1:17" ht="63.75" x14ac:dyDescent="0.25">
      <c r="A7" s="24" t="s">
        <v>72</v>
      </c>
      <c r="B7" s="130" t="s">
        <v>74</v>
      </c>
      <c r="C7" s="306" t="s">
        <v>1026</v>
      </c>
      <c r="D7" s="235" t="s">
        <v>1027</v>
      </c>
      <c r="E7" s="25" t="s">
        <v>73</v>
      </c>
      <c r="F7" s="30" t="s">
        <v>939</v>
      </c>
      <c r="G7" s="178">
        <v>275.10000000000002</v>
      </c>
      <c r="H7" s="178">
        <v>310.5</v>
      </c>
      <c r="I7" s="129">
        <v>334.6</v>
      </c>
      <c r="J7" s="129">
        <v>329.1</v>
      </c>
      <c r="K7" s="138">
        <v>320</v>
      </c>
      <c r="L7" s="179">
        <v>295</v>
      </c>
      <c r="M7" s="138">
        <v>310</v>
      </c>
      <c r="N7" s="166"/>
      <c r="O7" s="185">
        <f t="shared" si="0"/>
        <v>265.77503429355278</v>
      </c>
      <c r="Q7" s="188">
        <f t="shared" si="1"/>
        <v>282.73939818463066</v>
      </c>
    </row>
    <row r="8" spans="1:17" ht="63.75" x14ac:dyDescent="0.25">
      <c r="A8" s="24" t="s">
        <v>75</v>
      </c>
      <c r="B8" s="130" t="s">
        <v>77</v>
      </c>
      <c r="C8" s="306" t="s">
        <v>1028</v>
      </c>
      <c r="D8" s="235" t="s">
        <v>1029</v>
      </c>
      <c r="E8" s="25" t="s">
        <v>76</v>
      </c>
      <c r="F8" s="30" t="s">
        <v>940</v>
      </c>
      <c r="G8" s="178">
        <v>227.3</v>
      </c>
      <c r="H8" s="178">
        <v>262.7</v>
      </c>
      <c r="I8" s="129">
        <v>287.7</v>
      </c>
      <c r="J8" s="129">
        <v>281.5</v>
      </c>
      <c r="K8" s="138">
        <v>273</v>
      </c>
      <c r="L8" s="179">
        <v>248</v>
      </c>
      <c r="M8" s="138">
        <v>255</v>
      </c>
      <c r="N8" s="166"/>
      <c r="O8" s="185">
        <f t="shared" si="0"/>
        <v>218.62139917695472</v>
      </c>
      <c r="Q8" s="188">
        <f t="shared" si="1"/>
        <v>232.57595657122843</v>
      </c>
    </row>
    <row r="9" spans="1:17" ht="63.75" x14ac:dyDescent="0.25">
      <c r="A9" s="24" t="s">
        <v>78</v>
      </c>
      <c r="B9" s="130" t="s">
        <v>80</v>
      </c>
      <c r="C9" s="306" t="s">
        <v>1030</v>
      </c>
      <c r="D9" s="235" t="s">
        <v>1031</v>
      </c>
      <c r="E9" s="25" t="s">
        <v>79</v>
      </c>
      <c r="F9" s="30" t="s">
        <v>941</v>
      </c>
      <c r="G9" s="178">
        <v>299.7</v>
      </c>
      <c r="H9" s="178">
        <v>334.9</v>
      </c>
      <c r="I9" s="129">
        <v>359.4</v>
      </c>
      <c r="J9" s="129">
        <v>354.1</v>
      </c>
      <c r="K9" s="138">
        <v>344</v>
      </c>
      <c r="L9" s="179">
        <v>319</v>
      </c>
      <c r="M9" s="138">
        <v>330</v>
      </c>
      <c r="N9" s="166"/>
      <c r="O9" s="185">
        <f t="shared" si="0"/>
        <v>282.92181069958843</v>
      </c>
      <c r="Q9" s="188">
        <f t="shared" si="1"/>
        <v>300.98064968041325</v>
      </c>
    </row>
    <row r="10" spans="1:17" ht="63.75" x14ac:dyDescent="0.25">
      <c r="A10" s="24" t="s">
        <v>81</v>
      </c>
      <c r="B10" s="130" t="s">
        <v>83</v>
      </c>
      <c r="C10" s="306" t="s">
        <v>1032</v>
      </c>
      <c r="D10" s="235" t="s">
        <v>1033</v>
      </c>
      <c r="E10" s="25" t="s">
        <v>82</v>
      </c>
      <c r="F10" s="30" t="s">
        <v>942</v>
      </c>
      <c r="G10" s="178">
        <v>238.8</v>
      </c>
      <c r="H10" s="178">
        <v>274.39999999999998</v>
      </c>
      <c r="I10" s="129">
        <v>298.60000000000002</v>
      </c>
      <c r="J10" s="129">
        <v>292.60000000000002</v>
      </c>
      <c r="K10" s="138">
        <v>284</v>
      </c>
      <c r="L10" s="179">
        <v>259</v>
      </c>
      <c r="M10" s="138">
        <v>265</v>
      </c>
      <c r="N10" s="166"/>
      <c r="O10" s="185">
        <f t="shared" si="0"/>
        <v>227.19478737997255</v>
      </c>
      <c r="Q10" s="188">
        <f t="shared" si="1"/>
        <v>241.69658231911976</v>
      </c>
    </row>
    <row r="11" spans="1:17" ht="76.5" x14ac:dyDescent="0.25">
      <c r="A11" s="24" t="s">
        <v>84</v>
      </c>
      <c r="B11" s="131" t="s">
        <v>86</v>
      </c>
      <c r="C11" s="307" t="s">
        <v>1034</v>
      </c>
      <c r="D11" s="236" t="s">
        <v>1035</v>
      </c>
      <c r="E11" s="25" t="s">
        <v>85</v>
      </c>
      <c r="F11" s="30" t="s">
        <v>943</v>
      </c>
      <c r="G11" s="178">
        <v>414.6</v>
      </c>
      <c r="H11" s="178">
        <v>454.7</v>
      </c>
      <c r="I11" s="129">
        <v>506.6</v>
      </c>
      <c r="J11" s="129">
        <v>474.3</v>
      </c>
      <c r="K11" s="138">
        <v>460</v>
      </c>
      <c r="L11" s="179">
        <v>435</v>
      </c>
      <c r="M11" s="138">
        <v>445</v>
      </c>
      <c r="N11" s="166"/>
      <c r="O11" s="185">
        <f t="shared" si="0"/>
        <v>381.51577503429354</v>
      </c>
      <c r="Q11" s="188">
        <f t="shared" si="1"/>
        <v>405.86784578116334</v>
      </c>
    </row>
    <row r="12" spans="1:17" ht="76.5" x14ac:dyDescent="0.25">
      <c r="A12" s="24" t="s">
        <v>87</v>
      </c>
      <c r="B12" s="131" t="s">
        <v>89</v>
      </c>
      <c r="C12" s="307" t="s">
        <v>1036</v>
      </c>
      <c r="D12" s="236" t="s">
        <v>1037</v>
      </c>
      <c r="E12" s="25" t="s">
        <v>88</v>
      </c>
      <c r="F12" s="30" t="s">
        <v>944</v>
      </c>
      <c r="G12" s="178">
        <v>338.2</v>
      </c>
      <c r="H12" s="178">
        <v>378.3</v>
      </c>
      <c r="I12" s="129">
        <v>432.1</v>
      </c>
      <c r="J12" s="129">
        <v>398.7</v>
      </c>
      <c r="K12" s="138">
        <v>387</v>
      </c>
      <c r="L12" s="179">
        <v>362</v>
      </c>
      <c r="M12" s="138">
        <v>370</v>
      </c>
      <c r="N12" s="166"/>
      <c r="O12" s="185">
        <f t="shared" si="0"/>
        <v>317.2153635116598</v>
      </c>
      <c r="Q12" s="188">
        <f t="shared" si="1"/>
        <v>337.46315267197855</v>
      </c>
    </row>
    <row r="13" spans="1:17" ht="76.5" x14ac:dyDescent="0.25">
      <c r="A13" s="24" t="s">
        <v>90</v>
      </c>
      <c r="B13" s="131" t="s">
        <v>92</v>
      </c>
      <c r="C13" s="307" t="s">
        <v>1038</v>
      </c>
      <c r="D13" s="236" t="s">
        <v>1039</v>
      </c>
      <c r="E13" s="25" t="s">
        <v>91</v>
      </c>
      <c r="F13" s="30" t="s">
        <v>945</v>
      </c>
      <c r="G13" s="178">
        <v>416.5</v>
      </c>
      <c r="H13" s="178">
        <v>460.1</v>
      </c>
      <c r="I13" s="129">
        <v>522.1</v>
      </c>
      <c r="J13" s="129">
        <v>488.2</v>
      </c>
      <c r="K13" s="138">
        <v>474</v>
      </c>
      <c r="L13" s="179">
        <v>444</v>
      </c>
      <c r="M13" s="138">
        <v>450</v>
      </c>
      <c r="N13" s="166"/>
      <c r="O13" s="185">
        <f t="shared" si="0"/>
        <v>385.80246913580243</v>
      </c>
      <c r="Q13" s="188">
        <f t="shared" si="1"/>
        <v>410.42815865510897</v>
      </c>
    </row>
    <row r="14" spans="1:17" ht="76.5" x14ac:dyDescent="0.25">
      <c r="A14" s="24" t="s">
        <v>93</v>
      </c>
      <c r="B14" s="131" t="s">
        <v>95</v>
      </c>
      <c r="C14" s="307" t="s">
        <v>1040</v>
      </c>
      <c r="D14" s="236" t="s">
        <v>1041</v>
      </c>
      <c r="E14" s="25" t="s">
        <v>94</v>
      </c>
      <c r="F14" s="30" t="s">
        <v>946</v>
      </c>
      <c r="G14" s="178">
        <v>347.4</v>
      </c>
      <c r="H14" s="178">
        <v>388.9</v>
      </c>
      <c r="I14" s="129">
        <v>455.3</v>
      </c>
      <c r="J14" s="129">
        <v>420.5</v>
      </c>
      <c r="K14" s="138">
        <v>408</v>
      </c>
      <c r="L14" s="179">
        <v>378</v>
      </c>
      <c r="M14" s="138">
        <v>390</v>
      </c>
      <c r="N14" s="166"/>
      <c r="O14" s="185">
        <f t="shared" si="0"/>
        <v>334.36213991769546</v>
      </c>
      <c r="Q14" s="188">
        <f t="shared" si="1"/>
        <v>355.70440416776114</v>
      </c>
    </row>
    <row r="15" spans="1:17" ht="76.5" x14ac:dyDescent="0.25">
      <c r="A15" s="24" t="s">
        <v>96</v>
      </c>
      <c r="B15" s="131" t="s">
        <v>98</v>
      </c>
      <c r="C15" s="307" t="s">
        <v>1042</v>
      </c>
      <c r="D15" s="236" t="s">
        <v>1043</v>
      </c>
      <c r="E15" s="25" t="s">
        <v>97</v>
      </c>
      <c r="F15" s="30" t="s">
        <v>947</v>
      </c>
      <c r="G15" s="178">
        <v>443.6</v>
      </c>
      <c r="H15" s="178">
        <v>485.1</v>
      </c>
      <c r="I15" s="129">
        <v>550.5</v>
      </c>
      <c r="J15" s="129">
        <v>516.9</v>
      </c>
      <c r="K15" s="138">
        <v>502</v>
      </c>
      <c r="L15" s="179">
        <v>472</v>
      </c>
      <c r="M15" s="138">
        <v>490</v>
      </c>
      <c r="N15" s="166"/>
      <c r="O15" s="185">
        <f t="shared" si="0"/>
        <v>420.09602194787374</v>
      </c>
      <c r="Q15" s="188">
        <f>+O15/Q$1</f>
        <v>446.91066164667421</v>
      </c>
    </row>
    <row r="16" spans="1:17" ht="76.5" x14ac:dyDescent="0.25">
      <c r="A16" s="24" t="s">
        <v>99</v>
      </c>
      <c r="B16" s="131" t="s">
        <v>100</v>
      </c>
      <c r="C16" s="307" t="s">
        <v>1044</v>
      </c>
      <c r="D16" s="236" t="s">
        <v>1045</v>
      </c>
      <c r="E16" s="25" t="s">
        <v>88</v>
      </c>
      <c r="F16" s="30" t="s">
        <v>948</v>
      </c>
      <c r="G16" s="178">
        <v>359.6</v>
      </c>
      <c r="H16" s="178">
        <v>401.2</v>
      </c>
      <c r="I16" s="129">
        <v>468.3</v>
      </c>
      <c r="J16" s="129">
        <v>433.6</v>
      </c>
      <c r="K16" s="138">
        <v>421</v>
      </c>
      <c r="L16" s="179">
        <v>391</v>
      </c>
      <c r="M16" s="138">
        <v>415</v>
      </c>
      <c r="N16" s="166"/>
      <c r="O16" s="185">
        <f t="shared" si="0"/>
        <v>355.79561042524</v>
      </c>
      <c r="Q16" s="188">
        <f t="shared" si="1"/>
        <v>378.50596853748937</v>
      </c>
    </row>
    <row r="17" spans="1:18" ht="102" x14ac:dyDescent="0.25">
      <c r="A17" s="24"/>
      <c r="B17" s="324" t="s">
        <v>1328</v>
      </c>
      <c r="C17" s="307" t="s">
        <v>1331</v>
      </c>
      <c r="D17" s="236"/>
      <c r="E17" s="25"/>
      <c r="F17" s="30" t="s">
        <v>1334</v>
      </c>
      <c r="G17" s="178"/>
      <c r="H17" s="178"/>
      <c r="I17" s="129"/>
      <c r="J17" s="129"/>
      <c r="K17" s="138"/>
      <c r="L17" s="179"/>
      <c r="M17" s="138">
        <v>388.8</v>
      </c>
      <c r="N17" s="166"/>
      <c r="O17" s="185">
        <f t="shared" si="0"/>
        <v>333.33333333333331</v>
      </c>
      <c r="Q17" s="188">
        <f t="shared" si="1"/>
        <v>354.6099290780142</v>
      </c>
      <c r="R17" s="323"/>
    </row>
    <row r="18" spans="1:18" ht="102" x14ac:dyDescent="0.25">
      <c r="A18" s="24"/>
      <c r="B18" s="131" t="s">
        <v>1329</v>
      </c>
      <c r="C18" s="307" t="s">
        <v>1332</v>
      </c>
      <c r="D18" s="236"/>
      <c r="E18" s="25"/>
      <c r="F18" s="30" t="s">
        <v>1335</v>
      </c>
      <c r="G18" s="178"/>
      <c r="H18" s="178"/>
      <c r="I18" s="129"/>
      <c r="J18" s="129"/>
      <c r="K18" s="138"/>
      <c r="L18" s="179"/>
      <c r="M18" s="138">
        <v>383.3</v>
      </c>
      <c r="N18" s="166"/>
      <c r="O18" s="185">
        <f t="shared" si="0"/>
        <v>328.61796982167351</v>
      </c>
      <c r="Q18" s="188">
        <f t="shared" si="1"/>
        <v>349.59358491667399</v>
      </c>
      <c r="R18" s="323"/>
    </row>
    <row r="19" spans="1:18" ht="102" x14ac:dyDescent="0.25">
      <c r="A19" s="24"/>
      <c r="B19" s="131" t="s">
        <v>1330</v>
      </c>
      <c r="C19" s="307" t="s">
        <v>1333</v>
      </c>
      <c r="D19" s="236"/>
      <c r="E19" s="25"/>
      <c r="F19" s="30" t="s">
        <v>1336</v>
      </c>
      <c r="G19" s="178"/>
      <c r="H19" s="178"/>
      <c r="I19" s="129"/>
      <c r="J19" s="129"/>
      <c r="K19" s="138"/>
      <c r="L19" s="179"/>
      <c r="M19" s="138">
        <v>351.2</v>
      </c>
      <c r="N19" s="166"/>
      <c r="O19" s="185">
        <f t="shared" si="0"/>
        <v>301.09739368998623</v>
      </c>
      <c r="Q19" s="188">
        <f>+O19/Q$1</f>
        <v>320.31637626594284</v>
      </c>
      <c r="R19" s="323"/>
    </row>
    <row r="20" spans="1:18" ht="18.75" x14ac:dyDescent="0.25">
      <c r="A20" s="343" t="s">
        <v>101</v>
      </c>
      <c r="B20" s="344"/>
      <c r="C20" s="344"/>
      <c r="D20" s="344"/>
      <c r="E20" s="344"/>
      <c r="F20" s="344"/>
      <c r="G20" s="344"/>
      <c r="H20" s="177"/>
      <c r="I20" s="177"/>
      <c r="J20" s="177"/>
      <c r="K20" s="177"/>
      <c r="L20" s="164"/>
      <c r="M20" s="177"/>
      <c r="N20" s="164"/>
      <c r="O20" s="185">
        <f t="shared" si="0"/>
        <v>0</v>
      </c>
      <c r="Q20" s="188">
        <f t="shared" si="1"/>
        <v>0</v>
      </c>
    </row>
    <row r="21" spans="1:18" ht="18.75" x14ac:dyDescent="0.25">
      <c r="A21" s="345" t="s">
        <v>65</v>
      </c>
      <c r="B21" s="346"/>
      <c r="C21" s="346"/>
      <c r="D21" s="346"/>
      <c r="E21" s="347"/>
      <c r="F21" s="23" t="s">
        <v>37</v>
      </c>
      <c r="G21" s="37" t="s">
        <v>2</v>
      </c>
      <c r="H21" s="37"/>
      <c r="I21" s="37"/>
      <c r="J21" s="37"/>
      <c r="K21" s="37"/>
      <c r="L21" s="164"/>
      <c r="M21" s="37"/>
      <c r="N21" s="164"/>
      <c r="O21" s="185">
        <f t="shared" si="0"/>
        <v>0</v>
      </c>
      <c r="Q21" s="188">
        <f t="shared" si="1"/>
        <v>0</v>
      </c>
    </row>
    <row r="22" spans="1:18" ht="25.5" x14ac:dyDescent="0.25">
      <c r="A22" s="26" t="s">
        <v>102</v>
      </c>
      <c r="B22" s="27"/>
      <c r="C22" s="309"/>
      <c r="D22" s="222"/>
      <c r="E22" s="27" t="s">
        <v>103</v>
      </c>
      <c r="F22" s="28"/>
      <c r="G22" s="38"/>
      <c r="H22" s="38"/>
      <c r="I22" s="38"/>
      <c r="J22" s="38"/>
      <c r="K22" s="38"/>
      <c r="L22" s="164"/>
      <c r="M22" s="38"/>
      <c r="N22" s="164"/>
      <c r="O22" s="185">
        <f t="shared" si="0"/>
        <v>0</v>
      </c>
      <c r="Q22" s="188">
        <f t="shared" si="1"/>
        <v>0</v>
      </c>
    </row>
    <row r="23" spans="1:18" ht="18.75" x14ac:dyDescent="0.25">
      <c r="A23" s="26" t="s">
        <v>104</v>
      </c>
      <c r="B23" s="27"/>
      <c r="C23" s="309"/>
      <c r="D23" s="222"/>
      <c r="E23" s="27" t="s">
        <v>105</v>
      </c>
      <c r="F23" s="28"/>
      <c r="G23" s="38"/>
      <c r="H23" s="38"/>
      <c r="I23" s="38"/>
      <c r="J23" s="38"/>
      <c r="K23" s="38"/>
      <c r="L23" s="164"/>
      <c r="M23" s="38"/>
      <c r="N23" s="164"/>
      <c r="O23" s="185">
        <f t="shared" si="0"/>
        <v>0</v>
      </c>
      <c r="Q23" s="188">
        <f t="shared" si="1"/>
        <v>0</v>
      </c>
    </row>
    <row r="24" spans="1:18" ht="25.5" x14ac:dyDescent="0.25">
      <c r="A24" s="26"/>
      <c r="B24" s="27"/>
      <c r="C24" s="309"/>
      <c r="D24" s="222"/>
      <c r="E24" s="27" t="s">
        <v>106</v>
      </c>
      <c r="F24" s="28"/>
      <c r="G24" s="38"/>
      <c r="H24" s="38"/>
      <c r="I24" s="38"/>
      <c r="J24" s="38"/>
      <c r="K24" s="38"/>
      <c r="L24" s="164"/>
      <c r="M24" s="38"/>
      <c r="N24" s="164"/>
      <c r="O24" s="185">
        <f t="shared" si="0"/>
        <v>0</v>
      </c>
      <c r="Q24" s="188">
        <f t="shared" si="1"/>
        <v>0</v>
      </c>
    </row>
    <row r="25" spans="1:18" ht="25.5" x14ac:dyDescent="0.25">
      <c r="A25" s="26"/>
      <c r="B25" s="27"/>
      <c r="C25" s="309"/>
      <c r="D25" s="222"/>
      <c r="E25" s="27" t="s">
        <v>107</v>
      </c>
      <c r="F25" s="28"/>
      <c r="G25" s="38"/>
      <c r="H25" s="38"/>
      <c r="I25" s="38"/>
      <c r="J25" s="38"/>
      <c r="K25" s="38"/>
      <c r="L25" s="164"/>
      <c r="M25" s="38"/>
      <c r="N25" s="164"/>
      <c r="O25" s="185">
        <f t="shared" si="0"/>
        <v>0</v>
      </c>
      <c r="Q25" s="188">
        <f t="shared" si="1"/>
        <v>0</v>
      </c>
    </row>
    <row r="26" spans="1:18" ht="51" x14ac:dyDescent="0.25">
      <c r="A26" s="26"/>
      <c r="B26" s="27"/>
      <c r="C26" s="309"/>
      <c r="D26" s="222"/>
      <c r="E26" s="27" t="s">
        <v>108</v>
      </c>
      <c r="F26" s="28"/>
      <c r="G26" s="38"/>
      <c r="H26" s="38"/>
      <c r="I26" s="38"/>
      <c r="J26" s="38"/>
      <c r="K26" s="38"/>
      <c r="L26" s="164"/>
      <c r="M26" s="38"/>
      <c r="N26" s="164"/>
      <c r="O26" s="185">
        <f t="shared" si="0"/>
        <v>0</v>
      </c>
      <c r="Q26" s="188">
        <f t="shared" si="1"/>
        <v>0</v>
      </c>
    </row>
    <row r="27" spans="1:18" ht="18.75" x14ac:dyDescent="0.25">
      <c r="A27" s="341" t="s">
        <v>109</v>
      </c>
      <c r="B27" s="342"/>
      <c r="C27" s="342"/>
      <c r="D27" s="342"/>
      <c r="E27" s="342"/>
      <c r="F27" s="342"/>
      <c r="G27" s="342"/>
      <c r="H27" s="42"/>
      <c r="I27" s="42"/>
      <c r="J27" s="42"/>
      <c r="K27" s="42"/>
      <c r="L27" s="164"/>
      <c r="M27" s="42"/>
      <c r="N27" s="164"/>
      <c r="O27" s="185">
        <f t="shared" si="0"/>
        <v>0</v>
      </c>
      <c r="Q27" s="188">
        <f t="shared" si="1"/>
        <v>0</v>
      </c>
    </row>
    <row r="28" spans="1:18" ht="25.5" x14ac:dyDescent="0.25">
      <c r="A28" s="325" t="s">
        <v>110</v>
      </c>
      <c r="B28" s="326" t="s">
        <v>112</v>
      </c>
      <c r="C28" s="327" t="s">
        <v>1087</v>
      </c>
      <c r="D28" s="328"/>
      <c r="E28" s="329" t="s">
        <v>111</v>
      </c>
      <c r="F28" s="330" t="s">
        <v>113</v>
      </c>
      <c r="G28" s="331">
        <v>78.900000000000006</v>
      </c>
      <c r="H28" s="331">
        <v>78.900000000000006</v>
      </c>
      <c r="I28" s="331">
        <v>78.900000000000006</v>
      </c>
      <c r="J28" s="331">
        <v>78.900000000000006</v>
      </c>
      <c r="K28" s="331">
        <v>78.900000000000006</v>
      </c>
      <c r="L28" s="332"/>
      <c r="M28" s="331">
        <v>78.900000000000006</v>
      </c>
      <c r="N28" s="332"/>
      <c r="O28" s="333">
        <f t="shared" si="0"/>
        <v>67.644032921810705</v>
      </c>
      <c r="P28" s="334"/>
      <c r="Q28" s="335">
        <f t="shared" si="1"/>
        <v>71.961737150862461</v>
      </c>
    </row>
    <row r="29" spans="1:18" ht="25.5" x14ac:dyDescent="0.25">
      <c r="A29" s="325" t="s">
        <v>114</v>
      </c>
      <c r="B29" s="326" t="s">
        <v>116</v>
      </c>
      <c r="C29" s="327" t="s">
        <v>1088</v>
      </c>
      <c r="D29" s="328"/>
      <c r="E29" s="329" t="s">
        <v>115</v>
      </c>
      <c r="F29" s="330" t="s">
        <v>117</v>
      </c>
      <c r="G29" s="331">
        <v>84.2</v>
      </c>
      <c r="H29" s="331">
        <v>84.2</v>
      </c>
      <c r="I29" s="331">
        <v>84.2</v>
      </c>
      <c r="J29" s="331">
        <v>84.2</v>
      </c>
      <c r="K29" s="331">
        <v>84.2</v>
      </c>
      <c r="L29" s="332"/>
      <c r="M29" s="331">
        <v>84.2</v>
      </c>
      <c r="N29" s="332"/>
      <c r="O29" s="333">
        <f t="shared" si="0"/>
        <v>72.187928669410141</v>
      </c>
      <c r="P29" s="334"/>
      <c r="Q29" s="335">
        <f t="shared" si="1"/>
        <v>76.795668797244829</v>
      </c>
    </row>
    <row r="30" spans="1:18" ht="25.5" x14ac:dyDescent="0.25">
      <c r="A30" s="325" t="s">
        <v>118</v>
      </c>
      <c r="B30" s="326" t="s">
        <v>120</v>
      </c>
      <c r="C30" s="327" t="s">
        <v>1089</v>
      </c>
      <c r="D30" s="328"/>
      <c r="E30" s="329" t="s">
        <v>119</v>
      </c>
      <c r="F30" s="330" t="s">
        <v>121</v>
      </c>
      <c r="G30" s="331">
        <v>87.6</v>
      </c>
      <c r="H30" s="331">
        <v>87.6</v>
      </c>
      <c r="I30" s="331">
        <v>87.6</v>
      </c>
      <c r="J30" s="331">
        <v>87.6</v>
      </c>
      <c r="K30" s="331">
        <v>87.6</v>
      </c>
      <c r="L30" s="332"/>
      <c r="M30" s="331">
        <v>87.6</v>
      </c>
      <c r="N30" s="332"/>
      <c r="O30" s="333">
        <f t="shared" si="0"/>
        <v>75.102880658436206</v>
      </c>
      <c r="P30" s="334"/>
      <c r="Q30" s="335">
        <f t="shared" si="1"/>
        <v>79.896681551527877</v>
      </c>
    </row>
    <row r="31" spans="1:18" ht="25.5" x14ac:dyDescent="0.25">
      <c r="A31" s="325" t="s">
        <v>122</v>
      </c>
      <c r="B31" s="326" t="s">
        <v>124</v>
      </c>
      <c r="C31" s="327" t="s">
        <v>1090</v>
      </c>
      <c r="D31" s="328"/>
      <c r="E31" s="329" t="s">
        <v>123</v>
      </c>
      <c r="F31" s="330" t="s">
        <v>125</v>
      </c>
      <c r="G31" s="331">
        <v>92.9</v>
      </c>
      <c r="H31" s="331">
        <v>92.9</v>
      </c>
      <c r="I31" s="331">
        <v>92.9</v>
      </c>
      <c r="J31" s="331">
        <v>92.9</v>
      </c>
      <c r="K31" s="331">
        <v>92.9</v>
      </c>
      <c r="L31" s="332"/>
      <c r="M31" s="331">
        <v>92.9</v>
      </c>
      <c r="N31" s="332"/>
      <c r="O31" s="333">
        <f t="shared" si="0"/>
        <v>79.64677640603567</v>
      </c>
      <c r="P31" s="334"/>
      <c r="Q31" s="335">
        <f t="shared" si="1"/>
        <v>84.730613197910287</v>
      </c>
    </row>
    <row r="32" spans="1:18" ht="25.5" x14ac:dyDescent="0.25">
      <c r="A32" s="325" t="s">
        <v>126</v>
      </c>
      <c r="B32" s="326" t="s">
        <v>128</v>
      </c>
      <c r="C32" s="327" t="s">
        <v>1091</v>
      </c>
      <c r="D32" s="328"/>
      <c r="E32" s="329" t="s">
        <v>127</v>
      </c>
      <c r="F32" s="330" t="s">
        <v>129</v>
      </c>
      <c r="G32" s="331">
        <v>65.400000000000006</v>
      </c>
      <c r="H32" s="331">
        <v>65.400000000000006</v>
      </c>
      <c r="I32" s="331">
        <v>65.400000000000006</v>
      </c>
      <c r="J32" s="331">
        <v>65.400000000000006</v>
      </c>
      <c r="K32" s="331">
        <v>65.400000000000006</v>
      </c>
      <c r="L32" s="332"/>
      <c r="M32" s="331">
        <v>65.400000000000006</v>
      </c>
      <c r="N32" s="332"/>
      <c r="O32" s="333">
        <f t="shared" si="0"/>
        <v>56.069958847736622</v>
      </c>
      <c r="P32" s="334"/>
      <c r="Q32" s="335">
        <f t="shared" si="1"/>
        <v>59.648892391209174</v>
      </c>
    </row>
    <row r="33" spans="1:17" ht="25.5" x14ac:dyDescent="0.25">
      <c r="A33" s="325" t="s">
        <v>130</v>
      </c>
      <c r="B33" s="326" t="s">
        <v>132</v>
      </c>
      <c r="C33" s="327" t="s">
        <v>1092</v>
      </c>
      <c r="D33" s="328"/>
      <c r="E33" s="329" t="s">
        <v>131</v>
      </c>
      <c r="F33" s="330" t="s">
        <v>133</v>
      </c>
      <c r="G33" s="331">
        <v>70.7</v>
      </c>
      <c r="H33" s="331">
        <v>70.7</v>
      </c>
      <c r="I33" s="331">
        <v>70.7</v>
      </c>
      <c r="J33" s="331">
        <v>70.7</v>
      </c>
      <c r="K33" s="331">
        <v>70.7</v>
      </c>
      <c r="L33" s="332"/>
      <c r="M33" s="331">
        <v>70.7</v>
      </c>
      <c r="N33" s="332"/>
      <c r="O33" s="333">
        <f t="shared" si="0"/>
        <v>60.613854595336072</v>
      </c>
      <c r="P33" s="334"/>
      <c r="Q33" s="335">
        <f t="shared" si="1"/>
        <v>64.48282403759157</v>
      </c>
    </row>
    <row r="34" spans="1:17" ht="25.5" x14ac:dyDescent="0.25">
      <c r="A34" s="325" t="s">
        <v>134</v>
      </c>
      <c r="B34" s="326" t="s">
        <v>136</v>
      </c>
      <c r="C34" s="327" t="s">
        <v>1093</v>
      </c>
      <c r="D34" s="328"/>
      <c r="E34" s="329" t="s">
        <v>135</v>
      </c>
      <c r="F34" s="330" t="s">
        <v>137</v>
      </c>
      <c r="G34" s="331">
        <v>72.099999999999994</v>
      </c>
      <c r="H34" s="331">
        <v>72.099999999999994</v>
      </c>
      <c r="I34" s="331">
        <v>72.099999999999994</v>
      </c>
      <c r="J34" s="331">
        <v>72.099999999999994</v>
      </c>
      <c r="K34" s="331">
        <v>72.099999999999994</v>
      </c>
      <c r="L34" s="332"/>
      <c r="M34" s="331">
        <v>72.099999999999994</v>
      </c>
      <c r="N34" s="332"/>
      <c r="O34" s="333">
        <f t="shared" si="0"/>
        <v>61.814128943758561</v>
      </c>
      <c r="P34" s="334"/>
      <c r="Q34" s="335">
        <f t="shared" si="1"/>
        <v>65.759711642296352</v>
      </c>
    </row>
    <row r="35" spans="1:17" ht="25.5" x14ac:dyDescent="0.25">
      <c r="A35" s="325" t="s">
        <v>138</v>
      </c>
      <c r="B35" s="326" t="s">
        <v>140</v>
      </c>
      <c r="C35" s="327" t="s">
        <v>1094</v>
      </c>
      <c r="D35" s="328"/>
      <c r="E35" s="329" t="s">
        <v>139</v>
      </c>
      <c r="F35" s="330" t="s">
        <v>141</v>
      </c>
      <c r="G35" s="331">
        <v>77.3</v>
      </c>
      <c r="H35" s="331">
        <v>77.3</v>
      </c>
      <c r="I35" s="331">
        <v>77.3</v>
      </c>
      <c r="J35" s="331">
        <v>77.3</v>
      </c>
      <c r="K35" s="331">
        <v>77.3</v>
      </c>
      <c r="L35" s="332"/>
      <c r="M35" s="331">
        <v>77.3</v>
      </c>
      <c r="N35" s="332"/>
      <c r="O35" s="333">
        <f t="shared" si="0"/>
        <v>66.272290809327842</v>
      </c>
      <c r="P35" s="334"/>
      <c r="Q35" s="335">
        <f t="shared" si="1"/>
        <v>70.502437031199833</v>
      </c>
    </row>
    <row r="36" spans="1:17" ht="25.5" x14ac:dyDescent="0.25">
      <c r="A36" s="325" t="s">
        <v>142</v>
      </c>
      <c r="B36" s="326" t="s">
        <v>144</v>
      </c>
      <c r="C36" s="327" t="s">
        <v>1095</v>
      </c>
      <c r="D36" s="328"/>
      <c r="E36" s="329" t="s">
        <v>143</v>
      </c>
      <c r="F36" s="330" t="s">
        <v>145</v>
      </c>
      <c r="G36" s="331">
        <v>79.400000000000006</v>
      </c>
      <c r="H36" s="331">
        <v>79.400000000000006</v>
      </c>
      <c r="I36" s="331">
        <v>79.400000000000006</v>
      </c>
      <c r="J36" s="331">
        <v>79.400000000000006</v>
      </c>
      <c r="K36" s="331">
        <v>79.400000000000006</v>
      </c>
      <c r="L36" s="332"/>
      <c r="M36" s="331">
        <v>79.400000000000006</v>
      </c>
      <c r="N36" s="332"/>
      <c r="O36" s="333">
        <f t="shared" si="0"/>
        <v>68.072702331961594</v>
      </c>
      <c r="P36" s="334"/>
      <c r="Q36" s="335">
        <f t="shared" si="1"/>
        <v>72.417768438257013</v>
      </c>
    </row>
    <row r="37" spans="1:17" ht="25.5" x14ac:dyDescent="0.25">
      <c r="A37" s="325" t="s">
        <v>146</v>
      </c>
      <c r="B37" s="326" t="s">
        <v>148</v>
      </c>
      <c r="C37" s="327" t="s">
        <v>1096</v>
      </c>
      <c r="D37" s="328"/>
      <c r="E37" s="329" t="s">
        <v>147</v>
      </c>
      <c r="F37" s="330" t="s">
        <v>149</v>
      </c>
      <c r="G37" s="331">
        <v>84.8</v>
      </c>
      <c r="H37" s="331">
        <v>84.8</v>
      </c>
      <c r="I37" s="331">
        <v>84.8</v>
      </c>
      <c r="J37" s="331">
        <v>84.8</v>
      </c>
      <c r="K37" s="331">
        <v>84.8</v>
      </c>
      <c r="L37" s="332"/>
      <c r="M37" s="331">
        <v>84.8</v>
      </c>
      <c r="N37" s="332"/>
      <c r="O37" s="333">
        <f t="shared" si="0"/>
        <v>72.702331961591213</v>
      </c>
      <c r="P37" s="334"/>
      <c r="Q37" s="335">
        <f t="shared" si="1"/>
        <v>77.342906342118312</v>
      </c>
    </row>
    <row r="38" spans="1:17" ht="18.75" x14ac:dyDescent="0.25">
      <c r="A38" s="341" t="s">
        <v>150</v>
      </c>
      <c r="B38" s="342"/>
      <c r="C38" s="342"/>
      <c r="D38" s="342"/>
      <c r="E38" s="342"/>
      <c r="F38" s="342"/>
      <c r="G38" s="342"/>
      <c r="H38" s="42"/>
      <c r="I38" s="42"/>
      <c r="J38" s="42"/>
      <c r="K38" s="42"/>
      <c r="L38" s="164"/>
      <c r="M38" s="42"/>
      <c r="N38" s="164"/>
      <c r="O38" s="185">
        <f t="shared" si="0"/>
        <v>0</v>
      </c>
      <c r="Q38" s="188">
        <f t="shared" si="1"/>
        <v>0</v>
      </c>
    </row>
    <row r="39" spans="1:17" x14ac:dyDescent="0.25">
      <c r="A39" s="21"/>
      <c r="G39" s="31"/>
      <c r="H39" s="31"/>
      <c r="I39" s="31"/>
      <c r="O39" s="185">
        <f t="shared" si="0"/>
        <v>0</v>
      </c>
      <c r="Q39" s="188">
        <f t="shared" si="1"/>
        <v>0</v>
      </c>
    </row>
    <row r="40" spans="1:17" x14ac:dyDescent="0.25">
      <c r="A40" s="32" t="s">
        <v>151</v>
      </c>
      <c r="G40" s="31"/>
      <c r="H40" s="31"/>
      <c r="I40" s="31"/>
      <c r="O40" s="185">
        <f t="shared" si="0"/>
        <v>0</v>
      </c>
      <c r="Q40" s="188">
        <f t="shared" si="1"/>
        <v>0</v>
      </c>
    </row>
    <row r="41" spans="1:17" ht="38.25" x14ac:dyDescent="0.25">
      <c r="A41" s="24" t="s">
        <v>152</v>
      </c>
      <c r="B41" s="29" t="s">
        <v>154</v>
      </c>
      <c r="C41" s="310"/>
      <c r="D41" s="223"/>
      <c r="E41" s="25" t="s">
        <v>153</v>
      </c>
      <c r="F41" s="25" t="s">
        <v>155</v>
      </c>
      <c r="G41" s="36">
        <v>86.6</v>
      </c>
      <c r="H41" s="36">
        <v>86.6</v>
      </c>
      <c r="I41" s="36">
        <v>86.6</v>
      </c>
      <c r="J41" s="36">
        <v>86.6</v>
      </c>
      <c r="K41" s="36">
        <v>86.6</v>
      </c>
      <c r="M41" s="36">
        <v>86.6</v>
      </c>
      <c r="O41" s="185">
        <f t="shared" si="0"/>
        <v>74.245541838134415</v>
      </c>
      <c r="Q41" s="188">
        <f t="shared" si="1"/>
        <v>78.984618976738744</v>
      </c>
    </row>
    <row r="42" spans="1:17" x14ac:dyDescent="0.25">
      <c r="A42" s="24" t="s">
        <v>156</v>
      </c>
      <c r="B42" s="29"/>
      <c r="C42" s="310"/>
      <c r="D42" s="223"/>
      <c r="E42" s="25" t="s">
        <v>157</v>
      </c>
      <c r="F42" s="29" t="s">
        <v>158</v>
      </c>
      <c r="G42" s="36">
        <v>10.5</v>
      </c>
      <c r="H42" s="36">
        <v>10.5</v>
      </c>
      <c r="I42" s="36">
        <v>10.5</v>
      </c>
      <c r="J42" s="36">
        <v>10.5</v>
      </c>
      <c r="K42" s="36">
        <v>10.5</v>
      </c>
      <c r="M42" s="36">
        <v>10.5</v>
      </c>
      <c r="O42" s="185">
        <f t="shared" si="0"/>
        <v>9.0020576131687235</v>
      </c>
      <c r="Q42" s="188">
        <f t="shared" si="1"/>
        <v>9.5766570352858764</v>
      </c>
    </row>
    <row r="43" spans="1:17" x14ac:dyDescent="0.25">
      <c r="A43" s="32" t="s">
        <v>159</v>
      </c>
      <c r="G43" s="31"/>
      <c r="H43" s="31"/>
      <c r="I43" s="31"/>
      <c r="O43" s="185">
        <f t="shared" si="0"/>
        <v>0</v>
      </c>
      <c r="Q43" s="188">
        <f t="shared" si="1"/>
        <v>0</v>
      </c>
    </row>
    <row r="44" spans="1:17" ht="38.25" x14ac:dyDescent="0.25">
      <c r="A44" s="24" t="s">
        <v>160</v>
      </c>
      <c r="B44" s="29" t="s">
        <v>162</v>
      </c>
      <c r="C44" s="310"/>
      <c r="D44" s="223"/>
      <c r="E44" s="25" t="s">
        <v>161</v>
      </c>
      <c r="F44" s="25" t="s">
        <v>163</v>
      </c>
      <c r="G44" s="36">
        <v>95.8</v>
      </c>
      <c r="H44" s="36">
        <v>95.8</v>
      </c>
      <c r="I44" s="36">
        <v>95.8</v>
      </c>
      <c r="J44" s="36">
        <v>95.8</v>
      </c>
      <c r="K44" s="36">
        <v>95.8</v>
      </c>
      <c r="M44" s="36">
        <v>95.8</v>
      </c>
      <c r="O44" s="185">
        <f t="shared" si="0"/>
        <v>82.133058984910832</v>
      </c>
      <c r="Q44" s="188">
        <f t="shared" si="1"/>
        <v>87.375594664798768</v>
      </c>
    </row>
    <row r="45" spans="1:17" x14ac:dyDescent="0.25">
      <c r="A45" s="24" t="s">
        <v>164</v>
      </c>
      <c r="B45" s="29"/>
      <c r="C45" s="310"/>
      <c r="D45" s="223"/>
      <c r="E45" s="25" t="s">
        <v>165</v>
      </c>
      <c r="F45" s="29" t="s">
        <v>166</v>
      </c>
      <c r="G45" s="36">
        <v>12.1</v>
      </c>
      <c r="H45" s="36">
        <v>12.1</v>
      </c>
      <c r="I45" s="36">
        <v>12.1</v>
      </c>
      <c r="J45" s="36">
        <v>12.1</v>
      </c>
      <c r="K45" s="36">
        <v>12.1</v>
      </c>
      <c r="M45" s="36">
        <v>12.1</v>
      </c>
      <c r="O45" s="185">
        <f t="shared" si="0"/>
        <v>10.373799725651576</v>
      </c>
      <c r="Q45" s="188">
        <f t="shared" si="1"/>
        <v>11.035957154948486</v>
      </c>
    </row>
    <row r="46" spans="1:17" x14ac:dyDescent="0.25">
      <c r="A46" s="32" t="s">
        <v>167</v>
      </c>
      <c r="G46" s="31"/>
      <c r="H46" s="31"/>
      <c r="I46" s="31"/>
      <c r="O46" s="185">
        <f t="shared" si="0"/>
        <v>0</v>
      </c>
      <c r="Q46" s="188">
        <f t="shared" si="1"/>
        <v>0</v>
      </c>
    </row>
    <row r="47" spans="1:17" ht="38.25" x14ac:dyDescent="0.25">
      <c r="A47" s="24" t="s">
        <v>168</v>
      </c>
      <c r="B47" s="29" t="s">
        <v>170</v>
      </c>
      <c r="C47" s="310"/>
      <c r="D47" s="223"/>
      <c r="E47" s="25" t="s">
        <v>169</v>
      </c>
      <c r="F47" s="25" t="s">
        <v>171</v>
      </c>
      <c r="G47" s="36">
        <v>119.3</v>
      </c>
      <c r="H47" s="36">
        <v>119.3</v>
      </c>
      <c r="I47" s="36">
        <v>119.3</v>
      </c>
      <c r="J47" s="36">
        <v>119.3</v>
      </c>
      <c r="K47" s="36">
        <v>119.3</v>
      </c>
      <c r="M47" s="36">
        <v>119.3</v>
      </c>
      <c r="O47" s="185">
        <f t="shared" si="0"/>
        <v>102.28052126200274</v>
      </c>
      <c r="Q47" s="188">
        <f t="shared" si="1"/>
        <v>108.80906517234334</v>
      </c>
    </row>
    <row r="48" spans="1:17" x14ac:dyDescent="0.25">
      <c r="A48" s="24" t="s">
        <v>172</v>
      </c>
      <c r="B48" s="29"/>
      <c r="C48" s="310"/>
      <c r="D48" s="223"/>
      <c r="E48" s="25" t="s">
        <v>173</v>
      </c>
      <c r="F48" s="29" t="s">
        <v>174</v>
      </c>
      <c r="G48" s="36">
        <v>17.2</v>
      </c>
      <c r="H48" s="36">
        <v>17.2</v>
      </c>
      <c r="I48" s="36">
        <v>17.2</v>
      </c>
      <c r="J48" s="36">
        <v>17.2</v>
      </c>
      <c r="K48" s="36">
        <v>17.2</v>
      </c>
      <c r="M48" s="36">
        <v>17.2</v>
      </c>
      <c r="O48" s="185">
        <f t="shared" si="0"/>
        <v>14.74622770919067</v>
      </c>
      <c r="Q48" s="188">
        <f t="shared" si="1"/>
        <v>15.687476286373053</v>
      </c>
    </row>
    <row r="49" spans="1:17" x14ac:dyDescent="0.25">
      <c r="A49" s="32" t="s">
        <v>175</v>
      </c>
      <c r="G49" s="31"/>
      <c r="H49" s="31"/>
      <c r="I49" s="31"/>
      <c r="O49" s="185">
        <f t="shared" si="0"/>
        <v>0</v>
      </c>
      <c r="Q49" s="188">
        <f t="shared" si="1"/>
        <v>0</v>
      </c>
    </row>
    <row r="50" spans="1:17" ht="38.25" x14ac:dyDescent="0.25">
      <c r="A50" s="24" t="s">
        <v>176</v>
      </c>
      <c r="B50" s="29" t="s">
        <v>178</v>
      </c>
      <c r="C50" s="310"/>
      <c r="D50" s="223"/>
      <c r="E50" s="25" t="s">
        <v>177</v>
      </c>
      <c r="F50" s="25" t="s">
        <v>179</v>
      </c>
      <c r="G50" s="36">
        <v>125.6</v>
      </c>
      <c r="H50" s="36">
        <v>125.6</v>
      </c>
      <c r="I50" s="36">
        <v>125.6</v>
      </c>
      <c r="J50" s="36">
        <v>125.6</v>
      </c>
      <c r="K50" s="36">
        <v>125.6</v>
      </c>
      <c r="M50" s="36">
        <v>125.6</v>
      </c>
      <c r="O50" s="185">
        <f t="shared" si="0"/>
        <v>107.68175582990396</v>
      </c>
      <c r="Q50" s="188">
        <f t="shared" si="1"/>
        <v>114.55505939351487</v>
      </c>
    </row>
    <row r="51" spans="1:17" x14ac:dyDescent="0.25">
      <c r="A51" s="24" t="s">
        <v>172</v>
      </c>
      <c r="B51" s="29"/>
      <c r="C51" s="310"/>
      <c r="D51" s="223"/>
      <c r="E51" s="25" t="s">
        <v>173</v>
      </c>
      <c r="F51" s="29" t="s">
        <v>174</v>
      </c>
      <c r="G51" s="36">
        <v>17.2</v>
      </c>
      <c r="H51" s="36">
        <v>17.2</v>
      </c>
      <c r="I51" s="36">
        <v>17.2</v>
      </c>
      <c r="J51" s="36">
        <v>17.2</v>
      </c>
      <c r="K51" s="36">
        <v>17.2</v>
      </c>
      <c r="M51" s="36">
        <v>17.2</v>
      </c>
      <c r="O51" s="185">
        <f t="shared" si="0"/>
        <v>14.74622770919067</v>
      </c>
      <c r="Q51" s="188">
        <f t="shared" si="1"/>
        <v>15.687476286373053</v>
      </c>
    </row>
    <row r="52" spans="1:17" x14ac:dyDescent="0.25">
      <c r="A52" s="341" t="s">
        <v>180</v>
      </c>
      <c r="B52" s="342"/>
      <c r="C52" s="342"/>
      <c r="D52" s="342"/>
      <c r="E52" s="342"/>
      <c r="F52" s="342"/>
      <c r="G52" s="342"/>
      <c r="H52" s="42"/>
      <c r="I52" s="42"/>
      <c r="J52" s="42"/>
      <c r="K52" s="42"/>
      <c r="L52" s="140"/>
      <c r="M52" s="42"/>
      <c r="N52" s="140"/>
      <c r="O52" s="185">
        <f t="shared" si="0"/>
        <v>0</v>
      </c>
      <c r="Q52" s="188">
        <f t="shared" si="1"/>
        <v>0</v>
      </c>
    </row>
    <row r="53" spans="1:17" ht="25.5" x14ac:dyDescent="0.25">
      <c r="A53" s="26" t="s">
        <v>181</v>
      </c>
      <c r="B53" s="27"/>
      <c r="C53" s="309"/>
      <c r="D53" s="222"/>
      <c r="E53" s="27" t="s">
        <v>182</v>
      </c>
      <c r="F53" s="28"/>
      <c r="G53" s="38"/>
      <c r="H53" s="38"/>
      <c r="I53" s="38"/>
      <c r="J53" s="38"/>
      <c r="K53" s="38"/>
      <c r="L53" s="165"/>
      <c r="M53" s="38"/>
      <c r="N53" s="165"/>
      <c r="O53" s="185">
        <f t="shared" si="0"/>
        <v>0</v>
      </c>
      <c r="Q53" s="188">
        <f t="shared" si="1"/>
        <v>0</v>
      </c>
    </row>
    <row r="54" spans="1:17" s="244" customFormat="1" x14ac:dyDescent="0.25">
      <c r="A54" s="126" t="s">
        <v>183</v>
      </c>
      <c r="B54" s="127" t="s">
        <v>1301</v>
      </c>
      <c r="C54" s="311" t="s">
        <v>1241</v>
      </c>
      <c r="D54" s="127"/>
      <c r="E54" s="127" t="s">
        <v>184</v>
      </c>
      <c r="F54" s="299"/>
      <c r="G54" s="300"/>
      <c r="H54" s="300"/>
      <c r="I54" s="300"/>
      <c r="J54" s="300"/>
      <c r="K54" s="300"/>
      <c r="L54" s="301"/>
      <c r="M54" s="300">
        <v>2.7</v>
      </c>
      <c r="N54" s="301"/>
      <c r="O54" s="302">
        <f t="shared" si="0"/>
        <v>2.3148148148148149</v>
      </c>
      <c r="Q54" s="303">
        <f t="shared" si="1"/>
        <v>2.4625689519306544</v>
      </c>
    </row>
    <row r="55" spans="1:17" s="244" customFormat="1" x14ac:dyDescent="0.25">
      <c r="A55" s="126" t="s">
        <v>185</v>
      </c>
      <c r="B55" s="127"/>
      <c r="C55" s="311"/>
      <c r="D55" s="127"/>
      <c r="E55" s="127" t="s">
        <v>186</v>
      </c>
      <c r="F55" s="299"/>
      <c r="G55" s="300"/>
      <c r="H55" s="300"/>
      <c r="I55" s="300"/>
      <c r="J55" s="300"/>
      <c r="K55" s="300"/>
      <c r="L55" s="301"/>
      <c r="M55" s="300"/>
      <c r="N55" s="301"/>
      <c r="O55" s="302">
        <f t="shared" si="0"/>
        <v>0</v>
      </c>
      <c r="Q55" s="303">
        <f t="shared" si="1"/>
        <v>0</v>
      </c>
    </row>
    <row r="56" spans="1:17" ht="25.5" x14ac:dyDescent="0.25">
      <c r="A56" s="26" t="s">
        <v>102</v>
      </c>
      <c r="B56" s="27"/>
      <c r="C56" s="309"/>
      <c r="D56" s="222"/>
      <c r="E56" s="27" t="s">
        <v>103</v>
      </c>
      <c r="F56" s="28"/>
      <c r="G56" s="38"/>
      <c r="H56" s="38"/>
      <c r="I56" s="38"/>
      <c r="J56" s="38"/>
      <c r="K56" s="38"/>
      <c r="L56" s="165"/>
      <c r="M56" s="38"/>
      <c r="N56" s="165"/>
      <c r="O56" s="185">
        <f t="shared" si="0"/>
        <v>0</v>
      </c>
      <c r="Q56" s="188">
        <f t="shared" si="1"/>
        <v>0</v>
      </c>
    </row>
    <row r="57" spans="1:17" x14ac:dyDescent="0.25">
      <c r="A57" s="26"/>
      <c r="B57" s="27"/>
      <c r="C57" s="309"/>
      <c r="D57" s="222"/>
      <c r="E57" s="27" t="s">
        <v>187</v>
      </c>
      <c r="F57" s="28"/>
      <c r="G57" s="38"/>
      <c r="H57" s="38"/>
      <c r="I57" s="38"/>
      <c r="J57" s="38"/>
      <c r="K57" s="38"/>
      <c r="L57" s="165"/>
      <c r="M57" s="38"/>
      <c r="N57" s="165"/>
      <c r="O57" s="185">
        <f t="shared" si="0"/>
        <v>0</v>
      </c>
      <c r="Q57" s="188">
        <f t="shared" si="1"/>
        <v>0</v>
      </c>
    </row>
    <row r="58" spans="1:17" ht="51" x14ac:dyDescent="0.25">
      <c r="A58" s="26"/>
      <c r="B58" s="27"/>
      <c r="C58" s="309"/>
      <c r="D58" s="222"/>
      <c r="E58" s="27" t="s">
        <v>108</v>
      </c>
      <c r="F58" s="28"/>
      <c r="G58" s="38"/>
      <c r="H58" s="38"/>
      <c r="I58" s="38"/>
      <c r="J58" s="38"/>
      <c r="K58" s="38"/>
      <c r="L58" s="165"/>
      <c r="M58" s="38"/>
      <c r="N58" s="165"/>
      <c r="O58" s="185">
        <f t="shared" si="0"/>
        <v>0</v>
      </c>
      <c r="Q58" s="188">
        <f t="shared" si="1"/>
        <v>0</v>
      </c>
    </row>
    <row r="59" spans="1:17" x14ac:dyDescent="0.25">
      <c r="A59" s="341" t="s">
        <v>188</v>
      </c>
      <c r="B59" s="342"/>
      <c r="C59" s="342"/>
      <c r="D59" s="342"/>
      <c r="E59" s="342"/>
      <c r="F59" s="342"/>
      <c r="G59" s="342"/>
      <c r="H59" s="42"/>
      <c r="I59" s="42"/>
      <c r="J59" s="42"/>
      <c r="K59" s="42"/>
      <c r="L59" s="140"/>
      <c r="M59" s="42"/>
      <c r="N59" s="140"/>
      <c r="O59" s="185">
        <f t="shared" si="0"/>
        <v>0</v>
      </c>
      <c r="Q59" s="188">
        <f t="shared" si="1"/>
        <v>0</v>
      </c>
    </row>
    <row r="60" spans="1:17" x14ac:dyDescent="0.25">
      <c r="A60" s="33" t="s">
        <v>189</v>
      </c>
      <c r="B60" s="29"/>
      <c r="C60" s="310"/>
      <c r="D60" s="223"/>
      <c r="E60" s="34" t="s">
        <v>190</v>
      </c>
      <c r="F60" s="29"/>
      <c r="G60" s="36">
        <v>13.7</v>
      </c>
      <c r="H60" s="36">
        <v>13.7</v>
      </c>
      <c r="I60" s="36">
        <v>13.7</v>
      </c>
      <c r="J60" s="36">
        <v>13.7</v>
      </c>
      <c r="K60" s="36">
        <v>13.7</v>
      </c>
    </row>
    <row r="61" spans="1:17" x14ac:dyDescent="0.25">
      <c r="A61" s="33" t="s">
        <v>192</v>
      </c>
      <c r="B61" s="29" t="s">
        <v>191</v>
      </c>
      <c r="C61" s="310" t="s">
        <v>1237</v>
      </c>
      <c r="D61" s="223"/>
      <c r="E61" s="34" t="s">
        <v>193</v>
      </c>
      <c r="F61" s="29"/>
      <c r="G61" s="36">
        <v>16.100000000000001</v>
      </c>
      <c r="H61" s="36">
        <v>16.100000000000001</v>
      </c>
      <c r="I61" s="36">
        <v>16.100000000000001</v>
      </c>
      <c r="J61" s="36">
        <v>16.100000000000001</v>
      </c>
      <c r="K61" s="36">
        <v>16.100000000000001</v>
      </c>
      <c r="M61" s="36">
        <v>13.7</v>
      </c>
      <c r="O61" s="185">
        <f>(M61*O$1)/O$2</f>
        <v>11.745541838134429</v>
      </c>
      <c r="Q61" s="188">
        <f>+O61/Q$1</f>
        <v>12.495257274611095</v>
      </c>
    </row>
    <row r="62" spans="1:17" x14ac:dyDescent="0.25">
      <c r="A62" s="33" t="s">
        <v>195</v>
      </c>
      <c r="B62" s="29" t="s">
        <v>194</v>
      </c>
      <c r="C62" s="310" t="s">
        <v>1238</v>
      </c>
      <c r="D62" s="223"/>
      <c r="E62" s="34" t="s">
        <v>196</v>
      </c>
      <c r="F62" s="29"/>
      <c r="G62" s="36">
        <v>20.399999999999999</v>
      </c>
      <c r="H62" s="36">
        <v>20.399999999999999</v>
      </c>
      <c r="I62" s="36">
        <v>20.399999999999999</v>
      </c>
      <c r="J62" s="36">
        <v>20.399999999999999</v>
      </c>
      <c r="K62" s="36">
        <v>20.399999999999999</v>
      </c>
      <c r="M62" s="36">
        <v>16.100000000000001</v>
      </c>
      <c r="O62" s="185">
        <f>(M62*O$1)/O$2</f>
        <v>13.803155006858711</v>
      </c>
      <c r="Q62" s="188">
        <f>+O62/Q$1</f>
        <v>14.684207454105012</v>
      </c>
    </row>
    <row r="63" spans="1:17" x14ac:dyDescent="0.25">
      <c r="A63" s="33" t="s">
        <v>198</v>
      </c>
      <c r="B63" s="29" t="s">
        <v>197</v>
      </c>
      <c r="C63" s="310" t="s">
        <v>1239</v>
      </c>
      <c r="D63" s="223"/>
      <c r="E63" s="34" t="s">
        <v>199</v>
      </c>
      <c r="F63" s="29"/>
      <c r="G63" s="36">
        <v>24.1</v>
      </c>
      <c r="H63" s="36">
        <v>24.1</v>
      </c>
      <c r="I63" s="36">
        <v>24.1</v>
      </c>
      <c r="J63" s="36">
        <v>24.1</v>
      </c>
      <c r="K63" s="36">
        <v>24.1</v>
      </c>
      <c r="M63" s="36">
        <v>20.399999999999999</v>
      </c>
      <c r="O63" s="185">
        <f>(M63*O$1)/O$2</f>
        <v>17.489711934156375</v>
      </c>
      <c r="Q63" s="188">
        <f>+O63/Q$1</f>
        <v>18.606076525698274</v>
      </c>
    </row>
    <row r="64" spans="1:17" x14ac:dyDescent="0.25">
      <c r="A64" s="33" t="s">
        <v>201</v>
      </c>
      <c r="B64" s="29" t="s">
        <v>200</v>
      </c>
      <c r="C64" s="311" t="s">
        <v>1240</v>
      </c>
      <c r="D64" s="224"/>
      <c r="E64" s="34" t="s">
        <v>202</v>
      </c>
      <c r="F64" s="29"/>
      <c r="G64" s="39"/>
      <c r="H64" s="39"/>
      <c r="I64" s="39"/>
      <c r="J64" s="39"/>
      <c r="K64" s="39"/>
      <c r="M64" s="36">
        <v>24.1</v>
      </c>
      <c r="O64" s="185">
        <f>(M64*O$1)/O$2</f>
        <v>20.661865569272976</v>
      </c>
      <c r="Q64" s="188">
        <f>+O64/Q$1</f>
        <v>21.980708052418059</v>
      </c>
    </row>
    <row r="65" spans="1:17" x14ac:dyDescent="0.25">
      <c r="A65" s="33" t="s">
        <v>203</v>
      </c>
      <c r="B65" s="25"/>
      <c r="C65" s="311"/>
      <c r="D65" s="224"/>
      <c r="E65" s="34" t="s">
        <v>204</v>
      </c>
      <c r="F65" s="29"/>
      <c r="G65" s="39"/>
      <c r="H65" s="39"/>
      <c r="I65" s="39"/>
      <c r="J65" s="39"/>
      <c r="K65" s="39"/>
      <c r="M65" s="39"/>
      <c r="O65" s="185">
        <f t="shared" si="0"/>
        <v>0</v>
      </c>
      <c r="Q65" s="188">
        <f t="shared" si="1"/>
        <v>0</v>
      </c>
    </row>
    <row r="66" spans="1:17" x14ac:dyDescent="0.25">
      <c r="A66" s="341" t="s">
        <v>205</v>
      </c>
      <c r="B66" s="342"/>
      <c r="C66" s="342"/>
      <c r="D66" s="342"/>
      <c r="E66" s="342"/>
      <c r="F66" s="342"/>
      <c r="G66" s="342"/>
      <c r="H66" s="42"/>
      <c r="I66" s="42"/>
      <c r="J66" s="42"/>
      <c r="K66" s="42"/>
      <c r="L66" s="140"/>
      <c r="M66" s="42"/>
      <c r="N66" s="140"/>
      <c r="O66" s="185">
        <f t="shared" si="0"/>
        <v>0</v>
      </c>
      <c r="Q66" s="188">
        <f t="shared" si="1"/>
        <v>0</v>
      </c>
    </row>
    <row r="67" spans="1:17" ht="38.25" x14ac:dyDescent="0.25">
      <c r="A67" s="24" t="s">
        <v>206</v>
      </c>
      <c r="B67" s="29" t="s">
        <v>208</v>
      </c>
      <c r="C67" s="310"/>
      <c r="D67" s="223"/>
      <c r="E67" s="25" t="s">
        <v>207</v>
      </c>
      <c r="F67" s="25" t="s">
        <v>209</v>
      </c>
      <c r="G67" s="36">
        <v>3.9</v>
      </c>
      <c r="H67" s="36">
        <v>3.9</v>
      </c>
      <c r="I67" s="36">
        <v>3.9</v>
      </c>
      <c r="J67" s="36">
        <v>3.9</v>
      </c>
      <c r="K67" s="36">
        <v>3.9</v>
      </c>
      <c r="M67" s="36">
        <v>3.9</v>
      </c>
      <c r="O67" s="185">
        <f t="shared" si="0"/>
        <v>3.3436213991769543</v>
      </c>
      <c r="Q67" s="188">
        <f t="shared" si="1"/>
        <v>3.557044041677611</v>
      </c>
    </row>
    <row r="68" spans="1:17" x14ac:dyDescent="0.25">
      <c r="A68" s="24" t="s">
        <v>210</v>
      </c>
      <c r="B68" s="29" t="s">
        <v>212</v>
      </c>
      <c r="C68" s="310"/>
      <c r="D68" s="223"/>
      <c r="E68" s="25" t="s">
        <v>211</v>
      </c>
      <c r="F68" s="29" t="s">
        <v>213</v>
      </c>
      <c r="G68" s="36">
        <v>5.0999999999999996</v>
      </c>
      <c r="H68" s="36">
        <v>5.0999999999999996</v>
      </c>
      <c r="I68" s="36">
        <v>5.0999999999999996</v>
      </c>
      <c r="J68" s="36">
        <v>5.0999999999999996</v>
      </c>
      <c r="K68" s="36">
        <v>5.0999999999999996</v>
      </c>
      <c r="M68" s="36">
        <v>5.0999999999999996</v>
      </c>
      <c r="O68" s="185">
        <f t="shared" si="0"/>
        <v>4.3724279835390938</v>
      </c>
      <c r="Q68" s="188">
        <f t="shared" si="1"/>
        <v>4.6515191314245685</v>
      </c>
    </row>
    <row r="69" spans="1:17" ht="25.5" x14ac:dyDescent="0.25">
      <c r="A69" s="24" t="s">
        <v>214</v>
      </c>
      <c r="B69" s="21" t="s">
        <v>216</v>
      </c>
      <c r="E69" s="25" t="s">
        <v>215</v>
      </c>
      <c r="F69" s="25" t="s">
        <v>217</v>
      </c>
      <c r="G69" s="36">
        <v>8.1999999999999993</v>
      </c>
      <c r="H69" s="36">
        <v>8.1999999999999993</v>
      </c>
      <c r="I69" s="36">
        <v>8.1999999999999993</v>
      </c>
      <c r="J69" s="36">
        <v>8.1999999999999993</v>
      </c>
      <c r="K69" s="36">
        <v>8.1999999999999993</v>
      </c>
      <c r="M69" s="36">
        <v>8.1999999999999993</v>
      </c>
      <c r="O69" s="185">
        <f t="shared" si="0"/>
        <v>7.0301783264746218</v>
      </c>
      <c r="Q69" s="188">
        <f t="shared" si="1"/>
        <v>7.4789131132708748</v>
      </c>
    </row>
    <row r="70" spans="1:17" ht="25.5" x14ac:dyDescent="0.25">
      <c r="A70" s="26" t="s">
        <v>218</v>
      </c>
      <c r="B70" s="35"/>
      <c r="C70" s="312"/>
      <c r="D70" s="225"/>
      <c r="E70" s="27" t="s">
        <v>219</v>
      </c>
      <c r="F70" s="35"/>
      <c r="G70" s="40"/>
      <c r="H70" s="40"/>
      <c r="I70" s="40"/>
      <c r="J70" s="40"/>
      <c r="K70" s="40"/>
      <c r="M70" s="40"/>
      <c r="O70" s="185">
        <f t="shared" si="0"/>
        <v>0</v>
      </c>
      <c r="Q70" s="188">
        <f t="shared" si="1"/>
        <v>0</v>
      </c>
    </row>
    <row r="71" spans="1:17" ht="25.5" x14ac:dyDescent="0.25">
      <c r="A71" s="24" t="s">
        <v>220</v>
      </c>
      <c r="B71" s="21" t="s">
        <v>222</v>
      </c>
      <c r="E71" s="25" t="s">
        <v>221</v>
      </c>
      <c r="F71" s="29" t="s">
        <v>223</v>
      </c>
      <c r="G71" s="36">
        <v>4</v>
      </c>
      <c r="H71" s="36">
        <v>4</v>
      </c>
      <c r="I71" s="36">
        <v>4</v>
      </c>
      <c r="J71" s="36">
        <v>4</v>
      </c>
      <c r="K71" s="36">
        <v>4</v>
      </c>
      <c r="M71" s="36">
        <v>4</v>
      </c>
      <c r="O71" s="185">
        <f t="shared" si="0"/>
        <v>3.4293552812071328</v>
      </c>
      <c r="Q71" s="188">
        <f t="shared" si="1"/>
        <v>3.6482502991565244</v>
      </c>
    </row>
    <row r="72" spans="1:17" ht="25.5" x14ac:dyDescent="0.25">
      <c r="A72" s="24" t="s">
        <v>224</v>
      </c>
      <c r="B72" s="29" t="s">
        <v>226</v>
      </c>
      <c r="C72" s="310"/>
      <c r="D72" s="223"/>
      <c r="E72" s="25" t="s">
        <v>225</v>
      </c>
      <c r="F72" s="25" t="s">
        <v>227</v>
      </c>
      <c r="G72" s="36">
        <v>4.9000000000000004</v>
      </c>
      <c r="H72" s="36">
        <v>4.9000000000000004</v>
      </c>
      <c r="I72" s="36">
        <v>4.9000000000000004</v>
      </c>
      <c r="J72" s="36">
        <v>4.9000000000000004</v>
      </c>
      <c r="K72" s="36">
        <v>4.9000000000000004</v>
      </c>
      <c r="M72" s="36">
        <v>4.9000000000000004</v>
      </c>
      <c r="O72" s="185">
        <f t="shared" si="0"/>
        <v>4.2009602194787377</v>
      </c>
      <c r="Q72" s="188">
        <f t="shared" si="1"/>
        <v>4.4691066164667426</v>
      </c>
    </row>
    <row r="73" spans="1:17" ht="25.5" x14ac:dyDescent="0.25">
      <c r="A73" s="24" t="s">
        <v>228</v>
      </c>
      <c r="B73" s="29" t="s">
        <v>230</v>
      </c>
      <c r="C73" s="310"/>
      <c r="D73" s="223"/>
      <c r="E73" s="25" t="s">
        <v>229</v>
      </c>
      <c r="F73" s="25" t="s">
        <v>231</v>
      </c>
      <c r="G73" s="36">
        <v>5.7</v>
      </c>
      <c r="H73" s="36">
        <v>5.7</v>
      </c>
      <c r="I73" s="36">
        <v>5.7</v>
      </c>
      <c r="J73" s="36">
        <v>5.7</v>
      </c>
      <c r="K73" s="36">
        <v>5.7</v>
      </c>
      <c r="M73" s="36">
        <v>5.7</v>
      </c>
      <c r="O73" s="185">
        <f t="shared" ref="O73:O91" si="2">(M73*O$1)/O$2</f>
        <v>4.886831275720164</v>
      </c>
      <c r="Q73" s="188">
        <f t="shared" ref="Q73:Q91" si="3">+O73/Q$1</f>
        <v>5.1987566762980473</v>
      </c>
    </row>
    <row r="74" spans="1:17" ht="25.5" x14ac:dyDescent="0.25">
      <c r="A74" s="24" t="s">
        <v>232</v>
      </c>
      <c r="B74" s="29" t="s">
        <v>234</v>
      </c>
      <c r="C74" s="310"/>
      <c r="D74" s="223"/>
      <c r="E74" s="25" t="s">
        <v>233</v>
      </c>
      <c r="F74" s="25" t="s">
        <v>235</v>
      </c>
      <c r="G74" s="36">
        <v>6.5</v>
      </c>
      <c r="H74" s="36">
        <v>6.5</v>
      </c>
      <c r="I74" s="36">
        <v>6.5</v>
      </c>
      <c r="J74" s="36">
        <v>6.5</v>
      </c>
      <c r="K74" s="36">
        <v>6.5</v>
      </c>
      <c r="M74" s="36">
        <v>6.5</v>
      </c>
      <c r="O74" s="185">
        <f t="shared" si="2"/>
        <v>5.5727023319615911</v>
      </c>
      <c r="Q74" s="188">
        <f t="shared" si="3"/>
        <v>5.9284067361293529</v>
      </c>
    </row>
    <row r="75" spans="1:17" ht="25.5" x14ac:dyDescent="0.25">
      <c r="A75" s="24" t="s">
        <v>236</v>
      </c>
      <c r="B75" s="29" t="s">
        <v>238</v>
      </c>
      <c r="C75" s="310"/>
      <c r="D75" s="223"/>
      <c r="E75" s="25" t="s">
        <v>237</v>
      </c>
      <c r="F75" s="25" t="s">
        <v>239</v>
      </c>
      <c r="G75" s="36">
        <v>7.2</v>
      </c>
      <c r="H75" s="36">
        <v>7.2</v>
      </c>
      <c r="I75" s="36">
        <v>7.2</v>
      </c>
      <c r="J75" s="36">
        <v>7.2</v>
      </c>
      <c r="K75" s="36">
        <v>7.2</v>
      </c>
      <c r="M75" s="36">
        <v>7.2</v>
      </c>
      <c r="O75" s="185">
        <f t="shared" si="2"/>
        <v>6.1728395061728394</v>
      </c>
      <c r="Q75" s="188">
        <f t="shared" si="3"/>
        <v>6.5668505384817442</v>
      </c>
    </row>
    <row r="76" spans="1:17" ht="25.5" x14ac:dyDescent="0.25">
      <c r="A76" s="24" t="s">
        <v>240</v>
      </c>
      <c r="B76" s="29" t="s">
        <v>242</v>
      </c>
      <c r="C76" s="310"/>
      <c r="D76" s="223"/>
      <c r="E76" s="25" t="s">
        <v>241</v>
      </c>
      <c r="F76" s="29" t="s">
        <v>243</v>
      </c>
      <c r="G76" s="36">
        <v>18.600000000000001</v>
      </c>
      <c r="H76" s="36">
        <v>18.600000000000001</v>
      </c>
      <c r="I76" s="36">
        <v>18.600000000000001</v>
      </c>
      <c r="J76" s="36">
        <v>18.600000000000001</v>
      </c>
      <c r="K76" s="36">
        <v>18.600000000000001</v>
      </c>
      <c r="M76" s="36">
        <v>18.600000000000001</v>
      </c>
      <c r="O76" s="185">
        <f t="shared" si="2"/>
        <v>15.946502057613168</v>
      </c>
      <c r="Q76" s="188">
        <f t="shared" si="3"/>
        <v>16.964363891077838</v>
      </c>
    </row>
    <row r="77" spans="1:17" x14ac:dyDescent="0.25">
      <c r="O77" s="185">
        <f t="shared" si="2"/>
        <v>0</v>
      </c>
      <c r="Q77" s="188">
        <f t="shared" si="3"/>
        <v>0</v>
      </c>
    </row>
    <row r="78" spans="1:17" x14ac:dyDescent="0.25">
      <c r="A78" s="227"/>
      <c r="B78" s="29"/>
      <c r="C78" s="308" t="s">
        <v>1047</v>
      </c>
      <c r="D78" s="237" t="str">
        <f>_xlfn.XLOOKUP(C78,[1]Sheet1!$A:$A,[1]Sheet1!$B:$B,"")</f>
        <v>U1503001</v>
      </c>
      <c r="E78" s="198" t="s">
        <v>244</v>
      </c>
      <c r="F78" s="198" t="s">
        <v>837</v>
      </c>
      <c r="G78" s="228"/>
      <c r="H78" s="229">
        <v>72.55</v>
      </c>
      <c r="I78" s="229">
        <v>72.55</v>
      </c>
      <c r="J78" s="230">
        <v>72.55</v>
      </c>
      <c r="K78" s="230">
        <v>72.55</v>
      </c>
      <c r="L78" s="141"/>
      <c r="M78" s="136">
        <v>72.55</v>
      </c>
      <c r="N78" s="141"/>
      <c r="O78" s="185">
        <f t="shared" si="2"/>
        <v>62.199931412894365</v>
      </c>
      <c r="Q78" s="188">
        <f t="shared" si="3"/>
        <v>66.170139800951461</v>
      </c>
    </row>
    <row r="79" spans="1:17" x14ac:dyDescent="0.25">
      <c r="A79" s="227"/>
      <c r="B79" s="29"/>
      <c r="C79" s="308" t="s">
        <v>980</v>
      </c>
      <c r="D79" s="237" t="str">
        <f>_xlfn.XLOOKUP(C79,[1]Sheet1!$A:$A,[1]Sheet1!$B:$B,"")</f>
        <v>U1503002</v>
      </c>
      <c r="E79" s="198" t="s">
        <v>245</v>
      </c>
      <c r="F79" s="198" t="s">
        <v>838</v>
      </c>
      <c r="G79" s="228"/>
      <c r="H79" s="229">
        <v>79.75</v>
      </c>
      <c r="I79" s="229">
        <v>79.75</v>
      </c>
      <c r="J79" s="230">
        <v>79.75</v>
      </c>
      <c r="K79" s="230">
        <v>79.75</v>
      </c>
      <c r="L79" s="141"/>
      <c r="M79" s="136">
        <v>79.75</v>
      </c>
      <c r="N79" s="141"/>
      <c r="O79" s="185">
        <f t="shared" si="2"/>
        <v>68.372770919067207</v>
      </c>
      <c r="Q79" s="188">
        <f t="shared" si="3"/>
        <v>72.736990339433206</v>
      </c>
    </row>
    <row r="80" spans="1:17" x14ac:dyDescent="0.25">
      <c r="A80" s="227"/>
      <c r="B80" s="29"/>
      <c r="C80" s="308" t="s">
        <v>1048</v>
      </c>
      <c r="D80" s="237" t="str">
        <f>_xlfn.XLOOKUP(C80,[1]Sheet1!$A:$A,[1]Sheet1!$B:$B,"")</f>
        <v>U1503003</v>
      </c>
      <c r="E80" s="198" t="s">
        <v>245</v>
      </c>
      <c r="F80" s="198" t="s">
        <v>839</v>
      </c>
      <c r="G80" s="228"/>
      <c r="H80" s="229">
        <v>81.25</v>
      </c>
      <c r="I80" s="229">
        <v>81.25</v>
      </c>
      <c r="J80" s="230">
        <v>81.25</v>
      </c>
      <c r="K80" s="230">
        <v>81.25</v>
      </c>
      <c r="L80" s="141"/>
      <c r="M80" s="136">
        <v>81.25</v>
      </c>
      <c r="N80" s="141"/>
      <c r="O80" s="185">
        <f t="shared" si="2"/>
        <v>69.658779149519887</v>
      </c>
      <c r="Q80" s="188">
        <f t="shared" si="3"/>
        <v>74.105084201616904</v>
      </c>
    </row>
    <row r="81" spans="1:17" x14ac:dyDescent="0.25">
      <c r="A81" s="227"/>
      <c r="B81" s="29"/>
      <c r="C81" s="308" t="s">
        <v>1049</v>
      </c>
      <c r="D81" s="237" t="str">
        <f>_xlfn.XLOOKUP(C81,[1]Sheet1!$A:$A,[1]Sheet1!$B:$B,"")</f>
        <v>U1503004</v>
      </c>
      <c r="E81" s="198" t="s">
        <v>245</v>
      </c>
      <c r="F81" s="198" t="s">
        <v>840</v>
      </c>
      <c r="G81" s="228"/>
      <c r="H81" s="229">
        <v>93.75</v>
      </c>
      <c r="I81" s="229">
        <v>93.75</v>
      </c>
      <c r="J81" s="230">
        <v>93.75</v>
      </c>
      <c r="K81" s="230">
        <v>93.75</v>
      </c>
      <c r="L81" s="141"/>
      <c r="M81" s="136">
        <v>93.75</v>
      </c>
      <c r="N81" s="141"/>
      <c r="O81" s="185">
        <f t="shared" si="2"/>
        <v>80.375514403292172</v>
      </c>
      <c r="Q81" s="188">
        <f t="shared" si="3"/>
        <v>85.505866386481046</v>
      </c>
    </row>
    <row r="82" spans="1:17" x14ac:dyDescent="0.25">
      <c r="A82" s="227"/>
      <c r="B82" s="29"/>
      <c r="C82" s="308" t="s">
        <v>979</v>
      </c>
      <c r="D82" s="237" t="str">
        <f>_xlfn.XLOOKUP(C82,[1]Sheet1!$A:$A,[1]Sheet1!$B:$B,"")</f>
        <v>U1503007</v>
      </c>
      <c r="E82" s="198" t="s">
        <v>246</v>
      </c>
      <c r="F82" s="198" t="s">
        <v>841</v>
      </c>
      <c r="G82" s="228"/>
      <c r="H82" s="229">
        <v>92.67</v>
      </c>
      <c r="I82" s="229">
        <v>92.67</v>
      </c>
      <c r="J82" s="230">
        <v>92.67</v>
      </c>
      <c r="K82" s="230">
        <v>92.67</v>
      </c>
      <c r="L82" s="141"/>
      <c r="M82" s="136">
        <v>92.67</v>
      </c>
      <c r="N82" s="141"/>
      <c r="O82" s="185">
        <f t="shared" si="2"/>
        <v>79.449588477366248</v>
      </c>
      <c r="Q82" s="188">
        <f t="shared" si="3"/>
        <v>84.520838805708777</v>
      </c>
    </row>
    <row r="83" spans="1:17" x14ac:dyDescent="0.25">
      <c r="A83" s="227"/>
      <c r="B83" s="29"/>
      <c r="C83" s="308" t="s">
        <v>1052</v>
      </c>
      <c r="D83" s="237" t="str">
        <f>_xlfn.XLOOKUP(C83,[1]Sheet1!$A:$A,[1]Sheet1!$B:$B,"")</f>
        <v>U1503008</v>
      </c>
      <c r="E83" s="198" t="s">
        <v>246</v>
      </c>
      <c r="F83" s="198" t="s">
        <v>842</v>
      </c>
      <c r="G83" s="228"/>
      <c r="H83" s="229">
        <v>94.17</v>
      </c>
      <c r="I83" s="229">
        <v>94.17</v>
      </c>
      <c r="J83" s="230">
        <v>94.17</v>
      </c>
      <c r="K83" s="230">
        <v>94.17</v>
      </c>
      <c r="L83" s="141"/>
      <c r="M83" s="136">
        <v>94.17</v>
      </c>
      <c r="N83" s="141"/>
      <c r="O83" s="185">
        <f t="shared" si="2"/>
        <v>80.735596707818928</v>
      </c>
      <c r="Q83" s="188">
        <f t="shared" si="3"/>
        <v>85.888932667892476</v>
      </c>
    </row>
    <row r="84" spans="1:17" x14ac:dyDescent="0.25">
      <c r="A84" s="227"/>
      <c r="B84" s="29"/>
      <c r="C84" s="308" t="s">
        <v>1053</v>
      </c>
      <c r="D84" s="237" t="str">
        <f>_xlfn.XLOOKUP(C84,[1]Sheet1!$A:$A,[1]Sheet1!$B:$B,"")</f>
        <v>U1503009</v>
      </c>
      <c r="E84" s="198" t="s">
        <v>246</v>
      </c>
      <c r="F84" s="198" t="s">
        <v>843</v>
      </c>
      <c r="G84" s="228"/>
      <c r="H84" s="229">
        <v>105</v>
      </c>
      <c r="I84" s="229">
        <v>105</v>
      </c>
      <c r="J84" s="230">
        <v>105</v>
      </c>
      <c r="K84" s="230">
        <v>105</v>
      </c>
      <c r="L84" s="141"/>
      <c r="M84" s="136">
        <v>105</v>
      </c>
      <c r="N84" s="141"/>
      <c r="O84" s="185">
        <f t="shared" si="2"/>
        <v>90.020576131687235</v>
      </c>
      <c r="Q84" s="188">
        <f t="shared" si="3"/>
        <v>95.766570352858764</v>
      </c>
    </row>
    <row r="85" spans="1:17" x14ac:dyDescent="0.25">
      <c r="A85" s="227"/>
      <c r="B85" s="29"/>
      <c r="C85" s="308" t="s">
        <v>981</v>
      </c>
      <c r="D85" s="237" t="str">
        <f>_xlfn.XLOOKUP(C85,[1]Sheet1!$A:$A,[1]Sheet1!$B:$B,"")</f>
        <v>U1503010</v>
      </c>
      <c r="E85" s="198" t="s">
        <v>247</v>
      </c>
      <c r="F85" s="198" t="s">
        <v>844</v>
      </c>
      <c r="G85" s="228"/>
      <c r="H85" s="229">
        <v>108.62</v>
      </c>
      <c r="I85" s="229">
        <v>108.62</v>
      </c>
      <c r="J85" s="230">
        <v>108.62</v>
      </c>
      <c r="K85" s="230">
        <v>108.62</v>
      </c>
      <c r="L85" s="141"/>
      <c r="M85" s="136">
        <v>108.62</v>
      </c>
      <c r="N85" s="141"/>
      <c r="O85" s="185">
        <f t="shared" si="2"/>
        <v>93.12414266117969</v>
      </c>
      <c r="Q85" s="188">
        <f t="shared" si="3"/>
        <v>99.068236873595424</v>
      </c>
    </row>
    <row r="86" spans="1:17" x14ac:dyDescent="0.25">
      <c r="A86" s="227"/>
      <c r="B86" s="29"/>
      <c r="C86" s="308" t="s">
        <v>1054</v>
      </c>
      <c r="D86" s="237" t="str">
        <f>_xlfn.XLOOKUP(C86,[1]Sheet1!$A:$A,[1]Sheet1!$B:$B,"")</f>
        <v>U1503011</v>
      </c>
      <c r="E86" s="198" t="s">
        <v>247</v>
      </c>
      <c r="F86" s="198" t="s">
        <v>845</v>
      </c>
      <c r="G86" s="228"/>
      <c r="H86" s="229">
        <v>110</v>
      </c>
      <c r="I86" s="229">
        <v>110</v>
      </c>
      <c r="J86" s="230">
        <v>110</v>
      </c>
      <c r="K86" s="230">
        <v>110</v>
      </c>
      <c r="L86" s="141"/>
      <c r="M86" s="136">
        <v>110</v>
      </c>
      <c r="N86" s="141"/>
      <c r="O86" s="185">
        <f t="shared" si="2"/>
        <v>94.307270233196149</v>
      </c>
      <c r="Q86" s="188">
        <f t="shared" si="3"/>
        <v>100.32688322680443</v>
      </c>
    </row>
    <row r="87" spans="1:17" x14ac:dyDescent="0.25">
      <c r="A87" s="227"/>
      <c r="B87" s="29"/>
      <c r="C87" s="308" t="s">
        <v>1055</v>
      </c>
      <c r="D87" s="237" t="str">
        <f>_xlfn.XLOOKUP(C87,[1]Sheet1!$A:$A,[1]Sheet1!$B:$B,"")</f>
        <v>U1503012</v>
      </c>
      <c r="E87" s="198" t="s">
        <v>247</v>
      </c>
      <c r="F87" s="198" t="s">
        <v>846</v>
      </c>
      <c r="G87" s="228"/>
      <c r="H87" s="229">
        <v>121.12</v>
      </c>
      <c r="I87" s="229">
        <v>121.12</v>
      </c>
      <c r="J87" s="230">
        <v>121.12</v>
      </c>
      <c r="K87" s="230">
        <v>121.12</v>
      </c>
      <c r="L87" s="141"/>
      <c r="M87" s="136">
        <v>121.12</v>
      </c>
      <c r="N87" s="141"/>
      <c r="O87" s="185">
        <f t="shared" si="2"/>
        <v>103.84087791495199</v>
      </c>
      <c r="Q87" s="188">
        <f t="shared" si="3"/>
        <v>110.46901905845957</v>
      </c>
    </row>
    <row r="88" spans="1:17" x14ac:dyDescent="0.25">
      <c r="A88" s="231"/>
      <c r="B88" s="232" t="s">
        <v>252</v>
      </c>
      <c r="C88" s="308" t="s">
        <v>1051</v>
      </c>
      <c r="D88" s="237" t="str">
        <f>_xlfn.XLOOKUP(C88,[1]Sheet1!$A:$A,[1]Sheet1!$B:$B,"")</f>
        <v>U1503006</v>
      </c>
      <c r="E88" s="29"/>
      <c r="F88" s="232" t="s">
        <v>253</v>
      </c>
      <c r="G88" s="228"/>
      <c r="H88" s="233">
        <v>15.9</v>
      </c>
      <c r="I88" s="233">
        <v>15.9</v>
      </c>
      <c r="J88" s="234">
        <v>15.9</v>
      </c>
      <c r="K88" s="234">
        <v>15.9</v>
      </c>
      <c r="L88" s="142"/>
      <c r="M88" s="137">
        <v>15.9</v>
      </c>
      <c r="N88" s="142"/>
      <c r="O88" s="185">
        <f t="shared" si="2"/>
        <v>13.631687242798353</v>
      </c>
      <c r="Q88" s="188">
        <f t="shared" si="3"/>
        <v>14.501794939147185</v>
      </c>
    </row>
    <row r="89" spans="1:17" x14ac:dyDescent="0.25">
      <c r="A89" s="231"/>
      <c r="B89" s="232" t="s">
        <v>254</v>
      </c>
      <c r="C89" s="308" t="s">
        <v>1056</v>
      </c>
      <c r="D89" s="237" t="str">
        <f>_xlfn.XLOOKUP(C89,[1]Sheet1!$A:$A,[1]Sheet1!$B:$B,"")</f>
        <v>U1503013</v>
      </c>
      <c r="E89" s="29"/>
      <c r="F89" s="232" t="s">
        <v>255</v>
      </c>
      <c r="G89" s="228"/>
      <c r="H89" s="233">
        <v>22.7</v>
      </c>
      <c r="I89" s="233">
        <v>22.7</v>
      </c>
      <c r="J89" s="234">
        <v>22.7</v>
      </c>
      <c r="K89" s="234">
        <v>22.7</v>
      </c>
      <c r="L89" s="142"/>
      <c r="M89" s="137">
        <v>22.7</v>
      </c>
      <c r="N89" s="142"/>
      <c r="O89" s="185">
        <f t="shared" si="2"/>
        <v>19.46159122085048</v>
      </c>
      <c r="Q89" s="188">
        <f t="shared" si="3"/>
        <v>20.703820447713277</v>
      </c>
    </row>
    <row r="90" spans="1:17" x14ac:dyDescent="0.25">
      <c r="A90" s="231"/>
      <c r="B90" s="232" t="s">
        <v>248</v>
      </c>
      <c r="C90" s="308" t="s">
        <v>1050</v>
      </c>
      <c r="D90" s="237" t="str">
        <f>_xlfn.XLOOKUP(C90,[1]Sheet1!$A:$A,[1]Sheet1!$B:$B,"")</f>
        <v>U1503005</v>
      </c>
      <c r="E90" s="29"/>
      <c r="F90" s="232" t="s">
        <v>249</v>
      </c>
      <c r="G90" s="228"/>
      <c r="H90" s="233">
        <v>21.1</v>
      </c>
      <c r="I90" s="233">
        <v>21.1</v>
      </c>
      <c r="J90" s="234">
        <v>21.1</v>
      </c>
      <c r="K90" s="234">
        <v>21.1</v>
      </c>
      <c r="L90" s="142"/>
      <c r="M90" s="137">
        <v>21.1</v>
      </c>
      <c r="N90" s="142"/>
      <c r="O90" s="185">
        <f t="shared" si="2"/>
        <v>18.089849108367627</v>
      </c>
      <c r="Q90" s="188">
        <f t="shared" si="3"/>
        <v>19.244520328050669</v>
      </c>
    </row>
    <row r="91" spans="1:17" x14ac:dyDescent="0.25">
      <c r="A91" s="231"/>
      <c r="B91" s="232" t="s">
        <v>250</v>
      </c>
      <c r="C91" s="308" t="s">
        <v>1057</v>
      </c>
      <c r="D91" s="237" t="str">
        <f>_xlfn.XLOOKUP(C91,[1]Sheet1!$A:$A,[1]Sheet1!$B:$B,"")</f>
        <v>U1503014</v>
      </c>
      <c r="E91" s="29"/>
      <c r="F91" s="232" t="s">
        <v>251</v>
      </c>
      <c r="G91" s="228"/>
      <c r="H91" s="233">
        <v>30.3</v>
      </c>
      <c r="I91" s="233">
        <v>30.3</v>
      </c>
      <c r="J91" s="234">
        <v>30.3</v>
      </c>
      <c r="K91" s="234">
        <v>30.3</v>
      </c>
      <c r="L91" s="142"/>
      <c r="M91" s="137">
        <v>30.3</v>
      </c>
      <c r="N91" s="142"/>
      <c r="O91" s="185">
        <f t="shared" si="2"/>
        <v>25.97736625514403</v>
      </c>
      <c r="Q91" s="188">
        <f t="shared" si="3"/>
        <v>27.635496016110672</v>
      </c>
    </row>
  </sheetData>
  <mergeCells count="7">
    <mergeCell ref="A59:G59"/>
    <mergeCell ref="A66:G66"/>
    <mergeCell ref="A20:G20"/>
    <mergeCell ref="A21:E21"/>
    <mergeCell ref="A27:G27"/>
    <mergeCell ref="A38:G38"/>
    <mergeCell ref="A52:G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E2165-7361-4F03-9021-EC8ACE6EB537}">
  <dimension ref="A1:S64"/>
  <sheetViews>
    <sheetView zoomScale="80" zoomScaleNormal="80" workbookViewId="0">
      <selection activeCell="C27" sqref="C27"/>
    </sheetView>
  </sheetViews>
  <sheetFormatPr baseColWidth="10" defaultColWidth="11.5703125" defaultRowHeight="15" x14ac:dyDescent="0.25"/>
  <cols>
    <col min="1" max="1" width="19.28515625" style="47" bestFit="1" customWidth="1"/>
    <col min="2" max="2" width="50.28515625" style="269" bestFit="1" customWidth="1"/>
    <col min="3" max="3" width="22.28515625" style="269" customWidth="1"/>
    <col min="4" max="4" width="10.5703125" style="269" customWidth="1"/>
    <col min="5" max="5" width="62.85546875" style="47" customWidth="1"/>
    <col min="6" max="7" width="25.5703125" style="44" hidden="1" customWidth="1"/>
    <col min="8" max="9" width="25.7109375" style="44" customWidth="1"/>
    <col min="10" max="10" width="19" style="47" customWidth="1"/>
    <col min="11" max="11" width="2.85546875" style="47" customWidth="1"/>
    <col min="12" max="12" width="20.42578125" style="47" bestFit="1" customWidth="1"/>
    <col min="13" max="13" width="2" style="47" customWidth="1"/>
    <col min="14" max="14" width="17.42578125" style="59" customWidth="1"/>
    <col min="15" max="15" width="2" style="47" customWidth="1"/>
    <col min="16" max="16" width="52.42578125" style="59" customWidth="1"/>
    <col min="17" max="17" width="34" style="59" customWidth="1"/>
    <col min="18" max="16384" width="11.5703125" style="47"/>
  </cols>
  <sheetData>
    <row r="1" spans="1:18" x14ac:dyDescent="0.25">
      <c r="G1" s="11"/>
      <c r="H1" s="11"/>
      <c r="I1" s="11" t="s">
        <v>27</v>
      </c>
      <c r="J1" s="2">
        <v>1</v>
      </c>
      <c r="K1"/>
      <c r="L1" s="2">
        <v>0.94</v>
      </c>
    </row>
    <row r="2" spans="1:18" x14ac:dyDescent="0.25">
      <c r="G2" s="11"/>
      <c r="H2" s="11"/>
      <c r="I2" s="11" t="s">
        <v>28</v>
      </c>
      <c r="J2" s="58">
        <v>1.1659999999999999</v>
      </c>
      <c r="K2"/>
      <c r="L2"/>
    </row>
    <row r="3" spans="1:18" x14ac:dyDescent="0.25">
      <c r="F3" s="1">
        <v>45776</v>
      </c>
      <c r="G3" s="1">
        <v>45859</v>
      </c>
      <c r="H3" s="1">
        <v>45869</v>
      </c>
      <c r="I3" s="1">
        <v>46073</v>
      </c>
    </row>
    <row r="4" spans="1:18" ht="23.1" customHeight="1" x14ac:dyDescent="0.25">
      <c r="A4" s="48" t="s">
        <v>256</v>
      </c>
      <c r="B4" s="48" t="s">
        <v>257</v>
      </c>
      <c r="C4" s="226" t="s">
        <v>600</v>
      </c>
      <c r="D4" s="226" t="s">
        <v>482</v>
      </c>
      <c r="E4" s="48" t="s">
        <v>37</v>
      </c>
      <c r="F4" s="43" t="s">
        <v>258</v>
      </c>
      <c r="G4" s="43" t="s">
        <v>258</v>
      </c>
      <c r="H4" s="43" t="s">
        <v>258</v>
      </c>
      <c r="I4" s="43" t="s">
        <v>258</v>
      </c>
      <c r="J4" s="45" t="s">
        <v>57</v>
      </c>
      <c r="L4" s="273" t="s">
        <v>58</v>
      </c>
      <c r="N4" s="60" t="s">
        <v>29</v>
      </c>
      <c r="P4" s="60" t="s">
        <v>367</v>
      </c>
      <c r="Q4" s="60" t="s">
        <v>376</v>
      </c>
    </row>
    <row r="5" spans="1:18" ht="23.1" customHeight="1" x14ac:dyDescent="0.25">
      <c r="A5" s="49" t="s">
        <v>259</v>
      </c>
      <c r="B5" s="270" t="s">
        <v>260</v>
      </c>
      <c r="C5" s="274" t="s">
        <v>1097</v>
      </c>
      <c r="D5" s="274"/>
      <c r="E5" s="49" t="s">
        <v>261</v>
      </c>
      <c r="F5" s="53">
        <v>30.25</v>
      </c>
      <c r="G5" s="53">
        <v>30.25</v>
      </c>
      <c r="H5" s="53">
        <v>25</v>
      </c>
      <c r="I5" s="53">
        <v>25</v>
      </c>
      <c r="J5" s="175">
        <f>(I5*J$1)/J$2</f>
        <v>21.440823327615782</v>
      </c>
      <c r="L5" s="275">
        <f>J5/L$1</f>
        <v>22.809386518740194</v>
      </c>
      <c r="N5" s="53">
        <v>21.52</v>
      </c>
      <c r="P5" s="271" t="s">
        <v>368</v>
      </c>
      <c r="Q5" s="61" t="s">
        <v>265</v>
      </c>
      <c r="R5" s="243"/>
    </row>
    <row r="6" spans="1:18" ht="23.1" customHeight="1" x14ac:dyDescent="0.25">
      <c r="A6" s="49" t="s">
        <v>262</v>
      </c>
      <c r="B6" s="270" t="s">
        <v>263</v>
      </c>
      <c r="C6" s="274" t="s">
        <v>1098</v>
      </c>
      <c r="D6" s="274"/>
      <c r="E6" s="49" t="s">
        <v>264</v>
      </c>
      <c r="F6" s="53">
        <v>43.45</v>
      </c>
      <c r="G6" s="53">
        <v>43.45</v>
      </c>
      <c r="H6" s="53">
        <v>40</v>
      </c>
      <c r="I6" s="53">
        <v>40</v>
      </c>
      <c r="J6" s="175">
        <f>(I6*J$1)/J$2</f>
        <v>34.305317324185253</v>
      </c>
      <c r="L6" s="275">
        <f>J6/L$1</f>
        <v>36.495018429984313</v>
      </c>
      <c r="N6" s="53">
        <v>34.200000000000003</v>
      </c>
      <c r="P6" s="271" t="s">
        <v>369</v>
      </c>
      <c r="Q6" s="61" t="s">
        <v>265</v>
      </c>
      <c r="R6" s="243"/>
    </row>
    <row r="7" spans="1:18" ht="12.6" customHeight="1" x14ac:dyDescent="0.25">
      <c r="A7" s="50"/>
      <c r="B7" s="50"/>
      <c r="C7" s="50"/>
      <c r="D7" s="50"/>
      <c r="E7" s="50"/>
      <c r="F7" s="46"/>
      <c r="G7" s="46"/>
      <c r="H7" s="46"/>
      <c r="I7" s="46"/>
      <c r="J7" s="55"/>
      <c r="L7" s="51"/>
      <c r="N7" s="51"/>
      <c r="P7" s="51"/>
      <c r="Q7" s="51"/>
    </row>
    <row r="8" spans="1:18" ht="23.1" customHeight="1" x14ac:dyDescent="0.25">
      <c r="A8" s="49" t="s">
        <v>266</v>
      </c>
      <c r="B8" s="270" t="s">
        <v>267</v>
      </c>
      <c r="C8" s="274"/>
      <c r="D8" s="274"/>
      <c r="E8" s="49" t="s">
        <v>268</v>
      </c>
      <c r="F8" s="53">
        <v>6.05</v>
      </c>
      <c r="G8" s="53">
        <v>6.05</v>
      </c>
      <c r="H8" s="53">
        <v>5</v>
      </c>
      <c r="I8" s="53">
        <v>5</v>
      </c>
      <c r="J8" s="175">
        <f t="shared" ref="J8:J28" si="0">(I8*J$1)/J$2</f>
        <v>4.2881646655231567</v>
      </c>
      <c r="L8" s="275">
        <f>J8/L$1</f>
        <v>4.5618773037480391</v>
      </c>
      <c r="N8" s="53">
        <v>3.75</v>
      </c>
      <c r="P8" s="271" t="s">
        <v>384</v>
      </c>
      <c r="Q8" s="63" t="s">
        <v>388</v>
      </c>
    </row>
    <row r="9" spans="1:18" ht="23.1" customHeight="1" x14ac:dyDescent="0.25">
      <c r="A9" s="49" t="s">
        <v>269</v>
      </c>
      <c r="B9" s="270" t="s">
        <v>270</v>
      </c>
      <c r="C9" s="274" t="s">
        <v>1119</v>
      </c>
      <c r="D9" s="274"/>
      <c r="E9" s="49" t="s">
        <v>271</v>
      </c>
      <c r="F9" s="53">
        <v>8.25</v>
      </c>
      <c r="G9" s="53">
        <v>8.25</v>
      </c>
      <c r="H9" s="53">
        <v>7.65</v>
      </c>
      <c r="I9" s="53">
        <v>7.65</v>
      </c>
      <c r="J9" s="175">
        <f t="shared" si="0"/>
        <v>6.5608919382504292</v>
      </c>
      <c r="L9" s="275">
        <f>J9/L$1</f>
        <v>6.9796722747344999</v>
      </c>
      <c r="N9" s="53">
        <v>7.86</v>
      </c>
      <c r="P9" s="271" t="s">
        <v>384</v>
      </c>
      <c r="Q9" s="61" t="s">
        <v>265</v>
      </c>
    </row>
    <row r="10" spans="1:18" ht="23.1" customHeight="1" x14ac:dyDescent="0.25">
      <c r="A10" s="49" t="s">
        <v>272</v>
      </c>
      <c r="B10" s="270" t="s">
        <v>273</v>
      </c>
      <c r="C10" s="274" t="s">
        <v>1120</v>
      </c>
      <c r="D10" s="274"/>
      <c r="E10" s="49" t="s">
        <v>274</v>
      </c>
      <c r="F10" s="53" t="s">
        <v>265</v>
      </c>
      <c r="G10" s="53">
        <v>10.4</v>
      </c>
      <c r="H10" s="53">
        <v>9</v>
      </c>
      <c r="I10" s="53">
        <v>9</v>
      </c>
      <c r="J10" s="175">
        <f t="shared" si="0"/>
        <v>7.7186963979416818</v>
      </c>
      <c r="L10" s="275">
        <f t="shared" ref="L10:L23" si="1">J10/L$1</f>
        <v>8.2113791467464701</v>
      </c>
      <c r="N10" s="53">
        <v>7.69</v>
      </c>
      <c r="P10" s="271" t="s">
        <v>384</v>
      </c>
      <c r="Q10" s="61" t="s">
        <v>265</v>
      </c>
    </row>
    <row r="11" spans="1:18" ht="23.1" customHeight="1" x14ac:dyDescent="0.25">
      <c r="A11" s="49" t="s">
        <v>275</v>
      </c>
      <c r="B11" s="270" t="s">
        <v>276</v>
      </c>
      <c r="C11" s="274" t="s">
        <v>1121</v>
      </c>
      <c r="D11" s="274"/>
      <c r="E11" s="49" t="s">
        <v>277</v>
      </c>
      <c r="F11" s="53">
        <v>11</v>
      </c>
      <c r="G11" s="53">
        <v>11</v>
      </c>
      <c r="H11" s="53">
        <v>10.5</v>
      </c>
      <c r="I11" s="53">
        <v>10.5</v>
      </c>
      <c r="J11" s="175">
        <f t="shared" si="0"/>
        <v>9.0051457975986278</v>
      </c>
      <c r="L11" s="275">
        <f>J11/L$1</f>
        <v>9.5799423378708806</v>
      </c>
      <c r="N11" s="53">
        <v>10.58</v>
      </c>
      <c r="P11" s="271" t="s">
        <v>384</v>
      </c>
      <c r="Q11" s="61" t="s">
        <v>265</v>
      </c>
    </row>
    <row r="12" spans="1:18" ht="23.1" customHeight="1" x14ac:dyDescent="0.25">
      <c r="A12" s="49" t="s">
        <v>278</v>
      </c>
      <c r="B12" s="270" t="s">
        <v>279</v>
      </c>
      <c r="C12" s="274" t="s">
        <v>1117</v>
      </c>
      <c r="D12" s="274"/>
      <c r="E12" s="49" t="s">
        <v>280</v>
      </c>
      <c r="F12" s="53">
        <v>11</v>
      </c>
      <c r="G12" s="53">
        <v>11</v>
      </c>
      <c r="H12" s="53">
        <v>11</v>
      </c>
      <c r="I12" s="53">
        <v>11</v>
      </c>
      <c r="J12" s="175">
        <f t="shared" si="0"/>
        <v>9.433962264150944</v>
      </c>
      <c r="L12" s="275">
        <f t="shared" si="1"/>
        <v>10.036130068245686</v>
      </c>
      <c r="N12" s="53">
        <v>25.04</v>
      </c>
      <c r="P12" s="271" t="s">
        <v>372</v>
      </c>
      <c r="Q12" s="61" t="s">
        <v>265</v>
      </c>
    </row>
    <row r="13" spans="1:18" ht="23.1" customHeight="1" x14ac:dyDescent="0.25">
      <c r="A13" s="49" t="s">
        <v>281</v>
      </c>
      <c r="B13" s="270" t="s">
        <v>282</v>
      </c>
      <c r="C13" s="274" t="s">
        <v>1116</v>
      </c>
      <c r="D13" s="274"/>
      <c r="E13" s="49" t="s">
        <v>283</v>
      </c>
      <c r="F13" s="53">
        <v>16.5</v>
      </c>
      <c r="G13" s="53">
        <v>16.5</v>
      </c>
      <c r="H13" s="53">
        <v>16.5</v>
      </c>
      <c r="I13" s="53">
        <v>16.5</v>
      </c>
      <c r="J13" s="175">
        <f t="shared" si="0"/>
        <v>14.150943396226417</v>
      </c>
      <c r="L13" s="275">
        <f t="shared" si="1"/>
        <v>15.05419510236853</v>
      </c>
      <c r="N13" s="53">
        <v>50.71</v>
      </c>
      <c r="P13" s="271" t="s">
        <v>383</v>
      </c>
      <c r="Q13" s="61" t="s">
        <v>265</v>
      </c>
    </row>
    <row r="14" spans="1:18" ht="23.1" customHeight="1" x14ac:dyDescent="0.25">
      <c r="A14" s="49" t="s">
        <v>284</v>
      </c>
      <c r="B14" s="270" t="s">
        <v>285</v>
      </c>
      <c r="C14" s="274" t="s">
        <v>1118</v>
      </c>
      <c r="D14" s="274"/>
      <c r="E14" s="49" t="s">
        <v>286</v>
      </c>
      <c r="F14" s="53">
        <v>13.75</v>
      </c>
      <c r="G14" s="53">
        <v>13.75</v>
      </c>
      <c r="H14" s="53">
        <v>13.75</v>
      </c>
      <c r="I14" s="53">
        <v>13.75</v>
      </c>
      <c r="J14" s="175">
        <f t="shared" si="0"/>
        <v>11.79245283018868</v>
      </c>
      <c r="L14" s="275">
        <f t="shared" si="1"/>
        <v>12.545162585307107</v>
      </c>
      <c r="N14" s="53">
        <v>34.43</v>
      </c>
      <c r="P14" s="271" t="s">
        <v>373</v>
      </c>
      <c r="Q14" s="61" t="s">
        <v>265</v>
      </c>
    </row>
    <row r="15" spans="1:18" ht="23.1" customHeight="1" x14ac:dyDescent="0.25">
      <c r="A15" s="11" t="s">
        <v>1232</v>
      </c>
      <c r="B15" s="270" t="s">
        <v>1233</v>
      </c>
      <c r="C15" s="274" t="s">
        <v>1235</v>
      </c>
      <c r="D15" s="274"/>
      <c r="E15" s="11" t="s">
        <v>1234</v>
      </c>
      <c r="F15" s="53"/>
      <c r="G15" s="53"/>
      <c r="H15" s="53">
        <v>16.5</v>
      </c>
      <c r="I15" s="53">
        <v>16.5</v>
      </c>
      <c r="J15" s="175">
        <f t="shared" si="0"/>
        <v>14.150943396226417</v>
      </c>
      <c r="L15" s="275">
        <f>J15/L$1</f>
        <v>15.05419510236853</v>
      </c>
      <c r="N15" s="53">
        <v>34.43</v>
      </c>
      <c r="P15" s="271"/>
      <c r="Q15" s="61"/>
    </row>
    <row r="16" spans="1:18" ht="23.1" customHeight="1" x14ac:dyDescent="0.25">
      <c r="A16" s="49" t="s">
        <v>287</v>
      </c>
      <c r="B16" s="270" t="s">
        <v>288</v>
      </c>
      <c r="C16" s="274" t="s">
        <v>1114</v>
      </c>
      <c r="D16" s="274"/>
      <c r="E16" s="49" t="s">
        <v>289</v>
      </c>
      <c r="F16" s="53" t="s">
        <v>265</v>
      </c>
      <c r="G16" s="53">
        <v>15.8</v>
      </c>
      <c r="H16" s="53">
        <v>15</v>
      </c>
      <c r="I16" s="53">
        <v>15</v>
      </c>
      <c r="J16" s="175">
        <f t="shared" si="0"/>
        <v>12.864493996569468</v>
      </c>
      <c r="L16" s="275">
        <f t="shared" si="1"/>
        <v>13.685631911244116</v>
      </c>
      <c r="N16" s="53">
        <v>16.2</v>
      </c>
      <c r="P16" s="271" t="s">
        <v>370</v>
      </c>
      <c r="Q16" s="61" t="s">
        <v>265</v>
      </c>
    </row>
    <row r="17" spans="1:17" ht="23.1" customHeight="1" x14ac:dyDescent="0.25">
      <c r="A17" s="49" t="s">
        <v>290</v>
      </c>
      <c r="B17" s="270" t="s">
        <v>291</v>
      </c>
      <c r="C17" s="274" t="s">
        <v>1115</v>
      </c>
      <c r="D17" s="274"/>
      <c r="E17" s="49" t="s">
        <v>292</v>
      </c>
      <c r="F17" s="53" t="s">
        <v>265</v>
      </c>
      <c r="G17" s="53">
        <v>18.600000000000001</v>
      </c>
      <c r="H17" s="53">
        <v>18</v>
      </c>
      <c r="I17" s="53">
        <v>18</v>
      </c>
      <c r="J17" s="175">
        <f t="shared" si="0"/>
        <v>15.437392795883364</v>
      </c>
      <c r="L17" s="275">
        <f t="shared" si="1"/>
        <v>16.42275829349294</v>
      </c>
      <c r="N17" s="53">
        <v>19.649999999999999</v>
      </c>
      <c r="P17" s="271" t="s">
        <v>371</v>
      </c>
      <c r="Q17" s="61" t="s">
        <v>265</v>
      </c>
    </row>
    <row r="18" spans="1:17" ht="23.1" customHeight="1" x14ac:dyDescent="0.25">
      <c r="A18" s="49" t="s">
        <v>293</v>
      </c>
      <c r="B18" s="270" t="s">
        <v>294</v>
      </c>
      <c r="C18" s="274"/>
      <c r="D18" s="274"/>
      <c r="E18" s="49" t="s">
        <v>295</v>
      </c>
      <c r="F18" s="53">
        <v>11.5</v>
      </c>
      <c r="G18" s="53">
        <v>11.5</v>
      </c>
      <c r="H18" s="53">
        <v>10</v>
      </c>
      <c r="I18" s="53">
        <v>10</v>
      </c>
      <c r="J18" s="175">
        <f t="shared" si="0"/>
        <v>8.5763293310463133</v>
      </c>
      <c r="L18" s="275">
        <f t="shared" si="1"/>
        <v>9.1237546074960783</v>
      </c>
      <c r="N18" s="53">
        <v>5.04</v>
      </c>
      <c r="P18" s="271" t="s">
        <v>377</v>
      </c>
      <c r="Q18" s="61" t="s">
        <v>265</v>
      </c>
    </row>
    <row r="19" spans="1:17" ht="23.1" customHeight="1" x14ac:dyDescent="0.25">
      <c r="A19" s="49" t="s">
        <v>296</v>
      </c>
      <c r="B19" s="270" t="s">
        <v>297</v>
      </c>
      <c r="C19" s="274"/>
      <c r="D19" s="274"/>
      <c r="E19" s="49" t="s">
        <v>298</v>
      </c>
      <c r="F19" s="53">
        <v>13.8</v>
      </c>
      <c r="G19" s="53">
        <v>13.8</v>
      </c>
      <c r="H19" s="53">
        <v>12</v>
      </c>
      <c r="I19" s="53">
        <v>12</v>
      </c>
      <c r="J19" s="175">
        <f t="shared" si="0"/>
        <v>10.291595197255575</v>
      </c>
      <c r="L19" s="275">
        <f t="shared" si="1"/>
        <v>10.948505528995293</v>
      </c>
      <c r="N19" s="53">
        <v>5.96</v>
      </c>
      <c r="P19" s="271" t="s">
        <v>378</v>
      </c>
      <c r="Q19" s="61" t="s">
        <v>265</v>
      </c>
    </row>
    <row r="20" spans="1:17" ht="23.1" customHeight="1" x14ac:dyDescent="0.25">
      <c r="A20" s="49" t="s">
        <v>299</v>
      </c>
      <c r="B20" s="270" t="s">
        <v>300</v>
      </c>
      <c r="C20" s="274" t="s">
        <v>1112</v>
      </c>
      <c r="D20" s="274"/>
      <c r="E20" s="49" t="s">
        <v>301</v>
      </c>
      <c r="F20" s="53">
        <v>16.5</v>
      </c>
      <c r="G20" s="53">
        <v>16.5</v>
      </c>
      <c r="H20" s="53">
        <v>15</v>
      </c>
      <c r="I20" s="53">
        <v>15</v>
      </c>
      <c r="J20" s="175">
        <f t="shared" si="0"/>
        <v>12.864493996569468</v>
      </c>
      <c r="L20" s="275">
        <f t="shared" si="1"/>
        <v>13.685631911244116</v>
      </c>
      <c r="N20" s="53">
        <v>23.55</v>
      </c>
      <c r="P20" s="271" t="s">
        <v>374</v>
      </c>
      <c r="Q20" s="61" t="s">
        <v>265</v>
      </c>
    </row>
    <row r="21" spans="1:17" ht="23.1" customHeight="1" x14ac:dyDescent="0.25">
      <c r="A21" s="49" t="s">
        <v>302</v>
      </c>
      <c r="B21" s="270" t="s">
        <v>303</v>
      </c>
      <c r="C21" s="274" t="s">
        <v>1099</v>
      </c>
      <c r="D21" s="274"/>
      <c r="E21" s="49" t="s">
        <v>304</v>
      </c>
      <c r="F21" s="53">
        <v>6.05</v>
      </c>
      <c r="G21" s="53">
        <v>6.05</v>
      </c>
      <c r="H21" s="53">
        <v>5.85</v>
      </c>
      <c r="I21" s="53">
        <v>5.85</v>
      </c>
      <c r="J21" s="175">
        <f t="shared" si="0"/>
        <v>5.0171526586620923</v>
      </c>
      <c r="L21" s="275">
        <f t="shared" si="1"/>
        <v>5.3373964453852052</v>
      </c>
      <c r="N21" s="53">
        <v>13.95</v>
      </c>
      <c r="P21" s="271" t="s">
        <v>382</v>
      </c>
      <c r="Q21" s="61" t="s">
        <v>265</v>
      </c>
    </row>
    <row r="22" spans="1:17" ht="23.1" customHeight="1" x14ac:dyDescent="0.25">
      <c r="A22" s="49" t="s">
        <v>871</v>
      </c>
      <c r="B22" s="270" t="s">
        <v>305</v>
      </c>
      <c r="C22" s="274" t="s">
        <v>1113</v>
      </c>
      <c r="D22" s="274"/>
      <c r="E22" s="49" t="s">
        <v>872</v>
      </c>
      <c r="F22" s="53" t="s">
        <v>265</v>
      </c>
      <c r="G22" s="53">
        <v>1.8</v>
      </c>
      <c r="H22" s="53">
        <v>1.6</v>
      </c>
      <c r="I22" s="53">
        <v>1.6</v>
      </c>
      <c r="J22" s="175">
        <f t="shared" si="0"/>
        <v>1.3722126929674101</v>
      </c>
      <c r="L22" s="275">
        <f t="shared" si="1"/>
        <v>1.4598007371993726</v>
      </c>
      <c r="N22" s="53"/>
      <c r="P22" s="53"/>
      <c r="Q22" s="61" t="s">
        <v>265</v>
      </c>
    </row>
    <row r="23" spans="1:17" ht="23.1" customHeight="1" x14ac:dyDescent="0.25">
      <c r="A23" s="49" t="s">
        <v>306</v>
      </c>
      <c r="B23" s="270" t="s">
        <v>307</v>
      </c>
      <c r="C23" s="274" t="s">
        <v>1100</v>
      </c>
      <c r="D23" s="274"/>
      <c r="E23" s="49" t="s">
        <v>308</v>
      </c>
      <c r="F23" s="53">
        <v>6.6</v>
      </c>
      <c r="G23" s="53">
        <v>6.6</v>
      </c>
      <c r="H23" s="53">
        <v>4.5</v>
      </c>
      <c r="I23" s="53">
        <v>4.5</v>
      </c>
      <c r="J23" s="175">
        <f t="shared" si="0"/>
        <v>3.8593481989708409</v>
      </c>
      <c r="L23" s="275">
        <f t="shared" si="1"/>
        <v>4.105689573373235</v>
      </c>
      <c r="N23" s="53">
        <v>3.73</v>
      </c>
      <c r="P23" s="53"/>
      <c r="Q23" s="61" t="s">
        <v>265</v>
      </c>
    </row>
    <row r="24" spans="1:17" ht="23.1" customHeight="1" x14ac:dyDescent="0.25">
      <c r="A24" s="49" t="s">
        <v>309</v>
      </c>
      <c r="B24" s="270" t="s">
        <v>310</v>
      </c>
      <c r="C24" s="274" t="s">
        <v>1108</v>
      </c>
      <c r="D24" s="274"/>
      <c r="E24" s="49" t="s">
        <v>311</v>
      </c>
      <c r="F24" s="53">
        <v>2.2000000000000002</v>
      </c>
      <c r="G24" s="53">
        <v>2.2000000000000002</v>
      </c>
      <c r="H24" s="53">
        <v>2</v>
      </c>
      <c r="I24" s="53">
        <v>2</v>
      </c>
      <c r="J24" s="175">
        <f t="shared" si="0"/>
        <v>1.7152658662092626</v>
      </c>
      <c r="L24" s="275">
        <f t="shared" ref="L24:L63" si="2">J24/L$1</f>
        <v>1.8247509214992157</v>
      </c>
      <c r="N24" s="53">
        <v>1.68</v>
      </c>
      <c r="P24" s="271" t="s">
        <v>379</v>
      </c>
      <c r="Q24" s="63" t="s">
        <v>389</v>
      </c>
    </row>
    <row r="25" spans="1:17" ht="23.1" customHeight="1" x14ac:dyDescent="0.25">
      <c r="A25" s="49" t="s">
        <v>312</v>
      </c>
      <c r="B25" s="270" t="s">
        <v>313</v>
      </c>
      <c r="C25" s="274" t="s">
        <v>1109</v>
      </c>
      <c r="D25" s="274"/>
      <c r="E25" s="49" t="s">
        <v>314</v>
      </c>
      <c r="F25" s="53">
        <v>2.75</v>
      </c>
      <c r="G25" s="53">
        <v>2.75</v>
      </c>
      <c r="H25" s="53">
        <v>2.5</v>
      </c>
      <c r="I25" s="53">
        <v>2.5</v>
      </c>
      <c r="J25" s="175">
        <f t="shared" si="0"/>
        <v>2.1440823327615783</v>
      </c>
      <c r="L25" s="275">
        <f t="shared" si="2"/>
        <v>2.2809386518740196</v>
      </c>
      <c r="N25" s="53">
        <v>2.21</v>
      </c>
      <c r="P25" s="271" t="s">
        <v>379</v>
      </c>
      <c r="Q25" s="63" t="s">
        <v>389</v>
      </c>
    </row>
    <row r="26" spans="1:17" ht="23.1" customHeight="1" x14ac:dyDescent="0.25">
      <c r="A26" s="49" t="s">
        <v>315</v>
      </c>
      <c r="B26" s="270" t="s">
        <v>316</v>
      </c>
      <c r="C26" s="274" t="s">
        <v>1110</v>
      </c>
      <c r="D26" s="274"/>
      <c r="E26" s="49" t="s">
        <v>317</v>
      </c>
      <c r="F26" s="53">
        <v>3.3</v>
      </c>
      <c r="G26" s="53">
        <v>3.3</v>
      </c>
      <c r="H26" s="53">
        <v>3</v>
      </c>
      <c r="I26" s="53">
        <v>3</v>
      </c>
      <c r="J26" s="175">
        <f t="shared" si="0"/>
        <v>2.5728987993138936</v>
      </c>
      <c r="L26" s="275">
        <f t="shared" si="2"/>
        <v>2.7371263822488232</v>
      </c>
      <c r="N26" s="53">
        <v>3.06</v>
      </c>
      <c r="P26" s="271" t="s">
        <v>379</v>
      </c>
      <c r="Q26" s="63" t="s">
        <v>389</v>
      </c>
    </row>
    <row r="27" spans="1:17" ht="23.1" customHeight="1" x14ac:dyDescent="0.25">
      <c r="A27" s="49" t="s">
        <v>318</v>
      </c>
      <c r="B27" s="270" t="s">
        <v>319</v>
      </c>
      <c r="C27" s="274" t="s">
        <v>1111</v>
      </c>
      <c r="D27" s="274"/>
      <c r="E27" s="49" t="s">
        <v>320</v>
      </c>
      <c r="F27" s="53">
        <v>4.4000000000000004</v>
      </c>
      <c r="G27" s="53">
        <v>4.4000000000000004</v>
      </c>
      <c r="H27" s="53">
        <v>4.0999999999999996</v>
      </c>
      <c r="I27" s="53">
        <v>4.0999999999999996</v>
      </c>
      <c r="J27" s="175">
        <f t="shared" si="0"/>
        <v>3.5162950257289878</v>
      </c>
      <c r="L27" s="275">
        <f t="shared" si="2"/>
        <v>3.7407393890733913</v>
      </c>
      <c r="N27" s="53">
        <v>4.0999999999999996</v>
      </c>
      <c r="P27" s="271" t="s">
        <v>379</v>
      </c>
      <c r="Q27" s="63" t="s">
        <v>389</v>
      </c>
    </row>
    <row r="28" spans="1:17" ht="23.1" customHeight="1" x14ac:dyDescent="0.25">
      <c r="A28" s="49" t="s">
        <v>321</v>
      </c>
      <c r="B28" s="270" t="s">
        <v>322</v>
      </c>
      <c r="C28" s="274"/>
      <c r="D28" s="274"/>
      <c r="E28" s="49" t="s">
        <v>323</v>
      </c>
      <c r="F28" s="53">
        <v>3.85</v>
      </c>
      <c r="G28" s="53">
        <v>3.85</v>
      </c>
      <c r="H28" s="53">
        <v>3.5</v>
      </c>
      <c r="I28" s="53">
        <v>3.5</v>
      </c>
      <c r="J28" s="175">
        <f t="shared" si="0"/>
        <v>3.0017152658662094</v>
      </c>
      <c r="L28" s="275">
        <f t="shared" si="2"/>
        <v>3.1933141126236273</v>
      </c>
      <c r="N28" s="53">
        <v>2.54</v>
      </c>
      <c r="P28" s="271" t="s">
        <v>387</v>
      </c>
      <c r="Q28" s="63" t="s">
        <v>389</v>
      </c>
    </row>
    <row r="29" spans="1:17" ht="12.6" customHeight="1" x14ac:dyDescent="0.25">
      <c r="A29" s="50"/>
      <c r="B29" s="50"/>
      <c r="C29" s="50"/>
      <c r="D29" s="50"/>
      <c r="E29" s="50"/>
      <c r="F29" s="54"/>
      <c r="G29" s="54"/>
      <c r="H29" s="54"/>
      <c r="I29" s="54"/>
      <c r="J29" s="55"/>
      <c r="L29" s="51"/>
      <c r="N29" s="51"/>
      <c r="P29" s="51"/>
      <c r="Q29" s="51"/>
    </row>
    <row r="30" spans="1:17" ht="23.1" customHeight="1" x14ac:dyDescent="0.25">
      <c r="A30" s="49" t="s">
        <v>324</v>
      </c>
      <c r="B30" s="270" t="s">
        <v>325</v>
      </c>
      <c r="C30" s="274" t="s">
        <v>1101</v>
      </c>
      <c r="D30" s="274"/>
      <c r="E30" s="49" t="s">
        <v>326</v>
      </c>
      <c r="F30" s="53">
        <v>34.65</v>
      </c>
      <c r="G30" s="53">
        <v>34.65</v>
      </c>
      <c r="H30" s="53">
        <v>32</v>
      </c>
      <c r="I30" s="53">
        <v>32</v>
      </c>
      <c r="J30" s="175">
        <f t="shared" ref="J30:J36" si="3">(I30*J$1)/J$2</f>
        <v>27.444253859348201</v>
      </c>
      <c r="K30" s="56"/>
      <c r="L30" s="275">
        <f>J30/L$1</f>
        <v>29.196014743987451</v>
      </c>
      <c r="N30" s="53">
        <v>30.26</v>
      </c>
      <c r="P30" s="272" t="s">
        <v>375</v>
      </c>
      <c r="Q30" s="62" t="s">
        <v>265</v>
      </c>
    </row>
    <row r="31" spans="1:17" ht="23.1" customHeight="1" x14ac:dyDescent="0.25">
      <c r="A31" s="49" t="s">
        <v>327</v>
      </c>
      <c r="B31" s="270" t="s">
        <v>328</v>
      </c>
      <c r="C31" s="274" t="s">
        <v>1102</v>
      </c>
      <c r="D31" s="274"/>
      <c r="E31" s="49" t="s">
        <v>329</v>
      </c>
      <c r="F31" s="53">
        <v>36.299999999999997</v>
      </c>
      <c r="G31" s="53">
        <v>36.299999999999997</v>
      </c>
      <c r="H31" s="53">
        <v>35</v>
      </c>
      <c r="I31" s="53">
        <v>35</v>
      </c>
      <c r="J31" s="175">
        <f t="shared" si="3"/>
        <v>30.017152658662095</v>
      </c>
      <c r="K31" s="56"/>
      <c r="L31" s="275">
        <f t="shared" si="2"/>
        <v>31.933141126236272</v>
      </c>
      <c r="N31" s="53">
        <v>32.25</v>
      </c>
      <c r="P31" s="272" t="s">
        <v>375</v>
      </c>
      <c r="Q31" s="62" t="s">
        <v>265</v>
      </c>
    </row>
    <row r="32" spans="1:17" ht="23.1" customHeight="1" x14ac:dyDescent="0.25">
      <c r="A32" s="49" t="s">
        <v>330</v>
      </c>
      <c r="B32" s="270" t="s">
        <v>331</v>
      </c>
      <c r="C32" s="274" t="s">
        <v>1103</v>
      </c>
      <c r="D32" s="274"/>
      <c r="E32" s="49" t="s">
        <v>332</v>
      </c>
      <c r="F32" s="53">
        <v>39.6</v>
      </c>
      <c r="G32" s="53">
        <v>39.6</v>
      </c>
      <c r="H32" s="53">
        <v>35</v>
      </c>
      <c r="I32" s="53">
        <v>35</v>
      </c>
      <c r="J32" s="175">
        <f t="shared" si="3"/>
        <v>30.017152658662095</v>
      </c>
      <c r="K32" s="56"/>
      <c r="L32" s="275">
        <f t="shared" si="2"/>
        <v>31.933141126236272</v>
      </c>
      <c r="N32" s="53">
        <v>32.25</v>
      </c>
      <c r="P32" s="272" t="s">
        <v>375</v>
      </c>
      <c r="Q32" s="62" t="s">
        <v>265</v>
      </c>
    </row>
    <row r="33" spans="1:17" ht="23.1" customHeight="1" x14ac:dyDescent="0.25">
      <c r="A33" s="49" t="s">
        <v>333</v>
      </c>
      <c r="B33" s="270" t="s">
        <v>334</v>
      </c>
      <c r="C33" s="274" t="s">
        <v>1104</v>
      </c>
      <c r="D33" s="274"/>
      <c r="E33" s="49" t="s">
        <v>335</v>
      </c>
      <c r="F33" s="53">
        <v>42.35</v>
      </c>
      <c r="G33" s="53">
        <v>42.35</v>
      </c>
      <c r="H33" s="53">
        <v>40</v>
      </c>
      <c r="I33" s="53">
        <v>40</v>
      </c>
      <c r="J33" s="175">
        <f t="shared" si="3"/>
        <v>34.305317324185253</v>
      </c>
      <c r="K33" s="56"/>
      <c r="L33" s="275">
        <f t="shared" si="2"/>
        <v>36.495018429984313</v>
      </c>
      <c r="N33" s="53">
        <v>34.18</v>
      </c>
      <c r="P33" s="272" t="s">
        <v>375</v>
      </c>
      <c r="Q33" s="62" t="s">
        <v>265</v>
      </c>
    </row>
    <row r="34" spans="1:17" ht="23.1" customHeight="1" x14ac:dyDescent="0.25">
      <c r="A34" s="49" t="s">
        <v>336</v>
      </c>
      <c r="B34" s="270" t="s">
        <v>337</v>
      </c>
      <c r="C34" s="274" t="s">
        <v>1105</v>
      </c>
      <c r="D34" s="274"/>
      <c r="E34" s="49" t="s">
        <v>338</v>
      </c>
      <c r="F34" s="53">
        <v>37.950000000000003</v>
      </c>
      <c r="G34" s="53">
        <v>37.950000000000003</v>
      </c>
      <c r="H34" s="53">
        <v>35</v>
      </c>
      <c r="I34" s="53">
        <v>35</v>
      </c>
      <c r="J34" s="175">
        <f t="shared" si="3"/>
        <v>30.017152658662095</v>
      </c>
      <c r="K34" s="56"/>
      <c r="L34" s="275">
        <f t="shared" si="2"/>
        <v>31.933141126236272</v>
      </c>
      <c r="N34" s="53">
        <v>34.96</v>
      </c>
      <c r="P34" s="272" t="s">
        <v>375</v>
      </c>
      <c r="Q34" s="62" t="s">
        <v>265</v>
      </c>
    </row>
    <row r="35" spans="1:17" ht="23.1" customHeight="1" x14ac:dyDescent="0.25">
      <c r="A35" s="49" t="s">
        <v>339</v>
      </c>
      <c r="B35" s="270" t="s">
        <v>340</v>
      </c>
      <c r="C35" s="274" t="s">
        <v>1106</v>
      </c>
      <c r="D35" s="274"/>
      <c r="E35" s="49" t="s">
        <v>341</v>
      </c>
      <c r="F35" s="53">
        <v>47.85</v>
      </c>
      <c r="G35" s="53">
        <v>47.85</v>
      </c>
      <c r="H35" s="53">
        <v>45</v>
      </c>
      <c r="I35" s="53">
        <v>45</v>
      </c>
      <c r="J35" s="175">
        <f t="shared" si="3"/>
        <v>38.593481989708408</v>
      </c>
      <c r="K35" s="56"/>
      <c r="L35" s="275">
        <f t="shared" si="2"/>
        <v>41.056895733732354</v>
      </c>
      <c r="N35" s="53">
        <v>36.799999999999997</v>
      </c>
      <c r="P35" s="272" t="s">
        <v>375</v>
      </c>
      <c r="Q35" s="62" t="s">
        <v>265</v>
      </c>
    </row>
    <row r="36" spans="1:17" ht="23.1" customHeight="1" x14ac:dyDescent="0.25">
      <c r="A36" s="49" t="s">
        <v>342</v>
      </c>
      <c r="B36" s="270" t="s">
        <v>343</v>
      </c>
      <c r="C36" s="274" t="s">
        <v>1107</v>
      </c>
      <c r="D36" s="274"/>
      <c r="E36" s="49" t="s">
        <v>344</v>
      </c>
      <c r="F36" s="53" t="s">
        <v>265</v>
      </c>
      <c r="G36" s="53" t="s">
        <v>265</v>
      </c>
      <c r="H36" s="53">
        <v>50</v>
      </c>
      <c r="I36" s="53">
        <v>50</v>
      </c>
      <c r="J36" s="175">
        <f t="shared" si="3"/>
        <v>42.881646655231563</v>
      </c>
      <c r="L36" s="275">
        <f t="shared" si="2"/>
        <v>45.618773037480388</v>
      </c>
      <c r="N36" s="53">
        <v>39.58</v>
      </c>
      <c r="P36" s="272" t="s">
        <v>375</v>
      </c>
      <c r="Q36" s="62" t="s">
        <v>265</v>
      </c>
    </row>
    <row r="37" spans="1:17" ht="12.6" customHeight="1" x14ac:dyDescent="0.25">
      <c r="A37" s="50"/>
      <c r="B37" s="50"/>
      <c r="C37" s="50"/>
      <c r="D37" s="50"/>
      <c r="E37" s="50"/>
      <c r="F37" s="54"/>
      <c r="G37" s="54"/>
      <c r="H37" s="54"/>
      <c r="I37" s="54"/>
      <c r="J37" s="55"/>
      <c r="L37" s="51"/>
      <c r="N37" s="51"/>
      <c r="P37" s="51"/>
      <c r="Q37" s="51"/>
    </row>
    <row r="38" spans="1:17" ht="23.1" customHeight="1" x14ac:dyDescent="0.25">
      <c r="A38" s="52" t="s">
        <v>265</v>
      </c>
      <c r="B38" s="150" t="s">
        <v>345</v>
      </c>
      <c r="C38" s="274"/>
      <c r="D38" s="274"/>
      <c r="E38" s="150" t="s">
        <v>265</v>
      </c>
      <c r="F38" s="151"/>
      <c r="G38" s="151">
        <v>15.8</v>
      </c>
      <c r="H38" s="192">
        <v>15</v>
      </c>
      <c r="I38" s="192">
        <v>15</v>
      </c>
      <c r="J38" s="175">
        <f t="shared" ref="J38:J63" si="4">(I38*J$1)/J$2</f>
        <v>12.864493996569468</v>
      </c>
      <c r="L38" s="275">
        <f t="shared" si="2"/>
        <v>13.685631911244116</v>
      </c>
      <c r="N38" s="53"/>
      <c r="P38" s="53"/>
      <c r="Q38" s="62" t="s">
        <v>265</v>
      </c>
    </row>
    <row r="39" spans="1:17" ht="23.1" customHeight="1" x14ac:dyDescent="0.25">
      <c r="A39" s="52" t="s">
        <v>265</v>
      </c>
      <c r="B39" s="150" t="s">
        <v>346</v>
      </c>
      <c r="C39" s="274"/>
      <c r="D39" s="274"/>
      <c r="E39" s="150" t="s">
        <v>265</v>
      </c>
      <c r="F39" s="151"/>
      <c r="G39" s="151">
        <v>18.7</v>
      </c>
      <c r="H39" s="192">
        <v>17.649999999999999</v>
      </c>
      <c r="I39" s="192">
        <v>17.649999999999999</v>
      </c>
      <c r="J39" s="175">
        <f t="shared" si="4"/>
        <v>15.137221269296742</v>
      </c>
      <c r="L39" s="275">
        <f t="shared" si="2"/>
        <v>16.103426882230576</v>
      </c>
      <c r="N39" s="53"/>
      <c r="P39" s="53"/>
      <c r="Q39" s="62" t="s">
        <v>265</v>
      </c>
    </row>
    <row r="40" spans="1:17" ht="23.1" customHeight="1" x14ac:dyDescent="0.25">
      <c r="A40" s="52" t="s">
        <v>265</v>
      </c>
      <c r="B40" s="150" t="s">
        <v>347</v>
      </c>
      <c r="C40" s="274"/>
      <c r="D40" s="274"/>
      <c r="E40" s="150" t="s">
        <v>265</v>
      </c>
      <c r="F40" s="151"/>
      <c r="G40" s="151">
        <v>18.7</v>
      </c>
      <c r="H40" s="192">
        <v>17.649999999999999</v>
      </c>
      <c r="I40" s="192">
        <v>17.649999999999999</v>
      </c>
      <c r="J40" s="175">
        <f t="shared" si="4"/>
        <v>15.137221269296742</v>
      </c>
      <c r="L40" s="275">
        <f t="shared" si="2"/>
        <v>16.103426882230576</v>
      </c>
      <c r="N40" s="53"/>
      <c r="P40" s="53"/>
      <c r="Q40" s="62" t="s">
        <v>265</v>
      </c>
    </row>
    <row r="41" spans="1:17" ht="23.1" customHeight="1" x14ac:dyDescent="0.25">
      <c r="A41" s="52" t="s">
        <v>265</v>
      </c>
      <c r="B41" s="150" t="s">
        <v>348</v>
      </c>
      <c r="C41" s="274"/>
      <c r="D41" s="274"/>
      <c r="E41" s="150"/>
      <c r="F41" s="151"/>
      <c r="G41" s="151">
        <v>37.697459256107706</v>
      </c>
      <c r="H41" s="192">
        <v>30</v>
      </c>
      <c r="I41" s="192">
        <v>30</v>
      </c>
      <c r="J41" s="175">
        <f t="shared" si="4"/>
        <v>25.728987993138936</v>
      </c>
      <c r="L41" s="275">
        <f t="shared" si="2"/>
        <v>27.371263822488231</v>
      </c>
      <c r="N41" s="53"/>
      <c r="P41" s="271" t="s">
        <v>385</v>
      </c>
      <c r="Q41" s="62" t="s">
        <v>265</v>
      </c>
    </row>
    <row r="42" spans="1:17" ht="23.1" customHeight="1" x14ac:dyDescent="0.25">
      <c r="A42" s="52" t="s">
        <v>265</v>
      </c>
      <c r="B42" s="150" t="s">
        <v>349</v>
      </c>
      <c r="C42" s="274"/>
      <c r="D42" s="274"/>
      <c r="E42" s="150"/>
      <c r="F42" s="151"/>
      <c r="G42" s="151">
        <v>43.8</v>
      </c>
      <c r="H42" s="192">
        <v>35</v>
      </c>
      <c r="I42" s="192">
        <v>35</v>
      </c>
      <c r="J42" s="175">
        <f t="shared" si="4"/>
        <v>30.017152658662095</v>
      </c>
      <c r="L42" s="275">
        <f t="shared" si="2"/>
        <v>31.933141126236272</v>
      </c>
      <c r="N42" s="53"/>
      <c r="P42" s="271" t="s">
        <v>385</v>
      </c>
      <c r="Q42" s="62" t="s">
        <v>265</v>
      </c>
    </row>
    <row r="43" spans="1:17" ht="23.1" customHeight="1" x14ac:dyDescent="0.25">
      <c r="A43" s="52" t="s">
        <v>265</v>
      </c>
      <c r="B43" s="150" t="s">
        <v>350</v>
      </c>
      <c r="C43" s="274"/>
      <c r="D43" s="274"/>
      <c r="E43" s="150"/>
      <c r="F43" s="151"/>
      <c r="G43" s="151">
        <v>47.902441435566317</v>
      </c>
      <c r="H43" s="192">
        <v>40</v>
      </c>
      <c r="I43" s="192">
        <v>40</v>
      </c>
      <c r="J43" s="175">
        <f t="shared" si="4"/>
        <v>34.305317324185253</v>
      </c>
      <c r="L43" s="275">
        <f t="shared" si="2"/>
        <v>36.495018429984313</v>
      </c>
      <c r="N43" s="53"/>
      <c r="P43" s="271" t="s">
        <v>385</v>
      </c>
      <c r="Q43" s="62" t="s">
        <v>386</v>
      </c>
    </row>
    <row r="44" spans="1:17" ht="23.1" customHeight="1" x14ac:dyDescent="0.25">
      <c r="A44" s="52" t="s">
        <v>265</v>
      </c>
      <c r="B44" s="150" t="s">
        <v>351</v>
      </c>
      <c r="C44" s="274"/>
      <c r="D44" s="274"/>
      <c r="E44" s="150"/>
      <c r="F44" s="151"/>
      <c r="G44" s="151">
        <v>41.299705699457398</v>
      </c>
      <c r="H44" s="192">
        <v>35</v>
      </c>
      <c r="I44" s="192">
        <v>35</v>
      </c>
      <c r="J44" s="175">
        <f t="shared" si="4"/>
        <v>30.017152658662095</v>
      </c>
      <c r="L44" s="275">
        <f t="shared" si="2"/>
        <v>31.933141126236272</v>
      </c>
      <c r="N44" s="53"/>
      <c r="P44" s="271" t="s">
        <v>385</v>
      </c>
      <c r="Q44" s="62" t="s">
        <v>386</v>
      </c>
    </row>
    <row r="45" spans="1:17" ht="23.1" customHeight="1" x14ac:dyDescent="0.25">
      <c r="A45" s="52" t="s">
        <v>265</v>
      </c>
      <c r="B45" s="150" t="s">
        <v>352</v>
      </c>
      <c r="C45" s="315" t="s">
        <v>1091</v>
      </c>
      <c r="D45" s="192"/>
      <c r="E45" s="150"/>
      <c r="F45" s="151"/>
      <c r="G45" s="151">
        <v>60.7</v>
      </c>
      <c r="H45" s="316">
        <v>58.5</v>
      </c>
      <c r="I45" s="192">
        <v>66.3</v>
      </c>
      <c r="J45" s="175">
        <f>(I45*J$1)/J$2</f>
        <v>56.861063464837052</v>
      </c>
      <c r="K45" s="317"/>
      <c r="L45" s="275">
        <f>J45/L$1</f>
        <v>60.490493047698997</v>
      </c>
      <c r="N45" s="53"/>
      <c r="P45" s="62"/>
      <c r="Q45" s="62"/>
    </row>
    <row r="46" spans="1:17" ht="23.1" customHeight="1" x14ac:dyDescent="0.25">
      <c r="A46" s="52" t="s">
        <v>265</v>
      </c>
      <c r="B46" s="150" t="s">
        <v>353</v>
      </c>
      <c r="C46" s="315" t="s">
        <v>1092</v>
      </c>
      <c r="D46" s="192"/>
      <c r="E46" s="150"/>
      <c r="F46" s="151"/>
      <c r="G46" s="151">
        <v>65.599999999999994</v>
      </c>
      <c r="H46" s="316">
        <v>63.5</v>
      </c>
      <c r="I46" s="192">
        <v>71.3</v>
      </c>
      <c r="J46" s="175">
        <f t="shared" si="4"/>
        <v>61.149228130360207</v>
      </c>
      <c r="K46" s="317"/>
      <c r="L46" s="275">
        <f t="shared" si="2"/>
        <v>65.052370351447038</v>
      </c>
      <c r="N46" s="53"/>
      <c r="P46" s="62"/>
      <c r="Q46" s="62"/>
    </row>
    <row r="47" spans="1:17" ht="23.1" customHeight="1" x14ac:dyDescent="0.25">
      <c r="A47" s="52" t="s">
        <v>265</v>
      </c>
      <c r="B47" s="150" t="s">
        <v>354</v>
      </c>
      <c r="C47" s="315" t="s">
        <v>1093</v>
      </c>
      <c r="D47" s="192"/>
      <c r="E47" s="150"/>
      <c r="F47" s="151"/>
      <c r="G47" s="151">
        <v>66.900000000000006</v>
      </c>
      <c r="H47" s="316">
        <v>65</v>
      </c>
      <c r="I47" s="192">
        <v>73.900000000000006</v>
      </c>
      <c r="J47" s="175">
        <f t="shared" si="4"/>
        <v>63.379073756432255</v>
      </c>
      <c r="K47" s="317"/>
      <c r="L47" s="275">
        <f t="shared" si="2"/>
        <v>67.424546549396027</v>
      </c>
      <c r="N47" s="53"/>
      <c r="P47" s="62"/>
      <c r="Q47" s="62"/>
    </row>
    <row r="48" spans="1:17" ht="23.1" customHeight="1" x14ac:dyDescent="0.25">
      <c r="A48" s="52" t="s">
        <v>265</v>
      </c>
      <c r="B48" s="150" t="s">
        <v>355</v>
      </c>
      <c r="C48" s="315" t="s">
        <v>1094</v>
      </c>
      <c r="D48" s="192"/>
      <c r="E48" s="150"/>
      <c r="F48" s="151"/>
      <c r="G48" s="151">
        <v>72</v>
      </c>
      <c r="H48" s="316">
        <v>70</v>
      </c>
      <c r="I48" s="192">
        <v>78.900000000000006</v>
      </c>
      <c r="J48" s="175">
        <f t="shared" si="4"/>
        <v>67.667238421955417</v>
      </c>
      <c r="K48" s="317"/>
      <c r="L48" s="275">
        <f t="shared" si="2"/>
        <v>71.986423853144061</v>
      </c>
      <c r="N48" s="53"/>
      <c r="P48" s="62"/>
      <c r="Q48" s="62"/>
    </row>
    <row r="49" spans="1:19" ht="23.1" customHeight="1" x14ac:dyDescent="0.25">
      <c r="A49" s="52" t="s">
        <v>265</v>
      </c>
      <c r="B49" s="150" t="s">
        <v>356</v>
      </c>
      <c r="C49" s="315" t="s">
        <v>1087</v>
      </c>
      <c r="D49" s="192"/>
      <c r="E49" s="150"/>
      <c r="F49" s="151"/>
      <c r="G49" s="151">
        <v>73.5</v>
      </c>
      <c r="H49" s="316">
        <v>71</v>
      </c>
      <c r="I49" s="192">
        <v>81.7</v>
      </c>
      <c r="J49" s="175">
        <f t="shared" si="4"/>
        <v>70.06861063464838</v>
      </c>
      <c r="K49" s="317"/>
      <c r="L49" s="275">
        <f t="shared" si="2"/>
        <v>74.541075143242963</v>
      </c>
      <c r="N49" s="53"/>
      <c r="P49" s="62"/>
      <c r="Q49" s="62"/>
    </row>
    <row r="50" spans="1:19" ht="23.1" customHeight="1" x14ac:dyDescent="0.25">
      <c r="A50" s="52" t="s">
        <v>265</v>
      </c>
      <c r="B50" s="150" t="s">
        <v>357</v>
      </c>
      <c r="C50" s="315" t="s">
        <v>1088</v>
      </c>
      <c r="D50" s="192"/>
      <c r="E50" s="150"/>
      <c r="F50" s="151"/>
      <c r="G50" s="151">
        <v>78.5</v>
      </c>
      <c r="H50" s="316">
        <v>76</v>
      </c>
      <c r="I50" s="192">
        <v>86.7</v>
      </c>
      <c r="J50" s="175">
        <f t="shared" si="4"/>
        <v>74.356775300171535</v>
      </c>
      <c r="K50" s="317"/>
      <c r="L50" s="275">
        <f t="shared" si="2"/>
        <v>79.102952446990997</v>
      </c>
      <c r="N50" s="53"/>
      <c r="P50" s="62"/>
      <c r="Q50" s="62"/>
    </row>
    <row r="51" spans="1:19" ht="23.1" customHeight="1" x14ac:dyDescent="0.25">
      <c r="A51" s="52" t="s">
        <v>265</v>
      </c>
      <c r="B51" s="150" t="s">
        <v>358</v>
      </c>
      <c r="C51" s="315" t="s">
        <v>1095</v>
      </c>
      <c r="D51" s="192"/>
      <c r="E51" s="150"/>
      <c r="F51" s="151"/>
      <c r="G51" s="151">
        <v>74.996904170039528</v>
      </c>
      <c r="H51" s="316">
        <v>72.5</v>
      </c>
      <c r="I51" s="192">
        <v>81.8</v>
      </c>
      <c r="J51" s="175">
        <f t="shared" si="4"/>
        <v>70.154373927958829</v>
      </c>
      <c r="K51" s="317"/>
      <c r="L51" s="275">
        <f t="shared" si="2"/>
        <v>74.632312689317914</v>
      </c>
      <c r="N51" s="53"/>
      <c r="P51" s="62"/>
      <c r="Q51" s="62"/>
    </row>
    <row r="52" spans="1:19" ht="23.1" customHeight="1" x14ac:dyDescent="0.25">
      <c r="A52" s="52" t="s">
        <v>265</v>
      </c>
      <c r="B52" s="150" t="s">
        <v>359</v>
      </c>
      <c r="C52" s="315" t="s">
        <v>1096</v>
      </c>
      <c r="D52" s="192"/>
      <c r="E52" s="150"/>
      <c r="F52" s="151"/>
      <c r="G52" s="151">
        <v>80.099999999999994</v>
      </c>
      <c r="H52" s="316">
        <v>77.5</v>
      </c>
      <c r="I52" s="192">
        <v>86.8</v>
      </c>
      <c r="J52" s="175">
        <f t="shared" si="4"/>
        <v>74.442538593481999</v>
      </c>
      <c r="K52" s="317"/>
      <c r="L52" s="275">
        <f t="shared" si="2"/>
        <v>79.194189993065962</v>
      </c>
      <c r="N52" s="53"/>
      <c r="P52" s="62"/>
      <c r="Q52" s="62"/>
    </row>
    <row r="53" spans="1:19" ht="23.1" customHeight="1" x14ac:dyDescent="0.25">
      <c r="A53" s="52" t="s">
        <v>265</v>
      </c>
      <c r="B53" s="150" t="s">
        <v>360</v>
      </c>
      <c r="C53" s="315" t="s">
        <v>1089</v>
      </c>
      <c r="D53" s="192"/>
      <c r="E53" s="150"/>
      <c r="F53" s="151"/>
      <c r="G53" s="151">
        <v>82.8</v>
      </c>
      <c r="H53" s="316">
        <v>80</v>
      </c>
      <c r="I53" s="192">
        <v>92.2</v>
      </c>
      <c r="J53" s="175">
        <f t="shared" si="4"/>
        <v>79.073756432247009</v>
      </c>
      <c r="K53" s="317"/>
      <c r="L53" s="275">
        <f t="shared" si="2"/>
        <v>84.121017481113839</v>
      </c>
      <c r="N53" s="53"/>
      <c r="P53" s="62"/>
      <c r="Q53" s="62"/>
    </row>
    <row r="54" spans="1:19" ht="23.1" customHeight="1" x14ac:dyDescent="0.25">
      <c r="A54" s="52" t="s">
        <v>265</v>
      </c>
      <c r="B54" s="150" t="s">
        <v>361</v>
      </c>
      <c r="C54" s="315" t="s">
        <v>1090</v>
      </c>
      <c r="D54" s="192"/>
      <c r="E54" s="150"/>
      <c r="F54" s="151"/>
      <c r="G54" s="151">
        <v>87.79895557810309</v>
      </c>
      <c r="H54" s="316">
        <v>85</v>
      </c>
      <c r="I54" s="192">
        <v>97.2</v>
      </c>
      <c r="J54" s="175">
        <f t="shared" si="4"/>
        <v>83.361921097770164</v>
      </c>
      <c r="K54" s="317"/>
      <c r="L54" s="275">
        <f t="shared" si="2"/>
        <v>88.682894784861887</v>
      </c>
      <c r="N54" s="53"/>
      <c r="P54" s="62"/>
      <c r="Q54" s="62"/>
    </row>
    <row r="55" spans="1:19" ht="23.1" customHeight="1" thickBot="1" x14ac:dyDescent="0.3">
      <c r="A55" s="52"/>
      <c r="B55" s="276" t="s">
        <v>1204</v>
      </c>
      <c r="C55" s="315" t="s">
        <v>1302</v>
      </c>
      <c r="D55" s="192"/>
      <c r="E55" s="150"/>
      <c r="F55" s="151"/>
      <c r="G55" s="151"/>
      <c r="H55" s="316">
        <v>89.9</v>
      </c>
      <c r="I55" s="192">
        <v>103.1</v>
      </c>
      <c r="J55" s="175">
        <f t="shared" si="4"/>
        <v>88.42195540308748</v>
      </c>
      <c r="K55" s="317"/>
      <c r="L55" s="275">
        <f t="shared" si="2"/>
        <v>94.065910003284557</v>
      </c>
      <c r="N55" s="53"/>
      <c r="P55" s="62"/>
      <c r="Q55" s="62"/>
    </row>
    <row r="56" spans="1:19" ht="23.1" customHeight="1" thickBot="1" x14ac:dyDescent="0.3">
      <c r="A56" s="52"/>
      <c r="B56" s="276" t="s">
        <v>1205</v>
      </c>
      <c r="C56" s="315" t="s">
        <v>1303</v>
      </c>
      <c r="D56" s="192"/>
      <c r="E56" s="150"/>
      <c r="F56" s="151"/>
      <c r="G56" s="151"/>
      <c r="H56" s="316">
        <v>95.6</v>
      </c>
      <c r="I56" s="192">
        <v>108.8</v>
      </c>
      <c r="J56" s="175">
        <f t="shared" si="4"/>
        <v>93.310463121783883</v>
      </c>
      <c r="K56" s="317"/>
      <c r="L56" s="275">
        <f t="shared" si="2"/>
        <v>99.266450129557327</v>
      </c>
      <c r="N56" s="53"/>
      <c r="P56" s="271"/>
      <c r="Q56" s="62"/>
    </row>
    <row r="57" spans="1:19" ht="23.1" customHeight="1" x14ac:dyDescent="0.25">
      <c r="A57" s="49" t="s">
        <v>1236</v>
      </c>
      <c r="B57" s="49" t="s">
        <v>362</v>
      </c>
      <c r="C57" s="274" t="s">
        <v>1122</v>
      </c>
      <c r="D57" s="274"/>
      <c r="E57" s="49" t="s">
        <v>363</v>
      </c>
      <c r="F57" s="53">
        <v>19.8</v>
      </c>
      <c r="G57" s="53">
        <v>19.8</v>
      </c>
      <c r="H57" s="53">
        <v>18.649999999999999</v>
      </c>
      <c r="I57" s="53">
        <v>18.649999999999999</v>
      </c>
      <c r="J57" s="175">
        <f t="shared" si="4"/>
        <v>15.994854202401372</v>
      </c>
      <c r="K57" s="57"/>
      <c r="L57" s="275">
        <f t="shared" si="2"/>
        <v>17.015802342980184</v>
      </c>
      <c r="N57" s="53">
        <v>20.239999999999998</v>
      </c>
      <c r="P57" s="271" t="s">
        <v>381</v>
      </c>
      <c r="Q57" s="62" t="s">
        <v>265</v>
      </c>
    </row>
    <row r="58" spans="1:19" ht="23.1" customHeight="1" x14ac:dyDescent="0.25">
      <c r="A58" s="49" t="s">
        <v>364</v>
      </c>
      <c r="B58" s="49" t="s">
        <v>365</v>
      </c>
      <c r="C58" s="274" t="s">
        <v>1123</v>
      </c>
      <c r="E58" s="49" t="s">
        <v>366</v>
      </c>
      <c r="F58" s="53">
        <v>2.75</v>
      </c>
      <c r="G58" s="53">
        <v>2.75</v>
      </c>
      <c r="H58" s="53">
        <v>2.75</v>
      </c>
      <c r="I58" s="53">
        <v>2.75</v>
      </c>
      <c r="J58" s="175">
        <f t="shared" si="4"/>
        <v>2.358490566037736</v>
      </c>
      <c r="K58" s="57"/>
      <c r="L58" s="275">
        <f t="shared" si="2"/>
        <v>2.5090325170614216</v>
      </c>
      <c r="N58" s="53"/>
      <c r="P58" s="271" t="s">
        <v>380</v>
      </c>
      <c r="Q58" s="62" t="s">
        <v>265</v>
      </c>
    </row>
    <row r="59" spans="1:19" ht="23.1" customHeight="1" x14ac:dyDescent="0.25">
      <c r="A59" s="49"/>
      <c r="B59" s="49" t="s">
        <v>873</v>
      </c>
      <c r="C59" s="274"/>
      <c r="D59" s="274"/>
      <c r="E59" s="49"/>
      <c r="F59" s="53"/>
      <c r="G59" s="53">
        <v>4.3</v>
      </c>
      <c r="H59" s="53">
        <v>3.9</v>
      </c>
      <c r="I59" s="53">
        <v>3.9</v>
      </c>
      <c r="J59" s="175">
        <f t="shared" si="4"/>
        <v>3.3447684391080621</v>
      </c>
      <c r="K59" s="57"/>
      <c r="L59" s="275">
        <f t="shared" si="2"/>
        <v>3.5582642969234706</v>
      </c>
      <c r="N59" s="53"/>
      <c r="P59" s="271"/>
      <c r="Q59" s="62"/>
    </row>
    <row r="60" spans="1:19" ht="23.1" customHeight="1" x14ac:dyDescent="0.25">
      <c r="A60" s="49" t="s">
        <v>1300</v>
      </c>
      <c r="B60" s="49" t="s">
        <v>874</v>
      </c>
      <c r="C60" s="274" t="s">
        <v>1242</v>
      </c>
      <c r="D60" s="274"/>
      <c r="E60" s="49"/>
      <c r="F60" s="53"/>
      <c r="G60" s="53">
        <v>3.2</v>
      </c>
      <c r="H60" s="53">
        <v>2.85</v>
      </c>
      <c r="I60" s="53">
        <v>2.85</v>
      </c>
      <c r="J60" s="175">
        <f t="shared" si="4"/>
        <v>2.4442538593481991</v>
      </c>
      <c r="K60" s="57"/>
      <c r="L60" s="275">
        <f t="shared" si="2"/>
        <v>2.600270063136382</v>
      </c>
      <c r="N60" s="53"/>
      <c r="P60" s="271"/>
      <c r="Q60" s="62"/>
      <c r="S60" s="243"/>
    </row>
    <row r="61" spans="1:19" ht="23.1" customHeight="1" x14ac:dyDescent="0.25">
      <c r="A61" s="49" t="s">
        <v>875</v>
      </c>
      <c r="B61" s="49" t="s">
        <v>876</v>
      </c>
      <c r="C61" s="274"/>
      <c r="D61" s="274"/>
      <c r="E61" s="49"/>
      <c r="F61" s="53"/>
      <c r="G61" s="53">
        <v>5.0999999999999996</v>
      </c>
      <c r="H61" s="53">
        <v>4.5</v>
      </c>
      <c r="I61" s="53">
        <v>4.5</v>
      </c>
      <c r="J61" s="175">
        <f t="shared" si="4"/>
        <v>3.8593481989708409</v>
      </c>
      <c r="K61" s="57"/>
      <c r="L61" s="275">
        <f t="shared" si="2"/>
        <v>4.105689573373235</v>
      </c>
      <c r="N61" s="53"/>
      <c r="P61" s="271"/>
      <c r="Q61" s="62"/>
    </row>
    <row r="62" spans="1:19" ht="23.1" customHeight="1" x14ac:dyDescent="0.25">
      <c r="A62" s="49"/>
      <c r="B62" s="49" t="s">
        <v>877</v>
      </c>
      <c r="C62" s="274"/>
      <c r="D62" s="274"/>
      <c r="E62" s="49"/>
      <c r="F62" s="53"/>
      <c r="G62" s="53">
        <v>66.400000000000006</v>
      </c>
      <c r="H62" s="53">
        <v>60</v>
      </c>
      <c r="I62" s="53">
        <v>60</v>
      </c>
      <c r="J62" s="175">
        <f t="shared" si="4"/>
        <v>51.457975986277873</v>
      </c>
      <c r="K62" s="57"/>
      <c r="L62" s="275">
        <f t="shared" si="2"/>
        <v>54.742527644976462</v>
      </c>
      <c r="N62" s="53"/>
      <c r="P62" s="271"/>
      <c r="Q62" s="62"/>
    </row>
    <row r="63" spans="1:19" ht="23.1" customHeight="1" x14ac:dyDescent="0.25">
      <c r="A63" s="49"/>
      <c r="B63" s="49" t="s">
        <v>878</v>
      </c>
      <c r="C63" s="274"/>
      <c r="D63" s="274"/>
      <c r="E63" s="49"/>
      <c r="F63" s="53"/>
      <c r="G63" s="53">
        <v>55.1</v>
      </c>
      <c r="H63" s="53">
        <v>50</v>
      </c>
      <c r="I63" s="53">
        <v>50</v>
      </c>
      <c r="J63" s="175">
        <f t="shared" si="4"/>
        <v>42.881646655231563</v>
      </c>
      <c r="K63" s="57"/>
      <c r="L63" s="275">
        <f t="shared" si="2"/>
        <v>45.618773037480388</v>
      </c>
      <c r="N63" s="53"/>
      <c r="P63" s="271"/>
      <c r="Q63" s="62"/>
    </row>
    <row r="64" spans="1:19" ht="12.6" customHeight="1" x14ac:dyDescent="0.25">
      <c r="A64" s="50"/>
      <c r="B64" s="50"/>
      <c r="C64" s="50"/>
      <c r="D64" s="50"/>
      <c r="E64" s="50"/>
      <c r="F64" s="54"/>
      <c r="G64" s="54"/>
      <c r="H64" s="54"/>
      <c r="I64" s="54"/>
      <c r="J64" s="55"/>
      <c r="L64" s="51"/>
      <c r="N64" s="51"/>
      <c r="P64" s="51"/>
      <c r="Q64" s="51"/>
    </row>
  </sheetData>
  <phoneticPr fontId="25" type="noConversion"/>
  <hyperlinks>
    <hyperlink ref="P5" r:id="rId1" xr:uid="{C7CB4FDB-141E-420B-B3C6-4BE62FF377D3}"/>
    <hyperlink ref="P6" r:id="rId2" xr:uid="{725CB9BD-E375-4328-AAE0-107633215ACD}"/>
    <hyperlink ref="P16" r:id="rId3" xr:uid="{01003420-ABE9-4E36-928D-477911C4CF1C}"/>
    <hyperlink ref="P17" r:id="rId4" xr:uid="{FD6E35C5-823C-46AA-A802-0DAF46A91C19}"/>
    <hyperlink ref="P12" r:id="rId5" xr:uid="{D859D051-07E2-4F4B-BEB3-D1C846460C96}"/>
    <hyperlink ref="P14" r:id="rId6" xr:uid="{8CD47C16-D141-462B-873D-40BCF825419F}"/>
    <hyperlink ref="P20" r:id="rId7" xr:uid="{51FCEB9D-393C-48EA-ACC6-C51478A12AD8}"/>
    <hyperlink ref="P30" r:id="rId8" xr:uid="{DC255251-A855-4625-8E38-F51E2E57EC03}"/>
    <hyperlink ref="P31:P36" r:id="rId9" display="https://symeagroup.sharepoint.com/sites/SYSKERN/Shared%20Documents/General/ACHATS/3.0%20MIRSAN/4.ACCESSORIES%2019''/TDS/GTN%20PLINTH%20W600-W800_DS.pdf" xr:uid="{D2A8433E-F5F6-45A3-974A-8ED73FD19AF9}"/>
    <hyperlink ref="P31" r:id="rId10" xr:uid="{FC5DA5C9-1F9C-4557-AAC8-C43A9833CBB3}"/>
    <hyperlink ref="P18" r:id="rId11" xr:uid="{AEB3D088-B1F5-4C6F-A2FC-E955CD0A0D21}"/>
    <hyperlink ref="P19" r:id="rId12" xr:uid="{B0B7A9A8-7A69-4178-850D-2A7E5C24AB10}"/>
    <hyperlink ref="P24" r:id="rId13" xr:uid="{C3EFC81F-BB80-471C-8B17-70B0101F3079}"/>
    <hyperlink ref="P25:P27" r:id="rId14" display="https://symeagroup.sharepoint.com/sites/SYSKERN/Shared%20Documents/General/ACHATS/3.0%20MIRSAN/4.ACCESSORIES%2019''/TDS/MR.PKV.XX_DS.pdf" xr:uid="{43610C3D-635D-4581-8374-A0B98A24FF22}"/>
    <hyperlink ref="P58" r:id="rId15" xr:uid="{B8A15B92-B3DF-4C46-A5B1-62DD77015AA8}"/>
    <hyperlink ref="P57" r:id="rId16" xr:uid="{7216A07F-0E01-475F-BCF5-948B837E7F52}"/>
    <hyperlink ref="P21" r:id="rId17" xr:uid="{73ACD565-107E-439F-8E9A-6ACBB5445B11}"/>
    <hyperlink ref="P13" r:id="rId18" xr:uid="{AD191AA6-BCB2-47F3-A8D5-A96B774C1B90}"/>
    <hyperlink ref="P8" r:id="rId19" xr:uid="{5E3EF4E6-A1D7-4B31-A441-36ECA93EA9E9}"/>
    <hyperlink ref="P9:P11" r:id="rId20" display="https://symeagroup.sharepoint.com/sites/SYSKERN/Shared%20Documents/General/ACHATS/3.0%20MIRSAN/4.ACCESSORIES%2019''/TDS/2%20POINT%20CONNECTED%20RACK%20MOUNT%20SHELVES%20-Accessory_DS.pdf" xr:uid="{3F676A98-2E78-4F84-81DB-F88D45F31483}"/>
    <hyperlink ref="P41" r:id="rId21" xr:uid="{4DB77048-66C9-4267-A670-E53964821A5D}"/>
    <hyperlink ref="P42:P44" r:id="rId22" display="https://symeagroup.sharepoint.com/sites/SYSKERN/Shared%20Documents/General/ACHATS/3.0%20MIRSAN/4.ACCESSORIES%2019''/TDS/CABLE%20TRAY_DS.pdf" xr:uid="{1D0CC133-0055-4AA5-9D5C-D8B9BF3F1CE7}"/>
    <hyperlink ref="P28" r:id="rId23" xr:uid="{53B972DC-2F99-479A-A3BB-BFCAAA1E1BE3}"/>
  </hyperlinks>
  <pageMargins left="0.7" right="0.7" top="0.75" bottom="0.75" header="0.3" footer="0.3"/>
  <pageSetup paperSize="9" orientation="portrait" r:id="rId24"/>
  <legacyDrawing r:id="rId2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5381-37F6-4EF5-9F70-6BB5496DE933}">
  <dimension ref="A3:D8"/>
  <sheetViews>
    <sheetView workbookViewId="0">
      <selection activeCell="B15" sqref="B15"/>
    </sheetView>
  </sheetViews>
  <sheetFormatPr baseColWidth="10" defaultColWidth="45.140625" defaultRowHeight="15" x14ac:dyDescent="0.25"/>
  <sheetData>
    <row r="3" spans="1:4" ht="15.75" thickBot="1" x14ac:dyDescent="0.3"/>
    <row r="4" spans="1:4" ht="19.5" thickBot="1" x14ac:dyDescent="0.3">
      <c r="A4" s="64" t="s">
        <v>0</v>
      </c>
      <c r="B4" s="65" t="s">
        <v>37</v>
      </c>
      <c r="C4" s="65" t="s">
        <v>1</v>
      </c>
      <c r="D4" s="65" t="s">
        <v>2</v>
      </c>
    </row>
    <row r="5" spans="1:4" ht="19.5" thickBot="1" x14ac:dyDescent="0.3">
      <c r="A5" s="66" t="s">
        <v>390</v>
      </c>
      <c r="B5" s="67" t="s">
        <v>391</v>
      </c>
      <c r="C5" s="68" t="s">
        <v>392</v>
      </c>
      <c r="D5" s="69" t="s">
        <v>393</v>
      </c>
    </row>
    <row r="6" spans="1:4" ht="19.5" thickBot="1" x14ac:dyDescent="0.3">
      <c r="A6" s="66" t="s">
        <v>394</v>
      </c>
      <c r="B6" s="67" t="s">
        <v>395</v>
      </c>
      <c r="C6" s="68" t="s">
        <v>396</v>
      </c>
      <c r="D6" s="69" t="s">
        <v>397</v>
      </c>
    </row>
    <row r="7" spans="1:4" ht="19.5" thickBot="1" x14ac:dyDescent="0.3">
      <c r="A7" s="66" t="s">
        <v>398</v>
      </c>
      <c r="B7" s="67" t="s">
        <v>399</v>
      </c>
      <c r="C7" s="67" t="s">
        <v>400</v>
      </c>
      <c r="D7" s="69" t="s">
        <v>401</v>
      </c>
    </row>
    <row r="8" spans="1:4" ht="19.5" thickBot="1" x14ac:dyDescent="0.3">
      <c r="A8" s="66" t="s">
        <v>402</v>
      </c>
      <c r="B8" s="67" t="s">
        <v>403</v>
      </c>
      <c r="C8" s="67" t="s">
        <v>404</v>
      </c>
      <c r="D8" s="69" t="s">
        <v>405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0FA9-8901-49AB-96D7-9E906C25764D}">
  <dimension ref="A2:E11"/>
  <sheetViews>
    <sheetView workbookViewId="0">
      <selection activeCell="A20" sqref="A20"/>
    </sheetView>
  </sheetViews>
  <sheetFormatPr baseColWidth="10" defaultRowHeight="15" x14ac:dyDescent="0.25"/>
  <cols>
    <col min="1" max="1" width="169.42578125" bestFit="1" customWidth="1"/>
    <col min="2" max="2" width="84.7109375" bestFit="1" customWidth="1"/>
    <col min="3" max="3" width="5.7109375" style="281" bestFit="1" customWidth="1"/>
    <col min="4" max="4" width="17" bestFit="1" customWidth="1"/>
  </cols>
  <sheetData>
    <row r="2" spans="1:5" x14ac:dyDescent="0.25">
      <c r="A2" s="212" t="s">
        <v>600</v>
      </c>
      <c r="B2" s="76" t="s">
        <v>419</v>
      </c>
      <c r="C2" s="76" t="s">
        <v>1224</v>
      </c>
      <c r="D2" s="76" t="s">
        <v>1226</v>
      </c>
      <c r="E2" s="76" t="s">
        <v>1228</v>
      </c>
    </row>
    <row r="3" spans="1:5" x14ac:dyDescent="0.25">
      <c r="A3" s="283" t="s">
        <v>741</v>
      </c>
      <c r="B3" s="286" t="s">
        <v>1220</v>
      </c>
      <c r="C3" s="284">
        <v>10</v>
      </c>
      <c r="D3" s="287">
        <v>621.35</v>
      </c>
      <c r="E3" s="287">
        <f>+D3*C3</f>
        <v>6213.5</v>
      </c>
    </row>
    <row r="4" spans="1:5" x14ac:dyDescent="0.25">
      <c r="A4" s="285" t="s">
        <v>1095</v>
      </c>
      <c r="B4" s="286" t="s">
        <v>1218</v>
      </c>
      <c r="C4" s="284">
        <v>10</v>
      </c>
      <c r="D4" s="288">
        <v>138.19</v>
      </c>
      <c r="E4" s="287">
        <f t="shared" ref="E4:E10" si="0">+D4*C4</f>
        <v>1381.9</v>
      </c>
    </row>
    <row r="5" spans="1:5" x14ac:dyDescent="0.25">
      <c r="A5" s="285" t="s">
        <v>1096</v>
      </c>
      <c r="B5" s="286" t="s">
        <v>1219</v>
      </c>
      <c r="C5" s="284">
        <v>10</v>
      </c>
      <c r="D5" s="288">
        <v>147.59</v>
      </c>
      <c r="E5" s="287">
        <f t="shared" si="0"/>
        <v>1475.9</v>
      </c>
    </row>
    <row r="6" spans="1:5" x14ac:dyDescent="0.25">
      <c r="A6" s="283" t="s">
        <v>1115</v>
      </c>
      <c r="B6" s="289" t="s">
        <v>1217</v>
      </c>
      <c r="C6" s="284">
        <v>10</v>
      </c>
      <c r="D6" s="288">
        <v>31.33</v>
      </c>
      <c r="E6" s="287">
        <f t="shared" si="0"/>
        <v>313.29999999999995</v>
      </c>
    </row>
    <row r="7" spans="1:5" x14ac:dyDescent="0.25">
      <c r="A7" s="285" t="s">
        <v>1098</v>
      </c>
      <c r="B7" s="285" t="s">
        <v>1221</v>
      </c>
      <c r="C7" s="284">
        <v>10</v>
      </c>
      <c r="D7" s="288">
        <v>69.62</v>
      </c>
      <c r="E7" s="287">
        <f t="shared" si="0"/>
        <v>696.2</v>
      </c>
    </row>
    <row r="8" spans="1:5" x14ac:dyDescent="0.25">
      <c r="A8" s="285" t="s">
        <v>1123</v>
      </c>
      <c r="B8" s="285" t="s">
        <v>1222</v>
      </c>
      <c r="C8" s="284">
        <v>10</v>
      </c>
      <c r="D8" s="288">
        <v>4.79</v>
      </c>
      <c r="E8" s="287">
        <f t="shared" si="0"/>
        <v>47.9</v>
      </c>
    </row>
    <row r="9" spans="1:5" x14ac:dyDescent="0.25">
      <c r="A9" s="285" t="s">
        <v>1122</v>
      </c>
      <c r="B9" s="285" t="s">
        <v>1223</v>
      </c>
      <c r="C9" s="284">
        <v>10</v>
      </c>
      <c r="D9" s="288">
        <v>32.46</v>
      </c>
      <c r="E9" s="287">
        <f t="shared" si="0"/>
        <v>324.60000000000002</v>
      </c>
    </row>
    <row r="10" spans="1:5" x14ac:dyDescent="0.25">
      <c r="A10" s="285" t="s">
        <v>1225</v>
      </c>
      <c r="B10" s="285" t="s">
        <v>1216</v>
      </c>
      <c r="C10" s="284">
        <v>10</v>
      </c>
      <c r="D10" s="288">
        <v>15</v>
      </c>
      <c r="E10" s="287">
        <f t="shared" si="0"/>
        <v>150</v>
      </c>
    </row>
    <row r="11" spans="1:5" x14ac:dyDescent="0.25">
      <c r="A11" s="285"/>
      <c r="B11" s="285"/>
      <c r="C11" s="288"/>
      <c r="D11" s="290" t="s">
        <v>1227</v>
      </c>
      <c r="E11" s="288">
        <f>SUM(E3:E10)</f>
        <v>10603.3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c676b9-f308-4a3a-a96e-67809d3f5e2f">
      <Terms xmlns="http://schemas.microsoft.com/office/infopath/2007/PartnerControls"/>
    </lcf76f155ced4ddcb4097134ff3c332f>
    <TaxCatchAll xmlns="13f770f0-9450-4655-9bd0-4bbda5435d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C590D6670B46B394B0B20BFCA2F5" ma:contentTypeVersion="13" ma:contentTypeDescription="Create a new document." ma:contentTypeScope="" ma:versionID="e37331a057ee0a5a9dd6547076a1eb6d">
  <xsd:schema xmlns:xsd="http://www.w3.org/2001/XMLSchema" xmlns:xs="http://www.w3.org/2001/XMLSchema" xmlns:p="http://schemas.microsoft.com/office/2006/metadata/properties" xmlns:ns2="3fc676b9-f308-4a3a-a96e-67809d3f5e2f" xmlns:ns3="13f770f0-9450-4655-9bd0-4bbda5435d4e" targetNamespace="http://schemas.microsoft.com/office/2006/metadata/properties" ma:root="true" ma:fieldsID="2083e1cea1e9dbaee31fec228d269d7c" ns2:_="" ns3:_="">
    <xsd:import namespace="3fc676b9-f308-4a3a-a96e-67809d3f5e2f"/>
    <xsd:import namespace="13f770f0-9450-4655-9bd0-4bbda5435d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76b9-f308-4a3a-a96e-67809d3f5e2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770f0-9450-4655-9bd0-4bbda5435d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a725e1f-f39c-4928-b8ca-a153e256ffb6}" ma:internalName="TaxCatchAll" ma:showField="CatchAllData" ma:web="13f770f0-9450-4655-9bd0-4bbda5435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747B38-412B-4EA0-81BB-A39CD840FED9}">
  <ds:schemaRefs>
    <ds:schemaRef ds:uri="http://schemas.microsoft.com/office/2006/metadata/properties"/>
    <ds:schemaRef ds:uri="http://schemas.microsoft.com/office/infopath/2007/PartnerControls"/>
    <ds:schemaRef ds:uri="3fc676b9-f308-4a3a-a96e-67809d3f5e2f"/>
    <ds:schemaRef ds:uri="13f770f0-9450-4655-9bd0-4bbda5435d4e"/>
  </ds:schemaRefs>
</ds:datastoreItem>
</file>

<file path=customXml/itemProps2.xml><?xml version="1.0" encoding="utf-8"?>
<ds:datastoreItem xmlns:ds="http://schemas.openxmlformats.org/officeDocument/2006/customXml" ds:itemID="{ED0C9DAC-9B98-4810-BCA1-CBAD834619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B6C40-AB4E-4E6A-8178-111A290AC6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c676b9-f308-4a3a-a96e-67809d3f5e2f"/>
    <ds:schemaRef ds:uri="13f770f0-9450-4655-9bd0-4bbda5435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CODIFICATION</vt:lpstr>
      <vt:lpstr>START CABINETS</vt:lpstr>
      <vt:lpstr>GRID CABINETS</vt:lpstr>
      <vt:lpstr>RACKS &amp; OPEN RACKS</vt:lpstr>
      <vt:lpstr>EDF MARKET</vt:lpstr>
      <vt:lpstr>ACCESSORIES 19</vt:lpstr>
      <vt:lpstr>OPEN RACKS</vt:lpstr>
      <vt:lpstr>OFFERS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Olivier Parizot | Syskern</cp:lastModifiedBy>
  <dcterms:created xsi:type="dcterms:W3CDTF">2024-11-18T17:42:51Z</dcterms:created>
  <dcterms:modified xsi:type="dcterms:W3CDTF">2026-04-07T13:59:47Z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0x0101006514C590D6670B46B394B0B20BFCA2F5</vt:lpwstr>
  </property>
  <property fmtid="{D5CDD505-2E9C-101B-9397-08002B2CF9AE}" pid="3" name="MediaServiceImageTags">
    <vt:lpwstr/>
  </property>
</Properties>
</file>
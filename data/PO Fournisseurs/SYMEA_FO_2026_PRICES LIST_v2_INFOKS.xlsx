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meagroup.sharepoint.com/sites/SYSKERN/Shared Documents/General/ACHATS/1.0 INFOKS/"/>
    </mc:Choice>
  </mc:AlternateContent>
  <xr:revisionPtr revIDLastSave="133" documentId="8_{3874401C-5A04-4341-A51F-809FE2C72A28}" xr6:coauthVersionLast="47" xr6:coauthVersionMax="47" xr10:uidLastSave="{46B52E82-F942-4291-9B40-9CC3E2A3B987}"/>
  <bookViews>
    <workbookView minimized="1" xWindow="4380" yWindow="1860" windowWidth="28800" windowHeight="15225" xr2:uid="{00000000-000D-0000-FFFF-FFFF00000000}"/>
  </bookViews>
  <sheets>
    <sheet name="SYMEA FO 2026" sheetId="1" r:id="rId1"/>
  </sheets>
  <definedNames>
    <definedName name="_xlnm._FilterDatabase" localSheetId="0" hidden="1">'SYMEA FO 2026'!$A$4:$W$217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5" i="1"/>
  <c r="Y81" i="1"/>
  <c r="Y82" i="1"/>
  <c r="Y83" i="1"/>
  <c r="V81" i="1"/>
  <c r="V82" i="1"/>
  <c r="Y42" i="1"/>
  <c r="R42" i="1"/>
  <c r="V42" i="1" l="1"/>
  <c r="X42" i="1"/>
  <c r="Y143" i="1" l="1"/>
  <c r="Y57" i="1"/>
  <c r="Y56" i="1"/>
  <c r="Y53" i="1"/>
  <c r="Y52" i="1"/>
  <c r="Y39" i="1"/>
  <c r="X56" i="1"/>
  <c r="X57" i="1"/>
  <c r="Y217" i="1"/>
  <c r="Y216" i="1"/>
  <c r="Y215" i="1"/>
  <c r="Y214" i="1"/>
  <c r="Y213" i="1"/>
  <c r="V212" i="1"/>
  <c r="Y211" i="1"/>
  <c r="Y210" i="1"/>
  <c r="Y209" i="1"/>
  <c r="Y208" i="1"/>
  <c r="V207" i="1"/>
  <c r="V206" i="1"/>
  <c r="Y205" i="1"/>
  <c r="Y204" i="1"/>
  <c r="Y203" i="1"/>
  <c r="Y202" i="1"/>
  <c r="Y201" i="1"/>
  <c r="Y200" i="1"/>
  <c r="Y199" i="1"/>
  <c r="Y198" i="1"/>
  <c r="Y197" i="1"/>
  <c r="Y196" i="1"/>
  <c r="Y195" i="1"/>
  <c r="V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V181" i="1"/>
  <c r="Y180" i="1"/>
  <c r="Y179" i="1"/>
  <c r="V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V149" i="1"/>
  <c r="Y148" i="1"/>
  <c r="Y147" i="1"/>
  <c r="Y146" i="1"/>
  <c r="Y145" i="1"/>
  <c r="Y144" i="1"/>
  <c r="V143" i="1"/>
  <c r="Y142" i="1"/>
  <c r="Y141" i="1"/>
  <c r="Y140" i="1"/>
  <c r="V139" i="1"/>
  <c r="Y138" i="1"/>
  <c r="Y137" i="1"/>
  <c r="Y136" i="1"/>
  <c r="V135" i="1"/>
  <c r="Y134" i="1"/>
  <c r="Y133" i="1"/>
  <c r="Y132" i="1"/>
  <c r="V131" i="1"/>
  <c r="Y130" i="1"/>
  <c r="V129" i="1"/>
  <c r="Y128" i="1"/>
  <c r="Y127" i="1"/>
  <c r="Y126" i="1"/>
  <c r="Y125" i="1"/>
  <c r="Y124" i="1"/>
  <c r="Y123" i="1"/>
  <c r="Y122" i="1"/>
  <c r="V121" i="1"/>
  <c r="V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V107" i="1"/>
  <c r="V106" i="1"/>
  <c r="Y105" i="1"/>
  <c r="Y104" i="1"/>
  <c r="Y103" i="1"/>
  <c r="Y102" i="1"/>
  <c r="Y101" i="1"/>
  <c r="V100" i="1"/>
  <c r="Y99" i="1"/>
  <c r="V98" i="1"/>
  <c r="Y97" i="1"/>
  <c r="Y96" i="1"/>
  <c r="Y95" i="1"/>
  <c r="Y94" i="1"/>
  <c r="V93" i="1"/>
  <c r="V92" i="1"/>
  <c r="Y91" i="1"/>
  <c r="Y90" i="1"/>
  <c r="Y89" i="1"/>
  <c r="Y88" i="1"/>
  <c r="Y87" i="1"/>
  <c r="Y86" i="1"/>
  <c r="Y85" i="1"/>
  <c r="Y84" i="1"/>
  <c r="V83" i="1"/>
  <c r="Y80" i="1"/>
  <c r="V79" i="1"/>
  <c r="V78" i="1"/>
  <c r="Y77" i="1"/>
  <c r="V76" i="1"/>
  <c r="V75" i="1"/>
  <c r="Y74" i="1"/>
  <c r="Y73" i="1"/>
  <c r="Y72" i="1"/>
  <c r="V71" i="1"/>
  <c r="Y70" i="1"/>
  <c r="V69" i="1"/>
  <c r="V68" i="1"/>
  <c r="V67" i="1"/>
  <c r="V66" i="1"/>
  <c r="V65" i="1"/>
  <c r="V64" i="1"/>
  <c r="Y63" i="1"/>
  <c r="Y62" i="1"/>
  <c r="Y61" i="1"/>
  <c r="V60" i="1"/>
  <c r="V59" i="1"/>
  <c r="Y58" i="1"/>
  <c r="V57" i="1"/>
  <c r="Y55" i="1"/>
  <c r="V54" i="1"/>
  <c r="V52" i="1"/>
  <c r="V51" i="1"/>
  <c r="V50" i="1"/>
  <c r="Y49" i="1"/>
  <c r="Y48" i="1"/>
  <c r="V47" i="1"/>
  <c r="Y46" i="1"/>
  <c r="Y45" i="1"/>
  <c r="Y44" i="1"/>
  <c r="Y43" i="1"/>
  <c r="Y41" i="1"/>
  <c r="Y40" i="1"/>
  <c r="V38" i="1"/>
  <c r="V37" i="1"/>
  <c r="V36" i="1"/>
  <c r="Y35" i="1"/>
  <c r="Y34" i="1"/>
  <c r="V33" i="1"/>
  <c r="Y32" i="1"/>
  <c r="Y31" i="1"/>
  <c r="V30" i="1"/>
  <c r="Y29" i="1"/>
  <c r="Y28" i="1"/>
  <c r="Y27" i="1"/>
  <c r="Y26" i="1"/>
  <c r="Y25" i="1"/>
  <c r="V24" i="1"/>
  <c r="V23" i="1"/>
  <c r="V22" i="1"/>
  <c r="Y21" i="1"/>
  <c r="Y20" i="1"/>
  <c r="V19" i="1"/>
  <c r="V18" i="1"/>
  <c r="Y17" i="1"/>
  <c r="V16" i="1"/>
  <c r="Y15" i="1"/>
  <c r="Y14" i="1"/>
  <c r="V13" i="1"/>
  <c r="Y12" i="1"/>
  <c r="Y11" i="1"/>
  <c r="V10" i="1"/>
  <c r="V9" i="1"/>
  <c r="V8" i="1"/>
  <c r="V7" i="1"/>
  <c r="Y6" i="1"/>
  <c r="V5" i="1"/>
  <c r="V56" i="1"/>
  <c r="V62" i="1"/>
  <c r="V63" i="1"/>
  <c r="V209" i="1"/>
  <c r="V205" i="1"/>
  <c r="V195" i="1"/>
  <c r="V193" i="1"/>
  <c r="V179" i="1"/>
  <c r="V167" i="1"/>
  <c r="V166" i="1"/>
  <c r="V163" i="1"/>
  <c r="V153" i="1"/>
  <c r="V152" i="1"/>
  <c r="V151" i="1"/>
  <c r="V148" i="1"/>
  <c r="V138" i="1"/>
  <c r="V125" i="1"/>
  <c r="V111" i="1"/>
  <c r="V109" i="1"/>
  <c r="V97" i="1"/>
  <c r="V96" i="1"/>
  <c r="V95" i="1"/>
  <c r="V94" i="1"/>
  <c r="V53" i="1"/>
  <c r="V39" i="1"/>
  <c r="Q143" i="1"/>
  <c r="X143" i="1" s="1"/>
  <c r="V177" i="1" l="1"/>
  <c r="V108" i="1"/>
  <c r="V180" i="1"/>
  <c r="V110" i="1"/>
  <c r="Y121" i="1"/>
  <c r="Y22" i="1"/>
  <c r="V190" i="1"/>
  <c r="Y36" i="1"/>
  <c r="V21" i="1"/>
  <c r="V136" i="1"/>
  <c r="V191" i="1"/>
  <c r="V35" i="1"/>
  <c r="V137" i="1"/>
  <c r="V192" i="1"/>
  <c r="Y68" i="1"/>
  <c r="Y78" i="1"/>
  <c r="Y194" i="1"/>
  <c r="Y79" i="1"/>
  <c r="V208" i="1"/>
  <c r="Y37" i="1"/>
  <c r="Y71" i="1"/>
  <c r="Y50" i="1"/>
  <c r="V132" i="1"/>
  <c r="V189" i="1"/>
  <c r="Y51" i="1"/>
  <c r="Y8" i="1"/>
  <c r="Y92" i="1"/>
  <c r="Y207" i="1"/>
  <c r="Y9" i="1"/>
  <c r="Y93" i="1"/>
  <c r="Y135" i="1"/>
  <c r="Y54" i="1"/>
  <c r="Y120" i="1"/>
  <c r="Y23" i="1"/>
  <c r="Y64" i="1"/>
  <c r="Y106" i="1"/>
  <c r="Y65" i="1"/>
  <c r="Y107" i="1"/>
  <c r="Y67" i="1"/>
  <c r="Y149" i="1"/>
  <c r="Y10" i="1"/>
  <c r="Y24" i="1"/>
  <c r="Y38" i="1"/>
  <c r="Y66" i="1"/>
  <c r="Y178" i="1"/>
  <c r="Y206" i="1"/>
  <c r="Y13" i="1"/>
  <c r="Y69" i="1"/>
  <c r="Y139" i="1"/>
  <c r="Y181" i="1"/>
  <c r="Y16" i="1"/>
  <c r="Y30" i="1"/>
  <c r="Y100" i="1"/>
  <c r="Y212" i="1"/>
  <c r="Y59" i="1"/>
  <c r="Y129" i="1"/>
  <c r="Y18" i="1"/>
  <c r="Y60" i="1"/>
  <c r="Y98" i="1"/>
  <c r="V146" i="1"/>
  <c r="Y5" i="1"/>
  <c r="Y19" i="1"/>
  <c r="Y33" i="1"/>
  <c r="Y47" i="1"/>
  <c r="Y75" i="1"/>
  <c r="Y131" i="1"/>
  <c r="Y76" i="1"/>
  <c r="Y7" i="1"/>
  <c r="V25" i="1"/>
  <c r="V32" i="1"/>
  <c r="V34" i="1"/>
  <c r="V123" i="1"/>
  <c r="V164" i="1"/>
  <c r="V124" i="1"/>
  <c r="V165" i="1"/>
  <c r="V11" i="1"/>
  <c r="V133" i="1"/>
  <c r="V91" i="1"/>
  <c r="V20" i="1"/>
  <c r="V134" i="1"/>
  <c r="V161" i="1"/>
  <c r="V162" i="1"/>
  <c r="V77" i="1"/>
  <c r="V122" i="1"/>
  <c r="V147" i="1"/>
  <c r="V176" i="1"/>
  <c r="V204" i="1"/>
  <c r="V118" i="1"/>
  <c r="V175" i="1"/>
  <c r="V203" i="1"/>
  <c r="V80" i="1"/>
  <c r="V6" i="1"/>
  <c r="V150" i="1"/>
  <c r="V182" i="1"/>
  <c r="V99" i="1"/>
  <c r="V172" i="1"/>
  <c r="V168" i="1"/>
  <c r="V158" i="1"/>
  <c r="V127" i="1"/>
  <c r="V142" i="1"/>
  <c r="V70" i="1"/>
  <c r="V74" i="1"/>
  <c r="V169" i="1"/>
  <c r="V128" i="1"/>
  <c r="V15" i="1"/>
  <c r="V200" i="1"/>
  <c r="V17" i="1"/>
  <c r="V61" i="1"/>
  <c r="V103" i="1"/>
  <c r="V145" i="1"/>
  <c r="V159" i="1"/>
  <c r="V173" i="1"/>
  <c r="V187" i="1"/>
  <c r="V201" i="1"/>
  <c r="V215" i="1"/>
  <c r="V112" i="1"/>
  <c r="V113" i="1"/>
  <c r="V154" i="1"/>
  <c r="V26" i="1"/>
  <c r="V40" i="1"/>
  <c r="V55" i="1"/>
  <c r="V126" i="1"/>
  <c r="V196" i="1"/>
  <c r="V27" i="1"/>
  <c r="V41" i="1"/>
  <c r="X41" i="1"/>
  <c r="V155" i="1"/>
  <c r="V14" i="1"/>
  <c r="V28" i="1"/>
  <c r="V43" i="1"/>
  <c r="X43" i="1"/>
  <c r="V86" i="1"/>
  <c r="V114" i="1"/>
  <c r="V156" i="1"/>
  <c r="V12" i="1"/>
  <c r="V45" i="1"/>
  <c r="X45" i="1"/>
  <c r="V88" i="1"/>
  <c r="V102" i="1"/>
  <c r="V116" i="1"/>
  <c r="V130" i="1"/>
  <c r="V144" i="1"/>
  <c r="V186" i="1"/>
  <c r="V72" i="1"/>
  <c r="V58" i="1"/>
  <c r="V31" i="1"/>
  <c r="V89" i="1"/>
  <c r="X117" i="1"/>
  <c r="V117" i="1"/>
  <c r="V140" i="1"/>
  <c r="V85" i="1"/>
  <c r="V183" i="1"/>
  <c r="V197" i="1"/>
  <c r="V211" i="1"/>
  <c r="V84" i="1"/>
  <c r="V141" i="1"/>
  <c r="V170" i="1"/>
  <c r="V184" i="1"/>
  <c r="V198" i="1"/>
  <c r="V210" i="1"/>
  <c r="V29" i="1"/>
  <c r="V44" i="1"/>
  <c r="X44" i="1"/>
  <c r="V73" i="1"/>
  <c r="V87" i="1"/>
  <c r="V101" i="1"/>
  <c r="V115" i="1"/>
  <c r="V157" i="1"/>
  <c r="V171" i="1"/>
  <c r="V185" i="1"/>
  <c r="V199" i="1"/>
  <c r="V213" i="1"/>
  <c r="V214" i="1"/>
  <c r="X120" i="1"/>
  <c r="X133" i="1"/>
  <c r="X119" i="1"/>
  <c r="V49" i="1"/>
  <c r="V105" i="1"/>
  <c r="X118" i="1"/>
  <c r="V119" i="1"/>
  <c r="V46" i="1"/>
  <c r="V104" i="1"/>
  <c r="V216" i="1"/>
  <c r="V217" i="1"/>
  <c r="V48" i="1"/>
  <c r="V90" i="1"/>
  <c r="V160" i="1"/>
  <c r="V174" i="1"/>
  <c r="V188" i="1"/>
  <c r="V202" i="1"/>
  <c r="R143" i="1"/>
  <c r="R41" i="1" l="1"/>
  <c r="R43" i="1"/>
  <c r="R44" i="1"/>
  <c r="R45" i="1"/>
  <c r="R117" i="1"/>
  <c r="R118" i="1"/>
  <c r="R119" i="1"/>
  <c r="R120" i="1"/>
  <c r="Q53" i="1"/>
  <c r="X53" i="1" s="1"/>
  <c r="Q52" i="1"/>
  <c r="X52" i="1" s="1"/>
  <c r="Q81" i="1"/>
  <c r="X81" i="1" s="1"/>
  <c r="R52" i="1" l="1"/>
  <c r="R53" i="1"/>
  <c r="R81" i="1"/>
  <c r="Q76" i="1"/>
  <c r="X76" i="1" s="1"/>
  <c r="Q130" i="1"/>
  <c r="X130" i="1" s="1"/>
  <c r="R130" i="1" l="1"/>
  <c r="R76" i="1"/>
  <c r="Q217" i="1"/>
  <c r="X217" i="1" s="1"/>
  <c r="Q216" i="1"/>
  <c r="X216" i="1" s="1"/>
  <c r="Q215" i="1"/>
  <c r="X215" i="1" s="1"/>
  <c r="Q214" i="1"/>
  <c r="X214" i="1" s="1"/>
  <c r="Q213" i="1"/>
  <c r="X213" i="1" s="1"/>
  <c r="Q212" i="1"/>
  <c r="X212" i="1" s="1"/>
  <c r="Q211" i="1"/>
  <c r="X211" i="1" s="1"/>
  <c r="Q210" i="1"/>
  <c r="X210" i="1" s="1"/>
  <c r="Q209" i="1"/>
  <c r="X209" i="1" s="1"/>
  <c r="Q208" i="1"/>
  <c r="X208" i="1" s="1"/>
  <c r="Q207" i="1"/>
  <c r="X207" i="1" s="1"/>
  <c r="Q206" i="1"/>
  <c r="X206" i="1" s="1"/>
  <c r="Q205" i="1"/>
  <c r="X205" i="1" s="1"/>
  <c r="Q204" i="1"/>
  <c r="X204" i="1" s="1"/>
  <c r="Q203" i="1"/>
  <c r="X203" i="1" s="1"/>
  <c r="Q202" i="1"/>
  <c r="X202" i="1" s="1"/>
  <c r="Q201" i="1"/>
  <c r="X201" i="1" s="1"/>
  <c r="Q200" i="1"/>
  <c r="X200" i="1" s="1"/>
  <c r="Q199" i="1"/>
  <c r="X199" i="1" s="1"/>
  <c r="Q198" i="1"/>
  <c r="X198" i="1" s="1"/>
  <c r="Q197" i="1"/>
  <c r="X197" i="1" s="1"/>
  <c r="Q196" i="1"/>
  <c r="X196" i="1" s="1"/>
  <c r="Q195" i="1"/>
  <c r="X195" i="1" s="1"/>
  <c r="Q194" i="1"/>
  <c r="X194" i="1" s="1"/>
  <c r="Q193" i="1"/>
  <c r="X193" i="1" s="1"/>
  <c r="Q192" i="1"/>
  <c r="X192" i="1" s="1"/>
  <c r="Q191" i="1"/>
  <c r="X191" i="1" s="1"/>
  <c r="Q190" i="1"/>
  <c r="X190" i="1" s="1"/>
  <c r="Q189" i="1"/>
  <c r="X189" i="1" s="1"/>
  <c r="Q188" i="1"/>
  <c r="X188" i="1" s="1"/>
  <c r="Q187" i="1"/>
  <c r="X187" i="1" s="1"/>
  <c r="Q186" i="1"/>
  <c r="X186" i="1" s="1"/>
  <c r="Q185" i="1"/>
  <c r="X185" i="1" s="1"/>
  <c r="Q184" i="1"/>
  <c r="X184" i="1" s="1"/>
  <c r="Q183" i="1"/>
  <c r="X183" i="1" s="1"/>
  <c r="Q182" i="1"/>
  <c r="X182" i="1" s="1"/>
  <c r="Q181" i="1"/>
  <c r="X181" i="1" s="1"/>
  <c r="Q180" i="1"/>
  <c r="X180" i="1" s="1"/>
  <c r="Q179" i="1"/>
  <c r="X179" i="1" s="1"/>
  <c r="Q178" i="1"/>
  <c r="X178" i="1" s="1"/>
  <c r="Q177" i="1"/>
  <c r="X177" i="1" s="1"/>
  <c r="Q176" i="1"/>
  <c r="X176" i="1" s="1"/>
  <c r="Q175" i="1"/>
  <c r="X175" i="1" s="1"/>
  <c r="Q174" i="1"/>
  <c r="X174" i="1" s="1"/>
  <c r="Q173" i="1"/>
  <c r="X173" i="1" s="1"/>
  <c r="Q172" i="1"/>
  <c r="X172" i="1" s="1"/>
  <c r="Q171" i="1"/>
  <c r="X171" i="1" s="1"/>
  <c r="Q170" i="1"/>
  <c r="X170" i="1" s="1"/>
  <c r="Q169" i="1"/>
  <c r="X169" i="1" s="1"/>
  <c r="Q168" i="1"/>
  <c r="X168" i="1" s="1"/>
  <c r="Q167" i="1"/>
  <c r="X167" i="1" s="1"/>
  <c r="Q166" i="1"/>
  <c r="X166" i="1" s="1"/>
  <c r="Q165" i="1"/>
  <c r="X165" i="1" s="1"/>
  <c r="Q164" i="1"/>
  <c r="X164" i="1" s="1"/>
  <c r="Q163" i="1"/>
  <c r="X163" i="1" s="1"/>
  <c r="Q162" i="1"/>
  <c r="X162" i="1" s="1"/>
  <c r="Q161" i="1"/>
  <c r="X161" i="1" s="1"/>
  <c r="Q160" i="1"/>
  <c r="X160" i="1" s="1"/>
  <c r="Q159" i="1"/>
  <c r="X159" i="1" s="1"/>
  <c r="Q158" i="1"/>
  <c r="X158" i="1" s="1"/>
  <c r="Q157" i="1"/>
  <c r="X157" i="1" s="1"/>
  <c r="Q156" i="1"/>
  <c r="X156" i="1" s="1"/>
  <c r="Q155" i="1"/>
  <c r="X155" i="1" s="1"/>
  <c r="Q154" i="1"/>
  <c r="X154" i="1" s="1"/>
  <c r="Q153" i="1"/>
  <c r="X153" i="1" s="1"/>
  <c r="Q152" i="1"/>
  <c r="X152" i="1" s="1"/>
  <c r="Q151" i="1"/>
  <c r="X151" i="1" s="1"/>
  <c r="Q150" i="1"/>
  <c r="X150" i="1" s="1"/>
  <c r="Q149" i="1"/>
  <c r="X149" i="1" s="1"/>
  <c r="Q148" i="1"/>
  <c r="X148" i="1" s="1"/>
  <c r="Q147" i="1"/>
  <c r="X147" i="1" s="1"/>
  <c r="Q146" i="1"/>
  <c r="X146" i="1" s="1"/>
  <c r="Q145" i="1"/>
  <c r="X145" i="1" s="1"/>
  <c r="Q144" i="1"/>
  <c r="X144" i="1" s="1"/>
  <c r="Q142" i="1"/>
  <c r="X142" i="1" s="1"/>
  <c r="Q141" i="1"/>
  <c r="X141" i="1" s="1"/>
  <c r="Q140" i="1"/>
  <c r="X140" i="1" s="1"/>
  <c r="Q139" i="1"/>
  <c r="X139" i="1" s="1"/>
  <c r="Q138" i="1"/>
  <c r="X138" i="1" s="1"/>
  <c r="Q137" i="1"/>
  <c r="X137" i="1" s="1"/>
  <c r="Q136" i="1"/>
  <c r="X136" i="1" s="1"/>
  <c r="Q135" i="1"/>
  <c r="X135" i="1" s="1"/>
  <c r="Q134" i="1"/>
  <c r="X134" i="1" s="1"/>
  <c r="Q132" i="1"/>
  <c r="X132" i="1" s="1"/>
  <c r="Q131" i="1"/>
  <c r="X131" i="1" s="1"/>
  <c r="Q129" i="1"/>
  <c r="X129" i="1" s="1"/>
  <c r="Q128" i="1"/>
  <c r="Q127" i="1"/>
  <c r="Q126" i="1"/>
  <c r="X126" i="1" s="1"/>
  <c r="Q125" i="1"/>
  <c r="X125" i="1" s="1"/>
  <c r="Q124" i="1"/>
  <c r="X124" i="1" s="1"/>
  <c r="Q123" i="1"/>
  <c r="X123" i="1" s="1"/>
  <c r="Q122" i="1"/>
  <c r="X122" i="1" s="1"/>
  <c r="Q121" i="1"/>
  <c r="X121" i="1" s="1"/>
  <c r="Q116" i="1"/>
  <c r="X116" i="1" s="1"/>
  <c r="Q115" i="1"/>
  <c r="X115" i="1" s="1"/>
  <c r="Q114" i="1"/>
  <c r="X114" i="1" s="1"/>
  <c r="Q113" i="1"/>
  <c r="X113" i="1" s="1"/>
  <c r="Q112" i="1"/>
  <c r="X112" i="1" s="1"/>
  <c r="Q111" i="1"/>
  <c r="X111" i="1" s="1"/>
  <c r="Q110" i="1"/>
  <c r="Q109" i="1"/>
  <c r="Q108" i="1"/>
  <c r="X108" i="1" s="1"/>
  <c r="Q107" i="1"/>
  <c r="Q106" i="1"/>
  <c r="X106" i="1" s="1"/>
  <c r="Q105" i="1"/>
  <c r="X105" i="1" s="1"/>
  <c r="Q104" i="1"/>
  <c r="X104" i="1" s="1"/>
  <c r="Q103" i="1"/>
  <c r="X103" i="1" s="1"/>
  <c r="Q102" i="1"/>
  <c r="X102" i="1" s="1"/>
  <c r="Q101" i="1"/>
  <c r="Q100" i="1"/>
  <c r="Q99" i="1"/>
  <c r="X99" i="1" s="1"/>
  <c r="Q98" i="1"/>
  <c r="Q97" i="1"/>
  <c r="Q96" i="1"/>
  <c r="Q95" i="1"/>
  <c r="X95" i="1" s="1"/>
  <c r="Q94" i="1"/>
  <c r="Q93" i="1"/>
  <c r="X93" i="1" s="1"/>
  <c r="Q92" i="1"/>
  <c r="X92" i="1" s="1"/>
  <c r="Q91" i="1"/>
  <c r="X91" i="1" s="1"/>
  <c r="Q90" i="1"/>
  <c r="X90" i="1" s="1"/>
  <c r="Q89" i="1"/>
  <c r="X89" i="1" s="1"/>
  <c r="Q88" i="1"/>
  <c r="X88" i="1" s="1"/>
  <c r="Q87" i="1"/>
  <c r="X87" i="1" s="1"/>
  <c r="Q86" i="1"/>
  <c r="X86" i="1" s="1"/>
  <c r="Q85" i="1"/>
  <c r="X85" i="1" s="1"/>
  <c r="Q84" i="1"/>
  <c r="X84" i="1" s="1"/>
  <c r="Q83" i="1"/>
  <c r="X83" i="1" s="1"/>
  <c r="Q82" i="1"/>
  <c r="X82" i="1" s="1"/>
  <c r="Q80" i="1"/>
  <c r="Q79" i="1"/>
  <c r="X79" i="1" s="1"/>
  <c r="Q78" i="1"/>
  <c r="X78" i="1" s="1"/>
  <c r="Q77" i="1"/>
  <c r="X77" i="1" s="1"/>
  <c r="Q75" i="1"/>
  <c r="Q74" i="1"/>
  <c r="Q73" i="1"/>
  <c r="X73" i="1" s="1"/>
  <c r="Q72" i="1"/>
  <c r="Q71" i="1"/>
  <c r="X71" i="1" s="1"/>
  <c r="Q70" i="1"/>
  <c r="Q69" i="1"/>
  <c r="X69" i="1" s="1"/>
  <c r="Q68" i="1"/>
  <c r="Q67" i="1"/>
  <c r="X67" i="1" s="1"/>
  <c r="Q66" i="1"/>
  <c r="X66" i="1" s="1"/>
  <c r="Q65" i="1"/>
  <c r="X65" i="1" s="1"/>
  <c r="Q64" i="1"/>
  <c r="X64" i="1" s="1"/>
  <c r="Q63" i="1"/>
  <c r="X63" i="1" s="1"/>
  <c r="Q62" i="1"/>
  <c r="X62" i="1" s="1"/>
  <c r="Q61" i="1"/>
  <c r="X61" i="1" s="1"/>
  <c r="Q60" i="1"/>
  <c r="X60" i="1" s="1"/>
  <c r="Q59" i="1"/>
  <c r="X59" i="1" s="1"/>
  <c r="Q58" i="1"/>
  <c r="X58" i="1" s="1"/>
  <c r="Q55" i="1"/>
  <c r="Q54" i="1"/>
  <c r="X54" i="1" s="1"/>
  <c r="Q51" i="1"/>
  <c r="Q50" i="1"/>
  <c r="X50" i="1" s="1"/>
  <c r="Q49" i="1"/>
  <c r="X49" i="1" s="1"/>
  <c r="Q48" i="1"/>
  <c r="Q47" i="1"/>
  <c r="Q46" i="1"/>
  <c r="Q40" i="1"/>
  <c r="Q39" i="1"/>
  <c r="Q38" i="1"/>
  <c r="Q37" i="1"/>
  <c r="X37" i="1" s="1"/>
  <c r="Q36" i="1"/>
  <c r="X36" i="1" s="1"/>
  <c r="Q35" i="1"/>
  <c r="X35" i="1" s="1"/>
  <c r="Q34" i="1"/>
  <c r="X34" i="1" s="1"/>
  <c r="Q33" i="1"/>
  <c r="X33" i="1" s="1"/>
  <c r="Q32" i="1"/>
  <c r="X32" i="1" s="1"/>
  <c r="Q31" i="1"/>
  <c r="X31" i="1" s="1"/>
  <c r="Q30" i="1"/>
  <c r="X30" i="1" s="1"/>
  <c r="Q29" i="1"/>
  <c r="X29" i="1" s="1"/>
  <c r="Q28" i="1"/>
  <c r="X28" i="1" s="1"/>
  <c r="Q27" i="1"/>
  <c r="X27" i="1" s="1"/>
  <c r="Q26" i="1"/>
  <c r="X26" i="1" s="1"/>
  <c r="Q25" i="1"/>
  <c r="Q24" i="1"/>
  <c r="X24" i="1" s="1"/>
  <c r="Q23" i="1"/>
  <c r="X23" i="1" s="1"/>
  <c r="Q22" i="1"/>
  <c r="X22" i="1" s="1"/>
  <c r="Q21" i="1"/>
  <c r="X21" i="1" s="1"/>
  <c r="Q20" i="1"/>
  <c r="X20" i="1" s="1"/>
  <c r="Q19" i="1"/>
  <c r="X19" i="1" s="1"/>
  <c r="Q18" i="1"/>
  <c r="X18" i="1" s="1"/>
  <c r="Q17" i="1"/>
  <c r="X17" i="1" s="1"/>
  <c r="Q16" i="1"/>
  <c r="X16" i="1" s="1"/>
  <c r="Q15" i="1"/>
  <c r="X15" i="1" s="1"/>
  <c r="Q14" i="1"/>
  <c r="X14" i="1" s="1"/>
  <c r="Q13" i="1"/>
  <c r="X13" i="1" s="1"/>
  <c r="Q12" i="1"/>
  <c r="X12" i="1" s="1"/>
  <c r="Q11" i="1"/>
  <c r="Q10" i="1"/>
  <c r="X10" i="1" s="1"/>
  <c r="Q9" i="1"/>
  <c r="X9" i="1" s="1"/>
  <c r="Q8" i="1"/>
  <c r="X8" i="1" s="1"/>
  <c r="Q7" i="1"/>
  <c r="X7" i="1" s="1"/>
  <c r="Q6" i="1"/>
  <c r="X6" i="1" s="1"/>
  <c r="Q5" i="1"/>
  <c r="X5" i="1" s="1"/>
  <c r="L201" i="1"/>
  <c r="L200" i="1"/>
  <c r="L199" i="1"/>
  <c r="L198" i="1"/>
  <c r="L196" i="1"/>
  <c r="L195" i="1"/>
  <c r="L194" i="1"/>
  <c r="L193" i="1"/>
  <c r="L192" i="1"/>
  <c r="L191" i="1"/>
  <c r="L189" i="1"/>
  <c r="L188" i="1"/>
  <c r="L187" i="1"/>
  <c r="L186" i="1"/>
  <c r="L185" i="1"/>
  <c r="L184" i="1"/>
  <c r="L182" i="1"/>
  <c r="L181" i="1"/>
  <c r="L180" i="1"/>
  <c r="L179" i="1"/>
  <c r="L177" i="1"/>
  <c r="L175" i="1"/>
  <c r="L174" i="1"/>
  <c r="L173" i="1"/>
  <c r="L172" i="1"/>
  <c r="L170" i="1"/>
  <c r="L168" i="1"/>
  <c r="L167" i="1"/>
  <c r="L166" i="1"/>
  <c r="L165" i="1"/>
  <c r="L163" i="1"/>
  <c r="L161" i="1"/>
  <c r="L160" i="1"/>
  <c r="L159" i="1"/>
  <c r="L158" i="1"/>
  <c r="L156" i="1"/>
  <c r="L154" i="1"/>
  <c r="L153" i="1"/>
  <c r="R74" i="1" l="1"/>
  <c r="X74" i="1"/>
  <c r="R72" i="1"/>
  <c r="X72" i="1"/>
  <c r="R39" i="1"/>
  <c r="X39" i="1"/>
  <c r="R107" i="1"/>
  <c r="X107" i="1"/>
  <c r="R46" i="1"/>
  <c r="X46" i="1"/>
  <c r="R80" i="1"/>
  <c r="X80" i="1"/>
  <c r="R109" i="1"/>
  <c r="X109" i="1"/>
  <c r="R127" i="1"/>
  <c r="X127" i="1"/>
  <c r="R38" i="1"/>
  <c r="X38" i="1"/>
  <c r="R40" i="1"/>
  <c r="X40" i="1"/>
  <c r="R48" i="1"/>
  <c r="X48" i="1"/>
  <c r="R96" i="1"/>
  <c r="X96" i="1"/>
  <c r="R128" i="1"/>
  <c r="X128" i="1"/>
  <c r="R101" i="1"/>
  <c r="X101" i="1"/>
  <c r="R75" i="1"/>
  <c r="X75" i="1"/>
  <c r="R97" i="1"/>
  <c r="X97" i="1"/>
  <c r="R25" i="1"/>
  <c r="X25" i="1"/>
  <c r="R47" i="1"/>
  <c r="X47" i="1"/>
  <c r="R68" i="1"/>
  <c r="X68" i="1"/>
  <c r="R98" i="1"/>
  <c r="X98" i="1"/>
  <c r="R51" i="1"/>
  <c r="X51" i="1"/>
  <c r="R55" i="1"/>
  <c r="X55" i="1"/>
  <c r="R11" i="1"/>
  <c r="X11" i="1"/>
  <c r="R94" i="1"/>
  <c r="X94" i="1"/>
  <c r="R110" i="1"/>
  <c r="X110" i="1"/>
  <c r="R70" i="1"/>
  <c r="X70" i="1"/>
  <c r="R100" i="1"/>
  <c r="X100" i="1"/>
  <c r="R214" i="1"/>
  <c r="R49" i="1"/>
  <c r="R125" i="1"/>
  <c r="R209" i="1"/>
  <c r="R5" i="1"/>
  <c r="R18" i="1"/>
  <c r="R50" i="1"/>
  <c r="R108" i="1"/>
  <c r="R126" i="1"/>
  <c r="R210" i="1"/>
  <c r="R141" i="1"/>
  <c r="R212" i="1"/>
  <c r="R8" i="1"/>
  <c r="R144" i="1"/>
  <c r="R199" i="1"/>
  <c r="R58" i="1"/>
  <c r="R200" i="1"/>
  <c r="R10" i="1"/>
  <c r="R36" i="1"/>
  <c r="R99" i="1"/>
  <c r="R146" i="1"/>
  <c r="R215" i="1"/>
  <c r="R37" i="1"/>
  <c r="R114" i="1"/>
  <c r="R174" i="1"/>
  <c r="R61" i="1"/>
  <c r="R133" i="1"/>
  <c r="R175" i="1"/>
  <c r="R189" i="1"/>
  <c r="R203" i="1"/>
  <c r="R217" i="1"/>
  <c r="R155" i="1"/>
  <c r="R156" i="1"/>
  <c r="R54" i="1"/>
  <c r="R83" i="1"/>
  <c r="R157" i="1"/>
  <c r="R213" i="1"/>
  <c r="R22" i="1"/>
  <c r="R84" i="1"/>
  <c r="R186" i="1"/>
  <c r="R59" i="1"/>
  <c r="R131" i="1"/>
  <c r="R160" i="1"/>
  <c r="R60" i="1"/>
  <c r="R147" i="1"/>
  <c r="R188" i="1"/>
  <c r="R115" i="1"/>
  <c r="R62" i="1"/>
  <c r="R73" i="1"/>
  <c r="R88" i="1"/>
  <c r="R102" i="1"/>
  <c r="R116" i="1"/>
  <c r="R134" i="1"/>
  <c r="R149" i="1"/>
  <c r="R163" i="1"/>
  <c r="R176" i="1"/>
  <c r="R190" i="1"/>
  <c r="R204" i="1"/>
  <c r="R17" i="1"/>
  <c r="R195" i="1"/>
  <c r="R196" i="1"/>
  <c r="R69" i="1"/>
  <c r="R211" i="1"/>
  <c r="R20" i="1"/>
  <c r="R171" i="1"/>
  <c r="R9" i="1"/>
  <c r="R172" i="1"/>
  <c r="R23" i="1"/>
  <c r="R113" i="1"/>
  <c r="R173" i="1"/>
  <c r="R86" i="1"/>
  <c r="R132" i="1"/>
  <c r="R202" i="1"/>
  <c r="R87" i="1"/>
  <c r="R162" i="1"/>
  <c r="R12" i="1"/>
  <c r="R13" i="1"/>
  <c r="R26" i="1"/>
  <c r="R63" i="1"/>
  <c r="R89" i="1"/>
  <c r="R103" i="1"/>
  <c r="R121" i="1"/>
  <c r="R135" i="1"/>
  <c r="R150" i="1"/>
  <c r="R164" i="1"/>
  <c r="R177" i="1"/>
  <c r="R191" i="1"/>
  <c r="R205" i="1"/>
  <c r="R30" i="1"/>
  <c r="R93" i="1"/>
  <c r="R154" i="1"/>
  <c r="R169" i="1"/>
  <c r="R19" i="1"/>
  <c r="R95" i="1"/>
  <c r="R183" i="1"/>
  <c r="R7" i="1"/>
  <c r="R198" i="1"/>
  <c r="R34" i="1"/>
  <c r="R111" i="1"/>
  <c r="R158" i="1"/>
  <c r="R35" i="1"/>
  <c r="R145" i="1"/>
  <c r="R201" i="1"/>
  <c r="R24" i="1"/>
  <c r="R161" i="1"/>
  <c r="R216" i="1"/>
  <c r="R148" i="1"/>
  <c r="R14" i="1"/>
  <c r="R27" i="1"/>
  <c r="R64" i="1"/>
  <c r="R90" i="1"/>
  <c r="R104" i="1"/>
  <c r="R122" i="1"/>
  <c r="R136" i="1"/>
  <c r="R151" i="1"/>
  <c r="R165" i="1"/>
  <c r="R178" i="1"/>
  <c r="R192" i="1"/>
  <c r="R206" i="1"/>
  <c r="R79" i="1"/>
  <c r="R168" i="1"/>
  <c r="R31" i="1"/>
  <c r="R140" i="1"/>
  <c r="R32" i="1"/>
  <c r="R197" i="1"/>
  <c r="R33" i="1"/>
  <c r="R129" i="1"/>
  <c r="R152" i="1"/>
  <c r="R67" i="1"/>
  <c r="R139" i="1"/>
  <c r="R181" i="1"/>
  <c r="R182" i="1"/>
  <c r="R6" i="1"/>
  <c r="R82" i="1"/>
  <c r="R170" i="1"/>
  <c r="R142" i="1"/>
  <c r="R184" i="1"/>
  <c r="R21" i="1"/>
  <c r="R185" i="1"/>
  <c r="R112" i="1"/>
  <c r="R159" i="1"/>
  <c r="R85" i="1"/>
  <c r="R187" i="1"/>
  <c r="R71" i="1"/>
  <c r="R15" i="1"/>
  <c r="R28" i="1"/>
  <c r="R65" i="1"/>
  <c r="R77" i="1"/>
  <c r="R91" i="1"/>
  <c r="R105" i="1"/>
  <c r="R123" i="1"/>
  <c r="R137" i="1"/>
  <c r="R166" i="1"/>
  <c r="R179" i="1"/>
  <c r="R193" i="1"/>
  <c r="R207" i="1"/>
  <c r="R16" i="1"/>
  <c r="R29" i="1"/>
  <c r="R66" i="1"/>
  <c r="R78" i="1"/>
  <c r="R92" i="1"/>
  <c r="R106" i="1"/>
  <c r="R124" i="1"/>
  <c r="R138" i="1"/>
  <c r="R153" i="1"/>
  <c r="R167" i="1"/>
  <c r="R180" i="1"/>
  <c r="R194" i="1"/>
  <c r="R2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</author>
  </authors>
  <commentList>
    <comment ref="Q58" authorId="0" shapeId="0" xr:uid="{62C65790-88D8-4E1A-A8F1-0E96B2833285}">
      <text>
        <r>
          <rPr>
            <b/>
            <sz val="9"/>
            <color indexed="81"/>
            <rFont val="Tahoma"/>
            <family val="2"/>
          </rPr>
          <t>Paul:</t>
        </r>
        <r>
          <rPr>
            <sz val="9"/>
            <color indexed="81"/>
            <rFont val="Tahoma"/>
            <family val="2"/>
          </rPr>
          <t xml:space="preserve">
to be reconfirmed</t>
        </r>
      </text>
    </comment>
    <comment ref="N130" authorId="0" shapeId="0" xr:uid="{983F9BB0-E3BE-44D9-B907-4904F4E8BD7B}">
      <text>
        <r>
          <rPr>
            <b/>
            <sz val="9"/>
            <color indexed="81"/>
            <rFont val="Tahoma"/>
            <family val="2"/>
          </rPr>
          <t>Paul:</t>
        </r>
        <r>
          <rPr>
            <sz val="9"/>
            <color indexed="81"/>
            <rFont val="Tahoma"/>
            <family val="2"/>
          </rPr>
          <t xml:space="preserve">
Whatsapp offer 25/03/26</t>
        </r>
      </text>
    </comment>
  </commentList>
</comments>
</file>

<file path=xl/sharedStrings.xml><?xml version="1.0" encoding="utf-8"?>
<sst xmlns="http://schemas.openxmlformats.org/spreadsheetml/2006/main" count="2164" uniqueCount="490">
  <si>
    <t>Sub-Range</t>
  </si>
  <si>
    <t>Type</t>
  </si>
  <si>
    <t>Description En</t>
  </si>
  <si>
    <t>OM3</t>
  </si>
  <si>
    <t>CENTRAL TUBE UNIVERSAL</t>
  </si>
  <si>
    <t>KFO6OM3CTZHD</t>
  </si>
  <si>
    <t>6FO OM3 CENTRAL LOOSE TUBE LSZH UNIVERSAL Dca AQUA RAL6027</t>
  </si>
  <si>
    <t>KFO8OM3CTZHD</t>
  </si>
  <si>
    <t>8FO OM3 CENTRAL LOOSE TUBE LSZH UNIVERSAL Dca AQUA RAL6027</t>
  </si>
  <si>
    <t>KFO12OM3CTZHD</t>
  </si>
  <si>
    <t>12FO OM3 CENTRAL LOOSE TUBE LSZH UNIVERSAL Dca AQUA RAL6027</t>
  </si>
  <si>
    <t>KFO24OM3CTZHD</t>
  </si>
  <si>
    <t>24FO OM3 CENTRAL LOOSE TUBE LSZH UNIVERSAL Dca AQUA RAL6027</t>
  </si>
  <si>
    <t>TIGHT BUFFERED</t>
  </si>
  <si>
    <t>KFO6OM3TBZHC</t>
  </si>
  <si>
    <t>KFO8OM3TBZHC</t>
  </si>
  <si>
    <t>KFO12OM3TBZHC</t>
  </si>
  <si>
    <t>KFO24OM3TBZHC</t>
  </si>
  <si>
    <t>CENTRAL TUBE OUTDOOR</t>
  </si>
  <si>
    <t>KFO6OM3CT</t>
  </si>
  <si>
    <t>6FO OM3 CENTRAL LOOSE TUBE PEHD OUTDOOR BLACK RAL 9005</t>
  </si>
  <si>
    <t>KFO8OM3CT</t>
  </si>
  <si>
    <t>8FO OM3 CENTRAL LOOSE TUBE PEHD OUTDOOR BLACK RAL9005</t>
  </si>
  <si>
    <t>KFO12OM3CT</t>
  </si>
  <si>
    <t>12FO OM3 CENTRAL LOOSE TUBE PEHD OUTDOOR BLACK RAL9005</t>
  </si>
  <si>
    <t>KFO24OM3CT</t>
  </si>
  <si>
    <t>24FO OM3 CENTRAL LOOSE TUBE PEHD OUTDOOR BLACK RAL9005</t>
  </si>
  <si>
    <t>CENTRAL TUBE ARMORED OUTDOOR</t>
  </si>
  <si>
    <t>KFO6OM3CTA</t>
  </si>
  <si>
    <t>KFO8OM3CTA</t>
  </si>
  <si>
    <t>KFO12OM3CTA</t>
  </si>
  <si>
    <t>KFO24OM3CTA</t>
  </si>
  <si>
    <t>MULTI TUBE UNIVERSAL</t>
  </si>
  <si>
    <t>KFO48OM3MTZHD</t>
  </si>
  <si>
    <t>48FO OM3 MULTI LOOSE TUBE LSZH UNIVERSAL Dca AQUA RAL6027</t>
  </si>
  <si>
    <t>KFO96OM3MTZHD</t>
  </si>
  <si>
    <t>96FO OM3 MULTI LOOSE TUBE LSZH UNIVERSAL Dca AQUA RAL6027</t>
  </si>
  <si>
    <t>MULTI TUBE OUTDOOR</t>
  </si>
  <si>
    <t>KFO48OM3MT</t>
  </si>
  <si>
    <t>48FO OM3 MULTI LOOSE TUBE PEHD OUTDOOR BLACK RAL 9005</t>
  </si>
  <si>
    <t>KFO96OM3MT</t>
  </si>
  <si>
    <t>96FO OM3 MULTI LOOSE TUBE PEHD OUTDOOR BLACK RAL 9005</t>
  </si>
  <si>
    <t>MULTI TUBE ARMORED OUTDOOR</t>
  </si>
  <si>
    <t>KFO48OM3MTA</t>
  </si>
  <si>
    <t>48FO OM3 MULTI LOOSE TUBE ARMORDED PEHD OUTDOOR BLACK RAL 9005</t>
  </si>
  <si>
    <t>KFO96OM3MTA</t>
  </si>
  <si>
    <t>96FO OM3 MULTI LOOSE TUBE ARMORDED PEHD OUTDOOR BLACK RAL 9005</t>
  </si>
  <si>
    <t>OM4</t>
  </si>
  <si>
    <t>KFO6OM4CTZHD</t>
  </si>
  <si>
    <t>6FO OM4 CENTRAL LOOSE TUBE LSZH UNIVERSAL Dca ERIKA VIOLET RAL4003</t>
  </si>
  <si>
    <t>KFO8OM4CTZHD</t>
  </si>
  <si>
    <t>8FO OM4 CENTRAL LOOSE TUBE LSZH UNIVERSAL Dca ERIKA VIOLET RAL4003</t>
  </si>
  <si>
    <t>KFO12OM4CTZHD</t>
  </si>
  <si>
    <t>12FO OM4 CENTRAL LOOSE TUBE LSZH UNIVERSAL Dca ERIKA VIOLET RAL4003</t>
  </si>
  <si>
    <t>KFO24OM4CTZHD</t>
  </si>
  <si>
    <t>24FO OM4 CENTRAL LOOSE TUBE LSZH UNIVERSAL Dca ERIKA VIOLET RAL4003</t>
  </si>
  <si>
    <t>KFO48OM4MTZHD</t>
  </si>
  <si>
    <t>48FO OM4 MULTI LOOSE TUBE LSZH UNIVERSAL Dca ERIKA VIOLET RAL4003</t>
  </si>
  <si>
    <t>KFO96OM4MTZHD</t>
  </si>
  <si>
    <t>96FO OM4 MULTI LOOSE TUBE LSZH UNIVERSAL Dca ERIKA VIOLET RAL4003</t>
  </si>
  <si>
    <t>KFO6OM4TBZHC</t>
  </si>
  <si>
    <t>KFO8OM4TBZHC</t>
  </si>
  <si>
    <t>KFO12OM4TBZHC</t>
  </si>
  <si>
    <t>KFO24OM4TBZHC</t>
  </si>
  <si>
    <t>KFO6OM5TBZHC</t>
  </si>
  <si>
    <t>KFO8OM5TBZHC</t>
  </si>
  <si>
    <t>KFO12OM5TBZHC</t>
  </si>
  <si>
    <t>KFO24OM5TBZHC</t>
  </si>
  <si>
    <t>KFO48OM4MT</t>
  </si>
  <si>
    <t>48FO OM4 MULTI LOOSE TUBE PEHD OUTDOOR BLACK RAL 9005</t>
  </si>
  <si>
    <t>KFO96OM4MT</t>
  </si>
  <si>
    <t>96FO OM4 MULTI LOOSE TUBE PEHD OUTDOOR BLACK RAL 9005</t>
  </si>
  <si>
    <t>KFO48OM4MTA</t>
  </si>
  <si>
    <t>48FO OM4 MULTI LOOSE TUBE ARMORDED PEHD OUTDOOR BLACK RAL 9005</t>
  </si>
  <si>
    <t>KFO96OM4MTA</t>
  </si>
  <si>
    <t>96FO OM4 MULTI LOOSE TUBE ARMORDED PEHD OUTDOOR BLACK RAL 9005</t>
  </si>
  <si>
    <t>OM5</t>
  </si>
  <si>
    <t>KFO6OM5CTZHD</t>
  </si>
  <si>
    <t>6FO OM5 CENTRAL LOOSE TUBE LSZH UNIVERSAL Dca LIME GREEN RAL 6039</t>
  </si>
  <si>
    <t>KFO8OM5CTZHD</t>
  </si>
  <si>
    <t>8FO OM5 CENTRAL LOOSE TUBE LSZH UNIVERSAL Dca LIME GREEN RAL 6039</t>
  </si>
  <si>
    <t>KFO12OM5CTZHD</t>
  </si>
  <si>
    <t>12FO OM5 CENTRAL LOOSE TUBE LSZH UNIVERSAL Dca LIME GREEN RAL 6039</t>
  </si>
  <si>
    <t>KFO24OM5CTZHD</t>
  </si>
  <si>
    <t>24FO OM5 CENTRAL LOOSE TUBE LSZH UNIVERSAL Dca LIME GREEN RAL 6039</t>
  </si>
  <si>
    <t>KFO48OM5MTZHD</t>
  </si>
  <si>
    <t>48FO OM5 MULTI LOOSE TUBE LSZH UNIVERSAL Dca LIME GREEN RAL 6039</t>
  </si>
  <si>
    <t>KFO96OM5MTZHD</t>
  </si>
  <si>
    <t>96FO OM5 MULTI LOOSE TUBE LSZH UNIVERSAL Dca LIME GREEN RAL 6039</t>
  </si>
  <si>
    <t>OS2</t>
  </si>
  <si>
    <t>KFO6OS2CTZHD</t>
  </si>
  <si>
    <t>6FO OS2 CENTRAL LOOSE TUBE LSZH UNIVERSAL Dca YELLOW RAL1021</t>
  </si>
  <si>
    <t>KFO8OS2CTZHD</t>
  </si>
  <si>
    <t>8FO OS2 CENTRAL LOOSE TUBE LSZH UNIVERSAL Dca YELLOW RAL1021</t>
  </si>
  <si>
    <t>KFO12OS2CTZHD</t>
  </si>
  <si>
    <t>12FO OS2 CENTRAL LOOSE TUBE LSZH UNIVERSAL Dca YELLOW RAL1021</t>
  </si>
  <si>
    <t>KFO24OS2CTZHD</t>
  </si>
  <si>
    <t>24FO OS2 CENTRAL LOOSE TUBE LSZH UNIVERSAL Dca YELLOW RAL1021</t>
  </si>
  <si>
    <t>KFO6OS2TBZHC</t>
  </si>
  <si>
    <t>KFO8OS2TBZHC</t>
  </si>
  <si>
    <t>KFO12OS2TBZHC</t>
  </si>
  <si>
    <t>KFO24OS2TBZHC</t>
  </si>
  <si>
    <t>KFO6OS2CT</t>
  </si>
  <si>
    <t>6FO OS2 CENTRAL LOOSE TUBE PEHD OUTDOOR BLACK RAL9005</t>
  </si>
  <si>
    <t>KFO8OS2CT</t>
  </si>
  <si>
    <t>8FO OS2 CENTRAL LOOSE TUBE PEHD OUTDOOR BLACK RAL9005</t>
  </si>
  <si>
    <t>KFO12OS2CT</t>
  </si>
  <si>
    <t>12FO OS2 CENTRAL LOOSE TUBE PEHD OUTDOOR BLACK RAL9005</t>
  </si>
  <si>
    <t>KFO24OS2CT</t>
  </si>
  <si>
    <t>24FO OS2 CENTRAL LOOSE TUBE PEHD OUTDOOR BLACK RAL9005</t>
  </si>
  <si>
    <t>KFO6OS2CTA</t>
  </si>
  <si>
    <t>6FO OS2 CENTRAL LOOSE TUBE ARMORED PEHD OUTDOOR BLACK RAL9005</t>
  </si>
  <si>
    <t>KFO8OS2CTA</t>
  </si>
  <si>
    <t>8FO OS2 CENTRAL LOOSE TUBE ARMORED PEHD OUTDOOR BLACK RAL9005</t>
  </si>
  <si>
    <t>12FO OS2 CENTRAL LOOSE TUBE ARMORED PEHD OUTDOOR BLACK RAL9005</t>
  </si>
  <si>
    <t>KFO24OS2CTA</t>
  </si>
  <si>
    <t>24FO OS2 CENTRAL LOOSE TUBE ARMORED PEHD OUTDOOR BLACK RAL9005</t>
  </si>
  <si>
    <t>KFO48OS2MTZHD</t>
  </si>
  <si>
    <t>48FO OS2 MULTI LOOSE TUBE LSZH UNIVERSAL Dca YELLOW RAL1021</t>
  </si>
  <si>
    <t>KFO96OS2MTZHD</t>
  </si>
  <si>
    <t>96FO OS2 MULTI LOOSE TUBE LSZH UNIVERSAL Dca YELLOW RAL1021</t>
  </si>
  <si>
    <t>KFO48OS2MT</t>
  </si>
  <si>
    <t>48FO OS2 MULTI LOOSE TUBE PEHD OUTDOOR BLACK RAL 9005</t>
  </si>
  <si>
    <t>KFO96OS2MT</t>
  </si>
  <si>
    <t>96FO OS2 MULTI LOOSE TUBE PEHD OUTDOOR BLACK RAL 9005</t>
  </si>
  <si>
    <t>KFO48OS2MTA</t>
  </si>
  <si>
    <t>48FO OS2 MULTI LOOSE TUBE ARMORDED PEHD OUTDOOR BLACK RAL 9005</t>
  </si>
  <si>
    <t>KFO96OS2MTA</t>
  </si>
  <si>
    <t>96FO OS2 MULTI LOOSE TUBE ARMORDED PEHD OUTDOOR BLACK RAL 9005</t>
  </si>
  <si>
    <t>Individual Packing</t>
  </si>
  <si>
    <t>Supplier Payment term</t>
  </si>
  <si>
    <t>Items code</t>
    <phoneticPr fontId="1" type="noConversion"/>
  </si>
  <si>
    <t>HS code</t>
    <phoneticPr fontId="1" type="noConversion"/>
  </si>
  <si>
    <t>FOB Istanbul EUR/KM</t>
    <phoneticPr fontId="1" type="noConversion"/>
  </si>
  <si>
    <t>MOQ KM</t>
    <phoneticPr fontId="1" type="noConversion"/>
  </si>
  <si>
    <t>A-DQ(BN)(SR)2Y CLT</t>
  </si>
  <si>
    <t>U-DQ(BN)H CLT</t>
  </si>
  <si>
    <t>MULTI TUBE ARMORED OUTDOOR DOUBLE GAINE</t>
  </si>
  <si>
    <t>KFO24OM3MTZHAZHB2</t>
  </si>
  <si>
    <t>KFO48OM3MTZHAZHB2</t>
  </si>
  <si>
    <t>KFO12OM4MTZHAZHB2</t>
  </si>
  <si>
    <t>KFO24OM4MTZHAZHB2</t>
  </si>
  <si>
    <t>KFO48OM4MTZHAZHB2</t>
  </si>
  <si>
    <t>KFO12OS2MTZHAZHB2</t>
  </si>
  <si>
    <t>KFO24OS2MTZHAZHB2</t>
  </si>
  <si>
    <t>KFO48OS2MTZHAZHB2</t>
  </si>
  <si>
    <t>12FO OM4 MULTI LOOSE TUBE ARMORDED LSZH B2ca OUTDOOR PURPLE RAL 4003</t>
  </si>
  <si>
    <t>48FO OM4 MULTI LOOSE TUBE ARMORDED LSZH B2ca OUTDOOR PURPLE RAL 4003</t>
  </si>
  <si>
    <t>24FO OM4 MULTI LOOSE TUBE ARMORDED LSZH B2ca OUTDOOR PURPLE RAL 4003</t>
  </si>
  <si>
    <t>6FO OM3 TIGHT BUFFERED LSZH UNIVERSAL B2ca AQUA RAL6027</t>
  </si>
  <si>
    <t>8FO OM3 TIGHT BUFFERED LSZH UNIVERSAL B2ca AQUA RAL6027</t>
  </si>
  <si>
    <t>12FO OM3 TIGHT BUFFERED LSZH UNIVERSAL B2ca AQUA RAL6027</t>
  </si>
  <si>
    <t>24FO OM3 TIGHT BUFFERED LSZH UNIVERSAL B2ca AQUA RAL6027</t>
  </si>
  <si>
    <t>6FO OM4 TIGHT BUFFERED LSZH UNIVERSAL B2ca ERIKA VIOLET RAL4003</t>
  </si>
  <si>
    <t>8FO OM4 TIGHT BUFFERED LSZH UNIVERSAL B2ca ERIKA VIOLET RAL4003</t>
  </si>
  <si>
    <t>12FO OM4 TIGHT BUFFERED LSZH UNIVERSAL B2ca ERIKA VIOLET RAL4003</t>
  </si>
  <si>
    <t>24FO OM4 TIGHT BUFFERED LSZH UNIVERSAL B2ca ERIKA VIOLET RAL4003</t>
  </si>
  <si>
    <t>6FO OM5 TIGHT BUFFERED LSZH UNIVERSAL B2ca LIME GREEN RAL 6039</t>
  </si>
  <si>
    <t>8FO OM5 TIGHT BUFFERED LSZH UNIVERSAL B2ca LIME GREEN RAL 6039</t>
  </si>
  <si>
    <t>12FO OM5 TIGHT BUFFERED LSZH UNIVERSAL B2ca LIME GREEN RAL 6039</t>
  </si>
  <si>
    <t>24FO OM5 TIGHT BUFFERED LSZH UNIVERSAL B2ca LIME GREEN RAL 6039</t>
  </si>
  <si>
    <t>6FO OS2 TIGHT BUFFERED LSZH UNIVERSAL B2ca YELLOW RAL1021</t>
  </si>
  <si>
    <t>8FO OS2 TIGHT BUFFERED LSZH UNIVERSAL B2ca YELLOW RAL1021</t>
  </si>
  <si>
    <t>12FO OS2 TIGHT BUFFERED LSZH UNIVERSAL B2ca YELLOW RAL1021</t>
  </si>
  <si>
    <t>24FO OS2 TIGHT BUFFERED LSZH UNIVERSAL B2ca YELLOW RAL1021</t>
  </si>
  <si>
    <t>A-DQ(BN)H(SR)H-FR</t>
  </si>
  <si>
    <t>CPR</t>
  </si>
  <si>
    <t>Fca</t>
  </si>
  <si>
    <t>Dca</t>
  </si>
  <si>
    <t>B2ca</t>
  </si>
  <si>
    <t>12FO OM3 CENTRAL LOOSE TUBE LSZH UNIVERSAL Cca AQUA RAL6027</t>
  </si>
  <si>
    <t>24FO OM3 CENTRAL LOOSE TUBE LSZH UNIVERSAL Cca AQUA RAL6027</t>
  </si>
  <si>
    <t>12FO OM4 CENTRAL LOOSE TUBE LSZH UNIVERSAL Cca ERIKA VIOLET RAL4003</t>
  </si>
  <si>
    <t>24FO OM4 CENTRAL LOOSE TUBE LSZH UNIVERSAL Cca ERIKA VIOLET RAL4003</t>
  </si>
  <si>
    <t>12FO OS2 CENTRAL LOOSE TUBE LSZH UNIVERSAL Cca YELLOW RAL1021</t>
  </si>
  <si>
    <t>24FO OS2 CENTRAL LOOSE TUBE LSZH UNIVERSAL Cca YELLOW RAL1021</t>
  </si>
  <si>
    <t>U-DQ(BN)H-FR CLT</t>
  </si>
  <si>
    <t>KFO12OM3CTZHC</t>
  </si>
  <si>
    <t>KFO24OM3CTZHC</t>
  </si>
  <si>
    <t>KFO12OM4CTZHC</t>
  </si>
  <si>
    <t>KFO12OS2CTZHC</t>
  </si>
  <si>
    <t>KFO24OS2CTZHC</t>
  </si>
  <si>
    <t>KFO24OM4CTZHC</t>
  </si>
  <si>
    <t>48FO OM3 MULTI LOOSE TUBE LSZH UNIVERSAL Cca AQUA RAL6027</t>
  </si>
  <si>
    <t>48FO OM4 MULTI LOOSE TUBE LSZH UNIVERSAL Cca ERIKA VIOLET RAL4003</t>
  </si>
  <si>
    <t>48FO OS2 MULTI LOOSE TUBE LSZH UNIVERSAL Cca YELLOW RAL1021</t>
  </si>
  <si>
    <t>KFO48OM3MTZHC</t>
  </si>
  <si>
    <t>KFO48OM4MTZHC</t>
  </si>
  <si>
    <t>KFO48OS2MTZHC</t>
  </si>
  <si>
    <t>A-DQ(BN)H(SR)H-FR FE180</t>
  </si>
  <si>
    <t>KFO48OS2MTZHAZHB2FR</t>
  </si>
  <si>
    <t>A-DQ(BN)(SR)H-FR FE180 CLT</t>
  </si>
  <si>
    <t>12FO OM3 CENTRAL LOOSE TUBE ARMORED LSZH B2ca OUTDOOR AQUA RAL6027</t>
  </si>
  <si>
    <t>24FO OM3 CENTRAL LOOSE TUBE ARMORED LSZH B2ca OUTDOOR AQUA RAL6027</t>
  </si>
  <si>
    <t>12FO OS2 CENTRAL LOOSE TUBE ARMORED LSZH B2ca OUTDOOR YELLOW RAL 1021</t>
  </si>
  <si>
    <t>24FO OS2 CENTRAL LOOSE TUBE ARMORED LSZH B2ca OUTDOOR YELLOW RAL 1021</t>
  </si>
  <si>
    <t>MULTI TUBE ARMORED OUTDOOR SIMPLE GAINE</t>
  </si>
  <si>
    <t>12FO OM4 MULTI LOOSE TUBE ARMORDED DS LSZH B2ca OUTDOOR PURPLE RAL 4003</t>
  </si>
  <si>
    <t>24FO OM4 MULTI LOOSE TUBE ARMORDED DS LSZH B2ca OUTDOOR PURPLE RAL 4003</t>
  </si>
  <si>
    <t>48FO OM4 MULTI LOOSE TUBE ARMORDED DS LSZH B2ca OUTDOOR PURPLE RAL 4003</t>
  </si>
  <si>
    <t>A-DQ(BN)(SR)H-FR-MLT</t>
  </si>
  <si>
    <t>A-DQ(BN)(SR)H-FR CLT</t>
  </si>
  <si>
    <t>12FO OM4 CENTRAL LOOSE TUBE ARMORED LSZH B2ca OUTDOOR VIOLET RAL 4003</t>
  </si>
  <si>
    <t>24FO OM4 CENTRAL LOOSE TUBE ARMORED LSZH B2ca OUTDOOR VIOLET RAL 4003</t>
  </si>
  <si>
    <t>4FO OM3 CENTRAL LOOSE TUBE ARMORED LSZH FR B2ca OUTDOOR AQUA RAL6027</t>
  </si>
  <si>
    <t>6FO OM3 CENTRAL LOOSE TUBE ARMORED LSZH FR B2ca OUTDOOR AQUA RAL6027</t>
  </si>
  <si>
    <t>8FO OM3 CENTRAL LOOSE TUBE ARMORED LSZH FR B2ca OUTDOOR AQUA RAL6027</t>
  </si>
  <si>
    <t>12FO OM3 CENTRAL LOOSE TUBE ARMORED LSZH FR B2ca OUTDOOR AQUA RAL6027</t>
  </si>
  <si>
    <t>24FO OM3 CENTRAL LOOSE TUBE ARMORED LSZH FR B2ca OUTDOOR AQUA RAL6027</t>
  </si>
  <si>
    <t>4FO OS2 CENTRAL LOOSE TUBE ARMORED LSZH FR B2ca OUTDOOR YELLOW RAL 1021</t>
  </si>
  <si>
    <t>6FO OS2 CENTRAL LOOSE TUBE ARMORED LSZH FR B2ca OUTDOOR YELLOW RAL 1021</t>
  </si>
  <si>
    <t>8FO OS2 CENTRAL LOOSE TUBE ARMORED LSZH FR B2ca OUTDOOR YELLOW RAL 1021</t>
  </si>
  <si>
    <t>12FO OS2 CENTRAL LOOSE TUBE ARMORED LSZH FR B2ca OUTDOOR YELLOW RAL 1021</t>
  </si>
  <si>
    <t>24FO OS2 CENTRAL LOOSE TUBE ARMORED LSZH FR B2ca OUTDOOR YELLOW RAL 1021</t>
  </si>
  <si>
    <t>48FO OS2 MULTI LOOSE TUBE ARMORDED DS LSZH FR FR B2ca OUTDOOR YELLOW RAL1021</t>
  </si>
  <si>
    <t>KFO4OM3CTAZHB2FR</t>
  </si>
  <si>
    <t>KFO6OM3CTAZHB2FR</t>
  </si>
  <si>
    <t>KFO8OM3CTAZHB2FR</t>
  </si>
  <si>
    <t>KFO12OM3CTAZHB2FR</t>
  </si>
  <si>
    <t>KFO24OM3CTAZHB2FR</t>
  </si>
  <si>
    <t>KFO4OS2CTAZHB2FR</t>
  </si>
  <si>
    <t>KFO6OS2CTAZHB2FR</t>
  </si>
  <si>
    <t>KFO8OS2CTAZHB2FR</t>
  </si>
  <si>
    <t>KFO12OS2CTAZHB2FR</t>
  </si>
  <si>
    <t>KFO24OS2CTAZHB2FR</t>
  </si>
  <si>
    <t>KFO12OM3CTAZHB2</t>
  </si>
  <si>
    <t>KFO24OM3CTAZHB2</t>
  </si>
  <si>
    <t>KFO12OM4CTAZHB2</t>
  </si>
  <si>
    <t>KFO24OM4CTAZHB2</t>
  </si>
  <si>
    <t>KFO12OS2CTAZHB2</t>
  </si>
  <si>
    <t>KFO24OS2CTAZHB2</t>
  </si>
  <si>
    <t>KFO12OM3MTAZHB2</t>
  </si>
  <si>
    <t>KFO24OM3MTAZHB2</t>
  </si>
  <si>
    <t>KFO48OM3MTAZHB2</t>
  </si>
  <si>
    <t>KFO12OM4MTAZHB2</t>
  </si>
  <si>
    <t>KFO24OM4MTAZHB2</t>
  </si>
  <si>
    <t>KFO48OM4MTAZHB2</t>
  </si>
  <si>
    <t>KFO12OS2MTAZHB2</t>
  </si>
  <si>
    <t>KFO24OS2MTAZHB2</t>
  </si>
  <si>
    <t>KFO48OS2MTAZHB2</t>
  </si>
  <si>
    <t>Cca/B2ca</t>
  </si>
  <si>
    <t>Ex Works Istanbul EUR/KM</t>
  </si>
  <si>
    <t>2000m &amp; 4000m drum</t>
  </si>
  <si>
    <t>I-V(BN)H-B2</t>
  </si>
  <si>
    <t>A-DQ(BN)(SR)2Y</t>
  </si>
  <si>
    <t>U-DQ(BN)H MLT</t>
  </si>
  <si>
    <t>U-DQ(BN)H-FR B2ca MLT</t>
  </si>
  <si>
    <t>A-DQ(BN)2Y CLT</t>
  </si>
  <si>
    <t>A-DQ(BN)2Y MLT</t>
  </si>
  <si>
    <t>KFO24OS2MT</t>
  </si>
  <si>
    <t>KFO6OS2CTZHC</t>
  </si>
  <si>
    <t>6FO OS2 CENTRAL LOOSE TUBE LSZH UNIVERSAL Cca YELLOW RAL1021</t>
  </si>
  <si>
    <t xml:space="preserve">Infoks Ranges Codes </t>
  </si>
  <si>
    <t>KFO6OM3CTZHC</t>
  </si>
  <si>
    <t>6FO OM3 CENTRAL LOOSE TUBE LSZH UNIVERSAL Cca AQUA RAL6027</t>
  </si>
  <si>
    <t>KFO6OM4CTZHC</t>
  </si>
  <si>
    <t>6FO OM4 CENTRAL LOOSE TUBE LSZH UNIVERSAL Cca ERIKA VIOLET RAL4003</t>
  </si>
  <si>
    <t>KFO12OM3MTZHAZHB2</t>
  </si>
  <si>
    <t>KFO12OS2CTA</t>
  </si>
  <si>
    <t>KFO8OM4CTZHC</t>
  </si>
  <si>
    <t>8FO OM4 CENTRAL LOOSE TUBE LSZH UNIVERSAL Cca ERIKA VIOLET RAL4003</t>
  </si>
  <si>
    <t>KFO12OM3MTZHD</t>
  </si>
  <si>
    <t>KFO24OM3MTZHD</t>
  </si>
  <si>
    <t>KFO72OM3MTZHD</t>
  </si>
  <si>
    <t>KFO144OM3MTZHD</t>
  </si>
  <si>
    <t>KFO288OM3MTZHD</t>
  </si>
  <si>
    <t>KFO12OM4MTZHD</t>
  </si>
  <si>
    <t>KFO24OM4MTZHD</t>
  </si>
  <si>
    <t>KFO72OM4MTZHD</t>
  </si>
  <si>
    <t>KFO144OM4MTZHD</t>
  </si>
  <si>
    <t>KFO288OM4MTZHD</t>
  </si>
  <si>
    <t>KFO12OM5MTZHD</t>
  </si>
  <si>
    <t>KFO24OM5MTZHD</t>
  </si>
  <si>
    <t>KFO72OM5MTZHD</t>
  </si>
  <si>
    <t>KFO144OM5MTZHD</t>
  </si>
  <si>
    <t>KFO288OM5MTZHD</t>
  </si>
  <si>
    <t>KFO12OS2MTZHD</t>
  </si>
  <si>
    <t>KFO24OS2MTZHD</t>
  </si>
  <si>
    <t>KFO72OS2MTZHD</t>
  </si>
  <si>
    <t>KFO144OS2MTZHD</t>
  </si>
  <si>
    <t>KFO288OS2MTZHD</t>
  </si>
  <si>
    <t>KFO12OM3MTZHC</t>
  </si>
  <si>
    <t>KFO24OM3MTZHC</t>
  </si>
  <si>
    <t>KFO72OM3MTZHC</t>
  </si>
  <si>
    <t>KFO96OM3MTZHC</t>
  </si>
  <si>
    <t>KFO144OM3MTZHC</t>
  </si>
  <si>
    <t>KFO288OM3MTZHC</t>
  </si>
  <si>
    <t>KFO12OM4MTZHC</t>
  </si>
  <si>
    <t>KFO24OM4MTZHC</t>
  </si>
  <si>
    <t>KFO72OM4MTZHC</t>
  </si>
  <si>
    <t>KFO96OM4MTZHC</t>
  </si>
  <si>
    <t>KFO144OM4MTZHC</t>
  </si>
  <si>
    <t>KFO288OM4MTZHC</t>
  </si>
  <si>
    <t>KFO12OS2MTZHC</t>
  </si>
  <si>
    <t>KFO24OS2MTZHC</t>
  </si>
  <si>
    <t>KFO72OS2MTZHC</t>
  </si>
  <si>
    <t>KFO96OS2MTZHC</t>
  </si>
  <si>
    <t>KFO144OS2MTZHC</t>
  </si>
  <si>
    <t>KFO288OS2MTZHC</t>
  </si>
  <si>
    <t>KFO8OM3CTZHC</t>
  </si>
  <si>
    <t>8FO OM3 CENTRAL LOOSE TUBE LSZH UNIVERSAL Cca AQUA RAL6027</t>
  </si>
  <si>
    <t>KFO8OS2CTZHC</t>
  </si>
  <si>
    <t>12FO OM3 MULTI LOOSE TUBE LSZH UNIVERSAL Dca AQUA RAL6027  1x12+5xdummy</t>
  </si>
  <si>
    <t>24FO OM3 MULTI LOOSE TUBE LSZH UNIVERSAL Dca AQUA RAL6027  2x12+4xdummy</t>
  </si>
  <si>
    <t>72FO OM3 MULTI LOOSE TUBE LSZH UNIVERSAL Dca AQUA RAL6027 6x12</t>
  </si>
  <si>
    <t>144FO OM3 MULTI LOOSE TUBE LSZH UNIVERSAL Dca AQUA RAL6027 12x12</t>
  </si>
  <si>
    <t>288FO OM3 MULTI LOOSE TUBE LSZH UNIVERSAL Dca AQUA RAL6027 24x12</t>
  </si>
  <si>
    <t>12FO OM4 MULTI LOOSE TUBE LSZH UNIVERSAL Dca ERIKA VIOLET RAL4003 1x12+5xdummy</t>
  </si>
  <si>
    <t>24FO OM4 MULTI LOOSE TUBE LSZH UNIVERSAL Dca ERIKA VIOLET RAL4003 2x12+4xdummy</t>
  </si>
  <si>
    <t>72FO OM4 MULTI LOOSE TUBE LSZH UNIVERSAL Dca ERIKA VIOLET RAL4003 6x12</t>
  </si>
  <si>
    <t>144FO OM4 MULTI LOOSE TUBE LSZH UNIVERSAL Dca ERIKA VIOLET RAL4003 12x12</t>
  </si>
  <si>
    <t>288FO OM4 MULTI LOOSE TUBE LSZH UNIVERSAL Dca ERIKA VIOLET RAL4003 24x12</t>
  </si>
  <si>
    <t>12FO OM5 MULTI LOOSE TUBE LSZH UNIVERSAL Dca LIME GREEN RAL 6039 1x12+5xdummy</t>
  </si>
  <si>
    <t>24FO OM5 MULTI LOOSE TUBE LSZH UNIVERSAL Dca LIME GREEN RAL 6039 2x12 +4xdummy</t>
  </si>
  <si>
    <t>72FO OM5 MULTI LOOSE TUBE LSZH UNIVERSAL Dca LIME GREEN RAL 6039 6x12</t>
  </si>
  <si>
    <t>144FO OM5 MULTI LOOSE TUBE LSZH UNIVERSAL Dca LIME GREEN RAL 6039 12x12</t>
  </si>
  <si>
    <t>288FO OM5 MULTI LOOSE TUBE LSZH UNIVERSAL Dca LIME GREEN RAL 6039 24x12</t>
  </si>
  <si>
    <t>12FO OS2 MULTI LOOSE TUBE LSZH UNIVERSAL Dca YELLOW RAL1021 1x12+4xdummy</t>
  </si>
  <si>
    <t>24FO OS2 MULTI LOOSE TUBE LSZH UNIVERSAL Dca YELLOW RAL1021 2x12+4xdummy</t>
  </si>
  <si>
    <t>72FO OS2 MULTI LOOSE TUBE LSZH UNIVERSAL Dca YELLOW RAL1021 6x12</t>
  </si>
  <si>
    <t>144FO OS2 MULTI LOOSE TUBE LSZH UNIVERSAL Dca YELLOW RAL1021 12x12</t>
  </si>
  <si>
    <t>288FO OS2 MULTI LOOSE TUBE LSZH UNIVERSAL Dca YELLOW RAL1021  24x12</t>
  </si>
  <si>
    <t>12FO OM3 MULTI LOOSE TUBE LSZH UNIVERSAL Cca AQUA RAL6027 1x12+5xdummy</t>
  </si>
  <si>
    <t>24FO OM3 MULTI LOOSE TUBE LSZH UNIVERSAL Cca AQUA RAL6027 2x12+4xdummy</t>
  </si>
  <si>
    <t>72FO OM3 MULTI LOOSE TUBE LSZH UNIVERSAL Cca AQUA RAL6027 6x12</t>
  </si>
  <si>
    <t>96FO OM3 MULTI LOOSE TUBE LSZH UNIVERSAL Cca AQUA RAL6027 8x12</t>
  </si>
  <si>
    <t>144FO OM3 MULTI LOOSE TUBE LSZH UNIVERSAL Cca AQUA RAL6027  12x12</t>
  </si>
  <si>
    <t>288FO OM3 MULTI LOOSE TUBE LSZH UNIVERSAL Cca AQUA RAL6027  24x12</t>
  </si>
  <si>
    <t>12FO OM4 MULTI LOOSE TUBE LSZH UNIVERSAL Cca ERIKA VIOLET RAL4003 1x12+5xdummy</t>
  </si>
  <si>
    <t>24FO OM4 MULTI LOOSE TUBE LSZH UNIVERSAL Cca ERIKA VIOLET RAL4003 2x12+4xdummy</t>
  </si>
  <si>
    <t>72FO OM4 MULTI LOOSE TUBE LSZH UNIVERSAL Cca ERIKA VIOLET RAL4003 6x12</t>
  </si>
  <si>
    <t>96FO OM4 MULTI LOOSE TUBE LSZH UNIVERSAL Cca ERIKA VIOLET RAL4003 8x12</t>
  </si>
  <si>
    <t>144FO OM4 MULTI LOOSE TUBE LSZH UNIVERSAL Cca ERIKA VIOLET RAL4003 12x12</t>
  </si>
  <si>
    <t>288FO OM4 MULTI LOOSE TUBE LSZH UNIVERSAL Cca ERIKA VIOLET RAL4003  24x12</t>
  </si>
  <si>
    <t>12FO OS2 MULTI LOOSE TUBE LSZH UNIVERSAL Cca YELLOW RAL1021  1x12+5xdummy</t>
  </si>
  <si>
    <t>24FO OS2 MULTI LOOSE TUBE LSZH UNIVERSAL Cca YELLOW RAL1021 2x12+4xdummy</t>
  </si>
  <si>
    <t>72FO OS2 MULTI LOOSE TUBE LSZH UNIVERSAL Cca YELLOW RAL1021 6x12</t>
  </si>
  <si>
    <t>96FO OS2 MULTI LOOSE TUBE LSZH UNIVERSAL Cca YELLOW RAL1021 8x12</t>
  </si>
  <si>
    <t>144FO OS2 MULTI LOOSE TUBE LSZH UNIVERSAL Cca YELLOW RAL1021  12x12</t>
  </si>
  <si>
    <t>288FO OS2 MULTI LOOSE TUBE LSZH UNIVERSAL Cca YELLOW RAL1021  24x12</t>
  </si>
  <si>
    <t>8FO OS2 CENTRAL LOOSE TUBE LSZH UNIVERSAL Cca YELLOW RAL1021</t>
  </si>
  <si>
    <t>KFO4OM5CTZHC</t>
  </si>
  <si>
    <t>4FO OM5 CENTRAL LOOSE TUBE LSZH UNIVERSAL Cca LIME GREEN RAL 6039</t>
  </si>
  <si>
    <t>KFO144OS2MTZHAZHB2</t>
  </si>
  <si>
    <t>KFO288OS2MTZHAZHB2</t>
  </si>
  <si>
    <t>KFO144OS2MTAZHB2</t>
  </si>
  <si>
    <t>KFO288OS2MTAZHB2</t>
  </si>
  <si>
    <t>KFO4OM4CTAZHB2</t>
  </si>
  <si>
    <t>KFO8OM4CTAZHB2</t>
  </si>
  <si>
    <t>4FO OM4 CENTRAL LOOSE TUBE ARMORED LSZH B2ca OUTDOOR VIOLET RAL 4003</t>
  </si>
  <si>
    <t>8FO OM4 CENTRAL LOOSE TUBE ARMORED LSZH B2ca OUTDOOR VIOLET RAL 4003</t>
  </si>
  <si>
    <t>OFS FIBER FOR OM4</t>
  </si>
  <si>
    <t>DRAKA FIBER FOR OM4</t>
  </si>
  <si>
    <t>INVOICE+60 DAYS</t>
  </si>
  <si>
    <t>SYMEA / SYSKERN UKN</t>
  </si>
  <si>
    <t>KFO2OM3CTA</t>
  </si>
  <si>
    <t>2FO OM3 CENTRAL LOOSE TUBE ARMORED PEHD OUTDOOR BLACK RAL9005</t>
  </si>
  <si>
    <t>KFO4OM3CTA</t>
  </si>
  <si>
    <t>4FO OM3 CENTRAL LOOSE TUBE ARMORED PEHD OUTDOOR BLACK RAL9005</t>
  </si>
  <si>
    <t>KFO16OM3CTA</t>
  </si>
  <si>
    <t>16FO OM3 CENTRAL LOOSE TUBE ARMORED PEHD OUTDOOR BLACK RAL9005</t>
  </si>
  <si>
    <t>12FO OM3 CENTRAL LOOSE TUBE ARMORED PEHD OUTDOOR BLACK RAL9005</t>
  </si>
  <si>
    <t>8FO OM3 CENTRAL LOOSE TUBE ARMORED PEHD OUTDOOR BLACK RAL9005</t>
  </si>
  <si>
    <t>6FO OM3 CENTRAL LOOSE TUBE ARMORED PEHD OUTDOOR BLACK RAL9005</t>
  </si>
  <si>
    <t>24FO OM3CENTRAL LOOSE TUBE ARMORED PEHD OUTDOOR BLACK RAL9005</t>
  </si>
  <si>
    <t>KFO2OS2CTA</t>
  </si>
  <si>
    <t>KFO4OS2CTA</t>
  </si>
  <si>
    <t>KFO16OS2CTA</t>
  </si>
  <si>
    <t>16FO OS2 CENTRAL LOOSE TUBE ARMORED PEHD OUTDOOR BLACK RAL9005</t>
  </si>
  <si>
    <t>2FO OS2 CENTRAL LOOSE TUBE ARMORED PEHD OUTDOOR BLACK RAL9005</t>
  </si>
  <si>
    <t>4FO OS2 CENTRAL LOOSE TUBE ARMORED PEHD OUTDOOR BLACK RAL9005</t>
  </si>
  <si>
    <t>2FO OM4 CENTRAL LOOSE TUBE ARMORED PEHD OUTDOOR BLACK RAL9005</t>
  </si>
  <si>
    <t>4FO OM4 CENTRAL LOOSE TUBE ARMORED PEHD OUTDOOR BLACK RAL9005</t>
  </si>
  <si>
    <t>6FO OM4 CENTRAL LOOSE TUBE ARMORED PEHD OUTDOOR BLACK RAL9005</t>
  </si>
  <si>
    <t>8FO OM4 CENTRAL LOOSE TUBE ARMORED PEHD OUTDOOR BLACK RAL9005</t>
  </si>
  <si>
    <t>12FO OM4 CENTRAL LOOSE TUBE ARMORED PEHD OUTDOOR BLACK RAL9005</t>
  </si>
  <si>
    <t>16FO OM4 CENTRAL LOOSE TUBE ARMORED PEHD OUTDOOR BLACK RAL9005</t>
  </si>
  <si>
    <t>24FO OM4 CENTRAL LOOSE TUBE ARMORED PEHD OUTDOOR BLACK RAL9005</t>
  </si>
  <si>
    <t>KFO20OM3CTA</t>
  </si>
  <si>
    <t>20FO OM3 CENTRAL LOOSE TUBE ARMORED PEHD OUTDOOR BLACK RAL9005</t>
  </si>
  <si>
    <t>KFO20OS2CTA</t>
  </si>
  <si>
    <t>20FO OS2 CENTRAL LOOSE TUBE ARMORED PEHD OUTDOOR BLACK RAL9005</t>
  </si>
  <si>
    <t>20FO OM4 CENTRAL LOOSE TUBE ARMORED PEHD OUTDOOR BLACK RAL9005</t>
  </si>
  <si>
    <t>2FO OM5 CENTRAL LOOSE TUBE ARMORED PEHD OUTDOOR BLACK RAL9005</t>
  </si>
  <si>
    <t>4FO OM5 CENTRAL LOOSE TUBE ARMORED PEHD OUTDOOR BLACK RAL9005</t>
  </si>
  <si>
    <t>6FO OM5 CENTRAL LOOSE TUBE ARMORED PEHD OUTDOOR BLACK RAL9005</t>
  </si>
  <si>
    <t>8FO OM5 CENTRAL LOOSE TUBE ARMORED PEHD OUTDOOR BLACK RAL9005</t>
  </si>
  <si>
    <t>12FO OM5 CENTRAL LOOSE TUBE ARMORED PEHD OUTDOOR BLACK RAL9005</t>
  </si>
  <si>
    <t>16FO OM5 CENTRAL LOOSE TUBE ARMORED PEHD OUTDOOR BLACK RAL9005</t>
  </si>
  <si>
    <t>20FO OM5 CENTRAL LOOSE TUBE ARMORED PEHD OUTDOOR BLACK RAL9005</t>
  </si>
  <si>
    <t>24FO OM5 CENTRAL LOOSE TUBE ARMORED PEHD OUTDOOR BLACK RAL9005</t>
  </si>
  <si>
    <t>KFO10OM3CTA</t>
  </si>
  <si>
    <t>10FO OM3 CENTRAL LOOSE TUBE ARMORED PEHD OUTDOOR BLACK RAL9005</t>
  </si>
  <si>
    <t>KFO10OS2CTA</t>
  </si>
  <si>
    <t>10FO OS2 CENTRAL LOOSE TUBE ARMORED PEHD OUTDOOR BLACK RAL9005</t>
  </si>
  <si>
    <t>10FO OM4 CENTRAL LOOSE TUBE ARMORED PEHD OUTDOOR BLACK RAL9005</t>
  </si>
  <si>
    <t>10FO OM5 CENTRAL LOOSE TUBE ARMORED PEHD OUTDOOR BLACK RAL9005</t>
  </si>
  <si>
    <t>KFO2OM4CTA</t>
  </si>
  <si>
    <t>KFO4OM4CTA</t>
  </si>
  <si>
    <t>KFO6OM4CTA</t>
  </si>
  <si>
    <t>KFO8OM4CTA</t>
  </si>
  <si>
    <t>KFO10OM4CTA</t>
  </si>
  <si>
    <t>KFO12OM4CTA</t>
  </si>
  <si>
    <t>KFO16OM4CTA</t>
  </si>
  <si>
    <t>KFO20OM4CTA</t>
  </si>
  <si>
    <t>KFO24OM4CTA</t>
  </si>
  <si>
    <t>KFO2OM5CTA</t>
  </si>
  <si>
    <t>KFO4OM5CTA</t>
  </si>
  <si>
    <t>KFO6OM5CTA</t>
  </si>
  <si>
    <t>KFO8OM5CTA</t>
  </si>
  <si>
    <t>KFO10OM5CTA</t>
  </si>
  <si>
    <t>KFO12OM5CTA</t>
  </si>
  <si>
    <t>KFO16OM5CTA</t>
  </si>
  <si>
    <t>KFO20OM5CTA</t>
  </si>
  <si>
    <t>KFO24OM5CTA</t>
  </si>
  <si>
    <t>DRAKA FIBER OM3-OM4-OM5</t>
  </si>
  <si>
    <t>DRAKA FIBER FOR OM3-150 AND OFS OM4-400</t>
  </si>
  <si>
    <t>KFO6OM5CTZHC</t>
  </si>
  <si>
    <t>KFO8OM5CTZHC</t>
  </si>
  <si>
    <t>KFO12OM5CTZHC</t>
  </si>
  <si>
    <t>KFO24OM5CTZHC</t>
  </si>
  <si>
    <t>24FO OM5 CENTRAL LOOSE TUBE LSZH UNIVERSAL Cca LIME GREEN RAL 6039</t>
  </si>
  <si>
    <t>12FO OM5 CENTRAL LOOSE TUBE LSZH UNIVERSAL Cca LIME GREEN RAL 6039</t>
  </si>
  <si>
    <t>8FO OM5 CENTRAL LOOSE TUBE LSZH UNIVERSAL Cca LIME GREEN RAL 6039</t>
  </si>
  <si>
    <t>6FO OM5 CENTRAL LOOSE TUBE LSZH UNIVERSAL Cca LIME GREEN RAL 6039</t>
  </si>
  <si>
    <t>OM3 DRAKA</t>
  </si>
  <si>
    <t>OM4-400</t>
  </si>
  <si>
    <t>OM5 DRAKA</t>
  </si>
  <si>
    <t>OS2 G652D YOFC</t>
  </si>
  <si>
    <t>TYPE OF FIBERS</t>
  </si>
  <si>
    <t>FINAL PRICES SYMEA</t>
  </si>
  <si>
    <t>KFO96OS2MTZHAZHB2</t>
  </si>
  <si>
    <t>KFO4OM3CTZHD</t>
  </si>
  <si>
    <t>4FO OM3 CENTRAL LOOSE TUBE LSZH UNIVERSAL Dca AQUA RAL6027</t>
  </si>
  <si>
    <t>KFO4OM4CTZHD</t>
  </si>
  <si>
    <t>4FO OM4 CENTRAL LOOSE TUBE LSZH UNIVERSAL Dca ERIKA VIOLET RAL4003</t>
  </si>
  <si>
    <t>48FO OS2 MULTI LOOSE TUBE ARMORDED DS LSZH B2ca OUTDOOR PURPLE RAL 4005</t>
  </si>
  <si>
    <t>24FO OS2 MULTI LOOSE TUBE PEHD OUTDOOR BLACK RAL 9005</t>
  </si>
  <si>
    <t>12FO OM3 MULTI LOOSE TUBE ARMORDED LSZH B2ca OUTDOOR PURPLE RAL 6027</t>
  </si>
  <si>
    <t>24FO OM3 MULTI LOOSE TUBE ARMORDED LSZH B2ca OUTDOOR PURPLE RAL 6027</t>
  </si>
  <si>
    <t>48FO OM3 MULTI LOOSE TUBE ARMORDED LSZH B2ca OUTDOOR PURPLE RAL 6027</t>
  </si>
  <si>
    <t>12FO OS2 MULTI LOOSE TUBE ARMORDED DS LSZH B2ca OUTDOOR PURPLE RAL 1021</t>
  </si>
  <si>
    <t>24FO OS2 MULTI LOOSE TUBE ARMORDED DS LSZH B2ca OUTDOOR PURPLE RAL 1021</t>
  </si>
  <si>
    <t>96FO OS2 MULTI LOOSE TUBE ARMORDED DS LSZH B2ca OUTDOOR PURPLE RAL 1021</t>
  </si>
  <si>
    <t>144FO OS2 MULTI LOOSE TUBE ARMORDED DS LSZH B2ca OUTDOOR PURPLE RAL 1021</t>
  </si>
  <si>
    <t>288FO OS2 MULTI LOOSE TUBE ARMORDED DS LSZH B2ca OUTDOOR PURPLE RAL 1021</t>
  </si>
  <si>
    <t>12FO OM3 MULTI LOOSE TUBE ARMORDED DS LSZH B2ca OUTDOOR PURPLE RAL 6027</t>
  </si>
  <si>
    <t>24FO OM3 MULTI LOOSE TUBE ARMORDED DS LSZH B2ca OUTDOOR PURPLE RAL 6027</t>
  </si>
  <si>
    <t>48FO OM3 MULTI LOOSE TUBE ARMORDED DS LSZH B2ca OUTDOOR PURPLE RAL 6027</t>
  </si>
  <si>
    <t>KFO12OM4CTAZHVIB2</t>
  </si>
  <si>
    <t>KFO24OM4CTAZHVIB2</t>
  </si>
  <si>
    <t>KFO12OS2CTAZHVIB2</t>
  </si>
  <si>
    <t>KFO24OS2CTAZHVIB2</t>
  </si>
  <si>
    <t>12FO OM4 CENTRAL LOOSE TUBE ARMORED LSZH B2ca OUTDOOR VIOLET RAL 4005</t>
  </si>
  <si>
    <t>24FO OM4 CENTRAL LOOSE TUBE ARMORED LSZH B2ca OUTDOOR VIOLET RAL 4005</t>
  </si>
  <si>
    <t>12FO OS2 CENTRAL LOOSE TUBE ARMORED LSZH B2ca OUTDOOR VIOLET RAL 4005</t>
  </si>
  <si>
    <t>24FO OS2 CENTRAL LOOSE TUBE ARMORED LSZH B2ca OUTDOOR VIOLET RAL 4005</t>
  </si>
  <si>
    <t>è</t>
  </si>
  <si>
    <t>4FO OS2 CENTRAL LOOSE TUBE ARMORED LSZH Dca OUTDOOR YELLOW RAL 1021</t>
  </si>
  <si>
    <t>6FO OS2 CENTRAL LOOSE TUBE ARMORED LSZH Dca OUTDOOR YELLOW RAL 1021</t>
  </si>
  <si>
    <t>8FO OS2 CENTRAL LOOSE TUBE ARMORED LSZH Dca OUTDOOR YELLOW RAL 1021</t>
  </si>
  <si>
    <t>12FO OS2 CENTRAL LOOSE TUBE ARMORED LSZH Dca OUTDOOR YELLOW RAL 1021</t>
  </si>
  <si>
    <t>24FO OS2 CENTRAL LOOSE TUBE ARMORED LSZH Dca OUTDOOR YELLOW RAL 1021</t>
  </si>
  <si>
    <t>A-DQ(BN)(SR)H CLT</t>
  </si>
  <si>
    <t>KFO24OS2CTAZHD</t>
  </si>
  <si>
    <t>KFO4OS2CTAZHD</t>
  </si>
  <si>
    <t>KFO8OS2CTAZHD</t>
  </si>
  <si>
    <t>KFO12OS2CTAZHD</t>
  </si>
  <si>
    <t>A-DQ(BN)(SR)H-MLT</t>
  </si>
  <si>
    <t>KFO48OS2MTAZHD</t>
  </si>
  <si>
    <t>48FO OS2 MULTI LOOSE TUBE ARMORDED LSZH Dca OUTDOOR YELLOW RAL 1021</t>
  </si>
  <si>
    <t>72FO OS2 MULTI LOOSE TUBE ARMORDED LSZH Dca OUTDOOR YELLOW RAL 1021</t>
  </si>
  <si>
    <t>96FO OS2 MULTI LOOSE TUBE ARMORDED LSZH Dca OUTDOOR YELLOW RAL 1021</t>
  </si>
  <si>
    <t>144FO OS2 MULTI LOOSE TUBE ARMORDED LSZH Dca OUTDOOR YELLOW RAL 1021</t>
  </si>
  <si>
    <t>KFO72OS2MTAZHD</t>
  </si>
  <si>
    <t>KFO96OS2MTAZHD</t>
  </si>
  <si>
    <t>KFO144OS2MTAZHD</t>
  </si>
  <si>
    <t>KFO48OS2MTAZHVIB2</t>
  </si>
  <si>
    <t>48FO OS2 MULTI LOOSE TUBE ARMORDED LSZH B2ca OUTDOOR VIOLET RAL 4005</t>
  </si>
  <si>
    <t>12FO OS2 MULTI LOOSE TUBE ARMORDED LSZH B2ca OUTDOOR YELLOW RAL 1021</t>
  </si>
  <si>
    <t>24FO OS2 MULTI LOOSE TUBE ARMORDED LSZH B2ca OUTDOOR YELLOW RAL 1021</t>
  </si>
  <si>
    <t>48FO OS2 MULTI LOOSE TUBE ARMORDED LSZH B2ca OUTDOOR YELLOW RAL 1021</t>
  </si>
  <si>
    <t>144FO OS2 MULTI LOOSE TUBE ARMORDED LSZH B2ca OUTDOOR YELLOW RAL 1021</t>
  </si>
  <si>
    <t>288FO OS2 MULTI LOOSE TUBE ARMORDED LSZH B2ca OUTDOOR YELLOW RAL 1021</t>
  </si>
  <si>
    <t>2026 v1 JAN-JUN</t>
  </si>
  <si>
    <t>2026 v2 JUL-…</t>
  </si>
  <si>
    <t>OM4 DRAKA</t>
  </si>
  <si>
    <t>SYSKERN</t>
  </si>
  <si>
    <t>KFO6OS2CTAZHD</t>
  </si>
  <si>
    <t>DDP REAU EUR/KM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</si>
</sst>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_-[$$-409]* #,##0_ ;_-[$$-409]* \-#,##0\ ;_-[$$-409]* &quot;-&quot;??_ ;_-@_ "/>
    <numFmt numFmtId="166" formatCode="0.000"/>
    <numFmt numFmtId="167" formatCode="0.0%"/>
    <numFmt numFmtId="168" formatCode="_-* #,##0\ [$€-40C]_-;\-* #,##0\ [$€-40C]_-;_-* &quot;-&quot;??\ [$€-40C]_-;_-@_-"/>
  </numFmts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649E5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1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44" fontId="5" fillId="0" borderId="10" xfId="1" applyFont="1" applyBorder="1" applyAlignment="1">
      <alignment horizontal="center"/>
    </xf>
    <xf numFmtId="0" fontId="5" fillId="0" borderId="30" xfId="0" applyFont="1" applyBorder="1"/>
    <xf numFmtId="0" fontId="5" fillId="0" borderId="31" xfId="0" applyFont="1" applyBorder="1" applyAlignment="1">
      <alignment horizontal="center"/>
    </xf>
    <xf numFmtId="44" fontId="5" fillId="0" borderId="20" xfId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44" fontId="5" fillId="5" borderId="10" xfId="1" applyFont="1" applyFill="1" applyBorder="1" applyAlignment="1">
      <alignment horizontal="center" vertical="center" wrapText="1"/>
    </xf>
    <xf numFmtId="44" fontId="5" fillId="5" borderId="11" xfId="1" applyFont="1" applyFill="1" applyBorder="1" applyAlignment="1">
      <alignment horizontal="center" vertical="center" wrapText="1"/>
    </xf>
    <xf numFmtId="44" fontId="5" fillId="3" borderId="10" xfId="1" applyFont="1" applyFill="1" applyBorder="1" applyAlignment="1">
      <alignment horizontal="center" vertical="center" wrapText="1"/>
    </xf>
    <xf numFmtId="44" fontId="5" fillId="3" borderId="34" xfId="1" applyFont="1" applyFill="1" applyBorder="1" applyAlignment="1">
      <alignment horizontal="center" vertical="center" wrapText="1"/>
    </xf>
    <xf numFmtId="166" fontId="6" fillId="3" borderId="36" xfId="1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vertical="center"/>
    </xf>
    <xf numFmtId="1" fontId="5" fillId="6" borderId="2" xfId="0" applyNumberFormat="1" applyFont="1" applyFill="1" applyBorder="1" applyAlignment="1">
      <alignment horizontal="center" vertical="center"/>
    </xf>
    <xf numFmtId="44" fontId="5" fillId="5" borderId="27" xfId="1" applyFont="1" applyFill="1" applyBorder="1" applyAlignment="1">
      <alignment horizontal="center" vertical="center" wrapText="1"/>
    </xf>
    <xf numFmtId="44" fontId="5" fillId="5" borderId="18" xfId="1" applyFont="1" applyFill="1" applyBorder="1" applyAlignment="1">
      <alignment horizontal="center" vertical="center" wrapText="1"/>
    </xf>
    <xf numFmtId="44" fontId="5" fillId="5" borderId="17" xfId="1" applyFont="1" applyFill="1" applyBorder="1" applyAlignment="1">
      <alignment horizontal="center" vertical="center" wrapText="1"/>
    </xf>
    <xf numFmtId="164" fontId="5" fillId="3" borderId="17" xfId="1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/>
    </xf>
    <xf numFmtId="165" fontId="5" fillId="0" borderId="37" xfId="0" applyNumberFormat="1" applyFont="1" applyBorder="1" applyAlignment="1">
      <alignment horizontal="center"/>
    </xf>
    <xf numFmtId="167" fontId="5" fillId="0" borderId="0" xfId="2" applyNumberFormat="1" applyFont="1" applyAlignment="1">
      <alignment horizontal="center"/>
    </xf>
    <xf numFmtId="44" fontId="5" fillId="5" borderId="6" xfId="1" applyFont="1" applyFill="1" applyBorder="1" applyAlignment="1">
      <alignment horizontal="center" vertical="center" wrapText="1"/>
    </xf>
    <xf numFmtId="44" fontId="5" fillId="5" borderId="7" xfId="1" applyFont="1" applyFill="1" applyBorder="1" applyAlignment="1">
      <alignment horizontal="center" vertical="center" wrapText="1"/>
    </xf>
    <xf numFmtId="164" fontId="5" fillId="3" borderId="6" xfId="1" applyNumberFormat="1" applyFont="1" applyFill="1" applyBorder="1" applyAlignment="1">
      <alignment horizontal="center" vertical="center" wrapText="1"/>
    </xf>
    <xf numFmtId="164" fontId="5" fillId="0" borderId="22" xfId="0" applyNumberFormat="1" applyFont="1" applyBorder="1" applyAlignment="1">
      <alignment horizontal="center"/>
    </xf>
    <xf numFmtId="165" fontId="5" fillId="0" borderId="38" xfId="0" applyNumberFormat="1" applyFont="1" applyBorder="1" applyAlignment="1">
      <alignment horizontal="center"/>
    </xf>
    <xf numFmtId="44" fontId="5" fillId="5" borderId="4" xfId="1" applyFont="1" applyFill="1" applyBorder="1" applyAlignment="1">
      <alignment horizontal="center" vertical="center"/>
    </xf>
    <xf numFmtId="44" fontId="5" fillId="5" borderId="5" xfId="1" applyFont="1" applyFill="1" applyBorder="1" applyAlignment="1">
      <alignment horizontal="center" vertical="center"/>
    </xf>
    <xf numFmtId="164" fontId="5" fillId="3" borderId="4" xfId="1" applyNumberFormat="1" applyFont="1" applyFill="1" applyBorder="1" applyAlignment="1">
      <alignment horizontal="center" vertical="center"/>
    </xf>
    <xf numFmtId="44" fontId="5" fillId="5" borderId="26" xfId="1" applyFont="1" applyFill="1" applyBorder="1" applyAlignment="1">
      <alignment horizontal="center" vertical="center"/>
    </xf>
    <xf numFmtId="44" fontId="5" fillId="5" borderId="7" xfId="1" applyFont="1" applyFill="1" applyBorder="1" applyAlignment="1">
      <alignment horizontal="center" vertical="center"/>
    </xf>
    <xf numFmtId="44" fontId="5" fillId="5" borderId="6" xfId="1" applyFont="1" applyFill="1" applyBorder="1" applyAlignment="1">
      <alignment horizontal="center" vertical="center"/>
    </xf>
    <xf numFmtId="164" fontId="5" fillId="3" borderId="6" xfId="1" applyNumberFormat="1" applyFont="1" applyFill="1" applyBorder="1" applyAlignment="1">
      <alignment horizontal="center" vertical="center"/>
    </xf>
    <xf numFmtId="44" fontId="5" fillId="5" borderId="26" xfId="1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vertical="center"/>
    </xf>
    <xf numFmtId="1" fontId="5" fillId="6" borderId="14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44" fontId="5" fillId="5" borderId="24" xfId="1" applyFont="1" applyFill="1" applyBorder="1" applyAlignment="1">
      <alignment horizontal="center" vertical="center"/>
    </xf>
    <xf numFmtId="44" fontId="5" fillId="5" borderId="25" xfId="1" applyFont="1" applyFill="1" applyBorder="1" applyAlignment="1">
      <alignment horizontal="center" vertical="center"/>
    </xf>
    <xf numFmtId="44" fontId="5" fillId="5" borderId="15" xfId="1" applyFont="1" applyFill="1" applyBorder="1" applyAlignment="1">
      <alignment horizontal="center" vertical="center"/>
    </xf>
    <xf numFmtId="164" fontId="5" fillId="3" borderId="15" xfId="1" applyNumberFormat="1" applyFont="1" applyFill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/>
    </xf>
    <xf numFmtId="165" fontId="5" fillId="0" borderId="39" xfId="0" applyNumberFormat="1" applyFont="1" applyBorder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4" xfId="1" applyFont="1" applyFill="1" applyBorder="1" applyAlignment="1">
      <alignment horizontal="center" vertical="center"/>
    </xf>
    <xf numFmtId="164" fontId="5" fillId="0" borderId="21" xfId="0" applyNumberFormat="1" applyFont="1" applyBorder="1"/>
    <xf numFmtId="165" fontId="5" fillId="0" borderId="37" xfId="0" applyNumberFormat="1" applyFont="1" applyBorder="1"/>
    <xf numFmtId="44" fontId="5" fillId="5" borderId="2" xfId="1" applyFont="1" applyFill="1" applyBorder="1" applyAlignment="1">
      <alignment horizontal="center" vertical="center"/>
    </xf>
    <xf numFmtId="44" fontId="5" fillId="3" borderId="6" xfId="1" applyFont="1" applyFill="1" applyBorder="1" applyAlignment="1">
      <alignment horizontal="center" vertical="center"/>
    </xf>
    <xf numFmtId="164" fontId="5" fillId="0" borderId="22" xfId="0" applyNumberFormat="1" applyFont="1" applyBorder="1"/>
    <xf numFmtId="165" fontId="5" fillId="0" borderId="38" xfId="0" applyNumberFormat="1" applyFont="1" applyBorder="1"/>
    <xf numFmtId="44" fontId="5" fillId="5" borderId="14" xfId="1" applyFont="1" applyFill="1" applyBorder="1" applyAlignment="1">
      <alignment horizontal="center" vertical="center"/>
    </xf>
    <xf numFmtId="44" fontId="5" fillId="3" borderId="15" xfId="1" applyFont="1" applyFill="1" applyBorder="1" applyAlignment="1">
      <alignment horizontal="center" vertical="center"/>
    </xf>
    <xf numFmtId="164" fontId="5" fillId="0" borderId="23" xfId="0" applyNumberFormat="1" applyFont="1" applyBorder="1"/>
    <xf numFmtId="165" fontId="5" fillId="0" borderId="39" xfId="0" applyNumberFormat="1" applyFont="1" applyBorder="1"/>
    <xf numFmtId="164" fontId="5" fillId="0" borderId="42" xfId="0" applyNumberFormat="1" applyFont="1" applyBorder="1"/>
    <xf numFmtId="165" fontId="5" fillId="0" borderId="43" xfId="0" applyNumberFormat="1" applyFont="1" applyBorder="1"/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vertical="center"/>
    </xf>
    <xf numFmtId="1" fontId="6" fillId="4" borderId="2" xfId="0" applyNumberFormat="1" applyFont="1" applyFill="1" applyBorder="1" applyAlignment="1">
      <alignment horizontal="center" vertical="center"/>
    </xf>
    <xf numFmtId="44" fontId="6" fillId="5" borderId="6" xfId="1" applyFont="1" applyFill="1" applyBorder="1" applyAlignment="1">
      <alignment horizontal="center" vertical="center"/>
    </xf>
    <xf numFmtId="44" fontId="6" fillId="5" borderId="2" xfId="1" applyFont="1" applyFill="1" applyBorder="1" applyAlignment="1">
      <alignment horizontal="center" vertical="center"/>
    </xf>
    <xf numFmtId="164" fontId="6" fillId="3" borderId="6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65" fontId="5" fillId="0" borderId="19" xfId="0" applyNumberFormat="1" applyFont="1" applyBorder="1"/>
    <xf numFmtId="0" fontId="6" fillId="0" borderId="0" xfId="0" applyFont="1"/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vertical="center"/>
    </xf>
    <xf numFmtId="1" fontId="5" fillId="4" borderId="2" xfId="0" applyNumberFormat="1" applyFont="1" applyFill="1" applyBorder="1" applyAlignment="1">
      <alignment horizontal="center" vertical="center"/>
    </xf>
    <xf numFmtId="44" fontId="6" fillId="3" borderId="6" xfId="1" applyFont="1" applyFill="1" applyBorder="1" applyAlignment="1">
      <alignment horizontal="center" vertical="center"/>
    </xf>
    <xf numFmtId="164" fontId="6" fillId="0" borderId="22" xfId="0" applyNumberFormat="1" applyFont="1" applyBorder="1"/>
    <xf numFmtId="165" fontId="6" fillId="0" borderId="38" xfId="0" applyNumberFormat="1" applyFont="1" applyBorder="1"/>
    <xf numFmtId="0" fontId="7" fillId="6" borderId="14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vertical="center"/>
    </xf>
    <xf numFmtId="1" fontId="5" fillId="4" borderId="14" xfId="0" applyNumberFormat="1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/>
    </xf>
    <xf numFmtId="164" fontId="5" fillId="0" borderId="35" xfId="0" applyNumberFormat="1" applyFont="1" applyBorder="1" applyAlignment="1">
      <alignment horizontal="center"/>
    </xf>
    <xf numFmtId="165" fontId="5" fillId="0" borderId="40" xfId="0" applyNumberFormat="1" applyFont="1" applyBorder="1" applyAlignment="1">
      <alignment horizontal="center"/>
    </xf>
    <xf numFmtId="0" fontId="7" fillId="6" borderId="2" xfId="0" applyFont="1" applyFill="1" applyBorder="1" applyAlignment="1">
      <alignment horizontal="left"/>
    </xf>
    <xf numFmtId="44" fontId="5" fillId="5" borderId="8" xfId="1" applyFont="1" applyFill="1" applyBorder="1" applyAlignment="1">
      <alignment horizontal="center" vertical="center"/>
    </xf>
    <xf numFmtId="44" fontId="5" fillId="5" borderId="9" xfId="1" applyFont="1" applyFill="1" applyBorder="1" applyAlignment="1">
      <alignment horizontal="center" vertical="center"/>
    </xf>
    <xf numFmtId="44" fontId="5" fillId="3" borderId="8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/>
    <xf numFmtId="44" fontId="5" fillId="0" borderId="0" xfId="1" applyFont="1" applyBorder="1"/>
    <xf numFmtId="0" fontId="5" fillId="0" borderId="32" xfId="0" applyFont="1" applyBorder="1"/>
    <xf numFmtId="0" fontId="5" fillId="0" borderId="12" xfId="0" applyFont="1" applyBorder="1"/>
    <xf numFmtId="0" fontId="8" fillId="0" borderId="0" xfId="0" applyFont="1" applyAlignment="1">
      <alignment vertical="center"/>
    </xf>
    <xf numFmtId="44" fontId="5" fillId="0" borderId="0" xfId="1" applyFont="1"/>
    <xf numFmtId="168" fontId="5" fillId="0" borderId="30" xfId="0" applyNumberFormat="1" applyFont="1" applyBorder="1"/>
    <xf numFmtId="168" fontId="5" fillId="3" borderId="34" xfId="1" applyNumberFormat="1" applyFont="1" applyFill="1" applyBorder="1" applyAlignment="1">
      <alignment horizontal="center" vertical="center" wrapText="1"/>
    </xf>
    <xf numFmtId="168" fontId="5" fillId="0" borderId="21" xfId="0" applyNumberFormat="1" applyFont="1" applyBorder="1" applyAlignment="1">
      <alignment horizontal="center"/>
    </xf>
    <xf numFmtId="168" fontId="5" fillId="0" borderId="22" xfId="0" applyNumberFormat="1" applyFont="1" applyBorder="1" applyAlignment="1">
      <alignment horizontal="center"/>
    </xf>
    <xf numFmtId="168" fontId="5" fillId="0" borderId="23" xfId="0" applyNumberFormat="1" applyFont="1" applyBorder="1" applyAlignment="1">
      <alignment horizontal="center"/>
    </xf>
    <xf numFmtId="168" fontId="5" fillId="0" borderId="21" xfId="0" applyNumberFormat="1" applyFont="1" applyBorder="1"/>
    <xf numFmtId="168" fontId="5" fillId="0" borderId="22" xfId="0" applyNumberFormat="1" applyFont="1" applyBorder="1"/>
    <xf numFmtId="168" fontId="5" fillId="0" borderId="23" xfId="0" applyNumberFormat="1" applyFont="1" applyBorder="1"/>
    <xf numFmtId="168" fontId="5" fillId="0" borderId="42" xfId="0" applyNumberFormat="1" applyFont="1" applyBorder="1"/>
    <xf numFmtId="168" fontId="6" fillId="0" borderId="22" xfId="0" applyNumberFormat="1" applyFont="1" applyBorder="1"/>
    <xf numFmtId="168" fontId="5" fillId="0" borderId="35" xfId="0" applyNumberFormat="1" applyFont="1" applyBorder="1" applyAlignment="1">
      <alignment horizontal="center"/>
    </xf>
    <xf numFmtId="168" fontId="5" fillId="0" borderId="32" xfId="0" applyNumberFormat="1" applyFont="1" applyBorder="1"/>
    <xf numFmtId="168" fontId="5" fillId="0" borderId="0" xfId="0" applyNumberFormat="1" applyFont="1"/>
    <xf numFmtId="44" fontId="5" fillId="3" borderId="44" xfId="1" applyFont="1" applyFill="1" applyBorder="1" applyAlignment="1">
      <alignment horizontal="center" vertical="center" wrapText="1"/>
    </xf>
    <xf numFmtId="0" fontId="5" fillId="0" borderId="45" xfId="0" applyFont="1" applyBorder="1" applyAlignment="1">
      <alignment horizontal="left"/>
    </xf>
    <xf numFmtId="0" fontId="5" fillId="0" borderId="46" xfId="0" applyFont="1" applyBorder="1" applyAlignment="1">
      <alignment horizontal="left"/>
    </xf>
    <xf numFmtId="0" fontId="5" fillId="0" borderId="47" xfId="0" applyFont="1" applyBorder="1" applyAlignment="1">
      <alignment horizontal="left"/>
    </xf>
    <xf numFmtId="168" fontId="5" fillId="0" borderId="22" xfId="0" applyNumberFormat="1" applyFont="1" applyBorder="1" applyAlignment="1">
      <alignment horizontal="left"/>
    </xf>
    <xf numFmtId="0" fontId="5" fillId="0" borderId="48" xfId="0" applyFont="1" applyBorder="1" applyAlignment="1">
      <alignment horizontal="left"/>
    </xf>
    <xf numFmtId="0" fontId="6" fillId="0" borderId="46" xfId="0" applyFont="1" applyBorder="1" applyAlignment="1">
      <alignment horizontal="left"/>
    </xf>
    <xf numFmtId="0" fontId="5" fillId="0" borderId="49" xfId="0" applyFont="1" applyBorder="1" applyAlignment="1">
      <alignment horizontal="left"/>
    </xf>
    <xf numFmtId="0" fontId="5" fillId="0" borderId="33" xfId="0" applyFont="1" applyBorder="1" applyAlignment="1">
      <alignment horizontal="center"/>
    </xf>
    <xf numFmtId="168" fontId="5" fillId="0" borderId="42" xfId="0" applyNumberFormat="1" applyFont="1" applyBorder="1" applyAlignment="1">
      <alignment horizontal="center"/>
    </xf>
    <xf numFmtId="168" fontId="6" fillId="0" borderId="22" xfId="0" applyNumberFormat="1" applyFont="1" applyBorder="1" applyAlignment="1">
      <alignment horizontal="center"/>
    </xf>
    <xf numFmtId="168" fontId="5" fillId="0" borderId="32" xfId="0" applyNumberFormat="1" applyFont="1" applyBorder="1" applyAlignment="1">
      <alignment horizontal="center"/>
    </xf>
    <xf numFmtId="168" fontId="5" fillId="0" borderId="0" xfId="0" applyNumberFormat="1" applyFont="1" applyAlignment="1">
      <alignment horizontal="center"/>
    </xf>
    <xf numFmtId="0" fontId="5" fillId="0" borderId="50" xfId="0" applyFont="1" applyBorder="1" applyAlignment="1">
      <alignment horizontal="center"/>
    </xf>
    <xf numFmtId="168" fontId="5" fillId="0" borderId="51" xfId="0" applyNumberFormat="1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2" fontId="6" fillId="0" borderId="52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44" fontId="5" fillId="0" borderId="32" xfId="1" applyFont="1" applyBorder="1" applyAlignment="1">
      <alignment horizontal="center" vertical="center"/>
    </xf>
    <xf numFmtId="44" fontId="5" fillId="0" borderId="12" xfId="1" applyFont="1" applyBorder="1" applyAlignment="1">
      <alignment horizontal="center" vertical="center"/>
    </xf>
    <xf numFmtId="44" fontId="5" fillId="0" borderId="33" xfId="1" applyFont="1" applyBorder="1" applyAlignment="1">
      <alignment horizontal="center" vertical="center"/>
    </xf>
    <xf numFmtId="0" fontId="5" fillId="0" borderId="12" xfId="1" applyNumberFormat="1" applyFont="1" applyBorder="1" applyAlignment="1">
      <alignment horizontal="center"/>
    </xf>
    <xf numFmtId="44" fontId="5" fillId="0" borderId="10" xfId="1" applyFont="1" applyBorder="1" applyAlignment="1">
      <alignment horizontal="center"/>
    </xf>
    <xf numFmtId="44" fontId="5" fillId="0" borderId="11" xfId="1" applyFont="1" applyBorder="1" applyAlignment="1">
      <alignment horizontal="center"/>
    </xf>
    <xf numFmtId="44" fontId="5" fillId="0" borderId="41" xfId="1" applyFont="1" applyBorder="1" applyAlignment="1">
      <alignment horizont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Z236"/>
  <sheetViews>
    <sheetView tabSelected="1" zoomScale="70" zoomScaleNormal="70" workbookViewId="0">
      <pane xSplit="4" ySplit="4" topLeftCell="E5" activePane="bottomRight" state="frozen"/>
      <selection pane="topRight" activeCell="F1" sqref="F1"/>
      <selection pane="bottomLeft" activeCell="A2" sqref="A2"/>
      <selection pane="bottomRight" activeCell="AH9" sqref="AH9"/>
    </sheetView>
  </sheetViews>
  <sheetFormatPr baseColWidth="10" defaultColWidth="8.5703125" defaultRowHeight="15.75"/>
  <cols>
    <col min="1" max="1" width="17.5703125" style="1" bestFit="1" customWidth="1"/>
    <col min="2" max="2" width="28" style="2" bestFit="1" customWidth="1"/>
    <col min="3" max="3" width="48.5703125" style="3" bestFit="1" customWidth="1"/>
    <col min="4" max="4" width="24.85546875" style="3" bestFit="1" customWidth="1"/>
    <col min="5" max="5" width="10.85546875" style="1" bestFit="1" customWidth="1"/>
    <col min="6" max="6" width="87.7109375" style="3" bestFit="1" customWidth="1"/>
    <col min="7" max="7" width="24.5703125" style="3" bestFit="1" customWidth="1"/>
    <col min="8" max="9" width="16" style="1" bestFit="1" customWidth="1"/>
    <col min="10" max="10" width="29" style="3" bestFit="1" customWidth="1"/>
    <col min="11" max="11" width="33.5703125" style="106" hidden="1" customWidth="1"/>
    <col min="12" max="12" width="28.28515625" style="106" hidden="1" customWidth="1"/>
    <col min="13" max="13" width="33.5703125" style="110" hidden="1" customWidth="1"/>
    <col min="14" max="14" width="33.5703125" style="106" hidden="1" customWidth="1"/>
    <col min="15" max="15" width="46.7109375" style="110" hidden="1" customWidth="1"/>
    <col min="16" max="16" width="3.85546875" style="1" hidden="1" customWidth="1"/>
    <col min="17" max="17" width="33.5703125" style="3" hidden="1" customWidth="1"/>
    <col min="18" max="18" width="12.42578125" style="3" hidden="1" customWidth="1"/>
    <col min="19" max="19" width="22" style="1" hidden="1" customWidth="1"/>
    <col min="20" max="20" width="0" style="3" hidden="1" customWidth="1"/>
    <col min="21" max="21" width="25" style="123" bestFit="1" customWidth="1"/>
    <col min="22" max="22" width="12.42578125" style="3" hidden="1" customWidth="1"/>
    <col min="23" max="23" width="22" style="1" customWidth="1"/>
    <col min="24" max="24" width="10.28515625" style="3" bestFit="1" customWidth="1"/>
    <col min="25" max="25" width="18.7109375" style="136" bestFit="1" customWidth="1"/>
    <col min="26" max="26" width="19.85546875" style="136" bestFit="1" customWidth="1"/>
    <col min="27" max="16384" width="8.5703125" style="3"/>
  </cols>
  <sheetData>
    <row r="1" spans="1:26" ht="16.5" thickBot="1">
      <c r="K1" s="147">
        <v>2025</v>
      </c>
      <c r="L1" s="147"/>
      <c r="M1" s="147"/>
      <c r="N1" s="147">
        <v>2026</v>
      </c>
      <c r="O1" s="147"/>
      <c r="Q1" s="141" t="s">
        <v>484</v>
      </c>
      <c r="R1" s="142"/>
      <c r="S1" s="143"/>
      <c r="U1" s="141" t="s">
        <v>485</v>
      </c>
      <c r="V1" s="142"/>
      <c r="W1" s="143"/>
      <c r="Y1" s="137"/>
      <c r="Z1" s="137"/>
    </row>
    <row r="2" spans="1:26" ht="16.5" thickBot="1">
      <c r="K2" s="148" t="s">
        <v>354</v>
      </c>
      <c r="L2" s="149"/>
      <c r="M2" s="149"/>
      <c r="N2" s="148" t="s">
        <v>354</v>
      </c>
      <c r="O2" s="150"/>
      <c r="Q2" s="5"/>
      <c r="S2" s="6"/>
      <c r="U2" s="111"/>
      <c r="W2" s="6"/>
      <c r="Y2" s="138" t="s">
        <v>487</v>
      </c>
      <c r="Z2" s="138" t="s">
        <v>487</v>
      </c>
    </row>
    <row r="3" spans="1:26" ht="16.5" thickBot="1">
      <c r="K3" s="148" t="s">
        <v>352</v>
      </c>
      <c r="L3" s="149"/>
      <c r="M3" s="4" t="s">
        <v>351</v>
      </c>
      <c r="N3" s="4" t="s">
        <v>415</v>
      </c>
      <c r="O3" s="7" t="s">
        <v>416</v>
      </c>
      <c r="Q3" s="144" t="s">
        <v>430</v>
      </c>
      <c r="R3" s="145"/>
      <c r="S3" s="146"/>
      <c r="U3" s="144" t="s">
        <v>430</v>
      </c>
      <c r="V3" s="145"/>
      <c r="W3" s="146"/>
      <c r="Y3" s="139"/>
      <c r="Z3" s="140">
        <v>1.08</v>
      </c>
    </row>
    <row r="4" spans="1:26" s="1" customFormat="1" ht="32.25" thickBot="1">
      <c r="A4" s="8" t="s">
        <v>0</v>
      </c>
      <c r="B4" s="8" t="s">
        <v>252</v>
      </c>
      <c r="C4" s="8" t="s">
        <v>1</v>
      </c>
      <c r="D4" s="8" t="s">
        <v>131</v>
      </c>
      <c r="E4" s="8" t="s">
        <v>166</v>
      </c>
      <c r="F4" s="8" t="s">
        <v>2</v>
      </c>
      <c r="G4" s="8" t="s">
        <v>129</v>
      </c>
      <c r="H4" s="8" t="s">
        <v>134</v>
      </c>
      <c r="I4" s="8" t="s">
        <v>132</v>
      </c>
      <c r="J4" s="9" t="s">
        <v>130</v>
      </c>
      <c r="K4" s="10" t="s">
        <v>241</v>
      </c>
      <c r="L4" s="11" t="s">
        <v>133</v>
      </c>
      <c r="M4" s="10" t="s">
        <v>241</v>
      </c>
      <c r="N4" s="12" t="s">
        <v>241</v>
      </c>
      <c r="O4" s="12" t="s">
        <v>241</v>
      </c>
      <c r="Q4" s="13" t="s">
        <v>241</v>
      </c>
      <c r="R4" s="14">
        <v>1.1299999999999999</v>
      </c>
      <c r="S4" s="124" t="s">
        <v>429</v>
      </c>
      <c r="U4" s="112" t="s">
        <v>241</v>
      </c>
      <c r="V4" s="14">
        <v>1.1299999999999999</v>
      </c>
      <c r="W4" s="124" t="s">
        <v>429</v>
      </c>
      <c r="Y4" s="112" t="s">
        <v>241</v>
      </c>
      <c r="Z4" s="112" t="s">
        <v>489</v>
      </c>
    </row>
    <row r="5" spans="1:26" s="1" customFormat="1">
      <c r="A5" s="15" t="s">
        <v>3</v>
      </c>
      <c r="B5" s="16" t="s">
        <v>135</v>
      </c>
      <c r="C5" s="17" t="s">
        <v>27</v>
      </c>
      <c r="D5" s="17" t="s">
        <v>355</v>
      </c>
      <c r="E5" s="15" t="s">
        <v>167</v>
      </c>
      <c r="F5" s="17" t="s">
        <v>356</v>
      </c>
      <c r="G5" s="17" t="s">
        <v>242</v>
      </c>
      <c r="H5" s="15">
        <v>4000</v>
      </c>
      <c r="I5" s="18">
        <v>854470000000</v>
      </c>
      <c r="J5" s="15" t="s">
        <v>353</v>
      </c>
      <c r="K5" s="19">
        <v>0</v>
      </c>
      <c r="L5" s="20"/>
      <c r="M5" s="21"/>
      <c r="N5" s="22">
        <v>224.27384448448896</v>
      </c>
      <c r="O5" s="22">
        <v>217.8646607320712</v>
      </c>
      <c r="Q5" s="23">
        <f t="shared" ref="Q5:Q22" si="0">+N5</f>
        <v>224.27384448448896</v>
      </c>
      <c r="R5" s="24">
        <f t="shared" ref="R5:R36" si="1">+Q5*R$4</f>
        <v>253.42944426747249</v>
      </c>
      <c r="S5" s="125" t="s">
        <v>425</v>
      </c>
      <c r="U5" s="113">
        <v>240.2395616754566</v>
      </c>
      <c r="V5" s="24">
        <f t="shared" ref="V5:V36" si="2">+U5*V$4</f>
        <v>271.47070469326593</v>
      </c>
      <c r="W5" s="125" t="s">
        <v>425</v>
      </c>
      <c r="X5" s="25">
        <f>(U5-Q5)/Q5</f>
        <v>7.1188493815077247E-2</v>
      </c>
      <c r="Y5" s="113">
        <f>+U5/0.94</f>
        <v>255.57400178240064</v>
      </c>
      <c r="Z5" s="113">
        <f>(Y5*Z$3)</f>
        <v>276.01992192499273</v>
      </c>
    </row>
    <row r="6" spans="1:26" s="1" customFormat="1">
      <c r="A6" s="15" t="s">
        <v>3</v>
      </c>
      <c r="B6" s="16" t="s">
        <v>135</v>
      </c>
      <c r="C6" s="17" t="s">
        <v>27</v>
      </c>
      <c r="D6" s="17" t="s">
        <v>357</v>
      </c>
      <c r="E6" s="15" t="s">
        <v>167</v>
      </c>
      <c r="F6" s="17" t="s">
        <v>358</v>
      </c>
      <c r="G6" s="17" t="s">
        <v>242</v>
      </c>
      <c r="H6" s="15">
        <v>4000</v>
      </c>
      <c r="I6" s="18">
        <v>854470000000</v>
      </c>
      <c r="J6" s="15" t="s">
        <v>353</v>
      </c>
      <c r="K6" s="26">
        <v>0</v>
      </c>
      <c r="L6" s="27"/>
      <c r="M6" s="26"/>
      <c r="N6" s="28">
        <v>269.13813075141354</v>
      </c>
      <c r="O6" s="28">
        <v>256.31976324657796</v>
      </c>
      <c r="Q6" s="29">
        <f t="shared" si="0"/>
        <v>269.13813075141354</v>
      </c>
      <c r="R6" s="30">
        <f t="shared" si="1"/>
        <v>304.12608774909728</v>
      </c>
      <c r="S6" s="126" t="s">
        <v>425</v>
      </c>
      <c r="U6" s="114">
        <v>295.51314658111698</v>
      </c>
      <c r="V6" s="30">
        <f t="shared" si="2"/>
        <v>333.92985563666218</v>
      </c>
      <c r="W6" s="126" t="s">
        <v>425</v>
      </c>
      <c r="X6" s="25">
        <f t="shared" ref="X6:X69" si="3">(U6-Q6)/Q6</f>
        <v>9.7998064250748751E-2</v>
      </c>
      <c r="Y6" s="114">
        <f t="shared" ref="Y6:Y69" si="4">+U6/0.94</f>
        <v>314.37568785225216</v>
      </c>
      <c r="Z6" s="114">
        <f>(Y6*Z$3)</f>
        <v>339.52574288043235</v>
      </c>
    </row>
    <row r="7" spans="1:26">
      <c r="A7" s="15" t="s">
        <v>3</v>
      </c>
      <c r="B7" s="16" t="s">
        <v>135</v>
      </c>
      <c r="C7" s="17" t="s">
        <v>27</v>
      </c>
      <c r="D7" s="17" t="s">
        <v>28</v>
      </c>
      <c r="E7" s="15" t="s">
        <v>167</v>
      </c>
      <c r="F7" s="17" t="s">
        <v>363</v>
      </c>
      <c r="G7" s="17" t="s">
        <v>242</v>
      </c>
      <c r="H7" s="15">
        <v>4000</v>
      </c>
      <c r="I7" s="18">
        <v>854470000000</v>
      </c>
      <c r="J7" s="15" t="s">
        <v>353</v>
      </c>
      <c r="K7" s="31">
        <v>319</v>
      </c>
      <c r="L7" s="32">
        <v>330</v>
      </c>
      <c r="M7" s="31"/>
      <c r="N7" s="33">
        <v>314.00241701833812</v>
      </c>
      <c r="O7" s="33">
        <v>294.77486576108475</v>
      </c>
      <c r="Q7" s="29">
        <f t="shared" si="0"/>
        <v>314.00241701833812</v>
      </c>
      <c r="R7" s="30">
        <f t="shared" si="1"/>
        <v>354.82273123072207</v>
      </c>
      <c r="S7" s="126" t="s">
        <v>425</v>
      </c>
      <c r="U7" s="114">
        <v>350.78673148677734</v>
      </c>
      <c r="V7" s="30">
        <f t="shared" si="2"/>
        <v>396.38900658005838</v>
      </c>
      <c r="W7" s="126" t="s">
        <v>425</v>
      </c>
      <c r="X7" s="25">
        <f t="shared" si="3"/>
        <v>0.11714659656995879</v>
      </c>
      <c r="Y7" s="114">
        <f t="shared" si="4"/>
        <v>373.17737392210358</v>
      </c>
      <c r="Z7" s="114">
        <f t="shared" ref="Z6:Z69" si="5">(Y7*Z$3)</f>
        <v>403.03156383587191</v>
      </c>
    </row>
    <row r="8" spans="1:26">
      <c r="A8" s="15" t="s">
        <v>3</v>
      </c>
      <c r="B8" s="16" t="s">
        <v>135</v>
      </c>
      <c r="C8" s="17" t="s">
        <v>27</v>
      </c>
      <c r="D8" s="17" t="s">
        <v>29</v>
      </c>
      <c r="E8" s="15" t="s">
        <v>167</v>
      </c>
      <c r="F8" s="17" t="s">
        <v>362</v>
      </c>
      <c r="G8" s="17" t="s">
        <v>242</v>
      </c>
      <c r="H8" s="15">
        <v>4000</v>
      </c>
      <c r="I8" s="18">
        <v>854470000000</v>
      </c>
      <c r="J8" s="15" t="s">
        <v>353</v>
      </c>
      <c r="K8" s="34">
        <v>367</v>
      </c>
      <c r="L8" s="35">
        <v>380</v>
      </c>
      <c r="M8" s="36"/>
      <c r="N8" s="37">
        <v>358.86670328526264</v>
      </c>
      <c r="O8" s="37">
        <v>333.22996827559149</v>
      </c>
      <c r="Q8" s="29">
        <f t="shared" si="0"/>
        <v>358.86670328526264</v>
      </c>
      <c r="R8" s="30">
        <f t="shared" si="1"/>
        <v>405.51937471234675</v>
      </c>
      <c r="S8" s="126" t="s">
        <v>425</v>
      </c>
      <c r="U8" s="114">
        <v>406.06031639243776</v>
      </c>
      <c r="V8" s="30">
        <f t="shared" si="2"/>
        <v>458.84815752345463</v>
      </c>
      <c r="W8" s="126" t="s">
        <v>425</v>
      </c>
      <c r="X8" s="25">
        <f t="shared" si="3"/>
        <v>0.13150736102050953</v>
      </c>
      <c r="Y8" s="114">
        <f t="shared" si="4"/>
        <v>431.97905999195507</v>
      </c>
      <c r="Z8" s="114">
        <f t="shared" si="5"/>
        <v>466.53738479131152</v>
      </c>
    </row>
    <row r="9" spans="1:26">
      <c r="A9" s="15" t="s">
        <v>3</v>
      </c>
      <c r="B9" s="16" t="s">
        <v>135</v>
      </c>
      <c r="C9" s="17" t="s">
        <v>27</v>
      </c>
      <c r="D9" s="17" t="s">
        <v>391</v>
      </c>
      <c r="E9" s="15" t="s">
        <v>167</v>
      </c>
      <c r="F9" s="17" t="s">
        <v>392</v>
      </c>
      <c r="G9" s="17" t="s">
        <v>242</v>
      </c>
      <c r="H9" s="15">
        <v>4000</v>
      </c>
      <c r="I9" s="18">
        <v>854470000000</v>
      </c>
      <c r="J9" s="15" t="s">
        <v>353</v>
      </c>
      <c r="K9" s="26">
        <v>0</v>
      </c>
      <c r="L9" s="35"/>
      <c r="M9" s="36"/>
      <c r="N9" s="37">
        <v>403.73098955218722</v>
      </c>
      <c r="O9" s="37">
        <v>371.68507079009822</v>
      </c>
      <c r="Q9" s="29">
        <f t="shared" si="0"/>
        <v>403.73098955218722</v>
      </c>
      <c r="R9" s="30">
        <f t="shared" si="1"/>
        <v>456.21601819397154</v>
      </c>
      <c r="S9" s="126" t="s">
        <v>425</v>
      </c>
      <c r="U9" s="114">
        <v>461.33390129809811</v>
      </c>
      <c r="V9" s="30">
        <f t="shared" si="2"/>
        <v>521.30730846685083</v>
      </c>
      <c r="W9" s="126" t="s">
        <v>425</v>
      </c>
      <c r="X9" s="25">
        <f t="shared" si="3"/>
        <v>0.14267646833304332</v>
      </c>
      <c r="Y9" s="114">
        <f t="shared" si="4"/>
        <v>490.78074606180655</v>
      </c>
      <c r="Z9" s="114">
        <f t="shared" si="5"/>
        <v>530.04320574675114</v>
      </c>
    </row>
    <row r="10" spans="1:26">
      <c r="A10" s="15" t="s">
        <v>3</v>
      </c>
      <c r="B10" s="16" t="s">
        <v>135</v>
      </c>
      <c r="C10" s="17" t="s">
        <v>27</v>
      </c>
      <c r="D10" s="17" t="s">
        <v>30</v>
      </c>
      <c r="E10" s="15" t="s">
        <v>167</v>
      </c>
      <c r="F10" s="17" t="s">
        <v>361</v>
      </c>
      <c r="G10" s="17" t="s">
        <v>242</v>
      </c>
      <c r="H10" s="15">
        <v>4000</v>
      </c>
      <c r="I10" s="18">
        <v>854470000000</v>
      </c>
      <c r="J10" s="15" t="s">
        <v>353</v>
      </c>
      <c r="K10" s="34">
        <v>448</v>
      </c>
      <c r="L10" s="35">
        <v>464</v>
      </c>
      <c r="M10" s="36"/>
      <c r="N10" s="37">
        <v>448.59527581911181</v>
      </c>
      <c r="O10" s="37">
        <v>410.14017330460507</v>
      </c>
      <c r="Q10" s="29">
        <f t="shared" si="0"/>
        <v>448.59527581911181</v>
      </c>
      <c r="R10" s="30">
        <f t="shared" si="1"/>
        <v>506.91266167559627</v>
      </c>
      <c r="S10" s="126" t="s">
        <v>425</v>
      </c>
      <c r="U10" s="114">
        <v>516.60748620375841</v>
      </c>
      <c r="V10" s="30">
        <f t="shared" si="2"/>
        <v>583.76645941024697</v>
      </c>
      <c r="W10" s="126" t="s">
        <v>425</v>
      </c>
      <c r="X10" s="25">
        <f t="shared" si="3"/>
        <v>0.15161151721997032</v>
      </c>
      <c r="Y10" s="114">
        <f t="shared" si="4"/>
        <v>549.58243213165792</v>
      </c>
      <c r="Z10" s="114">
        <f t="shared" si="5"/>
        <v>593.54902670219064</v>
      </c>
    </row>
    <row r="11" spans="1:26">
      <c r="A11" s="15" t="s">
        <v>3</v>
      </c>
      <c r="B11" s="16" t="s">
        <v>135</v>
      </c>
      <c r="C11" s="17" t="s">
        <v>27</v>
      </c>
      <c r="D11" s="17" t="s">
        <v>359</v>
      </c>
      <c r="E11" s="15" t="s">
        <v>167</v>
      </c>
      <c r="F11" s="17" t="s">
        <v>360</v>
      </c>
      <c r="G11" s="17" t="s">
        <v>242</v>
      </c>
      <c r="H11" s="15">
        <v>4000</v>
      </c>
      <c r="I11" s="18">
        <v>854470000000</v>
      </c>
      <c r="J11" s="15" t="s">
        <v>353</v>
      </c>
      <c r="K11" s="38">
        <v>0</v>
      </c>
      <c r="L11" s="35"/>
      <c r="M11" s="36"/>
      <c r="N11" s="37">
        <v>545.45727655066764</v>
      </c>
      <c r="O11" s="37">
        <v>494.18380653132533</v>
      </c>
      <c r="Q11" s="29">
        <f t="shared" si="0"/>
        <v>545.45727655066764</v>
      </c>
      <c r="R11" s="30">
        <f t="shared" si="1"/>
        <v>616.36672250225433</v>
      </c>
      <c r="S11" s="126" t="s">
        <v>425</v>
      </c>
      <c r="U11" s="114">
        <v>634.46267822277741</v>
      </c>
      <c r="V11" s="30">
        <f t="shared" si="2"/>
        <v>716.94282639173844</v>
      </c>
      <c r="W11" s="126" t="s">
        <v>425</v>
      </c>
      <c r="X11" s="25">
        <f t="shared" si="3"/>
        <v>0.1631757527096479</v>
      </c>
      <c r="Y11" s="114">
        <f t="shared" si="4"/>
        <v>674.96029598167809</v>
      </c>
      <c r="Z11" s="114">
        <f t="shared" si="5"/>
        <v>728.95711966021236</v>
      </c>
    </row>
    <row r="12" spans="1:26">
      <c r="A12" s="15" t="s">
        <v>3</v>
      </c>
      <c r="B12" s="16" t="s">
        <v>135</v>
      </c>
      <c r="C12" s="17" t="s">
        <v>27</v>
      </c>
      <c r="D12" s="17" t="s">
        <v>378</v>
      </c>
      <c r="E12" s="15" t="s">
        <v>167</v>
      </c>
      <c r="F12" s="17" t="s">
        <v>379</v>
      </c>
      <c r="G12" s="17" t="s">
        <v>242</v>
      </c>
      <c r="H12" s="15">
        <v>4000</v>
      </c>
      <c r="I12" s="18">
        <v>854470000000</v>
      </c>
      <c r="J12" s="15" t="s">
        <v>353</v>
      </c>
      <c r="K12" s="26">
        <v>0</v>
      </c>
      <c r="L12" s="35"/>
      <c r="M12" s="36"/>
      <c r="N12" s="37">
        <v>642.55537413342347</v>
      </c>
      <c r="O12" s="37">
        <v>578.46353660924558</v>
      </c>
      <c r="Q12" s="29">
        <f t="shared" si="0"/>
        <v>642.55537413342347</v>
      </c>
      <c r="R12" s="30">
        <f t="shared" si="1"/>
        <v>726.08757277076847</v>
      </c>
      <c r="S12" s="126" t="s">
        <v>425</v>
      </c>
      <c r="U12" s="114">
        <v>752.55396709299623</v>
      </c>
      <c r="V12" s="30">
        <f t="shared" si="2"/>
        <v>850.38598281508564</v>
      </c>
      <c r="W12" s="126" t="s">
        <v>425</v>
      </c>
      <c r="X12" s="25">
        <f t="shared" si="3"/>
        <v>0.17118928171431352</v>
      </c>
      <c r="Y12" s="114">
        <f t="shared" si="4"/>
        <v>800.58932669467686</v>
      </c>
      <c r="Z12" s="114">
        <f t="shared" si="5"/>
        <v>864.63647283025102</v>
      </c>
    </row>
    <row r="13" spans="1:26" ht="16.5" thickBot="1">
      <c r="A13" s="39" t="s">
        <v>3</v>
      </c>
      <c r="B13" s="40" t="s">
        <v>135</v>
      </c>
      <c r="C13" s="41" t="s">
        <v>27</v>
      </c>
      <c r="D13" s="41" t="s">
        <v>31</v>
      </c>
      <c r="E13" s="39" t="s">
        <v>167</v>
      </c>
      <c r="F13" s="41" t="s">
        <v>364</v>
      </c>
      <c r="G13" s="41" t="s">
        <v>242</v>
      </c>
      <c r="H13" s="39">
        <v>4000</v>
      </c>
      <c r="I13" s="42">
        <v>854470000000</v>
      </c>
      <c r="J13" s="43" t="s">
        <v>353</v>
      </c>
      <c r="K13" s="44">
        <v>754</v>
      </c>
      <c r="L13" s="45">
        <v>770</v>
      </c>
      <c r="M13" s="46"/>
      <c r="N13" s="47">
        <v>732.28394666727274</v>
      </c>
      <c r="O13" s="47">
        <v>655.37374163825916</v>
      </c>
      <c r="Q13" s="48">
        <f t="shared" si="0"/>
        <v>732.28394666727274</v>
      </c>
      <c r="R13" s="49">
        <f t="shared" si="1"/>
        <v>827.48085973401817</v>
      </c>
      <c r="S13" s="127" t="s">
        <v>425</v>
      </c>
      <c r="U13" s="115">
        <v>863.10113690431706</v>
      </c>
      <c r="V13" s="49">
        <f t="shared" si="2"/>
        <v>975.30428470187815</v>
      </c>
      <c r="W13" s="127" t="s">
        <v>425</v>
      </c>
      <c r="X13" s="25">
        <f t="shared" si="3"/>
        <v>0.17864271206874294</v>
      </c>
      <c r="Y13" s="115">
        <f t="shared" si="4"/>
        <v>918.19269883437994</v>
      </c>
      <c r="Z13" s="115">
        <f t="shared" si="5"/>
        <v>991.64811474113037</v>
      </c>
    </row>
    <row r="14" spans="1:26" ht="16.5" thickTop="1">
      <c r="A14" s="50" t="s">
        <v>89</v>
      </c>
      <c r="B14" s="51" t="s">
        <v>135</v>
      </c>
      <c r="C14" s="52" t="s">
        <v>27</v>
      </c>
      <c r="D14" s="52" t="s">
        <v>365</v>
      </c>
      <c r="E14" s="53" t="s">
        <v>167</v>
      </c>
      <c r="F14" s="52" t="s">
        <v>369</v>
      </c>
      <c r="G14" s="52" t="s">
        <v>242</v>
      </c>
      <c r="H14" s="53">
        <v>4000</v>
      </c>
      <c r="I14" s="54">
        <v>854470000000</v>
      </c>
      <c r="J14" s="53" t="s">
        <v>353</v>
      </c>
      <c r="K14" s="31">
        <v>0</v>
      </c>
      <c r="L14" s="55"/>
      <c r="M14" s="31"/>
      <c r="N14" s="33">
        <v>208.24691953260003</v>
      </c>
      <c r="O14" s="56"/>
      <c r="Q14" s="57">
        <f t="shared" si="0"/>
        <v>208.24691953260003</v>
      </c>
      <c r="R14" s="58">
        <f t="shared" si="1"/>
        <v>235.319019071838</v>
      </c>
      <c r="S14" s="125" t="s">
        <v>428</v>
      </c>
      <c r="U14" s="116">
        <v>224.33169495973209</v>
      </c>
      <c r="V14" s="58">
        <f t="shared" si="2"/>
        <v>253.49481530449725</v>
      </c>
      <c r="W14" s="125" t="s">
        <v>428</v>
      </c>
      <c r="X14" s="25">
        <f t="shared" si="3"/>
        <v>7.7238959708184618E-2</v>
      </c>
      <c r="Y14" s="113">
        <f t="shared" si="4"/>
        <v>238.65073931886394</v>
      </c>
      <c r="Z14" s="113">
        <f t="shared" si="5"/>
        <v>257.7427984643731</v>
      </c>
    </row>
    <row r="15" spans="1:26">
      <c r="A15" s="15" t="s">
        <v>89</v>
      </c>
      <c r="B15" s="51" t="s">
        <v>135</v>
      </c>
      <c r="C15" s="52" t="s">
        <v>27</v>
      </c>
      <c r="D15" s="52" t="s">
        <v>366</v>
      </c>
      <c r="E15" s="53" t="s">
        <v>167</v>
      </c>
      <c r="F15" s="52" t="s">
        <v>370</v>
      </c>
      <c r="G15" s="52" t="s">
        <v>242</v>
      </c>
      <c r="H15" s="53">
        <v>4000</v>
      </c>
      <c r="I15" s="54">
        <v>854470000000</v>
      </c>
      <c r="J15" s="53" t="s">
        <v>353</v>
      </c>
      <c r="K15" s="36">
        <v>0</v>
      </c>
      <c r="L15" s="59"/>
      <c r="M15" s="36"/>
      <c r="N15" s="37">
        <v>222.13348432950525</v>
      </c>
      <c r="O15" s="60"/>
      <c r="Q15" s="61">
        <f t="shared" si="0"/>
        <v>222.13348432950525</v>
      </c>
      <c r="R15" s="62">
        <f t="shared" si="1"/>
        <v>251.01083729234091</v>
      </c>
      <c r="S15" s="126" t="s">
        <v>428</v>
      </c>
      <c r="U15" s="117">
        <v>248.28358175218494</v>
      </c>
      <c r="V15" s="62">
        <f t="shared" si="2"/>
        <v>280.56044737996893</v>
      </c>
      <c r="W15" s="126" t="s">
        <v>428</v>
      </c>
      <c r="X15" s="25">
        <f t="shared" si="3"/>
        <v>0.11772244739063981</v>
      </c>
      <c r="Y15" s="114">
        <f t="shared" si="4"/>
        <v>264.13146994913291</v>
      </c>
      <c r="Z15" s="114">
        <f t="shared" si="5"/>
        <v>285.26198754506356</v>
      </c>
    </row>
    <row r="16" spans="1:26">
      <c r="A16" s="15" t="s">
        <v>89</v>
      </c>
      <c r="B16" s="51" t="s">
        <v>135</v>
      </c>
      <c r="C16" s="52" t="s">
        <v>27</v>
      </c>
      <c r="D16" s="52" t="s">
        <v>110</v>
      </c>
      <c r="E16" s="53" t="s">
        <v>167</v>
      </c>
      <c r="F16" s="52" t="s">
        <v>111</v>
      </c>
      <c r="G16" s="52" t="s">
        <v>242</v>
      </c>
      <c r="H16" s="53">
        <v>4000</v>
      </c>
      <c r="I16" s="54">
        <v>854470000000</v>
      </c>
      <c r="J16" s="53" t="s">
        <v>353</v>
      </c>
      <c r="K16" s="36">
        <v>198</v>
      </c>
      <c r="L16" s="59">
        <v>208</v>
      </c>
      <c r="M16" s="36"/>
      <c r="N16" s="37">
        <v>236.02004912641047</v>
      </c>
      <c r="O16" s="60"/>
      <c r="Q16" s="61">
        <f t="shared" si="0"/>
        <v>236.02004912641047</v>
      </c>
      <c r="R16" s="62">
        <f t="shared" si="1"/>
        <v>266.70265551284382</v>
      </c>
      <c r="S16" s="126" t="s">
        <v>428</v>
      </c>
      <c r="U16" s="117">
        <v>272.23546854463774</v>
      </c>
      <c r="V16" s="62">
        <f t="shared" si="2"/>
        <v>307.62607945544062</v>
      </c>
      <c r="W16" s="126" t="s">
        <v>428</v>
      </c>
      <c r="X16" s="25">
        <f t="shared" si="3"/>
        <v>0.15344213151498234</v>
      </c>
      <c r="Y16" s="114">
        <f t="shared" si="4"/>
        <v>289.61220057940187</v>
      </c>
      <c r="Z16" s="114">
        <f t="shared" si="5"/>
        <v>312.78117662575403</v>
      </c>
    </row>
    <row r="17" spans="1:26">
      <c r="A17" s="15" t="s">
        <v>89</v>
      </c>
      <c r="B17" s="16" t="s">
        <v>135</v>
      </c>
      <c r="C17" s="17" t="s">
        <v>27</v>
      </c>
      <c r="D17" s="17" t="s">
        <v>112</v>
      </c>
      <c r="E17" s="15" t="s">
        <v>167</v>
      </c>
      <c r="F17" s="17" t="s">
        <v>113</v>
      </c>
      <c r="G17" s="17" t="s">
        <v>242</v>
      </c>
      <c r="H17" s="15">
        <v>4000</v>
      </c>
      <c r="I17" s="18">
        <v>854470000000</v>
      </c>
      <c r="J17" s="15" t="s">
        <v>353</v>
      </c>
      <c r="K17" s="36">
        <v>207</v>
      </c>
      <c r="L17" s="59">
        <v>215</v>
      </c>
      <c r="M17" s="36"/>
      <c r="N17" s="37">
        <v>249.90661392331569</v>
      </c>
      <c r="O17" s="60"/>
      <c r="Q17" s="61">
        <f t="shared" si="0"/>
        <v>249.90661392331569</v>
      </c>
      <c r="R17" s="62">
        <f t="shared" si="1"/>
        <v>282.39447373334673</v>
      </c>
      <c r="S17" s="126" t="s">
        <v>428</v>
      </c>
      <c r="U17" s="117">
        <v>296.18735533709054</v>
      </c>
      <c r="V17" s="62">
        <f t="shared" si="2"/>
        <v>334.6917115309123</v>
      </c>
      <c r="W17" s="126" t="s">
        <v>428</v>
      </c>
      <c r="X17" s="25">
        <f t="shared" si="3"/>
        <v>0.1851921431258165</v>
      </c>
      <c r="Y17" s="114">
        <f t="shared" si="4"/>
        <v>315.09293120967078</v>
      </c>
      <c r="Z17" s="114">
        <f t="shared" si="5"/>
        <v>340.30036570644444</v>
      </c>
    </row>
    <row r="18" spans="1:26">
      <c r="A18" s="15" t="s">
        <v>89</v>
      </c>
      <c r="B18" s="16" t="s">
        <v>135</v>
      </c>
      <c r="C18" s="17" t="s">
        <v>27</v>
      </c>
      <c r="D18" s="17" t="s">
        <v>393</v>
      </c>
      <c r="E18" s="15" t="s">
        <v>167</v>
      </c>
      <c r="F18" s="17" t="s">
        <v>394</v>
      </c>
      <c r="G18" s="17" t="s">
        <v>242</v>
      </c>
      <c r="H18" s="15">
        <v>4000</v>
      </c>
      <c r="I18" s="18">
        <v>854470000000</v>
      </c>
      <c r="J18" s="15" t="s">
        <v>353</v>
      </c>
      <c r="K18" s="36">
        <v>0</v>
      </c>
      <c r="L18" s="59"/>
      <c r="M18" s="36"/>
      <c r="N18" s="37">
        <v>263.79317872022091</v>
      </c>
      <c r="O18" s="60"/>
      <c r="Q18" s="61">
        <f t="shared" si="0"/>
        <v>263.79317872022091</v>
      </c>
      <c r="R18" s="62">
        <f t="shared" si="1"/>
        <v>298.08629195384958</v>
      </c>
      <c r="S18" s="126" t="s">
        <v>428</v>
      </c>
      <c r="U18" s="117">
        <v>320.13924212954339</v>
      </c>
      <c r="V18" s="62">
        <f t="shared" si="2"/>
        <v>361.75734360638398</v>
      </c>
      <c r="W18" s="126" t="s">
        <v>428</v>
      </c>
      <c r="X18" s="25">
        <f t="shared" si="3"/>
        <v>0.21359939511204393</v>
      </c>
      <c r="Y18" s="114">
        <f t="shared" si="4"/>
        <v>340.5736618399398</v>
      </c>
      <c r="Z18" s="114">
        <f t="shared" si="5"/>
        <v>367.81955478713502</v>
      </c>
    </row>
    <row r="19" spans="1:26">
      <c r="A19" s="15" t="s">
        <v>89</v>
      </c>
      <c r="B19" s="16" t="s">
        <v>135</v>
      </c>
      <c r="C19" s="17" t="s">
        <v>27</v>
      </c>
      <c r="D19" s="17" t="s">
        <v>258</v>
      </c>
      <c r="E19" s="15" t="s">
        <v>167</v>
      </c>
      <c r="F19" s="17" t="s">
        <v>114</v>
      </c>
      <c r="G19" s="17" t="s">
        <v>242</v>
      </c>
      <c r="H19" s="15">
        <v>4000</v>
      </c>
      <c r="I19" s="18">
        <v>854470000000</v>
      </c>
      <c r="J19" s="15" t="s">
        <v>353</v>
      </c>
      <c r="K19" s="36">
        <v>218</v>
      </c>
      <c r="L19" s="59">
        <v>227</v>
      </c>
      <c r="M19" s="36"/>
      <c r="N19" s="37">
        <v>277.67974351712616</v>
      </c>
      <c r="O19" s="60"/>
      <c r="Q19" s="61">
        <f t="shared" si="0"/>
        <v>277.67974351712616</v>
      </c>
      <c r="R19" s="62">
        <f t="shared" si="1"/>
        <v>313.77811017435255</v>
      </c>
      <c r="S19" s="126" t="s">
        <v>428</v>
      </c>
      <c r="U19" s="117">
        <v>344.09112892199624</v>
      </c>
      <c r="V19" s="62">
        <f t="shared" si="2"/>
        <v>388.82297568185572</v>
      </c>
      <c r="W19" s="126" t="s">
        <v>428</v>
      </c>
      <c r="X19" s="25">
        <f t="shared" si="3"/>
        <v>0.23916539450697852</v>
      </c>
      <c r="Y19" s="114">
        <f t="shared" si="4"/>
        <v>366.05439247020877</v>
      </c>
      <c r="Z19" s="114">
        <f t="shared" si="5"/>
        <v>395.33874386782549</v>
      </c>
    </row>
    <row r="20" spans="1:26">
      <c r="A20" s="15" t="s">
        <v>89</v>
      </c>
      <c r="B20" s="16" t="s">
        <v>135</v>
      </c>
      <c r="C20" s="17" t="s">
        <v>27</v>
      </c>
      <c r="D20" s="17" t="s">
        <v>367</v>
      </c>
      <c r="E20" s="15" t="s">
        <v>167</v>
      </c>
      <c r="F20" s="17" t="s">
        <v>368</v>
      </c>
      <c r="G20" s="17" t="s">
        <v>242</v>
      </c>
      <c r="H20" s="15">
        <v>4000</v>
      </c>
      <c r="I20" s="18">
        <v>854470000000</v>
      </c>
      <c r="J20" s="15" t="s">
        <v>353</v>
      </c>
      <c r="K20" s="36">
        <v>0</v>
      </c>
      <c r="L20" s="59"/>
      <c r="M20" s="36"/>
      <c r="N20" s="37">
        <v>313.18075365845226</v>
      </c>
      <c r="O20" s="60"/>
      <c r="Q20" s="61">
        <f t="shared" si="0"/>
        <v>313.18075365845226</v>
      </c>
      <c r="R20" s="62">
        <f t="shared" si="1"/>
        <v>353.89425163405105</v>
      </c>
      <c r="S20" s="126" t="s">
        <v>428</v>
      </c>
      <c r="U20" s="117">
        <v>399.91192656524152</v>
      </c>
      <c r="V20" s="62">
        <f t="shared" si="2"/>
        <v>451.90047701872288</v>
      </c>
      <c r="W20" s="126" t="s">
        <v>428</v>
      </c>
      <c r="X20" s="25">
        <f t="shared" si="3"/>
        <v>0.27693647164977536</v>
      </c>
      <c r="Y20" s="114">
        <f t="shared" si="4"/>
        <v>425.43821975025696</v>
      </c>
      <c r="Z20" s="114">
        <f t="shared" si="5"/>
        <v>459.47327733027754</v>
      </c>
    </row>
    <row r="21" spans="1:26">
      <c r="A21" s="15" t="s">
        <v>89</v>
      </c>
      <c r="B21" s="16" t="s">
        <v>135</v>
      </c>
      <c r="C21" s="17" t="s">
        <v>27</v>
      </c>
      <c r="D21" s="17" t="s">
        <v>380</v>
      </c>
      <c r="E21" s="15" t="s">
        <v>167</v>
      </c>
      <c r="F21" s="17" t="s">
        <v>381</v>
      </c>
      <c r="G21" s="17" t="s">
        <v>242</v>
      </c>
      <c r="H21" s="15">
        <v>4000</v>
      </c>
      <c r="I21" s="18">
        <v>854470000000</v>
      </c>
      <c r="J21" s="15" t="s">
        <v>353</v>
      </c>
      <c r="K21" s="36">
        <v>0</v>
      </c>
      <c r="L21" s="59"/>
      <c r="M21" s="36"/>
      <c r="N21" s="37">
        <v>348.93753538857834</v>
      </c>
      <c r="O21" s="60"/>
      <c r="Q21" s="61">
        <f t="shared" si="0"/>
        <v>348.93753538857834</v>
      </c>
      <c r="R21" s="62">
        <f t="shared" si="1"/>
        <v>394.29941498909346</v>
      </c>
      <c r="S21" s="126" t="s">
        <v>428</v>
      </c>
      <c r="U21" s="117">
        <v>455.98849579728682</v>
      </c>
      <c r="V21" s="62">
        <f t="shared" si="2"/>
        <v>515.26700025093407</v>
      </c>
      <c r="W21" s="126" t="s">
        <v>428</v>
      </c>
      <c r="X21" s="25">
        <f t="shared" si="3"/>
        <v>0.30679118624912644</v>
      </c>
      <c r="Y21" s="114">
        <f t="shared" si="4"/>
        <v>485.09414446519878</v>
      </c>
      <c r="Z21" s="114">
        <f t="shared" si="5"/>
        <v>523.90167602241468</v>
      </c>
    </row>
    <row r="22" spans="1:26" ht="16.5" thickBot="1">
      <c r="A22" s="39" t="s">
        <v>89</v>
      </c>
      <c r="B22" s="40" t="s">
        <v>135</v>
      </c>
      <c r="C22" s="41" t="s">
        <v>27</v>
      </c>
      <c r="D22" s="41" t="s">
        <v>115</v>
      </c>
      <c r="E22" s="39" t="s">
        <v>167</v>
      </c>
      <c r="F22" s="41" t="s">
        <v>116</v>
      </c>
      <c r="G22" s="41" t="s">
        <v>242</v>
      </c>
      <c r="H22" s="39">
        <v>4000</v>
      </c>
      <c r="I22" s="42">
        <v>854470000000</v>
      </c>
      <c r="J22" s="43" t="s">
        <v>353</v>
      </c>
      <c r="K22" s="46">
        <v>274</v>
      </c>
      <c r="L22" s="63">
        <v>286</v>
      </c>
      <c r="M22" s="46"/>
      <c r="N22" s="47">
        <v>376.71066498238878</v>
      </c>
      <c r="O22" s="64"/>
      <c r="Q22" s="65">
        <f t="shared" si="0"/>
        <v>376.71066498238878</v>
      </c>
      <c r="R22" s="66">
        <f t="shared" si="1"/>
        <v>425.68305143009928</v>
      </c>
      <c r="S22" s="127" t="s">
        <v>428</v>
      </c>
      <c r="U22" s="118">
        <v>503.89226938219252</v>
      </c>
      <c r="V22" s="66">
        <f t="shared" si="2"/>
        <v>569.39826440187755</v>
      </c>
      <c r="W22" s="127" t="s">
        <v>428</v>
      </c>
      <c r="X22" s="25">
        <f t="shared" si="3"/>
        <v>0.33761084095070548</v>
      </c>
      <c r="Y22" s="115">
        <f t="shared" si="4"/>
        <v>536.05560572573677</v>
      </c>
      <c r="Z22" s="115">
        <f t="shared" si="5"/>
        <v>578.94005418379572</v>
      </c>
    </row>
    <row r="23" spans="1:26" ht="16.5" thickTop="1">
      <c r="A23" s="53" t="s">
        <v>47</v>
      </c>
      <c r="B23" s="51" t="s">
        <v>135</v>
      </c>
      <c r="C23" s="52" t="s">
        <v>27</v>
      </c>
      <c r="D23" s="52" t="s">
        <v>397</v>
      </c>
      <c r="E23" s="53" t="s">
        <v>167</v>
      </c>
      <c r="F23" s="52" t="s">
        <v>371</v>
      </c>
      <c r="G23" s="52" t="s">
        <v>242</v>
      </c>
      <c r="H23" s="53">
        <v>4000</v>
      </c>
      <c r="I23" s="54">
        <v>854470000000</v>
      </c>
      <c r="J23" s="53" t="s">
        <v>353</v>
      </c>
      <c r="K23" s="31">
        <v>0</v>
      </c>
      <c r="L23" s="55"/>
      <c r="M23" s="31"/>
      <c r="N23" s="33">
        <v>292.63847117694542</v>
      </c>
      <c r="O23" s="33">
        <v>281.95649825624912</v>
      </c>
      <c r="Q23" s="57">
        <f t="shared" ref="Q23:Q31" si="6">+O23</f>
        <v>281.95649825624912</v>
      </c>
      <c r="R23" s="58">
        <f t="shared" si="1"/>
        <v>318.61084302956147</v>
      </c>
      <c r="S23" s="125" t="s">
        <v>426</v>
      </c>
      <c r="U23" s="116">
        <v>304.35692016602263</v>
      </c>
      <c r="V23" s="58">
        <f t="shared" si="2"/>
        <v>343.92331978760552</v>
      </c>
      <c r="W23" s="125" t="s">
        <v>486</v>
      </c>
      <c r="X23" s="25">
        <f t="shared" si="3"/>
        <v>7.9446375764730376E-2</v>
      </c>
      <c r="Y23" s="113">
        <f t="shared" si="4"/>
        <v>323.78395762342836</v>
      </c>
      <c r="Z23" s="113">
        <f t="shared" si="5"/>
        <v>349.68667423330265</v>
      </c>
    </row>
    <row r="24" spans="1:26">
      <c r="A24" s="53" t="s">
        <v>47</v>
      </c>
      <c r="B24" s="51" t="s">
        <v>135</v>
      </c>
      <c r="C24" s="52" t="s">
        <v>27</v>
      </c>
      <c r="D24" s="52" t="s">
        <v>398</v>
      </c>
      <c r="E24" s="53" t="s">
        <v>167</v>
      </c>
      <c r="F24" s="52" t="s">
        <v>372</v>
      </c>
      <c r="G24" s="52" t="s">
        <v>242</v>
      </c>
      <c r="H24" s="53">
        <v>4000</v>
      </c>
      <c r="I24" s="54">
        <v>854470000000</v>
      </c>
      <c r="J24" s="53" t="s">
        <v>353</v>
      </c>
      <c r="K24" s="31">
        <v>0</v>
      </c>
      <c r="L24" s="55"/>
      <c r="M24" s="31"/>
      <c r="N24" s="33">
        <v>405.86738413632645</v>
      </c>
      <c r="O24" s="33">
        <v>384.50343829493386</v>
      </c>
      <c r="Q24" s="61">
        <f t="shared" si="6"/>
        <v>384.50343829493386</v>
      </c>
      <c r="R24" s="62">
        <f t="shared" si="1"/>
        <v>434.48888527327523</v>
      </c>
      <c r="S24" s="126" t="s">
        <v>426</v>
      </c>
      <c r="U24" s="117">
        <v>423.74786356224905</v>
      </c>
      <c r="V24" s="62">
        <f t="shared" si="2"/>
        <v>478.83508582534137</v>
      </c>
      <c r="W24" s="126" t="s">
        <v>486</v>
      </c>
      <c r="X24" s="25">
        <f t="shared" si="3"/>
        <v>0.10206521284008052</v>
      </c>
      <c r="Y24" s="114">
        <f t="shared" si="4"/>
        <v>450.79559953430754</v>
      </c>
      <c r="Z24" s="114">
        <f t="shared" si="5"/>
        <v>486.85924749705219</v>
      </c>
    </row>
    <row r="25" spans="1:26">
      <c r="A25" s="53" t="s">
        <v>47</v>
      </c>
      <c r="B25" s="51" t="s">
        <v>135</v>
      </c>
      <c r="C25" s="52" t="s">
        <v>27</v>
      </c>
      <c r="D25" s="52" t="s">
        <v>399</v>
      </c>
      <c r="E25" s="53" t="s">
        <v>167</v>
      </c>
      <c r="F25" s="52" t="s">
        <v>373</v>
      </c>
      <c r="G25" s="52" t="s">
        <v>242</v>
      </c>
      <c r="H25" s="53">
        <v>4000</v>
      </c>
      <c r="I25" s="54">
        <v>854470000000</v>
      </c>
      <c r="J25" s="53" t="s">
        <v>353</v>
      </c>
      <c r="K25" s="31">
        <v>0</v>
      </c>
      <c r="L25" s="55"/>
      <c r="M25" s="31"/>
      <c r="N25" s="33">
        <v>519.09629709570754</v>
      </c>
      <c r="O25" s="33">
        <v>487.0503783336186</v>
      </c>
      <c r="Q25" s="61">
        <f t="shared" si="6"/>
        <v>487.0503783336186</v>
      </c>
      <c r="R25" s="62">
        <f t="shared" si="1"/>
        <v>550.36692751698899</v>
      </c>
      <c r="S25" s="126" t="s">
        <v>426</v>
      </c>
      <c r="U25" s="117">
        <v>543.13880695847536</v>
      </c>
      <c r="V25" s="62">
        <f t="shared" si="2"/>
        <v>613.74685186307704</v>
      </c>
      <c r="W25" s="126" t="s">
        <v>486</v>
      </c>
      <c r="X25" s="25">
        <f t="shared" si="3"/>
        <v>0.11515939853441083</v>
      </c>
      <c r="Y25" s="114">
        <f t="shared" si="4"/>
        <v>577.80724144518661</v>
      </c>
      <c r="Z25" s="114">
        <f t="shared" si="5"/>
        <v>624.03182076080157</v>
      </c>
    </row>
    <row r="26" spans="1:26">
      <c r="A26" s="15" t="s">
        <v>47</v>
      </c>
      <c r="B26" s="16" t="s">
        <v>135</v>
      </c>
      <c r="C26" s="17" t="s">
        <v>27</v>
      </c>
      <c r="D26" s="17" t="s">
        <v>400</v>
      </c>
      <c r="E26" s="15" t="s">
        <v>167</v>
      </c>
      <c r="F26" s="17" t="s">
        <v>374</v>
      </c>
      <c r="G26" s="17" t="s">
        <v>242</v>
      </c>
      <c r="H26" s="15">
        <v>4000</v>
      </c>
      <c r="I26" s="18">
        <v>854470000000</v>
      </c>
      <c r="J26" s="15" t="s">
        <v>353</v>
      </c>
      <c r="K26" s="36">
        <v>0</v>
      </c>
      <c r="L26" s="59"/>
      <c r="M26" s="36"/>
      <c r="N26" s="37">
        <v>632.32521005508852</v>
      </c>
      <c r="O26" s="37">
        <v>589.59731837230322</v>
      </c>
      <c r="Q26" s="61">
        <f t="shared" si="6"/>
        <v>589.59731837230322</v>
      </c>
      <c r="R26" s="62">
        <f t="shared" si="1"/>
        <v>666.24496976070259</v>
      </c>
      <c r="S26" s="126" t="s">
        <v>426</v>
      </c>
      <c r="U26" s="117">
        <v>662.52975035470183</v>
      </c>
      <c r="V26" s="62">
        <f t="shared" si="2"/>
        <v>748.65861790081306</v>
      </c>
      <c r="W26" s="126" t="s">
        <v>486</v>
      </c>
      <c r="X26" s="25">
        <f t="shared" si="3"/>
        <v>0.12369871725967584</v>
      </c>
      <c r="Y26" s="114">
        <f t="shared" si="4"/>
        <v>704.81888335606584</v>
      </c>
      <c r="Z26" s="114">
        <f t="shared" si="5"/>
        <v>761.20439402455111</v>
      </c>
    </row>
    <row r="27" spans="1:26">
      <c r="A27" s="15" t="s">
        <v>47</v>
      </c>
      <c r="B27" s="16" t="s">
        <v>135</v>
      </c>
      <c r="C27" s="17" t="s">
        <v>27</v>
      </c>
      <c r="D27" s="17" t="s">
        <v>401</v>
      </c>
      <c r="E27" s="15" t="s">
        <v>167</v>
      </c>
      <c r="F27" s="17" t="s">
        <v>395</v>
      </c>
      <c r="G27" s="17" t="s">
        <v>242</v>
      </c>
      <c r="H27" s="15">
        <v>4000</v>
      </c>
      <c r="I27" s="18">
        <v>854470000000</v>
      </c>
      <c r="J27" s="15" t="s">
        <v>353</v>
      </c>
      <c r="K27" s="36">
        <v>0</v>
      </c>
      <c r="L27" s="59"/>
      <c r="M27" s="36"/>
      <c r="N27" s="37">
        <v>745.55412301446961</v>
      </c>
      <c r="O27" s="37">
        <v>692.14425841098796</v>
      </c>
      <c r="Q27" s="61">
        <f t="shared" si="6"/>
        <v>692.14425841098796</v>
      </c>
      <c r="R27" s="62">
        <f t="shared" si="1"/>
        <v>782.1230120044163</v>
      </c>
      <c r="S27" s="126" t="s">
        <v>426</v>
      </c>
      <c r="U27" s="117">
        <v>781.92069375092819</v>
      </c>
      <c r="V27" s="62">
        <f t="shared" si="2"/>
        <v>883.57038393854873</v>
      </c>
      <c r="W27" s="126" t="s">
        <v>486</v>
      </c>
      <c r="X27" s="25">
        <f t="shared" si="3"/>
        <v>0.12970769351760184</v>
      </c>
      <c r="Y27" s="114">
        <f t="shared" si="4"/>
        <v>831.83052526694496</v>
      </c>
      <c r="Z27" s="114">
        <f t="shared" si="5"/>
        <v>898.37696728830065</v>
      </c>
    </row>
    <row r="28" spans="1:26">
      <c r="A28" s="15" t="s">
        <v>47</v>
      </c>
      <c r="B28" s="16" t="s">
        <v>135</v>
      </c>
      <c r="C28" s="17" t="s">
        <v>27</v>
      </c>
      <c r="D28" s="17" t="s">
        <v>402</v>
      </c>
      <c r="E28" s="15" t="s">
        <v>167</v>
      </c>
      <c r="F28" s="17" t="s">
        <v>375</v>
      </c>
      <c r="G28" s="17" t="s">
        <v>242</v>
      </c>
      <c r="H28" s="15">
        <v>4000</v>
      </c>
      <c r="I28" s="18">
        <v>854470000000</v>
      </c>
      <c r="J28" s="15" t="s">
        <v>353</v>
      </c>
      <c r="K28" s="36">
        <v>0</v>
      </c>
      <c r="L28" s="59"/>
      <c r="M28" s="36"/>
      <c r="N28" s="37">
        <v>858.7830359738507</v>
      </c>
      <c r="O28" s="37">
        <v>794.69119844967281</v>
      </c>
      <c r="Q28" s="61">
        <f t="shared" si="6"/>
        <v>794.69119844967281</v>
      </c>
      <c r="R28" s="62">
        <f t="shared" si="1"/>
        <v>898.00105424813023</v>
      </c>
      <c r="S28" s="126" t="s">
        <v>426</v>
      </c>
      <c r="U28" s="117">
        <v>901.31163714715467</v>
      </c>
      <c r="V28" s="62">
        <f t="shared" si="2"/>
        <v>1018.4821499762846</v>
      </c>
      <c r="W28" s="126" t="s">
        <v>486</v>
      </c>
      <c r="X28" s="25">
        <f t="shared" si="3"/>
        <v>0.13416587336752045</v>
      </c>
      <c r="Y28" s="114">
        <f t="shared" si="4"/>
        <v>958.84216717782419</v>
      </c>
      <c r="Z28" s="114">
        <f t="shared" si="5"/>
        <v>1035.5495405520503</v>
      </c>
    </row>
    <row r="29" spans="1:26">
      <c r="A29" s="15" t="s">
        <v>47</v>
      </c>
      <c r="B29" s="16" t="s">
        <v>135</v>
      </c>
      <c r="C29" s="17" t="s">
        <v>27</v>
      </c>
      <c r="D29" s="17" t="s">
        <v>403</v>
      </c>
      <c r="E29" s="15" t="s">
        <v>167</v>
      </c>
      <c r="F29" s="17" t="s">
        <v>376</v>
      </c>
      <c r="G29" s="17" t="s">
        <v>242</v>
      </c>
      <c r="H29" s="15">
        <v>4000</v>
      </c>
      <c r="I29" s="18">
        <v>854470000000</v>
      </c>
      <c r="J29" s="15" t="s">
        <v>353</v>
      </c>
      <c r="K29" s="36">
        <v>0</v>
      </c>
      <c r="L29" s="59"/>
      <c r="M29" s="36"/>
      <c r="N29" s="37">
        <v>1092.3742900903194</v>
      </c>
      <c r="O29" s="37">
        <v>1006.9185067247489</v>
      </c>
      <c r="Q29" s="61">
        <f t="shared" si="6"/>
        <v>1006.9185067247489</v>
      </c>
      <c r="R29" s="62">
        <f t="shared" si="1"/>
        <v>1137.8179125989661</v>
      </c>
      <c r="S29" s="126" t="s">
        <v>426</v>
      </c>
      <c r="U29" s="117">
        <v>1147.4015461473055</v>
      </c>
      <c r="V29" s="62">
        <f t="shared" si="2"/>
        <v>1296.5637471464549</v>
      </c>
      <c r="W29" s="126" t="s">
        <v>486</v>
      </c>
      <c r="X29" s="25">
        <f t="shared" si="3"/>
        <v>0.13951778469095014</v>
      </c>
      <c r="Y29" s="114">
        <f t="shared" si="4"/>
        <v>1220.6399427098995</v>
      </c>
      <c r="Z29" s="114">
        <f t="shared" si="5"/>
        <v>1318.2911381266915</v>
      </c>
    </row>
    <row r="30" spans="1:26">
      <c r="A30" s="15" t="s">
        <v>47</v>
      </c>
      <c r="B30" s="16" t="s">
        <v>135</v>
      </c>
      <c r="C30" s="17" t="s">
        <v>27</v>
      </c>
      <c r="D30" s="17" t="s">
        <v>404</v>
      </c>
      <c r="E30" s="15" t="s">
        <v>167</v>
      </c>
      <c r="F30" s="17" t="s">
        <v>382</v>
      </c>
      <c r="G30" s="17" t="s">
        <v>242</v>
      </c>
      <c r="H30" s="15">
        <v>4000</v>
      </c>
      <c r="I30" s="18">
        <v>854470000000</v>
      </c>
      <c r="J30" s="15" t="s">
        <v>353</v>
      </c>
      <c r="K30" s="36">
        <v>0</v>
      </c>
      <c r="L30" s="59"/>
      <c r="M30" s="36"/>
      <c r="N30" s="37">
        <v>1326.2016410579884</v>
      </c>
      <c r="O30" s="37">
        <v>1219.3819118510251</v>
      </c>
      <c r="Q30" s="61">
        <f t="shared" si="6"/>
        <v>1219.3819118510251</v>
      </c>
      <c r="R30" s="62">
        <f t="shared" si="1"/>
        <v>1377.9015603916582</v>
      </c>
      <c r="S30" s="126" t="s">
        <v>426</v>
      </c>
      <c r="U30" s="117">
        <v>1393.7275519986565</v>
      </c>
      <c r="V30" s="62">
        <f t="shared" si="2"/>
        <v>1574.9121337584818</v>
      </c>
      <c r="W30" s="126" t="s">
        <v>486</v>
      </c>
      <c r="X30" s="25">
        <f t="shared" si="3"/>
        <v>0.14297869966184287</v>
      </c>
      <c r="Y30" s="114">
        <f t="shared" si="4"/>
        <v>1482.6888851049539</v>
      </c>
      <c r="Z30" s="114">
        <f t="shared" si="5"/>
        <v>1601.3039959133503</v>
      </c>
    </row>
    <row r="31" spans="1:26" ht="16.5" thickBot="1">
      <c r="A31" s="39" t="s">
        <v>47</v>
      </c>
      <c r="B31" s="40" t="s">
        <v>135</v>
      </c>
      <c r="C31" s="41" t="s">
        <v>27</v>
      </c>
      <c r="D31" s="41" t="s">
        <v>405</v>
      </c>
      <c r="E31" s="39" t="s">
        <v>167</v>
      </c>
      <c r="F31" s="41" t="s">
        <v>377</v>
      </c>
      <c r="G31" s="41" t="s">
        <v>242</v>
      </c>
      <c r="H31" s="39">
        <v>4000</v>
      </c>
      <c r="I31" s="42">
        <v>854470000000</v>
      </c>
      <c r="J31" s="43" t="s">
        <v>353</v>
      </c>
      <c r="K31" s="46">
        <v>0</v>
      </c>
      <c r="L31" s="63"/>
      <c r="M31" s="46"/>
      <c r="N31" s="47">
        <v>1552.6594669767505</v>
      </c>
      <c r="O31" s="47">
        <v>1424.475791928395</v>
      </c>
      <c r="Q31" s="65">
        <f t="shared" si="6"/>
        <v>1424.475791928395</v>
      </c>
      <c r="R31" s="66">
        <f t="shared" si="1"/>
        <v>1609.6576448790861</v>
      </c>
      <c r="S31" s="127" t="s">
        <v>426</v>
      </c>
      <c r="U31" s="118">
        <v>1632.5094387911092</v>
      </c>
      <c r="V31" s="66">
        <f t="shared" si="2"/>
        <v>1844.7356658339534</v>
      </c>
      <c r="W31" s="127" t="s">
        <v>486</v>
      </c>
      <c r="X31" s="25">
        <f t="shared" si="3"/>
        <v>0.1460422479915135</v>
      </c>
      <c r="Y31" s="115">
        <f t="shared" si="4"/>
        <v>1736.7121689267121</v>
      </c>
      <c r="Z31" s="115">
        <f t="shared" si="5"/>
        <v>1875.6491424408493</v>
      </c>
    </row>
    <row r="32" spans="1:26" ht="16.5" thickTop="1">
      <c r="A32" s="53" t="s">
        <v>76</v>
      </c>
      <c r="B32" s="51" t="s">
        <v>135</v>
      </c>
      <c r="C32" s="52" t="s">
        <v>27</v>
      </c>
      <c r="D32" s="52" t="s">
        <v>406</v>
      </c>
      <c r="E32" s="53" t="s">
        <v>167</v>
      </c>
      <c r="F32" s="52" t="s">
        <v>383</v>
      </c>
      <c r="G32" s="52" t="s">
        <v>242</v>
      </c>
      <c r="H32" s="53">
        <v>4000</v>
      </c>
      <c r="I32" s="54">
        <v>854470000000</v>
      </c>
      <c r="J32" s="53" t="s">
        <v>353</v>
      </c>
      <c r="K32" s="31">
        <v>0</v>
      </c>
      <c r="L32" s="55"/>
      <c r="M32" s="31"/>
      <c r="N32" s="33">
        <v>393.04901663149093</v>
      </c>
      <c r="O32" s="56"/>
      <c r="Q32" s="57">
        <f t="shared" ref="Q32:Q40" si="7">+N32</f>
        <v>393.04901663149093</v>
      </c>
      <c r="R32" s="58">
        <f t="shared" si="1"/>
        <v>444.14538879358469</v>
      </c>
      <c r="S32" s="125" t="s">
        <v>427</v>
      </c>
      <c r="U32" s="116">
        <v>406.06031639243776</v>
      </c>
      <c r="V32" s="58">
        <f t="shared" si="2"/>
        <v>458.84815752345463</v>
      </c>
      <c r="W32" s="125" t="s">
        <v>427</v>
      </c>
      <c r="X32" s="25">
        <f t="shared" si="3"/>
        <v>3.3103504169674003E-2</v>
      </c>
      <c r="Y32" s="113">
        <f t="shared" si="4"/>
        <v>431.97905999195507</v>
      </c>
      <c r="Z32" s="113">
        <f t="shared" si="5"/>
        <v>466.53738479131152</v>
      </c>
    </row>
    <row r="33" spans="1:26">
      <c r="A33" s="53" t="s">
        <v>76</v>
      </c>
      <c r="B33" s="51" t="s">
        <v>135</v>
      </c>
      <c r="C33" s="52" t="s">
        <v>27</v>
      </c>
      <c r="D33" s="52" t="s">
        <v>407</v>
      </c>
      <c r="E33" s="53" t="s">
        <v>167</v>
      </c>
      <c r="F33" s="52" t="s">
        <v>384</v>
      </c>
      <c r="G33" s="52" t="s">
        <v>242</v>
      </c>
      <c r="H33" s="53">
        <v>4000</v>
      </c>
      <c r="I33" s="54">
        <v>854470000000</v>
      </c>
      <c r="J33" s="53" t="s">
        <v>353</v>
      </c>
      <c r="K33" s="36">
        <v>0</v>
      </c>
      <c r="L33" s="59"/>
      <c r="M33" s="36"/>
      <c r="N33" s="37">
        <v>606.68847504541736</v>
      </c>
      <c r="O33" s="60"/>
      <c r="Q33" s="61">
        <f t="shared" si="7"/>
        <v>606.68847504541736</v>
      </c>
      <c r="R33" s="62">
        <f t="shared" si="1"/>
        <v>685.5579768013215</v>
      </c>
      <c r="S33" s="126" t="s">
        <v>427</v>
      </c>
      <c r="U33" s="117">
        <v>627.15465601507924</v>
      </c>
      <c r="V33" s="62">
        <f t="shared" si="2"/>
        <v>708.68476129703947</v>
      </c>
      <c r="W33" s="126" t="s">
        <v>427</v>
      </c>
      <c r="X33" s="25">
        <f t="shared" si="3"/>
        <v>3.3734250462116915E-2</v>
      </c>
      <c r="Y33" s="114">
        <f t="shared" si="4"/>
        <v>667.18580427136089</v>
      </c>
      <c r="Z33" s="114">
        <f t="shared" si="5"/>
        <v>720.56066861306977</v>
      </c>
    </row>
    <row r="34" spans="1:26">
      <c r="A34" s="53" t="s">
        <v>76</v>
      </c>
      <c r="B34" s="51" t="s">
        <v>135</v>
      </c>
      <c r="C34" s="52" t="s">
        <v>27</v>
      </c>
      <c r="D34" s="52" t="s">
        <v>408</v>
      </c>
      <c r="E34" s="53" t="s">
        <v>167</v>
      </c>
      <c r="F34" s="52" t="s">
        <v>385</v>
      </c>
      <c r="G34" s="52" t="s">
        <v>242</v>
      </c>
      <c r="H34" s="53">
        <v>4000</v>
      </c>
      <c r="I34" s="54">
        <v>854470000000</v>
      </c>
      <c r="J34" s="53" t="s">
        <v>353</v>
      </c>
      <c r="K34" s="36">
        <v>0</v>
      </c>
      <c r="L34" s="59"/>
      <c r="M34" s="36"/>
      <c r="N34" s="37">
        <v>820.32793345934397</v>
      </c>
      <c r="O34" s="60"/>
      <c r="Q34" s="61">
        <f t="shared" si="7"/>
        <v>820.32793345934397</v>
      </c>
      <c r="R34" s="62">
        <f t="shared" si="1"/>
        <v>926.9705648090586</v>
      </c>
      <c r="S34" s="126" t="s">
        <v>427</v>
      </c>
      <c r="U34" s="117">
        <v>848.24899563772078</v>
      </c>
      <c r="V34" s="62">
        <f t="shared" si="2"/>
        <v>958.52136507062437</v>
      </c>
      <c r="W34" s="126" t="s">
        <v>427</v>
      </c>
      <c r="X34" s="25">
        <f t="shared" si="3"/>
        <v>3.4036464003649097E-2</v>
      </c>
      <c r="Y34" s="114">
        <f t="shared" si="4"/>
        <v>902.39254855076683</v>
      </c>
      <c r="Z34" s="114">
        <f t="shared" si="5"/>
        <v>974.58395243482823</v>
      </c>
    </row>
    <row r="35" spans="1:26">
      <c r="A35" s="53" t="s">
        <v>76</v>
      </c>
      <c r="B35" s="16" t="s">
        <v>135</v>
      </c>
      <c r="C35" s="17" t="s">
        <v>27</v>
      </c>
      <c r="D35" s="17" t="s">
        <v>409</v>
      </c>
      <c r="E35" s="15" t="s">
        <v>167</v>
      </c>
      <c r="F35" s="17" t="s">
        <v>386</v>
      </c>
      <c r="G35" s="17" t="s">
        <v>242</v>
      </c>
      <c r="H35" s="15">
        <v>4000</v>
      </c>
      <c r="I35" s="18">
        <v>854470000000</v>
      </c>
      <c r="J35" s="15" t="s">
        <v>353</v>
      </c>
      <c r="K35" s="36">
        <v>0</v>
      </c>
      <c r="L35" s="59"/>
      <c r="M35" s="36"/>
      <c r="N35" s="37">
        <v>1033.9673918732703</v>
      </c>
      <c r="O35" s="60"/>
      <c r="Q35" s="61">
        <f t="shared" si="7"/>
        <v>1033.9673918732703</v>
      </c>
      <c r="R35" s="62">
        <f t="shared" si="1"/>
        <v>1168.3831528167955</v>
      </c>
      <c r="S35" s="126" t="s">
        <v>427</v>
      </c>
      <c r="U35" s="128">
        <v>1069.3433352603622</v>
      </c>
      <c r="V35" s="62">
        <f t="shared" si="2"/>
        <v>1208.3579688442092</v>
      </c>
      <c r="W35" s="126" t="s">
        <v>427</v>
      </c>
      <c r="X35" s="25">
        <f t="shared" si="3"/>
        <v>3.4213790168953186E-2</v>
      </c>
      <c r="Y35" s="114">
        <f t="shared" si="4"/>
        <v>1137.5992928301725</v>
      </c>
      <c r="Z35" s="114">
        <f t="shared" si="5"/>
        <v>1228.6072362565865</v>
      </c>
    </row>
    <row r="36" spans="1:26">
      <c r="A36" s="53" t="s">
        <v>76</v>
      </c>
      <c r="B36" s="16" t="s">
        <v>135</v>
      </c>
      <c r="C36" s="17" t="s">
        <v>27</v>
      </c>
      <c r="D36" s="17" t="s">
        <v>410</v>
      </c>
      <c r="E36" s="15" t="s">
        <v>167</v>
      </c>
      <c r="F36" s="17" t="s">
        <v>396</v>
      </c>
      <c r="G36" s="17" t="s">
        <v>242</v>
      </c>
      <c r="H36" s="15">
        <v>4000</v>
      </c>
      <c r="I36" s="18">
        <v>854470000000</v>
      </c>
      <c r="J36" s="15" t="s">
        <v>353</v>
      </c>
      <c r="K36" s="36">
        <v>0</v>
      </c>
      <c r="L36" s="59"/>
      <c r="M36" s="36"/>
      <c r="N36" s="37">
        <v>1247.6068502871967</v>
      </c>
      <c r="O36" s="60"/>
      <c r="Q36" s="61">
        <f t="shared" si="7"/>
        <v>1247.6068502871967</v>
      </c>
      <c r="R36" s="62">
        <f t="shared" si="1"/>
        <v>1409.7957408245322</v>
      </c>
      <c r="S36" s="126" t="s">
        <v>427</v>
      </c>
      <c r="U36" s="117">
        <v>1290.4376748830036</v>
      </c>
      <c r="V36" s="62">
        <f t="shared" si="2"/>
        <v>1458.1945726177939</v>
      </c>
      <c r="W36" s="126" t="s">
        <v>427</v>
      </c>
      <c r="X36" s="25">
        <f t="shared" si="3"/>
        <v>3.4330385879131189E-2</v>
      </c>
      <c r="Y36" s="114">
        <f t="shared" si="4"/>
        <v>1372.8060371095785</v>
      </c>
      <c r="Z36" s="114">
        <f t="shared" si="5"/>
        <v>1482.6305200783449</v>
      </c>
    </row>
    <row r="37" spans="1:26">
      <c r="A37" s="53" t="s">
        <v>76</v>
      </c>
      <c r="B37" s="16" t="s">
        <v>135</v>
      </c>
      <c r="C37" s="17" t="s">
        <v>27</v>
      </c>
      <c r="D37" s="17" t="s">
        <v>411</v>
      </c>
      <c r="E37" s="15" t="s">
        <v>167</v>
      </c>
      <c r="F37" s="17" t="s">
        <v>387</v>
      </c>
      <c r="G37" s="17" t="s">
        <v>242</v>
      </c>
      <c r="H37" s="15">
        <v>4000</v>
      </c>
      <c r="I37" s="18">
        <v>854470000000</v>
      </c>
      <c r="J37" s="15" t="s">
        <v>353</v>
      </c>
      <c r="K37" s="36">
        <v>0</v>
      </c>
      <c r="L37" s="59"/>
      <c r="M37" s="36"/>
      <c r="N37" s="37">
        <v>1461.2463087011236</v>
      </c>
      <c r="O37" s="60"/>
      <c r="Q37" s="61">
        <f t="shared" si="7"/>
        <v>1461.2463087011236</v>
      </c>
      <c r="R37" s="62">
        <f t="shared" ref="R37:R55" si="8">+Q37*R$4</f>
        <v>1651.2083288322694</v>
      </c>
      <c r="S37" s="126" t="s">
        <v>427</v>
      </c>
      <c r="U37" s="117">
        <v>1511.5320145056453</v>
      </c>
      <c r="V37" s="62">
        <f t="shared" ref="V37:V54" si="9">+U37*V$4</f>
        <v>1708.0311763913789</v>
      </c>
      <c r="W37" s="126" t="s">
        <v>427</v>
      </c>
      <c r="X37" s="25">
        <f t="shared" si="3"/>
        <v>3.4412888166143484E-2</v>
      </c>
      <c r="Y37" s="114">
        <f t="shared" si="4"/>
        <v>1608.0127813889844</v>
      </c>
      <c r="Z37" s="114">
        <f t="shared" si="5"/>
        <v>1736.6538039001032</v>
      </c>
    </row>
    <row r="38" spans="1:26">
      <c r="A38" s="53" t="s">
        <v>76</v>
      </c>
      <c r="B38" s="16" t="s">
        <v>135</v>
      </c>
      <c r="C38" s="17" t="s">
        <v>27</v>
      </c>
      <c r="D38" s="17" t="s">
        <v>412</v>
      </c>
      <c r="E38" s="15" t="s">
        <v>167</v>
      </c>
      <c r="F38" s="17" t="s">
        <v>388</v>
      </c>
      <c r="G38" s="17" t="s">
        <v>242</v>
      </c>
      <c r="H38" s="15">
        <v>4000</v>
      </c>
      <c r="I38" s="18">
        <v>854470000000</v>
      </c>
      <c r="J38" s="15" t="s">
        <v>353</v>
      </c>
      <c r="K38" s="36">
        <v>0</v>
      </c>
      <c r="L38" s="59"/>
      <c r="M38" s="36"/>
      <c r="N38" s="37">
        <v>1895.658653726683</v>
      </c>
      <c r="O38" s="60"/>
      <c r="Q38" s="61">
        <f t="shared" si="7"/>
        <v>1895.658653726683</v>
      </c>
      <c r="R38" s="62">
        <f t="shared" si="8"/>
        <v>2142.0942787111517</v>
      </c>
      <c r="S38" s="126" t="s">
        <v>427</v>
      </c>
      <c r="U38" s="117">
        <v>1961.0287159586264</v>
      </c>
      <c r="V38" s="62">
        <f t="shared" si="9"/>
        <v>2215.9624490332476</v>
      </c>
      <c r="W38" s="126" t="s">
        <v>427</v>
      </c>
      <c r="X38" s="25">
        <f t="shared" si="3"/>
        <v>3.4484089265455112E-2</v>
      </c>
      <c r="Y38" s="114">
        <f t="shared" si="4"/>
        <v>2086.2007616581132</v>
      </c>
      <c r="Z38" s="114">
        <f t="shared" si="5"/>
        <v>2253.0968225907623</v>
      </c>
    </row>
    <row r="39" spans="1:26">
      <c r="A39" s="53" t="s">
        <v>76</v>
      </c>
      <c r="B39" s="16" t="s">
        <v>135</v>
      </c>
      <c r="C39" s="17" t="s">
        <v>27</v>
      </c>
      <c r="D39" s="17" t="s">
        <v>413</v>
      </c>
      <c r="E39" s="15" t="s">
        <v>167</v>
      </c>
      <c r="F39" s="17" t="s">
        <v>389</v>
      </c>
      <c r="G39" s="17" t="s">
        <v>242</v>
      </c>
      <c r="H39" s="15">
        <v>4000</v>
      </c>
      <c r="I39" s="18">
        <v>854470000000</v>
      </c>
      <c r="J39" s="15" t="s">
        <v>353</v>
      </c>
      <c r="K39" s="36">
        <v>0</v>
      </c>
      <c r="L39" s="59"/>
      <c r="M39" s="36"/>
      <c r="N39" s="37">
        <v>2330.3070956034426</v>
      </c>
      <c r="O39" s="60"/>
      <c r="Q39" s="61">
        <f t="shared" si="7"/>
        <v>2330.3070956034426</v>
      </c>
      <c r="R39" s="62">
        <f t="shared" si="8"/>
        <v>2633.2470180318896</v>
      </c>
      <c r="S39" s="126" t="s">
        <v>427</v>
      </c>
      <c r="U39" s="117">
        <v>2410.7615142628074</v>
      </c>
      <c r="V39" s="62">
        <f t="shared" si="9"/>
        <v>2724.160511116972</v>
      </c>
      <c r="W39" s="126" t="s">
        <v>427</v>
      </c>
      <c r="X39" s="25">
        <f t="shared" si="3"/>
        <v>3.4525242965254249E-2</v>
      </c>
      <c r="Y39" s="114">
        <f t="shared" si="4"/>
        <v>2564.6399087902209</v>
      </c>
      <c r="Z39" s="114">
        <f t="shared" si="5"/>
        <v>2769.8111014934389</v>
      </c>
    </row>
    <row r="40" spans="1:26" ht="16.5" thickBot="1">
      <c r="A40" s="39" t="s">
        <v>76</v>
      </c>
      <c r="B40" s="40" t="s">
        <v>135</v>
      </c>
      <c r="C40" s="41" t="s">
        <v>27</v>
      </c>
      <c r="D40" s="41" t="s">
        <v>414</v>
      </c>
      <c r="E40" s="39" t="s">
        <v>167</v>
      </c>
      <c r="F40" s="41" t="s">
        <v>390</v>
      </c>
      <c r="G40" s="41" t="s">
        <v>242</v>
      </c>
      <c r="H40" s="39">
        <v>4000</v>
      </c>
      <c r="I40" s="42">
        <v>854470000000</v>
      </c>
      <c r="J40" s="43" t="s">
        <v>353</v>
      </c>
      <c r="K40" s="46">
        <v>0</v>
      </c>
      <c r="L40" s="63"/>
      <c r="M40" s="46"/>
      <c r="N40" s="47">
        <v>2757.5860124312958</v>
      </c>
      <c r="O40" s="64"/>
      <c r="Q40" s="67">
        <f t="shared" si="7"/>
        <v>2757.5860124312958</v>
      </c>
      <c r="R40" s="68">
        <f t="shared" si="8"/>
        <v>3116.0721940473641</v>
      </c>
      <c r="S40" s="129" t="s">
        <v>427</v>
      </c>
      <c r="U40" s="119">
        <v>2852.9501935080907</v>
      </c>
      <c r="V40" s="68">
        <f t="shared" si="9"/>
        <v>3223.833718664142</v>
      </c>
      <c r="W40" s="129" t="s">
        <v>427</v>
      </c>
      <c r="X40" s="25">
        <f t="shared" si="3"/>
        <v>3.4582486510625524E-2</v>
      </c>
      <c r="Y40" s="133">
        <f t="shared" si="4"/>
        <v>3035.0533973490328</v>
      </c>
      <c r="Z40" s="133">
        <f t="shared" si="5"/>
        <v>3277.8576691369558</v>
      </c>
    </row>
    <row r="41" spans="1:26" s="78" customFormat="1" ht="16.5" thickTop="1">
      <c r="A41" s="69" t="s">
        <v>89</v>
      </c>
      <c r="B41" s="70" t="s">
        <v>463</v>
      </c>
      <c r="C41" s="71" t="s">
        <v>27</v>
      </c>
      <c r="D41" s="71" t="s">
        <v>465</v>
      </c>
      <c r="E41" s="69" t="s">
        <v>168</v>
      </c>
      <c r="F41" s="71" t="s">
        <v>458</v>
      </c>
      <c r="G41" s="71" t="s">
        <v>242</v>
      </c>
      <c r="H41" s="69">
        <v>4000</v>
      </c>
      <c r="I41" s="72">
        <v>854470000000</v>
      </c>
      <c r="J41" s="69" t="s">
        <v>353</v>
      </c>
      <c r="K41" s="73"/>
      <c r="L41" s="74"/>
      <c r="M41" s="73"/>
      <c r="N41" s="75"/>
      <c r="O41" s="75"/>
      <c r="P41" s="76"/>
      <c r="Q41" s="84">
        <v>330</v>
      </c>
      <c r="R41" s="77">
        <f t="shared" si="8"/>
        <v>372.9</v>
      </c>
      <c r="S41" s="130" t="s">
        <v>428</v>
      </c>
      <c r="U41" s="120">
        <v>290</v>
      </c>
      <c r="V41" s="77">
        <f t="shared" si="9"/>
        <v>327.7</v>
      </c>
      <c r="W41" s="130" t="s">
        <v>428</v>
      </c>
      <c r="X41" s="25">
        <f t="shared" si="3"/>
        <v>-0.12121212121212122</v>
      </c>
      <c r="Y41" s="134">
        <f t="shared" si="4"/>
        <v>308.51063829787233</v>
      </c>
      <c r="Z41" s="134">
        <f t="shared" si="5"/>
        <v>333.19148936170217</v>
      </c>
    </row>
    <row r="42" spans="1:26" s="78" customFormat="1">
      <c r="A42" s="69" t="s">
        <v>89</v>
      </c>
      <c r="B42" s="70" t="s">
        <v>463</v>
      </c>
      <c r="C42" s="71" t="s">
        <v>27</v>
      </c>
      <c r="D42" s="71" t="s">
        <v>488</v>
      </c>
      <c r="E42" s="69" t="s">
        <v>168</v>
      </c>
      <c r="F42" s="71" t="s">
        <v>459</v>
      </c>
      <c r="G42" s="71" t="s">
        <v>242</v>
      </c>
      <c r="H42" s="69">
        <v>4000</v>
      </c>
      <c r="I42" s="72">
        <v>854470000000</v>
      </c>
      <c r="J42" s="69" t="s">
        <v>353</v>
      </c>
      <c r="K42" s="73"/>
      <c r="L42" s="74"/>
      <c r="M42" s="73"/>
      <c r="N42" s="75"/>
      <c r="O42" s="75"/>
      <c r="P42" s="76"/>
      <c r="Q42" s="84">
        <v>350</v>
      </c>
      <c r="R42" s="77">
        <f t="shared" ref="R42" si="10">+Q42*R$4</f>
        <v>395.49999999999994</v>
      </c>
      <c r="S42" s="130" t="s">
        <v>428</v>
      </c>
      <c r="U42" s="120">
        <v>305</v>
      </c>
      <c r="V42" s="77">
        <f t="shared" ref="V42" si="11">+U42*V$4</f>
        <v>344.65</v>
      </c>
      <c r="W42" s="130" t="s">
        <v>428</v>
      </c>
      <c r="X42" s="25">
        <f t="shared" ref="X42" si="12">(U42-Q42)/Q42</f>
        <v>-0.12857142857142856</v>
      </c>
      <c r="Y42" s="134">
        <f t="shared" ref="Y42" si="13">+U42/0.94</f>
        <v>324.468085106383</v>
      </c>
      <c r="Z42" s="134">
        <f t="shared" si="5"/>
        <v>350.42553191489367</v>
      </c>
    </row>
    <row r="43" spans="1:26" s="78" customFormat="1">
      <c r="A43" s="69" t="s">
        <v>89</v>
      </c>
      <c r="B43" s="70" t="s">
        <v>463</v>
      </c>
      <c r="C43" s="71" t="s">
        <v>27</v>
      </c>
      <c r="D43" s="71" t="s">
        <v>466</v>
      </c>
      <c r="E43" s="69" t="s">
        <v>168</v>
      </c>
      <c r="F43" s="71" t="s">
        <v>460</v>
      </c>
      <c r="G43" s="71" t="s">
        <v>242</v>
      </c>
      <c r="H43" s="69">
        <v>4000</v>
      </c>
      <c r="I43" s="72">
        <v>854470000000</v>
      </c>
      <c r="J43" s="69" t="s">
        <v>353</v>
      </c>
      <c r="K43" s="73"/>
      <c r="L43" s="74"/>
      <c r="M43" s="73"/>
      <c r="N43" s="75"/>
      <c r="O43" s="75"/>
      <c r="P43" s="76"/>
      <c r="Q43" s="84">
        <v>350</v>
      </c>
      <c r="R43" s="77">
        <f t="shared" si="8"/>
        <v>395.49999999999994</v>
      </c>
      <c r="S43" s="130" t="s">
        <v>428</v>
      </c>
      <c r="U43" s="120">
        <v>320</v>
      </c>
      <c r="V43" s="77">
        <f t="shared" si="9"/>
        <v>361.59999999999997</v>
      </c>
      <c r="W43" s="130" t="s">
        <v>428</v>
      </c>
      <c r="X43" s="25">
        <f t="shared" si="3"/>
        <v>-8.5714285714285715E-2</v>
      </c>
      <c r="Y43" s="134">
        <f t="shared" si="4"/>
        <v>340.42553191489361</v>
      </c>
      <c r="Z43" s="134">
        <f t="shared" si="5"/>
        <v>367.65957446808511</v>
      </c>
    </row>
    <row r="44" spans="1:26" s="78" customFormat="1">
      <c r="A44" s="69" t="s">
        <v>89</v>
      </c>
      <c r="B44" s="70" t="s">
        <v>463</v>
      </c>
      <c r="C44" s="71" t="s">
        <v>27</v>
      </c>
      <c r="D44" s="71" t="s">
        <v>467</v>
      </c>
      <c r="E44" s="69" t="s">
        <v>168</v>
      </c>
      <c r="F44" s="71" t="s">
        <v>461</v>
      </c>
      <c r="G44" s="71" t="s">
        <v>242</v>
      </c>
      <c r="H44" s="69">
        <v>4000</v>
      </c>
      <c r="I44" s="72">
        <v>854470000000</v>
      </c>
      <c r="J44" s="69" t="s">
        <v>353</v>
      </c>
      <c r="K44" s="73"/>
      <c r="L44" s="74"/>
      <c r="M44" s="73"/>
      <c r="N44" s="75"/>
      <c r="O44" s="75"/>
      <c r="P44" s="76"/>
      <c r="Q44" s="84">
        <v>370</v>
      </c>
      <c r="R44" s="77">
        <f t="shared" si="8"/>
        <v>418.09999999999997</v>
      </c>
      <c r="S44" s="130" t="s">
        <v>428</v>
      </c>
      <c r="U44" s="120">
        <v>360</v>
      </c>
      <c r="V44" s="77">
        <f t="shared" si="9"/>
        <v>406.79999999999995</v>
      </c>
      <c r="W44" s="130" t="s">
        <v>428</v>
      </c>
      <c r="X44" s="25">
        <f t="shared" si="3"/>
        <v>-2.7027027027027029E-2</v>
      </c>
      <c r="Y44" s="134">
        <f t="shared" si="4"/>
        <v>382.97872340425533</v>
      </c>
      <c r="Z44" s="134">
        <f t="shared" si="5"/>
        <v>413.61702127659578</v>
      </c>
    </row>
    <row r="45" spans="1:26" s="78" customFormat="1">
      <c r="A45" s="69" t="s">
        <v>89</v>
      </c>
      <c r="B45" s="70" t="s">
        <v>463</v>
      </c>
      <c r="C45" s="71" t="s">
        <v>27</v>
      </c>
      <c r="D45" s="71" t="s">
        <v>464</v>
      </c>
      <c r="E45" s="69" t="s">
        <v>168</v>
      </c>
      <c r="F45" s="71" t="s">
        <v>462</v>
      </c>
      <c r="G45" s="71" t="s">
        <v>242</v>
      </c>
      <c r="H45" s="69">
        <v>4000</v>
      </c>
      <c r="I45" s="72">
        <v>854470000000</v>
      </c>
      <c r="J45" s="69" t="s">
        <v>353</v>
      </c>
      <c r="K45" s="73"/>
      <c r="L45" s="74"/>
      <c r="M45" s="73"/>
      <c r="N45" s="75"/>
      <c r="O45" s="75"/>
      <c r="P45" s="76"/>
      <c r="Q45" s="84">
        <v>430</v>
      </c>
      <c r="R45" s="77">
        <f t="shared" si="8"/>
        <v>485.9</v>
      </c>
      <c r="S45" s="130" t="s">
        <v>428</v>
      </c>
      <c r="U45" s="120">
        <v>588</v>
      </c>
      <c r="V45" s="77">
        <f t="shared" si="9"/>
        <v>664.43999999999994</v>
      </c>
      <c r="W45" s="130" t="s">
        <v>428</v>
      </c>
      <c r="X45" s="25">
        <f t="shared" si="3"/>
        <v>0.36744186046511629</v>
      </c>
      <c r="Y45" s="134">
        <f t="shared" si="4"/>
        <v>625.53191489361711</v>
      </c>
      <c r="Z45" s="134">
        <f t="shared" si="5"/>
        <v>675.57446808510656</v>
      </c>
    </row>
    <row r="46" spans="1:26">
      <c r="A46" s="79" t="s">
        <v>3</v>
      </c>
      <c r="B46" s="80" t="s">
        <v>201</v>
      </c>
      <c r="C46" s="81" t="s">
        <v>27</v>
      </c>
      <c r="D46" s="81" t="s">
        <v>225</v>
      </c>
      <c r="E46" s="79" t="s">
        <v>169</v>
      </c>
      <c r="F46" s="81" t="s">
        <v>192</v>
      </c>
      <c r="G46" s="81" t="s">
        <v>242</v>
      </c>
      <c r="H46" s="79">
        <v>4000</v>
      </c>
      <c r="I46" s="82">
        <v>854470000000</v>
      </c>
      <c r="J46" s="79" t="s">
        <v>353</v>
      </c>
      <c r="K46" s="36">
        <v>605</v>
      </c>
      <c r="L46" s="59">
        <v>617</v>
      </c>
      <c r="M46" s="36"/>
      <c r="N46" s="37">
        <v>600</v>
      </c>
      <c r="O46" s="37">
        <v>555</v>
      </c>
      <c r="Q46" s="29">
        <f>+N46</f>
        <v>600</v>
      </c>
      <c r="R46" s="77">
        <f t="shared" si="8"/>
        <v>677.99999999999989</v>
      </c>
      <c r="S46" s="126" t="s">
        <v>425</v>
      </c>
      <c r="U46" s="114">
        <v>630</v>
      </c>
      <c r="V46" s="77">
        <f t="shared" si="9"/>
        <v>711.9</v>
      </c>
      <c r="W46" s="126" t="s">
        <v>425</v>
      </c>
      <c r="X46" s="25">
        <f t="shared" si="3"/>
        <v>0.05</v>
      </c>
      <c r="Y46" s="114">
        <f t="shared" si="4"/>
        <v>670.21276595744689</v>
      </c>
      <c r="Z46" s="114">
        <f t="shared" si="5"/>
        <v>723.82978723404267</v>
      </c>
    </row>
    <row r="47" spans="1:26">
      <c r="A47" s="79" t="s">
        <v>3</v>
      </c>
      <c r="B47" s="80" t="s">
        <v>201</v>
      </c>
      <c r="C47" s="81" t="s">
        <v>27</v>
      </c>
      <c r="D47" s="81" t="s">
        <v>226</v>
      </c>
      <c r="E47" s="79" t="s">
        <v>169</v>
      </c>
      <c r="F47" s="81" t="s">
        <v>193</v>
      </c>
      <c r="G47" s="81" t="s">
        <v>242</v>
      </c>
      <c r="H47" s="79">
        <v>4000</v>
      </c>
      <c r="I47" s="82">
        <v>854470000000</v>
      </c>
      <c r="J47" s="79" t="s">
        <v>353</v>
      </c>
      <c r="K47" s="36">
        <v>941</v>
      </c>
      <c r="L47" s="59">
        <v>965</v>
      </c>
      <c r="M47" s="36"/>
      <c r="N47" s="37">
        <v>915</v>
      </c>
      <c r="O47" s="37">
        <v>820</v>
      </c>
      <c r="Q47" s="29">
        <f>+N47</f>
        <v>915</v>
      </c>
      <c r="R47" s="77">
        <f t="shared" si="8"/>
        <v>1033.9499999999998</v>
      </c>
      <c r="S47" s="126" t="s">
        <v>425</v>
      </c>
      <c r="U47" s="114">
        <v>979</v>
      </c>
      <c r="V47" s="77">
        <f t="shared" si="9"/>
        <v>1106.27</v>
      </c>
      <c r="W47" s="126" t="s">
        <v>425</v>
      </c>
      <c r="X47" s="25">
        <f t="shared" si="3"/>
        <v>6.9945355191256831E-2</v>
      </c>
      <c r="Y47" s="114">
        <f t="shared" si="4"/>
        <v>1041.4893617021278</v>
      </c>
      <c r="Z47" s="114">
        <f t="shared" si="5"/>
        <v>1124.808510638298</v>
      </c>
    </row>
    <row r="48" spans="1:26">
      <c r="A48" s="79" t="s">
        <v>47</v>
      </c>
      <c r="B48" s="80" t="s">
        <v>201</v>
      </c>
      <c r="C48" s="81" t="s">
        <v>27</v>
      </c>
      <c r="D48" s="81" t="s">
        <v>347</v>
      </c>
      <c r="E48" s="79" t="s">
        <v>169</v>
      </c>
      <c r="F48" s="81" t="s">
        <v>349</v>
      </c>
      <c r="G48" s="81" t="s">
        <v>242</v>
      </c>
      <c r="H48" s="79">
        <v>4000</v>
      </c>
      <c r="I48" s="82">
        <v>854470000000</v>
      </c>
      <c r="J48" s="79" t="s">
        <v>353</v>
      </c>
      <c r="K48" s="36">
        <v>485</v>
      </c>
      <c r="L48" s="59"/>
      <c r="M48" s="36">
        <v>445</v>
      </c>
      <c r="N48" s="37">
        <v>485</v>
      </c>
      <c r="O48" s="37">
        <v>445</v>
      </c>
      <c r="P48" s="76"/>
      <c r="Q48" s="61">
        <f t="shared" ref="Q48:Q53" si="14">+O48</f>
        <v>445</v>
      </c>
      <c r="R48" s="77">
        <f t="shared" si="8"/>
        <v>502.84999999999997</v>
      </c>
      <c r="S48" s="126" t="s">
        <v>426</v>
      </c>
      <c r="U48" s="117">
        <v>516</v>
      </c>
      <c r="V48" s="77">
        <f t="shared" si="9"/>
        <v>583.07999999999993</v>
      </c>
      <c r="W48" s="126" t="s">
        <v>486</v>
      </c>
      <c r="X48" s="25">
        <f t="shared" si="3"/>
        <v>0.15955056179775282</v>
      </c>
      <c r="Y48" s="114">
        <f t="shared" si="4"/>
        <v>548.936170212766</v>
      </c>
      <c r="Z48" s="114">
        <f t="shared" si="5"/>
        <v>592.85106382978734</v>
      </c>
    </row>
    <row r="49" spans="1:26">
      <c r="A49" s="79" t="s">
        <v>47</v>
      </c>
      <c r="B49" s="80" t="s">
        <v>201</v>
      </c>
      <c r="C49" s="81" t="s">
        <v>27</v>
      </c>
      <c r="D49" s="81" t="s">
        <v>348</v>
      </c>
      <c r="E49" s="79" t="s">
        <v>169</v>
      </c>
      <c r="F49" s="81" t="s">
        <v>350</v>
      </c>
      <c r="G49" s="81" t="s">
        <v>242</v>
      </c>
      <c r="H49" s="79">
        <v>4000</v>
      </c>
      <c r="I49" s="82">
        <v>854470000000</v>
      </c>
      <c r="J49" s="79" t="s">
        <v>353</v>
      </c>
      <c r="K49" s="36">
        <v>715</v>
      </c>
      <c r="L49" s="59"/>
      <c r="M49" s="36">
        <v>665</v>
      </c>
      <c r="N49" s="37">
        <v>715</v>
      </c>
      <c r="O49" s="37">
        <v>645</v>
      </c>
      <c r="P49" s="76"/>
      <c r="Q49" s="61">
        <f t="shared" si="14"/>
        <v>645</v>
      </c>
      <c r="R49" s="62">
        <f t="shared" si="8"/>
        <v>728.84999999999991</v>
      </c>
      <c r="S49" s="126" t="s">
        <v>426</v>
      </c>
      <c r="U49" s="117">
        <v>758</v>
      </c>
      <c r="V49" s="62">
        <f t="shared" si="9"/>
        <v>856.54</v>
      </c>
      <c r="W49" s="126" t="s">
        <v>486</v>
      </c>
      <c r="X49" s="25">
        <f t="shared" si="3"/>
        <v>0.17519379844961241</v>
      </c>
      <c r="Y49" s="114">
        <f t="shared" si="4"/>
        <v>806.38297872340434</v>
      </c>
      <c r="Z49" s="114">
        <f t="shared" si="5"/>
        <v>870.89361702127678</v>
      </c>
    </row>
    <row r="50" spans="1:26">
      <c r="A50" s="79" t="s">
        <v>47</v>
      </c>
      <c r="B50" s="80" t="s">
        <v>201</v>
      </c>
      <c r="C50" s="81" t="s">
        <v>27</v>
      </c>
      <c r="D50" s="81" t="s">
        <v>227</v>
      </c>
      <c r="E50" s="79" t="s">
        <v>169</v>
      </c>
      <c r="F50" s="81" t="s">
        <v>202</v>
      </c>
      <c r="G50" s="81" t="s">
        <v>242</v>
      </c>
      <c r="H50" s="79">
        <v>4000</v>
      </c>
      <c r="I50" s="82">
        <v>854470000000</v>
      </c>
      <c r="J50" s="79" t="s">
        <v>353</v>
      </c>
      <c r="K50" s="36">
        <v>930</v>
      </c>
      <c r="L50" s="59"/>
      <c r="M50" s="36">
        <v>860</v>
      </c>
      <c r="N50" s="37">
        <v>930</v>
      </c>
      <c r="O50" s="37">
        <v>860</v>
      </c>
      <c r="Q50" s="61">
        <f t="shared" si="14"/>
        <v>860</v>
      </c>
      <c r="R50" s="62">
        <f t="shared" si="8"/>
        <v>971.8</v>
      </c>
      <c r="S50" s="126" t="s">
        <v>426</v>
      </c>
      <c r="U50" s="117">
        <v>980</v>
      </c>
      <c r="V50" s="62">
        <f t="shared" si="9"/>
        <v>1107.3999999999999</v>
      </c>
      <c r="W50" s="126" t="s">
        <v>486</v>
      </c>
      <c r="X50" s="25">
        <f t="shared" si="3"/>
        <v>0.13953488372093023</v>
      </c>
      <c r="Y50" s="114">
        <f t="shared" si="4"/>
        <v>1042.5531914893618</v>
      </c>
      <c r="Z50" s="114">
        <f t="shared" si="5"/>
        <v>1125.9574468085109</v>
      </c>
    </row>
    <row r="51" spans="1:26">
      <c r="A51" s="79" t="s">
        <v>47</v>
      </c>
      <c r="B51" s="80" t="s">
        <v>201</v>
      </c>
      <c r="C51" s="81" t="s">
        <v>27</v>
      </c>
      <c r="D51" s="81" t="s">
        <v>228</v>
      </c>
      <c r="E51" s="79" t="s">
        <v>169</v>
      </c>
      <c r="F51" s="81" t="s">
        <v>203</v>
      </c>
      <c r="G51" s="81" t="s">
        <v>242</v>
      </c>
      <c r="H51" s="79">
        <v>4000</v>
      </c>
      <c r="I51" s="82">
        <v>854470000000</v>
      </c>
      <c r="J51" s="79" t="s">
        <v>353</v>
      </c>
      <c r="K51" s="36">
        <v>1715</v>
      </c>
      <c r="L51" s="59"/>
      <c r="M51" s="36">
        <v>1575</v>
      </c>
      <c r="N51" s="37">
        <v>1715</v>
      </c>
      <c r="O51" s="37">
        <v>1575</v>
      </c>
      <c r="Q51" s="61">
        <f t="shared" si="14"/>
        <v>1575</v>
      </c>
      <c r="R51" s="62">
        <f t="shared" si="8"/>
        <v>1779.7499999999998</v>
      </c>
      <c r="S51" s="126" t="s">
        <v>426</v>
      </c>
      <c r="U51" s="117">
        <v>1740</v>
      </c>
      <c r="V51" s="62">
        <f t="shared" si="9"/>
        <v>1966.1999999999998</v>
      </c>
      <c r="W51" s="126" t="s">
        <v>486</v>
      </c>
      <c r="X51" s="25">
        <f t="shared" si="3"/>
        <v>0.10476190476190476</v>
      </c>
      <c r="Y51" s="114">
        <f t="shared" si="4"/>
        <v>1851.0638297872342</v>
      </c>
      <c r="Z51" s="114">
        <f t="shared" si="5"/>
        <v>1999.1489361702131</v>
      </c>
    </row>
    <row r="52" spans="1:26">
      <c r="A52" s="79" t="s">
        <v>47</v>
      </c>
      <c r="B52" s="80" t="s">
        <v>201</v>
      </c>
      <c r="C52" s="81" t="s">
        <v>27</v>
      </c>
      <c r="D52" s="81" t="s">
        <v>449</v>
      </c>
      <c r="E52" s="79" t="s">
        <v>169</v>
      </c>
      <c r="F52" s="81" t="s">
        <v>453</v>
      </c>
      <c r="G52" s="81" t="s">
        <v>242</v>
      </c>
      <c r="H52" s="79">
        <v>4000</v>
      </c>
      <c r="I52" s="82">
        <v>854470000000</v>
      </c>
      <c r="J52" s="79" t="s">
        <v>353</v>
      </c>
      <c r="K52" s="36">
        <v>930</v>
      </c>
      <c r="L52" s="59"/>
      <c r="M52" s="36">
        <v>860</v>
      </c>
      <c r="N52" s="37">
        <v>930</v>
      </c>
      <c r="O52" s="37">
        <v>860</v>
      </c>
      <c r="Q52" s="61">
        <f t="shared" si="14"/>
        <v>860</v>
      </c>
      <c r="R52" s="62">
        <f t="shared" si="8"/>
        <v>971.8</v>
      </c>
      <c r="S52" s="126" t="s">
        <v>426</v>
      </c>
      <c r="U52" s="117">
        <v>980</v>
      </c>
      <c r="V52" s="62">
        <f t="shared" si="9"/>
        <v>1107.3999999999999</v>
      </c>
      <c r="W52" s="126" t="s">
        <v>486</v>
      </c>
      <c r="X52" s="25">
        <f t="shared" si="3"/>
        <v>0.13953488372093023</v>
      </c>
      <c r="Y52" s="114">
        <f t="shared" si="4"/>
        <v>1042.5531914893618</v>
      </c>
      <c r="Z52" s="114">
        <f t="shared" si="5"/>
        <v>1125.9574468085109</v>
      </c>
    </row>
    <row r="53" spans="1:26">
      <c r="A53" s="79" t="s">
        <v>47</v>
      </c>
      <c r="B53" s="80" t="s">
        <v>201</v>
      </c>
      <c r="C53" s="81" t="s">
        <v>27</v>
      </c>
      <c r="D53" s="81" t="s">
        <v>450</v>
      </c>
      <c r="E53" s="79" t="s">
        <v>169</v>
      </c>
      <c r="F53" s="81" t="s">
        <v>454</v>
      </c>
      <c r="G53" s="81" t="s">
        <v>242</v>
      </c>
      <c r="H53" s="79">
        <v>4000</v>
      </c>
      <c r="I53" s="82">
        <v>854470000000</v>
      </c>
      <c r="J53" s="79" t="s">
        <v>353</v>
      </c>
      <c r="K53" s="36">
        <v>1715</v>
      </c>
      <c r="L53" s="59"/>
      <c r="M53" s="36">
        <v>1575</v>
      </c>
      <c r="N53" s="37">
        <v>1715</v>
      </c>
      <c r="O53" s="37">
        <v>1575</v>
      </c>
      <c r="Q53" s="61">
        <f t="shared" si="14"/>
        <v>1575</v>
      </c>
      <c r="R53" s="62">
        <f t="shared" si="8"/>
        <v>1779.7499999999998</v>
      </c>
      <c r="S53" s="126" t="s">
        <v>426</v>
      </c>
      <c r="U53" s="117">
        <v>1740</v>
      </c>
      <c r="V53" s="62">
        <f t="shared" si="9"/>
        <v>1966.1999999999998</v>
      </c>
      <c r="W53" s="126" t="s">
        <v>486</v>
      </c>
      <c r="X53" s="25">
        <f t="shared" si="3"/>
        <v>0.10476190476190476</v>
      </c>
      <c r="Y53" s="114">
        <f t="shared" si="4"/>
        <v>1851.0638297872342</v>
      </c>
      <c r="Z53" s="114">
        <f t="shared" si="5"/>
        <v>1999.1489361702131</v>
      </c>
    </row>
    <row r="54" spans="1:26">
      <c r="A54" s="79" t="s">
        <v>89</v>
      </c>
      <c r="B54" s="80" t="s">
        <v>201</v>
      </c>
      <c r="C54" s="81" t="s">
        <v>27</v>
      </c>
      <c r="D54" s="81" t="s">
        <v>229</v>
      </c>
      <c r="E54" s="79" t="s">
        <v>169</v>
      </c>
      <c r="F54" s="81" t="s">
        <v>194</v>
      </c>
      <c r="G54" s="81" t="s">
        <v>242</v>
      </c>
      <c r="H54" s="79">
        <v>4000</v>
      </c>
      <c r="I54" s="82">
        <v>854470000000</v>
      </c>
      <c r="J54" s="79" t="s">
        <v>353</v>
      </c>
      <c r="K54" s="36">
        <v>317</v>
      </c>
      <c r="L54" s="59">
        <v>330</v>
      </c>
      <c r="M54" s="36"/>
      <c r="N54" s="60">
        <v>380</v>
      </c>
      <c r="O54" s="60">
        <v>0</v>
      </c>
      <c r="Q54" s="61">
        <f>+N54</f>
        <v>380</v>
      </c>
      <c r="R54" s="62">
        <f t="shared" si="8"/>
        <v>429.4</v>
      </c>
      <c r="S54" s="126" t="s">
        <v>428</v>
      </c>
      <c r="U54" s="117">
        <v>430</v>
      </c>
      <c r="V54" s="62">
        <f t="shared" si="9"/>
        <v>485.9</v>
      </c>
      <c r="W54" s="126" t="s">
        <v>428</v>
      </c>
      <c r="X54" s="25">
        <f t="shared" si="3"/>
        <v>0.13157894736842105</v>
      </c>
      <c r="Y54" s="114">
        <f t="shared" si="4"/>
        <v>457.44680851063833</v>
      </c>
      <c r="Z54" s="114">
        <f t="shared" si="5"/>
        <v>494.04255319148945</v>
      </c>
    </row>
    <row r="55" spans="1:26">
      <c r="A55" s="79" t="s">
        <v>89</v>
      </c>
      <c r="B55" s="80" t="s">
        <v>201</v>
      </c>
      <c r="C55" s="81" t="s">
        <v>27</v>
      </c>
      <c r="D55" s="81" t="s">
        <v>230</v>
      </c>
      <c r="E55" s="79" t="s">
        <v>169</v>
      </c>
      <c r="F55" s="81" t="s">
        <v>195</v>
      </c>
      <c r="G55" s="81" t="s">
        <v>242</v>
      </c>
      <c r="H55" s="79">
        <v>4000</v>
      </c>
      <c r="I55" s="82">
        <v>854470000000</v>
      </c>
      <c r="J55" s="79" t="s">
        <v>353</v>
      </c>
      <c r="K55" s="36">
        <v>408</v>
      </c>
      <c r="L55" s="59">
        <v>415</v>
      </c>
      <c r="M55" s="36"/>
      <c r="N55" s="60">
        <v>555</v>
      </c>
      <c r="O55" s="60">
        <v>0</v>
      </c>
      <c r="Q55" s="61">
        <f>+N55</f>
        <v>555</v>
      </c>
      <c r="R55" s="62">
        <f t="shared" si="8"/>
        <v>627.15</v>
      </c>
      <c r="S55" s="126" t="s">
        <v>428</v>
      </c>
      <c r="U55" s="117">
        <v>624</v>
      </c>
      <c r="V55" s="62">
        <f t="shared" ref="V55:V67" si="15">+U55*V$4</f>
        <v>705.11999999999989</v>
      </c>
      <c r="W55" s="126" t="s">
        <v>428</v>
      </c>
      <c r="X55" s="25">
        <f t="shared" si="3"/>
        <v>0.12432432432432433</v>
      </c>
      <c r="Y55" s="114">
        <f t="shared" si="4"/>
        <v>663.82978723404256</v>
      </c>
      <c r="Z55" s="114">
        <f t="shared" si="5"/>
        <v>716.936170212766</v>
      </c>
    </row>
    <row r="56" spans="1:26">
      <c r="A56" s="79" t="s">
        <v>89</v>
      </c>
      <c r="B56" s="80" t="s">
        <v>201</v>
      </c>
      <c r="C56" s="81" t="s">
        <v>27</v>
      </c>
      <c r="D56" s="81" t="s">
        <v>451</v>
      </c>
      <c r="E56" s="79" t="s">
        <v>169</v>
      </c>
      <c r="F56" s="81" t="s">
        <v>455</v>
      </c>
      <c r="G56" s="81" t="s">
        <v>242</v>
      </c>
      <c r="H56" s="79">
        <v>4000</v>
      </c>
      <c r="I56" s="82">
        <v>854470000000</v>
      </c>
      <c r="J56" s="79" t="s">
        <v>353</v>
      </c>
      <c r="K56" s="36">
        <v>317</v>
      </c>
      <c r="L56" s="59">
        <v>330</v>
      </c>
      <c r="M56" s="36"/>
      <c r="N56" s="60">
        <v>380</v>
      </c>
      <c r="O56" s="60">
        <v>0</v>
      </c>
      <c r="Q56" s="61">
        <v>380</v>
      </c>
      <c r="R56" s="62">
        <v>444.59999999999997</v>
      </c>
      <c r="S56" s="126" t="s">
        <v>428</v>
      </c>
      <c r="U56" s="117">
        <v>430</v>
      </c>
      <c r="V56" s="62">
        <f t="shared" si="15"/>
        <v>485.9</v>
      </c>
      <c r="W56" s="126" t="s">
        <v>428</v>
      </c>
      <c r="X56" s="25">
        <f t="shared" si="3"/>
        <v>0.13157894736842105</v>
      </c>
      <c r="Y56" s="114">
        <f t="shared" si="4"/>
        <v>457.44680851063833</v>
      </c>
      <c r="Z56" s="114">
        <f t="shared" si="5"/>
        <v>494.04255319148945</v>
      </c>
    </row>
    <row r="57" spans="1:26">
      <c r="A57" s="79" t="s">
        <v>89</v>
      </c>
      <c r="B57" s="80" t="s">
        <v>201</v>
      </c>
      <c r="C57" s="81" t="s">
        <v>27</v>
      </c>
      <c r="D57" s="81" t="s">
        <v>452</v>
      </c>
      <c r="E57" s="79" t="s">
        <v>169</v>
      </c>
      <c r="F57" s="81" t="s">
        <v>456</v>
      </c>
      <c r="G57" s="81" t="s">
        <v>242</v>
      </c>
      <c r="H57" s="79">
        <v>4000</v>
      </c>
      <c r="I57" s="82">
        <v>854470000000</v>
      </c>
      <c r="J57" s="79" t="s">
        <v>353</v>
      </c>
      <c r="K57" s="36">
        <v>408</v>
      </c>
      <c r="L57" s="59">
        <v>415</v>
      </c>
      <c r="M57" s="36"/>
      <c r="N57" s="60">
        <v>555</v>
      </c>
      <c r="O57" s="60">
        <v>0</v>
      </c>
      <c r="Q57" s="61">
        <v>555</v>
      </c>
      <c r="R57" s="62">
        <v>649.34999999999991</v>
      </c>
      <c r="S57" s="126" t="s">
        <v>428</v>
      </c>
      <c r="U57" s="117">
        <v>624</v>
      </c>
      <c r="V57" s="62">
        <f t="shared" si="15"/>
        <v>705.11999999999989</v>
      </c>
      <c r="W57" s="126" t="s">
        <v>428</v>
      </c>
      <c r="X57" s="25">
        <f t="shared" si="3"/>
        <v>0.12432432432432433</v>
      </c>
      <c r="Y57" s="114">
        <f t="shared" si="4"/>
        <v>663.82978723404256</v>
      </c>
      <c r="Z57" s="114">
        <f t="shared" si="5"/>
        <v>716.936170212766</v>
      </c>
    </row>
    <row r="58" spans="1:26">
      <c r="A58" s="79" t="s">
        <v>3</v>
      </c>
      <c r="B58" s="80" t="s">
        <v>191</v>
      </c>
      <c r="C58" s="81" t="s">
        <v>27</v>
      </c>
      <c r="D58" s="81" t="s">
        <v>215</v>
      </c>
      <c r="E58" s="79" t="s">
        <v>169</v>
      </c>
      <c r="F58" s="81" t="s">
        <v>204</v>
      </c>
      <c r="G58" s="81" t="s">
        <v>242</v>
      </c>
      <c r="H58" s="79">
        <v>4000</v>
      </c>
      <c r="I58" s="82">
        <v>854470000000</v>
      </c>
      <c r="J58" s="79" t="s">
        <v>353</v>
      </c>
      <c r="K58" s="36">
        <v>397</v>
      </c>
      <c r="L58" s="59">
        <v>410</v>
      </c>
      <c r="M58" s="36"/>
      <c r="N58" s="37">
        <v>500</v>
      </c>
      <c r="O58" s="37">
        <v>0</v>
      </c>
      <c r="Q58" s="29">
        <f t="shared" ref="Q58:Q80" si="16">+N58</f>
        <v>500</v>
      </c>
      <c r="R58" s="30">
        <f t="shared" ref="R58:R89" si="17">+Q58*R$4</f>
        <v>565</v>
      </c>
      <c r="S58" s="126" t="s">
        <v>425</v>
      </c>
      <c r="U58" s="114">
        <v>417</v>
      </c>
      <c r="V58" s="62">
        <f t="shared" si="15"/>
        <v>471.21</v>
      </c>
      <c r="W58" s="126" t="s">
        <v>425</v>
      </c>
      <c r="X58" s="25">
        <f t="shared" si="3"/>
        <v>-0.16600000000000001</v>
      </c>
      <c r="Y58" s="114">
        <f t="shared" si="4"/>
        <v>443.61702127659578</v>
      </c>
      <c r="Z58" s="114">
        <f t="shared" si="5"/>
        <v>479.10638297872345</v>
      </c>
    </row>
    <row r="59" spans="1:26">
      <c r="A59" s="79" t="s">
        <v>3</v>
      </c>
      <c r="B59" s="80" t="s">
        <v>191</v>
      </c>
      <c r="C59" s="81" t="s">
        <v>27</v>
      </c>
      <c r="D59" s="81" t="s">
        <v>216</v>
      </c>
      <c r="E59" s="79" t="s">
        <v>169</v>
      </c>
      <c r="F59" s="81" t="s">
        <v>205</v>
      </c>
      <c r="G59" s="81" t="s">
        <v>242</v>
      </c>
      <c r="H59" s="79">
        <v>4000</v>
      </c>
      <c r="I59" s="82">
        <v>854470000000</v>
      </c>
      <c r="J59" s="79" t="s">
        <v>353</v>
      </c>
      <c r="K59" s="36">
        <v>446</v>
      </c>
      <c r="L59" s="59">
        <v>460</v>
      </c>
      <c r="M59" s="36"/>
      <c r="N59" s="37">
        <v>410</v>
      </c>
      <c r="O59" s="37">
        <v>0</v>
      </c>
      <c r="P59" s="76"/>
      <c r="Q59" s="29">
        <f t="shared" si="16"/>
        <v>410</v>
      </c>
      <c r="R59" s="30">
        <f t="shared" si="17"/>
        <v>463.29999999999995</v>
      </c>
      <c r="S59" s="126" t="s">
        <v>425</v>
      </c>
      <c r="U59" s="114">
        <v>477</v>
      </c>
      <c r="V59" s="62">
        <f t="shared" si="15"/>
        <v>539.01</v>
      </c>
      <c r="W59" s="126" t="s">
        <v>425</v>
      </c>
      <c r="X59" s="25">
        <f t="shared" si="3"/>
        <v>0.16341463414634147</v>
      </c>
      <c r="Y59" s="114">
        <f t="shared" si="4"/>
        <v>507.44680851063833</v>
      </c>
      <c r="Z59" s="114">
        <f t="shared" si="5"/>
        <v>548.04255319148945</v>
      </c>
    </row>
    <row r="60" spans="1:26">
      <c r="A60" s="79" t="s">
        <v>3</v>
      </c>
      <c r="B60" s="80" t="s">
        <v>191</v>
      </c>
      <c r="C60" s="81" t="s">
        <v>27</v>
      </c>
      <c r="D60" s="81" t="s">
        <v>217</v>
      </c>
      <c r="E60" s="79" t="s">
        <v>169</v>
      </c>
      <c r="F60" s="81" t="s">
        <v>206</v>
      </c>
      <c r="G60" s="81" t="s">
        <v>242</v>
      </c>
      <c r="H60" s="79">
        <v>4000</v>
      </c>
      <c r="I60" s="82">
        <v>854470000000</v>
      </c>
      <c r="J60" s="79" t="s">
        <v>353</v>
      </c>
      <c r="K60" s="36">
        <v>504</v>
      </c>
      <c r="L60" s="59">
        <v>520</v>
      </c>
      <c r="M60" s="36"/>
      <c r="N60" s="37">
        <v>505</v>
      </c>
      <c r="O60" s="37">
        <v>0</v>
      </c>
      <c r="P60" s="76"/>
      <c r="Q60" s="29">
        <f t="shared" si="16"/>
        <v>505</v>
      </c>
      <c r="R60" s="30">
        <f t="shared" si="17"/>
        <v>570.65</v>
      </c>
      <c r="S60" s="126" t="s">
        <v>425</v>
      </c>
      <c r="U60" s="114">
        <v>537</v>
      </c>
      <c r="V60" s="62">
        <f t="shared" si="15"/>
        <v>606.80999999999995</v>
      </c>
      <c r="W60" s="126" t="s">
        <v>425</v>
      </c>
      <c r="X60" s="25">
        <f t="shared" si="3"/>
        <v>6.3366336633663367E-2</v>
      </c>
      <c r="Y60" s="114">
        <f t="shared" si="4"/>
        <v>571.27659574468089</v>
      </c>
      <c r="Z60" s="114">
        <f t="shared" si="5"/>
        <v>616.97872340425545</v>
      </c>
    </row>
    <row r="61" spans="1:26">
      <c r="A61" s="79" t="s">
        <v>3</v>
      </c>
      <c r="B61" s="80" t="s">
        <v>191</v>
      </c>
      <c r="C61" s="81" t="s">
        <v>27</v>
      </c>
      <c r="D61" s="81" t="s">
        <v>218</v>
      </c>
      <c r="E61" s="79" t="s">
        <v>169</v>
      </c>
      <c r="F61" s="81" t="s">
        <v>207</v>
      </c>
      <c r="G61" s="81" t="s">
        <v>242</v>
      </c>
      <c r="H61" s="79">
        <v>4000</v>
      </c>
      <c r="I61" s="82">
        <v>854470000000</v>
      </c>
      <c r="J61" s="79" t="s">
        <v>353</v>
      </c>
      <c r="K61" s="36">
        <v>611</v>
      </c>
      <c r="L61" s="59">
        <v>620</v>
      </c>
      <c r="M61" s="36"/>
      <c r="N61" s="37">
        <v>615</v>
      </c>
      <c r="O61" s="37">
        <v>0</v>
      </c>
      <c r="P61" s="76"/>
      <c r="Q61" s="29">
        <f t="shared" si="16"/>
        <v>615</v>
      </c>
      <c r="R61" s="30">
        <f t="shared" si="17"/>
        <v>694.94999999999993</v>
      </c>
      <c r="S61" s="126" t="s">
        <v>425</v>
      </c>
      <c r="U61" s="114">
        <v>658</v>
      </c>
      <c r="V61" s="62">
        <f t="shared" si="15"/>
        <v>743.54</v>
      </c>
      <c r="W61" s="126" t="s">
        <v>425</v>
      </c>
      <c r="X61" s="25">
        <f t="shared" si="3"/>
        <v>6.9918699186991867E-2</v>
      </c>
      <c r="Y61" s="114">
        <f t="shared" si="4"/>
        <v>700</v>
      </c>
      <c r="Z61" s="114">
        <f t="shared" si="5"/>
        <v>756</v>
      </c>
    </row>
    <row r="62" spans="1:26">
      <c r="A62" s="79" t="s">
        <v>3</v>
      </c>
      <c r="B62" s="80" t="s">
        <v>191</v>
      </c>
      <c r="C62" s="81" t="s">
        <v>27</v>
      </c>
      <c r="D62" s="81" t="s">
        <v>219</v>
      </c>
      <c r="E62" s="79" t="s">
        <v>169</v>
      </c>
      <c r="F62" s="81" t="s">
        <v>208</v>
      </c>
      <c r="G62" s="81" t="s">
        <v>242</v>
      </c>
      <c r="H62" s="79">
        <v>4000</v>
      </c>
      <c r="I62" s="82">
        <v>854470000000</v>
      </c>
      <c r="J62" s="79" t="s">
        <v>353</v>
      </c>
      <c r="K62" s="36">
        <v>956</v>
      </c>
      <c r="L62" s="59">
        <v>1010</v>
      </c>
      <c r="M62" s="36"/>
      <c r="N62" s="37">
        <v>950</v>
      </c>
      <c r="O62" s="37">
        <v>0</v>
      </c>
      <c r="P62" s="76"/>
      <c r="Q62" s="29">
        <f t="shared" si="16"/>
        <v>950</v>
      </c>
      <c r="R62" s="30">
        <f t="shared" si="17"/>
        <v>1073.5</v>
      </c>
      <c r="S62" s="126" t="s">
        <v>425</v>
      </c>
      <c r="U62" s="114">
        <v>1018</v>
      </c>
      <c r="V62" s="62">
        <f t="shared" si="15"/>
        <v>1150.3399999999999</v>
      </c>
      <c r="W62" s="126" t="s">
        <v>425</v>
      </c>
      <c r="X62" s="25">
        <f t="shared" si="3"/>
        <v>7.1578947368421048E-2</v>
      </c>
      <c r="Y62" s="114">
        <f t="shared" si="4"/>
        <v>1082.9787234042553</v>
      </c>
      <c r="Z62" s="114">
        <f t="shared" si="5"/>
        <v>1169.6170212765958</v>
      </c>
    </row>
    <row r="63" spans="1:26">
      <c r="A63" s="79" t="s">
        <v>89</v>
      </c>
      <c r="B63" s="80" t="s">
        <v>191</v>
      </c>
      <c r="C63" s="81" t="s">
        <v>27</v>
      </c>
      <c r="D63" s="81" t="s">
        <v>220</v>
      </c>
      <c r="E63" s="79" t="s">
        <v>169</v>
      </c>
      <c r="F63" s="81" t="s">
        <v>209</v>
      </c>
      <c r="G63" s="81" t="s">
        <v>242</v>
      </c>
      <c r="H63" s="79">
        <v>4000</v>
      </c>
      <c r="I63" s="82">
        <v>854470000000</v>
      </c>
      <c r="J63" s="79" t="s">
        <v>353</v>
      </c>
      <c r="K63" s="36">
        <v>306</v>
      </c>
      <c r="L63" s="59">
        <v>310</v>
      </c>
      <c r="M63" s="36"/>
      <c r="N63" s="60">
        <v>330</v>
      </c>
      <c r="O63" s="60">
        <v>0</v>
      </c>
      <c r="Q63" s="61">
        <f t="shared" si="16"/>
        <v>330</v>
      </c>
      <c r="R63" s="62">
        <f t="shared" si="17"/>
        <v>372.9</v>
      </c>
      <c r="S63" s="126" t="s">
        <v>428</v>
      </c>
      <c r="U63" s="117">
        <v>358</v>
      </c>
      <c r="V63" s="62">
        <f t="shared" si="15"/>
        <v>404.53999999999996</v>
      </c>
      <c r="W63" s="126" t="s">
        <v>428</v>
      </c>
      <c r="X63" s="25">
        <f t="shared" si="3"/>
        <v>8.4848484848484854E-2</v>
      </c>
      <c r="Y63" s="114">
        <f t="shared" si="4"/>
        <v>380.85106382978728</v>
      </c>
      <c r="Z63" s="114">
        <f t="shared" si="5"/>
        <v>411.31914893617028</v>
      </c>
    </row>
    <row r="64" spans="1:26">
      <c r="A64" s="79" t="s">
        <v>89</v>
      </c>
      <c r="B64" s="80" t="s">
        <v>191</v>
      </c>
      <c r="C64" s="81" t="s">
        <v>27</v>
      </c>
      <c r="D64" s="81" t="s">
        <v>221</v>
      </c>
      <c r="E64" s="79" t="s">
        <v>169</v>
      </c>
      <c r="F64" s="81" t="s">
        <v>210</v>
      </c>
      <c r="G64" s="81" t="s">
        <v>242</v>
      </c>
      <c r="H64" s="79">
        <v>4000</v>
      </c>
      <c r="I64" s="82">
        <v>854470000000</v>
      </c>
      <c r="J64" s="79" t="s">
        <v>353</v>
      </c>
      <c r="K64" s="36">
        <v>313</v>
      </c>
      <c r="L64" s="59">
        <v>320</v>
      </c>
      <c r="M64" s="36"/>
      <c r="N64" s="60">
        <v>355</v>
      </c>
      <c r="O64" s="60">
        <v>0</v>
      </c>
      <c r="Q64" s="61">
        <f t="shared" si="16"/>
        <v>355</v>
      </c>
      <c r="R64" s="62">
        <f t="shared" si="17"/>
        <v>401.15</v>
      </c>
      <c r="S64" s="126" t="s">
        <v>428</v>
      </c>
      <c r="U64" s="117">
        <v>387</v>
      </c>
      <c r="V64" s="62">
        <f t="shared" si="15"/>
        <v>437.30999999999995</v>
      </c>
      <c r="W64" s="126" t="s">
        <v>428</v>
      </c>
      <c r="X64" s="25">
        <f t="shared" si="3"/>
        <v>9.014084507042254E-2</v>
      </c>
      <c r="Y64" s="114">
        <f t="shared" si="4"/>
        <v>411.7021276595745</v>
      </c>
      <c r="Z64" s="114">
        <f t="shared" si="5"/>
        <v>444.6382978723405</v>
      </c>
    </row>
    <row r="65" spans="1:26">
      <c r="A65" s="79" t="s">
        <v>89</v>
      </c>
      <c r="B65" s="80" t="s">
        <v>191</v>
      </c>
      <c r="C65" s="81" t="s">
        <v>27</v>
      </c>
      <c r="D65" s="81" t="s">
        <v>222</v>
      </c>
      <c r="E65" s="79" t="s">
        <v>169</v>
      </c>
      <c r="F65" s="81" t="s">
        <v>211</v>
      </c>
      <c r="G65" s="81" t="s">
        <v>242</v>
      </c>
      <c r="H65" s="79">
        <v>4000</v>
      </c>
      <c r="I65" s="82">
        <v>854470000000</v>
      </c>
      <c r="J65" s="79" t="s">
        <v>353</v>
      </c>
      <c r="K65" s="36">
        <v>321</v>
      </c>
      <c r="L65" s="59">
        <v>335</v>
      </c>
      <c r="M65" s="36"/>
      <c r="N65" s="60">
        <v>365</v>
      </c>
      <c r="O65" s="60">
        <v>0</v>
      </c>
      <c r="Q65" s="61">
        <f t="shared" si="16"/>
        <v>365</v>
      </c>
      <c r="R65" s="62">
        <f t="shared" si="17"/>
        <v>412.45</v>
      </c>
      <c r="S65" s="126" t="s">
        <v>428</v>
      </c>
      <c r="U65" s="117">
        <v>417</v>
      </c>
      <c r="V65" s="62">
        <f t="shared" si="15"/>
        <v>471.21</v>
      </c>
      <c r="W65" s="126" t="s">
        <v>428</v>
      </c>
      <c r="X65" s="25">
        <f t="shared" si="3"/>
        <v>0.14246575342465753</v>
      </c>
      <c r="Y65" s="114">
        <f t="shared" si="4"/>
        <v>443.61702127659578</v>
      </c>
      <c r="Z65" s="114">
        <f t="shared" si="5"/>
        <v>479.10638297872345</v>
      </c>
    </row>
    <row r="66" spans="1:26">
      <c r="A66" s="79" t="s">
        <v>89</v>
      </c>
      <c r="B66" s="80" t="s">
        <v>191</v>
      </c>
      <c r="C66" s="81" t="s">
        <v>27</v>
      </c>
      <c r="D66" s="81" t="s">
        <v>223</v>
      </c>
      <c r="E66" s="79" t="s">
        <v>169</v>
      </c>
      <c r="F66" s="81" t="s">
        <v>212</v>
      </c>
      <c r="G66" s="81" t="s">
        <v>242</v>
      </c>
      <c r="H66" s="79">
        <v>4000</v>
      </c>
      <c r="I66" s="82">
        <v>854470000000</v>
      </c>
      <c r="J66" s="79" t="s">
        <v>353</v>
      </c>
      <c r="K66" s="36">
        <v>336</v>
      </c>
      <c r="L66" s="59">
        <v>355</v>
      </c>
      <c r="M66" s="36"/>
      <c r="N66" s="60">
        <v>405</v>
      </c>
      <c r="O66" s="60">
        <v>0</v>
      </c>
      <c r="Q66" s="61">
        <f t="shared" si="16"/>
        <v>405</v>
      </c>
      <c r="R66" s="62">
        <f t="shared" si="17"/>
        <v>457.65</v>
      </c>
      <c r="S66" s="126" t="s">
        <v>428</v>
      </c>
      <c r="U66" s="117">
        <v>477</v>
      </c>
      <c r="V66" s="62">
        <f t="shared" si="15"/>
        <v>539.01</v>
      </c>
      <c r="W66" s="126" t="s">
        <v>428</v>
      </c>
      <c r="X66" s="25">
        <f t="shared" si="3"/>
        <v>0.17777777777777778</v>
      </c>
      <c r="Y66" s="114">
        <f t="shared" si="4"/>
        <v>507.44680851063833</v>
      </c>
      <c r="Z66" s="114">
        <f t="shared" si="5"/>
        <v>548.04255319148945</v>
      </c>
    </row>
    <row r="67" spans="1:26">
      <c r="A67" s="79" t="s">
        <v>89</v>
      </c>
      <c r="B67" s="80" t="s">
        <v>191</v>
      </c>
      <c r="C67" s="81" t="s">
        <v>27</v>
      </c>
      <c r="D67" s="81" t="s">
        <v>224</v>
      </c>
      <c r="E67" s="79" t="s">
        <v>169</v>
      </c>
      <c r="F67" s="81" t="s">
        <v>213</v>
      </c>
      <c r="G67" s="81" t="s">
        <v>242</v>
      </c>
      <c r="H67" s="79">
        <v>4000</v>
      </c>
      <c r="I67" s="82">
        <v>854470000000</v>
      </c>
      <c r="J67" s="79" t="s">
        <v>353</v>
      </c>
      <c r="K67" s="36">
        <v>427</v>
      </c>
      <c r="L67" s="59">
        <v>450</v>
      </c>
      <c r="M67" s="36"/>
      <c r="N67" s="60">
        <v>578</v>
      </c>
      <c r="O67" s="60">
        <v>0</v>
      </c>
      <c r="Q67" s="61">
        <f t="shared" si="16"/>
        <v>578</v>
      </c>
      <c r="R67" s="62">
        <f t="shared" si="17"/>
        <v>653.14</v>
      </c>
      <c r="S67" s="126" t="s">
        <v>428</v>
      </c>
      <c r="U67" s="117">
        <v>658</v>
      </c>
      <c r="V67" s="62">
        <f t="shared" si="15"/>
        <v>743.54</v>
      </c>
      <c r="W67" s="126" t="s">
        <v>428</v>
      </c>
      <c r="X67" s="25">
        <f t="shared" si="3"/>
        <v>0.13840830449826991</v>
      </c>
      <c r="Y67" s="114">
        <f t="shared" si="4"/>
        <v>700</v>
      </c>
      <c r="Z67" s="114">
        <f t="shared" si="5"/>
        <v>756</v>
      </c>
    </row>
    <row r="68" spans="1:26">
      <c r="A68" s="15" t="s">
        <v>3</v>
      </c>
      <c r="B68" s="16" t="s">
        <v>247</v>
      </c>
      <c r="C68" s="17" t="s">
        <v>18</v>
      </c>
      <c r="D68" s="17" t="s">
        <v>19</v>
      </c>
      <c r="E68" s="15" t="s">
        <v>167</v>
      </c>
      <c r="F68" s="17" t="s">
        <v>20</v>
      </c>
      <c r="G68" s="17" t="s">
        <v>242</v>
      </c>
      <c r="H68" s="15">
        <v>4000</v>
      </c>
      <c r="I68" s="18">
        <v>854470000000</v>
      </c>
      <c r="J68" s="15" t="s">
        <v>353</v>
      </c>
      <c r="K68" s="36">
        <v>257</v>
      </c>
      <c r="L68" s="59">
        <v>268</v>
      </c>
      <c r="M68" s="36"/>
      <c r="N68" s="37">
        <v>257</v>
      </c>
      <c r="O68" s="37">
        <v>240</v>
      </c>
      <c r="Q68" s="29">
        <f t="shared" si="16"/>
        <v>257</v>
      </c>
      <c r="R68" s="30">
        <f t="shared" si="17"/>
        <v>290.40999999999997</v>
      </c>
      <c r="S68" s="126" t="s">
        <v>425</v>
      </c>
      <c r="U68" s="114">
        <v>283</v>
      </c>
      <c r="V68" s="30">
        <f t="shared" ref="V68:V99" si="18">+U68*V$4</f>
        <v>319.78999999999996</v>
      </c>
      <c r="W68" s="126" t="s">
        <v>425</v>
      </c>
      <c r="X68" s="25">
        <f t="shared" si="3"/>
        <v>0.10116731517509728</v>
      </c>
      <c r="Y68" s="114">
        <f t="shared" si="4"/>
        <v>301.06382978723406</v>
      </c>
      <c r="Z68" s="114">
        <f t="shared" si="5"/>
        <v>325.14893617021278</v>
      </c>
    </row>
    <row r="69" spans="1:26">
      <c r="A69" s="15" t="s">
        <v>3</v>
      </c>
      <c r="B69" s="16" t="s">
        <v>247</v>
      </c>
      <c r="C69" s="17" t="s">
        <v>18</v>
      </c>
      <c r="D69" s="17" t="s">
        <v>21</v>
      </c>
      <c r="E69" s="15" t="s">
        <v>167</v>
      </c>
      <c r="F69" s="17" t="s">
        <v>22</v>
      </c>
      <c r="G69" s="17" t="s">
        <v>242</v>
      </c>
      <c r="H69" s="15">
        <v>4000</v>
      </c>
      <c r="I69" s="18">
        <v>854470000000</v>
      </c>
      <c r="J69" s="15" t="s">
        <v>353</v>
      </c>
      <c r="K69" s="36">
        <v>308</v>
      </c>
      <c r="L69" s="59">
        <v>316</v>
      </c>
      <c r="M69" s="36"/>
      <c r="N69" s="37">
        <v>308</v>
      </c>
      <c r="O69" s="37">
        <v>280</v>
      </c>
      <c r="Q69" s="29">
        <f t="shared" si="16"/>
        <v>308</v>
      </c>
      <c r="R69" s="30">
        <f t="shared" si="17"/>
        <v>348.03999999999996</v>
      </c>
      <c r="S69" s="126" t="s">
        <v>425</v>
      </c>
      <c r="U69" s="114">
        <v>341</v>
      </c>
      <c r="V69" s="30">
        <f t="shared" si="18"/>
        <v>385.33</v>
      </c>
      <c r="W69" s="126" t="s">
        <v>425</v>
      </c>
      <c r="X69" s="25">
        <f t="shared" si="3"/>
        <v>0.10714285714285714</v>
      </c>
      <c r="Y69" s="114">
        <f t="shared" si="4"/>
        <v>362.76595744680856</v>
      </c>
      <c r="Z69" s="114">
        <f t="shared" si="5"/>
        <v>391.78723404255328</v>
      </c>
    </row>
    <row r="70" spans="1:26">
      <c r="A70" s="15" t="s">
        <v>3</v>
      </c>
      <c r="B70" s="16" t="s">
        <v>247</v>
      </c>
      <c r="C70" s="17" t="s">
        <v>18</v>
      </c>
      <c r="D70" s="17" t="s">
        <v>23</v>
      </c>
      <c r="E70" s="15" t="s">
        <v>167</v>
      </c>
      <c r="F70" s="17" t="s">
        <v>24</v>
      </c>
      <c r="G70" s="17" t="s">
        <v>242</v>
      </c>
      <c r="H70" s="15">
        <v>4000</v>
      </c>
      <c r="I70" s="18">
        <v>854470000000</v>
      </c>
      <c r="J70" s="15" t="s">
        <v>353</v>
      </c>
      <c r="K70" s="36">
        <v>406</v>
      </c>
      <c r="L70" s="59">
        <v>413</v>
      </c>
      <c r="M70" s="36"/>
      <c r="N70" s="37">
        <v>396</v>
      </c>
      <c r="O70" s="37">
        <v>360</v>
      </c>
      <c r="Q70" s="29">
        <f t="shared" si="16"/>
        <v>396</v>
      </c>
      <c r="R70" s="30">
        <f t="shared" si="17"/>
        <v>447.47999999999996</v>
      </c>
      <c r="S70" s="126" t="s">
        <v>425</v>
      </c>
      <c r="U70" s="114">
        <v>457</v>
      </c>
      <c r="V70" s="30">
        <f t="shared" si="18"/>
        <v>516.41</v>
      </c>
      <c r="W70" s="126" t="s">
        <v>425</v>
      </c>
      <c r="X70" s="25">
        <f t="shared" ref="X70:X133" si="19">(U70-Q70)/Q70</f>
        <v>0.15404040404040403</v>
      </c>
      <c r="Y70" s="114">
        <f t="shared" ref="Y70:Y133" si="20">+U70/0.94</f>
        <v>486.1702127659575</v>
      </c>
      <c r="Z70" s="114">
        <f t="shared" ref="Z70:Z133" si="21">(Y70*Z$3)</f>
        <v>525.06382978723411</v>
      </c>
    </row>
    <row r="71" spans="1:26">
      <c r="A71" s="15" t="s">
        <v>3</v>
      </c>
      <c r="B71" s="16" t="s">
        <v>247</v>
      </c>
      <c r="C71" s="17" t="s">
        <v>18</v>
      </c>
      <c r="D71" s="17" t="s">
        <v>25</v>
      </c>
      <c r="E71" s="15" t="s">
        <v>167</v>
      </c>
      <c r="F71" s="17" t="s">
        <v>26</v>
      </c>
      <c r="G71" s="17" t="s">
        <v>242</v>
      </c>
      <c r="H71" s="15">
        <v>4000</v>
      </c>
      <c r="I71" s="18">
        <v>854470000000</v>
      </c>
      <c r="J71" s="15" t="s">
        <v>353</v>
      </c>
      <c r="K71" s="36">
        <v>697</v>
      </c>
      <c r="L71" s="59">
        <v>710</v>
      </c>
      <c r="M71" s="36"/>
      <c r="N71" s="37">
        <v>677</v>
      </c>
      <c r="O71" s="37">
        <v>600</v>
      </c>
      <c r="Q71" s="29">
        <f t="shared" si="16"/>
        <v>677</v>
      </c>
      <c r="R71" s="30">
        <f t="shared" si="17"/>
        <v>765.00999999999988</v>
      </c>
      <c r="S71" s="126" t="s">
        <v>425</v>
      </c>
      <c r="U71" s="114">
        <v>786</v>
      </c>
      <c r="V71" s="30">
        <f t="shared" si="18"/>
        <v>888.18</v>
      </c>
      <c r="W71" s="126" t="s">
        <v>425</v>
      </c>
      <c r="X71" s="25">
        <f t="shared" si="19"/>
        <v>0.16100443131462333</v>
      </c>
      <c r="Y71" s="114">
        <f t="shared" si="20"/>
        <v>836.17021276595744</v>
      </c>
      <c r="Z71" s="114">
        <f t="shared" si="21"/>
        <v>903.06382978723411</v>
      </c>
    </row>
    <row r="72" spans="1:26">
      <c r="A72" s="15" t="s">
        <v>89</v>
      </c>
      <c r="B72" s="16" t="s">
        <v>247</v>
      </c>
      <c r="C72" s="17" t="s">
        <v>18</v>
      </c>
      <c r="D72" s="17" t="s">
        <v>102</v>
      </c>
      <c r="E72" s="15" t="s">
        <v>167</v>
      </c>
      <c r="F72" s="17" t="s">
        <v>103</v>
      </c>
      <c r="G72" s="17" t="s">
        <v>242</v>
      </c>
      <c r="H72" s="15">
        <v>4000</v>
      </c>
      <c r="I72" s="18">
        <v>854470000000</v>
      </c>
      <c r="J72" s="15" t="s">
        <v>353</v>
      </c>
      <c r="K72" s="36">
        <v>143</v>
      </c>
      <c r="L72" s="59">
        <v>150</v>
      </c>
      <c r="M72" s="36"/>
      <c r="N72" s="60">
        <v>178</v>
      </c>
      <c r="O72" s="60">
        <v>0</v>
      </c>
      <c r="Q72" s="61">
        <f t="shared" si="16"/>
        <v>178</v>
      </c>
      <c r="R72" s="62">
        <f t="shared" si="17"/>
        <v>201.14</v>
      </c>
      <c r="S72" s="126" t="s">
        <v>428</v>
      </c>
      <c r="U72" s="117">
        <v>196</v>
      </c>
      <c r="V72" s="62">
        <f t="shared" si="18"/>
        <v>221.48</v>
      </c>
      <c r="W72" s="126" t="s">
        <v>428</v>
      </c>
      <c r="X72" s="25">
        <f t="shared" si="19"/>
        <v>0.10112359550561797</v>
      </c>
      <c r="Y72" s="114">
        <f t="shared" si="20"/>
        <v>208.51063829787236</v>
      </c>
      <c r="Z72" s="114">
        <f t="shared" si="21"/>
        <v>225.19148936170217</v>
      </c>
    </row>
    <row r="73" spans="1:26">
      <c r="A73" s="15" t="s">
        <v>89</v>
      </c>
      <c r="B73" s="16" t="s">
        <v>247</v>
      </c>
      <c r="C73" s="17" t="s">
        <v>18</v>
      </c>
      <c r="D73" s="17" t="s">
        <v>104</v>
      </c>
      <c r="E73" s="15" t="s">
        <v>167</v>
      </c>
      <c r="F73" s="17" t="s">
        <v>105</v>
      </c>
      <c r="G73" s="17" t="s">
        <v>242</v>
      </c>
      <c r="H73" s="15">
        <v>4000</v>
      </c>
      <c r="I73" s="18">
        <v>854470000000</v>
      </c>
      <c r="J73" s="15" t="s">
        <v>353</v>
      </c>
      <c r="K73" s="36">
        <v>154</v>
      </c>
      <c r="L73" s="59">
        <v>158</v>
      </c>
      <c r="M73" s="36"/>
      <c r="N73" s="60">
        <v>194</v>
      </c>
      <c r="O73" s="60">
        <v>0</v>
      </c>
      <c r="Q73" s="61">
        <f t="shared" si="16"/>
        <v>194</v>
      </c>
      <c r="R73" s="62">
        <f t="shared" si="17"/>
        <v>219.21999999999997</v>
      </c>
      <c r="S73" s="126" t="s">
        <v>428</v>
      </c>
      <c r="U73" s="117">
        <v>220</v>
      </c>
      <c r="V73" s="62">
        <f t="shared" si="18"/>
        <v>248.59999999999997</v>
      </c>
      <c r="W73" s="126" t="s">
        <v>428</v>
      </c>
      <c r="X73" s="25">
        <f t="shared" si="19"/>
        <v>0.13402061855670103</v>
      </c>
      <c r="Y73" s="114">
        <f t="shared" si="20"/>
        <v>234.04255319148936</v>
      </c>
      <c r="Z73" s="114">
        <f t="shared" si="21"/>
        <v>252.76595744680853</v>
      </c>
    </row>
    <row r="74" spans="1:26">
      <c r="A74" s="15" t="s">
        <v>89</v>
      </c>
      <c r="B74" s="16" t="s">
        <v>247</v>
      </c>
      <c r="C74" s="17" t="s">
        <v>18</v>
      </c>
      <c r="D74" s="17" t="s">
        <v>106</v>
      </c>
      <c r="E74" s="15" t="s">
        <v>167</v>
      </c>
      <c r="F74" s="17" t="s">
        <v>107</v>
      </c>
      <c r="G74" s="17" t="s">
        <v>242</v>
      </c>
      <c r="H74" s="15">
        <v>4000</v>
      </c>
      <c r="I74" s="18">
        <v>854470000000</v>
      </c>
      <c r="J74" s="15" t="s">
        <v>353</v>
      </c>
      <c r="K74" s="36">
        <v>165</v>
      </c>
      <c r="L74" s="59">
        <v>175</v>
      </c>
      <c r="M74" s="36"/>
      <c r="N74" s="60">
        <v>230</v>
      </c>
      <c r="O74" s="60">
        <v>0</v>
      </c>
      <c r="Q74" s="61">
        <f t="shared" si="16"/>
        <v>230</v>
      </c>
      <c r="R74" s="62">
        <f t="shared" si="17"/>
        <v>259.89999999999998</v>
      </c>
      <c r="S74" s="126" t="s">
        <v>428</v>
      </c>
      <c r="U74" s="117">
        <v>270</v>
      </c>
      <c r="V74" s="62">
        <f t="shared" si="18"/>
        <v>305.09999999999997</v>
      </c>
      <c r="W74" s="126" t="s">
        <v>428</v>
      </c>
      <c r="X74" s="25">
        <f t="shared" si="19"/>
        <v>0.17391304347826086</v>
      </c>
      <c r="Y74" s="114">
        <f t="shared" si="20"/>
        <v>287.2340425531915</v>
      </c>
      <c r="Z74" s="114">
        <f t="shared" si="21"/>
        <v>310.21276595744683</v>
      </c>
    </row>
    <row r="75" spans="1:26">
      <c r="A75" s="15" t="s">
        <v>89</v>
      </c>
      <c r="B75" s="16" t="s">
        <v>247</v>
      </c>
      <c r="C75" s="17" t="s">
        <v>18</v>
      </c>
      <c r="D75" s="17" t="s">
        <v>108</v>
      </c>
      <c r="E75" s="15" t="s">
        <v>167</v>
      </c>
      <c r="F75" s="17" t="s">
        <v>109</v>
      </c>
      <c r="G75" s="17" t="s">
        <v>242</v>
      </c>
      <c r="H75" s="15">
        <v>4000</v>
      </c>
      <c r="I75" s="18">
        <v>854470000000</v>
      </c>
      <c r="J75" s="15" t="s">
        <v>353</v>
      </c>
      <c r="K75" s="36">
        <v>224</v>
      </c>
      <c r="L75" s="59">
        <v>230</v>
      </c>
      <c r="M75" s="36"/>
      <c r="N75" s="60">
        <v>345</v>
      </c>
      <c r="O75" s="60">
        <v>0</v>
      </c>
      <c r="Q75" s="61">
        <f t="shared" si="16"/>
        <v>345</v>
      </c>
      <c r="R75" s="62">
        <f t="shared" si="17"/>
        <v>389.84999999999997</v>
      </c>
      <c r="S75" s="126" t="s">
        <v>428</v>
      </c>
      <c r="U75" s="117">
        <v>422</v>
      </c>
      <c r="V75" s="62">
        <f t="shared" si="18"/>
        <v>476.85999999999996</v>
      </c>
      <c r="W75" s="126" t="s">
        <v>428</v>
      </c>
      <c r="X75" s="25">
        <f t="shared" si="19"/>
        <v>0.22318840579710145</v>
      </c>
      <c r="Y75" s="114">
        <f t="shared" si="20"/>
        <v>448.936170212766</v>
      </c>
      <c r="Z75" s="114">
        <f t="shared" si="21"/>
        <v>484.85106382978734</v>
      </c>
    </row>
    <row r="76" spans="1:26">
      <c r="A76" s="79" t="s">
        <v>3</v>
      </c>
      <c r="B76" s="80" t="s">
        <v>136</v>
      </c>
      <c r="C76" s="81" t="s">
        <v>4</v>
      </c>
      <c r="D76" s="81" t="s">
        <v>432</v>
      </c>
      <c r="E76" s="79" t="s">
        <v>168</v>
      </c>
      <c r="F76" s="81" t="s">
        <v>433</v>
      </c>
      <c r="G76" s="81" t="s">
        <v>242</v>
      </c>
      <c r="H76" s="79">
        <v>4000</v>
      </c>
      <c r="I76" s="82">
        <v>854470000000</v>
      </c>
      <c r="J76" s="79" t="s">
        <v>353</v>
      </c>
      <c r="K76" s="36"/>
      <c r="L76" s="59"/>
      <c r="M76" s="36"/>
      <c r="N76" s="37">
        <v>260</v>
      </c>
      <c r="O76" s="60">
        <v>0</v>
      </c>
      <c r="Q76" s="29">
        <f t="shared" si="16"/>
        <v>260</v>
      </c>
      <c r="R76" s="30">
        <f t="shared" si="17"/>
        <v>293.79999999999995</v>
      </c>
      <c r="S76" s="126" t="s">
        <v>425</v>
      </c>
      <c r="U76" s="114">
        <v>255</v>
      </c>
      <c r="V76" s="30">
        <f t="shared" si="18"/>
        <v>288.14999999999998</v>
      </c>
      <c r="W76" s="126" t="s">
        <v>425</v>
      </c>
      <c r="X76" s="25">
        <f t="shared" si="19"/>
        <v>-1.9230769230769232E-2</v>
      </c>
      <c r="Y76" s="114">
        <f t="shared" si="20"/>
        <v>271.27659574468089</v>
      </c>
      <c r="Z76" s="114">
        <f t="shared" si="21"/>
        <v>292.97872340425539</v>
      </c>
    </row>
    <row r="77" spans="1:26">
      <c r="A77" s="79" t="s">
        <v>3</v>
      </c>
      <c r="B77" s="80" t="s">
        <v>136</v>
      </c>
      <c r="C77" s="81" t="s">
        <v>4</v>
      </c>
      <c r="D77" s="81" t="s">
        <v>5</v>
      </c>
      <c r="E77" s="79" t="s">
        <v>168</v>
      </c>
      <c r="F77" s="81" t="s">
        <v>6</v>
      </c>
      <c r="G77" s="81" t="s">
        <v>242</v>
      </c>
      <c r="H77" s="79">
        <v>4000</v>
      </c>
      <c r="I77" s="82">
        <v>854470000000</v>
      </c>
      <c r="J77" s="79" t="s">
        <v>353</v>
      </c>
      <c r="K77" s="36">
        <v>300</v>
      </c>
      <c r="L77" s="59">
        <v>306</v>
      </c>
      <c r="M77" s="36"/>
      <c r="N77" s="37">
        <v>300</v>
      </c>
      <c r="O77" s="37">
        <v>273</v>
      </c>
      <c r="Q77" s="29">
        <f t="shared" si="16"/>
        <v>300</v>
      </c>
      <c r="R77" s="30">
        <f t="shared" si="17"/>
        <v>338.99999999999994</v>
      </c>
      <c r="S77" s="126" t="s">
        <v>425</v>
      </c>
      <c r="U77" s="114">
        <v>300</v>
      </c>
      <c r="V77" s="30">
        <f t="shared" si="18"/>
        <v>338.99999999999994</v>
      </c>
      <c r="W77" s="126" t="s">
        <v>425</v>
      </c>
      <c r="X77" s="25">
        <f t="shared" si="19"/>
        <v>0</v>
      </c>
      <c r="Y77" s="114">
        <f t="shared" si="20"/>
        <v>319.14893617021278</v>
      </c>
      <c r="Z77" s="114">
        <f t="shared" si="21"/>
        <v>344.68085106382983</v>
      </c>
    </row>
    <row r="78" spans="1:26">
      <c r="A78" s="79" t="s">
        <v>3</v>
      </c>
      <c r="B78" s="80" t="s">
        <v>136</v>
      </c>
      <c r="C78" s="81" t="s">
        <v>4</v>
      </c>
      <c r="D78" s="81" t="s">
        <v>7</v>
      </c>
      <c r="E78" s="79" t="s">
        <v>168</v>
      </c>
      <c r="F78" s="81" t="s">
        <v>8</v>
      </c>
      <c r="G78" s="81" t="s">
        <v>242</v>
      </c>
      <c r="H78" s="79">
        <v>4000</v>
      </c>
      <c r="I78" s="82">
        <v>854470000000</v>
      </c>
      <c r="J78" s="79" t="s">
        <v>353</v>
      </c>
      <c r="K78" s="36">
        <v>347</v>
      </c>
      <c r="L78" s="59">
        <v>356</v>
      </c>
      <c r="M78" s="36"/>
      <c r="N78" s="37">
        <v>337</v>
      </c>
      <c r="O78" s="37">
        <v>312</v>
      </c>
      <c r="Q78" s="29">
        <f t="shared" si="16"/>
        <v>337</v>
      </c>
      <c r="R78" s="30">
        <f t="shared" si="17"/>
        <v>380.80999999999995</v>
      </c>
      <c r="S78" s="126" t="s">
        <v>425</v>
      </c>
      <c r="U78" s="114">
        <v>350</v>
      </c>
      <c r="V78" s="30">
        <f t="shared" si="18"/>
        <v>395.49999999999994</v>
      </c>
      <c r="W78" s="126" t="s">
        <v>425</v>
      </c>
      <c r="X78" s="25">
        <f t="shared" si="19"/>
        <v>3.857566765578635E-2</v>
      </c>
      <c r="Y78" s="114">
        <f t="shared" si="20"/>
        <v>372.34042553191489</v>
      </c>
      <c r="Z78" s="114">
        <f t="shared" si="21"/>
        <v>402.12765957446811</v>
      </c>
    </row>
    <row r="79" spans="1:26">
      <c r="A79" s="79" t="s">
        <v>3</v>
      </c>
      <c r="B79" s="80" t="s">
        <v>136</v>
      </c>
      <c r="C79" s="81" t="s">
        <v>4</v>
      </c>
      <c r="D79" s="81" t="s">
        <v>9</v>
      </c>
      <c r="E79" s="79" t="s">
        <v>168</v>
      </c>
      <c r="F79" s="81" t="s">
        <v>10</v>
      </c>
      <c r="G79" s="81" t="s">
        <v>242</v>
      </c>
      <c r="H79" s="79">
        <v>4000</v>
      </c>
      <c r="I79" s="82">
        <v>854470000000</v>
      </c>
      <c r="J79" s="79" t="s">
        <v>353</v>
      </c>
      <c r="K79" s="36">
        <v>441</v>
      </c>
      <c r="L79" s="59">
        <v>457</v>
      </c>
      <c r="M79" s="36"/>
      <c r="N79" s="37">
        <v>427</v>
      </c>
      <c r="O79" s="37">
        <v>388</v>
      </c>
      <c r="Q79" s="29">
        <f t="shared" si="16"/>
        <v>427</v>
      </c>
      <c r="R79" s="30">
        <f t="shared" si="17"/>
        <v>482.50999999999993</v>
      </c>
      <c r="S79" s="126" t="s">
        <v>425</v>
      </c>
      <c r="U79" s="114">
        <v>464</v>
      </c>
      <c r="V79" s="30">
        <f t="shared" si="18"/>
        <v>524.31999999999994</v>
      </c>
      <c r="W79" s="126" t="s">
        <v>425</v>
      </c>
      <c r="X79" s="25">
        <f t="shared" si="19"/>
        <v>8.6651053864168617E-2</v>
      </c>
      <c r="Y79" s="114">
        <f t="shared" si="20"/>
        <v>493.61702127659578</v>
      </c>
      <c r="Z79" s="114">
        <f t="shared" si="21"/>
        <v>533.10638297872345</v>
      </c>
    </row>
    <row r="80" spans="1:26">
      <c r="A80" s="79" t="s">
        <v>3</v>
      </c>
      <c r="B80" s="80" t="s">
        <v>136</v>
      </c>
      <c r="C80" s="81" t="s">
        <v>4</v>
      </c>
      <c r="D80" s="81" t="s">
        <v>11</v>
      </c>
      <c r="E80" s="79" t="s">
        <v>168</v>
      </c>
      <c r="F80" s="81" t="s">
        <v>12</v>
      </c>
      <c r="G80" s="81" t="s">
        <v>242</v>
      </c>
      <c r="H80" s="79">
        <v>4000</v>
      </c>
      <c r="I80" s="82">
        <v>854470000000</v>
      </c>
      <c r="J80" s="79" t="s">
        <v>353</v>
      </c>
      <c r="K80" s="36">
        <v>744</v>
      </c>
      <c r="L80" s="59">
        <v>768</v>
      </c>
      <c r="M80" s="36"/>
      <c r="N80" s="37">
        <v>716</v>
      </c>
      <c r="O80" s="37">
        <v>655</v>
      </c>
      <c r="Q80" s="29">
        <f t="shared" si="16"/>
        <v>716</v>
      </c>
      <c r="R80" s="30">
        <f t="shared" si="17"/>
        <v>809.07999999999993</v>
      </c>
      <c r="S80" s="126" t="s">
        <v>425</v>
      </c>
      <c r="U80" s="114">
        <v>755</v>
      </c>
      <c r="V80" s="30">
        <f t="shared" si="18"/>
        <v>853.14999999999986</v>
      </c>
      <c r="W80" s="126" t="s">
        <v>425</v>
      </c>
      <c r="X80" s="25">
        <f t="shared" si="19"/>
        <v>5.4469273743016758E-2</v>
      </c>
      <c r="Y80" s="114">
        <f t="shared" si="20"/>
        <v>803.19148936170222</v>
      </c>
      <c r="Z80" s="114">
        <f t="shared" si="21"/>
        <v>867.44680851063845</v>
      </c>
    </row>
    <row r="81" spans="1:26">
      <c r="A81" s="79" t="s">
        <v>47</v>
      </c>
      <c r="B81" s="80" t="s">
        <v>136</v>
      </c>
      <c r="C81" s="81" t="s">
        <v>4</v>
      </c>
      <c r="D81" s="81" t="s">
        <v>434</v>
      </c>
      <c r="E81" s="79" t="s">
        <v>168</v>
      </c>
      <c r="F81" s="81" t="s">
        <v>435</v>
      </c>
      <c r="G81" s="81" t="s">
        <v>242</v>
      </c>
      <c r="H81" s="79">
        <v>4000</v>
      </c>
      <c r="I81" s="82">
        <v>854470000000</v>
      </c>
      <c r="J81" s="79" t="s">
        <v>353</v>
      </c>
      <c r="K81" s="36"/>
      <c r="L81" s="59"/>
      <c r="M81" s="36"/>
      <c r="N81" s="37">
        <v>388</v>
      </c>
      <c r="O81" s="37">
        <v>365</v>
      </c>
      <c r="Q81" s="61">
        <f>+O81</f>
        <v>365</v>
      </c>
      <c r="R81" s="62">
        <f t="shared" si="17"/>
        <v>412.45</v>
      </c>
      <c r="S81" s="126" t="s">
        <v>426</v>
      </c>
      <c r="U81" s="117">
        <v>380</v>
      </c>
      <c r="V81" s="30">
        <f t="shared" si="18"/>
        <v>429.4</v>
      </c>
      <c r="W81" s="126" t="s">
        <v>486</v>
      </c>
      <c r="X81" s="25">
        <f t="shared" si="19"/>
        <v>4.1095890410958902E-2</v>
      </c>
      <c r="Y81" s="114">
        <f>+U81/0.94</f>
        <v>404.25531914893617</v>
      </c>
      <c r="Z81" s="114">
        <f t="shared" si="21"/>
        <v>436.59574468085111</v>
      </c>
    </row>
    <row r="82" spans="1:26">
      <c r="A82" s="79" t="s">
        <v>47</v>
      </c>
      <c r="B82" s="80" t="s">
        <v>136</v>
      </c>
      <c r="C82" s="81" t="s">
        <v>4</v>
      </c>
      <c r="D82" s="81" t="s">
        <v>48</v>
      </c>
      <c r="E82" s="79" t="s">
        <v>168</v>
      </c>
      <c r="F82" s="81" t="s">
        <v>49</v>
      </c>
      <c r="G82" s="81" t="s">
        <v>242</v>
      </c>
      <c r="H82" s="79">
        <v>4000</v>
      </c>
      <c r="I82" s="82">
        <v>854470000000</v>
      </c>
      <c r="J82" s="79" t="s">
        <v>353</v>
      </c>
      <c r="K82" s="36">
        <v>460</v>
      </c>
      <c r="L82" s="59"/>
      <c r="M82" s="36">
        <v>425</v>
      </c>
      <c r="N82" s="37">
        <v>460</v>
      </c>
      <c r="O82" s="37">
        <v>425</v>
      </c>
      <c r="Q82" s="61">
        <f>+O82</f>
        <v>425</v>
      </c>
      <c r="R82" s="62">
        <f t="shared" si="17"/>
        <v>480.24999999999994</v>
      </c>
      <c r="S82" s="126" t="s">
        <v>426</v>
      </c>
      <c r="U82" s="117">
        <v>474</v>
      </c>
      <c r="V82" s="30">
        <f t="shared" si="18"/>
        <v>535.62</v>
      </c>
      <c r="W82" s="126" t="s">
        <v>486</v>
      </c>
      <c r="X82" s="25">
        <f t="shared" si="19"/>
        <v>0.11529411764705882</v>
      </c>
      <c r="Y82" s="114">
        <f t="shared" si="20"/>
        <v>504.25531914893622</v>
      </c>
      <c r="Z82" s="114">
        <f t="shared" si="21"/>
        <v>544.59574468085111</v>
      </c>
    </row>
    <row r="83" spans="1:26">
      <c r="A83" s="79" t="s">
        <v>47</v>
      </c>
      <c r="B83" s="80" t="s">
        <v>136</v>
      </c>
      <c r="C83" s="81" t="s">
        <v>4</v>
      </c>
      <c r="D83" s="81" t="s">
        <v>50</v>
      </c>
      <c r="E83" s="79" t="s">
        <v>168</v>
      </c>
      <c r="F83" s="81" t="s">
        <v>51</v>
      </c>
      <c r="G83" s="81" t="s">
        <v>242</v>
      </c>
      <c r="H83" s="79">
        <v>4000</v>
      </c>
      <c r="I83" s="82">
        <v>854470000000</v>
      </c>
      <c r="J83" s="79" t="s">
        <v>353</v>
      </c>
      <c r="K83" s="36">
        <v>567</v>
      </c>
      <c r="L83" s="59"/>
      <c r="M83" s="36">
        <v>525</v>
      </c>
      <c r="N83" s="37">
        <v>567</v>
      </c>
      <c r="O83" s="37">
        <v>525</v>
      </c>
      <c r="Q83" s="61">
        <f>+O83</f>
        <v>525</v>
      </c>
      <c r="R83" s="62">
        <f t="shared" si="17"/>
        <v>593.25</v>
      </c>
      <c r="S83" s="126" t="s">
        <v>426</v>
      </c>
      <c r="U83" s="117">
        <v>580</v>
      </c>
      <c r="V83" s="62">
        <f t="shared" si="18"/>
        <v>655.4</v>
      </c>
      <c r="W83" s="126" t="s">
        <v>486</v>
      </c>
      <c r="X83" s="25">
        <f t="shared" si="19"/>
        <v>0.10476190476190476</v>
      </c>
      <c r="Y83" s="114">
        <f t="shared" si="20"/>
        <v>617.02127659574467</v>
      </c>
      <c r="Z83" s="114">
        <f t="shared" si="21"/>
        <v>666.38297872340434</v>
      </c>
    </row>
    <row r="84" spans="1:26">
      <c r="A84" s="79" t="s">
        <v>47</v>
      </c>
      <c r="B84" s="80" t="s">
        <v>136</v>
      </c>
      <c r="C84" s="81" t="s">
        <v>4</v>
      </c>
      <c r="D84" s="81" t="s">
        <v>52</v>
      </c>
      <c r="E84" s="79" t="s">
        <v>168</v>
      </c>
      <c r="F84" s="81" t="s">
        <v>53</v>
      </c>
      <c r="G84" s="81" t="s">
        <v>242</v>
      </c>
      <c r="H84" s="79">
        <v>4000</v>
      </c>
      <c r="I84" s="82">
        <v>854470000000</v>
      </c>
      <c r="J84" s="79" t="s">
        <v>353</v>
      </c>
      <c r="K84" s="36">
        <v>780</v>
      </c>
      <c r="L84" s="59"/>
      <c r="M84" s="36">
        <v>717</v>
      </c>
      <c r="N84" s="37">
        <v>780</v>
      </c>
      <c r="O84" s="37">
        <v>717</v>
      </c>
      <c r="Q84" s="61">
        <f>+O84</f>
        <v>717</v>
      </c>
      <c r="R84" s="62">
        <f t="shared" si="17"/>
        <v>810.20999999999992</v>
      </c>
      <c r="S84" s="126" t="s">
        <v>426</v>
      </c>
      <c r="U84" s="117">
        <v>790</v>
      </c>
      <c r="V84" s="62">
        <f t="shared" si="18"/>
        <v>892.69999999999993</v>
      </c>
      <c r="W84" s="126" t="s">
        <v>486</v>
      </c>
      <c r="X84" s="25">
        <f t="shared" si="19"/>
        <v>0.10181311018131102</v>
      </c>
      <c r="Y84" s="114">
        <f t="shared" si="20"/>
        <v>840.42553191489367</v>
      </c>
      <c r="Z84" s="114">
        <f t="shared" si="21"/>
        <v>907.65957446808522</v>
      </c>
    </row>
    <row r="85" spans="1:26">
      <c r="A85" s="79" t="s">
        <v>47</v>
      </c>
      <c r="B85" s="80" t="s">
        <v>136</v>
      </c>
      <c r="C85" s="81" t="s">
        <v>4</v>
      </c>
      <c r="D85" s="81" t="s">
        <v>54</v>
      </c>
      <c r="E85" s="79" t="s">
        <v>168</v>
      </c>
      <c r="F85" s="81" t="s">
        <v>55</v>
      </c>
      <c r="G85" s="81" t="s">
        <v>242</v>
      </c>
      <c r="H85" s="79">
        <v>4000</v>
      </c>
      <c r="I85" s="82">
        <v>854470000000</v>
      </c>
      <c r="J85" s="79" t="s">
        <v>353</v>
      </c>
      <c r="K85" s="36">
        <v>1510</v>
      </c>
      <c r="L85" s="59"/>
      <c r="M85" s="36">
        <v>1410</v>
      </c>
      <c r="N85" s="37">
        <v>1510</v>
      </c>
      <c r="O85" s="37">
        <v>1410</v>
      </c>
      <c r="Q85" s="61">
        <f>+O85</f>
        <v>1410</v>
      </c>
      <c r="R85" s="62">
        <f t="shared" si="17"/>
        <v>1593.3</v>
      </c>
      <c r="S85" s="126" t="s">
        <v>426</v>
      </c>
      <c r="U85" s="117">
        <v>1520</v>
      </c>
      <c r="V85" s="62">
        <f t="shared" si="18"/>
        <v>1717.6</v>
      </c>
      <c r="W85" s="126" t="s">
        <v>486</v>
      </c>
      <c r="X85" s="25">
        <f t="shared" si="19"/>
        <v>7.8014184397163122E-2</v>
      </c>
      <c r="Y85" s="114">
        <f t="shared" si="20"/>
        <v>1617.0212765957447</v>
      </c>
      <c r="Z85" s="114">
        <f t="shared" si="21"/>
        <v>1746.3829787234044</v>
      </c>
    </row>
    <row r="86" spans="1:26">
      <c r="A86" s="79" t="s">
        <v>76</v>
      </c>
      <c r="B86" s="80" t="s">
        <v>136</v>
      </c>
      <c r="C86" s="81" t="s">
        <v>4</v>
      </c>
      <c r="D86" s="81" t="s">
        <v>77</v>
      </c>
      <c r="E86" s="79" t="s">
        <v>168</v>
      </c>
      <c r="F86" s="81" t="s">
        <v>78</v>
      </c>
      <c r="G86" s="81" t="s">
        <v>242</v>
      </c>
      <c r="H86" s="79">
        <v>4000</v>
      </c>
      <c r="I86" s="82">
        <v>854470000000</v>
      </c>
      <c r="J86" s="79" t="s">
        <v>353</v>
      </c>
      <c r="K86" s="36">
        <v>866</v>
      </c>
      <c r="L86" s="59">
        <v>890</v>
      </c>
      <c r="M86" s="36"/>
      <c r="N86" s="60">
        <v>800</v>
      </c>
      <c r="O86" s="60">
        <v>0</v>
      </c>
      <c r="Q86" s="61">
        <f t="shared" ref="Q86:Q97" si="22">+N86</f>
        <v>800</v>
      </c>
      <c r="R86" s="62">
        <f t="shared" si="17"/>
        <v>903.99999999999989</v>
      </c>
      <c r="S86" s="126" t="s">
        <v>427</v>
      </c>
      <c r="U86" s="117">
        <v>810</v>
      </c>
      <c r="V86" s="62">
        <f t="shared" si="18"/>
        <v>915.3</v>
      </c>
      <c r="W86" s="126" t="s">
        <v>427</v>
      </c>
      <c r="X86" s="25">
        <f t="shared" si="19"/>
        <v>1.2500000000000001E-2</v>
      </c>
      <c r="Y86" s="114">
        <f t="shared" si="20"/>
        <v>861.70212765957456</v>
      </c>
      <c r="Z86" s="114">
        <f t="shared" si="21"/>
        <v>930.63829787234056</v>
      </c>
    </row>
    <row r="87" spans="1:26">
      <c r="A87" s="79" t="s">
        <v>76</v>
      </c>
      <c r="B87" s="80" t="s">
        <v>136</v>
      </c>
      <c r="C87" s="81" t="s">
        <v>4</v>
      </c>
      <c r="D87" s="81" t="s">
        <v>79</v>
      </c>
      <c r="E87" s="79" t="s">
        <v>168</v>
      </c>
      <c r="F87" s="81" t="s">
        <v>80</v>
      </c>
      <c r="G87" s="81" t="s">
        <v>242</v>
      </c>
      <c r="H87" s="79">
        <v>4000</v>
      </c>
      <c r="I87" s="82">
        <v>854470000000</v>
      </c>
      <c r="J87" s="79" t="s">
        <v>353</v>
      </c>
      <c r="K87" s="36">
        <v>1134</v>
      </c>
      <c r="L87" s="59">
        <v>1158</v>
      </c>
      <c r="M87" s="36"/>
      <c r="N87" s="60">
        <v>1010</v>
      </c>
      <c r="O87" s="60">
        <v>0</v>
      </c>
      <c r="Q87" s="61">
        <f t="shared" si="22"/>
        <v>1010</v>
      </c>
      <c r="R87" s="62">
        <f t="shared" si="17"/>
        <v>1141.3</v>
      </c>
      <c r="S87" s="126" t="s">
        <v>427</v>
      </c>
      <c r="U87" s="117">
        <v>1030</v>
      </c>
      <c r="V87" s="62">
        <f t="shared" si="18"/>
        <v>1163.8999999999999</v>
      </c>
      <c r="W87" s="126" t="s">
        <v>427</v>
      </c>
      <c r="X87" s="25">
        <f t="shared" si="19"/>
        <v>1.9801980198019802E-2</v>
      </c>
      <c r="Y87" s="114">
        <f t="shared" si="20"/>
        <v>1095.744680851064</v>
      </c>
      <c r="Z87" s="114">
        <f t="shared" si="21"/>
        <v>1183.4042553191491</v>
      </c>
    </row>
    <row r="88" spans="1:26">
      <c r="A88" s="79" t="s">
        <v>76</v>
      </c>
      <c r="B88" s="80" t="s">
        <v>136</v>
      </c>
      <c r="C88" s="81" t="s">
        <v>4</v>
      </c>
      <c r="D88" s="81" t="s">
        <v>81</v>
      </c>
      <c r="E88" s="79" t="s">
        <v>168</v>
      </c>
      <c r="F88" s="81" t="s">
        <v>82</v>
      </c>
      <c r="G88" s="81" t="s">
        <v>242</v>
      </c>
      <c r="H88" s="79">
        <v>4000</v>
      </c>
      <c r="I88" s="82">
        <v>854470000000</v>
      </c>
      <c r="J88" s="79" t="s">
        <v>353</v>
      </c>
      <c r="K88" s="36">
        <v>1660</v>
      </c>
      <c r="L88" s="59">
        <v>1678</v>
      </c>
      <c r="M88" s="36"/>
      <c r="N88" s="60">
        <v>1450</v>
      </c>
      <c r="O88" s="60">
        <v>0</v>
      </c>
      <c r="Q88" s="61">
        <f t="shared" si="22"/>
        <v>1450</v>
      </c>
      <c r="R88" s="62">
        <f t="shared" si="17"/>
        <v>1638.4999999999998</v>
      </c>
      <c r="S88" s="126" t="s">
        <v>427</v>
      </c>
      <c r="U88" s="117">
        <v>1500</v>
      </c>
      <c r="V88" s="62">
        <f t="shared" si="18"/>
        <v>1694.9999999999998</v>
      </c>
      <c r="W88" s="126" t="s">
        <v>427</v>
      </c>
      <c r="X88" s="25">
        <f t="shared" si="19"/>
        <v>3.4482758620689655E-2</v>
      </c>
      <c r="Y88" s="114">
        <f t="shared" si="20"/>
        <v>1595.744680851064</v>
      </c>
      <c r="Z88" s="114">
        <f t="shared" si="21"/>
        <v>1723.4042553191493</v>
      </c>
    </row>
    <row r="89" spans="1:26">
      <c r="A89" s="79" t="s">
        <v>76</v>
      </c>
      <c r="B89" s="80" t="s">
        <v>136</v>
      </c>
      <c r="C89" s="81" t="s">
        <v>4</v>
      </c>
      <c r="D89" s="81" t="s">
        <v>83</v>
      </c>
      <c r="E89" s="79" t="s">
        <v>168</v>
      </c>
      <c r="F89" s="81" t="s">
        <v>84</v>
      </c>
      <c r="G89" s="81" t="s">
        <v>242</v>
      </c>
      <c r="H89" s="79">
        <v>4000</v>
      </c>
      <c r="I89" s="82">
        <v>854470000000</v>
      </c>
      <c r="J89" s="79" t="s">
        <v>353</v>
      </c>
      <c r="K89" s="36">
        <v>3130</v>
      </c>
      <c r="L89" s="59">
        <v>3150</v>
      </c>
      <c r="M89" s="36"/>
      <c r="N89" s="60">
        <v>2750</v>
      </c>
      <c r="O89" s="60">
        <v>0</v>
      </c>
      <c r="Q89" s="61">
        <f t="shared" si="22"/>
        <v>2750</v>
      </c>
      <c r="R89" s="62">
        <f t="shared" si="17"/>
        <v>3107.4999999999995</v>
      </c>
      <c r="S89" s="126" t="s">
        <v>427</v>
      </c>
      <c r="U89" s="117">
        <v>2880</v>
      </c>
      <c r="V89" s="62">
        <f t="shared" si="18"/>
        <v>3254.3999999999996</v>
      </c>
      <c r="W89" s="126" t="s">
        <v>427</v>
      </c>
      <c r="X89" s="25">
        <f t="shared" si="19"/>
        <v>4.7272727272727272E-2</v>
      </c>
      <c r="Y89" s="114">
        <f t="shared" si="20"/>
        <v>3063.8297872340427</v>
      </c>
      <c r="Z89" s="114">
        <f t="shared" si="21"/>
        <v>3308.9361702127662</v>
      </c>
    </row>
    <row r="90" spans="1:26">
      <c r="A90" s="79" t="s">
        <v>89</v>
      </c>
      <c r="B90" s="80" t="s">
        <v>136</v>
      </c>
      <c r="C90" s="81" t="s">
        <v>4</v>
      </c>
      <c r="D90" s="81" t="s">
        <v>90</v>
      </c>
      <c r="E90" s="79" t="s">
        <v>168</v>
      </c>
      <c r="F90" s="81" t="s">
        <v>91</v>
      </c>
      <c r="G90" s="81" t="s">
        <v>242</v>
      </c>
      <c r="H90" s="79">
        <v>4000</v>
      </c>
      <c r="I90" s="82">
        <v>854470000000</v>
      </c>
      <c r="J90" s="79" t="s">
        <v>353</v>
      </c>
      <c r="K90" s="36">
        <v>170</v>
      </c>
      <c r="L90" s="59">
        <v>178</v>
      </c>
      <c r="M90" s="36"/>
      <c r="N90" s="60">
        <v>205</v>
      </c>
      <c r="O90" s="60">
        <v>0</v>
      </c>
      <c r="Q90" s="61">
        <f t="shared" si="22"/>
        <v>205</v>
      </c>
      <c r="R90" s="62">
        <f t="shared" ref="R90:R121" si="23">+Q90*R$4</f>
        <v>231.64999999999998</v>
      </c>
      <c r="S90" s="126" t="s">
        <v>428</v>
      </c>
      <c r="U90" s="117">
        <v>210</v>
      </c>
      <c r="V90" s="62">
        <f t="shared" si="18"/>
        <v>237.29999999999998</v>
      </c>
      <c r="W90" s="126" t="s">
        <v>428</v>
      </c>
      <c r="X90" s="25">
        <f t="shared" si="19"/>
        <v>2.4390243902439025E-2</v>
      </c>
      <c r="Y90" s="114">
        <f t="shared" si="20"/>
        <v>223.40425531914894</v>
      </c>
      <c r="Z90" s="114">
        <f t="shared" si="21"/>
        <v>241.27659574468089</v>
      </c>
    </row>
    <row r="91" spans="1:26">
      <c r="A91" s="79" t="s">
        <v>89</v>
      </c>
      <c r="B91" s="80" t="s">
        <v>136</v>
      </c>
      <c r="C91" s="81" t="s">
        <v>4</v>
      </c>
      <c r="D91" s="81" t="s">
        <v>92</v>
      </c>
      <c r="E91" s="79" t="s">
        <v>168</v>
      </c>
      <c r="F91" s="81" t="s">
        <v>93</v>
      </c>
      <c r="G91" s="81" t="s">
        <v>242</v>
      </c>
      <c r="H91" s="79">
        <v>4000</v>
      </c>
      <c r="I91" s="82">
        <v>854470000000</v>
      </c>
      <c r="J91" s="79" t="s">
        <v>353</v>
      </c>
      <c r="K91" s="36">
        <v>178</v>
      </c>
      <c r="L91" s="59">
        <v>185</v>
      </c>
      <c r="M91" s="36"/>
      <c r="N91" s="60">
        <v>220</v>
      </c>
      <c r="O91" s="60">
        <v>0</v>
      </c>
      <c r="Q91" s="61">
        <f t="shared" si="22"/>
        <v>220</v>
      </c>
      <c r="R91" s="62">
        <f t="shared" si="23"/>
        <v>248.59999999999997</v>
      </c>
      <c r="S91" s="126" t="s">
        <v>428</v>
      </c>
      <c r="U91" s="117">
        <v>230</v>
      </c>
      <c r="V91" s="62">
        <f t="shared" si="18"/>
        <v>259.89999999999998</v>
      </c>
      <c r="W91" s="126" t="s">
        <v>428</v>
      </c>
      <c r="X91" s="25">
        <f t="shared" si="19"/>
        <v>4.5454545454545456E-2</v>
      </c>
      <c r="Y91" s="114">
        <f t="shared" si="20"/>
        <v>244.68085106382981</v>
      </c>
      <c r="Z91" s="114">
        <f t="shared" si="21"/>
        <v>264.25531914893622</v>
      </c>
    </row>
    <row r="92" spans="1:26">
      <c r="A92" s="79" t="s">
        <v>89</v>
      </c>
      <c r="B92" s="80" t="s">
        <v>136</v>
      </c>
      <c r="C92" s="81" t="s">
        <v>4</v>
      </c>
      <c r="D92" s="81" t="s">
        <v>94</v>
      </c>
      <c r="E92" s="79" t="s">
        <v>168</v>
      </c>
      <c r="F92" s="81" t="s">
        <v>95</v>
      </c>
      <c r="G92" s="81" t="s">
        <v>242</v>
      </c>
      <c r="H92" s="79">
        <v>4000</v>
      </c>
      <c r="I92" s="82">
        <v>854470000000</v>
      </c>
      <c r="J92" s="79" t="s">
        <v>353</v>
      </c>
      <c r="K92" s="36">
        <v>190</v>
      </c>
      <c r="L92" s="59">
        <v>200</v>
      </c>
      <c r="M92" s="36"/>
      <c r="N92" s="60">
        <v>250</v>
      </c>
      <c r="O92" s="60">
        <v>0</v>
      </c>
      <c r="Q92" s="61">
        <f t="shared" si="22"/>
        <v>250</v>
      </c>
      <c r="R92" s="62">
        <f t="shared" si="23"/>
        <v>282.5</v>
      </c>
      <c r="S92" s="126" t="s">
        <v>428</v>
      </c>
      <c r="U92" s="117">
        <v>280</v>
      </c>
      <c r="V92" s="62">
        <f t="shared" si="18"/>
        <v>316.39999999999998</v>
      </c>
      <c r="W92" s="126" t="s">
        <v>428</v>
      </c>
      <c r="X92" s="25">
        <f t="shared" si="19"/>
        <v>0.12</v>
      </c>
      <c r="Y92" s="114">
        <f t="shared" si="20"/>
        <v>297.87234042553195</v>
      </c>
      <c r="Z92" s="114">
        <f t="shared" si="21"/>
        <v>321.7021276595745</v>
      </c>
    </row>
    <row r="93" spans="1:26">
      <c r="A93" s="79" t="s">
        <v>89</v>
      </c>
      <c r="B93" s="80" t="s">
        <v>136</v>
      </c>
      <c r="C93" s="81" t="s">
        <v>4</v>
      </c>
      <c r="D93" s="81" t="s">
        <v>96</v>
      </c>
      <c r="E93" s="79" t="s">
        <v>168</v>
      </c>
      <c r="F93" s="81" t="s">
        <v>97</v>
      </c>
      <c r="G93" s="81" t="s">
        <v>242</v>
      </c>
      <c r="H93" s="79">
        <v>4000</v>
      </c>
      <c r="I93" s="82">
        <v>854470000000</v>
      </c>
      <c r="J93" s="79" t="s">
        <v>353</v>
      </c>
      <c r="K93" s="36">
        <v>245</v>
      </c>
      <c r="L93" s="59">
        <v>254</v>
      </c>
      <c r="M93" s="36"/>
      <c r="N93" s="60">
        <v>360</v>
      </c>
      <c r="O93" s="60">
        <v>0</v>
      </c>
      <c r="Q93" s="61">
        <f t="shared" si="22"/>
        <v>360</v>
      </c>
      <c r="R93" s="62">
        <f t="shared" si="23"/>
        <v>406.79999999999995</v>
      </c>
      <c r="S93" s="126" t="s">
        <v>428</v>
      </c>
      <c r="U93" s="117">
        <v>440</v>
      </c>
      <c r="V93" s="62">
        <f t="shared" si="18"/>
        <v>497.19999999999993</v>
      </c>
      <c r="W93" s="126" t="s">
        <v>428</v>
      </c>
      <c r="X93" s="25">
        <f t="shared" si="19"/>
        <v>0.22222222222222221</v>
      </c>
      <c r="Y93" s="114">
        <f t="shared" si="20"/>
        <v>468.08510638297872</v>
      </c>
      <c r="Z93" s="114">
        <f t="shared" si="21"/>
        <v>505.53191489361706</v>
      </c>
    </row>
    <row r="94" spans="1:26">
      <c r="A94" s="15" t="s">
        <v>3</v>
      </c>
      <c r="B94" s="16" t="s">
        <v>136</v>
      </c>
      <c r="C94" s="17" t="s">
        <v>4</v>
      </c>
      <c r="D94" s="17" t="s">
        <v>253</v>
      </c>
      <c r="E94" s="15" t="s">
        <v>240</v>
      </c>
      <c r="F94" s="17" t="s">
        <v>254</v>
      </c>
      <c r="G94" s="17" t="s">
        <v>242</v>
      </c>
      <c r="H94" s="15">
        <v>4000</v>
      </c>
      <c r="I94" s="18">
        <v>854470000000</v>
      </c>
      <c r="J94" s="15" t="s">
        <v>353</v>
      </c>
      <c r="K94" s="36">
        <v>318</v>
      </c>
      <c r="L94" s="59">
        <v>331</v>
      </c>
      <c r="M94" s="36"/>
      <c r="N94" s="37">
        <v>295</v>
      </c>
      <c r="O94" s="37">
        <v>305</v>
      </c>
      <c r="P94" s="76"/>
      <c r="Q94" s="29">
        <f t="shared" si="22"/>
        <v>295</v>
      </c>
      <c r="R94" s="30">
        <f t="shared" si="23"/>
        <v>333.34999999999997</v>
      </c>
      <c r="S94" s="126" t="s">
        <v>425</v>
      </c>
      <c r="U94" s="114">
        <v>354</v>
      </c>
      <c r="V94" s="30">
        <f t="shared" si="18"/>
        <v>400.02</v>
      </c>
      <c r="W94" s="126" t="s">
        <v>425</v>
      </c>
      <c r="X94" s="25">
        <f t="shared" si="19"/>
        <v>0.2</v>
      </c>
      <c r="Y94" s="114">
        <f t="shared" si="20"/>
        <v>376.59574468085111</v>
      </c>
      <c r="Z94" s="114">
        <f t="shared" si="21"/>
        <v>406.72340425531922</v>
      </c>
    </row>
    <row r="95" spans="1:26">
      <c r="A95" s="15" t="s">
        <v>3</v>
      </c>
      <c r="B95" s="16" t="s">
        <v>176</v>
      </c>
      <c r="C95" s="17" t="s">
        <v>4</v>
      </c>
      <c r="D95" s="17" t="s">
        <v>299</v>
      </c>
      <c r="E95" s="15" t="s">
        <v>240</v>
      </c>
      <c r="F95" s="17" t="s">
        <v>300</v>
      </c>
      <c r="G95" s="17" t="s">
        <v>242</v>
      </c>
      <c r="H95" s="15">
        <v>4000</v>
      </c>
      <c r="I95" s="18">
        <v>854470000000</v>
      </c>
      <c r="J95" s="15" t="s">
        <v>353</v>
      </c>
      <c r="K95" s="36">
        <v>395</v>
      </c>
      <c r="L95" s="59">
        <v>414.75</v>
      </c>
      <c r="M95" s="36"/>
      <c r="N95" s="37">
        <v>365</v>
      </c>
      <c r="O95" s="37">
        <v>345</v>
      </c>
      <c r="P95" s="76"/>
      <c r="Q95" s="29">
        <f t="shared" si="22"/>
        <v>365</v>
      </c>
      <c r="R95" s="30">
        <f t="shared" si="23"/>
        <v>412.45</v>
      </c>
      <c r="S95" s="126" t="s">
        <v>425</v>
      </c>
      <c r="U95" s="114">
        <v>410</v>
      </c>
      <c r="V95" s="30">
        <f t="shared" si="18"/>
        <v>463.29999999999995</v>
      </c>
      <c r="W95" s="126" t="s">
        <v>425</v>
      </c>
      <c r="X95" s="25">
        <f t="shared" si="19"/>
        <v>0.12328767123287671</v>
      </c>
      <c r="Y95" s="114">
        <f t="shared" si="20"/>
        <v>436.17021276595744</v>
      </c>
      <c r="Z95" s="114">
        <f t="shared" si="21"/>
        <v>471.06382978723406</v>
      </c>
    </row>
    <row r="96" spans="1:26">
      <c r="A96" s="15" t="s">
        <v>3</v>
      </c>
      <c r="B96" s="16" t="s">
        <v>176</v>
      </c>
      <c r="C96" s="17" t="s">
        <v>4</v>
      </c>
      <c r="D96" s="17" t="s">
        <v>177</v>
      </c>
      <c r="E96" s="15" t="s">
        <v>240</v>
      </c>
      <c r="F96" s="17" t="s">
        <v>170</v>
      </c>
      <c r="G96" s="17" t="s">
        <v>242</v>
      </c>
      <c r="H96" s="15">
        <v>4000</v>
      </c>
      <c r="I96" s="18">
        <v>854470000000</v>
      </c>
      <c r="J96" s="15" t="s">
        <v>353</v>
      </c>
      <c r="K96" s="36">
        <v>453</v>
      </c>
      <c r="L96" s="59">
        <v>465</v>
      </c>
      <c r="M96" s="36"/>
      <c r="N96" s="37">
        <v>420</v>
      </c>
      <c r="O96" s="37">
        <v>430</v>
      </c>
      <c r="P96" s="76"/>
      <c r="Q96" s="29">
        <f t="shared" si="22"/>
        <v>420</v>
      </c>
      <c r="R96" s="30">
        <f t="shared" si="23"/>
        <v>474.59999999999997</v>
      </c>
      <c r="S96" s="126" t="s">
        <v>425</v>
      </c>
      <c r="U96" s="114">
        <v>495</v>
      </c>
      <c r="V96" s="30">
        <f t="shared" si="18"/>
        <v>559.34999999999991</v>
      </c>
      <c r="W96" s="126" t="s">
        <v>425</v>
      </c>
      <c r="X96" s="25">
        <f t="shared" si="19"/>
        <v>0.17857142857142858</v>
      </c>
      <c r="Y96" s="114">
        <f t="shared" si="20"/>
        <v>526.59574468085111</v>
      </c>
      <c r="Z96" s="114">
        <f t="shared" si="21"/>
        <v>568.72340425531922</v>
      </c>
    </row>
    <row r="97" spans="1:26">
      <c r="A97" s="15" t="s">
        <v>3</v>
      </c>
      <c r="B97" s="16" t="s">
        <v>176</v>
      </c>
      <c r="C97" s="17" t="s">
        <v>4</v>
      </c>
      <c r="D97" s="17" t="s">
        <v>178</v>
      </c>
      <c r="E97" s="15" t="s">
        <v>240</v>
      </c>
      <c r="F97" s="17" t="s">
        <v>171</v>
      </c>
      <c r="G97" s="17" t="s">
        <v>242</v>
      </c>
      <c r="H97" s="15">
        <v>4000</v>
      </c>
      <c r="I97" s="18">
        <v>854470000000</v>
      </c>
      <c r="J97" s="15" t="s">
        <v>353</v>
      </c>
      <c r="K97" s="36">
        <v>801</v>
      </c>
      <c r="L97" s="59">
        <v>814</v>
      </c>
      <c r="M97" s="36"/>
      <c r="N97" s="37">
        <v>740</v>
      </c>
      <c r="O97" s="37">
        <v>705</v>
      </c>
      <c r="P97" s="76"/>
      <c r="Q97" s="29">
        <f t="shared" si="22"/>
        <v>740</v>
      </c>
      <c r="R97" s="30">
        <f t="shared" si="23"/>
        <v>836.19999999999993</v>
      </c>
      <c r="S97" s="126" t="s">
        <v>425</v>
      </c>
      <c r="U97" s="114">
        <v>880</v>
      </c>
      <c r="V97" s="30">
        <f t="shared" si="18"/>
        <v>994.39999999999986</v>
      </c>
      <c r="W97" s="126" t="s">
        <v>425</v>
      </c>
      <c r="X97" s="25">
        <f t="shared" si="19"/>
        <v>0.1891891891891892</v>
      </c>
      <c r="Y97" s="114">
        <f t="shared" si="20"/>
        <v>936.17021276595744</v>
      </c>
      <c r="Z97" s="114">
        <f t="shared" si="21"/>
        <v>1011.0638297872341</v>
      </c>
    </row>
    <row r="98" spans="1:26">
      <c r="A98" s="15" t="s">
        <v>47</v>
      </c>
      <c r="B98" s="16" t="s">
        <v>176</v>
      </c>
      <c r="C98" s="17" t="s">
        <v>4</v>
      </c>
      <c r="D98" s="17" t="s">
        <v>255</v>
      </c>
      <c r="E98" s="15" t="s">
        <v>240</v>
      </c>
      <c r="F98" s="17" t="s">
        <v>256</v>
      </c>
      <c r="G98" s="17" t="s">
        <v>242</v>
      </c>
      <c r="H98" s="15">
        <v>4000</v>
      </c>
      <c r="I98" s="18">
        <v>854470000000</v>
      </c>
      <c r="J98" s="15" t="s">
        <v>353</v>
      </c>
      <c r="K98" s="36">
        <v>521</v>
      </c>
      <c r="L98" s="59">
        <v>533</v>
      </c>
      <c r="M98" s="36">
        <v>480</v>
      </c>
      <c r="N98" s="37">
        <v>521</v>
      </c>
      <c r="O98" s="37">
        <v>513</v>
      </c>
      <c r="P98" s="76"/>
      <c r="Q98" s="61">
        <f>+O98</f>
        <v>513</v>
      </c>
      <c r="R98" s="62">
        <f t="shared" si="23"/>
        <v>579.68999999999994</v>
      </c>
      <c r="S98" s="126" t="s">
        <v>426</v>
      </c>
      <c r="U98" s="117">
        <v>550</v>
      </c>
      <c r="V98" s="62">
        <f t="shared" si="18"/>
        <v>621.49999999999989</v>
      </c>
      <c r="W98" s="126" t="s">
        <v>486</v>
      </c>
      <c r="X98" s="25">
        <f t="shared" si="19"/>
        <v>7.2124756335282647E-2</v>
      </c>
      <c r="Y98" s="114">
        <f t="shared" si="20"/>
        <v>585.10638297872345</v>
      </c>
      <c r="Z98" s="114">
        <f t="shared" si="21"/>
        <v>631.91489361702133</v>
      </c>
    </row>
    <row r="99" spans="1:26">
      <c r="A99" s="15" t="s">
        <v>47</v>
      </c>
      <c r="B99" s="16" t="s">
        <v>176</v>
      </c>
      <c r="C99" s="17" t="s">
        <v>4</v>
      </c>
      <c r="D99" s="17" t="s">
        <v>259</v>
      </c>
      <c r="E99" s="15" t="s">
        <v>240</v>
      </c>
      <c r="F99" s="17" t="s">
        <v>260</v>
      </c>
      <c r="G99" s="17" t="s">
        <v>242</v>
      </c>
      <c r="H99" s="15">
        <v>4000</v>
      </c>
      <c r="I99" s="18">
        <v>854470000000</v>
      </c>
      <c r="J99" s="15" t="s">
        <v>353</v>
      </c>
      <c r="K99" s="36">
        <v>740</v>
      </c>
      <c r="L99" s="59">
        <v>777</v>
      </c>
      <c r="M99" s="36"/>
      <c r="N99" s="37">
        <v>655</v>
      </c>
      <c r="O99" s="37">
        <v>625</v>
      </c>
      <c r="Q99" s="61">
        <f>+O99</f>
        <v>625</v>
      </c>
      <c r="R99" s="62">
        <f t="shared" si="23"/>
        <v>706.24999999999989</v>
      </c>
      <c r="S99" s="126" t="s">
        <v>426</v>
      </c>
      <c r="U99" s="117">
        <v>675</v>
      </c>
      <c r="V99" s="62">
        <f t="shared" si="18"/>
        <v>762.74999999999989</v>
      </c>
      <c r="W99" s="126" t="s">
        <v>486</v>
      </c>
      <c r="X99" s="25">
        <f t="shared" si="19"/>
        <v>0.08</v>
      </c>
      <c r="Y99" s="114">
        <f t="shared" si="20"/>
        <v>718.08510638297878</v>
      </c>
      <c r="Z99" s="114">
        <f t="shared" si="21"/>
        <v>775.53191489361711</v>
      </c>
    </row>
    <row r="100" spans="1:26">
      <c r="A100" s="15" t="s">
        <v>47</v>
      </c>
      <c r="B100" s="16" t="s">
        <v>176</v>
      </c>
      <c r="C100" s="17" t="s">
        <v>4</v>
      </c>
      <c r="D100" s="17" t="s">
        <v>179</v>
      </c>
      <c r="E100" s="15" t="s">
        <v>240</v>
      </c>
      <c r="F100" s="17" t="s">
        <v>172</v>
      </c>
      <c r="G100" s="17" t="s">
        <v>242</v>
      </c>
      <c r="H100" s="15">
        <v>4000</v>
      </c>
      <c r="I100" s="18">
        <v>854470000000</v>
      </c>
      <c r="J100" s="15" t="s">
        <v>353</v>
      </c>
      <c r="K100" s="36">
        <v>888</v>
      </c>
      <c r="L100" s="59">
        <v>912</v>
      </c>
      <c r="M100" s="36">
        <v>814</v>
      </c>
      <c r="N100" s="37">
        <v>888</v>
      </c>
      <c r="O100" s="37">
        <v>846</v>
      </c>
      <c r="P100" s="76"/>
      <c r="Q100" s="61">
        <f>+O100</f>
        <v>846</v>
      </c>
      <c r="R100" s="62">
        <f t="shared" si="23"/>
        <v>955.9799999999999</v>
      </c>
      <c r="S100" s="126" t="s">
        <v>426</v>
      </c>
      <c r="U100" s="117">
        <v>935</v>
      </c>
      <c r="V100" s="62">
        <f t="shared" ref="V100:V131" si="24">+U100*V$4</f>
        <v>1056.55</v>
      </c>
      <c r="W100" s="126" t="s">
        <v>486</v>
      </c>
      <c r="X100" s="25">
        <f t="shared" si="19"/>
        <v>0.10520094562647754</v>
      </c>
      <c r="Y100" s="114">
        <f t="shared" si="20"/>
        <v>994.68085106382989</v>
      </c>
      <c r="Z100" s="114">
        <f t="shared" si="21"/>
        <v>1074.2553191489365</v>
      </c>
    </row>
    <row r="101" spans="1:26">
      <c r="A101" s="15" t="s">
        <v>47</v>
      </c>
      <c r="B101" s="16" t="s">
        <v>176</v>
      </c>
      <c r="C101" s="17" t="s">
        <v>4</v>
      </c>
      <c r="D101" s="17" t="s">
        <v>182</v>
      </c>
      <c r="E101" s="15" t="s">
        <v>240</v>
      </c>
      <c r="F101" s="17" t="s">
        <v>173</v>
      </c>
      <c r="G101" s="17" t="s">
        <v>242</v>
      </c>
      <c r="H101" s="15">
        <v>4000</v>
      </c>
      <c r="I101" s="18">
        <v>854470000000</v>
      </c>
      <c r="J101" s="15" t="s">
        <v>353</v>
      </c>
      <c r="K101" s="36">
        <v>1618</v>
      </c>
      <c r="L101" s="59">
        <v>1645</v>
      </c>
      <c r="M101" s="36">
        <v>1498</v>
      </c>
      <c r="N101" s="37">
        <v>1618</v>
      </c>
      <c r="O101" s="37">
        <v>1535</v>
      </c>
      <c r="P101" s="76"/>
      <c r="Q101" s="61">
        <f>+O101</f>
        <v>1535</v>
      </c>
      <c r="R101" s="62">
        <f t="shared" si="23"/>
        <v>1734.5499999999997</v>
      </c>
      <c r="S101" s="126" t="s">
        <v>426</v>
      </c>
      <c r="U101" s="117">
        <v>1720</v>
      </c>
      <c r="V101" s="62">
        <f t="shared" si="24"/>
        <v>1943.6</v>
      </c>
      <c r="W101" s="126" t="s">
        <v>486</v>
      </c>
      <c r="X101" s="25">
        <f t="shared" si="19"/>
        <v>0.12052117263843648</v>
      </c>
      <c r="Y101" s="114">
        <f t="shared" si="20"/>
        <v>1829.7872340425533</v>
      </c>
      <c r="Z101" s="114">
        <f t="shared" si="21"/>
        <v>1976.1702127659578</v>
      </c>
    </row>
    <row r="102" spans="1:26">
      <c r="A102" s="15" t="s">
        <v>76</v>
      </c>
      <c r="B102" s="16" t="s">
        <v>176</v>
      </c>
      <c r="C102" s="17" t="s">
        <v>4</v>
      </c>
      <c r="D102" s="17" t="s">
        <v>341</v>
      </c>
      <c r="E102" s="15" t="s">
        <v>240</v>
      </c>
      <c r="F102" s="17" t="s">
        <v>342</v>
      </c>
      <c r="G102" s="17" t="s">
        <v>242</v>
      </c>
      <c r="H102" s="15">
        <v>4000</v>
      </c>
      <c r="I102" s="18">
        <v>854470000000</v>
      </c>
      <c r="J102" s="15" t="s">
        <v>353</v>
      </c>
      <c r="K102" s="36">
        <v>720</v>
      </c>
      <c r="L102" s="59"/>
      <c r="M102" s="36"/>
      <c r="N102" s="60">
        <v>645</v>
      </c>
      <c r="O102" s="60">
        <v>0</v>
      </c>
      <c r="Q102" s="61">
        <f t="shared" ref="Q102:Q112" si="25">+N102</f>
        <v>645</v>
      </c>
      <c r="R102" s="62">
        <f t="shared" si="23"/>
        <v>728.84999999999991</v>
      </c>
      <c r="S102" s="126" t="s">
        <v>427</v>
      </c>
      <c r="U102" s="117">
        <v>610</v>
      </c>
      <c r="V102" s="62">
        <f t="shared" si="24"/>
        <v>689.3</v>
      </c>
      <c r="W102" s="126" t="s">
        <v>427</v>
      </c>
      <c r="X102" s="25">
        <f t="shared" si="19"/>
        <v>-5.4263565891472867E-2</v>
      </c>
      <c r="Y102" s="114">
        <f t="shared" si="20"/>
        <v>648.936170212766</v>
      </c>
      <c r="Z102" s="114">
        <f t="shared" si="21"/>
        <v>700.85106382978734</v>
      </c>
    </row>
    <row r="103" spans="1:26">
      <c r="A103" s="15" t="s">
        <v>76</v>
      </c>
      <c r="B103" s="16" t="s">
        <v>176</v>
      </c>
      <c r="C103" s="17" t="s">
        <v>4</v>
      </c>
      <c r="D103" s="17" t="s">
        <v>417</v>
      </c>
      <c r="E103" s="15" t="s">
        <v>240</v>
      </c>
      <c r="F103" s="17" t="s">
        <v>424</v>
      </c>
      <c r="G103" s="17" t="s">
        <v>242</v>
      </c>
      <c r="H103" s="15">
        <v>4000</v>
      </c>
      <c r="I103" s="18">
        <v>854470000000</v>
      </c>
      <c r="J103" s="15" t="s">
        <v>353</v>
      </c>
      <c r="K103" s="36">
        <v>0</v>
      </c>
      <c r="L103" s="59"/>
      <c r="M103" s="36"/>
      <c r="N103" s="60">
        <v>875</v>
      </c>
      <c r="O103" s="60"/>
      <c r="Q103" s="61">
        <f t="shared" si="25"/>
        <v>875</v>
      </c>
      <c r="R103" s="62">
        <f t="shared" si="23"/>
        <v>988.74999999999989</v>
      </c>
      <c r="S103" s="126" t="s">
        <v>427</v>
      </c>
      <c r="U103" s="117">
        <v>833</v>
      </c>
      <c r="V103" s="62">
        <f t="shared" si="24"/>
        <v>941.29</v>
      </c>
      <c r="W103" s="126" t="s">
        <v>427</v>
      </c>
      <c r="X103" s="25">
        <f t="shared" si="19"/>
        <v>-4.8000000000000001E-2</v>
      </c>
      <c r="Y103" s="114">
        <f t="shared" si="20"/>
        <v>886.17021276595744</v>
      </c>
      <c r="Z103" s="114">
        <f t="shared" si="21"/>
        <v>957.06382978723411</v>
      </c>
    </row>
    <row r="104" spans="1:26">
      <c r="A104" s="15" t="s">
        <v>76</v>
      </c>
      <c r="B104" s="16" t="s">
        <v>176</v>
      </c>
      <c r="C104" s="17" t="s">
        <v>4</v>
      </c>
      <c r="D104" s="17" t="s">
        <v>418</v>
      </c>
      <c r="E104" s="15" t="s">
        <v>240</v>
      </c>
      <c r="F104" s="17" t="s">
        <v>423</v>
      </c>
      <c r="G104" s="17" t="s">
        <v>242</v>
      </c>
      <c r="H104" s="15">
        <v>4000</v>
      </c>
      <c r="I104" s="18">
        <v>854470000000</v>
      </c>
      <c r="J104" s="15" t="s">
        <v>353</v>
      </c>
      <c r="K104" s="36">
        <v>0</v>
      </c>
      <c r="L104" s="59"/>
      <c r="M104" s="36"/>
      <c r="N104" s="60">
        <v>1105</v>
      </c>
      <c r="O104" s="60"/>
      <c r="Q104" s="61">
        <f t="shared" si="25"/>
        <v>1105</v>
      </c>
      <c r="R104" s="62">
        <f t="shared" si="23"/>
        <v>1248.6499999999999</v>
      </c>
      <c r="S104" s="126" t="s">
        <v>427</v>
      </c>
      <c r="U104" s="117">
        <v>1040</v>
      </c>
      <c r="V104" s="62">
        <f t="shared" si="24"/>
        <v>1175.1999999999998</v>
      </c>
      <c r="W104" s="126" t="s">
        <v>427</v>
      </c>
      <c r="X104" s="25">
        <f t="shared" si="19"/>
        <v>-5.8823529411764705E-2</v>
      </c>
      <c r="Y104" s="114">
        <f t="shared" si="20"/>
        <v>1106.3829787234042</v>
      </c>
      <c r="Z104" s="114">
        <f t="shared" si="21"/>
        <v>1194.8936170212767</v>
      </c>
    </row>
    <row r="105" spans="1:26">
      <c r="A105" s="15" t="s">
        <v>76</v>
      </c>
      <c r="B105" s="16" t="s">
        <v>176</v>
      </c>
      <c r="C105" s="17" t="s">
        <v>4</v>
      </c>
      <c r="D105" s="17" t="s">
        <v>419</v>
      </c>
      <c r="E105" s="15" t="s">
        <v>240</v>
      </c>
      <c r="F105" s="17" t="s">
        <v>422</v>
      </c>
      <c r="G105" s="17" t="s">
        <v>242</v>
      </c>
      <c r="H105" s="15">
        <v>4000</v>
      </c>
      <c r="I105" s="18">
        <v>854470000000</v>
      </c>
      <c r="J105" s="15" t="s">
        <v>353</v>
      </c>
      <c r="K105" s="36">
        <v>0</v>
      </c>
      <c r="L105" s="59"/>
      <c r="M105" s="36"/>
      <c r="N105" s="60">
        <v>1570</v>
      </c>
      <c r="O105" s="60"/>
      <c r="Q105" s="61">
        <f t="shared" si="25"/>
        <v>1570</v>
      </c>
      <c r="R105" s="62">
        <f t="shared" si="23"/>
        <v>1774.1</v>
      </c>
      <c r="S105" s="126" t="s">
        <v>427</v>
      </c>
      <c r="U105" s="117">
        <v>1510</v>
      </c>
      <c r="V105" s="62">
        <f t="shared" si="24"/>
        <v>1706.2999999999997</v>
      </c>
      <c r="W105" s="126" t="s">
        <v>427</v>
      </c>
      <c r="X105" s="25">
        <f t="shared" si="19"/>
        <v>-3.8216560509554139E-2</v>
      </c>
      <c r="Y105" s="114">
        <f t="shared" si="20"/>
        <v>1606.3829787234044</v>
      </c>
      <c r="Z105" s="114">
        <f t="shared" si="21"/>
        <v>1734.8936170212769</v>
      </c>
    </row>
    <row r="106" spans="1:26">
      <c r="A106" s="15" t="s">
        <v>76</v>
      </c>
      <c r="B106" s="16" t="s">
        <v>176</v>
      </c>
      <c r="C106" s="17" t="s">
        <v>4</v>
      </c>
      <c r="D106" s="17" t="s">
        <v>420</v>
      </c>
      <c r="E106" s="15" t="s">
        <v>240</v>
      </c>
      <c r="F106" s="17" t="s">
        <v>421</v>
      </c>
      <c r="G106" s="17" t="s">
        <v>242</v>
      </c>
      <c r="H106" s="15">
        <v>4000</v>
      </c>
      <c r="I106" s="18">
        <v>854470000000</v>
      </c>
      <c r="J106" s="15" t="s">
        <v>353</v>
      </c>
      <c r="K106" s="36">
        <v>0</v>
      </c>
      <c r="L106" s="59"/>
      <c r="M106" s="36"/>
      <c r="N106" s="60">
        <v>3000</v>
      </c>
      <c r="O106" s="60"/>
      <c r="Q106" s="61">
        <f t="shared" si="25"/>
        <v>3000</v>
      </c>
      <c r="R106" s="62">
        <f t="shared" si="23"/>
        <v>3389.9999999999995</v>
      </c>
      <c r="S106" s="126" t="s">
        <v>427</v>
      </c>
      <c r="U106" s="117">
        <v>2900</v>
      </c>
      <c r="V106" s="62">
        <f t="shared" si="24"/>
        <v>3276.9999999999995</v>
      </c>
      <c r="W106" s="126" t="s">
        <v>427</v>
      </c>
      <c r="X106" s="25">
        <f t="shared" si="19"/>
        <v>-3.3333333333333333E-2</v>
      </c>
      <c r="Y106" s="114">
        <f t="shared" si="20"/>
        <v>3085.1063829787236</v>
      </c>
      <c r="Z106" s="114">
        <f t="shared" si="21"/>
        <v>3331.9148936170218</v>
      </c>
    </row>
    <row r="107" spans="1:26">
      <c r="A107" s="15" t="s">
        <v>89</v>
      </c>
      <c r="B107" s="16" t="s">
        <v>176</v>
      </c>
      <c r="C107" s="17" t="s">
        <v>4</v>
      </c>
      <c r="D107" s="17" t="s">
        <v>250</v>
      </c>
      <c r="E107" s="15" t="s">
        <v>240</v>
      </c>
      <c r="F107" s="17" t="s">
        <v>251</v>
      </c>
      <c r="G107" s="17" t="s">
        <v>242</v>
      </c>
      <c r="H107" s="15">
        <v>4000</v>
      </c>
      <c r="I107" s="18">
        <v>854470000000</v>
      </c>
      <c r="J107" s="15" t="s">
        <v>353</v>
      </c>
      <c r="K107" s="36">
        <v>178</v>
      </c>
      <c r="L107" s="59">
        <v>185</v>
      </c>
      <c r="M107" s="36"/>
      <c r="N107" s="60">
        <v>230</v>
      </c>
      <c r="O107" s="60">
        <v>0</v>
      </c>
      <c r="Q107" s="61">
        <f t="shared" si="25"/>
        <v>230</v>
      </c>
      <c r="R107" s="62">
        <f t="shared" si="23"/>
        <v>259.89999999999998</v>
      </c>
      <c r="S107" s="126" t="s">
        <v>428</v>
      </c>
      <c r="U107" s="117">
        <v>235</v>
      </c>
      <c r="V107" s="62">
        <f t="shared" si="24"/>
        <v>265.54999999999995</v>
      </c>
      <c r="W107" s="126" t="s">
        <v>428</v>
      </c>
      <c r="X107" s="25">
        <f t="shared" si="19"/>
        <v>2.1739130434782608E-2</v>
      </c>
      <c r="Y107" s="114">
        <f t="shared" si="20"/>
        <v>250</v>
      </c>
      <c r="Z107" s="114">
        <f t="shared" si="21"/>
        <v>270</v>
      </c>
    </row>
    <row r="108" spans="1:26">
      <c r="A108" s="15" t="s">
        <v>89</v>
      </c>
      <c r="B108" s="16" t="s">
        <v>176</v>
      </c>
      <c r="C108" s="17" t="s">
        <v>4</v>
      </c>
      <c r="D108" s="17" t="s">
        <v>301</v>
      </c>
      <c r="E108" s="15" t="s">
        <v>240</v>
      </c>
      <c r="F108" s="17" t="s">
        <v>340</v>
      </c>
      <c r="G108" s="17" t="s">
        <v>242</v>
      </c>
      <c r="H108" s="15">
        <v>4000</v>
      </c>
      <c r="I108" s="18">
        <v>854470000000</v>
      </c>
      <c r="J108" s="15" t="s">
        <v>353</v>
      </c>
      <c r="K108" s="36">
        <v>185</v>
      </c>
      <c r="L108" s="59">
        <v>194.25</v>
      </c>
      <c r="M108" s="36"/>
      <c r="N108" s="60">
        <v>245</v>
      </c>
      <c r="O108" s="60">
        <v>0</v>
      </c>
      <c r="Q108" s="61">
        <f t="shared" si="25"/>
        <v>245</v>
      </c>
      <c r="R108" s="62">
        <f t="shared" si="23"/>
        <v>276.84999999999997</v>
      </c>
      <c r="S108" s="126" t="s">
        <v>428</v>
      </c>
      <c r="U108" s="117">
        <v>255</v>
      </c>
      <c r="V108" s="62">
        <f t="shared" si="24"/>
        <v>288.14999999999998</v>
      </c>
      <c r="W108" s="126" t="s">
        <v>428</v>
      </c>
      <c r="X108" s="25">
        <f t="shared" si="19"/>
        <v>4.0816326530612242E-2</v>
      </c>
      <c r="Y108" s="114">
        <f t="shared" si="20"/>
        <v>271.27659574468089</v>
      </c>
      <c r="Z108" s="114">
        <f t="shared" si="21"/>
        <v>292.97872340425539</v>
      </c>
    </row>
    <row r="109" spans="1:26">
      <c r="A109" s="15" t="s">
        <v>89</v>
      </c>
      <c r="B109" s="16" t="s">
        <v>176</v>
      </c>
      <c r="C109" s="17" t="s">
        <v>4</v>
      </c>
      <c r="D109" s="17" t="s">
        <v>180</v>
      </c>
      <c r="E109" s="15" t="s">
        <v>240</v>
      </c>
      <c r="F109" s="17" t="s">
        <v>174</v>
      </c>
      <c r="G109" s="17" t="s">
        <v>242</v>
      </c>
      <c r="H109" s="15">
        <v>4000</v>
      </c>
      <c r="I109" s="18">
        <v>854470000000</v>
      </c>
      <c r="J109" s="15" t="s">
        <v>353</v>
      </c>
      <c r="K109" s="36">
        <v>198</v>
      </c>
      <c r="L109" s="59">
        <v>212</v>
      </c>
      <c r="M109" s="36"/>
      <c r="N109" s="60">
        <v>280</v>
      </c>
      <c r="O109" s="60">
        <v>0</v>
      </c>
      <c r="Q109" s="61">
        <f t="shared" si="25"/>
        <v>280</v>
      </c>
      <c r="R109" s="62">
        <f t="shared" si="23"/>
        <v>316.39999999999998</v>
      </c>
      <c r="S109" s="126" t="s">
        <v>428</v>
      </c>
      <c r="U109" s="117">
        <v>300</v>
      </c>
      <c r="V109" s="62">
        <f t="shared" si="24"/>
        <v>338.99999999999994</v>
      </c>
      <c r="W109" s="126" t="s">
        <v>428</v>
      </c>
      <c r="X109" s="25">
        <f t="shared" si="19"/>
        <v>7.1428571428571425E-2</v>
      </c>
      <c r="Y109" s="114">
        <f t="shared" si="20"/>
        <v>319.14893617021278</v>
      </c>
      <c r="Z109" s="114">
        <f t="shared" si="21"/>
        <v>344.68085106382983</v>
      </c>
    </row>
    <row r="110" spans="1:26">
      <c r="A110" s="15" t="s">
        <v>89</v>
      </c>
      <c r="B110" s="16" t="s">
        <v>176</v>
      </c>
      <c r="C110" s="17" t="s">
        <v>4</v>
      </c>
      <c r="D110" s="17" t="s">
        <v>181</v>
      </c>
      <c r="E110" s="15" t="s">
        <v>240</v>
      </c>
      <c r="F110" s="17" t="s">
        <v>175</v>
      </c>
      <c r="G110" s="17" t="s">
        <v>242</v>
      </c>
      <c r="H110" s="15">
        <v>4000</v>
      </c>
      <c r="I110" s="18">
        <v>854470000000</v>
      </c>
      <c r="J110" s="15" t="s">
        <v>353</v>
      </c>
      <c r="K110" s="36">
        <v>251</v>
      </c>
      <c r="L110" s="59">
        <v>265</v>
      </c>
      <c r="M110" s="36"/>
      <c r="N110" s="60">
        <v>400</v>
      </c>
      <c r="O110" s="60">
        <v>0</v>
      </c>
      <c r="Q110" s="61">
        <f t="shared" si="25"/>
        <v>400</v>
      </c>
      <c r="R110" s="62">
        <f t="shared" si="23"/>
        <v>451.99999999999994</v>
      </c>
      <c r="S110" s="126" t="s">
        <v>428</v>
      </c>
      <c r="U110" s="117">
        <v>460</v>
      </c>
      <c r="V110" s="62">
        <f t="shared" si="24"/>
        <v>519.79999999999995</v>
      </c>
      <c r="W110" s="126" t="s">
        <v>428</v>
      </c>
      <c r="X110" s="25">
        <f t="shared" si="19"/>
        <v>0.15</v>
      </c>
      <c r="Y110" s="114">
        <f t="shared" si="20"/>
        <v>489.36170212765961</v>
      </c>
      <c r="Z110" s="114">
        <f t="shared" si="21"/>
        <v>528.51063829787245</v>
      </c>
    </row>
    <row r="111" spans="1:26">
      <c r="A111" s="79" t="s">
        <v>3</v>
      </c>
      <c r="B111" s="80" t="s">
        <v>244</v>
      </c>
      <c r="C111" s="81" t="s">
        <v>42</v>
      </c>
      <c r="D111" s="81" t="s">
        <v>43</v>
      </c>
      <c r="E111" s="79" t="s">
        <v>167</v>
      </c>
      <c r="F111" s="81" t="s">
        <v>44</v>
      </c>
      <c r="G111" s="81" t="s">
        <v>242</v>
      </c>
      <c r="H111" s="79">
        <v>4000</v>
      </c>
      <c r="I111" s="82">
        <v>854470000000</v>
      </c>
      <c r="J111" s="79" t="s">
        <v>353</v>
      </c>
      <c r="K111" s="36">
        <v>1597</v>
      </c>
      <c r="L111" s="59">
        <v>1620</v>
      </c>
      <c r="M111" s="36"/>
      <c r="N111" s="37">
        <v>1530</v>
      </c>
      <c r="O111" s="37">
        <v>1350</v>
      </c>
      <c r="Q111" s="29">
        <f t="shared" si="25"/>
        <v>1530</v>
      </c>
      <c r="R111" s="30">
        <f t="shared" si="23"/>
        <v>1728.8999999999999</v>
      </c>
      <c r="S111" s="126" t="s">
        <v>425</v>
      </c>
      <c r="U111" s="114">
        <v>1620</v>
      </c>
      <c r="V111" s="30">
        <f t="shared" si="24"/>
        <v>1830.6</v>
      </c>
      <c r="W111" s="126" t="s">
        <v>425</v>
      </c>
      <c r="X111" s="25">
        <f t="shared" si="19"/>
        <v>5.8823529411764705E-2</v>
      </c>
      <c r="Y111" s="114">
        <f t="shared" si="20"/>
        <v>1723.4042553191491</v>
      </c>
      <c r="Z111" s="114">
        <f t="shared" si="21"/>
        <v>1861.2765957446811</v>
      </c>
    </row>
    <row r="112" spans="1:26">
      <c r="A112" s="79" t="s">
        <v>3</v>
      </c>
      <c r="B112" s="80" t="s">
        <v>244</v>
      </c>
      <c r="C112" s="81" t="s">
        <v>42</v>
      </c>
      <c r="D112" s="81" t="s">
        <v>45</v>
      </c>
      <c r="E112" s="79" t="s">
        <v>167</v>
      </c>
      <c r="F112" s="81" t="s">
        <v>46</v>
      </c>
      <c r="G112" s="81" t="s">
        <v>242</v>
      </c>
      <c r="H112" s="79">
        <v>4000</v>
      </c>
      <c r="I112" s="82">
        <v>854470000000</v>
      </c>
      <c r="J112" s="79" t="s">
        <v>353</v>
      </c>
      <c r="K112" s="36">
        <v>2768</v>
      </c>
      <c r="L112" s="59">
        <v>2795</v>
      </c>
      <c r="M112" s="36"/>
      <c r="N112" s="37">
        <v>2710</v>
      </c>
      <c r="O112" s="37">
        <v>2320</v>
      </c>
      <c r="Q112" s="29">
        <f t="shared" si="25"/>
        <v>2710</v>
      </c>
      <c r="R112" s="30">
        <f t="shared" si="23"/>
        <v>3062.2999999999997</v>
      </c>
      <c r="S112" s="126" t="s">
        <v>425</v>
      </c>
      <c r="U112" s="114">
        <v>2920</v>
      </c>
      <c r="V112" s="30">
        <f t="shared" si="24"/>
        <v>3299.6</v>
      </c>
      <c r="W112" s="126" t="s">
        <v>425</v>
      </c>
      <c r="X112" s="25">
        <f t="shared" si="19"/>
        <v>7.7490774907749083E-2</v>
      </c>
      <c r="Y112" s="114">
        <f t="shared" si="20"/>
        <v>3106.3829787234044</v>
      </c>
      <c r="Z112" s="114">
        <f t="shared" si="21"/>
        <v>3354.8936170212769</v>
      </c>
    </row>
    <row r="113" spans="1:26">
      <c r="A113" s="79" t="s">
        <v>47</v>
      </c>
      <c r="B113" s="80" t="s">
        <v>244</v>
      </c>
      <c r="C113" s="81" t="s">
        <v>42</v>
      </c>
      <c r="D113" s="81" t="s">
        <v>72</v>
      </c>
      <c r="E113" s="79" t="s">
        <v>167</v>
      </c>
      <c r="F113" s="81" t="s">
        <v>73</v>
      </c>
      <c r="G113" s="81" t="s">
        <v>242</v>
      </c>
      <c r="H113" s="79">
        <v>4000</v>
      </c>
      <c r="I113" s="82">
        <v>854470000000</v>
      </c>
      <c r="J113" s="79" t="s">
        <v>353</v>
      </c>
      <c r="K113" s="36">
        <v>3134</v>
      </c>
      <c r="L113" s="59">
        <v>3155</v>
      </c>
      <c r="M113" s="36">
        <v>3010</v>
      </c>
      <c r="N113" s="37">
        <v>3134</v>
      </c>
      <c r="O113" s="37">
        <v>3010</v>
      </c>
      <c r="Q113" s="61">
        <f>+O113</f>
        <v>3010</v>
      </c>
      <c r="R113" s="62">
        <f t="shared" si="23"/>
        <v>3401.2999999999997</v>
      </c>
      <c r="S113" s="126" t="s">
        <v>426</v>
      </c>
      <c r="U113" s="117">
        <v>3220</v>
      </c>
      <c r="V113" s="62">
        <f t="shared" si="24"/>
        <v>3638.5999999999995</v>
      </c>
      <c r="W113" s="126" t="s">
        <v>486</v>
      </c>
      <c r="X113" s="25">
        <f t="shared" si="19"/>
        <v>6.9767441860465115E-2</v>
      </c>
      <c r="Y113" s="114">
        <f t="shared" si="20"/>
        <v>3425.5319148936173</v>
      </c>
      <c r="Z113" s="114">
        <f t="shared" si="21"/>
        <v>3699.5744680851071</v>
      </c>
    </row>
    <row r="114" spans="1:26">
      <c r="A114" s="79" t="s">
        <v>47</v>
      </c>
      <c r="B114" s="80" t="s">
        <v>244</v>
      </c>
      <c r="C114" s="81" t="s">
        <v>42</v>
      </c>
      <c r="D114" s="81" t="s">
        <v>74</v>
      </c>
      <c r="E114" s="79" t="s">
        <v>167</v>
      </c>
      <c r="F114" s="81" t="s">
        <v>75</v>
      </c>
      <c r="G114" s="81" t="s">
        <v>242</v>
      </c>
      <c r="H114" s="79">
        <v>4000</v>
      </c>
      <c r="I114" s="82">
        <v>854470000000</v>
      </c>
      <c r="J114" s="79" t="s">
        <v>353</v>
      </c>
      <c r="K114" s="36">
        <v>5875</v>
      </c>
      <c r="L114" s="59">
        <v>5900</v>
      </c>
      <c r="M114" s="36">
        <v>5685</v>
      </c>
      <c r="N114" s="37">
        <v>5875</v>
      </c>
      <c r="O114" s="37">
        <v>5685</v>
      </c>
      <c r="Q114" s="61">
        <f>+O114</f>
        <v>5685</v>
      </c>
      <c r="R114" s="62">
        <f t="shared" si="23"/>
        <v>6424.0499999999993</v>
      </c>
      <c r="S114" s="126" t="s">
        <v>426</v>
      </c>
      <c r="U114" s="117">
        <v>6130</v>
      </c>
      <c r="V114" s="62">
        <f t="shared" si="24"/>
        <v>6926.9</v>
      </c>
      <c r="W114" s="126" t="s">
        <v>486</v>
      </c>
      <c r="X114" s="25">
        <f t="shared" si="19"/>
        <v>7.8276165347405446E-2</v>
      </c>
      <c r="Y114" s="114">
        <f t="shared" si="20"/>
        <v>6521.2765957446809</v>
      </c>
      <c r="Z114" s="114">
        <f t="shared" si="21"/>
        <v>7042.978723404256</v>
      </c>
    </row>
    <row r="115" spans="1:26">
      <c r="A115" s="79" t="s">
        <v>89</v>
      </c>
      <c r="B115" s="80" t="s">
        <v>244</v>
      </c>
      <c r="C115" s="81" t="s">
        <v>42</v>
      </c>
      <c r="D115" s="81" t="s">
        <v>125</v>
      </c>
      <c r="E115" s="79" t="s">
        <v>167</v>
      </c>
      <c r="F115" s="81" t="s">
        <v>126</v>
      </c>
      <c r="G115" s="81" t="s">
        <v>242</v>
      </c>
      <c r="H115" s="79">
        <v>4000</v>
      </c>
      <c r="I115" s="82">
        <v>854470000000</v>
      </c>
      <c r="J115" s="79" t="s">
        <v>353</v>
      </c>
      <c r="K115" s="36">
        <v>576</v>
      </c>
      <c r="L115" s="59">
        <v>595</v>
      </c>
      <c r="M115" s="36"/>
      <c r="N115" s="60">
        <v>870</v>
      </c>
      <c r="O115" s="60">
        <v>0</v>
      </c>
      <c r="Q115" s="61">
        <f>+N115</f>
        <v>870</v>
      </c>
      <c r="R115" s="62">
        <f t="shared" si="23"/>
        <v>983.09999999999991</v>
      </c>
      <c r="S115" s="126" t="s">
        <v>428</v>
      </c>
      <c r="U115" s="117">
        <v>1160</v>
      </c>
      <c r="V115" s="62">
        <f t="shared" si="24"/>
        <v>1310.8</v>
      </c>
      <c r="W115" s="126" t="s">
        <v>428</v>
      </c>
      <c r="X115" s="25">
        <f t="shared" si="19"/>
        <v>0.33333333333333331</v>
      </c>
      <c r="Y115" s="114">
        <f t="shared" si="20"/>
        <v>1234.0425531914893</v>
      </c>
      <c r="Z115" s="114">
        <f t="shared" si="21"/>
        <v>1332.7659574468087</v>
      </c>
    </row>
    <row r="116" spans="1:26">
      <c r="A116" s="79" t="s">
        <v>89</v>
      </c>
      <c r="B116" s="80" t="s">
        <v>244</v>
      </c>
      <c r="C116" s="81" t="s">
        <v>42</v>
      </c>
      <c r="D116" s="81" t="s">
        <v>127</v>
      </c>
      <c r="E116" s="79" t="s">
        <v>167</v>
      </c>
      <c r="F116" s="81" t="s">
        <v>128</v>
      </c>
      <c r="G116" s="81" t="s">
        <v>242</v>
      </c>
      <c r="H116" s="79">
        <v>4000</v>
      </c>
      <c r="I116" s="82">
        <v>854470000000</v>
      </c>
      <c r="J116" s="79" t="s">
        <v>353</v>
      </c>
      <c r="K116" s="36">
        <v>814</v>
      </c>
      <c r="L116" s="59">
        <v>828</v>
      </c>
      <c r="M116" s="36"/>
      <c r="N116" s="60">
        <v>1360</v>
      </c>
      <c r="O116" s="60">
        <v>0</v>
      </c>
      <c r="Q116" s="61">
        <f>+N116</f>
        <v>1360</v>
      </c>
      <c r="R116" s="62">
        <f t="shared" si="23"/>
        <v>1536.8</v>
      </c>
      <c r="S116" s="126" t="s">
        <v>428</v>
      </c>
      <c r="U116" s="117">
        <v>1950</v>
      </c>
      <c r="V116" s="62">
        <f t="shared" si="24"/>
        <v>2203.5</v>
      </c>
      <c r="W116" s="126" t="s">
        <v>428</v>
      </c>
      <c r="X116" s="25">
        <f t="shared" si="19"/>
        <v>0.43382352941176472</v>
      </c>
      <c r="Y116" s="114">
        <f t="shared" si="20"/>
        <v>2074.4680851063831</v>
      </c>
      <c r="Z116" s="114">
        <f t="shared" si="21"/>
        <v>2240.4255319148938</v>
      </c>
    </row>
    <row r="117" spans="1:26" s="78" customFormat="1">
      <c r="A117" s="69" t="s">
        <v>89</v>
      </c>
      <c r="B117" s="70" t="s">
        <v>468</v>
      </c>
      <c r="C117" s="71" t="s">
        <v>196</v>
      </c>
      <c r="D117" s="71" t="s">
        <v>469</v>
      </c>
      <c r="E117" s="69" t="s">
        <v>168</v>
      </c>
      <c r="F117" s="71" t="s">
        <v>470</v>
      </c>
      <c r="G117" s="71" t="s">
        <v>242</v>
      </c>
      <c r="H117" s="69">
        <v>4000</v>
      </c>
      <c r="I117" s="72">
        <v>854470000000</v>
      </c>
      <c r="J117" s="69" t="s">
        <v>353</v>
      </c>
      <c r="K117" s="73"/>
      <c r="L117" s="74"/>
      <c r="M117" s="73"/>
      <c r="N117" s="83"/>
      <c r="O117" s="83"/>
      <c r="P117" s="76"/>
      <c r="Q117" s="84">
        <v>1200</v>
      </c>
      <c r="R117" s="85">
        <f t="shared" si="23"/>
        <v>1355.9999999999998</v>
      </c>
      <c r="S117" s="130" t="s">
        <v>428</v>
      </c>
      <c r="U117" s="120">
        <v>1045</v>
      </c>
      <c r="V117" s="85">
        <f t="shared" si="24"/>
        <v>1180.8499999999999</v>
      </c>
      <c r="W117" s="130" t="s">
        <v>428</v>
      </c>
      <c r="X117" s="25">
        <f t="shared" si="19"/>
        <v>-0.12916666666666668</v>
      </c>
      <c r="Y117" s="134">
        <f t="shared" si="20"/>
        <v>1111.7021276595744</v>
      </c>
      <c r="Z117" s="134">
        <f t="shared" si="21"/>
        <v>1200.6382978723404</v>
      </c>
    </row>
    <row r="118" spans="1:26" s="78" customFormat="1">
      <c r="A118" s="69" t="s">
        <v>89</v>
      </c>
      <c r="B118" s="70" t="s">
        <v>468</v>
      </c>
      <c r="C118" s="71" t="s">
        <v>196</v>
      </c>
      <c r="D118" s="71" t="s">
        <v>474</v>
      </c>
      <c r="E118" s="69" t="s">
        <v>168</v>
      </c>
      <c r="F118" s="71" t="s">
        <v>471</v>
      </c>
      <c r="G118" s="71" t="s">
        <v>242</v>
      </c>
      <c r="H118" s="69">
        <v>4000</v>
      </c>
      <c r="I118" s="72">
        <v>854470000000</v>
      </c>
      <c r="J118" s="69" t="s">
        <v>353</v>
      </c>
      <c r="K118" s="73"/>
      <c r="L118" s="74"/>
      <c r="M118" s="73"/>
      <c r="N118" s="83"/>
      <c r="O118" s="83"/>
      <c r="P118" s="76"/>
      <c r="Q118" s="84">
        <v>1520</v>
      </c>
      <c r="R118" s="85">
        <f t="shared" si="23"/>
        <v>1717.6</v>
      </c>
      <c r="S118" s="130" t="s">
        <v>428</v>
      </c>
      <c r="U118" s="120">
        <v>1330</v>
      </c>
      <c r="V118" s="85">
        <f t="shared" si="24"/>
        <v>1502.8999999999999</v>
      </c>
      <c r="W118" s="130" t="s">
        <v>428</v>
      </c>
      <c r="X118" s="25">
        <f t="shared" si="19"/>
        <v>-0.125</v>
      </c>
      <c r="Y118" s="134">
        <f t="shared" si="20"/>
        <v>1414.8936170212767</v>
      </c>
      <c r="Z118" s="134">
        <f t="shared" si="21"/>
        <v>1528.0851063829789</v>
      </c>
    </row>
    <row r="119" spans="1:26" s="78" customFormat="1">
      <c r="A119" s="69" t="s">
        <v>89</v>
      </c>
      <c r="B119" s="70" t="s">
        <v>468</v>
      </c>
      <c r="C119" s="71" t="s">
        <v>196</v>
      </c>
      <c r="D119" s="71" t="s">
        <v>475</v>
      </c>
      <c r="E119" s="69" t="s">
        <v>168</v>
      </c>
      <c r="F119" s="71" t="s">
        <v>472</v>
      </c>
      <c r="G119" s="71" t="s">
        <v>242</v>
      </c>
      <c r="H119" s="69">
        <v>4000</v>
      </c>
      <c r="I119" s="72">
        <v>854470000000</v>
      </c>
      <c r="J119" s="69" t="s">
        <v>353</v>
      </c>
      <c r="K119" s="73"/>
      <c r="L119" s="74"/>
      <c r="M119" s="73"/>
      <c r="N119" s="83"/>
      <c r="O119" s="83"/>
      <c r="P119" s="76"/>
      <c r="Q119" s="84">
        <v>1960</v>
      </c>
      <c r="R119" s="85">
        <f t="shared" si="23"/>
        <v>2214.7999999999997</v>
      </c>
      <c r="S119" s="130" t="s">
        <v>428</v>
      </c>
      <c r="U119" s="120">
        <v>1720</v>
      </c>
      <c r="V119" s="85">
        <f t="shared" si="24"/>
        <v>1943.6</v>
      </c>
      <c r="W119" s="130" t="s">
        <v>428</v>
      </c>
      <c r="X119" s="25">
        <f t="shared" si="19"/>
        <v>-0.12244897959183673</v>
      </c>
      <c r="Y119" s="134">
        <f t="shared" si="20"/>
        <v>1829.7872340425533</v>
      </c>
      <c r="Z119" s="134">
        <f t="shared" si="21"/>
        <v>1976.1702127659578</v>
      </c>
    </row>
    <row r="120" spans="1:26" s="78" customFormat="1">
      <c r="A120" s="69" t="s">
        <v>89</v>
      </c>
      <c r="B120" s="70" t="s">
        <v>468</v>
      </c>
      <c r="C120" s="71" t="s">
        <v>196</v>
      </c>
      <c r="D120" s="71" t="s">
        <v>476</v>
      </c>
      <c r="E120" s="69" t="s">
        <v>168</v>
      </c>
      <c r="F120" s="71" t="s">
        <v>473</v>
      </c>
      <c r="G120" s="71" t="s">
        <v>242</v>
      </c>
      <c r="H120" s="69">
        <v>4000</v>
      </c>
      <c r="I120" s="72">
        <v>854470000000</v>
      </c>
      <c r="J120" s="69" t="s">
        <v>353</v>
      </c>
      <c r="K120" s="73"/>
      <c r="L120" s="74"/>
      <c r="M120" s="73"/>
      <c r="N120" s="83"/>
      <c r="O120" s="83"/>
      <c r="P120" s="76"/>
      <c r="Q120" s="84">
        <v>2740</v>
      </c>
      <c r="R120" s="85">
        <f t="shared" si="23"/>
        <v>3096.2</v>
      </c>
      <c r="S120" s="130" t="s">
        <v>428</v>
      </c>
      <c r="U120" s="120">
        <v>2180</v>
      </c>
      <c r="V120" s="85">
        <f t="shared" si="24"/>
        <v>2463.3999999999996</v>
      </c>
      <c r="W120" s="130" t="s">
        <v>428</v>
      </c>
      <c r="X120" s="25">
        <f t="shared" si="19"/>
        <v>-0.20437956204379562</v>
      </c>
      <c r="Y120" s="134">
        <f t="shared" si="20"/>
        <v>2319.1489361702129</v>
      </c>
      <c r="Z120" s="134">
        <f t="shared" si="21"/>
        <v>2504.6808510638302</v>
      </c>
    </row>
    <row r="121" spans="1:26">
      <c r="A121" s="15" t="s">
        <v>3</v>
      </c>
      <c r="B121" s="16" t="s">
        <v>165</v>
      </c>
      <c r="C121" s="17" t="s">
        <v>137</v>
      </c>
      <c r="D121" s="17" t="s">
        <v>257</v>
      </c>
      <c r="E121" s="15" t="s">
        <v>169</v>
      </c>
      <c r="F121" s="17" t="s">
        <v>446</v>
      </c>
      <c r="G121" s="17" t="s">
        <v>242</v>
      </c>
      <c r="H121" s="15">
        <v>4000</v>
      </c>
      <c r="I121" s="18">
        <v>854470000000</v>
      </c>
      <c r="J121" s="15" t="s">
        <v>353</v>
      </c>
      <c r="K121" s="36">
        <v>1054</v>
      </c>
      <c r="L121" s="59">
        <v>1080</v>
      </c>
      <c r="M121" s="36"/>
      <c r="N121" s="37">
        <v>1015</v>
      </c>
      <c r="O121" s="37">
        <v>957</v>
      </c>
      <c r="Q121" s="29">
        <f>+N121</f>
        <v>1015</v>
      </c>
      <c r="R121" s="30">
        <f t="shared" si="23"/>
        <v>1146.9499999999998</v>
      </c>
      <c r="S121" s="126" t="s">
        <v>425</v>
      </c>
      <c r="U121" s="114">
        <v>1015</v>
      </c>
      <c r="V121" s="30">
        <f t="shared" si="24"/>
        <v>1146.9499999999998</v>
      </c>
      <c r="W121" s="126" t="s">
        <v>425</v>
      </c>
      <c r="X121" s="25">
        <f t="shared" si="19"/>
        <v>0</v>
      </c>
      <c r="Y121" s="114">
        <f t="shared" si="20"/>
        <v>1079.7872340425533</v>
      </c>
      <c r="Z121" s="114">
        <f t="shared" si="21"/>
        <v>1166.1702127659578</v>
      </c>
    </row>
    <row r="122" spans="1:26">
      <c r="A122" s="15" t="s">
        <v>3</v>
      </c>
      <c r="B122" s="16" t="s">
        <v>165</v>
      </c>
      <c r="C122" s="17" t="s">
        <v>137</v>
      </c>
      <c r="D122" s="17" t="s">
        <v>138</v>
      </c>
      <c r="E122" s="15" t="s">
        <v>169</v>
      </c>
      <c r="F122" s="17" t="s">
        <v>447</v>
      </c>
      <c r="G122" s="17" t="s">
        <v>242</v>
      </c>
      <c r="H122" s="15">
        <v>4000</v>
      </c>
      <c r="I122" s="18">
        <v>854470000000</v>
      </c>
      <c r="J122" s="15" t="s">
        <v>353</v>
      </c>
      <c r="K122" s="36">
        <v>1378</v>
      </c>
      <c r="L122" s="59">
        <v>1400</v>
      </c>
      <c r="M122" s="36"/>
      <c r="N122" s="37">
        <v>1310</v>
      </c>
      <c r="O122" s="37">
        <v>1190</v>
      </c>
      <c r="Q122" s="29">
        <f>+N122</f>
        <v>1310</v>
      </c>
      <c r="R122" s="30">
        <f t="shared" ref="R122:R153" si="26">+Q122*R$4</f>
        <v>1480.3</v>
      </c>
      <c r="S122" s="126" t="s">
        <v>425</v>
      </c>
      <c r="U122" s="114">
        <v>1310</v>
      </c>
      <c r="V122" s="30">
        <f t="shared" si="24"/>
        <v>1480.3</v>
      </c>
      <c r="W122" s="126" t="s">
        <v>425</v>
      </c>
      <c r="X122" s="25">
        <f t="shared" si="19"/>
        <v>0</v>
      </c>
      <c r="Y122" s="114">
        <f t="shared" si="20"/>
        <v>1393.6170212765958</v>
      </c>
      <c r="Z122" s="114">
        <f t="shared" si="21"/>
        <v>1505.1063829787236</v>
      </c>
    </row>
    <row r="123" spans="1:26">
      <c r="A123" s="15" t="s">
        <v>3</v>
      </c>
      <c r="B123" s="16" t="s">
        <v>165</v>
      </c>
      <c r="C123" s="17" t="s">
        <v>137</v>
      </c>
      <c r="D123" s="17" t="s">
        <v>139</v>
      </c>
      <c r="E123" s="15" t="s">
        <v>169</v>
      </c>
      <c r="F123" s="17" t="s">
        <v>448</v>
      </c>
      <c r="G123" s="17" t="s">
        <v>242</v>
      </c>
      <c r="H123" s="15">
        <v>4000</v>
      </c>
      <c r="I123" s="18">
        <v>854470000000</v>
      </c>
      <c r="J123" s="15" t="s">
        <v>353</v>
      </c>
      <c r="K123" s="36">
        <v>2018</v>
      </c>
      <c r="L123" s="59">
        <v>2040</v>
      </c>
      <c r="M123" s="36"/>
      <c r="N123" s="37">
        <v>1965</v>
      </c>
      <c r="O123" s="37">
        <v>1780</v>
      </c>
      <c r="Q123" s="29">
        <f>+N123</f>
        <v>1965</v>
      </c>
      <c r="R123" s="30">
        <f t="shared" si="26"/>
        <v>2220.4499999999998</v>
      </c>
      <c r="S123" s="126" t="s">
        <v>425</v>
      </c>
      <c r="U123" s="114">
        <v>1965</v>
      </c>
      <c r="V123" s="30">
        <f t="shared" si="24"/>
        <v>2220.4499999999998</v>
      </c>
      <c r="W123" s="126" t="s">
        <v>425</v>
      </c>
      <c r="X123" s="25">
        <f t="shared" si="19"/>
        <v>0</v>
      </c>
      <c r="Y123" s="114">
        <f t="shared" si="20"/>
        <v>2090.4255319148938</v>
      </c>
      <c r="Z123" s="114">
        <f t="shared" si="21"/>
        <v>2257.6595744680853</v>
      </c>
    </row>
    <row r="124" spans="1:26">
      <c r="A124" s="15" t="s">
        <v>47</v>
      </c>
      <c r="B124" s="16" t="s">
        <v>165</v>
      </c>
      <c r="C124" s="17" t="s">
        <v>137</v>
      </c>
      <c r="D124" s="17" t="s">
        <v>140</v>
      </c>
      <c r="E124" s="15" t="s">
        <v>169</v>
      </c>
      <c r="F124" s="17" t="s">
        <v>197</v>
      </c>
      <c r="G124" s="17" t="s">
        <v>242</v>
      </c>
      <c r="H124" s="15">
        <v>4000</v>
      </c>
      <c r="I124" s="18">
        <v>854470000000</v>
      </c>
      <c r="J124" s="15" t="s">
        <v>353</v>
      </c>
      <c r="K124" s="36">
        <v>1485</v>
      </c>
      <c r="L124" s="59"/>
      <c r="M124" s="36">
        <v>1396</v>
      </c>
      <c r="N124" s="37">
        <v>1440</v>
      </c>
      <c r="O124" s="37">
        <v>1378</v>
      </c>
      <c r="Q124" s="61">
        <f>+O124</f>
        <v>1378</v>
      </c>
      <c r="R124" s="62">
        <f t="shared" si="26"/>
        <v>1557.1399999999999</v>
      </c>
      <c r="S124" s="126" t="s">
        <v>426</v>
      </c>
      <c r="U124" s="117">
        <v>1440</v>
      </c>
      <c r="V124" s="62">
        <f t="shared" si="24"/>
        <v>1627.1999999999998</v>
      </c>
      <c r="W124" s="126" t="s">
        <v>486</v>
      </c>
      <c r="X124" s="25">
        <f t="shared" si="19"/>
        <v>4.4992743105950653E-2</v>
      </c>
      <c r="Y124" s="114">
        <f t="shared" si="20"/>
        <v>1531.9148936170213</v>
      </c>
      <c r="Z124" s="114">
        <f t="shared" si="21"/>
        <v>1654.4680851063831</v>
      </c>
    </row>
    <row r="125" spans="1:26">
      <c r="A125" s="15" t="s">
        <v>47</v>
      </c>
      <c r="B125" s="16" t="s">
        <v>165</v>
      </c>
      <c r="C125" s="17" t="s">
        <v>137</v>
      </c>
      <c r="D125" s="17" t="s">
        <v>141</v>
      </c>
      <c r="E125" s="15" t="s">
        <v>169</v>
      </c>
      <c r="F125" s="17" t="s">
        <v>198</v>
      </c>
      <c r="G125" s="17" t="s">
        <v>242</v>
      </c>
      <c r="H125" s="15">
        <v>4000</v>
      </c>
      <c r="I125" s="18">
        <v>854470000000</v>
      </c>
      <c r="J125" s="15" t="s">
        <v>353</v>
      </c>
      <c r="K125" s="36">
        <v>2290</v>
      </c>
      <c r="L125" s="59"/>
      <c r="M125" s="36">
        <v>2110</v>
      </c>
      <c r="N125" s="37">
        <v>2210</v>
      </c>
      <c r="O125" s="37">
        <v>2060</v>
      </c>
      <c r="Q125" s="61">
        <f>+O125</f>
        <v>2060</v>
      </c>
      <c r="R125" s="62">
        <f t="shared" si="26"/>
        <v>2327.7999999999997</v>
      </c>
      <c r="S125" s="126" t="s">
        <v>426</v>
      </c>
      <c r="U125" s="117">
        <v>2210</v>
      </c>
      <c r="V125" s="62">
        <f t="shared" si="24"/>
        <v>2497.2999999999997</v>
      </c>
      <c r="W125" s="126" t="s">
        <v>486</v>
      </c>
      <c r="X125" s="25">
        <f t="shared" si="19"/>
        <v>7.281553398058252E-2</v>
      </c>
      <c r="Y125" s="114">
        <f t="shared" si="20"/>
        <v>2351.0638297872342</v>
      </c>
      <c r="Z125" s="114">
        <f t="shared" si="21"/>
        <v>2539.1489361702133</v>
      </c>
    </row>
    <row r="126" spans="1:26">
      <c r="A126" s="15" t="s">
        <v>47</v>
      </c>
      <c r="B126" s="16" t="s">
        <v>165</v>
      </c>
      <c r="C126" s="17" t="s">
        <v>137</v>
      </c>
      <c r="D126" s="17" t="s">
        <v>142</v>
      </c>
      <c r="E126" s="15" t="s">
        <v>169</v>
      </c>
      <c r="F126" s="17" t="s">
        <v>199</v>
      </c>
      <c r="G126" s="17" t="s">
        <v>242</v>
      </c>
      <c r="H126" s="15">
        <v>4000</v>
      </c>
      <c r="I126" s="18">
        <v>854470000000</v>
      </c>
      <c r="J126" s="15" t="s">
        <v>353</v>
      </c>
      <c r="K126" s="36">
        <v>0</v>
      </c>
      <c r="L126" s="59"/>
      <c r="M126" s="36">
        <v>3345</v>
      </c>
      <c r="N126" s="37">
        <v>3880</v>
      </c>
      <c r="O126" s="37">
        <v>3290</v>
      </c>
      <c r="Q126" s="61">
        <f>+O126</f>
        <v>3290</v>
      </c>
      <c r="R126" s="62">
        <f t="shared" si="26"/>
        <v>3717.7</v>
      </c>
      <c r="S126" s="126" t="s">
        <v>426</v>
      </c>
      <c r="U126" s="117">
        <v>3880</v>
      </c>
      <c r="V126" s="62">
        <f t="shared" si="24"/>
        <v>4384.3999999999996</v>
      </c>
      <c r="W126" s="126" t="s">
        <v>486</v>
      </c>
      <c r="X126" s="25">
        <f t="shared" si="19"/>
        <v>0.17933130699088146</v>
      </c>
      <c r="Y126" s="114">
        <f t="shared" si="20"/>
        <v>4127.6595744680853</v>
      </c>
      <c r="Z126" s="114">
        <f t="shared" si="21"/>
        <v>4457.8723404255325</v>
      </c>
    </row>
    <row r="127" spans="1:26">
      <c r="A127" s="15" t="s">
        <v>89</v>
      </c>
      <c r="B127" s="16" t="s">
        <v>165</v>
      </c>
      <c r="C127" s="17" t="s">
        <v>137</v>
      </c>
      <c r="D127" s="17" t="s">
        <v>143</v>
      </c>
      <c r="E127" s="15" t="s">
        <v>169</v>
      </c>
      <c r="F127" s="17" t="s">
        <v>441</v>
      </c>
      <c r="G127" s="17" t="s">
        <v>242</v>
      </c>
      <c r="H127" s="15">
        <v>4000</v>
      </c>
      <c r="I127" s="18">
        <v>854470000000</v>
      </c>
      <c r="J127" s="15" t="s">
        <v>353</v>
      </c>
      <c r="K127" s="36">
        <v>788</v>
      </c>
      <c r="L127" s="59">
        <v>800</v>
      </c>
      <c r="M127" s="36"/>
      <c r="N127" s="60">
        <v>845</v>
      </c>
      <c r="O127" s="60">
        <v>0</v>
      </c>
      <c r="Q127" s="61">
        <f t="shared" ref="Q127:Q136" si="27">+N127</f>
        <v>845</v>
      </c>
      <c r="R127" s="62">
        <f t="shared" si="26"/>
        <v>954.84999999999991</v>
      </c>
      <c r="S127" s="126" t="s">
        <v>428</v>
      </c>
      <c r="U127" s="117">
        <v>860</v>
      </c>
      <c r="V127" s="62">
        <f t="shared" si="24"/>
        <v>971.8</v>
      </c>
      <c r="W127" s="126" t="s">
        <v>428</v>
      </c>
      <c r="X127" s="25">
        <f t="shared" si="19"/>
        <v>1.7751479289940829E-2</v>
      </c>
      <c r="Y127" s="114">
        <f t="shared" si="20"/>
        <v>914.89361702127667</v>
      </c>
      <c r="Z127" s="114">
        <f t="shared" si="21"/>
        <v>988.08510638297889</v>
      </c>
    </row>
    <row r="128" spans="1:26">
      <c r="A128" s="15" t="s">
        <v>89</v>
      </c>
      <c r="B128" s="16" t="s">
        <v>165</v>
      </c>
      <c r="C128" s="17" t="s">
        <v>137</v>
      </c>
      <c r="D128" s="17" t="s">
        <v>144</v>
      </c>
      <c r="E128" s="15" t="s">
        <v>169</v>
      </c>
      <c r="F128" s="17" t="s">
        <v>442</v>
      </c>
      <c r="G128" s="17" t="s">
        <v>242</v>
      </c>
      <c r="H128" s="15">
        <v>4000</v>
      </c>
      <c r="I128" s="18">
        <v>854470000000</v>
      </c>
      <c r="J128" s="15" t="s">
        <v>353</v>
      </c>
      <c r="K128" s="36">
        <v>832</v>
      </c>
      <c r="L128" s="59">
        <v>845</v>
      </c>
      <c r="M128" s="36"/>
      <c r="N128" s="60">
        <v>940</v>
      </c>
      <c r="O128" s="60">
        <v>0</v>
      </c>
      <c r="Q128" s="61">
        <f t="shared" si="27"/>
        <v>940</v>
      </c>
      <c r="R128" s="62">
        <f t="shared" si="26"/>
        <v>1062.1999999999998</v>
      </c>
      <c r="S128" s="126" t="s">
        <v>428</v>
      </c>
      <c r="U128" s="117">
        <v>980</v>
      </c>
      <c r="V128" s="62">
        <f t="shared" si="24"/>
        <v>1107.3999999999999</v>
      </c>
      <c r="W128" s="126" t="s">
        <v>428</v>
      </c>
      <c r="X128" s="25">
        <f t="shared" si="19"/>
        <v>4.2553191489361701E-2</v>
      </c>
      <c r="Y128" s="114">
        <f t="shared" si="20"/>
        <v>1042.5531914893618</v>
      </c>
      <c r="Z128" s="114">
        <f t="shared" si="21"/>
        <v>1125.9574468085109</v>
      </c>
    </row>
    <row r="129" spans="1:26">
      <c r="A129" s="15" t="s">
        <v>89</v>
      </c>
      <c r="B129" s="16" t="s">
        <v>165</v>
      </c>
      <c r="C129" s="17" t="s">
        <v>137</v>
      </c>
      <c r="D129" s="17" t="s">
        <v>145</v>
      </c>
      <c r="E129" s="15" t="s">
        <v>169</v>
      </c>
      <c r="F129" s="17" t="s">
        <v>436</v>
      </c>
      <c r="G129" s="17" t="s">
        <v>242</v>
      </c>
      <c r="H129" s="15">
        <v>4000</v>
      </c>
      <c r="I129" s="18">
        <v>854470000000</v>
      </c>
      <c r="J129" s="15" t="s">
        <v>353</v>
      </c>
      <c r="K129" s="36">
        <v>913</v>
      </c>
      <c r="L129" s="59">
        <v>928</v>
      </c>
      <c r="M129" s="36"/>
      <c r="N129" s="60">
        <v>1080</v>
      </c>
      <c r="O129" s="60">
        <v>0</v>
      </c>
      <c r="Q129" s="61">
        <f t="shared" si="27"/>
        <v>1080</v>
      </c>
      <c r="R129" s="62">
        <f t="shared" si="26"/>
        <v>1220.3999999999999</v>
      </c>
      <c r="S129" s="126" t="s">
        <v>428</v>
      </c>
      <c r="U129" s="117">
        <v>1140</v>
      </c>
      <c r="V129" s="62">
        <f t="shared" si="24"/>
        <v>1288.1999999999998</v>
      </c>
      <c r="W129" s="126" t="s">
        <v>428</v>
      </c>
      <c r="X129" s="25">
        <f t="shared" si="19"/>
        <v>5.5555555555555552E-2</v>
      </c>
      <c r="Y129" s="114">
        <f t="shared" si="20"/>
        <v>1212.7659574468087</v>
      </c>
      <c r="Z129" s="114">
        <f t="shared" si="21"/>
        <v>1309.7872340425533</v>
      </c>
    </row>
    <row r="130" spans="1:26">
      <c r="A130" s="15" t="s">
        <v>89</v>
      </c>
      <c r="B130" s="16" t="s">
        <v>165</v>
      </c>
      <c r="C130" s="17" t="s">
        <v>137</v>
      </c>
      <c r="D130" s="17" t="s">
        <v>431</v>
      </c>
      <c r="E130" s="15" t="s">
        <v>169</v>
      </c>
      <c r="F130" s="17" t="s">
        <v>443</v>
      </c>
      <c r="G130" s="17" t="s">
        <v>242</v>
      </c>
      <c r="H130" s="15">
        <v>4000</v>
      </c>
      <c r="I130" s="18">
        <v>854470000000</v>
      </c>
      <c r="J130" s="15" t="s">
        <v>353</v>
      </c>
      <c r="K130" s="36">
        <v>0</v>
      </c>
      <c r="L130" s="59"/>
      <c r="M130" s="36"/>
      <c r="N130" s="60">
        <v>1985</v>
      </c>
      <c r="O130" s="60">
        <v>0</v>
      </c>
      <c r="Q130" s="61">
        <f t="shared" si="27"/>
        <v>1985</v>
      </c>
      <c r="R130" s="62">
        <f t="shared" si="26"/>
        <v>2243.0499999999997</v>
      </c>
      <c r="S130" s="126" t="s">
        <v>428</v>
      </c>
      <c r="U130" s="117">
        <v>2140</v>
      </c>
      <c r="V130" s="62">
        <f t="shared" si="24"/>
        <v>2418.1999999999998</v>
      </c>
      <c r="W130" s="126" t="s">
        <v>428</v>
      </c>
      <c r="X130" s="25">
        <f t="shared" si="19"/>
        <v>7.8085642317380355E-2</v>
      </c>
      <c r="Y130" s="114">
        <f t="shared" si="20"/>
        <v>2276.5957446808511</v>
      </c>
      <c r="Z130" s="114">
        <f t="shared" si="21"/>
        <v>2458.7234042553196</v>
      </c>
    </row>
    <row r="131" spans="1:26">
      <c r="A131" s="15" t="s">
        <v>89</v>
      </c>
      <c r="B131" s="16" t="s">
        <v>165</v>
      </c>
      <c r="C131" s="17" t="s">
        <v>137</v>
      </c>
      <c r="D131" s="17" t="s">
        <v>343</v>
      </c>
      <c r="E131" s="15" t="s">
        <v>169</v>
      </c>
      <c r="F131" s="17" t="s">
        <v>444</v>
      </c>
      <c r="G131" s="17" t="s">
        <v>242</v>
      </c>
      <c r="H131" s="15">
        <v>4000</v>
      </c>
      <c r="I131" s="18">
        <v>854470000000</v>
      </c>
      <c r="J131" s="15" t="s">
        <v>353</v>
      </c>
      <c r="K131" s="36">
        <v>1613</v>
      </c>
      <c r="L131" s="59">
        <v>1640</v>
      </c>
      <c r="M131" s="36"/>
      <c r="N131" s="60">
        <v>2100</v>
      </c>
      <c r="O131" s="60">
        <v>0</v>
      </c>
      <c r="Q131" s="61">
        <f t="shared" si="27"/>
        <v>2100</v>
      </c>
      <c r="R131" s="62">
        <f t="shared" si="26"/>
        <v>2373</v>
      </c>
      <c r="S131" s="126" t="s">
        <v>428</v>
      </c>
      <c r="U131" s="117">
        <v>2650</v>
      </c>
      <c r="V131" s="62">
        <f t="shared" si="24"/>
        <v>2994.4999999999995</v>
      </c>
      <c r="W131" s="126" t="s">
        <v>428</v>
      </c>
      <c r="X131" s="25">
        <f t="shared" si="19"/>
        <v>0.26190476190476192</v>
      </c>
      <c r="Y131" s="114">
        <f t="shared" si="20"/>
        <v>2819.1489361702129</v>
      </c>
      <c r="Z131" s="114">
        <f t="shared" si="21"/>
        <v>3044.6808510638302</v>
      </c>
    </row>
    <row r="132" spans="1:26">
      <c r="A132" s="15" t="s">
        <v>89</v>
      </c>
      <c r="B132" s="16" t="s">
        <v>165</v>
      </c>
      <c r="C132" s="17" t="s">
        <v>137</v>
      </c>
      <c r="D132" s="17" t="s">
        <v>344</v>
      </c>
      <c r="E132" s="15" t="s">
        <v>169</v>
      </c>
      <c r="F132" s="17" t="s">
        <v>445</v>
      </c>
      <c r="G132" s="17" t="s">
        <v>242</v>
      </c>
      <c r="H132" s="15">
        <v>4000</v>
      </c>
      <c r="I132" s="18">
        <v>854470000000</v>
      </c>
      <c r="J132" s="15" t="s">
        <v>353</v>
      </c>
      <c r="K132" s="36">
        <v>2470</v>
      </c>
      <c r="L132" s="59">
        <v>2488</v>
      </c>
      <c r="M132" s="36"/>
      <c r="N132" s="60">
        <v>3515</v>
      </c>
      <c r="O132" s="60">
        <v>0</v>
      </c>
      <c r="Q132" s="61">
        <f t="shared" si="27"/>
        <v>3515</v>
      </c>
      <c r="R132" s="62">
        <f t="shared" si="26"/>
        <v>3971.95</v>
      </c>
      <c r="S132" s="126" t="s">
        <v>428</v>
      </c>
      <c r="U132" s="117">
        <v>4715</v>
      </c>
      <c r="V132" s="62">
        <f t="shared" ref="V132:V163" si="28">+U132*V$4</f>
        <v>5327.95</v>
      </c>
      <c r="W132" s="126" t="s">
        <v>428</v>
      </c>
      <c r="X132" s="25">
        <f t="shared" si="19"/>
        <v>0.3413940256045519</v>
      </c>
      <c r="Y132" s="114">
        <f t="shared" si="20"/>
        <v>5015.9574468085111</v>
      </c>
      <c r="Z132" s="114">
        <f t="shared" si="21"/>
        <v>5417.234042553192</v>
      </c>
    </row>
    <row r="133" spans="1:26" ht="16.5" thickBot="1">
      <c r="A133" s="39" t="s">
        <v>89</v>
      </c>
      <c r="B133" s="86" t="s">
        <v>189</v>
      </c>
      <c r="C133" s="41" t="s">
        <v>137</v>
      </c>
      <c r="D133" s="41" t="s">
        <v>190</v>
      </c>
      <c r="E133" s="39" t="s">
        <v>169</v>
      </c>
      <c r="F133" s="41" t="s">
        <v>214</v>
      </c>
      <c r="G133" s="41" t="s">
        <v>242</v>
      </c>
      <c r="H133" s="39">
        <v>4000</v>
      </c>
      <c r="I133" s="42">
        <v>854470000000</v>
      </c>
      <c r="J133" s="43" t="s">
        <v>353</v>
      </c>
      <c r="K133" s="46">
        <v>943</v>
      </c>
      <c r="L133" s="63">
        <v>955</v>
      </c>
      <c r="M133" s="46"/>
      <c r="N133" s="64" t="s">
        <v>457</v>
      </c>
      <c r="O133" s="64">
        <v>0</v>
      </c>
      <c r="Q133" s="65"/>
      <c r="R133" s="66">
        <f t="shared" si="26"/>
        <v>0</v>
      </c>
      <c r="S133" s="127" t="s">
        <v>428</v>
      </c>
      <c r="U133" s="118">
        <v>1260</v>
      </c>
      <c r="V133" s="66">
        <f t="shared" si="28"/>
        <v>1423.8</v>
      </c>
      <c r="W133" s="127" t="s">
        <v>428</v>
      </c>
      <c r="X133" s="25" t="e">
        <f t="shared" si="19"/>
        <v>#DIV/0!</v>
      </c>
      <c r="Y133" s="115">
        <f t="shared" si="20"/>
        <v>1340.4255319148938</v>
      </c>
      <c r="Z133" s="115">
        <f t="shared" si="21"/>
        <v>1447.6595744680853</v>
      </c>
    </row>
    <row r="134" spans="1:26" ht="16.5" thickTop="1">
      <c r="A134" s="87" t="s">
        <v>3</v>
      </c>
      <c r="B134" s="88" t="s">
        <v>200</v>
      </c>
      <c r="C134" s="89" t="s">
        <v>196</v>
      </c>
      <c r="D134" s="89" t="s">
        <v>231</v>
      </c>
      <c r="E134" s="87" t="s">
        <v>169</v>
      </c>
      <c r="F134" s="89" t="s">
        <v>438</v>
      </c>
      <c r="G134" s="89" t="s">
        <v>242</v>
      </c>
      <c r="H134" s="87">
        <v>4000</v>
      </c>
      <c r="I134" s="90">
        <v>854470000000</v>
      </c>
      <c r="J134" s="87" t="s">
        <v>353</v>
      </c>
      <c r="K134" s="31">
        <v>914</v>
      </c>
      <c r="L134" s="55">
        <v>940</v>
      </c>
      <c r="M134" s="31"/>
      <c r="N134" s="33">
        <v>885</v>
      </c>
      <c r="O134" s="33">
        <v>832</v>
      </c>
      <c r="Q134" s="23">
        <f t="shared" si="27"/>
        <v>885</v>
      </c>
      <c r="R134" s="24">
        <f t="shared" si="26"/>
        <v>1000.05</v>
      </c>
      <c r="S134" s="125" t="s">
        <v>425</v>
      </c>
      <c r="U134" s="113">
        <v>885</v>
      </c>
      <c r="V134" s="24">
        <f t="shared" si="28"/>
        <v>1000.05</v>
      </c>
      <c r="W134" s="125" t="s">
        <v>425</v>
      </c>
      <c r="X134" s="25">
        <f t="shared" ref="X134:X197" si="29">(U134-Q134)/Q134</f>
        <v>0</v>
      </c>
      <c r="Y134" s="113">
        <f t="shared" ref="Y134:Y197" si="30">+U134/0.94</f>
        <v>941.48936170212767</v>
      </c>
      <c r="Z134" s="113">
        <f t="shared" ref="Z134:Z197" si="31">(Y134*Z$3)</f>
        <v>1016.808510638298</v>
      </c>
    </row>
    <row r="135" spans="1:26">
      <c r="A135" s="79" t="s">
        <v>3</v>
      </c>
      <c r="B135" s="80" t="s">
        <v>200</v>
      </c>
      <c r="C135" s="81" t="s">
        <v>196</v>
      </c>
      <c r="D135" s="81" t="s">
        <v>232</v>
      </c>
      <c r="E135" s="79" t="s">
        <v>169</v>
      </c>
      <c r="F135" s="81" t="s">
        <v>439</v>
      </c>
      <c r="G135" s="81" t="s">
        <v>242</v>
      </c>
      <c r="H135" s="79">
        <v>4000</v>
      </c>
      <c r="I135" s="82">
        <v>854470000000</v>
      </c>
      <c r="J135" s="79" t="s">
        <v>353</v>
      </c>
      <c r="K135" s="36">
        <v>1234</v>
      </c>
      <c r="L135" s="59">
        <v>1250</v>
      </c>
      <c r="M135" s="36"/>
      <c r="N135" s="37">
        <v>1215</v>
      </c>
      <c r="O135" s="37">
        <v>1080</v>
      </c>
      <c r="Q135" s="29">
        <f t="shared" si="27"/>
        <v>1215</v>
      </c>
      <c r="R135" s="30">
        <f t="shared" si="26"/>
        <v>1372.9499999999998</v>
      </c>
      <c r="S135" s="126" t="s">
        <v>425</v>
      </c>
      <c r="U135" s="114">
        <v>1215</v>
      </c>
      <c r="V135" s="30">
        <f t="shared" si="28"/>
        <v>1372.9499999999998</v>
      </c>
      <c r="W135" s="126" t="s">
        <v>425</v>
      </c>
      <c r="X135" s="25">
        <f t="shared" si="29"/>
        <v>0</v>
      </c>
      <c r="Y135" s="114">
        <f t="shared" si="30"/>
        <v>1292.5531914893618</v>
      </c>
      <c r="Z135" s="114">
        <f t="shared" si="31"/>
        <v>1395.9574468085109</v>
      </c>
    </row>
    <row r="136" spans="1:26">
      <c r="A136" s="79" t="s">
        <v>3</v>
      </c>
      <c r="B136" s="80" t="s">
        <v>200</v>
      </c>
      <c r="C136" s="81" t="s">
        <v>196</v>
      </c>
      <c r="D136" s="81" t="s">
        <v>233</v>
      </c>
      <c r="E136" s="79" t="s">
        <v>169</v>
      </c>
      <c r="F136" s="81" t="s">
        <v>440</v>
      </c>
      <c r="G136" s="81" t="s">
        <v>242</v>
      </c>
      <c r="H136" s="79">
        <v>4000</v>
      </c>
      <c r="I136" s="82">
        <v>854470000000</v>
      </c>
      <c r="J136" s="79" t="s">
        <v>353</v>
      </c>
      <c r="K136" s="36">
        <v>1845</v>
      </c>
      <c r="L136" s="59">
        <v>1880</v>
      </c>
      <c r="M136" s="36"/>
      <c r="N136" s="37">
        <v>1810</v>
      </c>
      <c r="O136" s="37">
        <v>1575</v>
      </c>
      <c r="Q136" s="29">
        <f t="shared" si="27"/>
        <v>1810</v>
      </c>
      <c r="R136" s="30">
        <f t="shared" si="26"/>
        <v>2045.2999999999997</v>
      </c>
      <c r="S136" s="126" t="s">
        <v>425</v>
      </c>
      <c r="U136" s="114">
        <v>1810</v>
      </c>
      <c r="V136" s="30">
        <f t="shared" si="28"/>
        <v>2045.2999999999997</v>
      </c>
      <c r="W136" s="126" t="s">
        <v>425</v>
      </c>
      <c r="X136" s="25">
        <f t="shared" si="29"/>
        <v>0</v>
      </c>
      <c r="Y136" s="114">
        <f t="shared" si="30"/>
        <v>1925.5319148936171</v>
      </c>
      <c r="Z136" s="114">
        <f t="shared" si="31"/>
        <v>2079.5744680851067</v>
      </c>
    </row>
    <row r="137" spans="1:26">
      <c r="A137" s="79" t="s">
        <v>47</v>
      </c>
      <c r="B137" s="80" t="s">
        <v>200</v>
      </c>
      <c r="C137" s="81" t="s">
        <v>196</v>
      </c>
      <c r="D137" s="81" t="s">
        <v>234</v>
      </c>
      <c r="E137" s="79" t="s">
        <v>169</v>
      </c>
      <c r="F137" s="81" t="s">
        <v>146</v>
      </c>
      <c r="G137" s="81" t="s">
        <v>242</v>
      </c>
      <c r="H137" s="79">
        <v>4000</v>
      </c>
      <c r="I137" s="82">
        <v>854470000000</v>
      </c>
      <c r="J137" s="79" t="s">
        <v>353</v>
      </c>
      <c r="K137" s="36">
        <v>1280</v>
      </c>
      <c r="L137" s="59"/>
      <c r="M137" s="36">
        <v>1186</v>
      </c>
      <c r="N137" s="37">
        <v>1245</v>
      </c>
      <c r="O137" s="37">
        <v>1170</v>
      </c>
      <c r="Q137" s="61">
        <f>+O137</f>
        <v>1170</v>
      </c>
      <c r="R137" s="62">
        <f t="shared" si="26"/>
        <v>1322.1</v>
      </c>
      <c r="S137" s="126" t="s">
        <v>426</v>
      </c>
      <c r="U137" s="117">
        <v>1245</v>
      </c>
      <c r="V137" s="62">
        <f t="shared" si="28"/>
        <v>1406.85</v>
      </c>
      <c r="W137" s="126" t="s">
        <v>486</v>
      </c>
      <c r="X137" s="25">
        <f t="shared" si="29"/>
        <v>6.4102564102564097E-2</v>
      </c>
      <c r="Y137" s="114">
        <f t="shared" si="30"/>
        <v>1324.4680851063831</v>
      </c>
      <c r="Z137" s="114">
        <f t="shared" si="31"/>
        <v>1430.4255319148938</v>
      </c>
    </row>
    <row r="138" spans="1:26">
      <c r="A138" s="79" t="s">
        <v>47</v>
      </c>
      <c r="B138" s="80" t="s">
        <v>200</v>
      </c>
      <c r="C138" s="81" t="s">
        <v>196</v>
      </c>
      <c r="D138" s="81" t="s">
        <v>235</v>
      </c>
      <c r="E138" s="79" t="s">
        <v>169</v>
      </c>
      <c r="F138" s="81" t="s">
        <v>148</v>
      </c>
      <c r="G138" s="81" t="s">
        <v>242</v>
      </c>
      <c r="H138" s="79">
        <v>4000</v>
      </c>
      <c r="I138" s="82">
        <v>854470000000</v>
      </c>
      <c r="J138" s="79" t="s">
        <v>353</v>
      </c>
      <c r="K138" s="36">
        <v>2010</v>
      </c>
      <c r="L138" s="59"/>
      <c r="M138" s="36">
        <v>1862</v>
      </c>
      <c r="N138" s="37">
        <v>1980</v>
      </c>
      <c r="O138" s="37">
        <v>1855</v>
      </c>
      <c r="Q138" s="61">
        <f>+O138</f>
        <v>1855</v>
      </c>
      <c r="R138" s="62">
        <f t="shared" si="26"/>
        <v>2096.1499999999996</v>
      </c>
      <c r="S138" s="126" t="s">
        <v>426</v>
      </c>
      <c r="U138" s="117">
        <v>1980</v>
      </c>
      <c r="V138" s="62">
        <f t="shared" si="28"/>
        <v>2237.3999999999996</v>
      </c>
      <c r="W138" s="126" t="s">
        <v>486</v>
      </c>
      <c r="X138" s="25">
        <f t="shared" si="29"/>
        <v>6.7385444743935305E-2</v>
      </c>
      <c r="Y138" s="114">
        <f t="shared" si="30"/>
        <v>2106.3829787234044</v>
      </c>
      <c r="Z138" s="114">
        <f t="shared" si="31"/>
        <v>2274.8936170212769</v>
      </c>
    </row>
    <row r="139" spans="1:26">
      <c r="A139" s="79" t="s">
        <v>47</v>
      </c>
      <c r="B139" s="80" t="s">
        <v>200</v>
      </c>
      <c r="C139" s="81" t="s">
        <v>196</v>
      </c>
      <c r="D139" s="81" t="s">
        <v>236</v>
      </c>
      <c r="E139" s="79" t="s">
        <v>169</v>
      </c>
      <c r="F139" s="81" t="s">
        <v>147</v>
      </c>
      <c r="G139" s="81" t="s">
        <v>242</v>
      </c>
      <c r="H139" s="79">
        <v>4000</v>
      </c>
      <c r="I139" s="82">
        <v>854470000000</v>
      </c>
      <c r="J139" s="79" t="s">
        <v>353</v>
      </c>
      <c r="K139" s="36">
        <v>3480</v>
      </c>
      <c r="L139" s="59"/>
      <c r="M139" s="36">
        <v>3215</v>
      </c>
      <c r="N139" s="37">
        <v>3450</v>
      </c>
      <c r="O139" s="37">
        <v>3200</v>
      </c>
      <c r="Q139" s="61">
        <f>+O139</f>
        <v>3200</v>
      </c>
      <c r="R139" s="62">
        <f t="shared" si="26"/>
        <v>3615.9999999999995</v>
      </c>
      <c r="S139" s="126" t="s">
        <v>426</v>
      </c>
      <c r="U139" s="117">
        <v>3450</v>
      </c>
      <c r="V139" s="62">
        <f t="shared" si="28"/>
        <v>3898.4999999999995</v>
      </c>
      <c r="W139" s="126" t="s">
        <v>486</v>
      </c>
      <c r="X139" s="25">
        <f t="shared" si="29"/>
        <v>7.8125E-2</v>
      </c>
      <c r="Y139" s="114">
        <f t="shared" si="30"/>
        <v>3670.2127659574471</v>
      </c>
      <c r="Z139" s="114">
        <f t="shared" si="31"/>
        <v>3963.8297872340431</v>
      </c>
    </row>
    <row r="140" spans="1:26">
      <c r="A140" s="79" t="s">
        <v>89</v>
      </c>
      <c r="B140" s="80" t="s">
        <v>200</v>
      </c>
      <c r="C140" s="81" t="s">
        <v>196</v>
      </c>
      <c r="D140" s="81" t="s">
        <v>237</v>
      </c>
      <c r="E140" s="79" t="s">
        <v>169</v>
      </c>
      <c r="F140" s="81" t="s">
        <v>479</v>
      </c>
      <c r="G140" s="81" t="s">
        <v>242</v>
      </c>
      <c r="H140" s="79">
        <v>4000</v>
      </c>
      <c r="I140" s="82">
        <v>854470000000</v>
      </c>
      <c r="J140" s="79" t="s">
        <v>353</v>
      </c>
      <c r="K140" s="36">
        <v>643</v>
      </c>
      <c r="L140" s="59">
        <v>660</v>
      </c>
      <c r="M140" s="36"/>
      <c r="N140" s="60">
        <v>710</v>
      </c>
      <c r="O140" s="60">
        <v>0</v>
      </c>
      <c r="Q140" s="61">
        <f t="shared" ref="Q140:Q147" si="32">+N140</f>
        <v>710</v>
      </c>
      <c r="R140" s="62">
        <f t="shared" si="26"/>
        <v>802.3</v>
      </c>
      <c r="S140" s="126" t="s">
        <v>428</v>
      </c>
      <c r="U140" s="117">
        <v>730</v>
      </c>
      <c r="V140" s="62">
        <f t="shared" si="28"/>
        <v>824.9</v>
      </c>
      <c r="W140" s="126" t="s">
        <v>428</v>
      </c>
      <c r="X140" s="25">
        <f t="shared" si="29"/>
        <v>2.8169014084507043E-2</v>
      </c>
      <c r="Y140" s="114">
        <f t="shared" si="30"/>
        <v>776.59574468085111</v>
      </c>
      <c r="Z140" s="114">
        <f t="shared" si="31"/>
        <v>838.72340425531922</v>
      </c>
    </row>
    <row r="141" spans="1:26">
      <c r="A141" s="79" t="s">
        <v>89</v>
      </c>
      <c r="B141" s="80" t="s">
        <v>200</v>
      </c>
      <c r="C141" s="81" t="s">
        <v>196</v>
      </c>
      <c r="D141" s="81" t="s">
        <v>238</v>
      </c>
      <c r="E141" s="79" t="s">
        <v>169</v>
      </c>
      <c r="F141" s="81" t="s">
        <v>480</v>
      </c>
      <c r="G141" s="81" t="s">
        <v>242</v>
      </c>
      <c r="H141" s="79">
        <v>4000</v>
      </c>
      <c r="I141" s="82">
        <v>854470000000</v>
      </c>
      <c r="J141" s="79" t="s">
        <v>353</v>
      </c>
      <c r="K141" s="36">
        <v>686</v>
      </c>
      <c r="L141" s="59">
        <v>700</v>
      </c>
      <c r="M141" s="36"/>
      <c r="N141" s="60">
        <v>770</v>
      </c>
      <c r="O141" s="60">
        <v>0</v>
      </c>
      <c r="Q141" s="61">
        <f t="shared" si="32"/>
        <v>770</v>
      </c>
      <c r="R141" s="62">
        <f t="shared" si="26"/>
        <v>870.09999999999991</v>
      </c>
      <c r="S141" s="126" t="s">
        <v>428</v>
      </c>
      <c r="U141" s="117">
        <v>810</v>
      </c>
      <c r="V141" s="62">
        <f t="shared" si="28"/>
        <v>915.3</v>
      </c>
      <c r="W141" s="126" t="s">
        <v>428</v>
      </c>
      <c r="X141" s="25">
        <f t="shared" si="29"/>
        <v>5.1948051948051951E-2</v>
      </c>
      <c r="Y141" s="114">
        <f t="shared" si="30"/>
        <v>861.70212765957456</v>
      </c>
      <c r="Z141" s="114">
        <f t="shared" si="31"/>
        <v>930.63829787234056</v>
      </c>
    </row>
    <row r="142" spans="1:26">
      <c r="A142" s="79" t="s">
        <v>89</v>
      </c>
      <c r="B142" s="80" t="s">
        <v>200</v>
      </c>
      <c r="C142" s="81" t="s">
        <v>196</v>
      </c>
      <c r="D142" s="81" t="s">
        <v>239</v>
      </c>
      <c r="E142" s="79" t="s">
        <v>169</v>
      </c>
      <c r="F142" s="81" t="s">
        <v>481</v>
      </c>
      <c r="G142" s="81" t="s">
        <v>242</v>
      </c>
      <c r="H142" s="79">
        <v>4000</v>
      </c>
      <c r="I142" s="82">
        <v>854470000000</v>
      </c>
      <c r="J142" s="79" t="s">
        <v>353</v>
      </c>
      <c r="K142" s="36">
        <v>793</v>
      </c>
      <c r="L142" s="59">
        <v>810</v>
      </c>
      <c r="M142" s="36"/>
      <c r="N142" s="60">
        <v>955</v>
      </c>
      <c r="O142" s="60">
        <v>0</v>
      </c>
      <c r="Q142" s="61">
        <f t="shared" si="32"/>
        <v>955</v>
      </c>
      <c r="R142" s="62">
        <f t="shared" si="26"/>
        <v>1079.1499999999999</v>
      </c>
      <c r="S142" s="126" t="s">
        <v>428</v>
      </c>
      <c r="U142" s="117">
        <v>1135</v>
      </c>
      <c r="V142" s="62">
        <f t="shared" si="28"/>
        <v>1282.55</v>
      </c>
      <c r="W142" s="126" t="s">
        <v>428</v>
      </c>
      <c r="X142" s="25">
        <f t="shared" si="29"/>
        <v>0.18848167539267016</v>
      </c>
      <c r="Y142" s="114">
        <f t="shared" si="30"/>
        <v>1207.4468085106384</v>
      </c>
      <c r="Z142" s="114">
        <f t="shared" si="31"/>
        <v>1304.0425531914896</v>
      </c>
    </row>
    <row r="143" spans="1:26" s="78" customFormat="1">
      <c r="A143" s="69" t="s">
        <v>89</v>
      </c>
      <c r="B143" s="70" t="s">
        <v>200</v>
      </c>
      <c r="C143" s="71" t="s">
        <v>196</v>
      </c>
      <c r="D143" s="71" t="s">
        <v>477</v>
      </c>
      <c r="E143" s="69" t="s">
        <v>169</v>
      </c>
      <c r="F143" s="71" t="s">
        <v>478</v>
      </c>
      <c r="G143" s="71" t="s">
        <v>242</v>
      </c>
      <c r="H143" s="69">
        <v>4000</v>
      </c>
      <c r="I143" s="72">
        <v>854470000000</v>
      </c>
      <c r="J143" s="69" t="s">
        <v>353</v>
      </c>
      <c r="K143" s="73">
        <v>793</v>
      </c>
      <c r="L143" s="74">
        <v>810</v>
      </c>
      <c r="M143" s="73"/>
      <c r="N143" s="83">
        <v>955</v>
      </c>
      <c r="O143" s="83">
        <v>0</v>
      </c>
      <c r="P143" s="76"/>
      <c r="Q143" s="84">
        <f t="shared" si="32"/>
        <v>955</v>
      </c>
      <c r="R143" s="85">
        <f t="shared" si="26"/>
        <v>1079.1499999999999</v>
      </c>
      <c r="S143" s="130" t="s">
        <v>428</v>
      </c>
      <c r="U143" s="120">
        <v>1135</v>
      </c>
      <c r="V143" s="85">
        <f t="shared" si="28"/>
        <v>1282.55</v>
      </c>
      <c r="W143" s="130" t="s">
        <v>428</v>
      </c>
      <c r="X143" s="25">
        <f t="shared" si="29"/>
        <v>0.18848167539267016</v>
      </c>
      <c r="Y143" s="134">
        <f t="shared" si="30"/>
        <v>1207.4468085106384</v>
      </c>
      <c r="Z143" s="134">
        <f t="shared" si="31"/>
        <v>1304.0425531914896</v>
      </c>
    </row>
    <row r="144" spans="1:26">
      <c r="A144" s="79" t="s">
        <v>89</v>
      </c>
      <c r="B144" s="80" t="s">
        <v>200</v>
      </c>
      <c r="C144" s="81" t="s">
        <v>196</v>
      </c>
      <c r="D144" s="81" t="s">
        <v>345</v>
      </c>
      <c r="E144" s="79" t="s">
        <v>169</v>
      </c>
      <c r="F144" s="81" t="s">
        <v>482</v>
      </c>
      <c r="G144" s="81" t="s">
        <v>242</v>
      </c>
      <c r="H144" s="79">
        <v>4000</v>
      </c>
      <c r="I144" s="82">
        <v>854470000000</v>
      </c>
      <c r="J144" s="79" t="s">
        <v>353</v>
      </c>
      <c r="K144" s="36">
        <v>1345</v>
      </c>
      <c r="L144" s="59">
        <v>1368</v>
      </c>
      <c r="M144" s="36"/>
      <c r="N144" s="60">
        <v>2145</v>
      </c>
      <c r="O144" s="60">
        <v>0</v>
      </c>
      <c r="Q144" s="61">
        <f t="shared" si="32"/>
        <v>2145</v>
      </c>
      <c r="R144" s="62">
        <f t="shared" si="26"/>
        <v>2423.85</v>
      </c>
      <c r="S144" s="126" t="s">
        <v>428</v>
      </c>
      <c r="U144" s="117">
        <v>2280</v>
      </c>
      <c r="V144" s="62">
        <f t="shared" si="28"/>
        <v>2576.3999999999996</v>
      </c>
      <c r="W144" s="126" t="s">
        <v>428</v>
      </c>
      <c r="X144" s="25">
        <f t="shared" si="29"/>
        <v>6.2937062937062943E-2</v>
      </c>
      <c r="Y144" s="114">
        <f t="shared" si="30"/>
        <v>2425.5319148936173</v>
      </c>
      <c r="Z144" s="114">
        <f t="shared" si="31"/>
        <v>2619.5744680851067</v>
      </c>
    </row>
    <row r="145" spans="1:26">
      <c r="A145" s="79" t="s">
        <v>89</v>
      </c>
      <c r="B145" s="80" t="s">
        <v>200</v>
      </c>
      <c r="C145" s="81" t="s">
        <v>196</v>
      </c>
      <c r="D145" s="81" t="s">
        <v>346</v>
      </c>
      <c r="E145" s="79" t="s">
        <v>169</v>
      </c>
      <c r="F145" s="81" t="s">
        <v>483</v>
      </c>
      <c r="G145" s="81" t="s">
        <v>242</v>
      </c>
      <c r="H145" s="79">
        <v>4000</v>
      </c>
      <c r="I145" s="82">
        <v>854470000000</v>
      </c>
      <c r="J145" s="79" t="s">
        <v>353</v>
      </c>
      <c r="K145" s="36">
        <v>2111</v>
      </c>
      <c r="L145" s="59">
        <v>2156</v>
      </c>
      <c r="M145" s="36"/>
      <c r="N145" s="60">
        <v>3675</v>
      </c>
      <c r="O145" s="60">
        <v>0</v>
      </c>
      <c r="Q145" s="61">
        <f t="shared" si="32"/>
        <v>3675</v>
      </c>
      <c r="R145" s="62">
        <f t="shared" si="26"/>
        <v>4152.75</v>
      </c>
      <c r="S145" s="126" t="s">
        <v>428</v>
      </c>
      <c r="U145" s="117">
        <v>3810</v>
      </c>
      <c r="V145" s="62">
        <f t="shared" si="28"/>
        <v>4305.2999999999993</v>
      </c>
      <c r="W145" s="126" t="s">
        <v>428</v>
      </c>
      <c r="X145" s="25">
        <f t="shared" si="29"/>
        <v>3.6734693877551024E-2</v>
      </c>
      <c r="Y145" s="114">
        <f t="shared" si="30"/>
        <v>4053.1914893617022</v>
      </c>
      <c r="Z145" s="114">
        <f t="shared" si="31"/>
        <v>4377.4468085106391</v>
      </c>
    </row>
    <row r="146" spans="1:26">
      <c r="A146" s="15" t="s">
        <v>3</v>
      </c>
      <c r="B146" s="16" t="s">
        <v>248</v>
      </c>
      <c r="C146" s="17" t="s">
        <v>37</v>
      </c>
      <c r="D146" s="17" t="s">
        <v>38</v>
      </c>
      <c r="E146" s="15" t="s">
        <v>167</v>
      </c>
      <c r="F146" s="17" t="s">
        <v>39</v>
      </c>
      <c r="G146" s="17" t="s">
        <v>242</v>
      </c>
      <c r="H146" s="15">
        <v>4000</v>
      </c>
      <c r="I146" s="18">
        <v>854470000000</v>
      </c>
      <c r="J146" s="15" t="s">
        <v>353</v>
      </c>
      <c r="K146" s="36">
        <v>1412</v>
      </c>
      <c r="L146" s="59">
        <v>1432</v>
      </c>
      <c r="M146" s="36"/>
      <c r="N146" s="37">
        <v>1412</v>
      </c>
      <c r="O146" s="37">
        <v>1230</v>
      </c>
      <c r="Q146" s="29">
        <f t="shared" si="32"/>
        <v>1412</v>
      </c>
      <c r="R146" s="30">
        <f t="shared" si="26"/>
        <v>1595.56</v>
      </c>
      <c r="S146" s="126" t="s">
        <v>425</v>
      </c>
      <c r="U146" s="114">
        <v>1550</v>
      </c>
      <c r="V146" s="30">
        <f t="shared" si="28"/>
        <v>1751.4999999999998</v>
      </c>
      <c r="W146" s="126" t="s">
        <v>425</v>
      </c>
      <c r="X146" s="25">
        <f t="shared" si="29"/>
        <v>9.7733711048158645E-2</v>
      </c>
      <c r="Y146" s="114">
        <f t="shared" si="30"/>
        <v>1648.936170212766</v>
      </c>
      <c r="Z146" s="114">
        <f t="shared" si="31"/>
        <v>1780.8510638297873</v>
      </c>
    </row>
    <row r="147" spans="1:26">
      <c r="A147" s="15" t="s">
        <v>3</v>
      </c>
      <c r="B147" s="16" t="s">
        <v>248</v>
      </c>
      <c r="C147" s="17" t="s">
        <v>37</v>
      </c>
      <c r="D147" s="17" t="s">
        <v>40</v>
      </c>
      <c r="E147" s="15" t="s">
        <v>167</v>
      </c>
      <c r="F147" s="17" t="s">
        <v>41</v>
      </c>
      <c r="G147" s="17" t="s">
        <v>242</v>
      </c>
      <c r="H147" s="15">
        <v>4000</v>
      </c>
      <c r="I147" s="18">
        <v>854470000000</v>
      </c>
      <c r="J147" s="15" t="s">
        <v>353</v>
      </c>
      <c r="K147" s="36">
        <v>2550</v>
      </c>
      <c r="L147" s="59">
        <v>2580</v>
      </c>
      <c r="M147" s="36"/>
      <c r="N147" s="37">
        <v>2550</v>
      </c>
      <c r="O147" s="37">
        <v>2210</v>
      </c>
      <c r="Q147" s="29">
        <f t="shared" si="32"/>
        <v>2550</v>
      </c>
      <c r="R147" s="30">
        <f t="shared" si="26"/>
        <v>2881.4999999999995</v>
      </c>
      <c r="S147" s="126" t="s">
        <v>425</v>
      </c>
      <c r="U147" s="114">
        <v>2640</v>
      </c>
      <c r="V147" s="30">
        <f t="shared" si="28"/>
        <v>2983.2</v>
      </c>
      <c r="W147" s="126" t="s">
        <v>425</v>
      </c>
      <c r="X147" s="25">
        <f t="shared" si="29"/>
        <v>3.5294117647058823E-2</v>
      </c>
      <c r="Y147" s="114">
        <f t="shared" si="30"/>
        <v>2808.5106382978724</v>
      </c>
      <c r="Z147" s="114">
        <f t="shared" si="31"/>
        <v>3033.1914893617022</v>
      </c>
    </row>
    <row r="148" spans="1:26">
      <c r="A148" s="15" t="s">
        <v>47</v>
      </c>
      <c r="B148" s="16" t="s">
        <v>248</v>
      </c>
      <c r="C148" s="17" t="s">
        <v>37</v>
      </c>
      <c r="D148" s="17" t="s">
        <v>68</v>
      </c>
      <c r="E148" s="15" t="s">
        <v>167</v>
      </c>
      <c r="F148" s="17" t="s">
        <v>69</v>
      </c>
      <c r="G148" s="17" t="s">
        <v>242</v>
      </c>
      <c r="H148" s="15">
        <v>4000</v>
      </c>
      <c r="I148" s="18">
        <v>854470000000</v>
      </c>
      <c r="J148" s="15" t="s">
        <v>353</v>
      </c>
      <c r="K148" s="36">
        <v>3080</v>
      </c>
      <c r="L148" s="59">
        <v>3110</v>
      </c>
      <c r="M148" s="36">
        <v>2885</v>
      </c>
      <c r="N148" s="37">
        <v>3080</v>
      </c>
      <c r="O148" s="37">
        <v>2880</v>
      </c>
      <c r="Q148" s="61">
        <f>+O148</f>
        <v>2880</v>
      </c>
      <c r="R148" s="62">
        <f t="shared" si="26"/>
        <v>3254.3999999999996</v>
      </c>
      <c r="S148" s="126" t="s">
        <v>426</v>
      </c>
      <c r="U148" s="117">
        <v>3080</v>
      </c>
      <c r="V148" s="62">
        <f t="shared" si="28"/>
        <v>3480.3999999999996</v>
      </c>
      <c r="W148" s="126" t="s">
        <v>486</v>
      </c>
      <c r="X148" s="25">
        <f t="shared" si="29"/>
        <v>6.9444444444444448E-2</v>
      </c>
      <c r="Y148" s="114">
        <f t="shared" si="30"/>
        <v>3276.5957446808511</v>
      </c>
      <c r="Z148" s="114">
        <f t="shared" si="31"/>
        <v>3538.7234042553196</v>
      </c>
    </row>
    <row r="149" spans="1:26">
      <c r="A149" s="15" t="s">
        <v>47</v>
      </c>
      <c r="B149" s="16" t="s">
        <v>248</v>
      </c>
      <c r="C149" s="17" t="s">
        <v>37</v>
      </c>
      <c r="D149" s="17" t="s">
        <v>70</v>
      </c>
      <c r="E149" s="15" t="s">
        <v>167</v>
      </c>
      <c r="F149" s="17" t="s">
        <v>71</v>
      </c>
      <c r="G149" s="17" t="s">
        <v>242</v>
      </c>
      <c r="H149" s="15">
        <v>4000</v>
      </c>
      <c r="I149" s="18">
        <v>854470000000</v>
      </c>
      <c r="J149" s="15" t="s">
        <v>353</v>
      </c>
      <c r="K149" s="36">
        <v>5788</v>
      </c>
      <c r="L149" s="59">
        <v>5814</v>
      </c>
      <c r="M149" s="36">
        <v>5485</v>
      </c>
      <c r="N149" s="37">
        <v>5788</v>
      </c>
      <c r="O149" s="37">
        <v>5485</v>
      </c>
      <c r="Q149" s="61">
        <f>+O149</f>
        <v>5485</v>
      </c>
      <c r="R149" s="62">
        <f t="shared" si="26"/>
        <v>6198.0499999999993</v>
      </c>
      <c r="S149" s="126" t="s">
        <v>426</v>
      </c>
      <c r="U149" s="117">
        <v>5800</v>
      </c>
      <c r="V149" s="62">
        <f t="shared" si="28"/>
        <v>6553.9999999999991</v>
      </c>
      <c r="W149" s="126" t="s">
        <v>486</v>
      </c>
      <c r="X149" s="25">
        <f t="shared" si="29"/>
        <v>5.7429352780309938E-2</v>
      </c>
      <c r="Y149" s="114">
        <f t="shared" si="30"/>
        <v>6170.2127659574471</v>
      </c>
      <c r="Z149" s="114">
        <f t="shared" si="31"/>
        <v>6663.8297872340436</v>
      </c>
    </row>
    <row r="150" spans="1:26">
      <c r="A150" s="15" t="s">
        <v>89</v>
      </c>
      <c r="B150" s="16" t="s">
        <v>248</v>
      </c>
      <c r="C150" s="17" t="s">
        <v>37</v>
      </c>
      <c r="D150" s="17" t="s">
        <v>249</v>
      </c>
      <c r="E150" s="15" t="s">
        <v>167</v>
      </c>
      <c r="F150" s="17" t="s">
        <v>437</v>
      </c>
      <c r="G150" s="17" t="s">
        <v>242</v>
      </c>
      <c r="H150" s="15">
        <v>4000</v>
      </c>
      <c r="I150" s="18">
        <v>854470000000</v>
      </c>
      <c r="J150" s="15" t="s">
        <v>353</v>
      </c>
      <c r="K150" s="36">
        <v>378</v>
      </c>
      <c r="L150" s="59">
        <v>406</v>
      </c>
      <c r="M150" s="36"/>
      <c r="N150" s="60">
        <v>520</v>
      </c>
      <c r="O150" s="60">
        <v>0</v>
      </c>
      <c r="Q150" s="61">
        <f t="shared" ref="Q150:Q159" si="33">+N150</f>
        <v>520</v>
      </c>
      <c r="R150" s="62">
        <f t="shared" si="26"/>
        <v>587.59999999999991</v>
      </c>
      <c r="S150" s="126" t="s">
        <v>428</v>
      </c>
      <c r="U150" s="117">
        <v>625</v>
      </c>
      <c r="V150" s="62">
        <f t="shared" si="28"/>
        <v>706.24999999999989</v>
      </c>
      <c r="W150" s="126" t="s">
        <v>428</v>
      </c>
      <c r="X150" s="25">
        <f t="shared" si="29"/>
        <v>0.20192307692307693</v>
      </c>
      <c r="Y150" s="114">
        <f t="shared" si="30"/>
        <v>664.89361702127667</v>
      </c>
      <c r="Z150" s="114">
        <f t="shared" si="31"/>
        <v>718.08510638297889</v>
      </c>
    </row>
    <row r="151" spans="1:26">
      <c r="A151" s="15" t="s">
        <v>89</v>
      </c>
      <c r="B151" s="16" t="s">
        <v>248</v>
      </c>
      <c r="C151" s="17" t="s">
        <v>37</v>
      </c>
      <c r="D151" s="17" t="s">
        <v>121</v>
      </c>
      <c r="E151" s="15" t="s">
        <v>167</v>
      </c>
      <c r="F151" s="17" t="s">
        <v>122</v>
      </c>
      <c r="G151" s="17" t="s">
        <v>242</v>
      </c>
      <c r="H151" s="15">
        <v>4000</v>
      </c>
      <c r="I151" s="18">
        <v>854470000000</v>
      </c>
      <c r="J151" s="15" t="s">
        <v>353</v>
      </c>
      <c r="K151" s="36">
        <v>494</v>
      </c>
      <c r="L151" s="59">
        <v>500</v>
      </c>
      <c r="M151" s="36"/>
      <c r="N151" s="60">
        <v>720</v>
      </c>
      <c r="O151" s="60">
        <v>0</v>
      </c>
      <c r="Q151" s="61">
        <f t="shared" si="33"/>
        <v>720</v>
      </c>
      <c r="R151" s="62">
        <f t="shared" si="26"/>
        <v>813.59999999999991</v>
      </c>
      <c r="S151" s="126" t="s">
        <v>428</v>
      </c>
      <c r="U151" s="117">
        <v>900</v>
      </c>
      <c r="V151" s="62">
        <f t="shared" si="28"/>
        <v>1016.9999999999999</v>
      </c>
      <c r="W151" s="126" t="s">
        <v>428</v>
      </c>
      <c r="X151" s="25">
        <f t="shared" si="29"/>
        <v>0.25</v>
      </c>
      <c r="Y151" s="114">
        <f t="shared" si="30"/>
        <v>957.44680851063833</v>
      </c>
      <c r="Z151" s="114">
        <f t="shared" si="31"/>
        <v>1034.0425531914896</v>
      </c>
    </row>
    <row r="152" spans="1:26" ht="16.5" thickBot="1">
      <c r="A152" s="39" t="s">
        <v>89</v>
      </c>
      <c r="B152" s="40" t="s">
        <v>248</v>
      </c>
      <c r="C152" s="41" t="s">
        <v>37</v>
      </c>
      <c r="D152" s="41" t="s">
        <v>123</v>
      </c>
      <c r="E152" s="39" t="s">
        <v>167</v>
      </c>
      <c r="F152" s="41" t="s">
        <v>124</v>
      </c>
      <c r="G152" s="41" t="s">
        <v>242</v>
      </c>
      <c r="H152" s="39">
        <v>4000</v>
      </c>
      <c r="I152" s="42">
        <v>854470000000</v>
      </c>
      <c r="J152" s="43" t="s">
        <v>353</v>
      </c>
      <c r="K152" s="46">
        <v>700</v>
      </c>
      <c r="L152" s="63">
        <v>712</v>
      </c>
      <c r="M152" s="46"/>
      <c r="N152" s="64">
        <v>1190</v>
      </c>
      <c r="O152" s="64">
        <v>0</v>
      </c>
      <c r="Q152" s="65">
        <f t="shared" si="33"/>
        <v>1190</v>
      </c>
      <c r="R152" s="66">
        <f t="shared" si="26"/>
        <v>1344.6999999999998</v>
      </c>
      <c r="S152" s="127" t="s">
        <v>428</v>
      </c>
      <c r="U152" s="118">
        <v>1620</v>
      </c>
      <c r="V152" s="66">
        <f t="shared" si="28"/>
        <v>1830.6</v>
      </c>
      <c r="W152" s="127" t="s">
        <v>428</v>
      </c>
      <c r="X152" s="25">
        <f t="shared" si="29"/>
        <v>0.36134453781512604</v>
      </c>
      <c r="Y152" s="115">
        <f t="shared" si="30"/>
        <v>1723.4042553191491</v>
      </c>
      <c r="Z152" s="115">
        <f t="shared" si="31"/>
        <v>1861.2765957446811</v>
      </c>
    </row>
    <row r="153" spans="1:26" s="78" customFormat="1" ht="16.5" thickTop="1">
      <c r="A153" s="87" t="s">
        <v>3</v>
      </c>
      <c r="B153" s="88" t="s">
        <v>245</v>
      </c>
      <c r="C153" s="89" t="s">
        <v>32</v>
      </c>
      <c r="D153" s="89" t="s">
        <v>261</v>
      </c>
      <c r="E153" s="87" t="s">
        <v>168</v>
      </c>
      <c r="F153" s="89" t="s">
        <v>302</v>
      </c>
      <c r="G153" s="89" t="s">
        <v>242</v>
      </c>
      <c r="H153" s="87">
        <v>4000</v>
      </c>
      <c r="I153" s="90">
        <v>854470000000</v>
      </c>
      <c r="J153" s="87" t="s">
        <v>353</v>
      </c>
      <c r="K153" s="31">
        <v>738</v>
      </c>
      <c r="L153" s="55">
        <f>K153*1.05</f>
        <v>774.9</v>
      </c>
      <c r="M153" s="31"/>
      <c r="N153" s="33">
        <v>785</v>
      </c>
      <c r="O153" s="33">
        <v>750</v>
      </c>
      <c r="P153" s="76"/>
      <c r="Q153" s="23">
        <f t="shared" si="33"/>
        <v>785</v>
      </c>
      <c r="R153" s="24">
        <f t="shared" si="26"/>
        <v>887.05</v>
      </c>
      <c r="S153" s="125" t="s">
        <v>425</v>
      </c>
      <c r="U153" s="113">
        <v>785</v>
      </c>
      <c r="V153" s="24">
        <f t="shared" si="28"/>
        <v>887.05</v>
      </c>
      <c r="W153" s="125" t="s">
        <v>425</v>
      </c>
      <c r="X153" s="25">
        <f t="shared" si="29"/>
        <v>0</v>
      </c>
      <c r="Y153" s="113">
        <f t="shared" si="30"/>
        <v>835.10638297872345</v>
      </c>
      <c r="Z153" s="113">
        <f t="shared" si="31"/>
        <v>901.91489361702133</v>
      </c>
    </row>
    <row r="154" spans="1:26" s="78" customFormat="1">
      <c r="A154" s="79" t="s">
        <v>3</v>
      </c>
      <c r="B154" s="80" t="s">
        <v>245</v>
      </c>
      <c r="C154" s="81" t="s">
        <v>32</v>
      </c>
      <c r="D154" s="81" t="s">
        <v>262</v>
      </c>
      <c r="E154" s="79" t="s">
        <v>168</v>
      </c>
      <c r="F154" s="81" t="s">
        <v>303</v>
      </c>
      <c r="G154" s="81" t="s">
        <v>242</v>
      </c>
      <c r="H154" s="79">
        <v>4000</v>
      </c>
      <c r="I154" s="82">
        <v>854470000000</v>
      </c>
      <c r="J154" s="79" t="s">
        <v>353</v>
      </c>
      <c r="K154" s="36">
        <v>1053</v>
      </c>
      <c r="L154" s="59">
        <f>K154*1.03</f>
        <v>1084.5899999999999</v>
      </c>
      <c r="M154" s="36"/>
      <c r="N154" s="37">
        <v>950</v>
      </c>
      <c r="O154" s="37">
        <v>985</v>
      </c>
      <c r="P154" s="76"/>
      <c r="Q154" s="29">
        <f t="shared" si="33"/>
        <v>950</v>
      </c>
      <c r="R154" s="30">
        <f t="shared" ref="R154:R185" si="34">+Q154*R$4</f>
        <v>1073.5</v>
      </c>
      <c r="S154" s="126" t="s">
        <v>425</v>
      </c>
      <c r="U154" s="114">
        <v>1055</v>
      </c>
      <c r="V154" s="30">
        <f t="shared" si="28"/>
        <v>1192.1499999999999</v>
      </c>
      <c r="W154" s="126" t="s">
        <v>425</v>
      </c>
      <c r="X154" s="25">
        <f t="shared" si="29"/>
        <v>0.11052631578947368</v>
      </c>
      <c r="Y154" s="114">
        <f t="shared" si="30"/>
        <v>1122.3404255319149</v>
      </c>
      <c r="Z154" s="114">
        <f t="shared" si="31"/>
        <v>1212.1276595744682</v>
      </c>
    </row>
    <row r="155" spans="1:26">
      <c r="A155" s="79" t="s">
        <v>3</v>
      </c>
      <c r="B155" s="80" t="s">
        <v>245</v>
      </c>
      <c r="C155" s="81" t="s">
        <v>32</v>
      </c>
      <c r="D155" s="81" t="s">
        <v>33</v>
      </c>
      <c r="E155" s="79" t="s">
        <v>168</v>
      </c>
      <c r="F155" s="81" t="s">
        <v>34</v>
      </c>
      <c r="G155" s="81" t="s">
        <v>242</v>
      </c>
      <c r="H155" s="79">
        <v>4000</v>
      </c>
      <c r="I155" s="82">
        <v>854470000000</v>
      </c>
      <c r="J155" s="79" t="s">
        <v>353</v>
      </c>
      <c r="K155" s="36">
        <v>1485</v>
      </c>
      <c r="L155" s="59">
        <v>1510</v>
      </c>
      <c r="M155" s="36"/>
      <c r="N155" s="37">
        <v>1580</v>
      </c>
      <c r="O155" s="37">
        <v>1390</v>
      </c>
      <c r="P155" s="76"/>
      <c r="Q155" s="29">
        <f t="shared" si="33"/>
        <v>1580</v>
      </c>
      <c r="R155" s="30">
        <f t="shared" si="34"/>
        <v>1785.3999999999999</v>
      </c>
      <c r="S155" s="126" t="s">
        <v>425</v>
      </c>
      <c r="U155" s="114">
        <v>1580</v>
      </c>
      <c r="V155" s="30">
        <f t="shared" si="28"/>
        <v>1785.3999999999999</v>
      </c>
      <c r="W155" s="126" t="s">
        <v>425</v>
      </c>
      <c r="X155" s="25">
        <f t="shared" si="29"/>
        <v>0</v>
      </c>
      <c r="Y155" s="114">
        <f t="shared" si="30"/>
        <v>1680.8510638297873</v>
      </c>
      <c r="Z155" s="114">
        <f t="shared" si="31"/>
        <v>1815.3191489361704</v>
      </c>
    </row>
    <row r="156" spans="1:26" s="78" customFormat="1">
      <c r="A156" s="79" t="s">
        <v>3</v>
      </c>
      <c r="B156" s="80" t="s">
        <v>245</v>
      </c>
      <c r="C156" s="81" t="s">
        <v>32</v>
      </c>
      <c r="D156" s="81" t="s">
        <v>263</v>
      </c>
      <c r="E156" s="79" t="s">
        <v>168</v>
      </c>
      <c r="F156" s="81" t="s">
        <v>304</v>
      </c>
      <c r="G156" s="81" t="s">
        <v>242</v>
      </c>
      <c r="H156" s="79">
        <v>4000</v>
      </c>
      <c r="I156" s="82">
        <v>854470000000</v>
      </c>
      <c r="J156" s="79" t="s">
        <v>353</v>
      </c>
      <c r="K156" s="36">
        <v>2306</v>
      </c>
      <c r="L156" s="59">
        <f>K156*1.03</f>
        <v>2375.1799999999998</v>
      </c>
      <c r="M156" s="36"/>
      <c r="N156" s="37">
        <v>2360</v>
      </c>
      <c r="O156" s="37">
        <v>2000</v>
      </c>
      <c r="P156" s="76"/>
      <c r="Q156" s="29">
        <f t="shared" si="33"/>
        <v>2360</v>
      </c>
      <c r="R156" s="30">
        <f t="shared" si="34"/>
        <v>2666.7999999999997</v>
      </c>
      <c r="S156" s="126" t="s">
        <v>425</v>
      </c>
      <c r="U156" s="114">
        <v>2380</v>
      </c>
      <c r="V156" s="30">
        <f t="shared" si="28"/>
        <v>2689.3999999999996</v>
      </c>
      <c r="W156" s="126" t="s">
        <v>425</v>
      </c>
      <c r="X156" s="25">
        <f t="shared" si="29"/>
        <v>8.4745762711864406E-3</v>
      </c>
      <c r="Y156" s="114">
        <f t="shared" si="30"/>
        <v>2531.9148936170213</v>
      </c>
      <c r="Z156" s="114">
        <f t="shared" si="31"/>
        <v>2734.4680851063831</v>
      </c>
    </row>
    <row r="157" spans="1:26">
      <c r="A157" s="79" t="s">
        <v>3</v>
      </c>
      <c r="B157" s="80" t="s">
        <v>245</v>
      </c>
      <c r="C157" s="81" t="s">
        <v>32</v>
      </c>
      <c r="D157" s="81" t="s">
        <v>35</v>
      </c>
      <c r="E157" s="79" t="s">
        <v>168</v>
      </c>
      <c r="F157" s="81" t="s">
        <v>36</v>
      </c>
      <c r="G157" s="81" t="s">
        <v>242</v>
      </c>
      <c r="H157" s="79">
        <v>4000</v>
      </c>
      <c r="I157" s="82">
        <v>854470000000</v>
      </c>
      <c r="J157" s="79" t="s">
        <v>353</v>
      </c>
      <c r="K157" s="36">
        <v>2755</v>
      </c>
      <c r="L157" s="59">
        <v>2770</v>
      </c>
      <c r="M157" s="36"/>
      <c r="N157" s="37">
        <v>3100</v>
      </c>
      <c r="O157" s="37">
        <v>2590</v>
      </c>
      <c r="P157" s="76"/>
      <c r="Q157" s="29">
        <f t="shared" si="33"/>
        <v>3100</v>
      </c>
      <c r="R157" s="30">
        <f t="shared" si="34"/>
        <v>3502.9999999999995</v>
      </c>
      <c r="S157" s="126" t="s">
        <v>425</v>
      </c>
      <c r="U157" s="114">
        <v>3100</v>
      </c>
      <c r="V157" s="30">
        <f t="shared" si="28"/>
        <v>3502.9999999999995</v>
      </c>
      <c r="W157" s="126" t="s">
        <v>425</v>
      </c>
      <c r="X157" s="25">
        <f t="shared" si="29"/>
        <v>0</v>
      </c>
      <c r="Y157" s="114">
        <f t="shared" si="30"/>
        <v>3297.872340425532</v>
      </c>
      <c r="Z157" s="114">
        <f t="shared" si="31"/>
        <v>3561.7021276595747</v>
      </c>
    </row>
    <row r="158" spans="1:26" s="78" customFormat="1">
      <c r="A158" s="79" t="s">
        <v>3</v>
      </c>
      <c r="B158" s="80" t="s">
        <v>245</v>
      </c>
      <c r="C158" s="81" t="s">
        <v>32</v>
      </c>
      <c r="D158" s="81" t="s">
        <v>264</v>
      </c>
      <c r="E158" s="79" t="s">
        <v>168</v>
      </c>
      <c r="F158" s="81" t="s">
        <v>305</v>
      </c>
      <c r="G158" s="81" t="s">
        <v>242</v>
      </c>
      <c r="H158" s="79">
        <v>4000</v>
      </c>
      <c r="I158" s="82">
        <v>854470000000</v>
      </c>
      <c r="J158" s="79" t="s">
        <v>353</v>
      </c>
      <c r="K158" s="36">
        <v>4388</v>
      </c>
      <c r="L158" s="59">
        <f>K158*1.03</f>
        <v>4519.6400000000003</v>
      </c>
      <c r="M158" s="36"/>
      <c r="N158" s="37">
        <v>4400</v>
      </c>
      <c r="O158" s="37">
        <v>3700</v>
      </c>
      <c r="P158" s="76"/>
      <c r="Q158" s="29">
        <f t="shared" si="33"/>
        <v>4400</v>
      </c>
      <c r="R158" s="30">
        <f t="shared" si="34"/>
        <v>4971.9999999999991</v>
      </c>
      <c r="S158" s="126" t="s">
        <v>425</v>
      </c>
      <c r="U158" s="114">
        <v>4400</v>
      </c>
      <c r="V158" s="30">
        <f t="shared" si="28"/>
        <v>4971.9999999999991</v>
      </c>
      <c r="W158" s="126" t="s">
        <v>425</v>
      </c>
      <c r="X158" s="25">
        <f t="shared" si="29"/>
        <v>0</v>
      </c>
      <c r="Y158" s="114">
        <f t="shared" si="30"/>
        <v>4680.8510638297876</v>
      </c>
      <c r="Z158" s="114">
        <f t="shared" si="31"/>
        <v>5055.3191489361707</v>
      </c>
    </row>
    <row r="159" spans="1:26" s="78" customFormat="1">
      <c r="A159" s="79" t="s">
        <v>3</v>
      </c>
      <c r="B159" s="80" t="s">
        <v>245</v>
      </c>
      <c r="C159" s="81" t="s">
        <v>32</v>
      </c>
      <c r="D159" s="81" t="s">
        <v>265</v>
      </c>
      <c r="E159" s="79" t="s">
        <v>168</v>
      </c>
      <c r="F159" s="81" t="s">
        <v>306</v>
      </c>
      <c r="G159" s="81" t="s">
        <v>242</v>
      </c>
      <c r="H159" s="79">
        <v>4000</v>
      </c>
      <c r="I159" s="82">
        <v>854470000000</v>
      </c>
      <c r="J159" s="79" t="s">
        <v>353</v>
      </c>
      <c r="K159" s="36">
        <v>8385</v>
      </c>
      <c r="L159" s="59">
        <f>K159*1.03</f>
        <v>8636.5500000000011</v>
      </c>
      <c r="M159" s="36"/>
      <c r="N159" s="37">
        <v>7680</v>
      </c>
      <c r="O159" s="37">
        <v>6935</v>
      </c>
      <c r="P159" s="76"/>
      <c r="Q159" s="29">
        <f t="shared" si="33"/>
        <v>7680</v>
      </c>
      <c r="R159" s="30">
        <f t="shared" si="34"/>
        <v>8678.4</v>
      </c>
      <c r="S159" s="126" t="s">
        <v>425</v>
      </c>
      <c r="U159" s="114">
        <v>7680</v>
      </c>
      <c r="V159" s="30">
        <f t="shared" si="28"/>
        <v>8678.4</v>
      </c>
      <c r="W159" s="126" t="s">
        <v>425</v>
      </c>
      <c r="X159" s="25">
        <f t="shared" si="29"/>
        <v>0</v>
      </c>
      <c r="Y159" s="114">
        <f t="shared" si="30"/>
        <v>8170.2127659574471</v>
      </c>
      <c r="Z159" s="114">
        <f t="shared" si="31"/>
        <v>8823.8297872340427</v>
      </c>
    </row>
    <row r="160" spans="1:26" s="78" customFormat="1">
      <c r="A160" s="79" t="s">
        <v>47</v>
      </c>
      <c r="B160" s="80" t="s">
        <v>245</v>
      </c>
      <c r="C160" s="81" t="s">
        <v>32</v>
      </c>
      <c r="D160" s="81" t="s">
        <v>266</v>
      </c>
      <c r="E160" s="79" t="s">
        <v>168</v>
      </c>
      <c r="F160" s="81" t="s">
        <v>307</v>
      </c>
      <c r="G160" s="81" t="s">
        <v>242</v>
      </c>
      <c r="H160" s="79">
        <v>4000</v>
      </c>
      <c r="I160" s="82">
        <v>854470000000</v>
      </c>
      <c r="J160" s="79" t="s">
        <v>353</v>
      </c>
      <c r="K160" s="36">
        <v>1284</v>
      </c>
      <c r="L160" s="59">
        <f>K160*1.03</f>
        <v>1322.52</v>
      </c>
      <c r="M160" s="36"/>
      <c r="N160" s="37">
        <v>1200</v>
      </c>
      <c r="O160" s="37">
        <v>1130</v>
      </c>
      <c r="P160" s="1"/>
      <c r="Q160" s="61">
        <f t="shared" ref="Q160:Q166" si="35">+O160</f>
        <v>1130</v>
      </c>
      <c r="R160" s="62">
        <f t="shared" si="34"/>
        <v>1276.8999999999999</v>
      </c>
      <c r="S160" s="126" t="s">
        <v>426</v>
      </c>
      <c r="U160" s="117">
        <v>1200</v>
      </c>
      <c r="V160" s="62">
        <f t="shared" si="28"/>
        <v>1355.9999999999998</v>
      </c>
      <c r="W160" s="126" t="s">
        <v>486</v>
      </c>
      <c r="X160" s="25">
        <f t="shared" si="29"/>
        <v>6.1946902654867256E-2</v>
      </c>
      <c r="Y160" s="114">
        <f t="shared" si="30"/>
        <v>1276.5957446808511</v>
      </c>
      <c r="Z160" s="114">
        <f t="shared" si="31"/>
        <v>1378.7234042553193</v>
      </c>
    </row>
    <row r="161" spans="1:26" s="78" customFormat="1">
      <c r="A161" s="79" t="s">
        <v>47</v>
      </c>
      <c r="B161" s="80" t="s">
        <v>245</v>
      </c>
      <c r="C161" s="81" t="s">
        <v>32</v>
      </c>
      <c r="D161" s="81" t="s">
        <v>267</v>
      </c>
      <c r="E161" s="79" t="s">
        <v>168</v>
      </c>
      <c r="F161" s="81" t="s">
        <v>308</v>
      </c>
      <c r="G161" s="81" t="s">
        <v>242</v>
      </c>
      <c r="H161" s="79">
        <v>4000</v>
      </c>
      <c r="I161" s="82">
        <v>854470000000</v>
      </c>
      <c r="J161" s="79" t="s">
        <v>353</v>
      </c>
      <c r="K161" s="36">
        <v>2145</v>
      </c>
      <c r="L161" s="59">
        <f>K161*1.03</f>
        <v>2209.35</v>
      </c>
      <c r="M161" s="36"/>
      <c r="N161" s="37">
        <v>1985</v>
      </c>
      <c r="O161" s="37">
        <v>1845</v>
      </c>
      <c r="P161" s="1"/>
      <c r="Q161" s="61">
        <f t="shared" si="35"/>
        <v>1845</v>
      </c>
      <c r="R161" s="62">
        <f t="shared" si="34"/>
        <v>2084.85</v>
      </c>
      <c r="S161" s="126" t="s">
        <v>426</v>
      </c>
      <c r="U161" s="117">
        <v>1985</v>
      </c>
      <c r="V161" s="62">
        <f t="shared" si="28"/>
        <v>2243.0499999999997</v>
      </c>
      <c r="W161" s="126" t="s">
        <v>486</v>
      </c>
      <c r="X161" s="25">
        <f t="shared" si="29"/>
        <v>7.5880758807588072E-2</v>
      </c>
      <c r="Y161" s="114">
        <f t="shared" si="30"/>
        <v>2111.7021276595747</v>
      </c>
      <c r="Z161" s="114">
        <f t="shared" si="31"/>
        <v>2280.6382978723409</v>
      </c>
    </row>
    <row r="162" spans="1:26">
      <c r="A162" s="79" t="s">
        <v>47</v>
      </c>
      <c r="B162" s="80" t="s">
        <v>245</v>
      </c>
      <c r="C162" s="81" t="s">
        <v>32</v>
      </c>
      <c r="D162" s="81" t="s">
        <v>56</v>
      </c>
      <c r="E162" s="79" t="s">
        <v>168</v>
      </c>
      <c r="F162" s="81" t="s">
        <v>57</v>
      </c>
      <c r="G162" s="81" t="s">
        <v>242</v>
      </c>
      <c r="H162" s="79">
        <v>4000</v>
      </c>
      <c r="I162" s="82">
        <v>854470000000</v>
      </c>
      <c r="J162" s="79" t="s">
        <v>353</v>
      </c>
      <c r="K162" s="36">
        <v>3175</v>
      </c>
      <c r="L162" s="59">
        <v>3196</v>
      </c>
      <c r="M162" s="36">
        <v>2985</v>
      </c>
      <c r="N162" s="37">
        <v>3175</v>
      </c>
      <c r="O162" s="37">
        <v>2985</v>
      </c>
      <c r="Q162" s="61">
        <f t="shared" si="35"/>
        <v>2985</v>
      </c>
      <c r="R162" s="62">
        <f t="shared" si="34"/>
        <v>3373.0499999999997</v>
      </c>
      <c r="S162" s="126" t="s">
        <v>426</v>
      </c>
      <c r="U162" s="117">
        <v>3175</v>
      </c>
      <c r="V162" s="62">
        <f t="shared" si="28"/>
        <v>3587.7499999999995</v>
      </c>
      <c r="W162" s="126" t="s">
        <v>486</v>
      </c>
      <c r="X162" s="25">
        <f t="shared" si="29"/>
        <v>6.3651591289782247E-2</v>
      </c>
      <c r="Y162" s="114">
        <f t="shared" si="30"/>
        <v>3377.6595744680853</v>
      </c>
      <c r="Z162" s="114">
        <f t="shared" si="31"/>
        <v>3647.8723404255325</v>
      </c>
    </row>
    <row r="163" spans="1:26" s="78" customFormat="1">
      <c r="A163" s="79" t="s">
        <v>47</v>
      </c>
      <c r="B163" s="80" t="s">
        <v>245</v>
      </c>
      <c r="C163" s="81" t="s">
        <v>32</v>
      </c>
      <c r="D163" s="81" t="s">
        <v>268</v>
      </c>
      <c r="E163" s="79" t="s">
        <v>168</v>
      </c>
      <c r="F163" s="81" t="s">
        <v>309</v>
      </c>
      <c r="G163" s="81" t="s">
        <v>242</v>
      </c>
      <c r="H163" s="79">
        <v>4000</v>
      </c>
      <c r="I163" s="82">
        <v>854470000000</v>
      </c>
      <c r="J163" s="79" t="s">
        <v>353</v>
      </c>
      <c r="K163" s="36">
        <v>5582</v>
      </c>
      <c r="L163" s="59">
        <f>K163*1.03</f>
        <v>5749.46</v>
      </c>
      <c r="M163" s="36"/>
      <c r="N163" s="37">
        <v>4560</v>
      </c>
      <c r="O163" s="37">
        <v>4280</v>
      </c>
      <c r="P163" s="1"/>
      <c r="Q163" s="61">
        <f t="shared" si="35"/>
        <v>4280</v>
      </c>
      <c r="R163" s="62">
        <f t="shared" si="34"/>
        <v>4836.3999999999996</v>
      </c>
      <c r="S163" s="126" t="s">
        <v>426</v>
      </c>
      <c r="U163" s="117">
        <v>4560</v>
      </c>
      <c r="V163" s="62">
        <f t="shared" si="28"/>
        <v>5152.7999999999993</v>
      </c>
      <c r="W163" s="126" t="s">
        <v>486</v>
      </c>
      <c r="X163" s="25">
        <f t="shared" si="29"/>
        <v>6.5420560747663545E-2</v>
      </c>
      <c r="Y163" s="114">
        <f t="shared" si="30"/>
        <v>4851.0638297872347</v>
      </c>
      <c r="Z163" s="114">
        <f t="shared" si="31"/>
        <v>5239.1489361702133</v>
      </c>
    </row>
    <row r="164" spans="1:26">
      <c r="A164" s="79" t="s">
        <v>47</v>
      </c>
      <c r="B164" s="80" t="s">
        <v>245</v>
      </c>
      <c r="C164" s="81" t="s">
        <v>32</v>
      </c>
      <c r="D164" s="81" t="s">
        <v>58</v>
      </c>
      <c r="E164" s="79" t="s">
        <v>168</v>
      </c>
      <c r="F164" s="81" t="s">
        <v>59</v>
      </c>
      <c r="G164" s="81" t="s">
        <v>242</v>
      </c>
      <c r="H164" s="79">
        <v>4000</v>
      </c>
      <c r="I164" s="82">
        <v>854470000000</v>
      </c>
      <c r="J164" s="79" t="s">
        <v>353</v>
      </c>
      <c r="K164" s="36">
        <v>5946</v>
      </c>
      <c r="L164" s="59">
        <v>5966</v>
      </c>
      <c r="M164" s="36">
        <v>5600</v>
      </c>
      <c r="N164" s="37">
        <v>5945</v>
      </c>
      <c r="O164" s="37">
        <v>5980</v>
      </c>
      <c r="Q164" s="61">
        <f t="shared" si="35"/>
        <v>5980</v>
      </c>
      <c r="R164" s="62">
        <f t="shared" si="34"/>
        <v>6757.4</v>
      </c>
      <c r="S164" s="126" t="s">
        <v>426</v>
      </c>
      <c r="U164" s="117">
        <v>5945</v>
      </c>
      <c r="V164" s="62">
        <f t="shared" ref="V164:V195" si="36">+U164*V$4</f>
        <v>6717.8499999999995</v>
      </c>
      <c r="W164" s="126" t="s">
        <v>486</v>
      </c>
      <c r="X164" s="25">
        <f t="shared" si="29"/>
        <v>-5.8528428093645481E-3</v>
      </c>
      <c r="Y164" s="114">
        <f t="shared" si="30"/>
        <v>6324.4680851063831</v>
      </c>
      <c r="Z164" s="114">
        <f t="shared" si="31"/>
        <v>6830.4255319148942</v>
      </c>
    </row>
    <row r="165" spans="1:26" s="78" customFormat="1">
      <c r="A165" s="79" t="s">
        <v>47</v>
      </c>
      <c r="B165" s="80" t="s">
        <v>245</v>
      </c>
      <c r="C165" s="81" t="s">
        <v>32</v>
      </c>
      <c r="D165" s="81" t="s">
        <v>269</v>
      </c>
      <c r="E165" s="79" t="s">
        <v>168</v>
      </c>
      <c r="F165" s="81" t="s">
        <v>310</v>
      </c>
      <c r="G165" s="81" t="s">
        <v>242</v>
      </c>
      <c r="H165" s="79">
        <v>4000</v>
      </c>
      <c r="I165" s="82">
        <v>854470000000</v>
      </c>
      <c r="J165" s="79" t="s">
        <v>353</v>
      </c>
      <c r="K165" s="36">
        <v>10940</v>
      </c>
      <c r="L165" s="59">
        <f>K165*1.02</f>
        <v>11158.800000000001</v>
      </c>
      <c r="M165" s="36"/>
      <c r="N165" s="37">
        <v>9340</v>
      </c>
      <c r="O165" s="37">
        <v>8780</v>
      </c>
      <c r="P165" s="1"/>
      <c r="Q165" s="61">
        <f t="shared" si="35"/>
        <v>8780</v>
      </c>
      <c r="R165" s="62">
        <f t="shared" si="34"/>
        <v>9921.4</v>
      </c>
      <c r="S165" s="126" t="s">
        <v>426</v>
      </c>
      <c r="U165" s="117">
        <v>9340</v>
      </c>
      <c r="V165" s="62">
        <f t="shared" si="36"/>
        <v>10554.199999999999</v>
      </c>
      <c r="W165" s="126" t="s">
        <v>486</v>
      </c>
      <c r="X165" s="25">
        <f t="shared" si="29"/>
        <v>6.3781321184510256E-2</v>
      </c>
      <c r="Y165" s="114">
        <f t="shared" si="30"/>
        <v>9936.1702127659573</v>
      </c>
      <c r="Z165" s="114">
        <f t="shared" si="31"/>
        <v>10731.063829787234</v>
      </c>
    </row>
    <row r="166" spans="1:26" s="78" customFormat="1">
      <c r="A166" s="79" t="s">
        <v>47</v>
      </c>
      <c r="B166" s="80" t="s">
        <v>245</v>
      </c>
      <c r="C166" s="81" t="s">
        <v>32</v>
      </c>
      <c r="D166" s="81" t="s">
        <v>270</v>
      </c>
      <c r="E166" s="79" t="s">
        <v>168</v>
      </c>
      <c r="F166" s="81" t="s">
        <v>311</v>
      </c>
      <c r="G166" s="81" t="s">
        <v>242</v>
      </c>
      <c r="H166" s="79">
        <v>4000</v>
      </c>
      <c r="I166" s="82">
        <v>854470000000</v>
      </c>
      <c r="J166" s="79" t="s">
        <v>353</v>
      </c>
      <c r="K166" s="36">
        <v>21489</v>
      </c>
      <c r="L166" s="59">
        <f>K166*1.02</f>
        <v>21918.78</v>
      </c>
      <c r="M166" s="36"/>
      <c r="N166" s="37">
        <v>18210</v>
      </c>
      <c r="O166" s="37">
        <v>17100</v>
      </c>
      <c r="P166" s="1"/>
      <c r="Q166" s="61">
        <f t="shared" si="35"/>
        <v>17100</v>
      </c>
      <c r="R166" s="62">
        <f t="shared" si="34"/>
        <v>19322.999999999996</v>
      </c>
      <c r="S166" s="126" t="s">
        <v>426</v>
      </c>
      <c r="U166" s="117">
        <v>18210</v>
      </c>
      <c r="V166" s="62">
        <f t="shared" si="36"/>
        <v>20577.3</v>
      </c>
      <c r="W166" s="126" t="s">
        <v>486</v>
      </c>
      <c r="X166" s="25">
        <f t="shared" si="29"/>
        <v>6.491228070175438E-2</v>
      </c>
      <c r="Y166" s="114">
        <f t="shared" si="30"/>
        <v>19372.340425531915</v>
      </c>
      <c r="Z166" s="114">
        <f t="shared" si="31"/>
        <v>20922.127659574468</v>
      </c>
    </row>
    <row r="167" spans="1:26" s="78" customFormat="1">
      <c r="A167" s="79" t="s">
        <v>76</v>
      </c>
      <c r="B167" s="80" t="s">
        <v>245</v>
      </c>
      <c r="C167" s="81" t="s">
        <v>32</v>
      </c>
      <c r="D167" s="81" t="s">
        <v>271</v>
      </c>
      <c r="E167" s="79" t="s">
        <v>168</v>
      </c>
      <c r="F167" s="81" t="s">
        <v>312</v>
      </c>
      <c r="G167" s="81" t="s">
        <v>242</v>
      </c>
      <c r="H167" s="79">
        <v>4000</v>
      </c>
      <c r="I167" s="82">
        <v>854470000000</v>
      </c>
      <c r="J167" s="79" t="s">
        <v>353</v>
      </c>
      <c r="K167" s="36">
        <v>1985</v>
      </c>
      <c r="L167" s="59">
        <f>K167*1.03</f>
        <v>2044.55</v>
      </c>
      <c r="M167" s="36"/>
      <c r="N167" s="60">
        <v>1915</v>
      </c>
      <c r="O167" s="60">
        <v>0</v>
      </c>
      <c r="P167" s="1"/>
      <c r="Q167" s="61">
        <f t="shared" ref="Q167:Q187" si="37">+N167</f>
        <v>1915</v>
      </c>
      <c r="R167" s="62">
        <f t="shared" si="34"/>
        <v>2163.9499999999998</v>
      </c>
      <c r="S167" s="126" t="s">
        <v>427</v>
      </c>
      <c r="U167" s="117">
        <v>1760</v>
      </c>
      <c r="V167" s="62">
        <f t="shared" si="36"/>
        <v>1988.7999999999997</v>
      </c>
      <c r="W167" s="126" t="s">
        <v>427</v>
      </c>
      <c r="X167" s="25">
        <f t="shared" si="29"/>
        <v>-8.0939947780678853E-2</v>
      </c>
      <c r="Y167" s="114">
        <f t="shared" si="30"/>
        <v>1872.3404255319149</v>
      </c>
      <c r="Z167" s="114">
        <f t="shared" si="31"/>
        <v>2022.1276595744682</v>
      </c>
    </row>
    <row r="168" spans="1:26" s="78" customFormat="1">
      <c r="A168" s="79" t="s">
        <v>76</v>
      </c>
      <c r="B168" s="80" t="s">
        <v>245</v>
      </c>
      <c r="C168" s="81" t="s">
        <v>32</v>
      </c>
      <c r="D168" s="81" t="s">
        <v>272</v>
      </c>
      <c r="E168" s="79" t="s">
        <v>168</v>
      </c>
      <c r="F168" s="81" t="s">
        <v>313</v>
      </c>
      <c r="G168" s="81" t="s">
        <v>242</v>
      </c>
      <c r="H168" s="79">
        <v>4000</v>
      </c>
      <c r="I168" s="82">
        <v>854470000000</v>
      </c>
      <c r="J168" s="79" t="s">
        <v>353</v>
      </c>
      <c r="K168" s="36">
        <v>3550</v>
      </c>
      <c r="L168" s="59">
        <f>K168*1.03</f>
        <v>3656.5</v>
      </c>
      <c r="M168" s="36"/>
      <c r="N168" s="60">
        <v>3350</v>
      </c>
      <c r="O168" s="60">
        <v>0</v>
      </c>
      <c r="P168" s="1"/>
      <c r="Q168" s="61">
        <f t="shared" si="37"/>
        <v>3350</v>
      </c>
      <c r="R168" s="62">
        <f t="shared" si="34"/>
        <v>3785.4999999999995</v>
      </c>
      <c r="S168" s="126" t="s">
        <v>427</v>
      </c>
      <c r="U168" s="117">
        <v>3160</v>
      </c>
      <c r="V168" s="62">
        <f t="shared" si="36"/>
        <v>3570.7999999999997</v>
      </c>
      <c r="W168" s="126" t="s">
        <v>427</v>
      </c>
      <c r="X168" s="25">
        <f t="shared" si="29"/>
        <v>-5.6716417910447764E-2</v>
      </c>
      <c r="Y168" s="114">
        <f t="shared" si="30"/>
        <v>3361.7021276595747</v>
      </c>
      <c r="Z168" s="114">
        <f t="shared" si="31"/>
        <v>3630.6382978723409</v>
      </c>
    </row>
    <row r="169" spans="1:26">
      <c r="A169" s="79" t="s">
        <v>76</v>
      </c>
      <c r="B169" s="80" t="s">
        <v>245</v>
      </c>
      <c r="C169" s="81" t="s">
        <v>32</v>
      </c>
      <c r="D169" s="81" t="s">
        <v>85</v>
      </c>
      <c r="E169" s="79" t="s">
        <v>168</v>
      </c>
      <c r="F169" s="81" t="s">
        <v>86</v>
      </c>
      <c r="G169" s="81" t="s">
        <v>242</v>
      </c>
      <c r="H169" s="79">
        <v>4000</v>
      </c>
      <c r="I169" s="82">
        <v>854470000000</v>
      </c>
      <c r="J169" s="79" t="s">
        <v>353</v>
      </c>
      <c r="K169" s="36">
        <v>5981</v>
      </c>
      <c r="L169" s="59">
        <v>5995</v>
      </c>
      <c r="M169" s="36"/>
      <c r="N169" s="60">
        <v>5900</v>
      </c>
      <c r="O169" s="60">
        <v>0</v>
      </c>
      <c r="Q169" s="61">
        <f t="shared" si="37"/>
        <v>5900</v>
      </c>
      <c r="R169" s="62">
        <f t="shared" si="34"/>
        <v>6666.9999999999991</v>
      </c>
      <c r="S169" s="126" t="s">
        <v>427</v>
      </c>
      <c r="U169" s="117">
        <v>5760</v>
      </c>
      <c r="V169" s="62">
        <f t="shared" si="36"/>
        <v>6508.7999999999993</v>
      </c>
      <c r="W169" s="126" t="s">
        <v>427</v>
      </c>
      <c r="X169" s="25">
        <f t="shared" si="29"/>
        <v>-2.3728813559322035E-2</v>
      </c>
      <c r="Y169" s="114">
        <f t="shared" si="30"/>
        <v>6127.6595744680853</v>
      </c>
      <c r="Z169" s="114">
        <f t="shared" si="31"/>
        <v>6617.8723404255325</v>
      </c>
    </row>
    <row r="170" spans="1:26" s="78" customFormat="1">
      <c r="A170" s="79" t="s">
        <v>76</v>
      </c>
      <c r="B170" s="80" t="s">
        <v>245</v>
      </c>
      <c r="C170" s="81" t="s">
        <v>32</v>
      </c>
      <c r="D170" s="81" t="s">
        <v>273</v>
      </c>
      <c r="E170" s="79" t="s">
        <v>168</v>
      </c>
      <c r="F170" s="81" t="s">
        <v>314</v>
      </c>
      <c r="G170" s="81" t="s">
        <v>242</v>
      </c>
      <c r="H170" s="79">
        <v>4000</v>
      </c>
      <c r="I170" s="82">
        <v>854470000000</v>
      </c>
      <c r="J170" s="79" t="s">
        <v>353</v>
      </c>
      <c r="K170" s="36">
        <v>9800</v>
      </c>
      <c r="L170" s="59">
        <f>K170*1.02</f>
        <v>9996</v>
      </c>
      <c r="M170" s="36"/>
      <c r="N170" s="60">
        <v>9080</v>
      </c>
      <c r="O170" s="60">
        <v>0</v>
      </c>
      <c r="P170" s="1"/>
      <c r="Q170" s="61">
        <f t="shared" si="37"/>
        <v>9080</v>
      </c>
      <c r="R170" s="62">
        <f t="shared" si="34"/>
        <v>10260.4</v>
      </c>
      <c r="S170" s="126" t="s">
        <v>427</v>
      </c>
      <c r="U170" s="117">
        <v>8580</v>
      </c>
      <c r="V170" s="62">
        <f t="shared" si="36"/>
        <v>9695.4</v>
      </c>
      <c r="W170" s="126" t="s">
        <v>427</v>
      </c>
      <c r="X170" s="25">
        <f t="shared" si="29"/>
        <v>-5.5066079295154183E-2</v>
      </c>
      <c r="Y170" s="114">
        <f t="shared" si="30"/>
        <v>9127.6595744680853</v>
      </c>
      <c r="Z170" s="114">
        <f t="shared" si="31"/>
        <v>9857.8723404255325</v>
      </c>
    </row>
    <row r="171" spans="1:26">
      <c r="A171" s="79" t="s">
        <v>76</v>
      </c>
      <c r="B171" s="80" t="s">
        <v>245</v>
      </c>
      <c r="C171" s="81" t="s">
        <v>32</v>
      </c>
      <c r="D171" s="81" t="s">
        <v>87</v>
      </c>
      <c r="E171" s="79" t="s">
        <v>168</v>
      </c>
      <c r="F171" s="81" t="s">
        <v>88</v>
      </c>
      <c r="G171" s="81" t="s">
        <v>242</v>
      </c>
      <c r="H171" s="79">
        <v>4000</v>
      </c>
      <c r="I171" s="82">
        <v>854470000000</v>
      </c>
      <c r="J171" s="79" t="s">
        <v>353</v>
      </c>
      <c r="K171" s="36">
        <v>11760</v>
      </c>
      <c r="L171" s="59">
        <v>11795</v>
      </c>
      <c r="M171" s="36"/>
      <c r="N171" s="60">
        <v>11765</v>
      </c>
      <c r="O171" s="60">
        <v>0</v>
      </c>
      <c r="Q171" s="61">
        <f t="shared" si="37"/>
        <v>11765</v>
      </c>
      <c r="R171" s="62">
        <f t="shared" si="34"/>
        <v>13294.449999999999</v>
      </c>
      <c r="S171" s="126" t="s">
        <v>427</v>
      </c>
      <c r="U171" s="117">
        <v>11320</v>
      </c>
      <c r="V171" s="62">
        <f t="shared" si="36"/>
        <v>12791.599999999999</v>
      </c>
      <c r="W171" s="126" t="s">
        <v>427</v>
      </c>
      <c r="X171" s="25">
        <f t="shared" si="29"/>
        <v>-3.7824054398640033E-2</v>
      </c>
      <c r="Y171" s="114">
        <f t="shared" si="30"/>
        <v>12042.553191489362</v>
      </c>
      <c r="Z171" s="114">
        <f t="shared" si="31"/>
        <v>13005.957446808512</v>
      </c>
    </row>
    <row r="172" spans="1:26" s="78" customFormat="1">
      <c r="A172" s="79" t="s">
        <v>76</v>
      </c>
      <c r="B172" s="80" t="s">
        <v>245</v>
      </c>
      <c r="C172" s="81" t="s">
        <v>32</v>
      </c>
      <c r="D172" s="81" t="s">
        <v>274</v>
      </c>
      <c r="E172" s="79" t="s">
        <v>168</v>
      </c>
      <c r="F172" s="81" t="s">
        <v>315</v>
      </c>
      <c r="G172" s="81" t="s">
        <v>242</v>
      </c>
      <c r="H172" s="79">
        <v>4000</v>
      </c>
      <c r="I172" s="82">
        <v>854470000000</v>
      </c>
      <c r="J172" s="79" t="s">
        <v>353</v>
      </c>
      <c r="K172" s="36">
        <v>19354</v>
      </c>
      <c r="L172" s="59">
        <f>K172*1.02</f>
        <v>19741.080000000002</v>
      </c>
      <c r="M172" s="36"/>
      <c r="N172" s="60">
        <v>18600</v>
      </c>
      <c r="O172" s="60">
        <v>0</v>
      </c>
      <c r="P172" s="1"/>
      <c r="Q172" s="61">
        <f t="shared" si="37"/>
        <v>18600</v>
      </c>
      <c r="R172" s="62">
        <f t="shared" si="34"/>
        <v>21017.999999999996</v>
      </c>
      <c r="S172" s="126" t="s">
        <v>427</v>
      </c>
      <c r="U172" s="117">
        <v>17850</v>
      </c>
      <c r="V172" s="62">
        <f t="shared" si="36"/>
        <v>20170.499999999996</v>
      </c>
      <c r="W172" s="126" t="s">
        <v>427</v>
      </c>
      <c r="X172" s="25">
        <f t="shared" si="29"/>
        <v>-4.0322580645161289E-2</v>
      </c>
      <c r="Y172" s="114">
        <f t="shared" si="30"/>
        <v>18989.361702127662</v>
      </c>
      <c r="Z172" s="114">
        <f t="shared" si="31"/>
        <v>20508.510638297877</v>
      </c>
    </row>
    <row r="173" spans="1:26" s="78" customFormat="1">
      <c r="A173" s="79" t="s">
        <v>76</v>
      </c>
      <c r="B173" s="80" t="s">
        <v>245</v>
      </c>
      <c r="C173" s="81" t="s">
        <v>32</v>
      </c>
      <c r="D173" s="81" t="s">
        <v>275</v>
      </c>
      <c r="E173" s="79" t="s">
        <v>168</v>
      </c>
      <c r="F173" s="81" t="s">
        <v>316</v>
      </c>
      <c r="G173" s="81" t="s">
        <v>242</v>
      </c>
      <c r="H173" s="79">
        <v>4000</v>
      </c>
      <c r="I173" s="82">
        <v>854470000000</v>
      </c>
      <c r="J173" s="79" t="s">
        <v>353</v>
      </c>
      <c r="K173" s="36">
        <v>38337</v>
      </c>
      <c r="L173" s="59">
        <f>K173*1.01</f>
        <v>38720.370000000003</v>
      </c>
      <c r="M173" s="36"/>
      <c r="N173" s="60">
        <v>35345</v>
      </c>
      <c r="O173" s="60">
        <v>0</v>
      </c>
      <c r="P173" s="1"/>
      <c r="Q173" s="61">
        <f t="shared" si="37"/>
        <v>35345</v>
      </c>
      <c r="R173" s="62">
        <f t="shared" si="34"/>
        <v>39939.85</v>
      </c>
      <c r="S173" s="126" t="s">
        <v>427</v>
      </c>
      <c r="U173" s="117">
        <v>34100</v>
      </c>
      <c r="V173" s="62">
        <f t="shared" si="36"/>
        <v>38533</v>
      </c>
      <c r="W173" s="126" t="s">
        <v>427</v>
      </c>
      <c r="X173" s="25">
        <f t="shared" si="29"/>
        <v>-3.5224218418446737E-2</v>
      </c>
      <c r="Y173" s="114">
        <f t="shared" si="30"/>
        <v>36276.595744680853</v>
      </c>
      <c r="Z173" s="114">
        <f t="shared" si="31"/>
        <v>39178.723404255325</v>
      </c>
    </row>
    <row r="174" spans="1:26" s="78" customFormat="1">
      <c r="A174" s="79" t="s">
        <v>89</v>
      </c>
      <c r="B174" s="80" t="s">
        <v>245</v>
      </c>
      <c r="C174" s="81" t="s">
        <v>32</v>
      </c>
      <c r="D174" s="81" t="s">
        <v>276</v>
      </c>
      <c r="E174" s="79" t="s">
        <v>168</v>
      </c>
      <c r="F174" s="81" t="s">
        <v>317</v>
      </c>
      <c r="G174" s="81" t="s">
        <v>242</v>
      </c>
      <c r="H174" s="79">
        <v>4000</v>
      </c>
      <c r="I174" s="82">
        <v>854470000000</v>
      </c>
      <c r="J174" s="79" t="s">
        <v>353</v>
      </c>
      <c r="K174" s="36">
        <v>469</v>
      </c>
      <c r="L174" s="59">
        <f>K174*1.05</f>
        <v>492.45000000000005</v>
      </c>
      <c r="M174" s="36"/>
      <c r="N174" s="60">
        <v>545</v>
      </c>
      <c r="O174" s="60">
        <v>0</v>
      </c>
      <c r="P174" s="1"/>
      <c r="Q174" s="61">
        <f t="shared" si="37"/>
        <v>545</v>
      </c>
      <c r="R174" s="62">
        <f t="shared" si="34"/>
        <v>615.84999999999991</v>
      </c>
      <c r="S174" s="126" t="s">
        <v>428</v>
      </c>
      <c r="U174" s="117">
        <v>545</v>
      </c>
      <c r="V174" s="62">
        <f t="shared" si="36"/>
        <v>615.84999999999991</v>
      </c>
      <c r="W174" s="126" t="s">
        <v>428</v>
      </c>
      <c r="X174" s="25">
        <f t="shared" si="29"/>
        <v>0</v>
      </c>
      <c r="Y174" s="114">
        <f t="shared" si="30"/>
        <v>579.78723404255322</v>
      </c>
      <c r="Z174" s="114">
        <f t="shared" si="31"/>
        <v>626.17021276595756</v>
      </c>
    </row>
    <row r="175" spans="1:26" s="78" customFormat="1">
      <c r="A175" s="79" t="s">
        <v>89</v>
      </c>
      <c r="B175" s="80" t="s">
        <v>245</v>
      </c>
      <c r="C175" s="81" t="s">
        <v>32</v>
      </c>
      <c r="D175" s="81" t="s">
        <v>277</v>
      </c>
      <c r="E175" s="79" t="s">
        <v>168</v>
      </c>
      <c r="F175" s="81" t="s">
        <v>318</v>
      </c>
      <c r="G175" s="81" t="s">
        <v>242</v>
      </c>
      <c r="H175" s="79">
        <v>4000</v>
      </c>
      <c r="I175" s="82">
        <v>854470000000</v>
      </c>
      <c r="J175" s="79" t="s">
        <v>353</v>
      </c>
      <c r="K175" s="36">
        <v>512</v>
      </c>
      <c r="L175" s="59">
        <f>K175*1.05</f>
        <v>537.6</v>
      </c>
      <c r="M175" s="36"/>
      <c r="N175" s="60">
        <v>645</v>
      </c>
      <c r="O175" s="60">
        <v>0</v>
      </c>
      <c r="P175" s="1"/>
      <c r="Q175" s="61">
        <f t="shared" si="37"/>
        <v>645</v>
      </c>
      <c r="R175" s="62">
        <f t="shared" si="34"/>
        <v>728.84999999999991</v>
      </c>
      <c r="S175" s="126" t="s">
        <v>428</v>
      </c>
      <c r="U175" s="117">
        <v>680</v>
      </c>
      <c r="V175" s="62">
        <f t="shared" si="36"/>
        <v>768.4</v>
      </c>
      <c r="W175" s="126" t="s">
        <v>428</v>
      </c>
      <c r="X175" s="25">
        <f t="shared" si="29"/>
        <v>5.4263565891472867E-2</v>
      </c>
      <c r="Y175" s="114">
        <f t="shared" si="30"/>
        <v>723.404255319149</v>
      </c>
      <c r="Z175" s="114">
        <f t="shared" si="31"/>
        <v>781.276595744681</v>
      </c>
    </row>
    <row r="176" spans="1:26">
      <c r="A176" s="79" t="s">
        <v>89</v>
      </c>
      <c r="B176" s="80" t="s">
        <v>245</v>
      </c>
      <c r="C176" s="81" t="s">
        <v>32</v>
      </c>
      <c r="D176" s="81" t="s">
        <v>117</v>
      </c>
      <c r="E176" s="79" t="s">
        <v>168</v>
      </c>
      <c r="F176" s="81" t="s">
        <v>118</v>
      </c>
      <c r="G176" s="81" t="s">
        <v>242</v>
      </c>
      <c r="H176" s="79">
        <v>4000</v>
      </c>
      <c r="I176" s="82">
        <v>854470000000</v>
      </c>
      <c r="J176" s="79" t="s">
        <v>353</v>
      </c>
      <c r="K176" s="36">
        <v>545</v>
      </c>
      <c r="L176" s="59">
        <v>565</v>
      </c>
      <c r="M176" s="36"/>
      <c r="N176" s="60">
        <v>840</v>
      </c>
      <c r="O176" s="60">
        <v>0</v>
      </c>
      <c r="Q176" s="61">
        <f t="shared" si="37"/>
        <v>840</v>
      </c>
      <c r="R176" s="62">
        <f t="shared" si="34"/>
        <v>949.19999999999993</v>
      </c>
      <c r="S176" s="126" t="s">
        <v>428</v>
      </c>
      <c r="U176" s="117">
        <v>975</v>
      </c>
      <c r="V176" s="62">
        <f t="shared" si="36"/>
        <v>1101.75</v>
      </c>
      <c r="W176" s="126" t="s">
        <v>428</v>
      </c>
      <c r="X176" s="25">
        <f t="shared" si="29"/>
        <v>0.16071428571428573</v>
      </c>
      <c r="Y176" s="114">
        <f t="shared" si="30"/>
        <v>1037.2340425531916</v>
      </c>
      <c r="Z176" s="114">
        <f t="shared" si="31"/>
        <v>1120.2127659574469</v>
      </c>
    </row>
    <row r="177" spans="1:26" s="78" customFormat="1">
      <c r="A177" s="79" t="s">
        <v>89</v>
      </c>
      <c r="B177" s="80" t="s">
        <v>245</v>
      </c>
      <c r="C177" s="81" t="s">
        <v>32</v>
      </c>
      <c r="D177" s="81" t="s">
        <v>278</v>
      </c>
      <c r="E177" s="79" t="s">
        <v>168</v>
      </c>
      <c r="F177" s="81" t="s">
        <v>319</v>
      </c>
      <c r="G177" s="81" t="s">
        <v>242</v>
      </c>
      <c r="H177" s="79">
        <v>4000</v>
      </c>
      <c r="I177" s="82">
        <v>854470000000</v>
      </c>
      <c r="J177" s="79" t="s">
        <v>353</v>
      </c>
      <c r="K177" s="36">
        <v>686</v>
      </c>
      <c r="L177" s="59">
        <f>K177*1.05</f>
        <v>720.30000000000007</v>
      </c>
      <c r="M177" s="36"/>
      <c r="N177" s="60">
        <v>1050</v>
      </c>
      <c r="O177" s="60">
        <v>0</v>
      </c>
      <c r="P177" s="1"/>
      <c r="Q177" s="61">
        <f t="shared" si="37"/>
        <v>1050</v>
      </c>
      <c r="R177" s="62">
        <f t="shared" si="34"/>
        <v>1186.5</v>
      </c>
      <c r="S177" s="126" t="s">
        <v>428</v>
      </c>
      <c r="U177" s="117">
        <v>1180</v>
      </c>
      <c r="V177" s="62">
        <f t="shared" si="36"/>
        <v>1333.3999999999999</v>
      </c>
      <c r="W177" s="126" t="s">
        <v>428</v>
      </c>
      <c r="X177" s="25">
        <f t="shared" si="29"/>
        <v>0.12380952380952381</v>
      </c>
      <c r="Y177" s="114">
        <f t="shared" si="30"/>
        <v>1255.3191489361702</v>
      </c>
      <c r="Z177" s="114">
        <f t="shared" si="31"/>
        <v>1355.744680851064</v>
      </c>
    </row>
    <row r="178" spans="1:26">
      <c r="A178" s="79" t="s">
        <v>89</v>
      </c>
      <c r="B178" s="80" t="s">
        <v>245</v>
      </c>
      <c r="C178" s="81" t="s">
        <v>32</v>
      </c>
      <c r="D178" s="81" t="s">
        <v>119</v>
      </c>
      <c r="E178" s="79" t="s">
        <v>168</v>
      </c>
      <c r="F178" s="81" t="s">
        <v>120</v>
      </c>
      <c r="G178" s="81" t="s">
        <v>242</v>
      </c>
      <c r="H178" s="79">
        <v>4000</v>
      </c>
      <c r="I178" s="82">
        <v>854470000000</v>
      </c>
      <c r="J178" s="79" t="s">
        <v>353</v>
      </c>
      <c r="K178" s="36">
        <v>785</v>
      </c>
      <c r="L178" s="59">
        <v>800</v>
      </c>
      <c r="M178" s="36"/>
      <c r="N178" s="60">
        <v>1350</v>
      </c>
      <c r="O178" s="60">
        <v>0</v>
      </c>
      <c r="Q178" s="61">
        <f t="shared" si="37"/>
        <v>1350</v>
      </c>
      <c r="R178" s="62">
        <f t="shared" si="34"/>
        <v>1525.4999999999998</v>
      </c>
      <c r="S178" s="126" t="s">
        <v>428</v>
      </c>
      <c r="U178" s="117">
        <v>1510</v>
      </c>
      <c r="V178" s="62">
        <f t="shared" si="36"/>
        <v>1706.2999999999997</v>
      </c>
      <c r="W178" s="126" t="s">
        <v>428</v>
      </c>
      <c r="X178" s="25">
        <f t="shared" si="29"/>
        <v>0.11851851851851852</v>
      </c>
      <c r="Y178" s="114">
        <f t="shared" si="30"/>
        <v>1606.3829787234044</v>
      </c>
      <c r="Z178" s="114">
        <f t="shared" si="31"/>
        <v>1734.8936170212769</v>
      </c>
    </row>
    <row r="179" spans="1:26" s="78" customFormat="1">
      <c r="A179" s="79" t="s">
        <v>89</v>
      </c>
      <c r="B179" s="80" t="s">
        <v>245</v>
      </c>
      <c r="C179" s="81" t="s">
        <v>32</v>
      </c>
      <c r="D179" s="81" t="s">
        <v>279</v>
      </c>
      <c r="E179" s="79" t="s">
        <v>168</v>
      </c>
      <c r="F179" s="81" t="s">
        <v>320</v>
      </c>
      <c r="G179" s="81" t="s">
        <v>242</v>
      </c>
      <c r="H179" s="79">
        <v>4000</v>
      </c>
      <c r="I179" s="82">
        <v>854470000000</v>
      </c>
      <c r="J179" s="79" t="s">
        <v>353</v>
      </c>
      <c r="K179" s="36">
        <v>1150</v>
      </c>
      <c r="L179" s="59">
        <f>K179*1.03</f>
        <v>1184.5</v>
      </c>
      <c r="M179" s="36"/>
      <c r="N179" s="60">
        <v>1850</v>
      </c>
      <c r="O179" s="60">
        <v>0</v>
      </c>
      <c r="P179" s="1"/>
      <c r="Q179" s="61">
        <f t="shared" si="37"/>
        <v>1850</v>
      </c>
      <c r="R179" s="62">
        <f t="shared" si="34"/>
        <v>2090.5</v>
      </c>
      <c r="S179" s="126" t="s">
        <v>428</v>
      </c>
      <c r="U179" s="117">
        <v>2340</v>
      </c>
      <c r="V179" s="62">
        <f t="shared" si="36"/>
        <v>2644.2</v>
      </c>
      <c r="W179" s="126" t="s">
        <v>428</v>
      </c>
      <c r="X179" s="25">
        <f t="shared" si="29"/>
        <v>0.26486486486486488</v>
      </c>
      <c r="Y179" s="114">
        <f t="shared" si="30"/>
        <v>2489.3617021276596</v>
      </c>
      <c r="Z179" s="114">
        <f t="shared" si="31"/>
        <v>2688.5106382978724</v>
      </c>
    </row>
    <row r="180" spans="1:26" s="78" customFormat="1" ht="16.5" thickBot="1">
      <c r="A180" s="91" t="s">
        <v>89</v>
      </c>
      <c r="B180" s="92" t="s">
        <v>245</v>
      </c>
      <c r="C180" s="93" t="s">
        <v>32</v>
      </c>
      <c r="D180" s="93" t="s">
        <v>280</v>
      </c>
      <c r="E180" s="91" t="s">
        <v>168</v>
      </c>
      <c r="F180" s="93" t="s">
        <v>321</v>
      </c>
      <c r="G180" s="93" t="s">
        <v>242</v>
      </c>
      <c r="H180" s="91">
        <v>4000</v>
      </c>
      <c r="I180" s="94">
        <v>854470000000</v>
      </c>
      <c r="J180" s="95" t="s">
        <v>353</v>
      </c>
      <c r="K180" s="46">
        <v>1907</v>
      </c>
      <c r="L180" s="63">
        <f>K180*1.03</f>
        <v>1964.21</v>
      </c>
      <c r="M180" s="46"/>
      <c r="N180" s="64">
        <v>3360</v>
      </c>
      <c r="O180" s="64">
        <v>0</v>
      </c>
      <c r="P180" s="1"/>
      <c r="Q180" s="65">
        <f t="shared" si="37"/>
        <v>3360</v>
      </c>
      <c r="R180" s="66">
        <f t="shared" si="34"/>
        <v>3796.7999999999997</v>
      </c>
      <c r="S180" s="127" t="s">
        <v>428</v>
      </c>
      <c r="U180" s="118">
        <v>3960</v>
      </c>
      <c r="V180" s="66">
        <f t="shared" si="36"/>
        <v>4474.7999999999993</v>
      </c>
      <c r="W180" s="127" t="s">
        <v>428</v>
      </c>
      <c r="X180" s="25">
        <f t="shared" si="29"/>
        <v>0.17857142857142858</v>
      </c>
      <c r="Y180" s="115">
        <f t="shared" si="30"/>
        <v>4212.7659574468089</v>
      </c>
      <c r="Z180" s="115">
        <f t="shared" si="31"/>
        <v>4549.7872340425538</v>
      </c>
    </row>
    <row r="181" spans="1:26" s="78" customFormat="1" ht="16.5" thickTop="1">
      <c r="A181" s="53" t="s">
        <v>3</v>
      </c>
      <c r="B181" s="96" t="s">
        <v>246</v>
      </c>
      <c r="C181" s="52" t="s">
        <v>32</v>
      </c>
      <c r="D181" s="52" t="s">
        <v>281</v>
      </c>
      <c r="E181" s="53" t="s">
        <v>240</v>
      </c>
      <c r="F181" s="52" t="s">
        <v>322</v>
      </c>
      <c r="G181" s="52" t="s">
        <v>242</v>
      </c>
      <c r="H181" s="53">
        <v>4000</v>
      </c>
      <c r="I181" s="54">
        <v>854470000000</v>
      </c>
      <c r="J181" s="53" t="s">
        <v>353</v>
      </c>
      <c r="K181" s="31">
        <v>811</v>
      </c>
      <c r="L181" s="55">
        <f>K181*1.02</f>
        <v>827.22</v>
      </c>
      <c r="M181" s="31"/>
      <c r="N181" s="33">
        <v>810</v>
      </c>
      <c r="O181" s="33">
        <v>745</v>
      </c>
      <c r="P181" s="1"/>
      <c r="Q181" s="97">
        <f t="shared" si="37"/>
        <v>810</v>
      </c>
      <c r="R181" s="98">
        <f t="shared" si="34"/>
        <v>915.3</v>
      </c>
      <c r="S181" s="131" t="s">
        <v>425</v>
      </c>
      <c r="U181" s="121">
        <v>810</v>
      </c>
      <c r="V181" s="98">
        <f t="shared" si="36"/>
        <v>915.3</v>
      </c>
      <c r="W181" s="131" t="s">
        <v>425</v>
      </c>
      <c r="X181" s="25">
        <f t="shared" si="29"/>
        <v>0</v>
      </c>
      <c r="Y181" s="121">
        <f t="shared" si="30"/>
        <v>861.70212765957456</v>
      </c>
      <c r="Z181" s="121">
        <f t="shared" si="31"/>
        <v>930.63829787234056</v>
      </c>
    </row>
    <row r="182" spans="1:26" s="78" customFormat="1">
      <c r="A182" s="15" t="s">
        <v>3</v>
      </c>
      <c r="B182" s="99" t="s">
        <v>246</v>
      </c>
      <c r="C182" s="17" t="s">
        <v>32</v>
      </c>
      <c r="D182" s="17" t="s">
        <v>282</v>
      </c>
      <c r="E182" s="15" t="s">
        <v>240</v>
      </c>
      <c r="F182" s="17" t="s">
        <v>323</v>
      </c>
      <c r="G182" s="17" t="s">
        <v>242</v>
      </c>
      <c r="H182" s="15">
        <v>4000</v>
      </c>
      <c r="I182" s="18">
        <v>854470000000</v>
      </c>
      <c r="J182" s="15" t="s">
        <v>353</v>
      </c>
      <c r="K182" s="36">
        <v>1137</v>
      </c>
      <c r="L182" s="59">
        <f>K182*1.03</f>
        <v>1171.1100000000001</v>
      </c>
      <c r="M182" s="36"/>
      <c r="N182" s="37">
        <v>1035</v>
      </c>
      <c r="O182" s="37">
        <v>1040</v>
      </c>
      <c r="P182" s="1"/>
      <c r="Q182" s="29">
        <f t="shared" si="37"/>
        <v>1035</v>
      </c>
      <c r="R182" s="30">
        <f t="shared" si="34"/>
        <v>1169.55</v>
      </c>
      <c r="S182" s="126" t="s">
        <v>425</v>
      </c>
      <c r="U182" s="114">
        <v>1040</v>
      </c>
      <c r="V182" s="30">
        <f t="shared" si="36"/>
        <v>1175.1999999999998</v>
      </c>
      <c r="W182" s="126" t="s">
        <v>425</v>
      </c>
      <c r="X182" s="25">
        <f t="shared" si="29"/>
        <v>4.830917874396135E-3</v>
      </c>
      <c r="Y182" s="114">
        <f t="shared" si="30"/>
        <v>1106.3829787234042</v>
      </c>
      <c r="Z182" s="114">
        <f t="shared" si="31"/>
        <v>1194.8936170212767</v>
      </c>
    </row>
    <row r="183" spans="1:26">
      <c r="A183" s="15" t="s">
        <v>3</v>
      </c>
      <c r="B183" s="99" t="s">
        <v>246</v>
      </c>
      <c r="C183" s="17" t="s">
        <v>32</v>
      </c>
      <c r="D183" s="17" t="s">
        <v>186</v>
      </c>
      <c r="E183" s="15" t="s">
        <v>240</v>
      </c>
      <c r="F183" s="17" t="s">
        <v>183</v>
      </c>
      <c r="G183" s="17" t="s">
        <v>242</v>
      </c>
      <c r="H183" s="15">
        <v>4000</v>
      </c>
      <c r="I183" s="18">
        <v>854470000000</v>
      </c>
      <c r="J183" s="15" t="s">
        <v>353</v>
      </c>
      <c r="K183" s="36">
        <v>1578</v>
      </c>
      <c r="L183" s="59">
        <v>1600</v>
      </c>
      <c r="M183" s="36"/>
      <c r="N183" s="37">
        <v>1485</v>
      </c>
      <c r="O183" s="37">
        <v>1455</v>
      </c>
      <c r="Q183" s="29">
        <f t="shared" si="37"/>
        <v>1485</v>
      </c>
      <c r="R183" s="30">
        <f t="shared" si="34"/>
        <v>1678.05</v>
      </c>
      <c r="S183" s="126" t="s">
        <v>425</v>
      </c>
      <c r="U183" s="114">
        <v>1550</v>
      </c>
      <c r="V183" s="30">
        <f t="shared" si="36"/>
        <v>1751.4999999999998</v>
      </c>
      <c r="W183" s="126" t="s">
        <v>425</v>
      </c>
      <c r="X183" s="25">
        <f t="shared" si="29"/>
        <v>4.3771043771043773E-2</v>
      </c>
      <c r="Y183" s="114">
        <f t="shared" si="30"/>
        <v>1648.936170212766</v>
      </c>
      <c r="Z183" s="114">
        <f t="shared" si="31"/>
        <v>1780.8510638297873</v>
      </c>
    </row>
    <row r="184" spans="1:26" s="78" customFormat="1">
      <c r="A184" s="15" t="s">
        <v>3</v>
      </c>
      <c r="B184" s="99" t="s">
        <v>246</v>
      </c>
      <c r="C184" s="17" t="s">
        <v>32</v>
      </c>
      <c r="D184" s="17" t="s">
        <v>283</v>
      </c>
      <c r="E184" s="15" t="s">
        <v>240</v>
      </c>
      <c r="F184" s="17" t="s">
        <v>324</v>
      </c>
      <c r="G184" s="17" t="s">
        <v>242</v>
      </c>
      <c r="H184" s="15">
        <v>4000</v>
      </c>
      <c r="I184" s="18">
        <v>854470000000</v>
      </c>
      <c r="J184" s="15" t="s">
        <v>353</v>
      </c>
      <c r="K184" s="36">
        <v>2440</v>
      </c>
      <c r="L184" s="59">
        <f>K184*1.03</f>
        <v>2513.2000000000003</v>
      </c>
      <c r="M184" s="36"/>
      <c r="N184" s="37">
        <v>2210</v>
      </c>
      <c r="O184" s="37">
        <v>2210</v>
      </c>
      <c r="P184" s="1"/>
      <c r="Q184" s="29">
        <f t="shared" si="37"/>
        <v>2210</v>
      </c>
      <c r="R184" s="30">
        <f t="shared" si="34"/>
        <v>2497.2999999999997</v>
      </c>
      <c r="S184" s="126" t="s">
        <v>425</v>
      </c>
      <c r="U184" s="114">
        <v>2340</v>
      </c>
      <c r="V184" s="30">
        <f t="shared" si="36"/>
        <v>2644.2</v>
      </c>
      <c r="W184" s="126" t="s">
        <v>425</v>
      </c>
      <c r="X184" s="25">
        <f t="shared" si="29"/>
        <v>5.8823529411764705E-2</v>
      </c>
      <c r="Y184" s="114">
        <f t="shared" si="30"/>
        <v>2489.3617021276596</v>
      </c>
      <c r="Z184" s="114">
        <f t="shared" si="31"/>
        <v>2688.5106382978724</v>
      </c>
    </row>
    <row r="185" spans="1:26" s="78" customFormat="1">
      <c r="A185" s="15" t="s">
        <v>3</v>
      </c>
      <c r="B185" s="99" t="s">
        <v>246</v>
      </c>
      <c r="C185" s="17" t="s">
        <v>32</v>
      </c>
      <c r="D185" s="17" t="s">
        <v>284</v>
      </c>
      <c r="E185" s="15" t="s">
        <v>240</v>
      </c>
      <c r="F185" s="17" t="s">
        <v>325</v>
      </c>
      <c r="G185" s="17" t="s">
        <v>242</v>
      </c>
      <c r="H185" s="15">
        <v>4000</v>
      </c>
      <c r="I185" s="18">
        <v>854470000000</v>
      </c>
      <c r="J185" s="15" t="s">
        <v>353</v>
      </c>
      <c r="K185" s="36">
        <v>3217</v>
      </c>
      <c r="L185" s="59">
        <f>K185*1.03</f>
        <v>3313.51</v>
      </c>
      <c r="M185" s="36"/>
      <c r="N185" s="37">
        <v>2845</v>
      </c>
      <c r="O185" s="37">
        <v>2825</v>
      </c>
      <c r="P185" s="1"/>
      <c r="Q185" s="29">
        <f t="shared" si="37"/>
        <v>2845</v>
      </c>
      <c r="R185" s="30">
        <f t="shared" si="34"/>
        <v>3214.85</v>
      </c>
      <c r="S185" s="126" t="s">
        <v>425</v>
      </c>
      <c r="U185" s="114">
        <v>3120</v>
      </c>
      <c r="V185" s="30">
        <f t="shared" si="36"/>
        <v>3525.5999999999995</v>
      </c>
      <c r="W185" s="126" t="s">
        <v>425</v>
      </c>
      <c r="X185" s="25">
        <f t="shared" si="29"/>
        <v>9.6660808435852369E-2</v>
      </c>
      <c r="Y185" s="114">
        <f t="shared" si="30"/>
        <v>3319.1489361702129</v>
      </c>
      <c r="Z185" s="114">
        <f t="shared" si="31"/>
        <v>3584.6808510638302</v>
      </c>
    </row>
    <row r="186" spans="1:26" s="78" customFormat="1">
      <c r="A186" s="15" t="s">
        <v>3</v>
      </c>
      <c r="B186" s="99" t="s">
        <v>246</v>
      </c>
      <c r="C186" s="17" t="s">
        <v>32</v>
      </c>
      <c r="D186" s="17" t="s">
        <v>285</v>
      </c>
      <c r="E186" s="15" t="s">
        <v>240</v>
      </c>
      <c r="F186" s="17" t="s">
        <v>326</v>
      </c>
      <c r="G186" s="17" t="s">
        <v>242</v>
      </c>
      <c r="H186" s="15">
        <v>4000</v>
      </c>
      <c r="I186" s="18">
        <v>854470000000</v>
      </c>
      <c r="J186" s="15" t="s">
        <v>353</v>
      </c>
      <c r="K186" s="36">
        <v>4622</v>
      </c>
      <c r="L186" s="59">
        <f>K186*1.03</f>
        <v>4760.66</v>
      </c>
      <c r="M186" s="36"/>
      <c r="N186" s="37">
        <v>4100</v>
      </c>
      <c r="O186" s="37">
        <v>3915</v>
      </c>
      <c r="P186" s="1"/>
      <c r="Q186" s="29">
        <f t="shared" si="37"/>
        <v>4100</v>
      </c>
      <c r="R186" s="30">
        <f t="shared" ref="R186:R217" si="38">+Q186*R$4</f>
        <v>4633</v>
      </c>
      <c r="S186" s="126" t="s">
        <v>425</v>
      </c>
      <c r="U186" s="114">
        <v>4320</v>
      </c>
      <c r="V186" s="30">
        <f t="shared" si="36"/>
        <v>4881.5999999999995</v>
      </c>
      <c r="W186" s="126" t="s">
        <v>425</v>
      </c>
      <c r="X186" s="25">
        <f t="shared" si="29"/>
        <v>5.3658536585365853E-2</v>
      </c>
      <c r="Y186" s="114">
        <f t="shared" si="30"/>
        <v>4595.744680851064</v>
      </c>
      <c r="Z186" s="114">
        <f t="shared" si="31"/>
        <v>4963.4042553191493</v>
      </c>
    </row>
    <row r="187" spans="1:26" s="78" customFormat="1">
      <c r="A187" s="15" t="s">
        <v>3</v>
      </c>
      <c r="B187" s="99" t="s">
        <v>246</v>
      </c>
      <c r="C187" s="17" t="s">
        <v>32</v>
      </c>
      <c r="D187" s="17" t="s">
        <v>286</v>
      </c>
      <c r="E187" s="15" t="s">
        <v>240</v>
      </c>
      <c r="F187" s="17" t="s">
        <v>327</v>
      </c>
      <c r="G187" s="17" t="s">
        <v>242</v>
      </c>
      <c r="H187" s="15">
        <v>4000</v>
      </c>
      <c r="I187" s="18">
        <v>854470000000</v>
      </c>
      <c r="J187" s="15" t="s">
        <v>353</v>
      </c>
      <c r="K187" s="36">
        <v>8790</v>
      </c>
      <c r="L187" s="59">
        <f>K187*1.02</f>
        <v>8965.7999999999993</v>
      </c>
      <c r="M187" s="36"/>
      <c r="N187" s="37">
        <v>7630</v>
      </c>
      <c r="O187" s="37">
        <v>6880</v>
      </c>
      <c r="P187" s="1"/>
      <c r="Q187" s="29">
        <f t="shared" si="37"/>
        <v>7630</v>
      </c>
      <c r="R187" s="30">
        <f t="shared" si="38"/>
        <v>8621.9</v>
      </c>
      <c r="S187" s="126" t="s">
        <v>425</v>
      </c>
      <c r="U187" s="114">
        <v>7810</v>
      </c>
      <c r="V187" s="30">
        <f t="shared" si="36"/>
        <v>8825.2999999999993</v>
      </c>
      <c r="W187" s="126" t="s">
        <v>425</v>
      </c>
      <c r="X187" s="25">
        <f t="shared" si="29"/>
        <v>2.3591087811271297E-2</v>
      </c>
      <c r="Y187" s="114">
        <f t="shared" si="30"/>
        <v>8308.510638297872</v>
      </c>
      <c r="Z187" s="114">
        <f t="shared" si="31"/>
        <v>8973.1914893617031</v>
      </c>
    </row>
    <row r="188" spans="1:26" s="78" customFormat="1">
      <c r="A188" s="15" t="s">
        <v>47</v>
      </c>
      <c r="B188" s="99" t="s">
        <v>246</v>
      </c>
      <c r="C188" s="17" t="s">
        <v>32</v>
      </c>
      <c r="D188" s="17" t="s">
        <v>287</v>
      </c>
      <c r="E188" s="15" t="s">
        <v>240</v>
      </c>
      <c r="F188" s="17" t="s">
        <v>328</v>
      </c>
      <c r="G188" s="17" t="s">
        <v>242</v>
      </c>
      <c r="H188" s="15">
        <v>4000</v>
      </c>
      <c r="I188" s="18">
        <v>854470000000</v>
      </c>
      <c r="J188" s="15" t="s">
        <v>353</v>
      </c>
      <c r="K188" s="36">
        <v>1378</v>
      </c>
      <c r="L188" s="59">
        <f>K188*1.03</f>
        <v>1419.3400000000001</v>
      </c>
      <c r="M188" s="36"/>
      <c r="N188" s="37">
        <v>1225</v>
      </c>
      <c r="O188" s="37">
        <v>1160</v>
      </c>
      <c r="P188" s="1"/>
      <c r="Q188" s="61">
        <f t="shared" ref="Q188:Q194" si="39">+O188</f>
        <v>1160</v>
      </c>
      <c r="R188" s="62">
        <f t="shared" si="38"/>
        <v>1310.8</v>
      </c>
      <c r="S188" s="126" t="s">
        <v>426</v>
      </c>
      <c r="U188" s="117">
        <v>1225</v>
      </c>
      <c r="V188" s="62">
        <f t="shared" si="36"/>
        <v>1384.2499999999998</v>
      </c>
      <c r="W188" s="126" t="s">
        <v>486</v>
      </c>
      <c r="X188" s="25">
        <f t="shared" si="29"/>
        <v>5.6034482758620691E-2</v>
      </c>
      <c r="Y188" s="114">
        <f t="shared" si="30"/>
        <v>1303.1914893617022</v>
      </c>
      <c r="Z188" s="114">
        <f t="shared" si="31"/>
        <v>1407.4468085106384</v>
      </c>
    </row>
    <row r="189" spans="1:26" s="78" customFormat="1">
      <c r="A189" s="15" t="s">
        <v>47</v>
      </c>
      <c r="B189" s="99" t="s">
        <v>246</v>
      </c>
      <c r="C189" s="17" t="s">
        <v>32</v>
      </c>
      <c r="D189" s="17" t="s">
        <v>288</v>
      </c>
      <c r="E189" s="15" t="s">
        <v>240</v>
      </c>
      <c r="F189" s="17" t="s">
        <v>329</v>
      </c>
      <c r="G189" s="17" t="s">
        <v>242</v>
      </c>
      <c r="H189" s="15">
        <v>4000</v>
      </c>
      <c r="I189" s="18">
        <v>854470000000</v>
      </c>
      <c r="J189" s="15" t="s">
        <v>353</v>
      </c>
      <c r="K189" s="36">
        <v>2271</v>
      </c>
      <c r="L189" s="59">
        <f>K189*1.03</f>
        <v>2339.13</v>
      </c>
      <c r="M189" s="36"/>
      <c r="N189" s="37">
        <v>2010</v>
      </c>
      <c r="O189" s="37">
        <v>1815</v>
      </c>
      <c r="P189" s="1"/>
      <c r="Q189" s="61">
        <f t="shared" si="39"/>
        <v>1815</v>
      </c>
      <c r="R189" s="62">
        <f t="shared" si="38"/>
        <v>2050.9499999999998</v>
      </c>
      <c r="S189" s="126" t="s">
        <v>426</v>
      </c>
      <c r="U189" s="117">
        <v>2000</v>
      </c>
      <c r="V189" s="62">
        <f t="shared" si="36"/>
        <v>2260</v>
      </c>
      <c r="W189" s="126" t="s">
        <v>486</v>
      </c>
      <c r="X189" s="25">
        <f t="shared" si="29"/>
        <v>0.10192837465564739</v>
      </c>
      <c r="Y189" s="114">
        <f t="shared" si="30"/>
        <v>2127.6595744680853</v>
      </c>
      <c r="Z189" s="114">
        <f t="shared" si="31"/>
        <v>2297.8723404255325</v>
      </c>
    </row>
    <row r="190" spans="1:26">
      <c r="A190" s="15" t="s">
        <v>47</v>
      </c>
      <c r="B190" s="99" t="s">
        <v>246</v>
      </c>
      <c r="C190" s="17" t="s">
        <v>32</v>
      </c>
      <c r="D190" s="17" t="s">
        <v>187</v>
      </c>
      <c r="E190" s="15" t="s">
        <v>240</v>
      </c>
      <c r="F190" s="17" t="s">
        <v>184</v>
      </c>
      <c r="G190" s="17" t="s">
        <v>242</v>
      </c>
      <c r="H190" s="15">
        <v>4000</v>
      </c>
      <c r="I190" s="18">
        <v>854470000000</v>
      </c>
      <c r="J190" s="15" t="s">
        <v>353</v>
      </c>
      <c r="K190" s="36">
        <v>3378</v>
      </c>
      <c r="L190" s="59">
        <v>3400</v>
      </c>
      <c r="M190" s="36">
        <v>3110</v>
      </c>
      <c r="N190" s="37">
        <v>3375</v>
      </c>
      <c r="O190" s="37">
        <v>3120</v>
      </c>
      <c r="Q190" s="61">
        <f t="shared" si="39"/>
        <v>3120</v>
      </c>
      <c r="R190" s="62">
        <f t="shared" si="38"/>
        <v>3525.5999999999995</v>
      </c>
      <c r="S190" s="126" t="s">
        <v>426</v>
      </c>
      <c r="U190" s="117">
        <v>3375</v>
      </c>
      <c r="V190" s="62">
        <f t="shared" si="36"/>
        <v>3813.7499999999995</v>
      </c>
      <c r="W190" s="126" t="s">
        <v>486</v>
      </c>
      <c r="X190" s="25">
        <f t="shared" si="29"/>
        <v>8.1730769230769232E-2</v>
      </c>
      <c r="Y190" s="114">
        <f t="shared" si="30"/>
        <v>3590.4255319148938</v>
      </c>
      <c r="Z190" s="114">
        <f t="shared" si="31"/>
        <v>3877.6595744680853</v>
      </c>
    </row>
    <row r="191" spans="1:26" s="78" customFormat="1">
      <c r="A191" s="15" t="s">
        <v>47</v>
      </c>
      <c r="B191" s="99" t="s">
        <v>246</v>
      </c>
      <c r="C191" s="17" t="s">
        <v>32</v>
      </c>
      <c r="D191" s="17" t="s">
        <v>289</v>
      </c>
      <c r="E191" s="15" t="s">
        <v>240</v>
      </c>
      <c r="F191" s="17" t="s">
        <v>330</v>
      </c>
      <c r="G191" s="17" t="s">
        <v>242</v>
      </c>
      <c r="H191" s="15">
        <v>4000</v>
      </c>
      <c r="I191" s="18">
        <v>854470000000</v>
      </c>
      <c r="J191" s="15" t="s">
        <v>353</v>
      </c>
      <c r="K191" s="36">
        <v>5840</v>
      </c>
      <c r="L191" s="59">
        <f>K191*1.03</f>
        <v>6015.2</v>
      </c>
      <c r="M191" s="36"/>
      <c r="N191" s="37">
        <v>5175</v>
      </c>
      <c r="O191" s="37">
        <v>4770</v>
      </c>
      <c r="P191" s="1"/>
      <c r="Q191" s="61">
        <f t="shared" si="39"/>
        <v>4770</v>
      </c>
      <c r="R191" s="62">
        <f t="shared" si="38"/>
        <v>5390.0999999999995</v>
      </c>
      <c r="S191" s="126" t="s">
        <v>426</v>
      </c>
      <c r="U191" s="117">
        <v>5170</v>
      </c>
      <c r="V191" s="62">
        <f t="shared" si="36"/>
        <v>5842.0999999999995</v>
      </c>
      <c r="W191" s="126" t="s">
        <v>486</v>
      </c>
      <c r="X191" s="25">
        <f t="shared" si="29"/>
        <v>8.385744234800839E-2</v>
      </c>
      <c r="Y191" s="114">
        <f t="shared" si="30"/>
        <v>5500</v>
      </c>
      <c r="Z191" s="114">
        <f t="shared" si="31"/>
        <v>5940</v>
      </c>
    </row>
    <row r="192" spans="1:26" s="78" customFormat="1">
      <c r="A192" s="15" t="s">
        <v>47</v>
      </c>
      <c r="B192" s="99" t="s">
        <v>246</v>
      </c>
      <c r="C192" s="17" t="s">
        <v>32</v>
      </c>
      <c r="D192" s="17" t="s">
        <v>290</v>
      </c>
      <c r="E192" s="15" t="s">
        <v>240</v>
      </c>
      <c r="F192" s="17" t="s">
        <v>331</v>
      </c>
      <c r="G192" s="17" t="s">
        <v>242</v>
      </c>
      <c r="H192" s="15">
        <v>4000</v>
      </c>
      <c r="I192" s="18">
        <v>854470000000</v>
      </c>
      <c r="J192" s="15" t="s">
        <v>353</v>
      </c>
      <c r="K192" s="36">
        <v>7755</v>
      </c>
      <c r="L192" s="59">
        <f>K192*1.02</f>
        <v>7910.1</v>
      </c>
      <c r="M192" s="36"/>
      <c r="N192" s="37">
        <v>6880</v>
      </c>
      <c r="O192" s="37">
        <v>6320</v>
      </c>
      <c r="P192" s="1"/>
      <c r="Q192" s="61">
        <f t="shared" si="39"/>
        <v>6320</v>
      </c>
      <c r="R192" s="62">
        <f t="shared" si="38"/>
        <v>7141.5999999999995</v>
      </c>
      <c r="S192" s="126" t="s">
        <v>426</v>
      </c>
      <c r="U192" s="117">
        <v>6850</v>
      </c>
      <c r="V192" s="62">
        <f t="shared" si="36"/>
        <v>7740.4999999999991</v>
      </c>
      <c r="W192" s="126" t="s">
        <v>486</v>
      </c>
      <c r="X192" s="25">
        <f t="shared" si="29"/>
        <v>8.3860759493670889E-2</v>
      </c>
      <c r="Y192" s="114">
        <f t="shared" si="30"/>
        <v>7287.234042553192</v>
      </c>
      <c r="Z192" s="114">
        <f t="shared" si="31"/>
        <v>7870.212765957448</v>
      </c>
    </row>
    <row r="193" spans="1:26" s="78" customFormat="1">
      <c r="A193" s="15" t="s">
        <v>47</v>
      </c>
      <c r="B193" s="99" t="s">
        <v>246</v>
      </c>
      <c r="C193" s="17" t="s">
        <v>32</v>
      </c>
      <c r="D193" s="17" t="s">
        <v>291</v>
      </c>
      <c r="E193" s="15" t="s">
        <v>240</v>
      </c>
      <c r="F193" s="17" t="s">
        <v>332</v>
      </c>
      <c r="G193" s="17" t="s">
        <v>242</v>
      </c>
      <c r="H193" s="15">
        <v>4000</v>
      </c>
      <c r="I193" s="18">
        <v>854470000000</v>
      </c>
      <c r="J193" s="15" t="s">
        <v>353</v>
      </c>
      <c r="K193" s="36">
        <v>8465</v>
      </c>
      <c r="L193" s="59">
        <f>K193*1.02</f>
        <v>8634.2999999999993</v>
      </c>
      <c r="M193" s="36"/>
      <c r="N193" s="37">
        <v>10060</v>
      </c>
      <c r="O193" s="37">
        <v>9250</v>
      </c>
      <c r="P193" s="1"/>
      <c r="Q193" s="61">
        <f t="shared" si="39"/>
        <v>9250</v>
      </c>
      <c r="R193" s="62">
        <f t="shared" si="38"/>
        <v>10452.499999999998</v>
      </c>
      <c r="S193" s="126" t="s">
        <v>426</v>
      </c>
      <c r="U193" s="117">
        <v>10050</v>
      </c>
      <c r="V193" s="62">
        <f t="shared" si="36"/>
        <v>11356.499999999998</v>
      </c>
      <c r="W193" s="126" t="s">
        <v>486</v>
      </c>
      <c r="X193" s="25">
        <f t="shared" si="29"/>
        <v>8.6486486486486491E-2</v>
      </c>
      <c r="Y193" s="114">
        <f t="shared" si="30"/>
        <v>10691.489361702128</v>
      </c>
      <c r="Z193" s="114">
        <f t="shared" si="31"/>
        <v>11546.808510638299</v>
      </c>
    </row>
    <row r="194" spans="1:26" s="78" customFormat="1">
      <c r="A194" s="15" t="s">
        <v>47</v>
      </c>
      <c r="B194" s="99" t="s">
        <v>246</v>
      </c>
      <c r="C194" s="17" t="s">
        <v>32</v>
      </c>
      <c r="D194" s="17" t="s">
        <v>292</v>
      </c>
      <c r="E194" s="15" t="s">
        <v>240</v>
      </c>
      <c r="F194" s="17" t="s">
        <v>333</v>
      </c>
      <c r="G194" s="17" t="s">
        <v>242</v>
      </c>
      <c r="H194" s="15">
        <v>4000</v>
      </c>
      <c r="I194" s="18">
        <v>854470000000</v>
      </c>
      <c r="J194" s="15" t="s">
        <v>353</v>
      </c>
      <c r="K194" s="36">
        <v>22400</v>
      </c>
      <c r="L194" s="59">
        <f>K194*1.01</f>
        <v>22624</v>
      </c>
      <c r="M194" s="36"/>
      <c r="N194" s="37">
        <v>19613</v>
      </c>
      <c r="O194" s="37">
        <v>18000</v>
      </c>
      <c r="P194" s="1"/>
      <c r="Q194" s="61">
        <f t="shared" si="39"/>
        <v>18000</v>
      </c>
      <c r="R194" s="62">
        <f t="shared" si="38"/>
        <v>20339.999999999996</v>
      </c>
      <c r="S194" s="126" t="s">
        <v>426</v>
      </c>
      <c r="U194" s="117">
        <v>19610</v>
      </c>
      <c r="V194" s="62">
        <f t="shared" si="36"/>
        <v>22159.3</v>
      </c>
      <c r="W194" s="126" t="s">
        <v>486</v>
      </c>
      <c r="X194" s="25">
        <f t="shared" si="29"/>
        <v>8.9444444444444438E-2</v>
      </c>
      <c r="Y194" s="114">
        <f t="shared" si="30"/>
        <v>20861.702127659577</v>
      </c>
      <c r="Z194" s="114">
        <f t="shared" si="31"/>
        <v>22530.638297872345</v>
      </c>
    </row>
    <row r="195" spans="1:26" s="78" customFormat="1">
      <c r="A195" s="15" t="s">
        <v>89</v>
      </c>
      <c r="B195" s="99" t="s">
        <v>246</v>
      </c>
      <c r="C195" s="17" t="s">
        <v>32</v>
      </c>
      <c r="D195" s="17" t="s">
        <v>293</v>
      </c>
      <c r="E195" s="15" t="s">
        <v>240</v>
      </c>
      <c r="F195" s="17" t="s">
        <v>334</v>
      </c>
      <c r="G195" s="17" t="s">
        <v>242</v>
      </c>
      <c r="H195" s="15">
        <v>4000</v>
      </c>
      <c r="I195" s="18">
        <v>854470000000</v>
      </c>
      <c r="J195" s="15" t="s">
        <v>353</v>
      </c>
      <c r="K195" s="36">
        <v>531</v>
      </c>
      <c r="L195" s="59">
        <f>K195*1.05</f>
        <v>557.55000000000007</v>
      </c>
      <c r="M195" s="36"/>
      <c r="N195" s="60">
        <v>615</v>
      </c>
      <c r="O195" s="60">
        <v>0</v>
      </c>
      <c r="P195" s="1"/>
      <c r="Q195" s="61">
        <f t="shared" ref="Q195:Q205" si="40">+N195</f>
        <v>615</v>
      </c>
      <c r="R195" s="62">
        <f t="shared" si="38"/>
        <v>694.94999999999993</v>
      </c>
      <c r="S195" s="126" t="s">
        <v>428</v>
      </c>
      <c r="U195" s="117">
        <v>630</v>
      </c>
      <c r="V195" s="62">
        <f t="shared" si="36"/>
        <v>711.9</v>
      </c>
      <c r="W195" s="126" t="s">
        <v>428</v>
      </c>
      <c r="X195" s="25">
        <f t="shared" si="29"/>
        <v>2.4390243902439025E-2</v>
      </c>
      <c r="Y195" s="114">
        <f t="shared" si="30"/>
        <v>670.21276595744689</v>
      </c>
      <c r="Z195" s="114">
        <f t="shared" si="31"/>
        <v>723.82978723404267</v>
      </c>
    </row>
    <row r="196" spans="1:26" s="78" customFormat="1">
      <c r="A196" s="15" t="s">
        <v>89</v>
      </c>
      <c r="B196" s="99" t="s">
        <v>246</v>
      </c>
      <c r="C196" s="17" t="s">
        <v>32</v>
      </c>
      <c r="D196" s="17" t="s">
        <v>294</v>
      </c>
      <c r="E196" s="15" t="s">
        <v>240</v>
      </c>
      <c r="F196" s="17" t="s">
        <v>335</v>
      </c>
      <c r="G196" s="17" t="s">
        <v>242</v>
      </c>
      <c r="H196" s="15">
        <v>4000</v>
      </c>
      <c r="I196" s="18">
        <v>854470000000</v>
      </c>
      <c r="J196" s="15" t="s">
        <v>353</v>
      </c>
      <c r="K196" s="36">
        <v>575</v>
      </c>
      <c r="L196" s="59">
        <f>K196*1.05</f>
        <v>603.75</v>
      </c>
      <c r="M196" s="36"/>
      <c r="N196" s="60">
        <v>725</v>
      </c>
      <c r="O196" s="60">
        <v>0</v>
      </c>
      <c r="P196" s="1"/>
      <c r="Q196" s="61">
        <f t="shared" si="40"/>
        <v>725</v>
      </c>
      <c r="R196" s="62">
        <f t="shared" si="38"/>
        <v>819.24999999999989</v>
      </c>
      <c r="S196" s="126" t="s">
        <v>428</v>
      </c>
      <c r="U196" s="117">
        <v>770</v>
      </c>
      <c r="V196" s="62">
        <f t="shared" ref="V196:V217" si="41">+U196*V$4</f>
        <v>870.09999999999991</v>
      </c>
      <c r="W196" s="126" t="s">
        <v>428</v>
      </c>
      <c r="X196" s="25">
        <f t="shared" si="29"/>
        <v>6.2068965517241378E-2</v>
      </c>
      <c r="Y196" s="114">
        <f t="shared" si="30"/>
        <v>819.14893617021278</v>
      </c>
      <c r="Z196" s="114">
        <f t="shared" si="31"/>
        <v>884.68085106382989</v>
      </c>
    </row>
    <row r="197" spans="1:26">
      <c r="A197" s="15" t="s">
        <v>89</v>
      </c>
      <c r="B197" s="99" t="s">
        <v>246</v>
      </c>
      <c r="C197" s="17" t="s">
        <v>32</v>
      </c>
      <c r="D197" s="17" t="s">
        <v>188</v>
      </c>
      <c r="E197" s="15" t="s">
        <v>240</v>
      </c>
      <c r="F197" s="17" t="s">
        <v>185</v>
      </c>
      <c r="G197" s="17" t="s">
        <v>242</v>
      </c>
      <c r="H197" s="15">
        <v>4000</v>
      </c>
      <c r="I197" s="18">
        <v>854470000000</v>
      </c>
      <c r="J197" s="15" t="s">
        <v>353</v>
      </c>
      <c r="K197" s="36">
        <v>644</v>
      </c>
      <c r="L197" s="59">
        <v>564</v>
      </c>
      <c r="M197" s="36"/>
      <c r="N197" s="60">
        <v>935</v>
      </c>
      <c r="O197" s="60">
        <v>0</v>
      </c>
      <c r="Q197" s="61">
        <f t="shared" si="40"/>
        <v>935</v>
      </c>
      <c r="R197" s="62">
        <f t="shared" si="38"/>
        <v>1056.55</v>
      </c>
      <c r="S197" s="126" t="s">
        <v>428</v>
      </c>
      <c r="U197" s="117">
        <v>980</v>
      </c>
      <c r="V197" s="62">
        <f t="shared" si="41"/>
        <v>1107.3999999999999</v>
      </c>
      <c r="W197" s="126" t="s">
        <v>428</v>
      </c>
      <c r="X197" s="25">
        <f t="shared" si="29"/>
        <v>4.8128342245989303E-2</v>
      </c>
      <c r="Y197" s="114">
        <f t="shared" si="30"/>
        <v>1042.5531914893618</v>
      </c>
      <c r="Z197" s="114">
        <f t="shared" si="31"/>
        <v>1125.9574468085109</v>
      </c>
    </row>
    <row r="198" spans="1:26" s="78" customFormat="1">
      <c r="A198" s="15" t="s">
        <v>89</v>
      </c>
      <c r="B198" s="99" t="s">
        <v>246</v>
      </c>
      <c r="C198" s="17" t="s">
        <v>32</v>
      </c>
      <c r="D198" s="17" t="s">
        <v>295</v>
      </c>
      <c r="E198" s="15" t="s">
        <v>240</v>
      </c>
      <c r="F198" s="17" t="s">
        <v>336</v>
      </c>
      <c r="G198" s="17" t="s">
        <v>242</v>
      </c>
      <c r="H198" s="15">
        <v>4000</v>
      </c>
      <c r="I198" s="18">
        <v>854470000000</v>
      </c>
      <c r="J198" s="15" t="s">
        <v>353</v>
      </c>
      <c r="K198" s="36">
        <v>756</v>
      </c>
      <c r="L198" s="59">
        <f>K198*1.05</f>
        <v>793.80000000000007</v>
      </c>
      <c r="M198" s="36"/>
      <c r="N198" s="60">
        <v>1125</v>
      </c>
      <c r="O198" s="60">
        <v>0</v>
      </c>
      <c r="P198" s="1"/>
      <c r="Q198" s="61">
        <f t="shared" si="40"/>
        <v>1125</v>
      </c>
      <c r="R198" s="62">
        <f t="shared" si="38"/>
        <v>1271.2499999999998</v>
      </c>
      <c r="S198" s="126" t="s">
        <v>428</v>
      </c>
      <c r="U198" s="117">
        <v>1230</v>
      </c>
      <c r="V198" s="62">
        <f t="shared" si="41"/>
        <v>1389.8999999999999</v>
      </c>
      <c r="W198" s="126" t="s">
        <v>428</v>
      </c>
      <c r="X198" s="25">
        <f t="shared" ref="X198:X217" si="42">(U198-Q198)/Q198</f>
        <v>9.3333333333333338E-2</v>
      </c>
      <c r="Y198" s="114">
        <f t="shared" ref="Y198:Y217" si="43">+U198/0.94</f>
        <v>1308.5106382978724</v>
      </c>
      <c r="Z198" s="114">
        <f t="shared" ref="Z198:Z217" si="44">(Y198*Z$3)</f>
        <v>1413.1914893617022</v>
      </c>
    </row>
    <row r="199" spans="1:26" s="78" customFormat="1">
      <c r="A199" s="15" t="s">
        <v>89</v>
      </c>
      <c r="B199" s="99" t="s">
        <v>246</v>
      </c>
      <c r="C199" s="17" t="s">
        <v>32</v>
      </c>
      <c r="D199" s="17" t="s">
        <v>296</v>
      </c>
      <c r="E199" s="15" t="s">
        <v>240</v>
      </c>
      <c r="F199" s="17" t="s">
        <v>337</v>
      </c>
      <c r="G199" s="17" t="s">
        <v>242</v>
      </c>
      <c r="H199" s="15">
        <v>4000</v>
      </c>
      <c r="I199" s="18">
        <v>854470000000</v>
      </c>
      <c r="J199" s="15" t="s">
        <v>353</v>
      </c>
      <c r="K199" s="36">
        <v>975</v>
      </c>
      <c r="L199" s="59">
        <f>K199*1.05</f>
        <v>1023.75</v>
      </c>
      <c r="M199" s="36"/>
      <c r="N199" s="60">
        <v>1480</v>
      </c>
      <c r="O199" s="60">
        <v>0</v>
      </c>
      <c r="P199" s="1"/>
      <c r="Q199" s="61">
        <f t="shared" si="40"/>
        <v>1480</v>
      </c>
      <c r="R199" s="62">
        <f t="shared" si="38"/>
        <v>1672.3999999999999</v>
      </c>
      <c r="S199" s="126" t="s">
        <v>428</v>
      </c>
      <c r="U199" s="117">
        <v>1590</v>
      </c>
      <c r="V199" s="62">
        <f t="shared" si="41"/>
        <v>1796.6999999999998</v>
      </c>
      <c r="W199" s="126" t="s">
        <v>428</v>
      </c>
      <c r="X199" s="25">
        <f t="shared" si="42"/>
        <v>7.4324324324324328E-2</v>
      </c>
      <c r="Y199" s="114">
        <f t="shared" si="43"/>
        <v>1691.4893617021278</v>
      </c>
      <c r="Z199" s="114">
        <f t="shared" si="44"/>
        <v>1826.8085106382982</v>
      </c>
    </row>
    <row r="200" spans="1:26" s="78" customFormat="1">
      <c r="A200" s="15" t="s">
        <v>89</v>
      </c>
      <c r="B200" s="99" t="s">
        <v>246</v>
      </c>
      <c r="C200" s="17" t="s">
        <v>32</v>
      </c>
      <c r="D200" s="17" t="s">
        <v>297</v>
      </c>
      <c r="E200" s="15" t="s">
        <v>240</v>
      </c>
      <c r="F200" s="17" t="s">
        <v>338</v>
      </c>
      <c r="G200" s="17" t="s">
        <v>242</v>
      </c>
      <c r="H200" s="15">
        <v>4000</v>
      </c>
      <c r="I200" s="18">
        <v>854470000000</v>
      </c>
      <c r="J200" s="15" t="s">
        <v>353</v>
      </c>
      <c r="K200" s="36">
        <v>1260</v>
      </c>
      <c r="L200" s="59">
        <f>K200*1.03</f>
        <v>1297.8</v>
      </c>
      <c r="M200" s="36"/>
      <c r="N200" s="60">
        <v>1945</v>
      </c>
      <c r="O200" s="60">
        <v>0</v>
      </c>
      <c r="P200" s="1"/>
      <c r="Q200" s="61">
        <f t="shared" si="40"/>
        <v>1945</v>
      </c>
      <c r="R200" s="62">
        <f t="shared" si="38"/>
        <v>2197.85</v>
      </c>
      <c r="S200" s="126" t="s">
        <v>428</v>
      </c>
      <c r="U200" s="117">
        <v>2130</v>
      </c>
      <c r="V200" s="62">
        <f t="shared" si="41"/>
        <v>2406.8999999999996</v>
      </c>
      <c r="W200" s="126" t="s">
        <v>428</v>
      </c>
      <c r="X200" s="25">
        <f t="shared" si="42"/>
        <v>9.5115681233933158E-2</v>
      </c>
      <c r="Y200" s="114">
        <f t="shared" si="43"/>
        <v>2265.9574468085107</v>
      </c>
      <c r="Z200" s="114">
        <f t="shared" si="44"/>
        <v>2447.2340425531916</v>
      </c>
    </row>
    <row r="201" spans="1:26" s="78" customFormat="1">
      <c r="A201" s="15" t="s">
        <v>89</v>
      </c>
      <c r="B201" s="99" t="s">
        <v>246</v>
      </c>
      <c r="C201" s="17" t="s">
        <v>32</v>
      </c>
      <c r="D201" s="17" t="s">
        <v>298</v>
      </c>
      <c r="E201" s="15" t="s">
        <v>240</v>
      </c>
      <c r="F201" s="17" t="s">
        <v>339</v>
      </c>
      <c r="G201" s="17" t="s">
        <v>242</v>
      </c>
      <c r="H201" s="15">
        <v>4000</v>
      </c>
      <c r="I201" s="18">
        <v>854470000000</v>
      </c>
      <c r="J201" s="15" t="s">
        <v>353</v>
      </c>
      <c r="K201" s="36">
        <v>2060</v>
      </c>
      <c r="L201" s="59">
        <f>K201*1.03</f>
        <v>2121.8000000000002</v>
      </c>
      <c r="M201" s="36"/>
      <c r="N201" s="60">
        <v>3510</v>
      </c>
      <c r="O201" s="60">
        <v>0</v>
      </c>
      <c r="P201" s="1"/>
      <c r="Q201" s="61">
        <f t="shared" si="40"/>
        <v>3510</v>
      </c>
      <c r="R201" s="62">
        <f t="shared" si="38"/>
        <v>3966.2999999999997</v>
      </c>
      <c r="S201" s="126" t="s">
        <v>428</v>
      </c>
      <c r="U201" s="117">
        <v>3700</v>
      </c>
      <c r="V201" s="62">
        <f t="shared" si="41"/>
        <v>4181</v>
      </c>
      <c r="W201" s="126" t="s">
        <v>428</v>
      </c>
      <c r="X201" s="25">
        <f t="shared" si="42"/>
        <v>5.4131054131054131E-2</v>
      </c>
      <c r="Y201" s="114">
        <f t="shared" si="43"/>
        <v>3936.1702127659578</v>
      </c>
      <c r="Z201" s="114">
        <f t="shared" si="44"/>
        <v>4251.0638297872347</v>
      </c>
    </row>
    <row r="202" spans="1:26">
      <c r="A202" s="79" t="s">
        <v>3</v>
      </c>
      <c r="B202" s="80" t="s">
        <v>243</v>
      </c>
      <c r="C202" s="81" t="s">
        <v>13</v>
      </c>
      <c r="D202" s="81" t="s">
        <v>14</v>
      </c>
      <c r="E202" s="79" t="s">
        <v>169</v>
      </c>
      <c r="F202" s="81" t="s">
        <v>149</v>
      </c>
      <c r="G202" s="81" t="s">
        <v>242</v>
      </c>
      <c r="H202" s="79">
        <v>4000</v>
      </c>
      <c r="I202" s="82">
        <v>854470000000</v>
      </c>
      <c r="J202" s="79" t="s">
        <v>353</v>
      </c>
      <c r="K202" s="36">
        <v>304</v>
      </c>
      <c r="L202" s="59">
        <v>313</v>
      </c>
      <c r="M202" s="36"/>
      <c r="N202" s="37">
        <v>300</v>
      </c>
      <c r="O202" s="37">
        <v>255</v>
      </c>
      <c r="Q202" s="29">
        <f t="shared" si="40"/>
        <v>300</v>
      </c>
      <c r="R202" s="30">
        <f t="shared" si="38"/>
        <v>338.99999999999994</v>
      </c>
      <c r="S202" s="126" t="s">
        <v>425</v>
      </c>
      <c r="U202" s="114">
        <v>300</v>
      </c>
      <c r="V202" s="30">
        <f t="shared" si="41"/>
        <v>338.99999999999994</v>
      </c>
      <c r="W202" s="126" t="s">
        <v>425</v>
      </c>
      <c r="X202" s="25">
        <f t="shared" si="42"/>
        <v>0</v>
      </c>
      <c r="Y202" s="114">
        <f t="shared" si="43"/>
        <v>319.14893617021278</v>
      </c>
      <c r="Z202" s="114">
        <f t="shared" si="44"/>
        <v>344.68085106382983</v>
      </c>
    </row>
    <row r="203" spans="1:26">
      <c r="A203" s="79" t="s">
        <v>3</v>
      </c>
      <c r="B203" s="80" t="s">
        <v>243</v>
      </c>
      <c r="C203" s="81" t="s">
        <v>13</v>
      </c>
      <c r="D203" s="81" t="s">
        <v>15</v>
      </c>
      <c r="E203" s="79" t="s">
        <v>169</v>
      </c>
      <c r="F203" s="81" t="s">
        <v>150</v>
      </c>
      <c r="G203" s="81" t="s">
        <v>242</v>
      </c>
      <c r="H203" s="79">
        <v>4000</v>
      </c>
      <c r="I203" s="82">
        <v>854470000000</v>
      </c>
      <c r="J203" s="79" t="s">
        <v>353</v>
      </c>
      <c r="K203" s="36">
        <v>358</v>
      </c>
      <c r="L203" s="59">
        <v>375</v>
      </c>
      <c r="M203" s="36"/>
      <c r="N203" s="37">
        <v>360</v>
      </c>
      <c r="O203" s="37">
        <v>310</v>
      </c>
      <c r="Q203" s="29">
        <f t="shared" si="40"/>
        <v>360</v>
      </c>
      <c r="R203" s="30">
        <f t="shared" si="38"/>
        <v>406.79999999999995</v>
      </c>
      <c r="S203" s="126" t="s">
        <v>425</v>
      </c>
      <c r="U203" s="114">
        <v>360</v>
      </c>
      <c r="V203" s="30">
        <f t="shared" si="41"/>
        <v>406.79999999999995</v>
      </c>
      <c r="W203" s="126" t="s">
        <v>425</v>
      </c>
      <c r="X203" s="25">
        <f t="shared" si="42"/>
        <v>0</v>
      </c>
      <c r="Y203" s="114">
        <f t="shared" si="43"/>
        <v>382.97872340425533</v>
      </c>
      <c r="Z203" s="114">
        <f t="shared" si="44"/>
        <v>413.61702127659578</v>
      </c>
    </row>
    <row r="204" spans="1:26">
      <c r="A204" s="79" t="s">
        <v>3</v>
      </c>
      <c r="B204" s="80" t="s">
        <v>243</v>
      </c>
      <c r="C204" s="81" t="s">
        <v>13</v>
      </c>
      <c r="D204" s="81" t="s">
        <v>16</v>
      </c>
      <c r="E204" s="79" t="s">
        <v>169</v>
      </c>
      <c r="F204" s="81" t="s">
        <v>151</v>
      </c>
      <c r="G204" s="81" t="s">
        <v>242</v>
      </c>
      <c r="H204" s="79">
        <v>4000</v>
      </c>
      <c r="I204" s="82">
        <v>854470000000</v>
      </c>
      <c r="J204" s="79" t="s">
        <v>353</v>
      </c>
      <c r="K204" s="36">
        <v>481</v>
      </c>
      <c r="L204" s="59">
        <v>495</v>
      </c>
      <c r="M204" s="36"/>
      <c r="N204" s="37">
        <v>475</v>
      </c>
      <c r="O204" s="37">
        <v>410</v>
      </c>
      <c r="Q204" s="29">
        <f t="shared" si="40"/>
        <v>475</v>
      </c>
      <c r="R204" s="30">
        <f t="shared" si="38"/>
        <v>536.75</v>
      </c>
      <c r="S204" s="126" t="s">
        <v>425</v>
      </c>
      <c r="U204" s="114">
        <v>480</v>
      </c>
      <c r="V204" s="30">
        <f t="shared" si="41"/>
        <v>542.4</v>
      </c>
      <c r="W204" s="126" t="s">
        <v>425</v>
      </c>
      <c r="X204" s="25">
        <f t="shared" si="42"/>
        <v>1.0526315789473684E-2</v>
      </c>
      <c r="Y204" s="114">
        <f t="shared" si="43"/>
        <v>510.63829787234044</v>
      </c>
      <c r="Z204" s="114">
        <f t="shared" si="44"/>
        <v>551.48936170212767</v>
      </c>
    </row>
    <row r="205" spans="1:26">
      <c r="A205" s="79" t="s">
        <v>3</v>
      </c>
      <c r="B205" s="80" t="s">
        <v>243</v>
      </c>
      <c r="C205" s="81" t="s">
        <v>13</v>
      </c>
      <c r="D205" s="81" t="s">
        <v>17</v>
      </c>
      <c r="E205" s="79" t="s">
        <v>169</v>
      </c>
      <c r="F205" s="81" t="s">
        <v>152</v>
      </c>
      <c r="G205" s="81" t="s">
        <v>242</v>
      </c>
      <c r="H205" s="79">
        <v>4000</v>
      </c>
      <c r="I205" s="82">
        <v>854470000000</v>
      </c>
      <c r="J205" s="79" t="s">
        <v>353</v>
      </c>
      <c r="K205" s="36">
        <v>797</v>
      </c>
      <c r="L205" s="59">
        <v>814</v>
      </c>
      <c r="M205" s="36"/>
      <c r="N205" s="37">
        <v>815</v>
      </c>
      <c r="O205" s="37">
        <v>700</v>
      </c>
      <c r="Q205" s="29">
        <f t="shared" si="40"/>
        <v>815</v>
      </c>
      <c r="R205" s="30">
        <f t="shared" si="38"/>
        <v>920.94999999999993</v>
      </c>
      <c r="S205" s="126" t="s">
        <v>425</v>
      </c>
      <c r="U205" s="114">
        <v>820</v>
      </c>
      <c r="V205" s="30">
        <f t="shared" si="41"/>
        <v>926.59999999999991</v>
      </c>
      <c r="W205" s="126" t="s">
        <v>425</v>
      </c>
      <c r="X205" s="25">
        <f t="shared" si="42"/>
        <v>6.1349693251533744E-3</v>
      </c>
      <c r="Y205" s="114">
        <f t="shared" si="43"/>
        <v>872.34042553191489</v>
      </c>
      <c r="Z205" s="114">
        <f t="shared" si="44"/>
        <v>942.12765957446811</v>
      </c>
    </row>
    <row r="206" spans="1:26">
      <c r="A206" s="79" t="s">
        <v>47</v>
      </c>
      <c r="B206" s="80" t="s">
        <v>243</v>
      </c>
      <c r="C206" s="81" t="s">
        <v>13</v>
      </c>
      <c r="D206" s="81" t="s">
        <v>60</v>
      </c>
      <c r="E206" s="79" t="s">
        <v>169</v>
      </c>
      <c r="F206" s="81" t="s">
        <v>153</v>
      </c>
      <c r="G206" s="81" t="s">
        <v>242</v>
      </c>
      <c r="H206" s="79">
        <v>4000</v>
      </c>
      <c r="I206" s="82">
        <v>854470000000</v>
      </c>
      <c r="J206" s="79" t="s">
        <v>353</v>
      </c>
      <c r="K206" s="36">
        <v>515</v>
      </c>
      <c r="L206" s="59"/>
      <c r="M206" s="36">
        <v>480</v>
      </c>
      <c r="N206" s="37">
        <v>515</v>
      </c>
      <c r="O206" s="37">
        <v>480</v>
      </c>
      <c r="Q206" s="61">
        <f>+O206</f>
        <v>480</v>
      </c>
      <c r="R206" s="62">
        <f t="shared" si="38"/>
        <v>542.4</v>
      </c>
      <c r="S206" s="126" t="s">
        <v>426</v>
      </c>
      <c r="U206" s="117">
        <v>515</v>
      </c>
      <c r="V206" s="62">
        <f t="shared" si="41"/>
        <v>581.94999999999993</v>
      </c>
      <c r="W206" s="126" t="s">
        <v>486</v>
      </c>
      <c r="X206" s="25">
        <f t="shared" si="42"/>
        <v>7.2916666666666671E-2</v>
      </c>
      <c r="Y206" s="114">
        <f t="shared" si="43"/>
        <v>547.872340425532</v>
      </c>
      <c r="Z206" s="114">
        <f t="shared" si="44"/>
        <v>591.70212765957456</v>
      </c>
    </row>
    <row r="207" spans="1:26">
      <c r="A207" s="79" t="s">
        <v>47</v>
      </c>
      <c r="B207" s="80" t="s">
        <v>243</v>
      </c>
      <c r="C207" s="81" t="s">
        <v>13</v>
      </c>
      <c r="D207" s="81" t="s">
        <v>61</v>
      </c>
      <c r="E207" s="79" t="s">
        <v>169</v>
      </c>
      <c r="F207" s="81" t="s">
        <v>154</v>
      </c>
      <c r="G207" s="81" t="s">
        <v>242</v>
      </c>
      <c r="H207" s="79">
        <v>4000</v>
      </c>
      <c r="I207" s="82">
        <v>854470000000</v>
      </c>
      <c r="J207" s="79" t="s">
        <v>353</v>
      </c>
      <c r="K207" s="36">
        <v>640</v>
      </c>
      <c r="L207" s="59"/>
      <c r="M207" s="36">
        <v>595</v>
      </c>
      <c r="N207" s="37">
        <v>640</v>
      </c>
      <c r="O207" s="37">
        <v>595</v>
      </c>
      <c r="Q207" s="61">
        <f>+O207</f>
        <v>595</v>
      </c>
      <c r="R207" s="62">
        <f t="shared" si="38"/>
        <v>672.34999999999991</v>
      </c>
      <c r="S207" s="126" t="s">
        <v>426</v>
      </c>
      <c r="U207" s="117">
        <v>640</v>
      </c>
      <c r="V207" s="62">
        <f t="shared" si="41"/>
        <v>723.19999999999993</v>
      </c>
      <c r="W207" s="126" t="s">
        <v>486</v>
      </c>
      <c r="X207" s="25">
        <f t="shared" si="42"/>
        <v>7.5630252100840331E-2</v>
      </c>
      <c r="Y207" s="114">
        <f t="shared" si="43"/>
        <v>680.85106382978722</v>
      </c>
      <c r="Z207" s="114">
        <f t="shared" si="44"/>
        <v>735.31914893617022</v>
      </c>
    </row>
    <row r="208" spans="1:26">
      <c r="A208" s="79" t="s">
        <v>47</v>
      </c>
      <c r="B208" s="80" t="s">
        <v>243</v>
      </c>
      <c r="C208" s="81" t="s">
        <v>13</v>
      </c>
      <c r="D208" s="81" t="s">
        <v>62</v>
      </c>
      <c r="E208" s="79" t="s">
        <v>169</v>
      </c>
      <c r="F208" s="81" t="s">
        <v>155</v>
      </c>
      <c r="G208" s="81" t="s">
        <v>242</v>
      </c>
      <c r="H208" s="79">
        <v>4000</v>
      </c>
      <c r="I208" s="82">
        <v>854470000000</v>
      </c>
      <c r="J208" s="79" t="s">
        <v>353</v>
      </c>
      <c r="K208" s="36">
        <v>890</v>
      </c>
      <c r="L208" s="59"/>
      <c r="M208" s="36">
        <v>823</v>
      </c>
      <c r="N208" s="37">
        <v>89</v>
      </c>
      <c r="O208" s="37">
        <v>823</v>
      </c>
      <c r="Q208" s="61">
        <f>+O208</f>
        <v>823</v>
      </c>
      <c r="R208" s="62">
        <f t="shared" si="38"/>
        <v>929.9899999999999</v>
      </c>
      <c r="S208" s="126" t="s">
        <v>426</v>
      </c>
      <c r="U208" s="117">
        <v>880</v>
      </c>
      <c r="V208" s="62">
        <f t="shared" si="41"/>
        <v>994.39999999999986</v>
      </c>
      <c r="W208" s="126" t="s">
        <v>486</v>
      </c>
      <c r="X208" s="25">
        <f t="shared" si="42"/>
        <v>6.9258809234507904E-2</v>
      </c>
      <c r="Y208" s="114">
        <f t="shared" si="43"/>
        <v>936.17021276595744</v>
      </c>
      <c r="Z208" s="114">
        <f t="shared" si="44"/>
        <v>1011.0638297872341</v>
      </c>
    </row>
    <row r="209" spans="1:26">
      <c r="A209" s="79" t="s">
        <v>47</v>
      </c>
      <c r="B209" s="80" t="s">
        <v>243</v>
      </c>
      <c r="C209" s="81" t="s">
        <v>13</v>
      </c>
      <c r="D209" s="81" t="s">
        <v>63</v>
      </c>
      <c r="E209" s="79" t="s">
        <v>169</v>
      </c>
      <c r="F209" s="81" t="s">
        <v>156</v>
      </c>
      <c r="G209" s="81" t="s">
        <v>242</v>
      </c>
      <c r="H209" s="79">
        <v>4000</v>
      </c>
      <c r="I209" s="82">
        <v>854470000000</v>
      </c>
      <c r="J209" s="79" t="s">
        <v>353</v>
      </c>
      <c r="K209" s="36">
        <v>1620</v>
      </c>
      <c r="L209" s="59"/>
      <c r="M209" s="36">
        <v>1510</v>
      </c>
      <c r="N209" s="37">
        <v>1620</v>
      </c>
      <c r="O209" s="37">
        <v>1510</v>
      </c>
      <c r="Q209" s="61">
        <f>+O209</f>
        <v>1510</v>
      </c>
      <c r="R209" s="62">
        <f t="shared" si="38"/>
        <v>1706.2999999999997</v>
      </c>
      <c r="S209" s="126" t="s">
        <v>426</v>
      </c>
      <c r="U209" s="117">
        <v>1600</v>
      </c>
      <c r="V209" s="62">
        <f t="shared" si="41"/>
        <v>1807.9999999999998</v>
      </c>
      <c r="W209" s="126" t="s">
        <v>486</v>
      </c>
      <c r="X209" s="25">
        <f t="shared" si="42"/>
        <v>5.9602649006622516E-2</v>
      </c>
      <c r="Y209" s="114">
        <f t="shared" si="43"/>
        <v>1702.1276595744682</v>
      </c>
      <c r="Z209" s="114">
        <f t="shared" si="44"/>
        <v>1838.2978723404258</v>
      </c>
    </row>
    <row r="210" spans="1:26">
      <c r="A210" s="79" t="s">
        <v>76</v>
      </c>
      <c r="B210" s="80" t="s">
        <v>243</v>
      </c>
      <c r="C210" s="81" t="s">
        <v>13</v>
      </c>
      <c r="D210" s="81" t="s">
        <v>64</v>
      </c>
      <c r="E210" s="79" t="s">
        <v>169</v>
      </c>
      <c r="F210" s="81" t="s">
        <v>157</v>
      </c>
      <c r="G210" s="81" t="s">
        <v>242</v>
      </c>
      <c r="H210" s="79">
        <v>4000</v>
      </c>
      <c r="I210" s="82">
        <v>854470000000</v>
      </c>
      <c r="J210" s="79" t="s">
        <v>353</v>
      </c>
      <c r="K210" s="36">
        <v>900</v>
      </c>
      <c r="L210" s="59">
        <v>914</v>
      </c>
      <c r="M210" s="36"/>
      <c r="N210" s="37">
        <v>880</v>
      </c>
      <c r="O210" s="37">
        <v>0</v>
      </c>
      <c r="Q210" s="61">
        <f t="shared" ref="Q210:Q217" si="45">+N210</f>
        <v>880</v>
      </c>
      <c r="R210" s="62">
        <f t="shared" si="38"/>
        <v>994.39999999999986</v>
      </c>
      <c r="S210" s="126" t="s">
        <v>427</v>
      </c>
      <c r="U210" s="117">
        <v>800</v>
      </c>
      <c r="V210" s="62">
        <f t="shared" si="41"/>
        <v>903.99999999999989</v>
      </c>
      <c r="W210" s="126" t="s">
        <v>427</v>
      </c>
      <c r="X210" s="25">
        <f t="shared" si="42"/>
        <v>-9.0909090909090912E-2</v>
      </c>
      <c r="Y210" s="114">
        <f t="shared" si="43"/>
        <v>851.06382978723411</v>
      </c>
      <c r="Z210" s="114">
        <f t="shared" si="44"/>
        <v>919.14893617021289</v>
      </c>
    </row>
    <row r="211" spans="1:26">
      <c r="A211" s="79" t="s">
        <v>76</v>
      </c>
      <c r="B211" s="80" t="s">
        <v>243</v>
      </c>
      <c r="C211" s="81" t="s">
        <v>13</v>
      </c>
      <c r="D211" s="81" t="s">
        <v>65</v>
      </c>
      <c r="E211" s="79" t="s">
        <v>169</v>
      </c>
      <c r="F211" s="81" t="s">
        <v>158</v>
      </c>
      <c r="G211" s="81" t="s">
        <v>242</v>
      </c>
      <c r="H211" s="79">
        <v>4000</v>
      </c>
      <c r="I211" s="82">
        <v>854470000000</v>
      </c>
      <c r="J211" s="79" t="s">
        <v>353</v>
      </c>
      <c r="K211" s="36">
        <v>1160</v>
      </c>
      <c r="L211" s="59">
        <v>1195</v>
      </c>
      <c r="M211" s="36"/>
      <c r="N211" s="37">
        <v>1154</v>
      </c>
      <c r="O211" s="37">
        <v>0</v>
      </c>
      <c r="Q211" s="61">
        <f t="shared" si="45"/>
        <v>1154</v>
      </c>
      <c r="R211" s="62">
        <f t="shared" si="38"/>
        <v>1304.02</v>
      </c>
      <c r="S211" s="126" t="s">
        <v>427</v>
      </c>
      <c r="U211" s="117">
        <v>1040</v>
      </c>
      <c r="V211" s="62">
        <f t="shared" si="41"/>
        <v>1175.1999999999998</v>
      </c>
      <c r="W211" s="126" t="s">
        <v>427</v>
      </c>
      <c r="X211" s="25">
        <f t="shared" si="42"/>
        <v>-9.8786828422876949E-2</v>
      </c>
      <c r="Y211" s="114">
        <f t="shared" si="43"/>
        <v>1106.3829787234042</v>
      </c>
      <c r="Z211" s="114">
        <f t="shared" si="44"/>
        <v>1194.8936170212767</v>
      </c>
    </row>
    <row r="212" spans="1:26">
      <c r="A212" s="79" t="s">
        <v>76</v>
      </c>
      <c r="B212" s="80" t="s">
        <v>243</v>
      </c>
      <c r="C212" s="81" t="s">
        <v>13</v>
      </c>
      <c r="D212" s="81" t="s">
        <v>66</v>
      </c>
      <c r="E212" s="79" t="s">
        <v>169</v>
      </c>
      <c r="F212" s="81" t="s">
        <v>159</v>
      </c>
      <c r="G212" s="81" t="s">
        <v>242</v>
      </c>
      <c r="H212" s="79">
        <v>4000</v>
      </c>
      <c r="I212" s="82">
        <v>854470000000</v>
      </c>
      <c r="J212" s="79" t="s">
        <v>353</v>
      </c>
      <c r="K212" s="36">
        <v>1745</v>
      </c>
      <c r="L212" s="59">
        <v>1763</v>
      </c>
      <c r="M212" s="36"/>
      <c r="N212" s="37">
        <v>1700</v>
      </c>
      <c r="O212" s="37">
        <v>0</v>
      </c>
      <c r="Q212" s="61">
        <f t="shared" si="45"/>
        <v>1700</v>
      </c>
      <c r="R212" s="62">
        <f t="shared" si="38"/>
        <v>1920.9999999999998</v>
      </c>
      <c r="S212" s="126" t="s">
        <v>427</v>
      </c>
      <c r="U212" s="117">
        <v>1550</v>
      </c>
      <c r="V212" s="62">
        <f t="shared" si="41"/>
        <v>1751.4999999999998</v>
      </c>
      <c r="W212" s="126" t="s">
        <v>427</v>
      </c>
      <c r="X212" s="25">
        <f t="shared" si="42"/>
        <v>-8.8235294117647065E-2</v>
      </c>
      <c r="Y212" s="114">
        <f t="shared" si="43"/>
        <v>1648.936170212766</v>
      </c>
      <c r="Z212" s="114">
        <f t="shared" si="44"/>
        <v>1780.8510638297873</v>
      </c>
    </row>
    <row r="213" spans="1:26">
      <c r="A213" s="79" t="s">
        <v>76</v>
      </c>
      <c r="B213" s="80" t="s">
        <v>243</v>
      </c>
      <c r="C213" s="81" t="s">
        <v>13</v>
      </c>
      <c r="D213" s="81" t="s">
        <v>67</v>
      </c>
      <c r="E213" s="79" t="s">
        <v>169</v>
      </c>
      <c r="F213" s="81" t="s">
        <v>160</v>
      </c>
      <c r="G213" s="81" t="s">
        <v>242</v>
      </c>
      <c r="H213" s="79">
        <v>4000</v>
      </c>
      <c r="I213" s="82">
        <v>854470000000</v>
      </c>
      <c r="J213" s="79" t="s">
        <v>353</v>
      </c>
      <c r="K213" s="36">
        <v>3312</v>
      </c>
      <c r="L213" s="59">
        <v>3330</v>
      </c>
      <c r="M213" s="36"/>
      <c r="N213" s="37">
        <v>3240</v>
      </c>
      <c r="O213" s="37">
        <v>0</v>
      </c>
      <c r="Q213" s="61">
        <f t="shared" si="45"/>
        <v>3240</v>
      </c>
      <c r="R213" s="62">
        <f t="shared" si="38"/>
        <v>3661.2</v>
      </c>
      <c r="S213" s="126" t="s">
        <v>427</v>
      </c>
      <c r="U213" s="117">
        <v>2880</v>
      </c>
      <c r="V213" s="62">
        <f t="shared" si="41"/>
        <v>3254.3999999999996</v>
      </c>
      <c r="W213" s="126" t="s">
        <v>427</v>
      </c>
      <c r="X213" s="25">
        <f t="shared" si="42"/>
        <v>-0.1111111111111111</v>
      </c>
      <c r="Y213" s="114">
        <f t="shared" si="43"/>
        <v>3063.8297872340427</v>
      </c>
      <c r="Z213" s="114">
        <f t="shared" si="44"/>
        <v>3308.9361702127662</v>
      </c>
    </row>
    <row r="214" spans="1:26">
      <c r="A214" s="79" t="s">
        <v>89</v>
      </c>
      <c r="B214" s="80" t="s">
        <v>243</v>
      </c>
      <c r="C214" s="81" t="s">
        <v>13</v>
      </c>
      <c r="D214" s="81" t="s">
        <v>98</v>
      </c>
      <c r="E214" s="79" t="s">
        <v>169</v>
      </c>
      <c r="F214" s="81" t="s">
        <v>161</v>
      </c>
      <c r="G214" s="81" t="s">
        <v>242</v>
      </c>
      <c r="H214" s="79">
        <v>4000</v>
      </c>
      <c r="I214" s="82">
        <v>854470000000</v>
      </c>
      <c r="J214" s="79" t="s">
        <v>353</v>
      </c>
      <c r="K214" s="36">
        <v>165</v>
      </c>
      <c r="L214" s="59">
        <v>178</v>
      </c>
      <c r="M214" s="36"/>
      <c r="N214" s="60">
        <v>198</v>
      </c>
      <c r="O214" s="60">
        <v>0</v>
      </c>
      <c r="Q214" s="61">
        <f t="shared" si="45"/>
        <v>198</v>
      </c>
      <c r="R214" s="62">
        <f t="shared" si="38"/>
        <v>223.73999999999998</v>
      </c>
      <c r="S214" s="126" t="s">
        <v>428</v>
      </c>
      <c r="U214" s="117">
        <v>210</v>
      </c>
      <c r="V214" s="62">
        <f t="shared" si="41"/>
        <v>237.29999999999998</v>
      </c>
      <c r="W214" s="126" t="s">
        <v>428</v>
      </c>
      <c r="X214" s="25">
        <f t="shared" si="42"/>
        <v>6.0606060606060608E-2</v>
      </c>
      <c r="Y214" s="114">
        <f t="shared" si="43"/>
        <v>223.40425531914894</v>
      </c>
      <c r="Z214" s="114">
        <f t="shared" si="44"/>
        <v>241.27659574468089</v>
      </c>
    </row>
    <row r="215" spans="1:26">
      <c r="A215" s="79" t="s">
        <v>89</v>
      </c>
      <c r="B215" s="80" t="s">
        <v>243</v>
      </c>
      <c r="C215" s="81" t="s">
        <v>13</v>
      </c>
      <c r="D215" s="81" t="s">
        <v>99</v>
      </c>
      <c r="E215" s="79" t="s">
        <v>169</v>
      </c>
      <c r="F215" s="81" t="s">
        <v>162</v>
      </c>
      <c r="G215" s="81" t="s">
        <v>242</v>
      </c>
      <c r="H215" s="79">
        <v>4000</v>
      </c>
      <c r="I215" s="82">
        <v>854470000000</v>
      </c>
      <c r="J215" s="79" t="s">
        <v>353</v>
      </c>
      <c r="K215" s="36">
        <v>188</v>
      </c>
      <c r="L215" s="59">
        <v>195</v>
      </c>
      <c r="M215" s="36"/>
      <c r="N215" s="60">
        <v>233</v>
      </c>
      <c r="O215" s="60">
        <v>0</v>
      </c>
      <c r="Q215" s="61">
        <f t="shared" si="45"/>
        <v>233</v>
      </c>
      <c r="R215" s="62">
        <f t="shared" si="38"/>
        <v>263.28999999999996</v>
      </c>
      <c r="S215" s="126" t="s">
        <v>428</v>
      </c>
      <c r="U215" s="117">
        <v>260</v>
      </c>
      <c r="V215" s="62">
        <f t="shared" si="41"/>
        <v>293.79999999999995</v>
      </c>
      <c r="W215" s="126" t="s">
        <v>428</v>
      </c>
      <c r="X215" s="25">
        <f t="shared" si="42"/>
        <v>0.11587982832618025</v>
      </c>
      <c r="Y215" s="114">
        <f t="shared" si="43"/>
        <v>276.59574468085106</v>
      </c>
      <c r="Z215" s="114">
        <f t="shared" si="44"/>
        <v>298.72340425531917</v>
      </c>
    </row>
    <row r="216" spans="1:26">
      <c r="A216" s="79" t="s">
        <v>89</v>
      </c>
      <c r="B216" s="80" t="s">
        <v>243</v>
      </c>
      <c r="C216" s="81" t="s">
        <v>13</v>
      </c>
      <c r="D216" s="81" t="s">
        <v>100</v>
      </c>
      <c r="E216" s="79" t="s">
        <v>169</v>
      </c>
      <c r="F216" s="81" t="s">
        <v>163</v>
      </c>
      <c r="G216" s="81" t="s">
        <v>242</v>
      </c>
      <c r="H216" s="79">
        <v>4000</v>
      </c>
      <c r="I216" s="82">
        <v>854470000000</v>
      </c>
      <c r="J216" s="79" t="s">
        <v>353</v>
      </c>
      <c r="K216" s="36">
        <v>218</v>
      </c>
      <c r="L216" s="59">
        <v>225</v>
      </c>
      <c r="M216" s="36"/>
      <c r="N216" s="60">
        <v>280</v>
      </c>
      <c r="O216" s="60">
        <v>0</v>
      </c>
      <c r="Q216" s="61">
        <f t="shared" si="45"/>
        <v>280</v>
      </c>
      <c r="R216" s="62">
        <f t="shared" si="38"/>
        <v>316.39999999999998</v>
      </c>
      <c r="S216" s="126" t="s">
        <v>428</v>
      </c>
      <c r="U216" s="117">
        <v>325</v>
      </c>
      <c r="V216" s="62">
        <f t="shared" si="41"/>
        <v>367.24999999999994</v>
      </c>
      <c r="W216" s="126" t="s">
        <v>428</v>
      </c>
      <c r="X216" s="25">
        <f t="shared" si="42"/>
        <v>0.16071428571428573</v>
      </c>
      <c r="Y216" s="114">
        <f t="shared" si="43"/>
        <v>345.74468085106383</v>
      </c>
      <c r="Z216" s="114">
        <f t="shared" si="44"/>
        <v>373.40425531914894</v>
      </c>
    </row>
    <row r="217" spans="1:26" ht="16.5" thickBot="1">
      <c r="A217" s="79" t="s">
        <v>89</v>
      </c>
      <c r="B217" s="80" t="s">
        <v>243</v>
      </c>
      <c r="C217" s="81" t="s">
        <v>13</v>
      </c>
      <c r="D217" s="81" t="s">
        <v>101</v>
      </c>
      <c r="E217" s="79" t="s">
        <v>169</v>
      </c>
      <c r="F217" s="81" t="s">
        <v>164</v>
      </c>
      <c r="G217" s="81" t="s">
        <v>242</v>
      </c>
      <c r="H217" s="79">
        <v>4000</v>
      </c>
      <c r="I217" s="82">
        <v>854470000000</v>
      </c>
      <c r="J217" s="79" t="s">
        <v>353</v>
      </c>
      <c r="K217" s="100">
        <v>306</v>
      </c>
      <c r="L217" s="101">
        <v>320</v>
      </c>
      <c r="M217" s="100"/>
      <c r="N217" s="102">
        <v>475</v>
      </c>
      <c r="O217" s="102">
        <v>0</v>
      </c>
      <c r="Q217" s="65">
        <f t="shared" si="45"/>
        <v>475</v>
      </c>
      <c r="R217" s="66">
        <f t="shared" si="38"/>
        <v>536.75</v>
      </c>
      <c r="S217" s="127" t="s">
        <v>428</v>
      </c>
      <c r="U217" s="118">
        <v>530</v>
      </c>
      <c r="V217" s="66">
        <f t="shared" si="41"/>
        <v>598.9</v>
      </c>
      <c r="W217" s="127" t="s">
        <v>428</v>
      </c>
      <c r="X217" s="25">
        <f t="shared" si="42"/>
        <v>0.11578947368421053</v>
      </c>
      <c r="Y217" s="115">
        <f t="shared" si="43"/>
        <v>563.82978723404256</v>
      </c>
      <c r="Z217" s="115">
        <f t="shared" si="44"/>
        <v>608.936170212766</v>
      </c>
    </row>
    <row r="218" spans="1:26" ht="16.5" thickBot="1">
      <c r="A218" s="103"/>
      <c r="B218" s="104"/>
      <c r="C218" s="105"/>
      <c r="D218" s="105"/>
      <c r="E218" s="103"/>
      <c r="F218" s="105"/>
      <c r="G218" s="105"/>
      <c r="H218" s="103"/>
      <c r="I218" s="103"/>
      <c r="J218" s="105"/>
      <c r="M218" s="106"/>
      <c r="O218" s="106"/>
      <c r="Q218" s="107"/>
      <c r="R218" s="108"/>
      <c r="S218" s="132"/>
      <c r="U218" s="122"/>
      <c r="V218" s="108"/>
      <c r="W218" s="132"/>
      <c r="Y218" s="135"/>
      <c r="Z218" s="135"/>
    </row>
    <row r="221" spans="1:26">
      <c r="F221" s="109"/>
    </row>
    <row r="222" spans="1:26">
      <c r="F222" s="109"/>
    </row>
    <row r="223" spans="1:26">
      <c r="F223" s="109"/>
    </row>
    <row r="224" spans="1:26">
      <c r="F224" s="109"/>
    </row>
    <row r="225" spans="6:6">
      <c r="F225" s="109"/>
    </row>
    <row r="226" spans="6:6">
      <c r="F226" s="109"/>
    </row>
    <row r="227" spans="6:6">
      <c r="F227" s="109"/>
    </row>
    <row r="228" spans="6:6">
      <c r="F228" s="109"/>
    </row>
    <row r="229" spans="6:6">
      <c r="F229" s="109"/>
    </row>
    <row r="230" spans="6:6">
      <c r="F230" s="109"/>
    </row>
    <row r="231" spans="6:6">
      <c r="F231" s="109"/>
    </row>
    <row r="232" spans="6:6">
      <c r="F232" s="109"/>
    </row>
    <row r="233" spans="6:6">
      <c r="F233" s="109"/>
    </row>
    <row r="234" spans="6:6">
      <c r="F234" s="109"/>
    </row>
    <row r="235" spans="6:6">
      <c r="F235" s="109"/>
    </row>
    <row r="236" spans="6:6">
      <c r="F236" s="109"/>
    </row>
  </sheetData>
  <autoFilter ref="A4:W217" xr:uid="{00000000-0001-0000-0000-000000000000}"/>
  <mergeCells count="9">
    <mergeCell ref="U1:W1"/>
    <mergeCell ref="U3:W3"/>
    <mergeCell ref="K1:M1"/>
    <mergeCell ref="K2:M2"/>
    <mergeCell ref="K3:L3"/>
    <mergeCell ref="Q3:S3"/>
    <mergeCell ref="N2:O2"/>
    <mergeCell ref="N1:O1"/>
    <mergeCell ref="Q1:S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27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c676b9-f308-4a3a-a96e-67809d3f5e2f">
      <Terms xmlns="http://schemas.microsoft.com/office/infopath/2007/PartnerControls"/>
    </lcf76f155ced4ddcb4097134ff3c332f>
    <TaxCatchAll xmlns="13f770f0-9450-4655-9bd0-4bbda5435d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4C590D6670B46B394B0B20BFCA2F5" ma:contentTypeVersion="13" ma:contentTypeDescription="Create a new document." ma:contentTypeScope="" ma:versionID="e37331a057ee0a5a9dd6547076a1eb6d">
  <xsd:schema xmlns:xsd="http://www.w3.org/2001/XMLSchema" xmlns:xs="http://www.w3.org/2001/XMLSchema" xmlns:p="http://schemas.microsoft.com/office/2006/metadata/properties" xmlns:ns2="3fc676b9-f308-4a3a-a96e-67809d3f5e2f" xmlns:ns3="13f770f0-9450-4655-9bd0-4bbda5435d4e" targetNamespace="http://schemas.microsoft.com/office/2006/metadata/properties" ma:root="true" ma:fieldsID="2083e1cea1e9dbaee31fec228d269d7c" ns2:_="" ns3:_="">
    <xsd:import namespace="3fc676b9-f308-4a3a-a96e-67809d3f5e2f"/>
    <xsd:import namespace="13f770f0-9450-4655-9bd0-4bbda5435d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76b9-f308-4a3a-a96e-67809d3f5e2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ba64877-485a-430f-902d-53d98a15f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f770f0-9450-4655-9bd0-4bbda5435d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a725e1f-f39c-4928-b8ca-a153e256ffb6}" ma:internalName="TaxCatchAll" ma:showField="CatchAllData" ma:web="13f770f0-9450-4655-9bd0-4bbda5435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62AF67-4213-452B-AFCA-555434BC95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D23FDB-5086-453A-BE3E-13D1A214D93C}">
  <ds:schemaRefs>
    <ds:schemaRef ds:uri="13f770f0-9450-4655-9bd0-4bbda5435d4e"/>
    <ds:schemaRef ds:uri="http://schemas.microsoft.com/office/infopath/2007/PartnerControls"/>
    <ds:schemaRef ds:uri="3fc676b9-f308-4a3a-a96e-67809d3f5e2f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9CBE67F-1AE5-4340-952A-09B9749F50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c676b9-f308-4a3a-a96e-67809d3f5e2f"/>
    <ds:schemaRef ds:uri="13f770f0-9450-4655-9bd0-4bbda5435d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SYMEA FO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Olivier Parizot | Syskern</cp:lastModifiedBy>
  <cp:lastPrinted>2024-10-21T11:06:13Z</cp:lastPrinted>
  <dcterms:created xsi:type="dcterms:W3CDTF">2015-06-05T18:17:20Z</dcterms:created>
  <dcterms:modified xsi:type="dcterms:W3CDTF">2026-07-16T10:11:50Z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0x0101006514C590D6670B46B394B0B20BFCA2F5</vt:lpwstr>
  </property>
  <property fmtid="{D5CDD505-2E9C-101B-9397-08002B2CF9AE}" pid="3" name="MediaServiceImageTags">
    <vt:lpwstr/>
  </property>
</Properties>
</file>
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ymeagroup.sharepoint.com/sites/EGS-China/Shared Documents/SYMEA SH/GENERAL PRICES/CHINA SUPPLIERS/LAN CABLE/2026/"/>
    </mc:Choice>
  </mc:AlternateContent>
  <xr:revisionPtr revIDLastSave="404" documentId="13_ncr:1_{01765076-688A-4BEE-8A32-608E7328F09D}" xr6:coauthVersionLast="47" xr6:coauthVersionMax="47" xr10:uidLastSave="{2734DBC0-39C9-4603-8A56-59A4E9E22D53}"/>
  <bookViews>
    <workbookView xWindow="28680" yWindow="945" windowWidth="29040" windowHeight="15720" activeTab="1" xr2:uid="{00000000-000D-0000-FFFF-FFFF00000000}"/>
  </bookViews>
  <sheets>
    <sheet name="AYP CAT6 UTP CCA 2026" sheetId="1" r:id="rId1"/>
    <sheet name="AYP LAN CU 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R3" i="2"/>
  <c r="T3" i="2" s="1"/>
  <c r="R7" i="2"/>
  <c r="R10" i="2"/>
  <c r="S10" i="2" s="1"/>
  <c r="R13" i="2"/>
  <c r="T13" i="2" s="1"/>
  <c r="R6" i="2"/>
  <c r="T6" i="2" s="1"/>
  <c r="R8" i="2"/>
  <c r="T8" i="2" s="1"/>
  <c r="R9" i="2"/>
  <c r="T9" i="2"/>
  <c r="Q7" i="2"/>
  <c r="Q13" i="2"/>
  <c r="Q4" i="2"/>
  <c r="R4" i="2"/>
  <c r="T4" i="2" s="1"/>
  <c r="M4" i="2"/>
  <c r="R14" i="2"/>
  <c r="T14" i="2" s="1"/>
  <c r="R12" i="2"/>
  <c r="V12" i="2" s="1"/>
  <c r="T12" i="2"/>
  <c r="R5" i="2"/>
  <c r="T5" i="2"/>
  <c r="N2" i="2"/>
  <c r="N6" i="2" s="1"/>
  <c r="L41" i="1"/>
  <c r="L38" i="1"/>
  <c r="L35" i="1"/>
  <c r="L31" i="1"/>
  <c r="L28" i="1"/>
  <c r="L21" i="1"/>
  <c r="L11" i="1"/>
  <c r="L5" i="1"/>
  <c r="S7" i="2" l="1"/>
  <c r="T7" i="2"/>
  <c r="S13" i="2"/>
  <c r="T10" i="2"/>
  <c r="N5" i="2"/>
  <c r="N8" i="2"/>
  <c r="N9" i="2"/>
  <c r="N4" i="2"/>
  <c r="N10" i="2"/>
  <c r="N3" i="2"/>
</calcChain>
</file>

<file path=xl/sharedStrings.xml><?xml version="1.0" encoding="utf-8"?>
<sst xmlns="http://schemas.openxmlformats.org/spreadsheetml/2006/main" count="529" uniqueCount="131">
  <si>
    <t xml:space="preserve">CATALOGUE </t>
  </si>
  <si>
    <t>TYPE</t>
  </si>
  <si>
    <t>EUROCLASS</t>
  </si>
  <si>
    <t xml:space="preserve">Packing </t>
    <phoneticPr fontId="1" type="noConversion"/>
  </si>
  <si>
    <t>Symea Odoo</t>
  </si>
  <si>
    <t>TEST LEVEL</t>
  </si>
  <si>
    <t>Copper weight kgs/km</t>
  </si>
  <si>
    <t>Diff.</t>
  </si>
  <si>
    <t>Fixed price RMB/KM</t>
  </si>
  <si>
    <t>Drum / carton size cm</t>
  </si>
  <si>
    <t>Qty km/plt</t>
  </si>
  <si>
    <t>Pallet size cm</t>
  </si>
  <si>
    <t xml:space="preserve">UTP CAT6 PVC CCA Physical 0.585mm </t>
  </si>
  <si>
    <t>CAT6</t>
  </si>
  <si>
    <t>U/UTP CCA</t>
  </si>
  <si>
    <t>Eca</t>
  </si>
  <si>
    <t xml:space="preserve">500M DRUM </t>
  </si>
  <si>
    <t>-</t>
  </si>
  <si>
    <t>80m fluke</t>
  </si>
  <si>
    <t>直径40*外高24*轴15</t>
  </si>
  <si>
    <t>120*80*112</t>
  </si>
  <si>
    <t>1000M DRUM</t>
  </si>
  <si>
    <t>直径40*外高44*轴15</t>
  </si>
  <si>
    <t>120*80*105</t>
  </si>
  <si>
    <t>UTP CAT6 PVC CCA Physical 0.585mm 305m  color color/white box</t>
  </si>
  <si>
    <t>305M REELEX BOX</t>
  </si>
  <si>
    <t>41*41*21</t>
  </si>
  <si>
    <t>113*87*96</t>
  </si>
  <si>
    <t>120*87*96</t>
  </si>
  <si>
    <t xml:space="preserve">UTP CAT6 PE CCA Physical 0.585mm </t>
  </si>
  <si>
    <t>Fca</t>
  </si>
  <si>
    <t>500M DRUM</t>
  </si>
  <si>
    <t xml:space="preserve">UTP CAT6 PE CCA Physical 0.585mm </t>
    <phoneticPr fontId="1" type="noConversion"/>
  </si>
  <si>
    <t>305M DRUM</t>
    <phoneticPr fontId="1" type="noConversion"/>
  </si>
  <si>
    <t>直径38*外高18*轴15</t>
  </si>
  <si>
    <t>120*80*108</t>
  </si>
  <si>
    <t xml:space="preserve">UTP CAT6 LSZH CCA Physical 0.585mm </t>
  </si>
  <si>
    <t xml:space="preserve">Dca </t>
  </si>
  <si>
    <t>UTP CAT6 LSZH CCA Physical 0.585 305m color/white box</t>
  </si>
  <si>
    <t>42*42*22</t>
  </si>
  <si>
    <t>120*90*100</t>
  </si>
  <si>
    <t xml:space="preserve">UTP CAT6 PVC CCA Chemical 0.585mm </t>
  </si>
  <si>
    <t>OSEUU64PCCA5</t>
  </si>
  <si>
    <t>70m fluke</t>
  </si>
  <si>
    <t>OSEUU64PCCA10</t>
    <phoneticPr fontId="1" type="noConversion"/>
  </si>
  <si>
    <t>UTP CAT6 PVC CCA Chemical 0.585mm 305m color/white box</t>
  </si>
  <si>
    <t>OSEUU64PCCAB</t>
  </si>
  <si>
    <t>UTP CAT6 PE CCA Chemical 0.585mm</t>
  </si>
  <si>
    <t xml:space="preserve">UTP CAT6 PE CCA Chemical 0.585mm </t>
    <phoneticPr fontId="1" type="noConversion"/>
  </si>
  <si>
    <t>305M DRUM</t>
  </si>
  <si>
    <t>UTP CAT6 LSZH CCA Chemical 0.585mm</t>
  </si>
  <si>
    <t>Dca</t>
  </si>
  <si>
    <t>UTP CAT6 LSZH CCA Chemical 0.585mm 305m color/white box</t>
  </si>
  <si>
    <t xml:space="preserve">UTP CAT6 PVC CCA Physical 0.57mm </t>
  </si>
  <si>
    <t>50m fluke</t>
  </si>
  <si>
    <t>UTP CAT6 PVC CCA Physical 0.57 305m color/white box</t>
  </si>
  <si>
    <t xml:space="preserve">UTP CAT6 PE CCA Physical 0.57mm </t>
  </si>
  <si>
    <t>UTP CAT6 PE CCA Physical 0.57mm</t>
    <phoneticPr fontId="1" type="noConversion"/>
  </si>
  <si>
    <t xml:space="preserve">UTP CAT6 LSZH CCA Physical 0.57mm </t>
  </si>
  <si>
    <t>UTP CAT6 LSZH CCA Physical 0.57mm 305m color/white box</t>
  </si>
  <si>
    <t xml:space="preserve">UTP CAT6 PVC CCA Chemical 0.57mm </t>
  </si>
  <si>
    <t>UTP CAT6 PVC CCA Chemical 0.57mm 305m color/white box</t>
  </si>
  <si>
    <t xml:space="preserve">UTP CAT6 PE CCA Chemical 0.57mm </t>
  </si>
  <si>
    <t xml:space="preserve">UTP CAT6 PE CCA Chemical 0.57mm </t>
    <phoneticPr fontId="1" type="noConversion"/>
  </si>
  <si>
    <t xml:space="preserve">UTP CAT6 LSZH CCA Chemical 0.57mm </t>
  </si>
  <si>
    <t>UTP CAT6 LSZH CCA Chemical 0.57mm 305m color/white box</t>
  </si>
  <si>
    <t xml:space="preserve">FTP CAT6 PVC CCA Physical 0.57mm </t>
  </si>
  <si>
    <t>F/UTP CCA</t>
  </si>
  <si>
    <t>500M/1000M</t>
  </si>
  <si>
    <t>OSEFU64PCCA5/DTCFU64PCCA5</t>
  </si>
  <si>
    <t xml:space="preserve">None CPR </t>
  </si>
  <si>
    <t xml:space="preserve">FTP CAT6 LSZH CCA Physical 0.57mm </t>
  </si>
  <si>
    <t>Dca s2,d2,a2</t>
  </si>
  <si>
    <t>80m fluke</t>
    <phoneticPr fontId="1" type="noConversion"/>
  </si>
  <si>
    <t>CAT6A FFTP LSZH CCA Physical 0.57mm</t>
  </si>
  <si>
    <t>CAT6A</t>
  </si>
  <si>
    <t>F/FTP CCA</t>
  </si>
  <si>
    <t>DTCFF6A4PxCCAZH5</t>
    <phoneticPr fontId="1" type="noConversion"/>
  </si>
  <si>
    <t>CAT6A FFTP PVC CCA Physical 0.57mm</t>
  </si>
  <si>
    <t>DTCFF6A4PxCCA5</t>
    <phoneticPr fontId="1" type="noConversion"/>
  </si>
  <si>
    <t>70m fluke</t>
    <phoneticPr fontId="1" type="noConversion"/>
  </si>
  <si>
    <t>CCA Treatment</t>
    <phoneticPr fontId="1" type="noConversion"/>
  </si>
  <si>
    <t>Physical</t>
    <phoneticPr fontId="1" type="noConversion"/>
  </si>
  <si>
    <t>Chemical</t>
    <phoneticPr fontId="1" type="noConversion"/>
  </si>
  <si>
    <t>AYP - CAT6 CCA (Aluminum)</t>
    <phoneticPr fontId="1" type="noConversion"/>
  </si>
  <si>
    <t>Eca</t>
    <phoneticPr fontId="1" type="noConversion"/>
  </si>
  <si>
    <t>CAT6 F/UTP LSZH 0.4TCCA cross 5.0mm 0.52BC-OD7.0</t>
    <phoneticPr fontId="1" type="noConversion"/>
  </si>
  <si>
    <t>90m fluke</t>
  </si>
  <si>
    <t>Packing plywood drum</t>
  </si>
  <si>
    <t>ITEM</t>
  </si>
  <si>
    <t>Copper weight</t>
  </si>
  <si>
    <t>AYP LAN CU - 2026</t>
    <phoneticPr fontId="1" type="noConversion"/>
  </si>
  <si>
    <t>New rule</t>
    <phoneticPr fontId="1" type="noConversion"/>
  </si>
  <si>
    <t>Diff.</t>
    <phoneticPr fontId="1" type="noConversion"/>
  </si>
  <si>
    <t>CAT6 F/UTP LSZH 0.4TCCA small cross 3.5mm 0.505BC-OD6.4</t>
    <phoneticPr fontId="1" type="noConversion"/>
  </si>
  <si>
    <t>CAT6</t>
    <phoneticPr fontId="1" type="noConversion"/>
  </si>
  <si>
    <t>Dca</t>
    <phoneticPr fontId="1" type="noConversion"/>
  </si>
  <si>
    <t>500M/1000M</t>
    <phoneticPr fontId="1" type="noConversion"/>
  </si>
  <si>
    <t>OEFU64PXSDWHT5</t>
    <phoneticPr fontId="1" type="noConversion"/>
  </si>
  <si>
    <t>CAT6 F/UTP IN/OUT LSZH 0.4TCCA small cross 3.5mm 0.505BC-OD6.4</t>
    <phoneticPr fontId="1" type="noConversion"/>
  </si>
  <si>
    <t>OEFU64PXSDOUT5</t>
    <phoneticPr fontId="1" type="noConversion"/>
  </si>
  <si>
    <t>CAT6 F/UTP LSZH 0.4TCCA small cross 4.0mm 0.505BC-OD6.8</t>
    <phoneticPr fontId="1" type="noConversion"/>
  </si>
  <si>
    <t>OEFU64PSDxxT5</t>
    <phoneticPr fontId="1" type="noConversion"/>
  </si>
  <si>
    <t>5000M with Cage pallet</t>
    <phoneticPr fontId="1" type="noConversion"/>
  </si>
  <si>
    <t>OEFU64PSDxxT50</t>
    <phoneticPr fontId="1" type="noConversion"/>
  </si>
  <si>
    <t>Fca</t>
    <phoneticPr fontId="1" type="noConversion"/>
  </si>
  <si>
    <t xml:space="preserve">F/UTP </t>
  </si>
  <si>
    <t>LSZH</t>
    <phoneticPr fontId="1" type="noConversion"/>
  </si>
  <si>
    <t>IN/OUT LSZH</t>
    <phoneticPr fontId="1" type="noConversion"/>
  </si>
  <si>
    <t>PE</t>
    <phoneticPr fontId="1" type="noConversion"/>
  </si>
  <si>
    <t>Jacket</t>
    <phoneticPr fontId="1" type="noConversion"/>
  </si>
  <si>
    <t>Cu(mm)</t>
    <phoneticPr fontId="1" type="noConversion"/>
  </si>
  <si>
    <t>0.52BC</t>
    <phoneticPr fontId="1" type="noConversion"/>
  </si>
  <si>
    <t>0.505BC</t>
    <phoneticPr fontId="1" type="noConversion"/>
  </si>
  <si>
    <t>500M</t>
    <phoneticPr fontId="1" type="noConversion"/>
  </si>
  <si>
    <t>CAT6 F/UTP PE 0.4TCCA cross 4.5mm 0.52BC-OD7.0</t>
    <phoneticPr fontId="1" type="noConversion"/>
  </si>
  <si>
    <t>EUROCLASS</t>
    <phoneticPr fontId="1" type="noConversion"/>
  </si>
  <si>
    <t>Cca</t>
    <phoneticPr fontId="1" type="noConversion"/>
  </si>
  <si>
    <t>CAT6 F/UTP LSZH 0.4TCCA cross 4.5mm 0.52BC-OD7.0</t>
    <phoneticPr fontId="1" type="noConversion"/>
  </si>
  <si>
    <t>OSFU64PCWHT50</t>
    <phoneticPr fontId="1" type="noConversion"/>
  </si>
  <si>
    <t>OSFU64PCWHT5</t>
    <phoneticPr fontId="1" type="noConversion"/>
  </si>
  <si>
    <t>U/UTP</t>
    <phoneticPr fontId="1" type="noConversion"/>
  </si>
  <si>
    <t>0.50BC</t>
    <phoneticPr fontId="1" type="noConversion"/>
  </si>
  <si>
    <t>CAT6 U/UTP LSZH 0.50BC</t>
    <phoneticPr fontId="1" type="noConversion"/>
  </si>
  <si>
    <t>100M/500M/1000M/5000M</t>
    <phoneticPr fontId="1" type="noConversion"/>
  </si>
  <si>
    <t>305m plastic reel in box</t>
    <phoneticPr fontId="1" type="noConversion"/>
  </si>
  <si>
    <t>If need plastic reel in box, need add extra $9=RMB57.6/km</t>
    <phoneticPr fontId="1" type="noConversion"/>
  </si>
  <si>
    <t>L2SFU64PLZHDWHB</t>
    <phoneticPr fontId="1" type="noConversion"/>
  </si>
  <si>
    <t>OEFU64PXSDWHT50</t>
    <phoneticPr fontId="1" type="noConversion"/>
  </si>
  <si>
    <t>OSFU64PDGRT50/BSLFU64PDT50/L2SFU64PLZHDWH1/L2SFU64PLZHDWH5/BSLFU64PDWHT50PMX</t>
    <phoneticPr fontId="1" type="noConversion"/>
  </si>
  <si>
    <t>OEFU64PPET5/L2SFU64PPEBKB/L2SFU64PPEBK5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</si>
</sst>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26" formatCode="\$#,##0.00_);[Red]\(\$#,##0.00\)"/>
    <numFmt numFmtId="176" formatCode="_ [$¥-804]* #,##0_ ;_ [$¥-804]* \-#,##0_ ;_ [$¥-804]* &quot;-&quot;_ ;_ @_ "/>
    <numFmt numFmtId="177" formatCode="0.00_);[Red]\(0.00\)"/>
    <numFmt numFmtId="178" formatCode="0.0"/>
    <numFmt numFmtId="179" formatCode="[$¥-804]#,##0.00;[$¥-804]\-#,##0.00"/>
    <numFmt numFmtId="180" formatCode="&quot;￥&quot;#,##0.00;&quot;￥&quot;\-#,##0.00"/>
    <numFmt numFmtId="181" formatCode="#,##0.00_ "/>
    <numFmt numFmtId="182" formatCode="&quot;¥&quot;#,##0.00_);[Red]\(&quot;¥&quot;#,##0.00\)"/>
  </numFmts>
  <fonts count="1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ptos"/>
      <family val="2"/>
    </font>
    <font>
      <b/>
      <sz val="10"/>
      <name val="Aptos"/>
      <family val="2"/>
    </font>
    <font>
      <sz val="11"/>
      <name val="等线"/>
      <family val="3"/>
      <charset val="134"/>
      <scheme val="minor"/>
    </font>
    <font>
      <sz val="11"/>
      <name val="等线"/>
      <family val="2"/>
      <scheme val="minor"/>
    </font>
    <font>
      <sz val="10"/>
      <color theme="1"/>
      <name val="Aptos"/>
      <family val="2"/>
    </font>
    <font>
      <sz val="11"/>
      <color theme="1"/>
      <name val="Aptos"/>
      <family val="2"/>
    </font>
    <font>
      <b/>
      <sz val="10.5"/>
      <name val="Aptos"/>
      <family val="2"/>
    </font>
    <font>
      <sz val="10.5"/>
      <name val="Aptos"/>
      <family val="2"/>
    </font>
    <font>
      <sz val="10.5"/>
      <color rgb="FF000000"/>
      <name val="Aptos"/>
      <family val="2"/>
    </font>
    <font>
      <b/>
      <sz val="10"/>
      <color rgb="FF0000FF"/>
      <name val="Aptos"/>
      <family val="2"/>
    </font>
    <font>
      <b/>
      <sz val="10.5"/>
      <color rgb="FF0000FF"/>
      <name val="Aptos"/>
      <family val="2"/>
    </font>
    <font>
      <sz val="10.5"/>
      <color theme="1"/>
      <name val="Aptos"/>
      <family val="2"/>
    </font>
    <font>
      <b/>
      <sz val="10.5"/>
      <color rgb="FFFF0000"/>
      <name val="Aptos"/>
      <family val="2"/>
    </font>
    <font>
      <b/>
      <sz val="10.5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/>
    <xf numFmtId="176" fontId="3" fillId="2" borderId="0" xfId="0" applyNumberFormat="1" applyFont="1" applyFill="1" applyAlignment="1">
      <alignment vertical="center"/>
    </xf>
    <xf numFmtId="176" fontId="3" fillId="2" borderId="0" xfId="0" applyNumberFormat="1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77" fontId="3" fillId="2" borderId="0" xfId="0" applyNumberFormat="1" applyFont="1" applyFill="1" applyAlignment="1">
      <alignment horizontal="center" vertical="center" wrapText="1"/>
    </xf>
    <xf numFmtId="177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178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9" fontId="2" fillId="0" borderId="0" xfId="0" applyNumberFormat="1" applyFont="1"/>
    <xf numFmtId="0" fontId="4" fillId="0" borderId="0" xfId="0" applyFont="1"/>
    <xf numFmtId="0" fontId="5" fillId="0" borderId="0" xfId="0" applyFont="1"/>
    <xf numFmtId="0" fontId="2" fillId="3" borderId="0" xfId="0" applyFont="1" applyFill="1"/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quotePrefix="1" applyFont="1" applyFill="1" applyAlignment="1">
      <alignment horizontal="left" vertical="center"/>
    </xf>
    <xf numFmtId="178" fontId="2" fillId="3" borderId="0" xfId="0" applyNumberFormat="1" applyFont="1" applyFill="1" applyAlignment="1">
      <alignment horizontal="center" vertical="center"/>
    </xf>
    <xf numFmtId="177" fontId="2" fillId="3" borderId="0" xfId="0" applyNumberFormat="1" applyFont="1" applyFill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179" fontId="2" fillId="0" borderId="0" xfId="0" applyNumberFormat="1" applyFont="1" applyAlignment="1">
      <alignment horizontal="center"/>
    </xf>
    <xf numFmtId="180" fontId="2" fillId="0" borderId="0" xfId="0" applyNumberFormat="1" applyFont="1" applyAlignment="1">
      <alignment horizontal="center" vertical="center"/>
    </xf>
    <xf numFmtId="180" fontId="2" fillId="3" borderId="0" xfId="0" applyNumberFormat="1" applyFont="1" applyFill="1" applyAlignment="1">
      <alignment horizontal="center" vertical="center"/>
    </xf>
    <xf numFmtId="0" fontId="6" fillId="0" borderId="0" xfId="0" applyFont="1"/>
    <xf numFmtId="0" fontId="6" fillId="3" borderId="0" xfId="0" applyFont="1" applyFill="1"/>
    <xf numFmtId="0" fontId="6" fillId="0" borderId="0" xfId="0" applyFont="1" applyAlignment="1">
      <alignment horizontal="left"/>
    </xf>
    <xf numFmtId="179" fontId="6" fillId="0" borderId="0" xfId="0" applyNumberFormat="1" applyFont="1"/>
    <xf numFmtId="0" fontId="6" fillId="0" borderId="0" xfId="0" applyFont="1" applyAlignment="1">
      <alignment horizontal="center" vertical="center"/>
    </xf>
    <xf numFmtId="181" fontId="6" fillId="0" borderId="0" xfId="0" applyNumberFormat="1" applyFont="1"/>
    <xf numFmtId="176" fontId="11" fillId="2" borderId="0" xfId="0" applyNumberFormat="1" applyFont="1" applyFill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178" fontId="2" fillId="0" borderId="0" xfId="0" applyNumberFormat="1" applyFont="1" applyAlignment="1">
      <alignment vertical="center"/>
    </xf>
    <xf numFmtId="178" fontId="2" fillId="3" borderId="0" xfId="0" applyNumberFormat="1" applyFont="1" applyFill="1" applyAlignment="1">
      <alignment vertical="center"/>
    </xf>
    <xf numFmtId="178" fontId="9" fillId="0" borderId="0" xfId="0" applyNumberFormat="1" applyFont="1" applyAlignment="1">
      <alignment vertical="center"/>
    </xf>
    <xf numFmtId="0" fontId="7" fillId="0" borderId="0" xfId="0" applyFont="1"/>
    <xf numFmtId="176" fontId="12" fillId="2" borderId="0" xfId="0" applyNumberFormat="1" applyFont="1" applyFill="1" applyAlignment="1">
      <alignment vertical="center"/>
    </xf>
    <xf numFmtId="176" fontId="8" fillId="2" borderId="0" xfId="0" applyNumberFormat="1" applyFont="1" applyFill="1" applyAlignment="1">
      <alignment horizontal="center" vertical="center"/>
    </xf>
    <xf numFmtId="176" fontId="8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177" fontId="8" fillId="2" borderId="0" xfId="0" applyNumberFormat="1" applyFont="1" applyFill="1" applyAlignment="1">
      <alignment horizontal="center" vertical="center" wrapText="1"/>
    </xf>
    <xf numFmtId="0" fontId="13" fillId="0" borderId="0" xfId="0" applyFont="1"/>
    <xf numFmtId="0" fontId="9" fillId="3" borderId="0" xfId="0" applyFont="1" applyFill="1" applyAlignment="1">
      <alignment vertical="center"/>
    </xf>
    <xf numFmtId="182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176" fontId="8" fillId="2" borderId="0" xfId="0" applyNumberFormat="1" applyFont="1" applyFill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9" fillId="0" borderId="0" xfId="0" quotePrefix="1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7" fontId="9" fillId="0" borderId="0" xfId="0" applyNumberFormat="1" applyFont="1" applyAlignment="1">
      <alignment horizontal="center" vertical="center" wrapText="1"/>
    </xf>
    <xf numFmtId="182" fontId="9" fillId="0" borderId="0" xfId="0" applyNumberFormat="1" applyFont="1" applyAlignment="1">
      <alignment horizontal="center" vertical="center" wrapText="1"/>
    </xf>
    <xf numFmtId="182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176" fontId="8" fillId="2" borderId="0" xfId="0" applyNumberFormat="1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178" fontId="9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82" fontId="13" fillId="0" borderId="0" xfId="0" applyNumberFormat="1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0" fontId="14" fillId="0" borderId="0" xfId="0" applyFont="1"/>
    <xf numFmtId="0" fontId="15" fillId="5" borderId="0" xfId="0" applyFont="1" applyFill="1" applyAlignment="1">
      <alignment horizontal="center" vertical="center"/>
    </xf>
    <xf numFmtId="26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99"/>
      <color rgb="FF0000FF"/>
      <color rgb="FFCCFFFF"/>
      <color rgb="FF99E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Q49"/>
  <sheetViews>
    <sheetView zoomScale="80" zoomScaleNormal="80" workbookViewId="0">
      <pane xSplit="6" ySplit="2" topLeftCell="G18" activePane="bottomRight" state="frozen"/>
      <selection pane="topRight" activeCell="F1" sqref="F1"/>
      <selection pane="bottomLeft" activeCell="A3" sqref="A3"/>
      <selection pane="bottomRight" activeCell="H46" sqref="H46"/>
    </sheetView>
  </sheetViews>
  <sheetFormatPr defaultColWidth="8.4140625" defaultRowHeight="13"/>
  <cols>
    <col min="1" max="1" width="6.4140625" style="33" customWidth="1"/>
    <col min="2" max="2" width="59.4140625" style="33" bestFit="1" customWidth="1"/>
    <col min="3" max="3" width="13.4140625" style="33" customWidth="1"/>
    <col min="4" max="4" width="11.4140625" style="33" customWidth="1"/>
    <col min="5" max="5" width="15.33203125" style="33" customWidth="1"/>
    <col min="6" max="6" width="14.4140625" style="33" customWidth="1"/>
    <col min="7" max="7" width="22.4140625" style="33" customWidth="1"/>
    <col min="8" max="8" width="32.9140625" style="35" bestFit="1" customWidth="1"/>
    <col min="9" max="9" width="16.4140625" style="33" customWidth="1"/>
    <col min="10" max="10" width="15.4140625" style="33" customWidth="1"/>
    <col min="11" max="11" width="9.4140625" style="33" customWidth="1"/>
    <col min="12" max="12" width="20.08203125" style="33" customWidth="1"/>
    <col min="13" max="13" width="25.4140625" style="33" customWidth="1"/>
    <col min="14" max="14" width="14.4140625" style="33" customWidth="1"/>
    <col min="15" max="15" width="18" style="33" customWidth="1"/>
    <col min="16" max="16" width="16.4140625" style="33" customWidth="1"/>
    <col min="17" max="16384" width="8.4140625" style="33"/>
  </cols>
  <sheetData>
    <row r="2" spans="1:17" s="1" customFormat="1" ht="26">
      <c r="B2" s="39" t="s">
        <v>84</v>
      </c>
      <c r="C2" s="3" t="s">
        <v>0</v>
      </c>
      <c r="D2" s="4" t="s">
        <v>1</v>
      </c>
      <c r="E2" s="4" t="s">
        <v>81</v>
      </c>
      <c r="F2" s="3" t="s">
        <v>2</v>
      </c>
      <c r="G2" s="2" t="s">
        <v>3</v>
      </c>
      <c r="H2" s="4" t="s">
        <v>4</v>
      </c>
      <c r="I2" s="5" t="s">
        <v>5</v>
      </c>
      <c r="J2" s="6" t="s">
        <v>6</v>
      </c>
      <c r="K2" s="7" t="s">
        <v>7</v>
      </c>
      <c r="L2" s="8" t="s">
        <v>8</v>
      </c>
      <c r="M2" s="8" t="s">
        <v>9</v>
      </c>
      <c r="N2" s="8" t="s">
        <v>10</v>
      </c>
      <c r="O2" s="8" t="s">
        <v>11</v>
      </c>
    </row>
    <row r="3" spans="1:17" s="1" customFormat="1">
      <c r="B3" s="9" t="s">
        <v>12</v>
      </c>
      <c r="C3" s="10" t="s">
        <v>13</v>
      </c>
      <c r="D3" s="11" t="s">
        <v>14</v>
      </c>
      <c r="E3" s="11" t="s">
        <v>82</v>
      </c>
      <c r="F3" s="10" t="s">
        <v>15</v>
      </c>
      <c r="G3" s="48" t="s">
        <v>16</v>
      </c>
      <c r="H3" s="12" t="s">
        <v>17</v>
      </c>
      <c r="I3" s="13" t="s">
        <v>73</v>
      </c>
      <c r="J3" s="14">
        <v>1.4079999999999999</v>
      </c>
      <c r="K3" s="10">
        <v>0</v>
      </c>
      <c r="L3" s="15">
        <v>716.8</v>
      </c>
      <c r="M3" s="15" t="s">
        <v>19</v>
      </c>
      <c r="N3" s="10">
        <v>12</v>
      </c>
      <c r="O3" s="10" t="s">
        <v>20</v>
      </c>
    </row>
    <row r="4" spans="1:17" s="1" customFormat="1">
      <c r="B4" s="9" t="s">
        <v>12</v>
      </c>
      <c r="C4" s="10" t="s">
        <v>13</v>
      </c>
      <c r="D4" s="11" t="s">
        <v>14</v>
      </c>
      <c r="E4" s="11" t="s">
        <v>82</v>
      </c>
      <c r="F4" s="10" t="s">
        <v>15</v>
      </c>
      <c r="G4" s="48" t="s">
        <v>21</v>
      </c>
      <c r="H4" s="12" t="s">
        <v>17</v>
      </c>
      <c r="I4" s="13" t="s">
        <v>18</v>
      </c>
      <c r="J4" s="14">
        <v>1.4079999999999999</v>
      </c>
      <c r="K4" s="10">
        <v>0</v>
      </c>
      <c r="L4" s="15">
        <v>716.8</v>
      </c>
      <c r="M4" s="15" t="s">
        <v>22</v>
      </c>
      <c r="N4" s="10">
        <v>12</v>
      </c>
      <c r="O4" s="10" t="s">
        <v>23</v>
      </c>
    </row>
    <row r="5" spans="1:17" s="1" customFormat="1">
      <c r="B5" s="9" t="s">
        <v>24</v>
      </c>
      <c r="C5" s="10" t="s">
        <v>13</v>
      </c>
      <c r="D5" s="11" t="s">
        <v>14</v>
      </c>
      <c r="E5" s="11" t="s">
        <v>82</v>
      </c>
      <c r="F5" s="10" t="s">
        <v>15</v>
      </c>
      <c r="G5" s="48" t="s">
        <v>25</v>
      </c>
      <c r="H5" s="12" t="s">
        <v>17</v>
      </c>
      <c r="I5" s="13" t="s">
        <v>18</v>
      </c>
      <c r="J5" s="14">
        <v>1.4079999999999999</v>
      </c>
      <c r="K5" s="10">
        <v>0</v>
      </c>
      <c r="L5" s="15">
        <f>L4+14</f>
        <v>730.8</v>
      </c>
      <c r="M5" s="15" t="s">
        <v>26</v>
      </c>
      <c r="N5" s="10">
        <v>6.1</v>
      </c>
      <c r="O5" s="10" t="s">
        <v>27</v>
      </c>
      <c r="P5" s="10" t="s">
        <v>28</v>
      </c>
      <c r="Q5" s="16"/>
    </row>
    <row r="6" spans="1:17" s="1" customFormat="1">
      <c r="B6" s="9" t="s">
        <v>29</v>
      </c>
      <c r="C6" s="10" t="s">
        <v>13</v>
      </c>
      <c r="D6" s="11" t="s">
        <v>14</v>
      </c>
      <c r="E6" s="11" t="s">
        <v>82</v>
      </c>
      <c r="F6" s="10" t="s">
        <v>30</v>
      </c>
      <c r="G6" s="48" t="s">
        <v>31</v>
      </c>
      <c r="H6" s="12" t="s">
        <v>17</v>
      </c>
      <c r="I6" s="13" t="s">
        <v>18</v>
      </c>
      <c r="J6" s="14">
        <v>1.4079999999999999</v>
      </c>
      <c r="K6" s="10">
        <v>0</v>
      </c>
      <c r="L6" s="15">
        <v>691.2</v>
      </c>
      <c r="M6" s="15" t="s">
        <v>19</v>
      </c>
      <c r="N6" s="10">
        <v>12</v>
      </c>
      <c r="O6" s="10" t="s">
        <v>20</v>
      </c>
    </row>
    <row r="7" spans="1:17" s="18" customFormat="1" ht="14">
      <c r="A7" s="1"/>
      <c r="B7" s="9" t="s">
        <v>29</v>
      </c>
      <c r="C7" s="10" t="s">
        <v>13</v>
      </c>
      <c r="D7" s="11" t="s">
        <v>14</v>
      </c>
      <c r="E7" s="11" t="s">
        <v>82</v>
      </c>
      <c r="F7" s="10" t="s">
        <v>30</v>
      </c>
      <c r="G7" s="48" t="s">
        <v>21</v>
      </c>
      <c r="H7" s="12" t="s">
        <v>17</v>
      </c>
      <c r="I7" s="13" t="s">
        <v>18</v>
      </c>
      <c r="J7" s="14">
        <v>1.4079999999999999</v>
      </c>
      <c r="K7" s="10">
        <v>0</v>
      </c>
      <c r="L7" s="15">
        <v>691.2</v>
      </c>
      <c r="M7" s="15" t="s">
        <v>22</v>
      </c>
      <c r="N7" s="10">
        <v>12</v>
      </c>
      <c r="O7" s="10" t="s">
        <v>23</v>
      </c>
      <c r="P7" s="17"/>
    </row>
    <row r="8" spans="1:17" s="1" customFormat="1">
      <c r="B8" s="9" t="s">
        <v>32</v>
      </c>
      <c r="C8" s="10" t="s">
        <v>13</v>
      </c>
      <c r="D8" s="11" t="s">
        <v>14</v>
      </c>
      <c r="E8" s="11" t="s">
        <v>82</v>
      </c>
      <c r="F8" s="10" t="s">
        <v>30</v>
      </c>
      <c r="G8" s="48" t="s">
        <v>33</v>
      </c>
      <c r="H8" s="12" t="s">
        <v>17</v>
      </c>
      <c r="I8" s="13" t="s">
        <v>18</v>
      </c>
      <c r="J8" s="14">
        <v>1.4079999999999999</v>
      </c>
      <c r="K8" s="10">
        <v>0</v>
      </c>
      <c r="L8" s="15">
        <v>704</v>
      </c>
      <c r="M8" s="15" t="s">
        <v>34</v>
      </c>
      <c r="N8" s="10">
        <v>9.15</v>
      </c>
      <c r="O8" s="10" t="s">
        <v>35</v>
      </c>
    </row>
    <row r="9" spans="1:17" s="1" customFormat="1">
      <c r="B9" s="9" t="s">
        <v>36</v>
      </c>
      <c r="C9" s="10" t="s">
        <v>13</v>
      </c>
      <c r="D9" s="11" t="s">
        <v>14</v>
      </c>
      <c r="E9" s="11" t="s">
        <v>82</v>
      </c>
      <c r="F9" s="10" t="s">
        <v>37</v>
      </c>
      <c r="G9" s="48" t="s">
        <v>31</v>
      </c>
      <c r="H9" s="12" t="s">
        <v>17</v>
      </c>
      <c r="I9" s="13" t="s">
        <v>18</v>
      </c>
      <c r="J9" s="14">
        <v>1.4079999999999999</v>
      </c>
      <c r="K9" s="10">
        <v>0</v>
      </c>
      <c r="L9" s="15">
        <v>736</v>
      </c>
      <c r="M9" s="15" t="s">
        <v>19</v>
      </c>
      <c r="N9" s="10">
        <v>12</v>
      </c>
      <c r="O9" s="10" t="s">
        <v>20</v>
      </c>
    </row>
    <row r="10" spans="1:17" s="1" customFormat="1">
      <c r="B10" s="9" t="s">
        <v>36</v>
      </c>
      <c r="C10" s="10" t="s">
        <v>13</v>
      </c>
      <c r="D10" s="11" t="s">
        <v>14</v>
      </c>
      <c r="E10" s="11" t="s">
        <v>82</v>
      </c>
      <c r="F10" s="10" t="s">
        <v>37</v>
      </c>
      <c r="G10" s="48" t="s">
        <v>21</v>
      </c>
      <c r="H10" s="12" t="s">
        <v>17</v>
      </c>
      <c r="I10" s="13" t="s">
        <v>18</v>
      </c>
      <c r="J10" s="14">
        <v>1.4079999999999999</v>
      </c>
      <c r="K10" s="10">
        <v>0</v>
      </c>
      <c r="L10" s="15">
        <v>736</v>
      </c>
      <c r="M10" s="15" t="s">
        <v>22</v>
      </c>
      <c r="N10" s="10">
        <v>12</v>
      </c>
      <c r="O10" s="10" t="s">
        <v>23</v>
      </c>
    </row>
    <row r="11" spans="1:17" s="19" customFormat="1">
      <c r="B11" s="20" t="s">
        <v>38</v>
      </c>
      <c r="C11" s="21" t="s">
        <v>13</v>
      </c>
      <c r="D11" s="22" t="s">
        <v>14</v>
      </c>
      <c r="E11" s="22" t="s">
        <v>82</v>
      </c>
      <c r="F11" s="21" t="s">
        <v>37</v>
      </c>
      <c r="G11" s="49" t="s">
        <v>25</v>
      </c>
      <c r="H11" s="23" t="s">
        <v>17</v>
      </c>
      <c r="I11" s="24" t="s">
        <v>18</v>
      </c>
      <c r="J11" s="25">
        <v>1.4079999999999999</v>
      </c>
      <c r="K11" s="21">
        <v>0</v>
      </c>
      <c r="L11" s="26">
        <f>L10+14</f>
        <v>750</v>
      </c>
      <c r="M11" s="26" t="s">
        <v>39</v>
      </c>
      <c r="N11" s="21">
        <v>6.1</v>
      </c>
      <c r="O11" s="21" t="s">
        <v>40</v>
      </c>
    </row>
    <row r="12" spans="1:17" s="1" customFormat="1">
      <c r="B12" s="9"/>
      <c r="C12" s="10"/>
      <c r="D12" s="11"/>
      <c r="E12" s="11"/>
      <c r="F12" s="10"/>
      <c r="G12" s="48"/>
      <c r="H12" s="11"/>
      <c r="I12" s="13"/>
      <c r="J12" s="14"/>
      <c r="K12" s="10"/>
      <c r="L12" s="15"/>
      <c r="M12" s="15"/>
      <c r="N12" s="10"/>
      <c r="O12" s="10"/>
    </row>
    <row r="13" spans="1:17" s="1" customFormat="1">
      <c r="B13" s="9" t="s">
        <v>41</v>
      </c>
      <c r="C13" s="10" t="s">
        <v>13</v>
      </c>
      <c r="D13" s="11" t="s">
        <v>14</v>
      </c>
      <c r="E13" s="11" t="s">
        <v>83</v>
      </c>
      <c r="F13" s="10" t="s">
        <v>15</v>
      </c>
      <c r="G13" s="48" t="s">
        <v>31</v>
      </c>
      <c r="H13" s="11" t="s">
        <v>42</v>
      </c>
      <c r="I13" s="10" t="s">
        <v>43</v>
      </c>
      <c r="J13" s="27">
        <v>0.4</v>
      </c>
      <c r="K13" s="10">
        <v>0</v>
      </c>
      <c r="L13" s="15">
        <v>601.34</v>
      </c>
      <c r="M13" s="15" t="s">
        <v>19</v>
      </c>
      <c r="N13" s="10">
        <v>12</v>
      </c>
      <c r="O13" s="10" t="s">
        <v>20</v>
      </c>
    </row>
    <row r="14" spans="1:17" s="1" customFormat="1">
      <c r="B14" s="9" t="s">
        <v>41</v>
      </c>
      <c r="C14" s="10" t="s">
        <v>13</v>
      </c>
      <c r="D14" s="11" t="s">
        <v>14</v>
      </c>
      <c r="E14" s="11" t="s">
        <v>83</v>
      </c>
      <c r="F14" s="10" t="s">
        <v>15</v>
      </c>
      <c r="G14" s="48" t="s">
        <v>21</v>
      </c>
      <c r="H14" s="11" t="s">
        <v>44</v>
      </c>
      <c r="I14" s="10" t="s">
        <v>43</v>
      </c>
      <c r="J14" s="27">
        <v>0.4</v>
      </c>
      <c r="K14" s="10">
        <v>0</v>
      </c>
      <c r="L14" s="15">
        <v>601.34</v>
      </c>
      <c r="M14" s="15" t="s">
        <v>22</v>
      </c>
      <c r="N14" s="10">
        <v>12</v>
      </c>
      <c r="O14" s="10" t="s">
        <v>23</v>
      </c>
    </row>
    <row r="15" spans="1:17" s="1" customFormat="1">
      <c r="B15" s="9" t="s">
        <v>45</v>
      </c>
      <c r="C15" s="10" t="s">
        <v>13</v>
      </c>
      <c r="D15" s="11" t="s">
        <v>14</v>
      </c>
      <c r="E15" s="11" t="s">
        <v>83</v>
      </c>
      <c r="F15" s="10" t="s">
        <v>15</v>
      </c>
      <c r="G15" s="9" t="s">
        <v>25</v>
      </c>
      <c r="H15" s="11" t="s">
        <v>46</v>
      </c>
      <c r="I15" s="10" t="s">
        <v>43</v>
      </c>
      <c r="J15" s="27">
        <v>0.4</v>
      </c>
      <c r="K15" s="10">
        <v>0</v>
      </c>
      <c r="L15" s="15">
        <v>615.16999999999996</v>
      </c>
      <c r="M15" s="15" t="s">
        <v>26</v>
      </c>
      <c r="N15" s="10">
        <v>6.1</v>
      </c>
      <c r="O15" s="10" t="s">
        <v>27</v>
      </c>
      <c r="P15" s="10" t="s">
        <v>28</v>
      </c>
    </row>
    <row r="16" spans="1:17" s="1" customFormat="1">
      <c r="B16" s="9" t="s">
        <v>47</v>
      </c>
      <c r="C16" s="10" t="s">
        <v>13</v>
      </c>
      <c r="D16" s="11" t="s">
        <v>14</v>
      </c>
      <c r="E16" s="11" t="s">
        <v>83</v>
      </c>
      <c r="F16" s="10" t="s">
        <v>30</v>
      </c>
      <c r="G16" s="48" t="s">
        <v>31</v>
      </c>
      <c r="H16" s="12" t="s">
        <v>17</v>
      </c>
      <c r="I16" s="10" t="s">
        <v>43</v>
      </c>
      <c r="J16" s="27">
        <v>0.4</v>
      </c>
      <c r="K16" s="10">
        <v>0</v>
      </c>
      <c r="L16" s="15">
        <v>582.4</v>
      </c>
      <c r="M16" s="15" t="s">
        <v>19</v>
      </c>
      <c r="N16" s="10">
        <v>12</v>
      </c>
      <c r="O16" s="10" t="s">
        <v>20</v>
      </c>
      <c r="Q16" s="16"/>
    </row>
    <row r="17" spans="1:16" s="18" customFormat="1" ht="14">
      <c r="A17" s="1"/>
      <c r="B17" s="9" t="s">
        <v>47</v>
      </c>
      <c r="C17" s="10" t="s">
        <v>13</v>
      </c>
      <c r="D17" s="11" t="s">
        <v>14</v>
      </c>
      <c r="E17" s="11" t="s">
        <v>83</v>
      </c>
      <c r="F17" s="10" t="s">
        <v>30</v>
      </c>
      <c r="G17" s="48" t="s">
        <v>21</v>
      </c>
      <c r="H17" s="12" t="s">
        <v>17</v>
      </c>
      <c r="I17" s="10" t="s">
        <v>43</v>
      </c>
      <c r="J17" s="27">
        <v>0.4</v>
      </c>
      <c r="K17" s="10">
        <v>0</v>
      </c>
      <c r="L17" s="15">
        <v>582.4</v>
      </c>
      <c r="M17" s="15" t="s">
        <v>22</v>
      </c>
      <c r="N17" s="10">
        <v>12</v>
      </c>
      <c r="O17" s="10" t="s">
        <v>23</v>
      </c>
      <c r="P17" s="17"/>
    </row>
    <row r="18" spans="1:16" s="1" customFormat="1">
      <c r="B18" s="9" t="s">
        <v>48</v>
      </c>
      <c r="C18" s="10" t="s">
        <v>13</v>
      </c>
      <c r="D18" s="11" t="s">
        <v>14</v>
      </c>
      <c r="E18" s="11" t="s">
        <v>83</v>
      </c>
      <c r="F18" s="10" t="s">
        <v>30</v>
      </c>
      <c r="G18" s="48" t="s">
        <v>49</v>
      </c>
      <c r="H18" s="12" t="s">
        <v>17</v>
      </c>
      <c r="I18" s="10" t="s">
        <v>43</v>
      </c>
      <c r="J18" s="27">
        <v>0.4</v>
      </c>
      <c r="K18" s="10">
        <v>0</v>
      </c>
      <c r="L18" s="15">
        <v>595.20000000000005</v>
      </c>
      <c r="M18" s="15" t="s">
        <v>34</v>
      </c>
      <c r="N18" s="10">
        <v>9.15</v>
      </c>
      <c r="O18" s="10" t="s">
        <v>35</v>
      </c>
    </row>
    <row r="19" spans="1:16" s="1" customFormat="1">
      <c r="B19" s="9" t="s">
        <v>50</v>
      </c>
      <c r="C19" s="10" t="s">
        <v>13</v>
      </c>
      <c r="D19" s="11" t="s">
        <v>14</v>
      </c>
      <c r="E19" s="11" t="s">
        <v>83</v>
      </c>
      <c r="F19" s="10" t="s">
        <v>51</v>
      </c>
      <c r="G19" s="9" t="s">
        <v>31</v>
      </c>
      <c r="H19" s="12" t="s">
        <v>17</v>
      </c>
      <c r="I19" s="10" t="s">
        <v>43</v>
      </c>
      <c r="J19" s="27">
        <v>0.4</v>
      </c>
      <c r="K19" s="10">
        <v>0</v>
      </c>
      <c r="L19" s="15">
        <v>625</v>
      </c>
      <c r="M19" s="15" t="s">
        <v>19</v>
      </c>
      <c r="N19" s="10">
        <v>12</v>
      </c>
      <c r="O19" s="10" t="s">
        <v>20</v>
      </c>
    </row>
    <row r="20" spans="1:16" s="1" customFormat="1">
      <c r="B20" s="9" t="s">
        <v>50</v>
      </c>
      <c r="C20" s="10" t="s">
        <v>13</v>
      </c>
      <c r="D20" s="11" t="s">
        <v>14</v>
      </c>
      <c r="E20" s="11" t="s">
        <v>83</v>
      </c>
      <c r="F20" s="10" t="s">
        <v>51</v>
      </c>
      <c r="G20" s="9" t="s">
        <v>21</v>
      </c>
      <c r="H20" s="12" t="s">
        <v>17</v>
      </c>
      <c r="I20" s="10" t="s">
        <v>43</v>
      </c>
      <c r="J20" s="27">
        <v>0.4</v>
      </c>
      <c r="K20" s="10">
        <v>0</v>
      </c>
      <c r="L20" s="15">
        <v>625</v>
      </c>
      <c r="M20" s="15" t="s">
        <v>22</v>
      </c>
      <c r="N20" s="10">
        <v>12</v>
      </c>
      <c r="O20" s="10" t="s">
        <v>23</v>
      </c>
    </row>
    <row r="21" spans="1:16" s="19" customFormat="1">
      <c r="B21" s="20" t="s">
        <v>52</v>
      </c>
      <c r="C21" s="21" t="s">
        <v>13</v>
      </c>
      <c r="D21" s="22" t="s">
        <v>14</v>
      </c>
      <c r="E21" s="22" t="s">
        <v>83</v>
      </c>
      <c r="F21" s="21" t="s">
        <v>51</v>
      </c>
      <c r="G21" s="20" t="s">
        <v>25</v>
      </c>
      <c r="H21" s="23" t="s">
        <v>17</v>
      </c>
      <c r="I21" s="21" t="s">
        <v>43</v>
      </c>
      <c r="J21" s="28">
        <v>0.4</v>
      </c>
      <c r="K21" s="21">
        <v>0</v>
      </c>
      <c r="L21" s="26">
        <f>L20+14</f>
        <v>639</v>
      </c>
      <c r="M21" s="26" t="s">
        <v>39</v>
      </c>
      <c r="N21" s="21">
        <v>6.1</v>
      </c>
      <c r="O21" s="21" t="s">
        <v>40</v>
      </c>
    </row>
    <row r="22" spans="1:16" s="1" customFormat="1">
      <c r="H22" s="29"/>
      <c r="L22" s="30"/>
      <c r="M22" s="15"/>
      <c r="N22" s="10"/>
      <c r="O22" s="10"/>
    </row>
    <row r="23" spans="1:16" s="1" customFormat="1">
      <c r="B23" s="9" t="s">
        <v>53</v>
      </c>
      <c r="C23" s="10" t="s">
        <v>13</v>
      </c>
      <c r="D23" s="11" t="s">
        <v>14</v>
      </c>
      <c r="E23" s="11" t="s">
        <v>82</v>
      </c>
      <c r="F23" s="10" t="s">
        <v>15</v>
      </c>
      <c r="G23" s="48" t="s">
        <v>31</v>
      </c>
      <c r="H23" s="12" t="s">
        <v>17</v>
      </c>
      <c r="I23" s="13" t="s">
        <v>54</v>
      </c>
      <c r="J23" s="14">
        <v>1.38</v>
      </c>
      <c r="K23" s="10">
        <v>0</v>
      </c>
      <c r="L23" s="31">
        <v>702</v>
      </c>
      <c r="M23" s="15" t="s">
        <v>19</v>
      </c>
      <c r="N23" s="10">
        <v>12</v>
      </c>
      <c r="O23" s="10" t="s">
        <v>20</v>
      </c>
    </row>
    <row r="24" spans="1:16" s="1" customFormat="1">
      <c r="B24" s="9" t="s">
        <v>53</v>
      </c>
      <c r="C24" s="10" t="s">
        <v>13</v>
      </c>
      <c r="D24" s="11" t="s">
        <v>14</v>
      </c>
      <c r="E24" s="11" t="s">
        <v>82</v>
      </c>
      <c r="F24" s="10" t="s">
        <v>15</v>
      </c>
      <c r="G24" s="48" t="s">
        <v>21</v>
      </c>
      <c r="H24" s="12" t="s">
        <v>17</v>
      </c>
      <c r="I24" s="13" t="s">
        <v>54</v>
      </c>
      <c r="J24" s="14">
        <v>1.38</v>
      </c>
      <c r="K24" s="10">
        <v>0</v>
      </c>
      <c r="L24" s="31">
        <v>702</v>
      </c>
      <c r="M24" s="15" t="s">
        <v>22</v>
      </c>
      <c r="N24" s="10">
        <v>12</v>
      </c>
      <c r="O24" s="10" t="s">
        <v>23</v>
      </c>
    </row>
    <row r="25" spans="1:16" s="1" customFormat="1">
      <c r="B25" s="9" t="s">
        <v>55</v>
      </c>
      <c r="C25" s="10" t="s">
        <v>13</v>
      </c>
      <c r="D25" s="11" t="s">
        <v>14</v>
      </c>
      <c r="E25" s="11" t="s">
        <v>82</v>
      </c>
      <c r="F25" s="10" t="s">
        <v>15</v>
      </c>
      <c r="G25" s="48" t="s">
        <v>25</v>
      </c>
      <c r="H25" s="12" t="s">
        <v>17</v>
      </c>
      <c r="I25" s="13" t="s">
        <v>54</v>
      </c>
      <c r="J25" s="14">
        <v>1.38</v>
      </c>
      <c r="K25" s="10">
        <v>0</v>
      </c>
      <c r="L25" s="31">
        <v>715</v>
      </c>
      <c r="M25" s="15" t="s">
        <v>26</v>
      </c>
      <c r="N25" s="10">
        <v>6.1</v>
      </c>
      <c r="O25" s="10" t="s">
        <v>27</v>
      </c>
      <c r="P25" s="10" t="s">
        <v>28</v>
      </c>
    </row>
    <row r="26" spans="1:16" s="1" customFormat="1">
      <c r="B26" s="9" t="s">
        <v>56</v>
      </c>
      <c r="C26" s="10" t="s">
        <v>13</v>
      </c>
      <c r="D26" s="11" t="s">
        <v>14</v>
      </c>
      <c r="E26" s="11" t="s">
        <v>82</v>
      </c>
      <c r="F26" s="10" t="s">
        <v>30</v>
      </c>
      <c r="G26" s="48" t="s">
        <v>31</v>
      </c>
      <c r="H26" s="12" t="s">
        <v>17</v>
      </c>
      <c r="I26" s="13" t="s">
        <v>54</v>
      </c>
      <c r="J26" s="14">
        <v>1.38</v>
      </c>
      <c r="K26" s="10">
        <v>0</v>
      </c>
      <c r="L26" s="31">
        <v>678</v>
      </c>
      <c r="M26" s="15" t="s">
        <v>19</v>
      </c>
      <c r="N26" s="10">
        <v>12</v>
      </c>
      <c r="O26" s="10" t="s">
        <v>20</v>
      </c>
    </row>
    <row r="27" spans="1:16" s="18" customFormat="1" ht="14">
      <c r="A27" s="1"/>
      <c r="B27" s="9" t="s">
        <v>56</v>
      </c>
      <c r="C27" s="10" t="s">
        <v>13</v>
      </c>
      <c r="D27" s="11" t="s">
        <v>14</v>
      </c>
      <c r="E27" s="11" t="s">
        <v>82</v>
      </c>
      <c r="F27" s="10" t="s">
        <v>30</v>
      </c>
      <c r="G27" s="48" t="s">
        <v>21</v>
      </c>
      <c r="H27" s="12" t="s">
        <v>17</v>
      </c>
      <c r="I27" s="13" t="s">
        <v>54</v>
      </c>
      <c r="J27" s="14">
        <v>1.38</v>
      </c>
      <c r="K27" s="10">
        <v>0</v>
      </c>
      <c r="L27" s="31">
        <v>678</v>
      </c>
      <c r="M27" s="15" t="s">
        <v>22</v>
      </c>
      <c r="N27" s="10">
        <v>12</v>
      </c>
      <c r="O27" s="10" t="s">
        <v>23</v>
      </c>
      <c r="P27" s="17"/>
    </row>
    <row r="28" spans="1:16" s="1" customFormat="1">
      <c r="B28" s="9" t="s">
        <v>57</v>
      </c>
      <c r="C28" s="10" t="s">
        <v>13</v>
      </c>
      <c r="D28" s="11" t="s">
        <v>14</v>
      </c>
      <c r="E28" s="11" t="s">
        <v>82</v>
      </c>
      <c r="F28" s="10" t="s">
        <v>30</v>
      </c>
      <c r="G28" s="48" t="s">
        <v>49</v>
      </c>
      <c r="H28" s="12" t="s">
        <v>17</v>
      </c>
      <c r="I28" s="13" t="s">
        <v>54</v>
      </c>
      <c r="J28" s="14">
        <v>1.38</v>
      </c>
      <c r="K28" s="10">
        <v>0</v>
      </c>
      <c r="L28" s="31">
        <f>L26+13</f>
        <v>691</v>
      </c>
      <c r="M28" s="15" t="s">
        <v>34</v>
      </c>
      <c r="N28" s="10">
        <v>9.15</v>
      </c>
      <c r="O28" s="10" t="s">
        <v>35</v>
      </c>
    </row>
    <row r="29" spans="1:16" s="1" customFormat="1">
      <c r="B29" s="9" t="s">
        <v>58</v>
      </c>
      <c r="C29" s="10" t="s">
        <v>13</v>
      </c>
      <c r="D29" s="11" t="s">
        <v>14</v>
      </c>
      <c r="E29" s="11" t="s">
        <v>82</v>
      </c>
      <c r="F29" s="10" t="s">
        <v>37</v>
      </c>
      <c r="G29" s="48" t="s">
        <v>31</v>
      </c>
      <c r="H29" s="12" t="s">
        <v>17</v>
      </c>
      <c r="I29" s="13" t="s">
        <v>54</v>
      </c>
      <c r="J29" s="14">
        <v>1.38</v>
      </c>
      <c r="K29" s="10">
        <v>0</v>
      </c>
      <c r="L29" s="31">
        <v>722</v>
      </c>
      <c r="M29" s="15" t="s">
        <v>19</v>
      </c>
      <c r="N29" s="10">
        <v>12</v>
      </c>
      <c r="O29" s="10" t="s">
        <v>20</v>
      </c>
    </row>
    <row r="30" spans="1:16" s="1" customFormat="1">
      <c r="B30" s="9" t="s">
        <v>58</v>
      </c>
      <c r="C30" s="10" t="s">
        <v>13</v>
      </c>
      <c r="D30" s="11" t="s">
        <v>14</v>
      </c>
      <c r="E30" s="11" t="s">
        <v>82</v>
      </c>
      <c r="F30" s="10" t="s">
        <v>37</v>
      </c>
      <c r="G30" s="48" t="s">
        <v>21</v>
      </c>
      <c r="H30" s="12" t="s">
        <v>17</v>
      </c>
      <c r="I30" s="13" t="s">
        <v>54</v>
      </c>
      <c r="J30" s="14">
        <v>1.38</v>
      </c>
      <c r="K30" s="10">
        <v>0</v>
      </c>
      <c r="L30" s="31">
        <v>722</v>
      </c>
      <c r="M30" s="15" t="s">
        <v>22</v>
      </c>
      <c r="N30" s="10">
        <v>12</v>
      </c>
      <c r="O30" s="10" t="s">
        <v>23</v>
      </c>
    </row>
    <row r="31" spans="1:16" s="19" customFormat="1">
      <c r="B31" s="20" t="s">
        <v>59</v>
      </c>
      <c r="C31" s="21" t="s">
        <v>13</v>
      </c>
      <c r="D31" s="22" t="s">
        <v>14</v>
      </c>
      <c r="E31" s="22" t="s">
        <v>82</v>
      </c>
      <c r="F31" s="21" t="s">
        <v>37</v>
      </c>
      <c r="G31" s="49" t="s">
        <v>25</v>
      </c>
      <c r="H31" s="23" t="s">
        <v>17</v>
      </c>
      <c r="I31" s="24" t="s">
        <v>54</v>
      </c>
      <c r="J31" s="25">
        <v>1.38</v>
      </c>
      <c r="K31" s="21">
        <v>0</v>
      </c>
      <c r="L31" s="32">
        <f>L30+14</f>
        <v>736</v>
      </c>
      <c r="M31" s="26" t="s">
        <v>39</v>
      </c>
      <c r="N31" s="21">
        <v>6.1</v>
      </c>
      <c r="O31" s="21" t="s">
        <v>40</v>
      </c>
    </row>
    <row r="32" spans="1:16" s="1" customFormat="1">
      <c r="H32" s="29"/>
      <c r="J32" s="14"/>
      <c r="L32" s="30"/>
      <c r="M32" s="15"/>
      <c r="N32" s="10"/>
      <c r="O32" s="10"/>
    </row>
    <row r="33" spans="1:16" s="1" customFormat="1">
      <c r="B33" s="9" t="s">
        <v>60</v>
      </c>
      <c r="C33" s="10" t="s">
        <v>13</v>
      </c>
      <c r="D33" s="11" t="s">
        <v>14</v>
      </c>
      <c r="E33" s="11" t="s">
        <v>83</v>
      </c>
      <c r="F33" s="10" t="s">
        <v>15</v>
      </c>
      <c r="G33" s="48" t="s">
        <v>31</v>
      </c>
      <c r="H33" s="12" t="s">
        <v>17</v>
      </c>
      <c r="I33" s="13" t="s">
        <v>54</v>
      </c>
      <c r="J33" s="27">
        <v>0.36</v>
      </c>
      <c r="K33" s="10">
        <v>0</v>
      </c>
      <c r="L33" s="15">
        <v>585</v>
      </c>
      <c r="M33" s="15" t="s">
        <v>19</v>
      </c>
      <c r="N33" s="10">
        <v>12</v>
      </c>
      <c r="O33" s="10" t="s">
        <v>20</v>
      </c>
    </row>
    <row r="34" spans="1:16" s="1" customFormat="1">
      <c r="B34" s="9" t="s">
        <v>60</v>
      </c>
      <c r="C34" s="10" t="s">
        <v>13</v>
      </c>
      <c r="D34" s="11" t="s">
        <v>14</v>
      </c>
      <c r="E34" s="11" t="s">
        <v>83</v>
      </c>
      <c r="F34" s="10" t="s">
        <v>15</v>
      </c>
      <c r="G34" s="48" t="s">
        <v>21</v>
      </c>
      <c r="H34" s="12" t="s">
        <v>17</v>
      </c>
      <c r="I34" s="13" t="s">
        <v>54</v>
      </c>
      <c r="J34" s="27">
        <v>0.36</v>
      </c>
      <c r="K34" s="10">
        <v>0</v>
      </c>
      <c r="L34" s="15">
        <v>585</v>
      </c>
      <c r="M34" s="15" t="s">
        <v>22</v>
      </c>
      <c r="N34" s="10">
        <v>12</v>
      </c>
      <c r="O34" s="10" t="s">
        <v>23</v>
      </c>
    </row>
    <row r="35" spans="1:16" s="1" customFormat="1">
      <c r="B35" s="9" t="s">
        <v>61</v>
      </c>
      <c r="C35" s="10" t="s">
        <v>13</v>
      </c>
      <c r="D35" s="11" t="s">
        <v>14</v>
      </c>
      <c r="E35" s="11" t="s">
        <v>83</v>
      </c>
      <c r="F35" s="10" t="s">
        <v>15</v>
      </c>
      <c r="G35" s="48" t="s">
        <v>25</v>
      </c>
      <c r="H35" s="12" t="s">
        <v>17</v>
      </c>
      <c r="I35" s="13" t="s">
        <v>54</v>
      </c>
      <c r="J35" s="27">
        <v>0.36</v>
      </c>
      <c r="K35" s="10">
        <v>0</v>
      </c>
      <c r="L35" s="15">
        <f>L34+14</f>
        <v>599</v>
      </c>
      <c r="M35" s="15" t="s">
        <v>26</v>
      </c>
      <c r="N35" s="10">
        <v>6.1</v>
      </c>
      <c r="O35" s="10" t="s">
        <v>27</v>
      </c>
      <c r="P35" s="10" t="s">
        <v>28</v>
      </c>
    </row>
    <row r="36" spans="1:16" s="1" customFormat="1">
      <c r="B36" s="9" t="s">
        <v>62</v>
      </c>
      <c r="C36" s="10" t="s">
        <v>13</v>
      </c>
      <c r="D36" s="11" t="s">
        <v>14</v>
      </c>
      <c r="E36" s="11" t="s">
        <v>83</v>
      </c>
      <c r="F36" s="10" t="s">
        <v>30</v>
      </c>
      <c r="G36" s="48" t="s">
        <v>31</v>
      </c>
      <c r="H36" s="12" t="s">
        <v>17</v>
      </c>
      <c r="I36" s="13" t="s">
        <v>54</v>
      </c>
      <c r="J36" s="27">
        <v>0.36</v>
      </c>
      <c r="K36" s="10">
        <v>0</v>
      </c>
      <c r="L36" s="15">
        <v>570</v>
      </c>
      <c r="M36" s="15" t="s">
        <v>19</v>
      </c>
      <c r="N36" s="10">
        <v>12</v>
      </c>
      <c r="O36" s="10" t="s">
        <v>20</v>
      </c>
    </row>
    <row r="37" spans="1:16" s="18" customFormat="1" ht="14">
      <c r="A37" s="1"/>
      <c r="B37" s="9" t="s">
        <v>62</v>
      </c>
      <c r="C37" s="10" t="s">
        <v>13</v>
      </c>
      <c r="D37" s="11" t="s">
        <v>14</v>
      </c>
      <c r="E37" s="11" t="s">
        <v>83</v>
      </c>
      <c r="F37" s="10" t="s">
        <v>30</v>
      </c>
      <c r="G37" s="48" t="s">
        <v>21</v>
      </c>
      <c r="H37" s="12" t="s">
        <v>17</v>
      </c>
      <c r="I37" s="13" t="s">
        <v>54</v>
      </c>
      <c r="J37" s="27">
        <v>0.36</v>
      </c>
      <c r="K37" s="10">
        <v>0</v>
      </c>
      <c r="L37" s="15">
        <v>570</v>
      </c>
      <c r="M37" s="15" t="s">
        <v>22</v>
      </c>
      <c r="N37" s="10">
        <v>12</v>
      </c>
      <c r="O37" s="10" t="s">
        <v>23</v>
      </c>
      <c r="P37" s="17"/>
    </row>
    <row r="38" spans="1:16" s="1" customFormat="1">
      <c r="B38" s="9" t="s">
        <v>63</v>
      </c>
      <c r="C38" s="10" t="s">
        <v>13</v>
      </c>
      <c r="D38" s="11" t="s">
        <v>14</v>
      </c>
      <c r="E38" s="11" t="s">
        <v>83</v>
      </c>
      <c r="F38" s="10" t="s">
        <v>30</v>
      </c>
      <c r="G38" s="48" t="s">
        <v>49</v>
      </c>
      <c r="H38" s="12" t="s">
        <v>17</v>
      </c>
      <c r="I38" s="13" t="s">
        <v>54</v>
      </c>
      <c r="J38" s="27">
        <v>0.36</v>
      </c>
      <c r="K38" s="10">
        <v>0</v>
      </c>
      <c r="L38" s="15">
        <f>L36+13</f>
        <v>583</v>
      </c>
      <c r="M38" s="15" t="s">
        <v>34</v>
      </c>
      <c r="N38" s="10">
        <v>9.15</v>
      </c>
      <c r="O38" s="10" t="s">
        <v>35</v>
      </c>
    </row>
    <row r="39" spans="1:16" s="1" customFormat="1">
      <c r="B39" s="9" t="s">
        <v>64</v>
      </c>
      <c r="C39" s="10" t="s">
        <v>13</v>
      </c>
      <c r="D39" s="11" t="s">
        <v>14</v>
      </c>
      <c r="E39" s="11" t="s">
        <v>83</v>
      </c>
      <c r="F39" s="10" t="s">
        <v>37</v>
      </c>
      <c r="G39" s="48" t="s">
        <v>31</v>
      </c>
      <c r="H39" s="12" t="s">
        <v>17</v>
      </c>
      <c r="I39" s="13" t="s">
        <v>54</v>
      </c>
      <c r="J39" s="27">
        <v>0.36</v>
      </c>
      <c r="K39" s="10">
        <v>0</v>
      </c>
      <c r="L39" s="15">
        <v>602</v>
      </c>
      <c r="M39" s="15" t="s">
        <v>19</v>
      </c>
      <c r="N39" s="10">
        <v>12</v>
      </c>
      <c r="O39" s="10" t="s">
        <v>20</v>
      </c>
    </row>
    <row r="40" spans="1:16">
      <c r="B40" s="9" t="s">
        <v>64</v>
      </c>
      <c r="C40" s="10" t="s">
        <v>13</v>
      </c>
      <c r="D40" s="11" t="s">
        <v>14</v>
      </c>
      <c r="E40" s="11" t="s">
        <v>83</v>
      </c>
      <c r="F40" s="10" t="s">
        <v>37</v>
      </c>
      <c r="G40" s="48" t="s">
        <v>21</v>
      </c>
      <c r="H40" s="12" t="s">
        <v>17</v>
      </c>
      <c r="I40" s="13" t="s">
        <v>54</v>
      </c>
      <c r="J40" s="27">
        <v>0.36</v>
      </c>
      <c r="K40" s="10">
        <v>0</v>
      </c>
      <c r="L40" s="15">
        <v>602</v>
      </c>
      <c r="M40" s="15" t="s">
        <v>22</v>
      </c>
      <c r="N40" s="10">
        <v>12</v>
      </c>
      <c r="O40" s="10" t="s">
        <v>23</v>
      </c>
      <c r="P40" s="1"/>
    </row>
    <row r="41" spans="1:16" s="34" customFormat="1">
      <c r="B41" s="20" t="s">
        <v>65</v>
      </c>
      <c r="C41" s="21" t="s">
        <v>13</v>
      </c>
      <c r="D41" s="22" t="s">
        <v>14</v>
      </c>
      <c r="E41" s="22" t="s">
        <v>83</v>
      </c>
      <c r="F41" s="21" t="s">
        <v>37</v>
      </c>
      <c r="G41" s="49" t="s">
        <v>25</v>
      </c>
      <c r="H41" s="23" t="s">
        <v>17</v>
      </c>
      <c r="I41" s="24" t="s">
        <v>54</v>
      </c>
      <c r="J41" s="28">
        <v>0.36</v>
      </c>
      <c r="K41" s="21">
        <v>0</v>
      </c>
      <c r="L41" s="26">
        <f>L40+14</f>
        <v>616</v>
      </c>
      <c r="M41" s="26" t="s">
        <v>39</v>
      </c>
      <c r="N41" s="21">
        <v>6.1</v>
      </c>
      <c r="O41" s="21" t="s">
        <v>40</v>
      </c>
      <c r="P41" s="19"/>
    </row>
    <row r="42" spans="1:16">
      <c r="L42" s="36"/>
      <c r="M42" s="37"/>
      <c r="N42" s="37"/>
      <c r="O42" s="37"/>
    </row>
    <row r="43" spans="1:16">
      <c r="L43" s="38"/>
    </row>
    <row r="44" spans="1:16" ht="14.5">
      <c r="B44" s="40" t="s">
        <v>66</v>
      </c>
      <c r="C44" s="41" t="s">
        <v>13</v>
      </c>
      <c r="D44" s="41" t="s">
        <v>67</v>
      </c>
      <c r="E44" s="11" t="s">
        <v>82</v>
      </c>
      <c r="F44" s="41" t="s">
        <v>85</v>
      </c>
      <c r="G44" s="50" t="s">
        <v>68</v>
      </c>
      <c r="H44" s="40" t="s">
        <v>69</v>
      </c>
      <c r="I44" s="13" t="s">
        <v>73</v>
      </c>
      <c r="J44" s="43">
        <v>1.6719999999999999</v>
      </c>
      <c r="K44" s="44">
        <v>0</v>
      </c>
      <c r="L44" s="15">
        <v>939.07</v>
      </c>
    </row>
    <row r="45" spans="1:16" ht="14.5">
      <c r="B45" s="40" t="s">
        <v>66</v>
      </c>
      <c r="C45" s="41" t="s">
        <v>13</v>
      </c>
      <c r="D45" s="41" t="s">
        <v>67</v>
      </c>
      <c r="E45" s="11" t="s">
        <v>82</v>
      </c>
      <c r="F45" s="42" t="s">
        <v>70</v>
      </c>
      <c r="G45" s="50" t="s">
        <v>68</v>
      </c>
      <c r="H45" s="45"/>
      <c r="I45" s="13" t="s">
        <v>73</v>
      </c>
      <c r="J45" s="43">
        <v>1.6719999999999999</v>
      </c>
      <c r="K45" s="44">
        <v>0</v>
      </c>
      <c r="L45" s="15">
        <v>939.07</v>
      </c>
    </row>
    <row r="46" spans="1:16" ht="14.5">
      <c r="B46" s="46" t="s">
        <v>71</v>
      </c>
      <c r="C46" s="41" t="s">
        <v>13</v>
      </c>
      <c r="D46" s="41" t="s">
        <v>67</v>
      </c>
      <c r="E46" s="11" t="s">
        <v>82</v>
      </c>
      <c r="F46" s="47" t="s">
        <v>72</v>
      </c>
      <c r="G46" s="50" t="s">
        <v>68</v>
      </c>
      <c r="H46" s="45"/>
      <c r="I46" s="13" t="s">
        <v>73</v>
      </c>
      <c r="J46" s="43">
        <v>1.6719999999999999</v>
      </c>
      <c r="K46" s="44">
        <v>0</v>
      </c>
      <c r="L46" s="15">
        <v>986.05</v>
      </c>
    </row>
    <row r="47" spans="1:16" ht="14.5">
      <c r="B47" s="45"/>
      <c r="C47" s="44"/>
      <c r="D47" s="44"/>
      <c r="F47" s="44"/>
      <c r="G47" s="51"/>
      <c r="H47" s="45"/>
      <c r="I47" s="44"/>
      <c r="J47" s="44"/>
      <c r="K47" s="44"/>
      <c r="L47" s="15"/>
    </row>
    <row r="48" spans="1:16" ht="14.5">
      <c r="B48" s="40" t="s">
        <v>78</v>
      </c>
      <c r="C48" s="41" t="s">
        <v>75</v>
      </c>
      <c r="D48" s="41" t="s">
        <v>76</v>
      </c>
      <c r="E48" s="11" t="s">
        <v>82</v>
      </c>
      <c r="F48" s="41" t="s">
        <v>15</v>
      </c>
      <c r="G48" s="50" t="s">
        <v>68</v>
      </c>
      <c r="H48" s="40" t="s">
        <v>79</v>
      </c>
      <c r="I48" s="13" t="s">
        <v>80</v>
      </c>
      <c r="J48" s="43"/>
      <c r="K48" s="44">
        <v>0</v>
      </c>
      <c r="L48" s="15">
        <v>1302.53</v>
      </c>
    </row>
    <row r="49" spans="2:12" ht="14.5">
      <c r="B49" s="40" t="s">
        <v>74</v>
      </c>
      <c r="C49" s="41" t="s">
        <v>75</v>
      </c>
      <c r="D49" s="41" t="s">
        <v>76</v>
      </c>
      <c r="E49" s="11" t="s">
        <v>82</v>
      </c>
      <c r="F49" s="41" t="s">
        <v>15</v>
      </c>
      <c r="G49" s="50" t="s">
        <v>68</v>
      </c>
      <c r="H49" s="40" t="s">
        <v>77</v>
      </c>
      <c r="I49" s="13" t="s">
        <v>80</v>
      </c>
      <c r="J49" s="43"/>
      <c r="K49" s="44">
        <v>0</v>
      </c>
      <c r="L49" s="15">
        <v>1356.8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4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F40B-5C70-4902-9D49-A7F2C1705CE4}">
  <dimension ref="B1:V16"/>
  <sheetViews>
    <sheetView tabSelected="1" zoomScale="115" zoomScaleNormal="115" workbookViewId="0">
      <pane xSplit="7" ySplit="2" topLeftCell="Q3" activePane="bottomRight" state="frozen"/>
      <selection pane="topRight" activeCell="H1" sqref="H1"/>
      <selection pane="bottomLeft" activeCell="A3" sqref="A3"/>
      <selection pane="bottomRight" activeCell="R2" sqref="R2"/>
    </sheetView>
  </sheetViews>
  <sheetFormatPr defaultColWidth="8.9140625" defaultRowHeight="14"/>
  <cols>
    <col min="1" max="1" width="8.9140625" style="57"/>
    <col min="2" max="2" width="71.08203125" style="57" customWidth="1"/>
    <col min="3" max="3" width="16.4140625" style="57" customWidth="1"/>
    <col min="4" max="5" width="16.4140625" style="61" customWidth="1"/>
    <col min="6" max="6" width="18.4140625" style="61" hidden="1" customWidth="1"/>
    <col min="7" max="7" width="13.9140625" style="57" customWidth="1"/>
    <col min="8" max="8" width="26.25" style="72" customWidth="1"/>
    <col min="9" max="9" width="30.58203125" style="72" customWidth="1"/>
    <col min="10" max="10" width="10.75" style="66" customWidth="1"/>
    <col min="11" max="11" width="11.6640625" style="66" customWidth="1"/>
    <col min="12" max="12" width="12.25" style="66" hidden="1" customWidth="1"/>
    <col min="13" max="13" width="11.9140625" style="66" hidden="1" customWidth="1"/>
    <col min="14" max="14" width="12" style="66" hidden="1" customWidth="1"/>
    <col min="15" max="15" width="2.75" style="76" hidden="1" customWidth="1"/>
    <col min="16" max="16" width="9.4140625" style="76" customWidth="1"/>
    <col min="17" max="17" width="11.33203125" style="76" bestFit="1" customWidth="1"/>
    <col min="18" max="18" width="14.08203125" style="76" customWidth="1"/>
    <col min="19" max="19" width="9.6640625" style="76" bestFit="1" customWidth="1"/>
    <col min="20" max="20" width="12.33203125" style="76" customWidth="1"/>
    <col min="21" max="16384" width="8.9140625" style="57"/>
  </cols>
  <sheetData>
    <row r="1" spans="2:22">
      <c r="B1" s="80" t="s">
        <v>126</v>
      </c>
      <c r="Q1" s="77" t="s">
        <v>92</v>
      </c>
      <c r="R1" s="77" t="s">
        <v>92</v>
      </c>
      <c r="T1" s="81">
        <v>6.85</v>
      </c>
    </row>
    <row r="2" spans="2:22" ht="28">
      <c r="B2" s="52" t="s">
        <v>91</v>
      </c>
      <c r="C2" s="53" t="s">
        <v>0</v>
      </c>
      <c r="D2" s="54" t="s">
        <v>1</v>
      </c>
      <c r="E2" s="54" t="s">
        <v>111</v>
      </c>
      <c r="F2" s="54" t="s">
        <v>110</v>
      </c>
      <c r="G2" s="62" t="s">
        <v>116</v>
      </c>
      <c r="H2" s="73" t="s">
        <v>88</v>
      </c>
      <c r="I2" s="74" t="s">
        <v>89</v>
      </c>
      <c r="J2" s="55" t="s">
        <v>5</v>
      </c>
      <c r="K2" s="56" t="s">
        <v>90</v>
      </c>
      <c r="L2" s="56" t="s">
        <v>7</v>
      </c>
      <c r="M2" s="55">
        <v>70000</v>
      </c>
      <c r="N2" s="67">
        <f>R2</f>
        <v>102000</v>
      </c>
      <c r="P2" s="63" t="s">
        <v>93</v>
      </c>
      <c r="Q2" s="63">
        <v>70000</v>
      </c>
      <c r="R2" s="64">
        <v>102000</v>
      </c>
      <c r="T2" s="81">
        <f>R2</f>
        <v>102000</v>
      </c>
    </row>
    <row r="3" spans="2:22" ht="42">
      <c r="B3" s="58" t="s">
        <v>86</v>
      </c>
      <c r="C3" s="41" t="s">
        <v>13</v>
      </c>
      <c r="D3" s="40" t="s">
        <v>106</v>
      </c>
      <c r="E3" s="40" t="s">
        <v>112</v>
      </c>
      <c r="F3" s="40" t="s">
        <v>107</v>
      </c>
      <c r="G3" s="50" t="s">
        <v>51</v>
      </c>
      <c r="H3" s="75" t="s">
        <v>124</v>
      </c>
      <c r="I3" s="65" t="s">
        <v>129</v>
      </c>
      <c r="J3" s="68" t="s">
        <v>87</v>
      </c>
      <c r="K3" s="69">
        <v>16.8</v>
      </c>
      <c r="L3" s="70">
        <v>12.799999999999955</v>
      </c>
      <c r="M3" s="70">
        <v>1856</v>
      </c>
      <c r="N3" s="71">
        <f>$M3+($N$2-$M$2)/1000*$L3</f>
        <v>2265.5999999999985</v>
      </c>
      <c r="O3" s="78"/>
      <c r="P3" s="78">
        <v>12.8</v>
      </c>
      <c r="Q3" s="59">
        <v>1856</v>
      </c>
      <c r="R3" s="78">
        <f>$Q3+($R$2-$Q$2)/1000*$P3</f>
        <v>2265.6</v>
      </c>
      <c r="T3" s="82">
        <f>R3/$T$1</f>
        <v>330.74452554744528</v>
      </c>
    </row>
    <row r="4" spans="2:22">
      <c r="B4" s="58" t="s">
        <v>86</v>
      </c>
      <c r="C4" s="41" t="s">
        <v>13</v>
      </c>
      <c r="D4" s="40" t="s">
        <v>106</v>
      </c>
      <c r="E4" s="40" t="s">
        <v>112</v>
      </c>
      <c r="F4" s="40" t="s">
        <v>107</v>
      </c>
      <c r="G4" s="50" t="s">
        <v>51</v>
      </c>
      <c r="H4" s="75" t="s">
        <v>125</v>
      </c>
      <c r="I4" s="65" t="s">
        <v>127</v>
      </c>
      <c r="J4" s="68" t="s">
        <v>87</v>
      </c>
      <c r="K4" s="69">
        <v>16.8</v>
      </c>
      <c r="L4" s="70">
        <v>12.799999999999955</v>
      </c>
      <c r="M4" s="70">
        <f>M3+57.6</f>
        <v>1913.6</v>
      </c>
      <c r="N4" s="71">
        <f>$M4+($N$2-$M$2)/1000*$L4</f>
        <v>2323.1999999999985</v>
      </c>
      <c r="O4" s="78"/>
      <c r="P4" s="78">
        <v>12.8</v>
      </c>
      <c r="Q4" s="59">
        <f>1856+57.6</f>
        <v>1913.6</v>
      </c>
      <c r="R4" s="78">
        <f>$Q4+($R$2-$Q$2)/1000*$P4</f>
        <v>2323.1999999999998</v>
      </c>
      <c r="S4" s="78"/>
      <c r="T4" s="82">
        <f t="shared" ref="T4:T14" si="0">R4/$T$1</f>
        <v>339.15328467153284</v>
      </c>
    </row>
    <row r="5" spans="2:22" ht="28">
      <c r="B5" s="58" t="s">
        <v>115</v>
      </c>
      <c r="C5" s="41" t="s">
        <v>13</v>
      </c>
      <c r="D5" s="40" t="s">
        <v>106</v>
      </c>
      <c r="E5" s="40" t="s">
        <v>112</v>
      </c>
      <c r="F5" s="40" t="s">
        <v>109</v>
      </c>
      <c r="G5" s="50" t="s">
        <v>105</v>
      </c>
      <c r="H5" s="75" t="s">
        <v>114</v>
      </c>
      <c r="I5" s="65" t="s">
        <v>130</v>
      </c>
      <c r="J5" s="68" t="s">
        <v>87</v>
      </c>
      <c r="K5" s="69">
        <v>16.8</v>
      </c>
      <c r="L5" s="70">
        <v>14</v>
      </c>
      <c r="M5" s="70">
        <v>1800</v>
      </c>
      <c r="N5" s="71">
        <f>$M5+($N$2-$M$2)/1000*$L5</f>
        <v>2248</v>
      </c>
      <c r="O5" s="78"/>
      <c r="P5" s="78">
        <v>14</v>
      </c>
      <c r="Q5" s="59">
        <v>1800</v>
      </c>
      <c r="R5" s="78">
        <f>$Q5+($R$2-$Q$2)/1000*$P5</f>
        <v>2248</v>
      </c>
      <c r="T5" s="82">
        <f t="shared" si="0"/>
        <v>328.17518248175185</v>
      </c>
    </row>
    <row r="6" spans="2:22">
      <c r="B6" s="58" t="s">
        <v>94</v>
      </c>
      <c r="C6" s="41" t="s">
        <v>95</v>
      </c>
      <c r="D6" s="40" t="s">
        <v>106</v>
      </c>
      <c r="E6" s="40" t="s">
        <v>113</v>
      </c>
      <c r="F6" s="40" t="s">
        <v>107</v>
      </c>
      <c r="G6" s="50" t="s">
        <v>96</v>
      </c>
      <c r="H6" s="75" t="s">
        <v>97</v>
      </c>
      <c r="I6" s="65" t="s">
        <v>98</v>
      </c>
      <c r="J6" s="68" t="s">
        <v>87</v>
      </c>
      <c r="K6" s="69">
        <v>15.3</v>
      </c>
      <c r="L6" s="70">
        <v>14</v>
      </c>
      <c r="M6" s="70">
        <v>1700</v>
      </c>
      <c r="N6" s="71">
        <f t="shared" ref="N6:N10" si="1">$M6+($N$2-$M$2)/1000*$L6</f>
        <v>2148</v>
      </c>
      <c r="O6" s="78"/>
      <c r="P6" s="59">
        <v>14</v>
      </c>
      <c r="Q6" s="59">
        <v>1700</v>
      </c>
      <c r="R6" s="78">
        <f t="shared" ref="R6:R10" si="2">$Q6+($R$2-$Q$2)/1000*$P6</f>
        <v>2148</v>
      </c>
      <c r="T6" s="82">
        <f t="shared" si="0"/>
        <v>313.57664233576645</v>
      </c>
    </row>
    <row r="7" spans="2:22">
      <c r="B7" s="60" t="s">
        <v>94</v>
      </c>
      <c r="C7" s="41" t="s">
        <v>95</v>
      </c>
      <c r="D7" s="40" t="s">
        <v>106</v>
      </c>
      <c r="E7" s="40" t="s">
        <v>113</v>
      </c>
      <c r="F7" s="40" t="s">
        <v>107</v>
      </c>
      <c r="G7" s="50" t="s">
        <v>96</v>
      </c>
      <c r="H7" s="75" t="s">
        <v>103</v>
      </c>
      <c r="I7" s="65" t="s">
        <v>128</v>
      </c>
      <c r="J7" s="68" t="s">
        <v>87</v>
      </c>
      <c r="K7" s="69">
        <v>15.3</v>
      </c>
      <c r="L7" s="70"/>
      <c r="M7" s="70"/>
      <c r="N7" s="71"/>
      <c r="O7" s="78"/>
      <c r="P7" s="59">
        <v>14</v>
      </c>
      <c r="Q7" s="59">
        <f>1700+25</f>
        <v>1725</v>
      </c>
      <c r="R7" s="78">
        <f t="shared" si="2"/>
        <v>2173</v>
      </c>
      <c r="S7" s="79">
        <f>R7/R3-1</f>
        <v>-4.0872175141242861E-2</v>
      </c>
      <c r="T7" s="82">
        <f t="shared" si="0"/>
        <v>317.22627737226281</v>
      </c>
    </row>
    <row r="8" spans="2:22">
      <c r="B8" s="60" t="s">
        <v>99</v>
      </c>
      <c r="C8" s="41" t="s">
        <v>95</v>
      </c>
      <c r="D8" s="40" t="s">
        <v>106</v>
      </c>
      <c r="E8" s="40" t="s">
        <v>113</v>
      </c>
      <c r="F8" s="40" t="s">
        <v>108</v>
      </c>
      <c r="G8" s="50" t="s">
        <v>96</v>
      </c>
      <c r="H8" s="75" t="s">
        <v>97</v>
      </c>
      <c r="I8" s="65" t="s">
        <v>100</v>
      </c>
      <c r="J8" s="68" t="s">
        <v>87</v>
      </c>
      <c r="K8" s="69">
        <v>15.3</v>
      </c>
      <c r="L8" s="70">
        <v>14</v>
      </c>
      <c r="M8" s="70">
        <v>1726</v>
      </c>
      <c r="N8" s="71">
        <f t="shared" si="1"/>
        <v>2174</v>
      </c>
      <c r="O8" s="78"/>
      <c r="P8" s="59">
        <v>14</v>
      </c>
      <c r="Q8" s="59">
        <v>1726</v>
      </c>
      <c r="R8" s="78">
        <f t="shared" si="2"/>
        <v>2174</v>
      </c>
      <c r="T8" s="82">
        <f t="shared" si="0"/>
        <v>317.37226277372264</v>
      </c>
    </row>
    <row r="9" spans="2:22">
      <c r="B9" s="60" t="s">
        <v>101</v>
      </c>
      <c r="C9" s="41" t="s">
        <v>95</v>
      </c>
      <c r="D9" s="40" t="s">
        <v>106</v>
      </c>
      <c r="E9" s="40" t="s">
        <v>113</v>
      </c>
      <c r="F9" s="40" t="s">
        <v>107</v>
      </c>
      <c r="G9" s="50" t="s">
        <v>96</v>
      </c>
      <c r="H9" s="75" t="s">
        <v>97</v>
      </c>
      <c r="I9" s="65" t="s">
        <v>102</v>
      </c>
      <c r="J9" s="68" t="s">
        <v>87</v>
      </c>
      <c r="K9" s="69">
        <v>15.3</v>
      </c>
      <c r="L9" s="70">
        <v>14</v>
      </c>
      <c r="M9" s="70">
        <v>1740</v>
      </c>
      <c r="N9" s="71">
        <f t="shared" si="1"/>
        <v>2188</v>
      </c>
      <c r="O9" s="78"/>
      <c r="P9" s="59">
        <v>14</v>
      </c>
      <c r="Q9" s="59">
        <v>1740</v>
      </c>
      <c r="R9" s="78">
        <f t="shared" si="2"/>
        <v>2188</v>
      </c>
      <c r="T9" s="82">
        <f t="shared" si="0"/>
        <v>319.41605839416059</v>
      </c>
    </row>
    <row r="10" spans="2:22">
      <c r="B10" s="60" t="s">
        <v>101</v>
      </c>
      <c r="C10" s="41" t="s">
        <v>95</v>
      </c>
      <c r="D10" s="40" t="s">
        <v>106</v>
      </c>
      <c r="E10" s="40" t="s">
        <v>113</v>
      </c>
      <c r="F10" s="40" t="s">
        <v>107</v>
      </c>
      <c r="G10" s="50" t="s">
        <v>96</v>
      </c>
      <c r="H10" s="75" t="s">
        <v>103</v>
      </c>
      <c r="I10" s="65" t="s">
        <v>104</v>
      </c>
      <c r="J10" s="68" t="s">
        <v>87</v>
      </c>
      <c r="K10" s="69">
        <v>15.3</v>
      </c>
      <c r="L10" s="70">
        <v>14</v>
      </c>
      <c r="M10" s="70">
        <v>1765</v>
      </c>
      <c r="N10" s="71">
        <f t="shared" si="1"/>
        <v>2213</v>
      </c>
      <c r="O10" s="78"/>
      <c r="P10" s="59">
        <v>14</v>
      </c>
      <c r="Q10" s="59">
        <v>1765</v>
      </c>
      <c r="R10" s="78">
        <f t="shared" si="2"/>
        <v>2213</v>
      </c>
      <c r="S10" s="79">
        <f>R10/R3-1</f>
        <v>-2.3216807909604453E-2</v>
      </c>
      <c r="T10" s="82">
        <f t="shared" si="0"/>
        <v>323.06569343065695</v>
      </c>
    </row>
    <row r="11" spans="2:22">
      <c r="L11" s="71"/>
      <c r="M11" s="71"/>
      <c r="N11" s="71"/>
      <c r="O11" s="78"/>
      <c r="P11" s="78"/>
      <c r="Q11" s="78"/>
      <c r="R11" s="78"/>
      <c r="T11" s="82"/>
    </row>
    <row r="12" spans="2:22">
      <c r="B12" s="60" t="s">
        <v>118</v>
      </c>
      <c r="C12" s="41" t="s">
        <v>13</v>
      </c>
      <c r="D12" s="40" t="s">
        <v>106</v>
      </c>
      <c r="E12" s="40" t="s">
        <v>112</v>
      </c>
      <c r="F12" s="40" t="s">
        <v>107</v>
      </c>
      <c r="G12" s="50" t="s">
        <v>117</v>
      </c>
      <c r="H12" s="75" t="s">
        <v>97</v>
      </c>
      <c r="I12" s="65" t="s">
        <v>120</v>
      </c>
      <c r="J12" s="68" t="s">
        <v>87</v>
      </c>
      <c r="K12" s="69">
        <v>16.8</v>
      </c>
      <c r="L12" s="70"/>
      <c r="M12" s="70"/>
      <c r="N12" s="71"/>
      <c r="O12" s="78"/>
      <c r="P12" s="78">
        <v>16.8</v>
      </c>
      <c r="Q12" s="59">
        <v>1920</v>
      </c>
      <c r="R12" s="78">
        <f t="shared" ref="R12:R14" si="3">$Q12+($R$2-$Q$2)/1000*$P12</f>
        <v>2457.6</v>
      </c>
      <c r="S12" s="78"/>
      <c r="T12" s="82">
        <f t="shared" si="0"/>
        <v>358.77372262773724</v>
      </c>
      <c r="U12" s="57">
        <v>2565.6</v>
      </c>
      <c r="V12" s="83">
        <f>R12/U12-1</f>
        <v>-4.2095416276894282E-2</v>
      </c>
    </row>
    <row r="13" spans="2:22">
      <c r="B13" s="60" t="s">
        <v>118</v>
      </c>
      <c r="C13" s="41" t="s">
        <v>13</v>
      </c>
      <c r="D13" s="40" t="s">
        <v>106</v>
      </c>
      <c r="E13" s="40" t="s">
        <v>112</v>
      </c>
      <c r="F13" s="40" t="s">
        <v>107</v>
      </c>
      <c r="G13" s="50" t="s">
        <v>117</v>
      </c>
      <c r="H13" s="75" t="s">
        <v>103</v>
      </c>
      <c r="I13" s="65" t="s">
        <v>119</v>
      </c>
      <c r="J13" s="68" t="s">
        <v>87</v>
      </c>
      <c r="K13" s="69">
        <v>16.8</v>
      </c>
      <c r="L13" s="71"/>
      <c r="M13" s="71"/>
      <c r="N13" s="71"/>
      <c r="O13" s="78"/>
      <c r="P13" s="78">
        <v>16.8</v>
      </c>
      <c r="Q13" s="59">
        <f>1920+40</f>
        <v>1960</v>
      </c>
      <c r="R13" s="78">
        <f t="shared" si="3"/>
        <v>2497.6</v>
      </c>
      <c r="S13" s="79">
        <f>R13/R3-1</f>
        <v>0.10240112994350281</v>
      </c>
      <c r="T13" s="82">
        <f t="shared" si="0"/>
        <v>364.61313868613138</v>
      </c>
    </row>
    <row r="14" spans="2:22">
      <c r="B14" s="60" t="s">
        <v>123</v>
      </c>
      <c r="C14" s="41" t="s">
        <v>95</v>
      </c>
      <c r="D14" s="40" t="s">
        <v>121</v>
      </c>
      <c r="E14" s="40" t="s">
        <v>122</v>
      </c>
      <c r="F14" s="40" t="s">
        <v>107</v>
      </c>
      <c r="G14" s="50" t="s">
        <v>117</v>
      </c>
      <c r="H14" s="75" t="s">
        <v>97</v>
      </c>
      <c r="I14" s="65"/>
      <c r="J14" s="68" t="s">
        <v>87</v>
      </c>
      <c r="K14" s="69">
        <v>14.7</v>
      </c>
      <c r="L14" s="70"/>
      <c r="M14" s="70"/>
      <c r="N14" s="71"/>
      <c r="O14" s="78"/>
      <c r="P14" s="78">
        <v>14.7</v>
      </c>
      <c r="Q14" s="59">
        <v>1553</v>
      </c>
      <c r="R14" s="78">
        <f t="shared" si="3"/>
        <v>2023.4</v>
      </c>
      <c r="S14" s="78"/>
      <c r="T14" s="82">
        <f t="shared" si="0"/>
        <v>295.38686131386862</v>
      </c>
    </row>
    <row r="16" spans="2:22">
      <c r="M16" s="71"/>
      <c r="R16" s="78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0fb260-5e81-44f9-be53-683e6d7be542">
      <Terms xmlns="http://schemas.microsoft.com/office/infopath/2007/PartnerControls"/>
    </lcf76f155ced4ddcb4097134ff3c332f>
    <TaxCatchAll xmlns="91492109-2178-4031-ad26-b4e0b960e8f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6DD4BBE9CDF8498F15274797DE2586" ma:contentTypeVersion="16" ma:contentTypeDescription="Create a new document." ma:contentTypeScope="" ma:versionID="ed35a22ab5c69b031a3a1afd98f0639d">
  <xsd:schema xmlns:xsd="http://www.w3.org/2001/XMLSchema" xmlns:xs="http://www.w3.org/2001/XMLSchema" xmlns:p="http://schemas.microsoft.com/office/2006/metadata/properties" xmlns:ns2="91492109-2178-4031-ad26-b4e0b960e8ff" xmlns:ns3="4e0fb260-5e81-44f9-be53-683e6d7be542" targetNamespace="http://schemas.microsoft.com/office/2006/metadata/properties" ma:root="true" ma:fieldsID="714902d8236f09277e5599d960e4f0ee" ns2:_="" ns3:_="">
    <xsd:import namespace="91492109-2178-4031-ad26-b4e0b960e8ff"/>
    <xsd:import namespace="4e0fb260-5e81-44f9-be53-683e6d7be54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92109-2178-4031-ad26-b4e0b960e8f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a47e685d-07c2-4b72-895b-bddbc532a13b}" ma:internalName="TaxCatchAll" ma:showField="CatchAllData" ma:web="91492109-2178-4031-ad26-b4e0b960e8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0fb260-5e81-44f9-be53-683e6d7be5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ba64877-485a-430f-902d-53d98a15f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6EF5CE-F0C6-4A96-937E-7F8DEA7CB161}">
  <ds:schemaRefs>
    <ds:schemaRef ds:uri="http://schemas.microsoft.com/office/2006/metadata/properties"/>
    <ds:schemaRef ds:uri="http://schemas.microsoft.com/office/infopath/2007/PartnerControls"/>
    <ds:schemaRef ds:uri="4e0fb260-5e81-44f9-be53-683e6d7be542"/>
    <ds:schemaRef ds:uri="91492109-2178-4031-ad26-b4e0b960e8ff"/>
  </ds:schemaRefs>
</ds:datastoreItem>
</file>

<file path=customXml/itemProps2.xml><?xml version="1.0" encoding="utf-8"?>
<ds:datastoreItem xmlns:ds="http://schemas.openxmlformats.org/officeDocument/2006/customXml" ds:itemID="{F69D630A-DFC8-47EE-9FDD-A9868D7562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AEB9B3-A3ED-45A7-A887-BB5707DD18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492109-2178-4031-ad26-b4e0b960e8ff"/>
    <ds:schemaRef ds:uri="4e0fb260-5e81-44f9-be53-683e6d7be5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AYP CAT6 UTP CCA 2026</vt:lpstr>
      <vt:lpstr>AYP LAN CU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</dc:creator>
  <cp:lastModifiedBy>Isa Xu</cp:lastModifiedBy>
  <cp:lastPrinted>2025-12-31T06:53:45Z</cp:lastPrinted>
  <dcterms:created xsi:type="dcterms:W3CDTF">2015-06-05T18:17:20Z</dcterms:created>
  <dcterms:modified xsi:type="dcterms:W3CDTF">2026-03-31T06:32:06Z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0x010100CE6DD4BBE9CDF8498F15274797DE2586</vt:lpwstr>
  </property>
  <property fmtid="{D5CDD505-2E9C-101B-9397-08002B2CF9AE}" pid="3" name="MediaServiceImageTags">
    <vt:lpwstr/>
  </property>
</Properties>
</file>
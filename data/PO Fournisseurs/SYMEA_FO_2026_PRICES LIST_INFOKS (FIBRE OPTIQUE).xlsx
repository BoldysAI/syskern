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ymeagroup.sharepoint.com/sites/SYSKERN/Shared Documents/General/ACHATS/1.0 INFOKS/"/>
    </mc:Choice>
  </mc:AlternateContent>
  <xr:revisionPtr revIDLastSave="121" documentId="8_{06CB56E7-9066-47A6-960B-BB21ACD8B068}" xr6:coauthVersionLast="47" xr6:coauthVersionMax="47" xr10:uidLastSave="{E75C2265-8843-418A-8FB3-36D89BB04CE1}"/>
  <bookViews>
    <workbookView xWindow="-108" yWindow="-108" windowWidth="23256" windowHeight="13896" xr2:uid="{00000000-000D-0000-FFFF-FFFF00000000}"/>
  </bookViews>
  <sheets>
    <sheet name="SYMEA FO 2026" sheetId="1" r:id="rId1"/>
  </sheets>
  <definedNames>
    <definedName name="_xlnm._FilterDatabase" localSheetId="0" hidden="1">'SYMEA FO 2026'!$A$4:$P$201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5" i="1" l="1"/>
  <c r="U115" i="1" s="1"/>
  <c r="V115" i="1" s="1"/>
  <c r="A96" i="1" l="1"/>
  <c r="Q201" i="1"/>
  <c r="U201" i="1" s="1"/>
  <c r="V201" i="1" s="1"/>
  <c r="Q200" i="1"/>
  <c r="U200" i="1" s="1"/>
  <c r="V200" i="1" s="1"/>
  <c r="Q199" i="1"/>
  <c r="U199" i="1" s="1"/>
  <c r="V199" i="1" s="1"/>
  <c r="Q198" i="1"/>
  <c r="U198" i="1" s="1"/>
  <c r="V198" i="1" s="1"/>
  <c r="Q197" i="1"/>
  <c r="S197" i="1" s="1"/>
  <c r="Q196" i="1"/>
  <c r="S196" i="1" s="1"/>
  <c r="Q195" i="1"/>
  <c r="S195" i="1" s="1"/>
  <c r="Q194" i="1"/>
  <c r="S194" i="1" s="1"/>
  <c r="Q193" i="1"/>
  <c r="S193" i="1" s="1"/>
  <c r="Q192" i="1"/>
  <c r="U192" i="1" s="1"/>
  <c r="V192" i="1" s="1"/>
  <c r="Q191" i="1"/>
  <c r="U191" i="1" s="1"/>
  <c r="V191" i="1" s="1"/>
  <c r="Q190" i="1"/>
  <c r="U190" i="1" s="1"/>
  <c r="V190" i="1" s="1"/>
  <c r="Q189" i="1"/>
  <c r="S189" i="1" s="1"/>
  <c r="Q188" i="1"/>
  <c r="S188" i="1" s="1"/>
  <c r="Q187" i="1"/>
  <c r="S187" i="1" s="1"/>
  <c r="Q186" i="1"/>
  <c r="S186" i="1" s="1"/>
  <c r="Q185" i="1"/>
  <c r="U185" i="1" s="1"/>
  <c r="V185" i="1" s="1"/>
  <c r="Q184" i="1"/>
  <c r="U184" i="1" s="1"/>
  <c r="V184" i="1" s="1"/>
  <c r="Q183" i="1"/>
  <c r="S183" i="1" s="1"/>
  <c r="Q182" i="1"/>
  <c r="U182" i="1" s="1"/>
  <c r="V182" i="1" s="1"/>
  <c r="Q181" i="1"/>
  <c r="U181" i="1"/>
  <c r="V181" i="1" s="1"/>
  <c r="Q180" i="1"/>
  <c r="U180" i="1" s="1"/>
  <c r="V180" i="1" s="1"/>
  <c r="Q179" i="1"/>
  <c r="S179" i="1" s="1"/>
  <c r="Q178" i="1"/>
  <c r="S178" i="1" s="1"/>
  <c r="Q177" i="1"/>
  <c r="S177" i="1" s="1"/>
  <c r="Q176" i="1"/>
  <c r="S176" i="1" s="1"/>
  <c r="Q175" i="1"/>
  <c r="S175" i="1" s="1"/>
  <c r="Q174" i="1"/>
  <c r="U174" i="1" s="1"/>
  <c r="V174" i="1" s="1"/>
  <c r="Q173" i="1"/>
  <c r="U173" i="1" s="1"/>
  <c r="V173" i="1" s="1"/>
  <c r="Q172" i="1"/>
  <c r="S172" i="1" s="1"/>
  <c r="Q171" i="1"/>
  <c r="S171" i="1" s="1"/>
  <c r="Q170" i="1"/>
  <c r="U170" i="1" s="1"/>
  <c r="V170" i="1" s="1"/>
  <c r="Q169" i="1"/>
  <c r="S169" i="1" s="1"/>
  <c r="Q168" i="1"/>
  <c r="S168" i="1" s="1"/>
  <c r="Q167" i="1"/>
  <c r="U167" i="1" s="1"/>
  <c r="V167" i="1" s="1"/>
  <c r="Q166" i="1"/>
  <c r="U166" i="1" s="1"/>
  <c r="V166" i="1" s="1"/>
  <c r="Q165" i="1"/>
  <c r="S165" i="1" s="1"/>
  <c r="Q164" i="1"/>
  <c r="S164" i="1" s="1"/>
  <c r="Q163" i="1"/>
  <c r="S163" i="1" s="1"/>
  <c r="Q162" i="1"/>
  <c r="S162" i="1" s="1"/>
  <c r="Q161" i="1"/>
  <c r="S161" i="1" s="1"/>
  <c r="Q160" i="1"/>
  <c r="S160" i="1" s="1"/>
  <c r="Q159" i="1"/>
  <c r="S159" i="1" s="1"/>
  <c r="Q158" i="1"/>
  <c r="U158" i="1" s="1"/>
  <c r="V158" i="1" s="1"/>
  <c r="Q157" i="1"/>
  <c r="U157" i="1" s="1"/>
  <c r="V157" i="1" s="1"/>
  <c r="Q156" i="1"/>
  <c r="S156" i="1" s="1"/>
  <c r="U156" i="1"/>
  <c r="V156" i="1" s="1"/>
  <c r="Q155" i="1"/>
  <c r="U155" i="1" s="1"/>
  <c r="V155" i="1" s="1"/>
  <c r="Q154" i="1"/>
  <c r="S154" i="1" s="1"/>
  <c r="Q153" i="1"/>
  <c r="S153" i="1" s="1"/>
  <c r="Q152" i="1"/>
  <c r="S152" i="1" s="1"/>
  <c r="Q151" i="1"/>
  <c r="S151" i="1" s="1"/>
  <c r="Q150" i="1"/>
  <c r="S150" i="1" s="1"/>
  <c r="Q149" i="1"/>
  <c r="S149" i="1" s="1"/>
  <c r="Q148" i="1"/>
  <c r="U148" i="1" s="1"/>
  <c r="V148" i="1" s="1"/>
  <c r="Q147" i="1"/>
  <c r="S147" i="1" s="1"/>
  <c r="Q146" i="1"/>
  <c r="S146" i="1" s="1"/>
  <c r="Q145" i="1"/>
  <c r="S145" i="1" s="1"/>
  <c r="Q144" i="1"/>
  <c r="S144" i="1" s="1"/>
  <c r="Q143" i="1"/>
  <c r="S143" i="1" s="1"/>
  <c r="Q142" i="1"/>
  <c r="S142" i="1" s="1"/>
  <c r="Q141" i="1"/>
  <c r="S141" i="1" s="1"/>
  <c r="Q140" i="1"/>
  <c r="U140" i="1" s="1"/>
  <c r="V140" i="1" s="1"/>
  <c r="Q139" i="1"/>
  <c r="S139" i="1" s="1"/>
  <c r="Q138" i="1"/>
  <c r="S138" i="1" s="1"/>
  <c r="Q137" i="1"/>
  <c r="S137" i="1" s="1"/>
  <c r="Q136" i="1"/>
  <c r="U136" i="1" s="1"/>
  <c r="V136" i="1" s="1"/>
  <c r="Q135" i="1"/>
  <c r="S135" i="1" s="1"/>
  <c r="Q134" i="1"/>
  <c r="S134" i="1" s="1"/>
  <c r="Q133" i="1"/>
  <c r="S133" i="1" s="1"/>
  <c r="Q132" i="1"/>
  <c r="S132" i="1" s="1"/>
  <c r="Q131" i="1"/>
  <c r="S131" i="1" s="1"/>
  <c r="Q130" i="1"/>
  <c r="S130" i="1" s="1"/>
  <c r="Q129" i="1"/>
  <c r="S129" i="1" s="1"/>
  <c r="Q128" i="1"/>
  <c r="S128" i="1" s="1"/>
  <c r="Q127" i="1"/>
  <c r="S127" i="1" s="1"/>
  <c r="Q126" i="1"/>
  <c r="U126" i="1" s="1"/>
  <c r="V126" i="1" s="1"/>
  <c r="Q125" i="1"/>
  <c r="S125" i="1" s="1"/>
  <c r="Q124" i="1"/>
  <c r="S124" i="1" s="1"/>
  <c r="Q123" i="1"/>
  <c r="S123" i="1" s="1"/>
  <c r="Q122" i="1"/>
  <c r="S122" i="1" s="1"/>
  <c r="Q121" i="1"/>
  <c r="S121" i="1" s="1"/>
  <c r="Q120" i="1"/>
  <c r="U120" i="1" s="1"/>
  <c r="V120" i="1" s="1"/>
  <c r="Q119" i="1"/>
  <c r="U119" i="1" s="1"/>
  <c r="V119" i="1" s="1"/>
  <c r="Q118" i="1"/>
  <c r="S118" i="1" s="1"/>
  <c r="Q117" i="1"/>
  <c r="S117" i="1" s="1"/>
  <c r="Q116" i="1"/>
  <c r="U116" i="1" s="1"/>
  <c r="V116" i="1" s="1"/>
  <c r="Q114" i="1"/>
  <c r="U114" i="1"/>
  <c r="V114" i="1" s="1"/>
  <c r="Q113" i="1"/>
  <c r="Q112" i="1"/>
  <c r="Q111" i="1"/>
  <c r="U111" i="1" s="1"/>
  <c r="V111" i="1" s="1"/>
  <c r="Q110" i="1"/>
  <c r="U110" i="1" s="1"/>
  <c r="V110" i="1" s="1"/>
  <c r="Q109" i="1"/>
  <c r="S109" i="1" s="1"/>
  <c r="Q108" i="1"/>
  <c r="S108" i="1" s="1"/>
  <c r="Q107" i="1"/>
  <c r="S107" i="1" s="1"/>
  <c r="Q106" i="1"/>
  <c r="S106" i="1" s="1"/>
  <c r="Q105" i="1"/>
  <c r="S105" i="1" s="1"/>
  <c r="Q104" i="1"/>
  <c r="S104" i="1" s="1"/>
  <c r="Q103" i="1"/>
  <c r="U103" i="1" s="1"/>
  <c r="V103" i="1" s="1"/>
  <c r="Q102" i="1"/>
  <c r="S102" i="1" s="1"/>
  <c r="Q101" i="1"/>
  <c r="S101" i="1" s="1"/>
  <c r="Q100" i="1"/>
  <c r="U100" i="1" s="1"/>
  <c r="V100" i="1" s="1"/>
  <c r="Q99" i="1"/>
  <c r="Q98" i="1"/>
  <c r="Q97" i="1"/>
  <c r="S97" i="1" s="1"/>
  <c r="Q96" i="1"/>
  <c r="Q95" i="1"/>
  <c r="U95" i="1" s="1"/>
  <c r="V95" i="1" s="1"/>
  <c r="Q94" i="1"/>
  <c r="U94" i="1" s="1"/>
  <c r="V94" i="1" s="1"/>
  <c r="Q93" i="1"/>
  <c r="U93" i="1" s="1"/>
  <c r="V93" i="1" s="1"/>
  <c r="Q92" i="1"/>
  <c r="U92" i="1" s="1"/>
  <c r="V92" i="1" s="1"/>
  <c r="Q91" i="1"/>
  <c r="U91" i="1" s="1"/>
  <c r="V91" i="1" s="1"/>
  <c r="Q90" i="1"/>
  <c r="Q89" i="1"/>
  <c r="Q88" i="1"/>
  <c r="S88" i="1" s="1"/>
  <c r="U88" i="1"/>
  <c r="V88" i="1" s="1"/>
  <c r="Q87" i="1"/>
  <c r="Q86" i="1"/>
  <c r="Q85" i="1"/>
  <c r="Q84" i="1"/>
  <c r="S84" i="1" s="1"/>
  <c r="Q83" i="1"/>
  <c r="Q82" i="1"/>
  <c r="S82" i="1" s="1"/>
  <c r="Q81" i="1"/>
  <c r="S81" i="1" s="1"/>
  <c r="Q80" i="1"/>
  <c r="S80" i="1" s="1"/>
  <c r="Q79" i="1"/>
  <c r="S79" i="1" s="1"/>
  <c r="Q78" i="1"/>
  <c r="S78" i="1" s="1"/>
  <c r="Q77" i="1"/>
  <c r="S77" i="1" s="1"/>
  <c r="Q76" i="1"/>
  <c r="U76" i="1" s="1"/>
  <c r="V76" i="1" s="1"/>
  <c r="Q75" i="1"/>
  <c r="S75" i="1" s="1"/>
  <c r="Q74" i="1"/>
  <c r="S74" i="1" s="1"/>
  <c r="Q73" i="1"/>
  <c r="S73" i="1" s="1"/>
  <c r="U73" i="1"/>
  <c r="V73" i="1" s="1"/>
  <c r="Q72" i="1"/>
  <c r="S72" i="1" s="1"/>
  <c r="Q71" i="1"/>
  <c r="S71" i="1" s="1"/>
  <c r="Q70" i="1"/>
  <c r="Q69" i="1"/>
  <c r="S69" i="1" s="1"/>
  <c r="Q68" i="1"/>
  <c r="U68" i="1" s="1"/>
  <c r="V68" i="1" s="1"/>
  <c r="Q67" i="1"/>
  <c r="S67" i="1" s="1"/>
  <c r="Q66" i="1"/>
  <c r="Q65" i="1"/>
  <c r="Q64" i="1"/>
  <c r="S64" i="1" s="1"/>
  <c r="Q63" i="1"/>
  <c r="Q62" i="1"/>
  <c r="S62" i="1" s="1"/>
  <c r="U62" i="1"/>
  <c r="V62" i="1"/>
  <c r="Q61" i="1"/>
  <c r="U61" i="1"/>
  <c r="V61" i="1" s="1"/>
  <c r="Q60" i="1"/>
  <c r="S60" i="1" s="1"/>
  <c r="Q59" i="1"/>
  <c r="Q58" i="1"/>
  <c r="U58" i="1" s="1"/>
  <c r="V58" i="1" s="1"/>
  <c r="Q57" i="1"/>
  <c r="S57" i="1" s="1"/>
  <c r="Q56" i="1"/>
  <c r="S56" i="1" s="1"/>
  <c r="Q55" i="1"/>
  <c r="S55" i="1" s="1"/>
  <c r="Q54" i="1"/>
  <c r="U54" i="1" s="1"/>
  <c r="V54" i="1" s="1"/>
  <c r="Q53" i="1"/>
  <c r="S53" i="1" s="1"/>
  <c r="Q52" i="1"/>
  <c r="S52" i="1" s="1"/>
  <c r="Q51" i="1"/>
  <c r="U51" i="1" s="1"/>
  <c r="V51" i="1" s="1"/>
  <c r="Q50" i="1"/>
  <c r="S50" i="1" s="1"/>
  <c r="Q49" i="1"/>
  <c r="S49" i="1" s="1"/>
  <c r="Q48" i="1"/>
  <c r="Q47" i="1"/>
  <c r="U47" i="1"/>
  <c r="V47" i="1" s="1"/>
  <c r="Q46" i="1"/>
  <c r="Q45" i="1"/>
  <c r="U45" i="1"/>
  <c r="V45" i="1" s="1"/>
  <c r="Q44" i="1"/>
  <c r="S44" i="1" s="1"/>
  <c r="Q43" i="1"/>
  <c r="S43" i="1" s="1"/>
  <c r="Q42" i="1"/>
  <c r="S42" i="1" s="1"/>
  <c r="Q41" i="1"/>
  <c r="S41" i="1" s="1"/>
  <c r="Q40" i="1"/>
  <c r="U40" i="1" s="1"/>
  <c r="V40" i="1" s="1"/>
  <c r="Q39" i="1"/>
  <c r="U39" i="1" s="1"/>
  <c r="V39" i="1" s="1"/>
  <c r="Q38" i="1"/>
  <c r="U38" i="1" s="1"/>
  <c r="V38" i="1" s="1"/>
  <c r="Q37" i="1"/>
  <c r="U37" i="1" s="1"/>
  <c r="V37" i="1" s="1"/>
  <c r="Q36" i="1"/>
  <c r="U36" i="1" s="1"/>
  <c r="V36" i="1" s="1"/>
  <c r="Q35" i="1"/>
  <c r="U35" i="1" s="1"/>
  <c r="V35" i="1" s="1"/>
  <c r="Q34" i="1"/>
  <c r="U34" i="1" s="1"/>
  <c r="V34" i="1" s="1"/>
  <c r="Q33" i="1"/>
  <c r="U33" i="1" s="1"/>
  <c r="V33" i="1" s="1"/>
  <c r="Q32" i="1"/>
  <c r="U32" i="1" s="1"/>
  <c r="V32" i="1" s="1"/>
  <c r="Q31" i="1"/>
  <c r="U31" i="1" s="1"/>
  <c r="V31" i="1" s="1"/>
  <c r="Q30" i="1"/>
  <c r="U30" i="1" s="1"/>
  <c r="V30" i="1" s="1"/>
  <c r="Q29" i="1"/>
  <c r="U29" i="1" s="1"/>
  <c r="V29" i="1" s="1"/>
  <c r="Q28" i="1"/>
  <c r="U28" i="1" s="1"/>
  <c r="V28" i="1" s="1"/>
  <c r="Q27" i="1"/>
  <c r="U27" i="1"/>
  <c r="V27" i="1" s="1"/>
  <c r="Q26" i="1"/>
  <c r="U26" i="1" s="1"/>
  <c r="V26" i="1" s="1"/>
  <c r="Q25" i="1"/>
  <c r="U25" i="1"/>
  <c r="V25" i="1" s="1"/>
  <c r="Q24" i="1"/>
  <c r="U24" i="1" s="1"/>
  <c r="V24" i="1" s="1"/>
  <c r="Q23" i="1"/>
  <c r="U23" i="1" s="1"/>
  <c r="V23" i="1" s="1"/>
  <c r="Q22" i="1"/>
  <c r="U22" i="1" s="1"/>
  <c r="V22" i="1" s="1"/>
  <c r="Q21" i="1"/>
  <c r="U21" i="1" s="1"/>
  <c r="V21" i="1" s="1"/>
  <c r="Q20" i="1"/>
  <c r="U20" i="1" s="1"/>
  <c r="V20" i="1" s="1"/>
  <c r="Q19" i="1"/>
  <c r="S19" i="1" s="1"/>
  <c r="Q18" i="1"/>
  <c r="U18" i="1" s="1"/>
  <c r="V18" i="1" s="1"/>
  <c r="Q17" i="1"/>
  <c r="U17" i="1" s="1"/>
  <c r="V17" i="1" s="1"/>
  <c r="Q16" i="1"/>
  <c r="S16" i="1" s="1"/>
  <c r="Q15" i="1"/>
  <c r="U15" i="1" s="1"/>
  <c r="V15" i="1" s="1"/>
  <c r="Q14" i="1"/>
  <c r="U14" i="1" s="1"/>
  <c r="V14" i="1" s="1"/>
  <c r="Q13" i="1"/>
  <c r="S13" i="1" s="1"/>
  <c r="Q12" i="1"/>
  <c r="U12" i="1" s="1"/>
  <c r="V12" i="1" s="1"/>
  <c r="Q11" i="1"/>
  <c r="U11" i="1"/>
  <c r="V11" i="1" s="1"/>
  <c r="Q10" i="1"/>
  <c r="U10" i="1" s="1"/>
  <c r="V10" i="1" s="1"/>
  <c r="Q9" i="1"/>
  <c r="U9" i="1" s="1"/>
  <c r="V9" i="1" s="1"/>
  <c r="Q8" i="1"/>
  <c r="S8" i="1" s="1"/>
  <c r="Q7" i="1"/>
  <c r="S7" i="1" s="1"/>
  <c r="Q6" i="1"/>
  <c r="U6" i="1" s="1"/>
  <c r="V6" i="1" s="1"/>
  <c r="Q5" i="1"/>
  <c r="U5" i="1" s="1"/>
  <c r="V5" i="1" s="1"/>
  <c r="S201" i="1"/>
  <c r="S200" i="1"/>
  <c r="L185" i="1"/>
  <c r="L184" i="1"/>
  <c r="L183" i="1"/>
  <c r="L182" i="1"/>
  <c r="L180" i="1"/>
  <c r="L179" i="1"/>
  <c r="L178" i="1"/>
  <c r="L177" i="1"/>
  <c r="L176" i="1"/>
  <c r="L175" i="1"/>
  <c r="L173" i="1"/>
  <c r="L172" i="1"/>
  <c r="L171" i="1"/>
  <c r="L170" i="1"/>
  <c r="L169" i="1"/>
  <c r="L168" i="1"/>
  <c r="L166" i="1"/>
  <c r="L165" i="1"/>
  <c r="L164" i="1"/>
  <c r="L163" i="1"/>
  <c r="L161" i="1"/>
  <c r="L159" i="1"/>
  <c r="L158" i="1"/>
  <c r="L157" i="1"/>
  <c r="L156" i="1"/>
  <c r="L154" i="1"/>
  <c r="L152" i="1"/>
  <c r="L151" i="1"/>
  <c r="L150" i="1"/>
  <c r="L149" i="1"/>
  <c r="L147" i="1"/>
  <c r="L145" i="1"/>
  <c r="L144" i="1"/>
  <c r="L143" i="1"/>
  <c r="L142" i="1"/>
  <c r="L140" i="1"/>
  <c r="L138" i="1"/>
  <c r="L137" i="1"/>
  <c r="S61" i="1" l="1"/>
  <c r="U113" i="1"/>
  <c r="V113" i="1" s="1"/>
  <c r="S114" i="1"/>
  <c r="S181" i="1"/>
  <c r="U195" i="1"/>
  <c r="V195" i="1" s="1"/>
  <c r="S85" i="1"/>
  <c r="S98" i="1"/>
  <c r="S70" i="1"/>
  <c r="S47" i="1"/>
  <c r="S89" i="1"/>
  <c r="S90" i="1"/>
  <c r="U172" i="1"/>
  <c r="V172" i="1" s="1"/>
  <c r="S96" i="1"/>
  <c r="S48" i="1"/>
  <c r="S65" i="1"/>
  <c r="S46" i="1"/>
  <c r="S59" i="1"/>
  <c r="S86" i="1"/>
  <c r="S87" i="1"/>
  <c r="S63" i="1"/>
  <c r="U66" i="1"/>
  <c r="V66" i="1" s="1"/>
  <c r="U161" i="1"/>
  <c r="V161" i="1" s="1"/>
  <c r="S83" i="1"/>
  <c r="S99" i="1"/>
  <c r="U112" i="1"/>
  <c r="V112" i="1" s="1"/>
  <c r="S45" i="1"/>
  <c r="U176" i="1"/>
  <c r="V176" i="1" s="1"/>
  <c r="U122" i="1"/>
  <c r="V122" i="1" s="1"/>
  <c r="U177" i="1"/>
  <c r="V177" i="1" s="1"/>
  <c r="U189" i="1"/>
  <c r="V189" i="1" s="1"/>
  <c r="U117" i="1"/>
  <c r="V117" i="1" s="1"/>
  <c r="U67" i="1"/>
  <c r="V67" i="1" s="1"/>
  <c r="U82" i="1"/>
  <c r="V82" i="1" s="1"/>
  <c r="U159" i="1"/>
  <c r="V159" i="1" s="1"/>
  <c r="U50" i="1"/>
  <c r="V50" i="1" s="1"/>
  <c r="U145" i="1"/>
  <c r="V145" i="1" s="1"/>
  <c r="U162" i="1"/>
  <c r="V162" i="1" s="1"/>
  <c r="U179" i="1"/>
  <c r="V179" i="1" s="1"/>
  <c r="U107" i="1"/>
  <c r="V107" i="1" s="1"/>
  <c r="U53" i="1"/>
  <c r="V53" i="1" s="1"/>
  <c r="U165" i="1"/>
  <c r="V165" i="1" s="1"/>
  <c r="U196" i="1"/>
  <c r="V196" i="1" s="1"/>
  <c r="U71" i="1"/>
  <c r="V71" i="1" s="1"/>
  <c r="U55" i="1"/>
  <c r="V55" i="1" s="1"/>
  <c r="U151" i="1"/>
  <c r="V151" i="1" s="1"/>
  <c r="U132" i="1"/>
  <c r="V132" i="1" s="1"/>
  <c r="U193" i="1"/>
  <c r="V193" i="1" s="1"/>
  <c r="U74" i="1"/>
  <c r="V74" i="1" s="1"/>
  <c r="U149" i="1"/>
  <c r="V149" i="1" s="1"/>
  <c r="U133" i="1"/>
  <c r="V133" i="1" s="1"/>
  <c r="U178" i="1"/>
  <c r="V178" i="1" s="1"/>
  <c r="U79" i="1"/>
  <c r="V79" i="1" s="1"/>
  <c r="U48" i="1"/>
  <c r="V48" i="1" s="1"/>
  <c r="U130" i="1"/>
  <c r="V130" i="1" s="1"/>
  <c r="U101" i="1"/>
  <c r="V101" i="1" s="1"/>
  <c r="U135" i="1"/>
  <c r="V135" i="1" s="1"/>
  <c r="U86" i="1"/>
  <c r="V86" i="1" s="1"/>
  <c r="U42" i="1"/>
  <c r="V42" i="1" s="1"/>
  <c r="U72" i="1"/>
  <c r="V72" i="1" s="1"/>
  <c r="U87" i="1"/>
  <c r="V87" i="1" s="1"/>
  <c r="U105" i="1"/>
  <c r="V105" i="1" s="1"/>
  <c r="U137" i="1"/>
  <c r="V137" i="1" s="1"/>
  <c r="U171" i="1"/>
  <c r="V171" i="1" s="1"/>
  <c r="U186" i="1"/>
  <c r="V186" i="1" s="1"/>
  <c r="U125" i="1"/>
  <c r="V125" i="1" s="1"/>
  <c r="U154" i="1"/>
  <c r="V154" i="1" s="1"/>
  <c r="U169" i="1"/>
  <c r="V169" i="1" s="1"/>
  <c r="U197" i="1"/>
  <c r="V197" i="1" s="1"/>
  <c r="U183" i="1"/>
  <c r="V183" i="1" s="1"/>
  <c r="S174" i="1"/>
  <c r="U8" i="1"/>
  <c r="V8" i="1" s="1"/>
  <c r="U97" i="1"/>
  <c r="V97" i="1" s="1"/>
  <c r="U128" i="1"/>
  <c r="V128" i="1" s="1"/>
  <c r="U43" i="1"/>
  <c r="V43" i="1" s="1"/>
  <c r="U57" i="1"/>
  <c r="V57" i="1" s="1"/>
  <c r="U85" i="1"/>
  <c r="V85" i="1" s="1"/>
  <c r="U98" i="1"/>
  <c r="V98" i="1" s="1"/>
  <c r="U143" i="1"/>
  <c r="V143" i="1" s="1"/>
  <c r="U139" i="1"/>
  <c r="V139" i="1" s="1"/>
  <c r="S140" i="1"/>
  <c r="S198" i="1"/>
  <c r="U104" i="1"/>
  <c r="V104" i="1" s="1"/>
  <c r="U146" i="1"/>
  <c r="V146" i="1" s="1"/>
  <c r="U187" i="1"/>
  <c r="V187" i="1" s="1"/>
  <c r="U19" i="1"/>
  <c r="V19" i="1" s="1"/>
  <c r="U63" i="1"/>
  <c r="V63" i="1" s="1"/>
  <c r="U106" i="1"/>
  <c r="V106" i="1" s="1"/>
  <c r="U121" i="1"/>
  <c r="V121" i="1" s="1"/>
  <c r="U168" i="1"/>
  <c r="V168" i="1" s="1"/>
  <c r="S17" i="1"/>
  <c r="U150" i="1"/>
  <c r="V150" i="1" s="1"/>
  <c r="S68" i="1"/>
  <c r="S22" i="1"/>
  <c r="U41" i="1"/>
  <c r="V41" i="1" s="1"/>
  <c r="U64" i="1"/>
  <c r="V64" i="1" s="1"/>
  <c r="U75" i="1"/>
  <c r="V75" i="1" s="1"/>
  <c r="U127" i="1"/>
  <c r="V127" i="1" s="1"/>
  <c r="S190" i="1"/>
  <c r="S120" i="1"/>
  <c r="U65" i="1"/>
  <c r="V65" i="1" s="1"/>
  <c r="S58" i="1"/>
  <c r="S182" i="1"/>
  <c r="S199" i="1"/>
  <c r="U152" i="1"/>
  <c r="V152" i="1" s="1"/>
  <c r="U188" i="1"/>
  <c r="V188" i="1" s="1"/>
  <c r="U52" i="1"/>
  <c r="V52" i="1" s="1"/>
  <c r="U83" i="1"/>
  <c r="V83" i="1" s="1"/>
  <c r="U102" i="1"/>
  <c r="V102" i="1" s="1"/>
  <c r="U124" i="1"/>
  <c r="V124" i="1" s="1"/>
  <c r="U134" i="1"/>
  <c r="V134" i="1" s="1"/>
  <c r="U144" i="1"/>
  <c r="V144" i="1" s="1"/>
  <c r="U153" i="1"/>
  <c r="V153" i="1" s="1"/>
  <c r="U164" i="1"/>
  <c r="V164" i="1" s="1"/>
  <c r="U194" i="1"/>
  <c r="V194" i="1" s="1"/>
  <c r="S191" i="1"/>
  <c r="S103" i="1"/>
  <c r="S100" i="1"/>
  <c r="U46" i="1"/>
  <c r="V46" i="1" s="1"/>
  <c r="U118" i="1"/>
  <c r="V118" i="1" s="1"/>
  <c r="U147" i="1"/>
  <c r="V147" i="1" s="1"/>
  <c r="S166" i="1"/>
  <c r="U89" i="1"/>
  <c r="V89" i="1" s="1"/>
  <c r="U99" i="1"/>
  <c r="V99" i="1" s="1"/>
  <c r="U108" i="1"/>
  <c r="V108" i="1" s="1"/>
  <c r="S184" i="1"/>
  <c r="S185" i="1"/>
  <c r="S110" i="1"/>
  <c r="S148" i="1"/>
  <c r="S155" i="1"/>
  <c r="U80" i="1"/>
  <c r="V80" i="1" s="1"/>
  <c r="S192" i="1"/>
  <c r="S173" i="1"/>
  <c r="S157" i="1"/>
  <c r="U7" i="1"/>
  <c r="V7" i="1" s="1"/>
  <c r="U49" i="1"/>
  <c r="V49" i="1" s="1"/>
  <c r="U70" i="1"/>
  <c r="V70" i="1" s="1"/>
  <c r="U90" i="1"/>
  <c r="V90" i="1" s="1"/>
  <c r="U109" i="1"/>
  <c r="V109" i="1" s="1"/>
  <c r="U142" i="1"/>
  <c r="V142" i="1" s="1"/>
  <c r="S112" i="1"/>
  <c r="S116" i="1"/>
  <c r="U13" i="1"/>
  <c r="V13" i="1" s="1"/>
  <c r="U84" i="1"/>
  <c r="V84" i="1" s="1"/>
  <c r="U129" i="1"/>
  <c r="V129" i="1" s="1"/>
  <c r="S167" i="1"/>
  <c r="U60" i="1"/>
  <c r="V60" i="1" s="1"/>
  <c r="U77" i="1"/>
  <c r="V77" i="1" s="1"/>
  <c r="U131" i="1"/>
  <c r="V131" i="1" s="1"/>
  <c r="U175" i="1"/>
  <c r="V175" i="1" s="1"/>
  <c r="S126" i="1"/>
  <c r="S51" i="1"/>
  <c r="U16" i="1"/>
  <c r="V16" i="1" s="1"/>
  <c r="U69" i="1"/>
  <c r="V69" i="1" s="1"/>
  <c r="U123" i="1"/>
  <c r="V123" i="1" s="1"/>
  <c r="S54" i="1"/>
  <c r="U56" i="1"/>
  <c r="V56" i="1" s="1"/>
  <c r="U78" i="1"/>
  <c r="V78" i="1" s="1"/>
  <c r="U138" i="1"/>
  <c r="V138" i="1" s="1"/>
  <c r="U160" i="1"/>
  <c r="V160" i="1" s="1"/>
  <c r="S76" i="1"/>
  <c r="S113" i="1"/>
  <c r="S180" i="1"/>
  <c r="S10" i="1"/>
  <c r="S91" i="1"/>
  <c r="S119" i="1"/>
  <c r="S66" i="1"/>
  <c r="S136" i="1"/>
  <c r="S170" i="1"/>
  <c r="U44" i="1"/>
  <c r="V44" i="1" s="1"/>
  <c r="S158" i="1"/>
  <c r="U59" i="1"/>
  <c r="V59" i="1" s="1"/>
  <c r="U81" i="1"/>
  <c r="V81" i="1" s="1"/>
  <c r="U96" i="1"/>
  <c r="V96" i="1" s="1"/>
  <c r="U141" i="1"/>
  <c r="V141" i="1" s="1"/>
  <c r="U163" i="1"/>
  <c r="V16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</author>
  </authors>
  <commentList>
    <comment ref="Q49" authorId="0" shapeId="0" xr:uid="{62C65790-88D8-4E1A-A8F1-0E96B2833285}">
      <text>
        <r>
          <rPr>
            <b/>
            <sz val="9"/>
            <color indexed="81"/>
            <rFont val="Tahoma"/>
            <family val="2"/>
          </rPr>
          <t>Paul:</t>
        </r>
        <r>
          <rPr>
            <sz val="9"/>
            <color indexed="81"/>
            <rFont val="Tahoma"/>
            <family val="2"/>
          </rPr>
          <t xml:space="preserve">
to be reconfirmed</t>
        </r>
      </text>
    </comment>
    <comment ref="N115" authorId="0" shapeId="0" xr:uid="{983F9BB0-E3BE-44D9-B907-4904F4E8BD7B}">
      <text>
        <r>
          <rPr>
            <b/>
            <sz val="9"/>
            <color indexed="81"/>
            <rFont val="Tahoma"/>
            <family val="2"/>
          </rPr>
          <t>Paul:</t>
        </r>
        <r>
          <rPr>
            <sz val="9"/>
            <color indexed="81"/>
            <rFont val="Tahoma"/>
            <family val="2"/>
          </rPr>
          <t xml:space="preserve">
Whatsapp offer 25/03/26</t>
        </r>
      </text>
    </comment>
  </commentList>
</comments>
</file>

<file path=xl/sharedStrings.xml><?xml version="1.0" encoding="utf-8"?>
<sst xmlns="http://schemas.openxmlformats.org/spreadsheetml/2006/main" count="1799" uniqueCount="452">
  <si>
    <t>Sub-Range</t>
  </si>
  <si>
    <t>Type</t>
  </si>
  <si>
    <t>Description En</t>
  </si>
  <si>
    <t>OM3</t>
  </si>
  <si>
    <t>CENTRAL TUBE UNIVERSAL</t>
  </si>
  <si>
    <t>KFO6OM3CTZHD</t>
  </si>
  <si>
    <t>6FO OM3 CENTRAL LOOSE TUBE LSZH UNIVERSAL Dca AQUA RAL6027</t>
  </si>
  <si>
    <t>KFO8OM3CTZHD</t>
  </si>
  <si>
    <t>8FO OM3 CENTRAL LOOSE TUBE LSZH UNIVERSAL Dca AQUA RAL6027</t>
  </si>
  <si>
    <t>KFO12OM3CTZHD</t>
  </si>
  <si>
    <t>12FO OM3 CENTRAL LOOSE TUBE LSZH UNIVERSAL Dca AQUA RAL6027</t>
  </si>
  <si>
    <t>KFO24OM3CTZHD</t>
  </si>
  <si>
    <t>24FO OM3 CENTRAL LOOSE TUBE LSZH UNIVERSAL Dca AQUA RAL6027</t>
  </si>
  <si>
    <t>TIGHT BUFFERED</t>
  </si>
  <si>
    <t>KFO6OM3TBZHC</t>
  </si>
  <si>
    <t>KFO8OM3TBZHC</t>
  </si>
  <si>
    <t>KFO12OM3TBZHC</t>
  </si>
  <si>
    <t>KFO24OM3TBZHC</t>
  </si>
  <si>
    <t>CENTRAL TUBE OUTDOOR</t>
  </si>
  <si>
    <t>KFO6OM3CT</t>
  </si>
  <si>
    <t>6FO OM3 CENTRAL LOOSE TUBE PEHD OUTDOOR BLACK RAL 9005</t>
  </si>
  <si>
    <t>KFO8OM3CT</t>
  </si>
  <si>
    <t>8FO OM3 CENTRAL LOOSE TUBE PEHD OUTDOOR BLACK RAL9005</t>
  </si>
  <si>
    <t>KFO12OM3CT</t>
  </si>
  <si>
    <t>12FO OM3 CENTRAL LOOSE TUBE PEHD OUTDOOR BLACK RAL9005</t>
  </si>
  <si>
    <t>KFO24OM3CT</t>
  </si>
  <si>
    <t>24FO OM3 CENTRAL LOOSE TUBE PEHD OUTDOOR BLACK RAL9005</t>
  </si>
  <si>
    <t>CENTRAL TUBE ARMORED OUTDOOR</t>
  </si>
  <si>
    <t>KFO6OM3CTA</t>
  </si>
  <si>
    <t>KFO8OM3CTA</t>
  </si>
  <si>
    <t>KFO12OM3CTA</t>
  </si>
  <si>
    <t>KFO24OM3CTA</t>
  </si>
  <si>
    <t>MULTI TUBE UNIVERSAL</t>
  </si>
  <si>
    <t>KFO48OM3MTZHD</t>
  </si>
  <si>
    <t>48FO OM3 MULTI LOOSE TUBE LSZH UNIVERSAL Dca AQUA RAL6027</t>
  </si>
  <si>
    <t>KFO96OM3MTZHD</t>
  </si>
  <si>
    <t>96FO OM3 MULTI LOOSE TUBE LSZH UNIVERSAL Dca AQUA RAL6027</t>
  </si>
  <si>
    <t>MULTI TUBE OUTDOOR</t>
  </si>
  <si>
    <t>KFO48OM3MT</t>
  </si>
  <si>
    <t>48FO OM3 MULTI LOOSE TUBE PEHD OUTDOOR BLACK RAL 9005</t>
  </si>
  <si>
    <t>KFO96OM3MT</t>
  </si>
  <si>
    <t>96FO OM3 MULTI LOOSE TUBE PEHD OUTDOOR BLACK RAL 9005</t>
  </si>
  <si>
    <t>MULTI TUBE ARMORED OUTDOOR</t>
  </si>
  <si>
    <t>KFO48OM3MTA</t>
  </si>
  <si>
    <t>48FO OM3 MULTI LOOSE TUBE ARMORDED PEHD OUTDOOR BLACK RAL 9005</t>
  </si>
  <si>
    <t>KFO96OM3MTA</t>
  </si>
  <si>
    <t>96FO OM3 MULTI LOOSE TUBE ARMORDED PEHD OUTDOOR BLACK RAL 9005</t>
  </si>
  <si>
    <t>OM4</t>
  </si>
  <si>
    <t>KFO6OM4CTZHD</t>
  </si>
  <si>
    <t>6FO OM4 CENTRAL LOOSE TUBE LSZH UNIVERSAL Dca ERIKA VIOLET RAL4003</t>
  </si>
  <si>
    <t>KFO8OM4CTZHD</t>
  </si>
  <si>
    <t>8FO OM4 CENTRAL LOOSE TUBE LSZH UNIVERSAL Dca ERIKA VIOLET RAL4003</t>
  </si>
  <si>
    <t>KFO12OM4CTZHD</t>
  </si>
  <si>
    <t>12FO OM4 CENTRAL LOOSE TUBE LSZH UNIVERSAL Dca ERIKA VIOLET RAL4003</t>
  </si>
  <si>
    <t>KFO24OM4CTZHD</t>
  </si>
  <si>
    <t>24FO OM4 CENTRAL LOOSE TUBE LSZH UNIVERSAL Dca ERIKA VIOLET RAL4003</t>
  </si>
  <si>
    <t>KFO48OM4MTZHD</t>
  </si>
  <si>
    <t>48FO OM4 MULTI LOOSE TUBE LSZH UNIVERSAL Dca ERIKA VIOLET RAL4003</t>
  </si>
  <si>
    <t>KFO96OM4MTZHD</t>
  </si>
  <si>
    <t>96FO OM4 MULTI LOOSE TUBE LSZH UNIVERSAL Dca ERIKA VIOLET RAL4003</t>
  </si>
  <si>
    <t>KFO6OM4TBZHC</t>
  </si>
  <si>
    <t>KFO8OM4TBZHC</t>
  </si>
  <si>
    <t>KFO12OM4TBZHC</t>
  </si>
  <si>
    <t>KFO24OM4TBZHC</t>
  </si>
  <si>
    <t>KFO6OM5TBZHC</t>
  </si>
  <si>
    <t>KFO8OM5TBZHC</t>
  </si>
  <si>
    <t>KFO12OM5TBZHC</t>
  </si>
  <si>
    <t>KFO24OM5TBZHC</t>
  </si>
  <si>
    <t>KFO48OM4MT</t>
  </si>
  <si>
    <t>48FO OM4 MULTI LOOSE TUBE PEHD OUTDOOR BLACK RAL 9005</t>
  </si>
  <si>
    <t>KFO96OM4MT</t>
  </si>
  <si>
    <t>96FO OM4 MULTI LOOSE TUBE PEHD OUTDOOR BLACK RAL 9005</t>
  </si>
  <si>
    <t>KFO48OM4MTA</t>
  </si>
  <si>
    <t>48FO OM4 MULTI LOOSE TUBE ARMORDED PEHD OUTDOOR BLACK RAL 9005</t>
  </si>
  <si>
    <t>KFO96OM4MTA</t>
  </si>
  <si>
    <t>96FO OM4 MULTI LOOSE TUBE ARMORDED PEHD OUTDOOR BLACK RAL 9005</t>
  </si>
  <si>
    <t>OM5</t>
  </si>
  <si>
    <t>KFO6OM5CTZHD</t>
  </si>
  <si>
    <t>6FO OM5 CENTRAL LOOSE TUBE LSZH UNIVERSAL Dca LIME GREEN RAL 6039</t>
  </si>
  <si>
    <t>KFO8OM5CTZHD</t>
  </si>
  <si>
    <t>8FO OM5 CENTRAL LOOSE TUBE LSZH UNIVERSAL Dca LIME GREEN RAL 6039</t>
  </si>
  <si>
    <t>KFO12OM5CTZHD</t>
  </si>
  <si>
    <t>12FO OM5 CENTRAL LOOSE TUBE LSZH UNIVERSAL Dca LIME GREEN RAL 6039</t>
  </si>
  <si>
    <t>KFO24OM5CTZHD</t>
  </si>
  <si>
    <t>24FO OM5 CENTRAL LOOSE TUBE LSZH UNIVERSAL Dca LIME GREEN RAL 6039</t>
  </si>
  <si>
    <t>KFO48OM5MTZHD</t>
  </si>
  <si>
    <t>48FO OM5 MULTI LOOSE TUBE LSZH UNIVERSAL Dca LIME GREEN RAL 6039</t>
  </si>
  <si>
    <t>KFO96OM5MTZHD</t>
  </si>
  <si>
    <t>96FO OM5 MULTI LOOSE TUBE LSZH UNIVERSAL Dca LIME GREEN RAL 6039</t>
  </si>
  <si>
    <t>OS2</t>
  </si>
  <si>
    <t>KFO6OS2CTZHD</t>
  </si>
  <si>
    <t>6FO OS2 CENTRAL LOOSE TUBE LSZH UNIVERSAL Dca YELLOW RAL1021</t>
  </si>
  <si>
    <t>KFO8OS2CTZHD</t>
  </si>
  <si>
    <t>8FO OS2 CENTRAL LOOSE TUBE LSZH UNIVERSAL Dca YELLOW RAL1021</t>
  </si>
  <si>
    <t>KFO12OS2CTZHD</t>
  </si>
  <si>
    <t>12FO OS2 CENTRAL LOOSE TUBE LSZH UNIVERSAL Dca YELLOW RAL1021</t>
  </si>
  <si>
    <t>KFO24OS2CTZHD</t>
  </si>
  <si>
    <t>24FO OS2 CENTRAL LOOSE TUBE LSZH UNIVERSAL Dca YELLOW RAL1021</t>
  </si>
  <si>
    <t>KFO6OS2TBZHC</t>
  </si>
  <si>
    <t>KFO8OS2TBZHC</t>
  </si>
  <si>
    <t>KFO12OS2TBZHC</t>
  </si>
  <si>
    <t>KFO24OS2TBZHC</t>
  </si>
  <si>
    <t>KFO6OS2CT</t>
  </si>
  <si>
    <t>6FO OS2 CENTRAL LOOSE TUBE PEHD OUTDOOR BLACK RAL9005</t>
  </si>
  <si>
    <t>KFO8OS2CT</t>
  </si>
  <si>
    <t>8FO OS2 CENTRAL LOOSE TUBE PEHD OUTDOOR BLACK RAL9005</t>
  </si>
  <si>
    <t>KFO12OS2CT</t>
  </si>
  <si>
    <t>12FO OS2 CENTRAL LOOSE TUBE PEHD OUTDOOR BLACK RAL9005</t>
  </si>
  <si>
    <t>KFO24OS2CT</t>
  </si>
  <si>
    <t>24FO OS2 CENTRAL LOOSE TUBE PEHD OUTDOOR BLACK RAL9005</t>
  </si>
  <si>
    <t>KFO6OS2CTA</t>
  </si>
  <si>
    <t>6FO OS2 CENTRAL LOOSE TUBE ARMORED PEHD OUTDOOR BLACK RAL9005</t>
  </si>
  <si>
    <t>KFO8OS2CTA</t>
  </si>
  <si>
    <t>8FO OS2 CENTRAL LOOSE TUBE ARMORED PEHD OUTDOOR BLACK RAL9005</t>
  </si>
  <si>
    <t>12FO OS2 CENTRAL LOOSE TUBE ARMORED PEHD OUTDOOR BLACK RAL9005</t>
  </si>
  <si>
    <t>KFO24OS2CTA</t>
  </si>
  <si>
    <t>24FO OS2 CENTRAL LOOSE TUBE ARMORED PEHD OUTDOOR BLACK RAL9005</t>
  </si>
  <si>
    <t>KFO48OS2MTZHD</t>
  </si>
  <si>
    <t>48FO OS2 MULTI LOOSE TUBE LSZH UNIVERSAL Dca YELLOW RAL1021</t>
  </si>
  <si>
    <t>KFO96OS2MTZHD</t>
  </si>
  <si>
    <t>96FO OS2 MULTI LOOSE TUBE LSZH UNIVERSAL Dca YELLOW RAL1021</t>
  </si>
  <si>
    <t>KFO48OS2MT</t>
  </si>
  <si>
    <t>48FO OS2 MULTI LOOSE TUBE PEHD OUTDOOR BLACK RAL 9005</t>
  </si>
  <si>
    <t>KFO96OS2MT</t>
  </si>
  <si>
    <t>96FO OS2 MULTI LOOSE TUBE PEHD OUTDOOR BLACK RAL 9005</t>
  </si>
  <si>
    <t>KFO48OS2MTA</t>
  </si>
  <si>
    <t>48FO OS2 MULTI LOOSE TUBE ARMORDED PEHD OUTDOOR BLACK RAL 9005</t>
  </si>
  <si>
    <t>KFO96OS2MTA</t>
  </si>
  <si>
    <t>96FO OS2 MULTI LOOSE TUBE ARMORDED PEHD OUTDOOR BLACK RAL 9005</t>
  </si>
  <si>
    <t>Individual Packing</t>
  </si>
  <si>
    <t>Supplier Payment term</t>
  </si>
  <si>
    <t>Items code</t>
    <phoneticPr fontId="1" type="noConversion"/>
  </si>
  <si>
    <t>HS code</t>
    <phoneticPr fontId="1" type="noConversion"/>
  </si>
  <si>
    <t>FOB Istanbul EUR/KM</t>
    <phoneticPr fontId="1" type="noConversion"/>
  </si>
  <si>
    <t>MOQ KM</t>
    <phoneticPr fontId="1" type="noConversion"/>
  </si>
  <si>
    <t>A-DQ(BN)(SR)2Y CLT</t>
  </si>
  <si>
    <t>U-DQ(BN)H CLT</t>
  </si>
  <si>
    <t>MULTI TUBE ARMORED OUTDOOR DOUBLE GAINE</t>
  </si>
  <si>
    <t>KFO24OM3MTZHAZHB2</t>
  </si>
  <si>
    <t>KFO48OM3MTZHAZHB2</t>
  </si>
  <si>
    <t>KFO12OM4MTZHAZHB2</t>
  </si>
  <si>
    <t>KFO24OM4MTZHAZHB2</t>
  </si>
  <si>
    <t>KFO48OM4MTZHAZHB2</t>
  </si>
  <si>
    <t>KFO12OS2MTZHAZHB2</t>
  </si>
  <si>
    <t>KFO24OS2MTZHAZHB2</t>
  </si>
  <si>
    <t>KFO48OS2MTZHAZHB2</t>
  </si>
  <si>
    <t>12FO OM3 MULTI LOOSE TUBE ARMORDED LSZH B2ca OUTDOOR PURPLE RAL 4003</t>
  </si>
  <si>
    <t>24FO OM3 MULTI LOOSE TUBE ARMORDED LSZH B2ca OUTDOOR PURPLE RAL 4003</t>
  </si>
  <si>
    <t>12FO OM4 MULTI LOOSE TUBE ARMORDED LSZH B2ca OUTDOOR PURPLE RAL 4003</t>
  </si>
  <si>
    <t>12FO OS2 MULTI LOOSE TUBE ARMORDED LSZH B2ca OUTDOOR PURPLE RAL 4003</t>
  </si>
  <si>
    <t>48FO OM3 MULTI LOOSE TUBE ARMORDED LSZH B2ca OUTDOOR PURPLE RAL 4003</t>
  </si>
  <si>
    <t>48FO OM4 MULTI LOOSE TUBE ARMORDED LSZH B2ca OUTDOOR PURPLE RAL 4003</t>
  </si>
  <si>
    <t>48FO OS2 MULTI LOOSE TUBE ARMORDED LSZH B2ca OUTDOOR PURPLE RAL 4003</t>
  </si>
  <si>
    <t>24FO OM4 MULTI LOOSE TUBE ARMORDED LSZH B2ca OUTDOOR PURPLE RAL 4003</t>
  </si>
  <si>
    <t>24FO OS2 MULTI LOOSE TUBE ARMORDED LSZH B2ca OUTDOOR PURPLE RAL 4003</t>
  </si>
  <si>
    <t>6FO OM3 TIGHT BUFFERED LSZH UNIVERSAL B2ca AQUA RAL6027</t>
  </si>
  <si>
    <t>8FO OM3 TIGHT BUFFERED LSZH UNIVERSAL B2ca AQUA RAL6027</t>
  </si>
  <si>
    <t>12FO OM3 TIGHT BUFFERED LSZH UNIVERSAL B2ca AQUA RAL6027</t>
  </si>
  <si>
    <t>24FO OM3 TIGHT BUFFERED LSZH UNIVERSAL B2ca AQUA RAL6027</t>
  </si>
  <si>
    <t>6FO OM4 TIGHT BUFFERED LSZH UNIVERSAL B2ca ERIKA VIOLET RAL4003</t>
  </si>
  <si>
    <t>8FO OM4 TIGHT BUFFERED LSZH UNIVERSAL B2ca ERIKA VIOLET RAL4003</t>
  </si>
  <si>
    <t>12FO OM4 TIGHT BUFFERED LSZH UNIVERSAL B2ca ERIKA VIOLET RAL4003</t>
  </si>
  <si>
    <t>24FO OM4 TIGHT BUFFERED LSZH UNIVERSAL B2ca ERIKA VIOLET RAL4003</t>
  </si>
  <si>
    <t>6FO OM5 TIGHT BUFFERED LSZH UNIVERSAL B2ca LIME GREEN RAL 6039</t>
  </si>
  <si>
    <t>8FO OM5 TIGHT BUFFERED LSZH UNIVERSAL B2ca LIME GREEN RAL 6039</t>
  </si>
  <si>
    <t>12FO OM5 TIGHT BUFFERED LSZH UNIVERSAL B2ca LIME GREEN RAL 6039</t>
  </si>
  <si>
    <t>24FO OM5 TIGHT BUFFERED LSZH UNIVERSAL B2ca LIME GREEN RAL 6039</t>
  </si>
  <si>
    <t>6FO OS2 TIGHT BUFFERED LSZH UNIVERSAL B2ca YELLOW RAL1021</t>
  </si>
  <si>
    <t>8FO OS2 TIGHT BUFFERED LSZH UNIVERSAL B2ca YELLOW RAL1021</t>
  </si>
  <si>
    <t>12FO OS2 TIGHT BUFFERED LSZH UNIVERSAL B2ca YELLOW RAL1021</t>
  </si>
  <si>
    <t>24FO OS2 TIGHT BUFFERED LSZH UNIVERSAL B2ca YELLOW RAL1021</t>
  </si>
  <si>
    <t>A-DQ(BN)H(SR)H-FR</t>
  </si>
  <si>
    <t>CPR</t>
  </si>
  <si>
    <t>Fca</t>
  </si>
  <si>
    <t>Dca</t>
  </si>
  <si>
    <t>B2ca</t>
  </si>
  <si>
    <t>12FO OM3 CENTRAL LOOSE TUBE LSZH UNIVERSAL Cca AQUA RAL6027</t>
  </si>
  <si>
    <t>24FO OM3 CENTRAL LOOSE TUBE LSZH UNIVERSAL Cca AQUA RAL6027</t>
  </si>
  <si>
    <t>12FO OM4 CENTRAL LOOSE TUBE LSZH UNIVERSAL Cca ERIKA VIOLET RAL4003</t>
  </si>
  <si>
    <t>24FO OM4 CENTRAL LOOSE TUBE LSZH UNIVERSAL Cca ERIKA VIOLET RAL4003</t>
  </si>
  <si>
    <t>12FO OS2 CENTRAL LOOSE TUBE LSZH UNIVERSAL Cca YELLOW RAL1021</t>
  </si>
  <si>
    <t>24FO OS2 CENTRAL LOOSE TUBE LSZH UNIVERSAL Cca YELLOW RAL1021</t>
  </si>
  <si>
    <t>U-DQ(BN)H-FR CLT</t>
  </si>
  <si>
    <t>KFO12OM3CTZHC</t>
  </si>
  <si>
    <t>KFO24OM3CTZHC</t>
  </si>
  <si>
    <t>KFO12OM4CTZHC</t>
  </si>
  <si>
    <t>KFO12OS2CTZHC</t>
  </si>
  <si>
    <t>KFO24OS2CTZHC</t>
  </si>
  <si>
    <t>KFO24OM4CTZHC</t>
  </si>
  <si>
    <t>48FO OM3 MULTI LOOSE TUBE LSZH UNIVERSAL Cca AQUA RAL6027</t>
  </si>
  <si>
    <t>48FO OM4 MULTI LOOSE TUBE LSZH UNIVERSAL Cca ERIKA VIOLET RAL4003</t>
  </si>
  <si>
    <t>48FO OS2 MULTI LOOSE TUBE LSZH UNIVERSAL Cca YELLOW RAL1021</t>
  </si>
  <si>
    <t>KFO48OM3MTZHC</t>
  </si>
  <si>
    <t>KFO48OM4MTZHC</t>
  </si>
  <si>
    <t>KFO48OS2MTZHC</t>
  </si>
  <si>
    <t>A-DQ(BN)H(SR)H-FR FE180</t>
  </si>
  <si>
    <t>KFO48OS2MTZHAZHB2FR</t>
  </si>
  <si>
    <t>A-DQ(BN)(SR)H-FR FE180 CLT</t>
  </si>
  <si>
    <t>12FO OM3 CENTRAL LOOSE TUBE ARMORED LSZH B2ca OUTDOOR AQUA RAL6027</t>
  </si>
  <si>
    <t>24FO OM3 CENTRAL LOOSE TUBE ARMORED LSZH B2ca OUTDOOR AQUA RAL6027</t>
  </si>
  <si>
    <t>12FO OS2 CENTRAL LOOSE TUBE ARMORED LSZH B2ca OUTDOOR YELLOW RAL 1021</t>
  </si>
  <si>
    <t>24FO OS2 CENTRAL LOOSE TUBE ARMORED LSZH B2ca OUTDOOR YELLOW RAL 1021</t>
  </si>
  <si>
    <t>MULTI TUBE ARMORED OUTDOOR SIMPLE GAINE</t>
  </si>
  <si>
    <t>12FO OM3 MULTI LOOSE TUBE ARMORDED DS LSZH B2ca OUTDOOR PURPLE RAL 4003</t>
  </si>
  <si>
    <t>24FO OM3 MULTI LOOSE TUBE ARMORDED DS LSZH B2ca OUTDOOR PURPLE RAL 4003</t>
  </si>
  <si>
    <t>48FO OM3 MULTI LOOSE TUBE ARMORDED DS LSZH B2ca OUTDOOR PURPLE RAL 4003</t>
  </si>
  <si>
    <t>12FO OM4 MULTI LOOSE TUBE ARMORDED DS LSZH B2ca OUTDOOR PURPLE RAL 4003</t>
  </si>
  <si>
    <t>24FO OM4 MULTI LOOSE TUBE ARMORDED DS LSZH B2ca OUTDOOR PURPLE RAL 4003</t>
  </si>
  <si>
    <t>48FO OM4 MULTI LOOSE TUBE ARMORDED DS LSZH B2ca OUTDOOR PURPLE RAL 4003</t>
  </si>
  <si>
    <t>12FO OS2 MULTI LOOSE TUBE ARMORDED DS LSZH B2ca OUTDOOR PURPLE RAL 4003</t>
  </si>
  <si>
    <t>24FO OS2 MULTI LOOSE TUBE ARMORDED DS LSZH B2ca OUTDOOR PURPLE RAL 4003</t>
  </si>
  <si>
    <t>48FO OS2 MULTI LOOSE TUBE ARMORDED DS LSZH B2ca OUTDOOR PURPLE RAL 4003</t>
  </si>
  <si>
    <t>A-DQ(BN)(SR)H-FR-MLT</t>
  </si>
  <si>
    <t>A-DQ(BN)(SR)H-FR CLT</t>
  </si>
  <si>
    <t>12FO OM4 CENTRAL LOOSE TUBE ARMORED LSZH B2ca OUTDOOR VIOLET RAL 4003</t>
  </si>
  <si>
    <t>24FO OM4 CENTRAL LOOSE TUBE ARMORED LSZH B2ca OUTDOOR VIOLET RAL 4003</t>
  </si>
  <si>
    <t>4FO OM3 CENTRAL LOOSE TUBE ARMORED LSZH FR B2ca OUTDOOR AQUA RAL6027</t>
  </si>
  <si>
    <t>6FO OM3 CENTRAL LOOSE TUBE ARMORED LSZH FR B2ca OUTDOOR AQUA RAL6027</t>
  </si>
  <si>
    <t>8FO OM3 CENTRAL LOOSE TUBE ARMORED LSZH FR B2ca OUTDOOR AQUA RAL6027</t>
  </si>
  <si>
    <t>12FO OM3 CENTRAL LOOSE TUBE ARMORED LSZH FR B2ca OUTDOOR AQUA RAL6027</t>
  </si>
  <si>
    <t>24FO OM3 CENTRAL LOOSE TUBE ARMORED LSZH FR B2ca OUTDOOR AQUA RAL6027</t>
  </si>
  <si>
    <t>4FO OS2 CENTRAL LOOSE TUBE ARMORED LSZH FR B2ca OUTDOOR YELLOW RAL 1021</t>
  </si>
  <si>
    <t>6FO OS2 CENTRAL LOOSE TUBE ARMORED LSZH FR B2ca OUTDOOR YELLOW RAL 1021</t>
  </si>
  <si>
    <t>8FO OS2 CENTRAL LOOSE TUBE ARMORED LSZH FR B2ca OUTDOOR YELLOW RAL 1021</t>
  </si>
  <si>
    <t>12FO OS2 CENTRAL LOOSE TUBE ARMORED LSZH FR B2ca OUTDOOR YELLOW RAL 1021</t>
  </si>
  <si>
    <t>24FO OS2 CENTRAL LOOSE TUBE ARMORED LSZH FR B2ca OUTDOOR YELLOW RAL 1021</t>
  </si>
  <si>
    <t>48FO OS2 MULTI LOOSE TUBE ARMORDED DS LSZH FR FR B2ca OUTDOOR YELLOW RAL1021</t>
  </si>
  <si>
    <t>KFO4OM3CTAZHB2FR</t>
  </si>
  <si>
    <t>KFO6OM3CTAZHB2FR</t>
  </si>
  <si>
    <t>KFO8OM3CTAZHB2FR</t>
  </si>
  <si>
    <t>KFO12OM3CTAZHB2FR</t>
  </si>
  <si>
    <t>KFO24OM3CTAZHB2FR</t>
  </si>
  <si>
    <t>KFO4OS2CTAZHB2FR</t>
  </si>
  <si>
    <t>KFO6OS2CTAZHB2FR</t>
  </si>
  <si>
    <t>KFO8OS2CTAZHB2FR</t>
  </si>
  <si>
    <t>KFO12OS2CTAZHB2FR</t>
  </si>
  <si>
    <t>KFO24OS2CTAZHB2FR</t>
  </si>
  <si>
    <t>KFO12OM3CTAZHB2</t>
  </si>
  <si>
    <t>KFO24OM3CTAZHB2</t>
  </si>
  <si>
    <t>KFO12OM4CTAZHB2</t>
  </si>
  <si>
    <t>KFO24OM4CTAZHB2</t>
  </si>
  <si>
    <t>KFO12OS2CTAZHB2</t>
  </si>
  <si>
    <t>KFO24OS2CTAZHB2</t>
  </si>
  <si>
    <t>KFO12OM3MTAZHB2</t>
  </si>
  <si>
    <t>KFO24OM3MTAZHB2</t>
  </si>
  <si>
    <t>KFO48OM3MTAZHB2</t>
  </si>
  <si>
    <t>KFO12OM4MTAZHB2</t>
  </si>
  <si>
    <t>KFO24OM4MTAZHB2</t>
  </si>
  <si>
    <t>KFO48OM4MTAZHB2</t>
  </si>
  <si>
    <t>KFO12OS2MTAZHB2</t>
  </si>
  <si>
    <t>KFO24OS2MTAZHB2</t>
  </si>
  <si>
    <t>KFO48OS2MTAZHB2</t>
  </si>
  <si>
    <t>Cca/B2ca</t>
  </si>
  <si>
    <t>144FO OS2 MULTI LOOSE TUBE ARMORDED LSZH B2ca OUTDOOR PURPLE RAL 4003</t>
  </si>
  <si>
    <t>288FO OS2 MULTI LOOSE TUBE ARMORDED LSZH B2ca OUTDOOR PURPLE RAL 4003</t>
  </si>
  <si>
    <t>144FO OS2 MULTI LOOSE TUBE ARMORDED DS LSZH B2ca OUTDOOR PURPLE RAL 4004</t>
  </si>
  <si>
    <t>288FO OS2 MULTI LOOSE TUBE ARMORDED DS LSZH B2ca OUTDOOR PURPLE RAL 4005</t>
  </si>
  <si>
    <t>Ex Works Istanbul EUR/KM</t>
  </si>
  <si>
    <t>2000m &amp; 4000m drum</t>
  </si>
  <si>
    <t>I-V(BN)H-B2</t>
  </si>
  <si>
    <t>A-DQ(BN)(SR)2Y</t>
  </si>
  <si>
    <t>U-DQ(BN)H MLT</t>
  </si>
  <si>
    <t>U-DQ(BN)H-FR B2ca MLT</t>
  </si>
  <si>
    <t>A-DQ(BN)2Y CLT</t>
  </si>
  <si>
    <t>A-DQ(BN)2Y MLT</t>
  </si>
  <si>
    <t>24FO OS2 MULTI LOOSE TUBE PEHD OUTDOOR BLACK RAL 9004</t>
  </si>
  <si>
    <t>KFO24OS2MT</t>
  </si>
  <si>
    <t>KFO6OS2CTZHC</t>
  </si>
  <si>
    <t>6FO OS2 CENTRAL LOOSE TUBE LSZH UNIVERSAL Cca YELLOW RAL1021</t>
  </si>
  <si>
    <t xml:space="preserve">Infoks Ranges Codes </t>
  </si>
  <si>
    <t>KFO6OM3CTZHC</t>
  </si>
  <si>
    <t>6FO OM3 CENTRAL LOOSE TUBE LSZH UNIVERSAL Cca AQUA RAL6027</t>
  </si>
  <si>
    <t>KFO6OM4CTZHC</t>
  </si>
  <si>
    <t>6FO OM4 CENTRAL LOOSE TUBE LSZH UNIVERSAL Cca ERIKA VIOLET RAL4003</t>
  </si>
  <si>
    <t>KFO12OM3MTZHAZHB2</t>
  </si>
  <si>
    <t>KFO12OS2CTA</t>
  </si>
  <si>
    <t>KFO8OM4CTZHC</t>
  </si>
  <si>
    <t>8FO OM4 CENTRAL LOOSE TUBE LSZH UNIVERSAL Cca ERIKA VIOLET RAL4003</t>
  </si>
  <si>
    <t>KFO12OM3MTZHD</t>
  </si>
  <si>
    <t>KFO24OM3MTZHD</t>
  </si>
  <si>
    <t>KFO72OM3MTZHD</t>
  </si>
  <si>
    <t>KFO144OM3MTZHD</t>
  </si>
  <si>
    <t>KFO288OM3MTZHD</t>
  </si>
  <si>
    <t>KFO12OM4MTZHD</t>
  </si>
  <si>
    <t>KFO24OM4MTZHD</t>
  </si>
  <si>
    <t>KFO72OM4MTZHD</t>
  </si>
  <si>
    <t>KFO144OM4MTZHD</t>
  </si>
  <si>
    <t>KFO288OM4MTZHD</t>
  </si>
  <si>
    <t>KFO12OM5MTZHD</t>
  </si>
  <si>
    <t>KFO24OM5MTZHD</t>
  </si>
  <si>
    <t>KFO72OM5MTZHD</t>
  </si>
  <si>
    <t>KFO144OM5MTZHD</t>
  </si>
  <si>
    <t>KFO288OM5MTZHD</t>
  </si>
  <si>
    <t>KFO12OS2MTZHD</t>
  </si>
  <si>
    <t>KFO24OS2MTZHD</t>
  </si>
  <si>
    <t>KFO72OS2MTZHD</t>
  </si>
  <si>
    <t>KFO144OS2MTZHD</t>
  </si>
  <si>
    <t>KFO288OS2MTZHD</t>
  </si>
  <si>
    <t>KFO12OM3MTZHC</t>
  </si>
  <si>
    <t>KFO24OM3MTZHC</t>
  </si>
  <si>
    <t>KFO72OM3MTZHC</t>
  </si>
  <si>
    <t>KFO96OM3MTZHC</t>
  </si>
  <si>
    <t>KFO144OM3MTZHC</t>
  </si>
  <si>
    <t>KFO288OM3MTZHC</t>
  </si>
  <si>
    <t>KFO12OM4MTZHC</t>
  </si>
  <si>
    <t>KFO24OM4MTZHC</t>
  </si>
  <si>
    <t>KFO72OM4MTZHC</t>
  </si>
  <si>
    <t>KFO96OM4MTZHC</t>
  </si>
  <si>
    <t>KFO144OM4MTZHC</t>
  </si>
  <si>
    <t>KFO288OM4MTZHC</t>
  </si>
  <si>
    <t>KFO12OS2MTZHC</t>
  </si>
  <si>
    <t>KFO24OS2MTZHC</t>
  </si>
  <si>
    <t>KFO72OS2MTZHC</t>
  </si>
  <si>
    <t>KFO96OS2MTZHC</t>
  </si>
  <si>
    <t>KFO144OS2MTZHC</t>
  </si>
  <si>
    <t>KFO288OS2MTZHC</t>
  </si>
  <si>
    <t>KFO8OM3CTZHC</t>
  </si>
  <si>
    <t>8FO OM3 CENTRAL LOOSE TUBE LSZH UNIVERSAL Cca AQUA RAL6027</t>
  </si>
  <si>
    <t>KFO8OS2CTZHC</t>
  </si>
  <si>
    <t>12FO OM3 MULTI LOOSE TUBE LSZH UNIVERSAL Dca AQUA RAL6027  1x12+5xdummy</t>
  </si>
  <si>
    <t>24FO OM3 MULTI LOOSE TUBE LSZH UNIVERSAL Dca AQUA RAL6027  2x12+4xdummy</t>
  </si>
  <si>
    <t>72FO OM3 MULTI LOOSE TUBE LSZH UNIVERSAL Dca AQUA RAL6027 6x12</t>
  </si>
  <si>
    <t>144FO OM3 MULTI LOOSE TUBE LSZH UNIVERSAL Dca AQUA RAL6027 12x12</t>
  </si>
  <si>
    <t>288FO OM3 MULTI LOOSE TUBE LSZH UNIVERSAL Dca AQUA RAL6027 24x12</t>
  </si>
  <si>
    <t>12FO OM4 MULTI LOOSE TUBE LSZH UNIVERSAL Dca ERIKA VIOLET RAL4003 1x12+5xdummy</t>
  </si>
  <si>
    <t>24FO OM4 MULTI LOOSE TUBE LSZH UNIVERSAL Dca ERIKA VIOLET RAL4003 2x12+4xdummy</t>
  </si>
  <si>
    <t>72FO OM4 MULTI LOOSE TUBE LSZH UNIVERSAL Dca ERIKA VIOLET RAL4003 6x12</t>
  </si>
  <si>
    <t>144FO OM4 MULTI LOOSE TUBE LSZH UNIVERSAL Dca ERIKA VIOLET RAL4003 12x12</t>
  </si>
  <si>
    <t>288FO OM4 MULTI LOOSE TUBE LSZH UNIVERSAL Dca ERIKA VIOLET RAL4003 24x12</t>
  </si>
  <si>
    <t>12FO OM5 MULTI LOOSE TUBE LSZH UNIVERSAL Dca LIME GREEN RAL 6039 1x12+5xdummy</t>
  </si>
  <si>
    <t>24FO OM5 MULTI LOOSE TUBE LSZH UNIVERSAL Dca LIME GREEN RAL 6039 2x12 +4xdummy</t>
  </si>
  <si>
    <t>72FO OM5 MULTI LOOSE TUBE LSZH UNIVERSAL Dca LIME GREEN RAL 6039 6x12</t>
  </si>
  <si>
    <t>144FO OM5 MULTI LOOSE TUBE LSZH UNIVERSAL Dca LIME GREEN RAL 6039 12x12</t>
  </si>
  <si>
    <t>288FO OM5 MULTI LOOSE TUBE LSZH UNIVERSAL Dca LIME GREEN RAL 6039 24x12</t>
  </si>
  <si>
    <t>12FO OS2 MULTI LOOSE TUBE LSZH UNIVERSAL Dca YELLOW RAL1021 1x12+4xdummy</t>
  </si>
  <si>
    <t>24FO OS2 MULTI LOOSE TUBE LSZH UNIVERSAL Dca YELLOW RAL1021 2x12+4xdummy</t>
  </si>
  <si>
    <t>72FO OS2 MULTI LOOSE TUBE LSZH UNIVERSAL Dca YELLOW RAL1021 6x12</t>
  </si>
  <si>
    <t>144FO OS2 MULTI LOOSE TUBE LSZH UNIVERSAL Dca YELLOW RAL1021 12x12</t>
  </si>
  <si>
    <t>288FO OS2 MULTI LOOSE TUBE LSZH UNIVERSAL Dca YELLOW RAL1021  24x12</t>
  </si>
  <si>
    <t>12FO OM3 MULTI LOOSE TUBE LSZH UNIVERSAL Cca AQUA RAL6027 1x12+5xdummy</t>
  </si>
  <si>
    <t>24FO OM3 MULTI LOOSE TUBE LSZH UNIVERSAL Cca AQUA RAL6027 2x12+4xdummy</t>
  </si>
  <si>
    <t>72FO OM3 MULTI LOOSE TUBE LSZH UNIVERSAL Cca AQUA RAL6027 6x12</t>
  </si>
  <si>
    <t>96FO OM3 MULTI LOOSE TUBE LSZH UNIVERSAL Cca AQUA RAL6027 8x12</t>
  </si>
  <si>
    <t>144FO OM3 MULTI LOOSE TUBE LSZH UNIVERSAL Cca AQUA RAL6027  12x12</t>
  </si>
  <si>
    <t>288FO OM3 MULTI LOOSE TUBE LSZH UNIVERSAL Cca AQUA RAL6027  24x12</t>
  </si>
  <si>
    <t>12FO OM4 MULTI LOOSE TUBE LSZH UNIVERSAL Cca ERIKA VIOLET RAL4003 1x12+5xdummy</t>
  </si>
  <si>
    <t>24FO OM4 MULTI LOOSE TUBE LSZH UNIVERSAL Cca ERIKA VIOLET RAL4003 2x12+4xdummy</t>
  </si>
  <si>
    <t>72FO OM4 MULTI LOOSE TUBE LSZH UNIVERSAL Cca ERIKA VIOLET RAL4003 6x12</t>
  </si>
  <si>
    <t>96FO OM4 MULTI LOOSE TUBE LSZH UNIVERSAL Cca ERIKA VIOLET RAL4003 8x12</t>
  </si>
  <si>
    <t>144FO OM4 MULTI LOOSE TUBE LSZH UNIVERSAL Cca ERIKA VIOLET RAL4003 12x12</t>
  </si>
  <si>
    <t>288FO OM4 MULTI LOOSE TUBE LSZH UNIVERSAL Cca ERIKA VIOLET RAL4003  24x12</t>
  </si>
  <si>
    <t>12FO OS2 MULTI LOOSE TUBE LSZH UNIVERSAL Cca YELLOW RAL1021  1x12+5xdummy</t>
  </si>
  <si>
    <t>24FO OS2 MULTI LOOSE TUBE LSZH UNIVERSAL Cca YELLOW RAL1021 2x12+4xdummy</t>
  </si>
  <si>
    <t>72FO OS2 MULTI LOOSE TUBE LSZH UNIVERSAL Cca YELLOW RAL1021 6x12</t>
  </si>
  <si>
    <t>96FO OS2 MULTI LOOSE TUBE LSZH UNIVERSAL Cca YELLOW RAL1021 8x12</t>
  </si>
  <si>
    <t>144FO OS2 MULTI LOOSE TUBE LSZH UNIVERSAL Cca YELLOW RAL1021  12x12</t>
  </si>
  <si>
    <t>288FO OS2 MULTI LOOSE TUBE LSZH UNIVERSAL Cca YELLOW RAL1021  24x12</t>
  </si>
  <si>
    <t>8FO OS2 CENTRAL LOOSE TUBE LSZH UNIVERSAL Cca YELLOW RAL1021</t>
  </si>
  <si>
    <t>KFO4OM5CTZHC</t>
  </si>
  <si>
    <t>4FO OM5 CENTRAL LOOSE TUBE LSZH UNIVERSAL Cca LIME GREEN RAL 6039</t>
  </si>
  <si>
    <t>KFO144OS2MTZHAZHB2</t>
  </si>
  <si>
    <t>KFO288OS2MTZHAZHB2</t>
  </si>
  <si>
    <t>KFO144OS2MTAZHB2</t>
  </si>
  <si>
    <t>KFO288OS2MTAZHB2</t>
  </si>
  <si>
    <t>KFO4OM4CTAZHB2</t>
  </si>
  <si>
    <t>KFO8OM4CTAZHB2</t>
  </si>
  <si>
    <t>4FO OM4 CENTRAL LOOSE TUBE ARMORED LSZH B2ca OUTDOOR VIOLET RAL 4003</t>
  </si>
  <si>
    <t>8FO OM4 CENTRAL LOOSE TUBE ARMORED LSZH B2ca OUTDOOR VIOLET RAL 4003</t>
  </si>
  <si>
    <t>OFS FIBER FOR OM4</t>
  </si>
  <si>
    <t>DRAKA FIBER FOR OM4</t>
  </si>
  <si>
    <t>INVOICE+60 DAYS</t>
  </si>
  <si>
    <t>SYMEA / SYSKERN UKN</t>
  </si>
  <si>
    <t>KFO2OM3CTA</t>
  </si>
  <si>
    <t>2FO OM3 CENTRAL LOOSE TUBE ARMORED PEHD OUTDOOR BLACK RAL9005</t>
  </si>
  <si>
    <t>KFO4OM3CTA</t>
  </si>
  <si>
    <t>4FO OM3 CENTRAL LOOSE TUBE ARMORED PEHD OUTDOOR BLACK RAL9005</t>
  </si>
  <si>
    <t>KFO16OM3CTA</t>
  </si>
  <si>
    <t>16FO OM3 CENTRAL LOOSE TUBE ARMORED PEHD OUTDOOR BLACK RAL9005</t>
  </si>
  <si>
    <t>12FO OM3 CENTRAL LOOSE TUBE ARMORED PEHD OUTDOOR BLACK RAL9005</t>
  </si>
  <si>
    <t>8FO OM3 CENTRAL LOOSE TUBE ARMORED PEHD OUTDOOR BLACK RAL9005</t>
  </si>
  <si>
    <t>6FO OM3 CENTRAL LOOSE TUBE ARMORED PEHD OUTDOOR BLACK RAL9005</t>
  </si>
  <si>
    <t>24FO OM3CENTRAL LOOSE TUBE ARMORED PEHD OUTDOOR BLACK RAL9005</t>
  </si>
  <si>
    <t>KFO2OS2CTA</t>
  </si>
  <si>
    <t>KFO4OS2CTA</t>
  </si>
  <si>
    <t>KFO16OS2CTA</t>
  </si>
  <si>
    <t>16FO OS2 CENTRAL LOOSE TUBE ARMORED PEHD OUTDOOR BLACK RAL9005</t>
  </si>
  <si>
    <t>2FO OS2 CENTRAL LOOSE TUBE ARMORED PEHD OUTDOOR BLACK RAL9005</t>
  </si>
  <si>
    <t>4FO OS2 CENTRAL LOOSE TUBE ARMORED PEHD OUTDOOR BLACK RAL9005</t>
  </si>
  <si>
    <t>2FO OM4 CENTRAL LOOSE TUBE ARMORED PEHD OUTDOOR BLACK RAL9005</t>
  </si>
  <si>
    <t>4FO OM4 CENTRAL LOOSE TUBE ARMORED PEHD OUTDOOR BLACK RAL9005</t>
  </si>
  <si>
    <t>6FO OM4 CENTRAL LOOSE TUBE ARMORED PEHD OUTDOOR BLACK RAL9005</t>
  </si>
  <si>
    <t>8FO OM4 CENTRAL LOOSE TUBE ARMORED PEHD OUTDOOR BLACK RAL9005</t>
  </si>
  <si>
    <t>12FO OM4 CENTRAL LOOSE TUBE ARMORED PEHD OUTDOOR BLACK RAL9005</t>
  </si>
  <si>
    <t>16FO OM4 CENTRAL LOOSE TUBE ARMORED PEHD OUTDOOR BLACK RAL9005</t>
  </si>
  <si>
    <t>24FO OM4 CENTRAL LOOSE TUBE ARMORED PEHD OUTDOOR BLACK RAL9005</t>
  </si>
  <si>
    <t>KFO20OM3CTA</t>
  </si>
  <si>
    <t>20FO OM3 CENTRAL LOOSE TUBE ARMORED PEHD OUTDOOR BLACK RAL9005</t>
  </si>
  <si>
    <t>KFO20OS2CTA</t>
  </si>
  <si>
    <t>20FO OS2 CENTRAL LOOSE TUBE ARMORED PEHD OUTDOOR BLACK RAL9005</t>
  </si>
  <si>
    <t>20FO OM4 CENTRAL LOOSE TUBE ARMORED PEHD OUTDOOR BLACK RAL9005</t>
  </si>
  <si>
    <t>2FO OM5 CENTRAL LOOSE TUBE ARMORED PEHD OUTDOOR BLACK RAL9005</t>
  </si>
  <si>
    <t>4FO OM5 CENTRAL LOOSE TUBE ARMORED PEHD OUTDOOR BLACK RAL9005</t>
  </si>
  <si>
    <t>6FO OM5 CENTRAL LOOSE TUBE ARMORED PEHD OUTDOOR BLACK RAL9005</t>
  </si>
  <si>
    <t>8FO OM5 CENTRAL LOOSE TUBE ARMORED PEHD OUTDOOR BLACK RAL9005</t>
  </si>
  <si>
    <t>12FO OM5 CENTRAL LOOSE TUBE ARMORED PEHD OUTDOOR BLACK RAL9005</t>
  </si>
  <si>
    <t>16FO OM5 CENTRAL LOOSE TUBE ARMORED PEHD OUTDOOR BLACK RAL9005</t>
  </si>
  <si>
    <t>20FO OM5 CENTRAL LOOSE TUBE ARMORED PEHD OUTDOOR BLACK RAL9005</t>
  </si>
  <si>
    <t>24FO OM5 CENTRAL LOOSE TUBE ARMORED PEHD OUTDOOR BLACK RAL9005</t>
  </si>
  <si>
    <t>KFO10OM3CTA</t>
  </si>
  <si>
    <t>10FO OM3 CENTRAL LOOSE TUBE ARMORED PEHD OUTDOOR BLACK RAL9005</t>
  </si>
  <si>
    <t>KFO10OS2CTA</t>
  </si>
  <si>
    <t>10FO OS2 CENTRAL LOOSE TUBE ARMORED PEHD OUTDOOR BLACK RAL9005</t>
  </si>
  <si>
    <t>10FO OM4 CENTRAL LOOSE TUBE ARMORED PEHD OUTDOOR BLACK RAL9005</t>
  </si>
  <si>
    <t>10FO OM5 CENTRAL LOOSE TUBE ARMORED PEHD OUTDOOR BLACK RAL9005</t>
  </si>
  <si>
    <t>KFO2OM4CTA</t>
  </si>
  <si>
    <t>KFO4OM4CTA</t>
  </si>
  <si>
    <t>KFO6OM4CTA</t>
  </si>
  <si>
    <t>KFO8OM4CTA</t>
  </si>
  <si>
    <t>KFO10OM4CTA</t>
  </si>
  <si>
    <t>KFO12OM4CTA</t>
  </si>
  <si>
    <t>KFO16OM4CTA</t>
  </si>
  <si>
    <t>KFO20OM4CTA</t>
  </si>
  <si>
    <t>KFO24OM4CTA</t>
  </si>
  <si>
    <t>KFO2OM5CTA</t>
  </si>
  <si>
    <t>KFO4OM5CTA</t>
  </si>
  <si>
    <t>KFO6OM5CTA</t>
  </si>
  <si>
    <t>KFO8OM5CTA</t>
  </si>
  <si>
    <t>KFO10OM5CTA</t>
  </si>
  <si>
    <t>KFO12OM5CTA</t>
  </si>
  <si>
    <t>KFO16OM5CTA</t>
  </si>
  <si>
    <t>KFO20OM5CTA</t>
  </si>
  <si>
    <t>KFO24OM5CTA</t>
  </si>
  <si>
    <t>DRAKA FIBER OM3-OM4-OM5</t>
  </si>
  <si>
    <t>DRAKA FIBER FOR OM3-150 AND OFS OM4-400</t>
  </si>
  <si>
    <t>KFO6OM5CTZHC</t>
  </si>
  <si>
    <t>KFO8OM5CTZHC</t>
  </si>
  <si>
    <t>KFO12OM5CTZHC</t>
  </si>
  <si>
    <t>KFO24OM5CTZHC</t>
  </si>
  <si>
    <t>24FO OM5 CENTRAL LOOSE TUBE LSZH UNIVERSAL Cca LIME GREEN RAL 6039</t>
  </si>
  <si>
    <t>12FO OM5 CENTRAL LOOSE TUBE LSZH UNIVERSAL Cca LIME GREEN RAL 6039</t>
  </si>
  <si>
    <t>8FO OM5 CENTRAL LOOSE TUBE LSZH UNIVERSAL Cca LIME GREEN RAL 6039</t>
  </si>
  <si>
    <t>6FO OM5 CENTRAL LOOSE TUBE LSZH UNIVERSAL Cca LIME GREEN RAL 6039</t>
  </si>
  <si>
    <t>OM3 DRAKA</t>
  </si>
  <si>
    <t>OM4-400</t>
  </si>
  <si>
    <t>OM5 DRAKA</t>
  </si>
  <si>
    <t>OS2 G652D YOFC</t>
  </si>
  <si>
    <t>TYPE OF FIBERS</t>
  </si>
  <si>
    <t>FINAL PRICES SYMEA</t>
  </si>
  <si>
    <t>DDP Reau EUR/KM</t>
  </si>
  <si>
    <t>FINAL PRICES Syskern</t>
  </si>
  <si>
    <t>KFO96OS2MTZHAZHB2</t>
  </si>
  <si>
    <t>96FO OS2 MULTI LOOSE TUBE ARMORDED DS LSZH B2ca OUTDOOR PURPLE RAL 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</si>
</sst>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0.0%"/>
  </numFmts>
  <fonts count="1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b/>
      <sz val="10.5"/>
      <name val="Calibri"/>
      <family val="2"/>
    </font>
    <font>
      <b/>
      <sz val="16"/>
      <name val="Calibri"/>
      <family val="2"/>
    </font>
    <font>
      <sz val="10.5"/>
      <name val="Calibri"/>
      <family val="2"/>
    </font>
    <font>
      <b/>
      <sz val="10.5"/>
      <color rgb="FFFF0000"/>
      <name val="Calibri"/>
      <family val="2"/>
    </font>
    <font>
      <b/>
      <sz val="11"/>
      <name val="Calibri"/>
      <family val="2"/>
      <scheme val="minor"/>
    </font>
    <font>
      <b/>
      <sz val="18"/>
      <name val="Calibri"/>
      <family val="2"/>
    </font>
    <font>
      <b/>
      <sz val="14"/>
      <name val="Calibri"/>
      <family val="2"/>
    </font>
    <font>
      <b/>
      <sz val="22"/>
      <name val="Calibri"/>
      <family val="2"/>
    </font>
    <font>
      <b/>
      <sz val="24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649E5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44" fontId="4" fillId="0" borderId="0" xfId="1" applyFont="1" applyBorder="1"/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left"/>
    </xf>
    <xf numFmtId="44" fontId="4" fillId="5" borderId="2" xfId="1" applyFont="1" applyFill="1" applyBorder="1" applyAlignment="1">
      <alignment horizontal="center" vertical="center"/>
    </xf>
    <xf numFmtId="0" fontId="6" fillId="0" borderId="0" xfId="0" applyFont="1"/>
    <xf numFmtId="44" fontId="4" fillId="0" borderId="0" xfId="1" applyFont="1"/>
    <xf numFmtId="44" fontId="4" fillId="5" borderId="6" xfId="1" applyFont="1" applyFill="1" applyBorder="1" applyAlignment="1">
      <alignment horizontal="center" vertical="center"/>
    </xf>
    <xf numFmtId="44" fontId="4" fillId="5" borderId="8" xfId="1" applyFont="1" applyFill="1" applyBorder="1" applyAlignment="1">
      <alignment horizontal="center" vertical="center"/>
    </xf>
    <xf numFmtId="44" fontId="4" fillId="5" borderId="9" xfId="1" applyFont="1" applyFill="1" applyBorder="1" applyAlignment="1">
      <alignment horizontal="center" vertical="center"/>
    </xf>
    <xf numFmtId="44" fontId="4" fillId="0" borderId="10" xfId="1" applyFont="1" applyBorder="1" applyAlignment="1">
      <alignment horizontal="center"/>
    </xf>
    <xf numFmtId="0" fontId="8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0" borderId="3" xfId="0" applyFont="1" applyBorder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1" fontId="3" fillId="4" borderId="2" xfId="0" applyNumberFormat="1" applyFont="1" applyFill="1" applyBorder="1" applyAlignment="1">
      <alignment horizontal="center" vertical="center"/>
    </xf>
    <xf numFmtId="44" fontId="4" fillId="3" borderId="6" xfId="1" applyFont="1" applyFill="1" applyBorder="1" applyAlignment="1">
      <alignment horizontal="center" vertical="center"/>
    </xf>
    <xf numFmtId="44" fontId="4" fillId="3" borderId="8" xfId="1" applyFont="1" applyFill="1" applyBorder="1" applyAlignment="1">
      <alignment horizontal="center" vertical="center"/>
    </xf>
    <xf numFmtId="44" fontId="4" fillId="5" borderId="4" xfId="1" applyFont="1" applyFill="1" applyBorder="1" applyAlignment="1">
      <alignment horizontal="center" vertical="center"/>
    </xf>
    <xf numFmtId="44" fontId="4" fillId="5" borderId="1" xfId="1" applyFont="1" applyFill="1" applyBorder="1" applyAlignment="1">
      <alignment horizontal="center" vertical="center"/>
    </xf>
    <xf numFmtId="44" fontId="4" fillId="3" borderId="4" xfId="1" applyFont="1" applyFill="1" applyBorder="1" applyAlignment="1">
      <alignment horizontal="center" vertical="center"/>
    </xf>
    <xf numFmtId="44" fontId="4" fillId="5" borderId="10" xfId="1" applyFont="1" applyFill="1" applyBorder="1" applyAlignment="1">
      <alignment horizontal="center" vertical="center" wrapText="1"/>
    </xf>
    <xf numFmtId="44" fontId="4" fillId="5" borderId="11" xfId="1" applyFont="1" applyFill="1" applyBorder="1" applyAlignment="1">
      <alignment horizontal="center" vertical="center" wrapText="1"/>
    </xf>
    <xf numFmtId="44" fontId="4" fillId="3" borderId="10" xfId="1" applyFont="1" applyFill="1" applyBorder="1" applyAlignment="1">
      <alignment horizontal="center" vertical="center" wrapText="1"/>
    </xf>
    <xf numFmtId="44" fontId="4" fillId="5" borderId="15" xfId="1" applyFont="1" applyFill="1" applyBorder="1" applyAlignment="1">
      <alignment horizontal="center" vertical="center"/>
    </xf>
    <xf numFmtId="44" fontId="4" fillId="5" borderId="14" xfId="1" applyFont="1" applyFill="1" applyBorder="1" applyAlignment="1">
      <alignment horizontal="center" vertical="center"/>
    </xf>
    <xf numFmtId="44" fontId="4" fillId="3" borderId="15" xfId="1" applyFont="1" applyFill="1" applyBorder="1" applyAlignment="1">
      <alignment horizontal="center" vertical="center"/>
    </xf>
    <xf numFmtId="44" fontId="4" fillId="5" borderId="17" xfId="1" applyFont="1" applyFill="1" applyBorder="1" applyAlignment="1">
      <alignment horizontal="center" vertical="center" wrapText="1"/>
    </xf>
    <xf numFmtId="44" fontId="4" fillId="5" borderId="6" xfId="1" applyFont="1" applyFill="1" applyBorder="1" applyAlignment="1">
      <alignment horizontal="center" vertical="center" wrapText="1"/>
    </xf>
    <xf numFmtId="164" fontId="4" fillId="3" borderId="17" xfId="1" applyNumberFormat="1" applyFont="1" applyFill="1" applyBorder="1" applyAlignment="1">
      <alignment horizontal="center" vertical="center" wrapText="1"/>
    </xf>
    <xf numFmtId="164" fontId="4" fillId="3" borderId="6" xfId="1" applyNumberFormat="1" applyFont="1" applyFill="1" applyBorder="1" applyAlignment="1">
      <alignment horizontal="center" vertical="center" wrapText="1"/>
    </xf>
    <xf numFmtId="164" fontId="4" fillId="3" borderId="4" xfId="1" applyNumberFormat="1" applyFont="1" applyFill="1" applyBorder="1" applyAlignment="1">
      <alignment horizontal="center" vertical="center"/>
    </xf>
    <xf numFmtId="164" fontId="4" fillId="3" borderId="6" xfId="1" applyNumberFormat="1" applyFont="1" applyFill="1" applyBorder="1" applyAlignment="1">
      <alignment horizontal="center" vertical="center"/>
    </xf>
    <xf numFmtId="164" fontId="4" fillId="3" borderId="15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left" vertical="center"/>
    </xf>
    <xf numFmtId="0" fontId="3" fillId="4" borderId="14" xfId="0" applyFont="1" applyFill="1" applyBorder="1" applyAlignment="1">
      <alignment vertical="center"/>
    </xf>
    <xf numFmtId="0" fontId="8" fillId="4" borderId="14" xfId="0" applyFont="1" applyFill="1" applyBorder="1" applyAlignment="1">
      <alignment vertical="center"/>
    </xf>
    <xf numFmtId="1" fontId="3" fillId="4" borderId="14" xfId="0" applyNumberFormat="1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8" fillId="0" borderId="24" xfId="0" applyNumberFormat="1" applyFont="1" applyBorder="1" applyAlignment="1">
      <alignment horizontal="center"/>
    </xf>
    <xf numFmtId="165" fontId="8" fillId="0" borderId="25" xfId="2" applyNumberFormat="1" applyFont="1" applyBorder="1" applyAlignment="1">
      <alignment horizontal="center"/>
    </xf>
    <xf numFmtId="164" fontId="8" fillId="0" borderId="24" xfId="0" applyNumberFormat="1" applyFont="1" applyBorder="1"/>
    <xf numFmtId="164" fontId="8" fillId="0" borderId="26" xfId="0" applyNumberFormat="1" applyFont="1" applyBorder="1"/>
    <xf numFmtId="165" fontId="8" fillId="0" borderId="28" xfId="2" applyNumberFormat="1" applyFont="1" applyBorder="1" applyAlignment="1">
      <alignment horizontal="center"/>
    </xf>
    <xf numFmtId="0" fontId="8" fillId="0" borderId="19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/>
    </xf>
    <xf numFmtId="1" fontId="3" fillId="6" borderId="2" xfId="0" applyNumberFormat="1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left" vertical="center"/>
    </xf>
    <xf numFmtId="0" fontId="3" fillId="6" borderId="14" xfId="0" applyFont="1" applyFill="1" applyBorder="1" applyAlignment="1">
      <alignment vertical="center"/>
    </xf>
    <xf numFmtId="0" fontId="8" fillId="6" borderId="14" xfId="0" applyFont="1" applyFill="1" applyBorder="1" applyAlignment="1">
      <alignment vertical="center"/>
    </xf>
    <xf numFmtId="1" fontId="3" fillId="6" borderId="14" xfId="0" applyNumberFormat="1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44" fontId="9" fillId="0" borderId="20" xfId="1" applyFont="1" applyBorder="1" applyAlignment="1">
      <alignment horizontal="center"/>
    </xf>
    <xf numFmtId="44" fontId="4" fillId="5" borderId="29" xfId="1" applyFont="1" applyFill="1" applyBorder="1" applyAlignment="1">
      <alignment horizontal="center" vertical="center"/>
    </xf>
    <xf numFmtId="44" fontId="4" fillId="5" borderId="30" xfId="1" applyFont="1" applyFill="1" applyBorder="1" applyAlignment="1">
      <alignment horizontal="center" vertical="center"/>
    </xf>
    <xf numFmtId="44" fontId="4" fillId="5" borderId="18" xfId="1" applyFont="1" applyFill="1" applyBorder="1" applyAlignment="1">
      <alignment horizontal="center" vertical="center" wrapText="1"/>
    </xf>
    <xf numFmtId="44" fontId="4" fillId="5" borderId="7" xfId="1" applyFont="1" applyFill="1" applyBorder="1" applyAlignment="1">
      <alignment horizontal="center" vertical="center" wrapText="1"/>
    </xf>
    <xf numFmtId="44" fontId="4" fillId="5" borderId="5" xfId="1" applyFont="1" applyFill="1" applyBorder="1" applyAlignment="1">
      <alignment horizontal="center" vertical="center"/>
    </xf>
    <xf numFmtId="44" fontId="4" fillId="5" borderId="7" xfId="1" applyFont="1" applyFill="1" applyBorder="1" applyAlignment="1">
      <alignment horizontal="center" vertical="center"/>
    </xf>
    <xf numFmtId="44" fontId="4" fillId="5" borderId="32" xfId="1" applyFont="1" applyFill="1" applyBorder="1" applyAlignment="1">
      <alignment horizontal="center" vertical="center"/>
    </xf>
    <xf numFmtId="44" fontId="4" fillId="5" borderId="33" xfId="1" applyFont="1" applyFill="1" applyBorder="1" applyAlignment="1">
      <alignment horizontal="center" vertical="center" wrapText="1"/>
    </xf>
    <xf numFmtId="44" fontId="4" fillId="5" borderId="32" xfId="1" applyFont="1" applyFill="1" applyBorder="1" applyAlignment="1">
      <alignment horizontal="center" vertical="center" wrapText="1"/>
    </xf>
    <xf numFmtId="0" fontId="3" fillId="0" borderId="33" xfId="0" applyFont="1" applyBorder="1"/>
    <xf numFmtId="0" fontId="3" fillId="0" borderId="34" xfId="0" applyFont="1" applyBorder="1" applyAlignment="1">
      <alignment horizontal="center"/>
    </xf>
    <xf numFmtId="0" fontId="3" fillId="0" borderId="34" xfId="0" applyFont="1" applyBorder="1"/>
    <xf numFmtId="2" fontId="11" fillId="0" borderId="34" xfId="0" applyNumberFormat="1" applyFont="1" applyBorder="1"/>
    <xf numFmtId="2" fontId="11" fillId="0" borderId="35" xfId="0" applyNumberFormat="1" applyFont="1" applyBorder="1"/>
    <xf numFmtId="164" fontId="8" fillId="0" borderId="40" xfId="0" applyNumberFormat="1" applyFont="1" applyBorder="1" applyAlignment="1">
      <alignment horizontal="center"/>
    </xf>
    <xf numFmtId="164" fontId="8" fillId="0" borderId="40" xfId="0" applyNumberFormat="1" applyFont="1" applyBorder="1"/>
    <xf numFmtId="164" fontId="8" fillId="0" borderId="41" xfId="0" applyNumberFormat="1" applyFont="1" applyBorder="1"/>
    <xf numFmtId="0" fontId="3" fillId="0" borderId="38" xfId="0" applyFont="1" applyBorder="1"/>
    <xf numFmtId="0" fontId="3" fillId="0" borderId="12" xfId="0" applyFont="1" applyBorder="1" applyAlignment="1">
      <alignment horizontal="center"/>
    </xf>
    <xf numFmtId="0" fontId="3" fillId="0" borderId="12" xfId="0" applyFont="1" applyBorder="1"/>
    <xf numFmtId="0" fontId="3" fillId="0" borderId="39" xfId="0" applyFont="1" applyBorder="1"/>
    <xf numFmtId="44" fontId="8" fillId="3" borderId="42" xfId="1" applyFont="1" applyFill="1" applyBorder="1" applyAlignment="1">
      <alignment horizontal="center" vertical="center" wrapText="1"/>
    </xf>
    <xf numFmtId="44" fontId="8" fillId="3" borderId="43" xfId="1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/>
    </xf>
    <xf numFmtId="44" fontId="8" fillId="3" borderId="45" xfId="1" applyFont="1" applyFill="1" applyBorder="1" applyAlignment="1">
      <alignment horizontal="center" vertical="center" wrapText="1"/>
    </xf>
    <xf numFmtId="0" fontId="8" fillId="0" borderId="47" xfId="0" applyFont="1" applyBorder="1" applyAlignment="1">
      <alignment horizontal="left"/>
    </xf>
    <xf numFmtId="165" fontId="8" fillId="0" borderId="48" xfId="2" applyNumberFormat="1" applyFont="1" applyBorder="1" applyAlignment="1">
      <alignment horizontal="center"/>
    </xf>
    <xf numFmtId="164" fontId="8" fillId="0" borderId="21" xfId="0" applyNumberFormat="1" applyFont="1" applyBorder="1" applyAlignment="1">
      <alignment horizontal="center"/>
    </xf>
    <xf numFmtId="0" fontId="8" fillId="0" borderId="22" xfId="0" applyFont="1" applyBorder="1" applyAlignment="1">
      <alignment horizontal="left"/>
    </xf>
    <xf numFmtId="165" fontId="8" fillId="0" borderId="23" xfId="2" applyNumberFormat="1" applyFont="1" applyBorder="1" applyAlignment="1">
      <alignment horizontal="center"/>
    </xf>
    <xf numFmtId="164" fontId="8" fillId="0" borderId="26" xfId="0" applyNumberFormat="1" applyFont="1" applyBorder="1" applyAlignment="1">
      <alignment horizontal="center"/>
    </xf>
    <xf numFmtId="164" fontId="8" fillId="0" borderId="31" xfId="0" applyNumberFormat="1" applyFont="1" applyBorder="1" applyAlignment="1">
      <alignment horizontal="center"/>
    </xf>
    <xf numFmtId="164" fontId="8" fillId="0" borderId="41" xfId="0" applyNumberFormat="1" applyFont="1" applyBorder="1" applyAlignment="1">
      <alignment horizontal="center"/>
    </xf>
    <xf numFmtId="164" fontId="8" fillId="0" borderId="21" xfId="0" applyNumberFormat="1" applyFont="1" applyBorder="1"/>
    <xf numFmtId="164" fontId="8" fillId="0" borderId="31" xfId="0" applyNumberFormat="1" applyFont="1" applyBorder="1"/>
    <xf numFmtId="164" fontId="8" fillId="0" borderId="46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164" fontId="3" fillId="0" borderId="0" xfId="0" applyNumberFormat="1" applyFont="1"/>
    <xf numFmtId="44" fontId="14" fillId="3" borderId="6" xfId="1" applyFont="1" applyFill="1" applyBorder="1" applyAlignment="1">
      <alignment horizontal="center" vertical="center"/>
    </xf>
    <xf numFmtId="0" fontId="4" fillId="0" borderId="12" xfId="1" applyNumberFormat="1" applyFont="1" applyBorder="1" applyAlignment="1">
      <alignment horizontal="center"/>
    </xf>
    <xf numFmtId="44" fontId="4" fillId="0" borderId="10" xfId="1" applyFont="1" applyBorder="1" applyAlignment="1">
      <alignment horizontal="center"/>
    </xf>
    <xf numFmtId="44" fontId="4" fillId="0" borderId="11" xfId="1" applyFont="1" applyBorder="1" applyAlignment="1">
      <alignment horizontal="center"/>
    </xf>
    <xf numFmtId="44" fontId="8" fillId="0" borderId="38" xfId="1" applyFont="1" applyBorder="1" applyAlignment="1">
      <alignment horizontal="center" vertical="center"/>
    </xf>
    <xf numFmtId="44" fontId="8" fillId="0" borderId="12" xfId="1" applyFont="1" applyBorder="1" applyAlignment="1">
      <alignment horizontal="center" vertical="center"/>
    </xf>
    <xf numFmtId="44" fontId="8" fillId="0" borderId="39" xfId="1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7" xfId="0" applyFont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350520</xdr:colOff>
      <xdr:row>0</xdr:row>
      <xdr:rowOff>15240</xdr:rowOff>
    </xdr:from>
    <xdr:to>
      <xdr:col>16</xdr:col>
      <xdr:colOff>350520</xdr:colOff>
      <xdr:row>3</xdr:row>
      <xdr:rowOff>0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3E73CEAC-6E71-AFC9-722F-3389C75C3FB6}"/>
            </a:ext>
          </a:extLst>
        </xdr:cNvPr>
        <xdr:cNvCxnSpPr/>
      </xdr:nvCxnSpPr>
      <xdr:spPr>
        <a:xfrm>
          <a:off x="39806880" y="15240"/>
          <a:ext cx="0" cy="975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350520</xdr:colOff>
      <xdr:row>0</xdr:row>
      <xdr:rowOff>15240</xdr:rowOff>
    </xdr:from>
    <xdr:to>
      <xdr:col>20</xdr:col>
      <xdr:colOff>350520</xdr:colOff>
      <xdr:row>3</xdr:row>
      <xdr:rowOff>0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ABA7BC4D-A45D-4F4A-B4F6-A483CB48CDD4}"/>
            </a:ext>
          </a:extLst>
        </xdr:cNvPr>
        <xdr:cNvCxnSpPr/>
      </xdr:nvCxnSpPr>
      <xdr:spPr>
        <a:xfrm>
          <a:off x="39806880" y="15240"/>
          <a:ext cx="0" cy="975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1112520</xdr:colOff>
      <xdr:row>0</xdr:row>
      <xdr:rowOff>30480</xdr:rowOff>
    </xdr:from>
    <xdr:to>
      <xdr:col>21</xdr:col>
      <xdr:colOff>1112520</xdr:colOff>
      <xdr:row>3</xdr:row>
      <xdr:rowOff>15240</xdr:rowOff>
    </xdr:to>
    <xdr:cxnSp macro="">
      <xdr:nvCxnSpPr>
        <xdr:cNvPr id="5" name="Connecteur droit avec flèche 4">
          <a:extLst>
            <a:ext uri="{FF2B5EF4-FFF2-40B4-BE49-F238E27FC236}">
              <a16:creationId xmlns:a16="http://schemas.microsoft.com/office/drawing/2014/main" id="{EDFBC2C5-2FF2-42F8-B0BC-3BD6362BE9F3}"/>
            </a:ext>
          </a:extLst>
        </xdr:cNvPr>
        <xdr:cNvCxnSpPr/>
      </xdr:nvCxnSpPr>
      <xdr:spPr>
        <a:xfrm>
          <a:off x="46817280" y="30480"/>
          <a:ext cx="0" cy="1082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Z220"/>
  <sheetViews>
    <sheetView tabSelected="1" zoomScale="60" zoomScaleNormal="60" workbookViewId="0">
      <pane xSplit="4" ySplit="4" topLeftCell="O74" activePane="bottomRight" state="frozen"/>
      <selection pane="topRight" activeCell="F1" sqref="F1"/>
      <selection pane="bottomLeft" activeCell="A2" sqref="A2"/>
      <selection pane="bottomRight" activeCell="Q98" sqref="Q98"/>
    </sheetView>
  </sheetViews>
  <sheetFormatPr baseColWidth="10" defaultColWidth="8.5546875" defaultRowHeight="23.4"/>
  <cols>
    <col min="1" max="1" width="23" style="2" bestFit="1" customWidth="1"/>
    <col min="2" max="2" width="38.109375" style="9" bestFit="1" customWidth="1"/>
    <col min="3" max="3" width="55.5546875" style="1" customWidth="1"/>
    <col min="4" max="4" width="37" style="18" bestFit="1" customWidth="1"/>
    <col min="5" max="5" width="16.109375" style="2" bestFit="1" customWidth="1"/>
    <col min="6" max="6" width="114.109375" style="1" bestFit="1" customWidth="1"/>
    <col min="7" max="7" width="31.44140625" style="1" bestFit="1" customWidth="1"/>
    <col min="8" max="8" width="21" style="2" bestFit="1" customWidth="1"/>
    <col min="9" max="9" width="20.44140625" style="2" bestFit="1" customWidth="1"/>
    <col min="10" max="10" width="23" style="1" bestFit="1" customWidth="1"/>
    <col min="11" max="11" width="32.5546875" style="3" bestFit="1" customWidth="1"/>
    <col min="12" max="12" width="26.109375" style="3" bestFit="1" customWidth="1"/>
    <col min="13" max="13" width="43.5546875" style="13" bestFit="1" customWidth="1"/>
    <col min="14" max="14" width="41" style="3" bestFit="1" customWidth="1"/>
    <col min="15" max="15" width="57.88671875" style="13" customWidth="1"/>
    <col min="16" max="16" width="3.88671875" style="2" customWidth="1"/>
    <col min="17" max="17" width="25.44140625" style="1" bestFit="1" customWidth="1"/>
    <col min="18" max="18" width="27" style="2" bestFit="1" customWidth="1"/>
    <col min="19" max="19" width="11" style="1" bestFit="1" customWidth="1"/>
    <col min="20" max="20" width="4.5546875" style="1" customWidth="1"/>
    <col min="21" max="22" width="25.44140625" style="1" bestFit="1" customWidth="1"/>
    <col min="23" max="16384" width="8.5546875" style="1"/>
  </cols>
  <sheetData>
    <row r="1" spans="1:22" ht="31.8" thickBot="1">
      <c r="K1" s="123">
        <v>2025</v>
      </c>
      <c r="L1" s="123"/>
      <c r="M1" s="123"/>
      <c r="N1" s="123">
        <v>2026</v>
      </c>
      <c r="O1" s="123"/>
      <c r="Q1" s="93"/>
      <c r="R1" s="94"/>
      <c r="S1" s="95"/>
      <c r="T1" s="95"/>
      <c r="U1" s="96"/>
      <c r="V1" s="97">
        <v>1.1000000000000001</v>
      </c>
    </row>
    <row r="2" spans="1:22" ht="29.4" thickBot="1">
      <c r="K2" s="124" t="s">
        <v>371</v>
      </c>
      <c r="L2" s="125"/>
      <c r="M2" s="125"/>
      <c r="N2" s="124" t="s">
        <v>371</v>
      </c>
      <c r="O2" s="125"/>
      <c r="Q2" s="129">
        <v>2026</v>
      </c>
      <c r="R2" s="130"/>
      <c r="S2" s="130"/>
      <c r="T2" s="130"/>
      <c r="U2" s="130"/>
      <c r="V2" s="131"/>
    </row>
    <row r="3" spans="1:22" ht="24" thickBot="1">
      <c r="K3" s="124" t="s">
        <v>369</v>
      </c>
      <c r="L3" s="125"/>
      <c r="M3" s="17" t="s">
        <v>368</v>
      </c>
      <c r="N3" s="17" t="s">
        <v>432</v>
      </c>
      <c r="O3" s="83" t="s">
        <v>433</v>
      </c>
      <c r="Q3" s="126" t="s">
        <v>447</v>
      </c>
      <c r="R3" s="127"/>
      <c r="S3" s="18"/>
      <c r="U3" s="127" t="s">
        <v>449</v>
      </c>
      <c r="V3" s="128"/>
    </row>
    <row r="4" spans="1:22" s="2" customFormat="1" ht="47.4" thickBot="1">
      <c r="A4" s="4" t="s">
        <v>0</v>
      </c>
      <c r="B4" s="4" t="s">
        <v>269</v>
      </c>
      <c r="C4" s="4" t="s">
        <v>1</v>
      </c>
      <c r="D4" s="19" t="s">
        <v>131</v>
      </c>
      <c r="E4" s="4" t="s">
        <v>172</v>
      </c>
      <c r="F4" s="4" t="s">
        <v>2</v>
      </c>
      <c r="G4" s="4" t="s">
        <v>129</v>
      </c>
      <c r="H4" s="4" t="s">
        <v>134</v>
      </c>
      <c r="I4" s="4" t="s">
        <v>132</v>
      </c>
      <c r="J4" s="5" t="s">
        <v>130</v>
      </c>
      <c r="K4" s="31" t="s">
        <v>257</v>
      </c>
      <c r="L4" s="32" t="s">
        <v>133</v>
      </c>
      <c r="M4" s="31" t="s">
        <v>257</v>
      </c>
      <c r="N4" s="33" t="s">
        <v>257</v>
      </c>
      <c r="O4" s="33" t="s">
        <v>257</v>
      </c>
      <c r="Q4" s="105" t="s">
        <v>257</v>
      </c>
      <c r="R4" s="106" t="s">
        <v>446</v>
      </c>
      <c r="S4" s="107"/>
      <c r="U4" s="105" t="s">
        <v>257</v>
      </c>
      <c r="V4" s="108" t="s">
        <v>448</v>
      </c>
    </row>
    <row r="5" spans="1:22" s="2" customFormat="1">
      <c r="A5" s="63" t="s">
        <v>3</v>
      </c>
      <c r="B5" s="64" t="s">
        <v>135</v>
      </c>
      <c r="C5" s="65" t="s">
        <v>27</v>
      </c>
      <c r="D5" s="66" t="s">
        <v>372</v>
      </c>
      <c r="E5" s="63" t="s">
        <v>173</v>
      </c>
      <c r="F5" s="65" t="s">
        <v>373</v>
      </c>
      <c r="G5" s="65" t="s">
        <v>258</v>
      </c>
      <c r="H5" s="63">
        <v>4000</v>
      </c>
      <c r="I5" s="67">
        <v>854470000000</v>
      </c>
      <c r="J5" s="63" t="s">
        <v>370</v>
      </c>
      <c r="K5" s="91">
        <v>0</v>
      </c>
      <c r="L5" s="86"/>
      <c r="M5" s="37"/>
      <c r="N5" s="39">
        <v>224.27384448448896</v>
      </c>
      <c r="O5" s="39">
        <v>217.8646607320712</v>
      </c>
      <c r="Q5" s="111">
        <f t="shared" ref="Q5:Q22" si="0">+N5</f>
        <v>224.27384448448896</v>
      </c>
      <c r="R5" s="112" t="s">
        <v>442</v>
      </c>
      <c r="S5" s="113"/>
      <c r="U5" s="111">
        <f>(Q5/0.94)</f>
        <v>238.58919626009467</v>
      </c>
      <c r="V5" s="115">
        <f>(U5*V$1)</f>
        <v>262.44811588610418</v>
      </c>
    </row>
    <row r="6" spans="1:22" s="2" customFormat="1">
      <c r="A6" s="63" t="s">
        <v>3</v>
      </c>
      <c r="B6" s="64" t="s">
        <v>135</v>
      </c>
      <c r="C6" s="65" t="s">
        <v>27</v>
      </c>
      <c r="D6" s="66" t="s">
        <v>374</v>
      </c>
      <c r="E6" s="63" t="s">
        <v>173</v>
      </c>
      <c r="F6" s="65" t="s">
        <v>375</v>
      </c>
      <c r="G6" s="65" t="s">
        <v>258</v>
      </c>
      <c r="H6" s="63">
        <v>4000</v>
      </c>
      <c r="I6" s="67">
        <v>854470000000</v>
      </c>
      <c r="J6" s="63" t="s">
        <v>370</v>
      </c>
      <c r="K6" s="38">
        <v>0</v>
      </c>
      <c r="L6" s="87"/>
      <c r="M6" s="38"/>
      <c r="N6" s="40">
        <v>269.13813075141354</v>
      </c>
      <c r="O6" s="40">
        <v>256.31976324657796</v>
      </c>
      <c r="Q6" s="56">
        <f t="shared" si="0"/>
        <v>269.13813075141354</v>
      </c>
      <c r="R6" s="61" t="s">
        <v>442</v>
      </c>
      <c r="S6" s="57"/>
      <c r="U6" s="56">
        <f t="shared" ref="U6:U69" si="1">(Q6/0.94)</f>
        <v>286.31716037384422</v>
      </c>
      <c r="V6" s="98">
        <f t="shared" ref="V6:V69" si="2">(U6*V$1)</f>
        <v>314.94887641122864</v>
      </c>
    </row>
    <row r="7" spans="1:22">
      <c r="A7" s="63" t="s">
        <v>3</v>
      </c>
      <c r="B7" s="64" t="s">
        <v>135</v>
      </c>
      <c r="C7" s="65" t="s">
        <v>27</v>
      </c>
      <c r="D7" s="66" t="s">
        <v>28</v>
      </c>
      <c r="E7" s="63" t="s">
        <v>173</v>
      </c>
      <c r="F7" s="65" t="s">
        <v>380</v>
      </c>
      <c r="G7" s="65" t="s">
        <v>258</v>
      </c>
      <c r="H7" s="63">
        <v>4000</v>
      </c>
      <c r="I7" s="67">
        <v>854470000000</v>
      </c>
      <c r="J7" s="63" t="s">
        <v>370</v>
      </c>
      <c r="K7" s="28">
        <v>319</v>
      </c>
      <c r="L7" s="88">
        <v>330</v>
      </c>
      <c r="M7" s="28"/>
      <c r="N7" s="41">
        <v>314.00241701833812</v>
      </c>
      <c r="O7" s="41">
        <v>294.77486576108475</v>
      </c>
      <c r="Q7" s="56">
        <f t="shared" si="0"/>
        <v>314.00241701833812</v>
      </c>
      <c r="R7" s="61" t="s">
        <v>442</v>
      </c>
      <c r="S7" s="57">
        <f>(Q7-K7)/K7</f>
        <v>-1.566640433122846E-2</v>
      </c>
      <c r="U7" s="56">
        <f t="shared" si="1"/>
        <v>334.04512448759374</v>
      </c>
      <c r="V7" s="98">
        <f t="shared" si="2"/>
        <v>367.44963693635316</v>
      </c>
    </row>
    <row r="8" spans="1:22">
      <c r="A8" s="63" t="s">
        <v>3</v>
      </c>
      <c r="B8" s="64" t="s">
        <v>135</v>
      </c>
      <c r="C8" s="65" t="s">
        <v>27</v>
      </c>
      <c r="D8" s="66" t="s">
        <v>29</v>
      </c>
      <c r="E8" s="63" t="s">
        <v>173</v>
      </c>
      <c r="F8" s="65" t="s">
        <v>379</v>
      </c>
      <c r="G8" s="65" t="s">
        <v>258</v>
      </c>
      <c r="H8" s="63">
        <v>4000</v>
      </c>
      <c r="I8" s="67">
        <v>854470000000</v>
      </c>
      <c r="J8" s="63" t="s">
        <v>370</v>
      </c>
      <c r="K8" s="90">
        <v>367</v>
      </c>
      <c r="L8" s="89">
        <v>380</v>
      </c>
      <c r="M8" s="14"/>
      <c r="N8" s="42">
        <v>358.86670328526264</v>
      </c>
      <c r="O8" s="42">
        <v>333.22996827559149</v>
      </c>
      <c r="Q8" s="56">
        <f t="shared" si="0"/>
        <v>358.86670328526264</v>
      </c>
      <c r="R8" s="61" t="s">
        <v>442</v>
      </c>
      <c r="S8" s="57">
        <f>(Q8-K8)/K8</f>
        <v>-2.2161571429802056E-2</v>
      </c>
      <c r="U8" s="56">
        <f t="shared" si="1"/>
        <v>381.77308860134326</v>
      </c>
      <c r="V8" s="98">
        <f t="shared" si="2"/>
        <v>419.95039746147762</v>
      </c>
    </row>
    <row r="9" spans="1:22">
      <c r="A9" s="63" t="s">
        <v>3</v>
      </c>
      <c r="B9" s="64" t="s">
        <v>135</v>
      </c>
      <c r="C9" s="65" t="s">
        <v>27</v>
      </c>
      <c r="D9" s="66" t="s">
        <v>408</v>
      </c>
      <c r="E9" s="63" t="s">
        <v>173</v>
      </c>
      <c r="F9" s="65" t="s">
        <v>409</v>
      </c>
      <c r="G9" s="65" t="s">
        <v>258</v>
      </c>
      <c r="H9" s="63">
        <v>4000</v>
      </c>
      <c r="I9" s="67">
        <v>854470000000</v>
      </c>
      <c r="J9" s="63" t="s">
        <v>370</v>
      </c>
      <c r="K9" s="38">
        <v>0</v>
      </c>
      <c r="L9" s="89"/>
      <c r="M9" s="14"/>
      <c r="N9" s="42">
        <v>403.73098955218722</v>
      </c>
      <c r="O9" s="42">
        <v>371.68507079009822</v>
      </c>
      <c r="Q9" s="56">
        <f t="shared" si="0"/>
        <v>403.73098955218722</v>
      </c>
      <c r="R9" s="61" t="s">
        <v>442</v>
      </c>
      <c r="S9" s="57"/>
      <c r="U9" s="56">
        <f t="shared" si="1"/>
        <v>429.50105271509284</v>
      </c>
      <c r="V9" s="98">
        <f t="shared" si="2"/>
        <v>472.45115798660214</v>
      </c>
    </row>
    <row r="10" spans="1:22">
      <c r="A10" s="63" t="s">
        <v>3</v>
      </c>
      <c r="B10" s="64" t="s">
        <v>135</v>
      </c>
      <c r="C10" s="65" t="s">
        <v>27</v>
      </c>
      <c r="D10" s="66" t="s">
        <v>30</v>
      </c>
      <c r="E10" s="63" t="s">
        <v>173</v>
      </c>
      <c r="F10" s="65" t="s">
        <v>378</v>
      </c>
      <c r="G10" s="65" t="s">
        <v>258</v>
      </c>
      <c r="H10" s="63">
        <v>4000</v>
      </c>
      <c r="I10" s="67">
        <v>854470000000</v>
      </c>
      <c r="J10" s="63" t="s">
        <v>370</v>
      </c>
      <c r="K10" s="90">
        <v>448</v>
      </c>
      <c r="L10" s="89">
        <v>464</v>
      </c>
      <c r="M10" s="14"/>
      <c r="N10" s="42">
        <v>448.59527581911181</v>
      </c>
      <c r="O10" s="42">
        <v>410.14017330460507</v>
      </c>
      <c r="Q10" s="56">
        <f t="shared" si="0"/>
        <v>448.59527581911181</v>
      </c>
      <c r="R10" s="61" t="s">
        <v>442</v>
      </c>
      <c r="S10" s="57">
        <f>(Q10-K10)/K10</f>
        <v>1.3287406676602792E-3</v>
      </c>
      <c r="U10" s="56">
        <f t="shared" si="1"/>
        <v>477.22901682884236</v>
      </c>
      <c r="V10" s="98">
        <f t="shared" si="2"/>
        <v>524.9519185117266</v>
      </c>
    </row>
    <row r="11" spans="1:22">
      <c r="A11" s="63" t="s">
        <v>3</v>
      </c>
      <c r="B11" s="64" t="s">
        <v>135</v>
      </c>
      <c r="C11" s="65" t="s">
        <v>27</v>
      </c>
      <c r="D11" s="66" t="s">
        <v>376</v>
      </c>
      <c r="E11" s="63" t="s">
        <v>173</v>
      </c>
      <c r="F11" s="65" t="s">
        <v>377</v>
      </c>
      <c r="G11" s="65" t="s">
        <v>258</v>
      </c>
      <c r="H11" s="63">
        <v>4000</v>
      </c>
      <c r="I11" s="67">
        <v>854470000000</v>
      </c>
      <c r="J11" s="63" t="s">
        <v>370</v>
      </c>
      <c r="K11" s="92">
        <v>0</v>
      </c>
      <c r="L11" s="89"/>
      <c r="M11" s="14"/>
      <c r="N11" s="42">
        <v>545.45727655066764</v>
      </c>
      <c r="O11" s="42">
        <v>494.18380653132533</v>
      </c>
      <c r="Q11" s="56">
        <f t="shared" si="0"/>
        <v>545.45727655066764</v>
      </c>
      <c r="R11" s="61" t="s">
        <v>442</v>
      </c>
      <c r="S11" s="57"/>
      <c r="U11" s="56">
        <f t="shared" si="1"/>
        <v>580.27369845815713</v>
      </c>
      <c r="V11" s="98">
        <f t="shared" si="2"/>
        <v>638.3010683039729</v>
      </c>
    </row>
    <row r="12" spans="1:22">
      <c r="A12" s="63" t="s">
        <v>3</v>
      </c>
      <c r="B12" s="64" t="s">
        <v>135</v>
      </c>
      <c r="C12" s="65" t="s">
        <v>27</v>
      </c>
      <c r="D12" s="66" t="s">
        <v>395</v>
      </c>
      <c r="E12" s="63" t="s">
        <v>173</v>
      </c>
      <c r="F12" s="65" t="s">
        <v>396</v>
      </c>
      <c r="G12" s="65" t="s">
        <v>258</v>
      </c>
      <c r="H12" s="63">
        <v>4000</v>
      </c>
      <c r="I12" s="67">
        <v>854470000000</v>
      </c>
      <c r="J12" s="63" t="s">
        <v>370</v>
      </c>
      <c r="K12" s="38">
        <v>0</v>
      </c>
      <c r="L12" s="89"/>
      <c r="M12" s="14"/>
      <c r="N12" s="42">
        <v>642.55537413342347</v>
      </c>
      <c r="O12" s="42">
        <v>578.46353660924558</v>
      </c>
      <c r="Q12" s="56">
        <f t="shared" si="0"/>
        <v>642.55537413342347</v>
      </c>
      <c r="R12" s="61" t="s">
        <v>442</v>
      </c>
      <c r="S12" s="57"/>
      <c r="U12" s="56">
        <f t="shared" si="1"/>
        <v>683.56954695045056</v>
      </c>
      <c r="V12" s="98">
        <f t="shared" si="2"/>
        <v>751.9265016454957</v>
      </c>
    </row>
    <row r="13" spans="1:22" ht="24" thickBot="1">
      <c r="A13" s="68" t="s">
        <v>3</v>
      </c>
      <c r="B13" s="69" t="s">
        <v>135</v>
      </c>
      <c r="C13" s="70" t="s">
        <v>27</v>
      </c>
      <c r="D13" s="71" t="s">
        <v>31</v>
      </c>
      <c r="E13" s="68" t="s">
        <v>173</v>
      </c>
      <c r="F13" s="70" t="s">
        <v>381</v>
      </c>
      <c r="G13" s="70" t="s">
        <v>258</v>
      </c>
      <c r="H13" s="68">
        <v>4000</v>
      </c>
      <c r="I13" s="72">
        <v>854470000000</v>
      </c>
      <c r="J13" s="73" t="s">
        <v>370</v>
      </c>
      <c r="K13" s="84">
        <v>754</v>
      </c>
      <c r="L13" s="85">
        <v>770</v>
      </c>
      <c r="M13" s="34"/>
      <c r="N13" s="43">
        <v>732.28394666727274</v>
      </c>
      <c r="O13" s="43">
        <v>655.37374163825916</v>
      </c>
      <c r="Q13" s="114">
        <f t="shared" si="0"/>
        <v>732.28394666727274</v>
      </c>
      <c r="R13" s="62" t="s">
        <v>442</v>
      </c>
      <c r="S13" s="60">
        <f>(Q13-K13)/K13</f>
        <v>-2.8801131741017581E-2</v>
      </c>
      <c r="U13" s="114">
        <f t="shared" si="1"/>
        <v>779.02547517794972</v>
      </c>
      <c r="V13" s="116">
        <f t="shared" si="2"/>
        <v>856.92802269574474</v>
      </c>
    </row>
    <row r="14" spans="1:22" ht="24" thickTop="1">
      <c r="A14" s="74" t="s">
        <v>89</v>
      </c>
      <c r="B14" s="75" t="s">
        <v>135</v>
      </c>
      <c r="C14" s="76" t="s">
        <v>27</v>
      </c>
      <c r="D14" s="77" t="s">
        <v>382</v>
      </c>
      <c r="E14" s="78" t="s">
        <v>173</v>
      </c>
      <c r="F14" s="76" t="s">
        <v>386</v>
      </c>
      <c r="G14" s="76" t="s">
        <v>258</v>
      </c>
      <c r="H14" s="78">
        <v>4000</v>
      </c>
      <c r="I14" s="79">
        <v>854470000000</v>
      </c>
      <c r="J14" s="78" t="s">
        <v>370</v>
      </c>
      <c r="K14" s="28">
        <v>0</v>
      </c>
      <c r="L14" s="29"/>
      <c r="M14" s="28"/>
      <c r="N14" s="41">
        <v>208.24691953260003</v>
      </c>
      <c r="O14" s="30"/>
      <c r="Q14" s="117">
        <f t="shared" si="0"/>
        <v>208.24691953260003</v>
      </c>
      <c r="R14" s="112" t="s">
        <v>445</v>
      </c>
      <c r="S14" s="113"/>
      <c r="U14" s="117">
        <f t="shared" si="1"/>
        <v>221.5392760985107</v>
      </c>
      <c r="V14" s="118">
        <f t="shared" si="2"/>
        <v>243.69320370836178</v>
      </c>
    </row>
    <row r="15" spans="1:22">
      <c r="A15" s="63" t="s">
        <v>89</v>
      </c>
      <c r="B15" s="75" t="s">
        <v>135</v>
      </c>
      <c r="C15" s="76" t="s">
        <v>27</v>
      </c>
      <c r="D15" s="77" t="s">
        <v>383</v>
      </c>
      <c r="E15" s="78" t="s">
        <v>173</v>
      </c>
      <c r="F15" s="76" t="s">
        <v>387</v>
      </c>
      <c r="G15" s="76" t="s">
        <v>258</v>
      </c>
      <c r="H15" s="78">
        <v>4000</v>
      </c>
      <c r="I15" s="79">
        <v>854470000000</v>
      </c>
      <c r="J15" s="78" t="s">
        <v>370</v>
      </c>
      <c r="K15" s="14">
        <v>0</v>
      </c>
      <c r="L15" s="11"/>
      <c r="M15" s="14"/>
      <c r="N15" s="42">
        <v>222.13348432950525</v>
      </c>
      <c r="O15" s="26"/>
      <c r="Q15" s="58">
        <f t="shared" si="0"/>
        <v>222.13348432950525</v>
      </c>
      <c r="R15" s="61" t="s">
        <v>445</v>
      </c>
      <c r="S15" s="57"/>
      <c r="U15" s="58">
        <f t="shared" si="1"/>
        <v>236.31221737181411</v>
      </c>
      <c r="V15" s="99">
        <f t="shared" si="2"/>
        <v>259.94343910899556</v>
      </c>
    </row>
    <row r="16" spans="1:22">
      <c r="A16" s="63" t="s">
        <v>89</v>
      </c>
      <c r="B16" s="75" t="s">
        <v>135</v>
      </c>
      <c r="C16" s="76" t="s">
        <v>27</v>
      </c>
      <c r="D16" s="77" t="s">
        <v>110</v>
      </c>
      <c r="E16" s="78" t="s">
        <v>173</v>
      </c>
      <c r="F16" s="76" t="s">
        <v>111</v>
      </c>
      <c r="G16" s="76" t="s">
        <v>258</v>
      </c>
      <c r="H16" s="78">
        <v>4000</v>
      </c>
      <c r="I16" s="79">
        <v>854470000000</v>
      </c>
      <c r="J16" s="78" t="s">
        <v>370</v>
      </c>
      <c r="K16" s="14">
        <v>198</v>
      </c>
      <c r="L16" s="11">
        <v>208</v>
      </c>
      <c r="M16" s="14"/>
      <c r="N16" s="42">
        <v>236.02004912641047</v>
      </c>
      <c r="O16" s="26"/>
      <c r="Q16" s="58">
        <f t="shared" si="0"/>
        <v>236.02004912641047</v>
      </c>
      <c r="R16" s="61" t="s">
        <v>445</v>
      </c>
      <c r="S16" s="57">
        <f>(Q16-K16)/K16</f>
        <v>0.1920204501333862</v>
      </c>
      <c r="U16" s="58">
        <f t="shared" si="1"/>
        <v>251.08515864511753</v>
      </c>
      <c r="V16" s="99">
        <f t="shared" si="2"/>
        <v>276.19367450962932</v>
      </c>
    </row>
    <row r="17" spans="1:22">
      <c r="A17" s="63" t="s">
        <v>89</v>
      </c>
      <c r="B17" s="64" t="s">
        <v>135</v>
      </c>
      <c r="C17" s="65" t="s">
        <v>27</v>
      </c>
      <c r="D17" s="66" t="s">
        <v>112</v>
      </c>
      <c r="E17" s="63" t="s">
        <v>173</v>
      </c>
      <c r="F17" s="65" t="s">
        <v>113</v>
      </c>
      <c r="G17" s="65" t="s">
        <v>258</v>
      </c>
      <c r="H17" s="63">
        <v>4000</v>
      </c>
      <c r="I17" s="67">
        <v>854470000000</v>
      </c>
      <c r="J17" s="63" t="s">
        <v>370</v>
      </c>
      <c r="K17" s="14">
        <v>207</v>
      </c>
      <c r="L17" s="11">
        <v>215</v>
      </c>
      <c r="M17" s="14"/>
      <c r="N17" s="42">
        <v>249.90661392331569</v>
      </c>
      <c r="O17" s="26"/>
      <c r="Q17" s="58">
        <f t="shared" si="0"/>
        <v>249.90661392331569</v>
      </c>
      <c r="R17" s="61" t="s">
        <v>445</v>
      </c>
      <c r="S17" s="57">
        <f>(Q17-K17)/K17</f>
        <v>0.20727832813195984</v>
      </c>
      <c r="U17" s="58">
        <f t="shared" si="1"/>
        <v>265.85809991842098</v>
      </c>
      <c r="V17" s="99">
        <f t="shared" si="2"/>
        <v>292.44390991026307</v>
      </c>
    </row>
    <row r="18" spans="1:22">
      <c r="A18" s="63" t="s">
        <v>89</v>
      </c>
      <c r="B18" s="64" t="s">
        <v>135</v>
      </c>
      <c r="C18" s="65" t="s">
        <v>27</v>
      </c>
      <c r="D18" s="66" t="s">
        <v>410</v>
      </c>
      <c r="E18" s="63" t="s">
        <v>173</v>
      </c>
      <c r="F18" s="65" t="s">
        <v>411</v>
      </c>
      <c r="G18" s="65" t="s">
        <v>258</v>
      </c>
      <c r="H18" s="63">
        <v>4000</v>
      </c>
      <c r="I18" s="67">
        <v>854470000000</v>
      </c>
      <c r="J18" s="63" t="s">
        <v>370</v>
      </c>
      <c r="K18" s="14">
        <v>0</v>
      </c>
      <c r="L18" s="11"/>
      <c r="M18" s="14"/>
      <c r="N18" s="42">
        <v>263.79317872022091</v>
      </c>
      <c r="O18" s="26"/>
      <c r="Q18" s="58">
        <f t="shared" si="0"/>
        <v>263.79317872022091</v>
      </c>
      <c r="R18" s="61" t="s">
        <v>445</v>
      </c>
      <c r="S18" s="57"/>
      <c r="U18" s="58">
        <f t="shared" si="1"/>
        <v>280.63104119172436</v>
      </c>
      <c r="V18" s="99">
        <f t="shared" si="2"/>
        <v>308.69414531089683</v>
      </c>
    </row>
    <row r="19" spans="1:22">
      <c r="A19" s="63" t="s">
        <v>89</v>
      </c>
      <c r="B19" s="64" t="s">
        <v>135</v>
      </c>
      <c r="C19" s="65" t="s">
        <v>27</v>
      </c>
      <c r="D19" s="66" t="s">
        <v>275</v>
      </c>
      <c r="E19" s="63" t="s">
        <v>173</v>
      </c>
      <c r="F19" s="65" t="s">
        <v>114</v>
      </c>
      <c r="G19" s="65" t="s">
        <v>258</v>
      </c>
      <c r="H19" s="63">
        <v>4000</v>
      </c>
      <c r="I19" s="67">
        <v>854470000000</v>
      </c>
      <c r="J19" s="63" t="s">
        <v>370</v>
      </c>
      <c r="K19" s="14">
        <v>218</v>
      </c>
      <c r="L19" s="11">
        <v>227</v>
      </c>
      <c r="M19" s="14"/>
      <c r="N19" s="42">
        <v>277.67974351712616</v>
      </c>
      <c r="O19" s="26"/>
      <c r="Q19" s="58">
        <f t="shared" si="0"/>
        <v>277.67974351712616</v>
      </c>
      <c r="R19" s="61" t="s">
        <v>445</v>
      </c>
      <c r="S19" s="57">
        <f>(Q19-K19)/K19</f>
        <v>0.27376029136296404</v>
      </c>
      <c r="U19" s="58">
        <f t="shared" si="1"/>
        <v>295.40398246502787</v>
      </c>
      <c r="V19" s="99">
        <f t="shared" si="2"/>
        <v>324.9443807115307</v>
      </c>
    </row>
    <row r="20" spans="1:22">
      <c r="A20" s="63" t="s">
        <v>89</v>
      </c>
      <c r="B20" s="64" t="s">
        <v>135</v>
      </c>
      <c r="C20" s="65" t="s">
        <v>27</v>
      </c>
      <c r="D20" s="66" t="s">
        <v>384</v>
      </c>
      <c r="E20" s="63" t="s">
        <v>173</v>
      </c>
      <c r="F20" s="65" t="s">
        <v>385</v>
      </c>
      <c r="G20" s="65" t="s">
        <v>258</v>
      </c>
      <c r="H20" s="63">
        <v>4000</v>
      </c>
      <c r="I20" s="67">
        <v>854470000000</v>
      </c>
      <c r="J20" s="63" t="s">
        <v>370</v>
      </c>
      <c r="K20" s="14">
        <v>0</v>
      </c>
      <c r="L20" s="11"/>
      <c r="M20" s="14"/>
      <c r="N20" s="42">
        <v>313.18075365845226</v>
      </c>
      <c r="O20" s="26"/>
      <c r="Q20" s="58">
        <f t="shared" si="0"/>
        <v>313.18075365845226</v>
      </c>
      <c r="R20" s="61" t="s">
        <v>445</v>
      </c>
      <c r="S20" s="57"/>
      <c r="U20" s="58">
        <f t="shared" si="1"/>
        <v>333.17101453026839</v>
      </c>
      <c r="V20" s="99">
        <f t="shared" si="2"/>
        <v>366.48811598329524</v>
      </c>
    </row>
    <row r="21" spans="1:22">
      <c r="A21" s="63" t="s">
        <v>89</v>
      </c>
      <c r="B21" s="64" t="s">
        <v>135</v>
      </c>
      <c r="C21" s="65" t="s">
        <v>27</v>
      </c>
      <c r="D21" s="66" t="s">
        <v>397</v>
      </c>
      <c r="E21" s="63" t="s">
        <v>173</v>
      </c>
      <c r="F21" s="65" t="s">
        <v>398</v>
      </c>
      <c r="G21" s="65" t="s">
        <v>258</v>
      </c>
      <c r="H21" s="63">
        <v>4000</v>
      </c>
      <c r="I21" s="67">
        <v>854470000000</v>
      </c>
      <c r="J21" s="63" t="s">
        <v>370</v>
      </c>
      <c r="K21" s="14">
        <v>0</v>
      </c>
      <c r="L21" s="11"/>
      <c r="M21" s="14"/>
      <c r="N21" s="42">
        <v>348.93753538857834</v>
      </c>
      <c r="O21" s="26"/>
      <c r="Q21" s="58">
        <f t="shared" si="0"/>
        <v>348.93753538857834</v>
      </c>
      <c r="R21" s="61" t="s">
        <v>445</v>
      </c>
      <c r="S21" s="57"/>
      <c r="U21" s="58">
        <f t="shared" si="1"/>
        <v>371.21014403040249</v>
      </c>
      <c r="V21" s="99">
        <f t="shared" si="2"/>
        <v>408.33115843344279</v>
      </c>
    </row>
    <row r="22" spans="1:22" ht="24" thickBot="1">
      <c r="A22" s="68" t="s">
        <v>89</v>
      </c>
      <c r="B22" s="69" t="s">
        <v>135</v>
      </c>
      <c r="C22" s="70" t="s">
        <v>27</v>
      </c>
      <c r="D22" s="71" t="s">
        <v>115</v>
      </c>
      <c r="E22" s="68" t="s">
        <v>173</v>
      </c>
      <c r="F22" s="70" t="s">
        <v>116</v>
      </c>
      <c r="G22" s="70" t="s">
        <v>258</v>
      </c>
      <c r="H22" s="68">
        <v>4000</v>
      </c>
      <c r="I22" s="72">
        <v>854470000000</v>
      </c>
      <c r="J22" s="73" t="s">
        <v>370</v>
      </c>
      <c r="K22" s="34">
        <v>274</v>
      </c>
      <c r="L22" s="35">
        <v>286</v>
      </c>
      <c r="M22" s="34"/>
      <c r="N22" s="43">
        <v>376.71066498238878</v>
      </c>
      <c r="O22" s="36"/>
      <c r="Q22" s="59">
        <f t="shared" si="0"/>
        <v>376.71066498238878</v>
      </c>
      <c r="R22" s="62" t="s">
        <v>445</v>
      </c>
      <c r="S22" s="60">
        <f>(Q22-K22)/K22</f>
        <v>0.37485644154156489</v>
      </c>
      <c r="U22" s="59">
        <f t="shared" si="1"/>
        <v>400.75602657700938</v>
      </c>
      <c r="V22" s="100">
        <f t="shared" si="2"/>
        <v>440.83162923471036</v>
      </c>
    </row>
    <row r="23" spans="1:22" ht="24" thickTop="1">
      <c r="A23" s="78" t="s">
        <v>47</v>
      </c>
      <c r="B23" s="75" t="s">
        <v>135</v>
      </c>
      <c r="C23" s="76" t="s">
        <v>27</v>
      </c>
      <c r="D23" s="77" t="s">
        <v>414</v>
      </c>
      <c r="E23" s="78" t="s">
        <v>173</v>
      </c>
      <c r="F23" s="76" t="s">
        <v>388</v>
      </c>
      <c r="G23" s="76" t="s">
        <v>258</v>
      </c>
      <c r="H23" s="78">
        <v>4000</v>
      </c>
      <c r="I23" s="79">
        <v>854470000000</v>
      </c>
      <c r="J23" s="78" t="s">
        <v>370</v>
      </c>
      <c r="K23" s="28">
        <v>0</v>
      </c>
      <c r="L23" s="29"/>
      <c r="M23" s="28"/>
      <c r="N23" s="41">
        <v>292.63847117694542</v>
      </c>
      <c r="O23" s="41">
        <v>281.95649825624912</v>
      </c>
      <c r="Q23" s="117">
        <f>+O23</f>
        <v>281.95649825624912</v>
      </c>
      <c r="R23" s="112" t="s">
        <v>443</v>
      </c>
      <c r="S23" s="113"/>
      <c r="U23" s="117">
        <f t="shared" si="1"/>
        <v>299.95372154920119</v>
      </c>
      <c r="V23" s="118">
        <f t="shared" si="2"/>
        <v>329.94909370412131</v>
      </c>
    </row>
    <row r="24" spans="1:22">
      <c r="A24" s="78" t="s">
        <v>47</v>
      </c>
      <c r="B24" s="75" t="s">
        <v>135</v>
      </c>
      <c r="C24" s="76" t="s">
        <v>27</v>
      </c>
      <c r="D24" s="77" t="s">
        <v>415</v>
      </c>
      <c r="E24" s="78" t="s">
        <v>173</v>
      </c>
      <c r="F24" s="76" t="s">
        <v>389</v>
      </c>
      <c r="G24" s="76" t="s">
        <v>258</v>
      </c>
      <c r="H24" s="78">
        <v>4000</v>
      </c>
      <c r="I24" s="79">
        <v>854470000000</v>
      </c>
      <c r="J24" s="78" t="s">
        <v>370</v>
      </c>
      <c r="K24" s="28">
        <v>0</v>
      </c>
      <c r="L24" s="29"/>
      <c r="M24" s="28"/>
      <c r="N24" s="41">
        <v>405.86738413632645</v>
      </c>
      <c r="O24" s="41">
        <v>384.50343829493386</v>
      </c>
      <c r="Q24" s="58">
        <f t="shared" ref="Q24:Q31" si="3">+O24</f>
        <v>384.50343829493386</v>
      </c>
      <c r="R24" s="61" t="s">
        <v>443</v>
      </c>
      <c r="S24" s="57"/>
      <c r="U24" s="58">
        <f t="shared" si="1"/>
        <v>409.04621095205732</v>
      </c>
      <c r="V24" s="99">
        <f t="shared" si="2"/>
        <v>449.95083204726308</v>
      </c>
    </row>
    <row r="25" spans="1:22">
      <c r="A25" s="78" t="s">
        <v>47</v>
      </c>
      <c r="B25" s="75" t="s">
        <v>135</v>
      </c>
      <c r="C25" s="76" t="s">
        <v>27</v>
      </c>
      <c r="D25" s="77" t="s">
        <v>416</v>
      </c>
      <c r="E25" s="78" t="s">
        <v>173</v>
      </c>
      <c r="F25" s="76" t="s">
        <v>390</v>
      </c>
      <c r="G25" s="76" t="s">
        <v>258</v>
      </c>
      <c r="H25" s="78">
        <v>4000</v>
      </c>
      <c r="I25" s="79">
        <v>854470000000</v>
      </c>
      <c r="J25" s="78" t="s">
        <v>370</v>
      </c>
      <c r="K25" s="28">
        <v>0</v>
      </c>
      <c r="L25" s="29"/>
      <c r="M25" s="28"/>
      <c r="N25" s="41">
        <v>519.09629709570754</v>
      </c>
      <c r="O25" s="41">
        <v>487.0503783336186</v>
      </c>
      <c r="Q25" s="58">
        <f t="shared" si="3"/>
        <v>487.0503783336186</v>
      </c>
      <c r="R25" s="61" t="s">
        <v>443</v>
      </c>
      <c r="S25" s="57"/>
      <c r="U25" s="58">
        <f t="shared" si="1"/>
        <v>518.13870035491345</v>
      </c>
      <c r="V25" s="99">
        <f t="shared" si="2"/>
        <v>569.95257039040484</v>
      </c>
    </row>
    <row r="26" spans="1:22">
      <c r="A26" s="63" t="s">
        <v>47</v>
      </c>
      <c r="B26" s="64" t="s">
        <v>135</v>
      </c>
      <c r="C26" s="65" t="s">
        <v>27</v>
      </c>
      <c r="D26" s="66" t="s">
        <v>417</v>
      </c>
      <c r="E26" s="63" t="s">
        <v>173</v>
      </c>
      <c r="F26" s="65" t="s">
        <v>391</v>
      </c>
      <c r="G26" s="65" t="s">
        <v>258</v>
      </c>
      <c r="H26" s="63">
        <v>4000</v>
      </c>
      <c r="I26" s="67">
        <v>854470000000</v>
      </c>
      <c r="J26" s="63" t="s">
        <v>370</v>
      </c>
      <c r="K26" s="14">
        <v>0</v>
      </c>
      <c r="L26" s="11"/>
      <c r="M26" s="14"/>
      <c r="N26" s="42">
        <v>632.32521005508852</v>
      </c>
      <c r="O26" s="42">
        <v>589.59731837230322</v>
      </c>
      <c r="Q26" s="58">
        <f t="shared" si="3"/>
        <v>589.59731837230322</v>
      </c>
      <c r="R26" s="61" t="s">
        <v>443</v>
      </c>
      <c r="S26" s="57"/>
      <c r="U26" s="58">
        <f t="shared" si="1"/>
        <v>627.23118975776947</v>
      </c>
      <c r="V26" s="99">
        <f t="shared" si="2"/>
        <v>689.95430873354644</v>
      </c>
    </row>
    <row r="27" spans="1:22">
      <c r="A27" s="63" t="s">
        <v>47</v>
      </c>
      <c r="B27" s="64" t="s">
        <v>135</v>
      </c>
      <c r="C27" s="65" t="s">
        <v>27</v>
      </c>
      <c r="D27" s="66" t="s">
        <v>418</v>
      </c>
      <c r="E27" s="63" t="s">
        <v>173</v>
      </c>
      <c r="F27" s="65" t="s">
        <v>412</v>
      </c>
      <c r="G27" s="65" t="s">
        <v>258</v>
      </c>
      <c r="H27" s="63">
        <v>4000</v>
      </c>
      <c r="I27" s="67">
        <v>854470000000</v>
      </c>
      <c r="J27" s="63" t="s">
        <v>370</v>
      </c>
      <c r="K27" s="14">
        <v>0</v>
      </c>
      <c r="L27" s="11"/>
      <c r="M27" s="14"/>
      <c r="N27" s="42">
        <v>745.55412301446961</v>
      </c>
      <c r="O27" s="42">
        <v>692.14425841098796</v>
      </c>
      <c r="Q27" s="58">
        <f t="shared" si="3"/>
        <v>692.14425841098796</v>
      </c>
      <c r="R27" s="61" t="s">
        <v>443</v>
      </c>
      <c r="S27" s="57"/>
      <c r="U27" s="58">
        <f t="shared" si="1"/>
        <v>736.32367916062549</v>
      </c>
      <c r="V27" s="99">
        <f t="shared" si="2"/>
        <v>809.95604707668815</v>
      </c>
    </row>
    <row r="28" spans="1:22">
      <c r="A28" s="63" t="s">
        <v>47</v>
      </c>
      <c r="B28" s="64" t="s">
        <v>135</v>
      </c>
      <c r="C28" s="65" t="s">
        <v>27</v>
      </c>
      <c r="D28" s="66" t="s">
        <v>419</v>
      </c>
      <c r="E28" s="63" t="s">
        <v>173</v>
      </c>
      <c r="F28" s="65" t="s">
        <v>392</v>
      </c>
      <c r="G28" s="65" t="s">
        <v>258</v>
      </c>
      <c r="H28" s="63">
        <v>4000</v>
      </c>
      <c r="I28" s="67">
        <v>854470000000</v>
      </c>
      <c r="J28" s="63" t="s">
        <v>370</v>
      </c>
      <c r="K28" s="14">
        <v>0</v>
      </c>
      <c r="L28" s="11"/>
      <c r="M28" s="14"/>
      <c r="N28" s="42">
        <v>858.7830359738507</v>
      </c>
      <c r="O28" s="42">
        <v>794.69119844967281</v>
      </c>
      <c r="Q28" s="58">
        <f t="shared" si="3"/>
        <v>794.69119844967281</v>
      </c>
      <c r="R28" s="61" t="s">
        <v>443</v>
      </c>
      <c r="S28" s="57"/>
      <c r="U28" s="58">
        <f t="shared" si="1"/>
        <v>845.41616856348173</v>
      </c>
      <c r="V28" s="99">
        <f t="shared" si="2"/>
        <v>929.95778541982997</v>
      </c>
    </row>
    <row r="29" spans="1:22">
      <c r="A29" s="63" t="s">
        <v>47</v>
      </c>
      <c r="B29" s="64" t="s">
        <v>135</v>
      </c>
      <c r="C29" s="65" t="s">
        <v>27</v>
      </c>
      <c r="D29" s="66" t="s">
        <v>420</v>
      </c>
      <c r="E29" s="63" t="s">
        <v>173</v>
      </c>
      <c r="F29" s="65" t="s">
        <v>393</v>
      </c>
      <c r="G29" s="65" t="s">
        <v>258</v>
      </c>
      <c r="H29" s="63">
        <v>4000</v>
      </c>
      <c r="I29" s="67">
        <v>854470000000</v>
      </c>
      <c r="J29" s="63" t="s">
        <v>370</v>
      </c>
      <c r="K29" s="14">
        <v>0</v>
      </c>
      <c r="L29" s="11"/>
      <c r="M29" s="14"/>
      <c r="N29" s="42">
        <v>1092.3742900903194</v>
      </c>
      <c r="O29" s="42">
        <v>1006.9185067247489</v>
      </c>
      <c r="Q29" s="58">
        <f t="shared" si="3"/>
        <v>1006.9185067247489</v>
      </c>
      <c r="R29" s="61" t="s">
        <v>443</v>
      </c>
      <c r="S29" s="57"/>
      <c r="U29" s="58">
        <f t="shared" si="1"/>
        <v>1071.1899007710094</v>
      </c>
      <c r="V29" s="99">
        <f t="shared" si="2"/>
        <v>1178.3088908481104</v>
      </c>
    </row>
    <row r="30" spans="1:22">
      <c r="A30" s="63" t="s">
        <v>47</v>
      </c>
      <c r="B30" s="64" t="s">
        <v>135</v>
      </c>
      <c r="C30" s="65" t="s">
        <v>27</v>
      </c>
      <c r="D30" s="66" t="s">
        <v>421</v>
      </c>
      <c r="E30" s="63" t="s">
        <v>173</v>
      </c>
      <c r="F30" s="65" t="s">
        <v>399</v>
      </c>
      <c r="G30" s="65" t="s">
        <v>258</v>
      </c>
      <c r="H30" s="63">
        <v>4000</v>
      </c>
      <c r="I30" s="67">
        <v>854470000000</v>
      </c>
      <c r="J30" s="63" t="s">
        <v>370</v>
      </c>
      <c r="K30" s="14">
        <v>0</v>
      </c>
      <c r="L30" s="11"/>
      <c r="M30" s="14"/>
      <c r="N30" s="42">
        <v>1326.2016410579884</v>
      </c>
      <c r="O30" s="42">
        <v>1219.3819118510251</v>
      </c>
      <c r="Q30" s="58">
        <f t="shared" si="3"/>
        <v>1219.3819118510251</v>
      </c>
      <c r="R30" s="61" t="s">
        <v>443</v>
      </c>
      <c r="S30" s="57"/>
      <c r="U30" s="58">
        <f t="shared" si="1"/>
        <v>1297.2147998415162</v>
      </c>
      <c r="V30" s="99">
        <f t="shared" si="2"/>
        <v>1426.936279825668</v>
      </c>
    </row>
    <row r="31" spans="1:22" ht="24" thickBot="1">
      <c r="A31" s="68" t="s">
        <v>47</v>
      </c>
      <c r="B31" s="69" t="s">
        <v>135</v>
      </c>
      <c r="C31" s="70" t="s">
        <v>27</v>
      </c>
      <c r="D31" s="71" t="s">
        <v>422</v>
      </c>
      <c r="E31" s="68" t="s">
        <v>173</v>
      </c>
      <c r="F31" s="70" t="s">
        <v>394</v>
      </c>
      <c r="G31" s="70" t="s">
        <v>258</v>
      </c>
      <c r="H31" s="68">
        <v>4000</v>
      </c>
      <c r="I31" s="72">
        <v>854470000000</v>
      </c>
      <c r="J31" s="73" t="s">
        <v>370</v>
      </c>
      <c r="K31" s="34">
        <v>0</v>
      </c>
      <c r="L31" s="35"/>
      <c r="M31" s="34"/>
      <c r="N31" s="43">
        <v>1552.6594669767505</v>
      </c>
      <c r="O31" s="43">
        <v>1424.475791928395</v>
      </c>
      <c r="Q31" s="59">
        <f t="shared" si="3"/>
        <v>1424.475791928395</v>
      </c>
      <c r="R31" s="62" t="s">
        <v>443</v>
      </c>
      <c r="S31" s="60"/>
      <c r="U31" s="59">
        <f t="shared" si="1"/>
        <v>1515.3997786472287</v>
      </c>
      <c r="V31" s="100">
        <f t="shared" si="2"/>
        <v>1666.9397565119516</v>
      </c>
    </row>
    <row r="32" spans="1:22" ht="24" thickTop="1">
      <c r="A32" s="78" t="s">
        <v>76</v>
      </c>
      <c r="B32" s="75" t="s">
        <v>135</v>
      </c>
      <c r="C32" s="76" t="s">
        <v>27</v>
      </c>
      <c r="D32" s="77" t="s">
        <v>423</v>
      </c>
      <c r="E32" s="78" t="s">
        <v>173</v>
      </c>
      <c r="F32" s="76" t="s">
        <v>400</v>
      </c>
      <c r="G32" s="76" t="s">
        <v>258</v>
      </c>
      <c r="H32" s="78">
        <v>4000</v>
      </c>
      <c r="I32" s="79">
        <v>854470000000</v>
      </c>
      <c r="J32" s="78" t="s">
        <v>370</v>
      </c>
      <c r="K32" s="28">
        <v>0</v>
      </c>
      <c r="L32" s="29"/>
      <c r="M32" s="28"/>
      <c r="N32" s="41">
        <v>393.04901663149093</v>
      </c>
      <c r="O32" s="30"/>
      <c r="Q32" s="117">
        <f>+N32</f>
        <v>393.04901663149093</v>
      </c>
      <c r="R32" s="112" t="s">
        <v>444</v>
      </c>
      <c r="S32" s="113"/>
      <c r="U32" s="117">
        <f t="shared" si="1"/>
        <v>418.13725173562869</v>
      </c>
      <c r="V32" s="118">
        <f t="shared" si="2"/>
        <v>459.95097690919158</v>
      </c>
    </row>
    <row r="33" spans="1:22">
      <c r="A33" s="78" t="s">
        <v>76</v>
      </c>
      <c r="B33" s="75" t="s">
        <v>135</v>
      </c>
      <c r="C33" s="76" t="s">
        <v>27</v>
      </c>
      <c r="D33" s="77" t="s">
        <v>424</v>
      </c>
      <c r="E33" s="78" t="s">
        <v>173</v>
      </c>
      <c r="F33" s="76" t="s">
        <v>401</v>
      </c>
      <c r="G33" s="76" t="s">
        <v>258</v>
      </c>
      <c r="H33" s="78">
        <v>4000</v>
      </c>
      <c r="I33" s="79">
        <v>854470000000</v>
      </c>
      <c r="J33" s="78" t="s">
        <v>370</v>
      </c>
      <c r="K33" s="14">
        <v>0</v>
      </c>
      <c r="L33" s="11"/>
      <c r="M33" s="14"/>
      <c r="N33" s="42">
        <v>606.68847504541736</v>
      </c>
      <c r="O33" s="26"/>
      <c r="Q33" s="58">
        <f t="shared" ref="Q33:Q40" si="4">+N33</f>
        <v>606.68847504541736</v>
      </c>
      <c r="R33" s="61" t="s">
        <v>444</v>
      </c>
      <c r="S33" s="57"/>
      <c r="U33" s="58">
        <f t="shared" si="1"/>
        <v>645.4132713249121</v>
      </c>
      <c r="V33" s="99">
        <f t="shared" si="2"/>
        <v>709.95459845740334</v>
      </c>
    </row>
    <row r="34" spans="1:22">
      <c r="A34" s="78" t="s">
        <v>76</v>
      </c>
      <c r="B34" s="75" t="s">
        <v>135</v>
      </c>
      <c r="C34" s="76" t="s">
        <v>27</v>
      </c>
      <c r="D34" s="77" t="s">
        <v>425</v>
      </c>
      <c r="E34" s="78" t="s">
        <v>173</v>
      </c>
      <c r="F34" s="76" t="s">
        <v>402</v>
      </c>
      <c r="G34" s="76" t="s">
        <v>258</v>
      </c>
      <c r="H34" s="78">
        <v>4000</v>
      </c>
      <c r="I34" s="79">
        <v>854470000000</v>
      </c>
      <c r="J34" s="78" t="s">
        <v>370</v>
      </c>
      <c r="K34" s="14">
        <v>0</v>
      </c>
      <c r="L34" s="11"/>
      <c r="M34" s="14"/>
      <c r="N34" s="42">
        <v>820.32793345934397</v>
      </c>
      <c r="O34" s="26"/>
      <c r="Q34" s="58">
        <f t="shared" si="4"/>
        <v>820.32793345934397</v>
      </c>
      <c r="R34" s="61" t="s">
        <v>444</v>
      </c>
      <c r="S34" s="57"/>
      <c r="U34" s="58">
        <f t="shared" si="1"/>
        <v>872.68929091419579</v>
      </c>
      <c r="V34" s="99">
        <f t="shared" si="2"/>
        <v>959.95822000561543</v>
      </c>
    </row>
    <row r="35" spans="1:22">
      <c r="A35" s="78" t="s">
        <v>76</v>
      </c>
      <c r="B35" s="64" t="s">
        <v>135</v>
      </c>
      <c r="C35" s="65" t="s">
        <v>27</v>
      </c>
      <c r="D35" s="66" t="s">
        <v>426</v>
      </c>
      <c r="E35" s="63" t="s">
        <v>173</v>
      </c>
      <c r="F35" s="65" t="s">
        <v>403</v>
      </c>
      <c r="G35" s="65" t="s">
        <v>258</v>
      </c>
      <c r="H35" s="63">
        <v>4000</v>
      </c>
      <c r="I35" s="67">
        <v>854470000000</v>
      </c>
      <c r="J35" s="63" t="s">
        <v>370</v>
      </c>
      <c r="K35" s="14">
        <v>0</v>
      </c>
      <c r="L35" s="11"/>
      <c r="M35" s="14"/>
      <c r="N35" s="42">
        <v>1033.9673918732703</v>
      </c>
      <c r="O35" s="26"/>
      <c r="Q35" s="58">
        <f t="shared" si="4"/>
        <v>1033.9673918732703</v>
      </c>
      <c r="R35" s="61" t="s">
        <v>444</v>
      </c>
      <c r="S35" s="57"/>
      <c r="U35" s="58">
        <f t="shared" si="1"/>
        <v>1099.9653105034793</v>
      </c>
      <c r="V35" s="99">
        <f t="shared" si="2"/>
        <v>1209.9618415538273</v>
      </c>
    </row>
    <row r="36" spans="1:22">
      <c r="A36" s="78" t="s">
        <v>76</v>
      </c>
      <c r="B36" s="64" t="s">
        <v>135</v>
      </c>
      <c r="C36" s="65" t="s">
        <v>27</v>
      </c>
      <c r="D36" s="66" t="s">
        <v>427</v>
      </c>
      <c r="E36" s="63" t="s">
        <v>173</v>
      </c>
      <c r="F36" s="65" t="s">
        <v>413</v>
      </c>
      <c r="G36" s="65" t="s">
        <v>258</v>
      </c>
      <c r="H36" s="63">
        <v>4000</v>
      </c>
      <c r="I36" s="67">
        <v>854470000000</v>
      </c>
      <c r="J36" s="63" t="s">
        <v>370</v>
      </c>
      <c r="K36" s="14">
        <v>0</v>
      </c>
      <c r="L36" s="11"/>
      <c r="M36" s="14"/>
      <c r="N36" s="42">
        <v>1247.6068502871967</v>
      </c>
      <c r="O36" s="26"/>
      <c r="Q36" s="58">
        <f t="shared" si="4"/>
        <v>1247.6068502871967</v>
      </c>
      <c r="R36" s="61" t="s">
        <v>444</v>
      </c>
      <c r="S36" s="57"/>
      <c r="U36" s="58">
        <f t="shared" si="1"/>
        <v>1327.2413300927626</v>
      </c>
      <c r="V36" s="99">
        <f t="shared" si="2"/>
        <v>1459.9654631020389</v>
      </c>
    </row>
    <row r="37" spans="1:22">
      <c r="A37" s="78" t="s">
        <v>76</v>
      </c>
      <c r="B37" s="64" t="s">
        <v>135</v>
      </c>
      <c r="C37" s="65" t="s">
        <v>27</v>
      </c>
      <c r="D37" s="66" t="s">
        <v>428</v>
      </c>
      <c r="E37" s="63" t="s">
        <v>173</v>
      </c>
      <c r="F37" s="65" t="s">
        <v>404</v>
      </c>
      <c r="G37" s="65" t="s">
        <v>258</v>
      </c>
      <c r="H37" s="63">
        <v>4000</v>
      </c>
      <c r="I37" s="67">
        <v>854470000000</v>
      </c>
      <c r="J37" s="63" t="s">
        <v>370</v>
      </c>
      <c r="K37" s="14">
        <v>0</v>
      </c>
      <c r="L37" s="11"/>
      <c r="M37" s="14"/>
      <c r="N37" s="42">
        <v>1461.2463087011236</v>
      </c>
      <c r="O37" s="26"/>
      <c r="Q37" s="58">
        <f t="shared" si="4"/>
        <v>1461.2463087011236</v>
      </c>
      <c r="R37" s="61" t="s">
        <v>444</v>
      </c>
      <c r="S37" s="57"/>
      <c r="U37" s="58">
        <f t="shared" si="1"/>
        <v>1554.5173496820464</v>
      </c>
      <c r="V37" s="99">
        <f t="shared" si="2"/>
        <v>1709.9690846502513</v>
      </c>
    </row>
    <row r="38" spans="1:22">
      <c r="A38" s="78" t="s">
        <v>76</v>
      </c>
      <c r="B38" s="64" t="s">
        <v>135</v>
      </c>
      <c r="C38" s="65" t="s">
        <v>27</v>
      </c>
      <c r="D38" s="66" t="s">
        <v>429</v>
      </c>
      <c r="E38" s="63" t="s">
        <v>173</v>
      </c>
      <c r="F38" s="65" t="s">
        <v>405</v>
      </c>
      <c r="G38" s="65" t="s">
        <v>258</v>
      </c>
      <c r="H38" s="63">
        <v>4000</v>
      </c>
      <c r="I38" s="67">
        <v>854470000000</v>
      </c>
      <c r="J38" s="63" t="s">
        <v>370</v>
      </c>
      <c r="K38" s="14">
        <v>0</v>
      </c>
      <c r="L38" s="11"/>
      <c r="M38" s="14"/>
      <c r="N38" s="42">
        <v>1895.658653726683</v>
      </c>
      <c r="O38" s="26"/>
      <c r="Q38" s="58">
        <f t="shared" si="4"/>
        <v>1895.658653726683</v>
      </c>
      <c r="R38" s="61" t="s">
        <v>444</v>
      </c>
      <c r="S38" s="57"/>
      <c r="U38" s="58">
        <f t="shared" si="1"/>
        <v>2016.6581422624288</v>
      </c>
      <c r="V38" s="99">
        <f t="shared" si="2"/>
        <v>2218.3239564886717</v>
      </c>
    </row>
    <row r="39" spans="1:22">
      <c r="A39" s="78" t="s">
        <v>76</v>
      </c>
      <c r="B39" s="64" t="s">
        <v>135</v>
      </c>
      <c r="C39" s="65" t="s">
        <v>27</v>
      </c>
      <c r="D39" s="66" t="s">
        <v>430</v>
      </c>
      <c r="E39" s="63" t="s">
        <v>173</v>
      </c>
      <c r="F39" s="65" t="s">
        <v>406</v>
      </c>
      <c r="G39" s="65" t="s">
        <v>258</v>
      </c>
      <c r="H39" s="63">
        <v>4000</v>
      </c>
      <c r="I39" s="67">
        <v>854470000000</v>
      </c>
      <c r="J39" s="63" t="s">
        <v>370</v>
      </c>
      <c r="K39" s="14">
        <v>0</v>
      </c>
      <c r="L39" s="11"/>
      <c r="M39" s="14"/>
      <c r="N39" s="42">
        <v>2330.3070956034426</v>
      </c>
      <c r="O39" s="26"/>
      <c r="Q39" s="58">
        <f t="shared" si="4"/>
        <v>2330.3070956034426</v>
      </c>
      <c r="R39" s="61" t="s">
        <v>444</v>
      </c>
      <c r="S39" s="57"/>
      <c r="U39" s="58">
        <f t="shared" si="1"/>
        <v>2479.05010170579</v>
      </c>
      <c r="V39" s="99">
        <f t="shared" si="2"/>
        <v>2726.9551118763693</v>
      </c>
    </row>
    <row r="40" spans="1:22" ht="24" thickBot="1">
      <c r="A40" s="68" t="s">
        <v>76</v>
      </c>
      <c r="B40" s="69" t="s">
        <v>135</v>
      </c>
      <c r="C40" s="70" t="s">
        <v>27</v>
      </c>
      <c r="D40" s="71" t="s">
        <v>431</v>
      </c>
      <c r="E40" s="68" t="s">
        <v>173</v>
      </c>
      <c r="F40" s="70" t="s">
        <v>407</v>
      </c>
      <c r="G40" s="70" t="s">
        <v>258</v>
      </c>
      <c r="H40" s="68">
        <v>4000</v>
      </c>
      <c r="I40" s="72">
        <v>854470000000</v>
      </c>
      <c r="J40" s="73" t="s">
        <v>370</v>
      </c>
      <c r="K40" s="34">
        <v>0</v>
      </c>
      <c r="L40" s="35"/>
      <c r="M40" s="34"/>
      <c r="N40" s="43">
        <v>2757.5860124312958</v>
      </c>
      <c r="O40" s="36"/>
      <c r="Q40" s="59">
        <f t="shared" si="4"/>
        <v>2757.5860124312958</v>
      </c>
      <c r="R40" s="62" t="s">
        <v>444</v>
      </c>
      <c r="S40" s="60"/>
      <c r="U40" s="59">
        <f t="shared" si="1"/>
        <v>2933.6021408843576</v>
      </c>
      <c r="V40" s="100">
        <f t="shared" si="2"/>
        <v>3226.9623549727935</v>
      </c>
    </row>
    <row r="41" spans="1:22" ht="24" thickTop="1">
      <c r="A41" s="21" t="s">
        <v>3</v>
      </c>
      <c r="B41" s="22" t="s">
        <v>213</v>
      </c>
      <c r="C41" s="23" t="s">
        <v>27</v>
      </c>
      <c r="D41" s="24" t="s">
        <v>237</v>
      </c>
      <c r="E41" s="21" t="s">
        <v>175</v>
      </c>
      <c r="F41" s="23" t="s">
        <v>198</v>
      </c>
      <c r="G41" s="23" t="s">
        <v>258</v>
      </c>
      <c r="H41" s="21">
        <v>4000</v>
      </c>
      <c r="I41" s="25">
        <v>854470000000</v>
      </c>
      <c r="J41" s="21" t="s">
        <v>370</v>
      </c>
      <c r="K41" s="14">
        <v>605</v>
      </c>
      <c r="L41" s="11">
        <v>617</v>
      </c>
      <c r="M41" s="14"/>
      <c r="N41" s="42">
        <v>600</v>
      </c>
      <c r="O41" s="42">
        <v>555</v>
      </c>
      <c r="Q41" s="111">
        <f t="shared" ref="Q41:Q42" si="5">+N41</f>
        <v>600</v>
      </c>
      <c r="R41" s="112" t="s">
        <v>442</v>
      </c>
      <c r="S41" s="113">
        <f t="shared" ref="S41:S72" si="6">(Q41-K41)/K41</f>
        <v>-8.2644628099173556E-3</v>
      </c>
      <c r="U41" s="111">
        <f t="shared" si="1"/>
        <v>638.29787234042556</v>
      </c>
      <c r="V41" s="115">
        <f t="shared" si="2"/>
        <v>702.12765957446811</v>
      </c>
    </row>
    <row r="42" spans="1:22">
      <c r="A42" s="21" t="s">
        <v>3</v>
      </c>
      <c r="B42" s="22" t="s">
        <v>213</v>
      </c>
      <c r="C42" s="23" t="s">
        <v>27</v>
      </c>
      <c r="D42" s="24" t="s">
        <v>238</v>
      </c>
      <c r="E42" s="21" t="s">
        <v>175</v>
      </c>
      <c r="F42" s="23" t="s">
        <v>199</v>
      </c>
      <c r="G42" s="23" t="s">
        <v>258</v>
      </c>
      <c r="H42" s="21">
        <v>4000</v>
      </c>
      <c r="I42" s="25">
        <v>854470000000</v>
      </c>
      <c r="J42" s="21" t="s">
        <v>370</v>
      </c>
      <c r="K42" s="14">
        <v>941</v>
      </c>
      <c r="L42" s="11">
        <v>965</v>
      </c>
      <c r="M42" s="14"/>
      <c r="N42" s="42">
        <v>915</v>
      </c>
      <c r="O42" s="42">
        <v>820</v>
      </c>
      <c r="Q42" s="56">
        <f t="shared" si="5"/>
        <v>915</v>
      </c>
      <c r="R42" s="61" t="s">
        <v>442</v>
      </c>
      <c r="S42" s="57">
        <f t="shared" si="6"/>
        <v>-2.763018065887354E-2</v>
      </c>
      <c r="U42" s="56">
        <f t="shared" si="1"/>
        <v>973.404255319149</v>
      </c>
      <c r="V42" s="98">
        <f t="shared" si="2"/>
        <v>1070.744680851064</v>
      </c>
    </row>
    <row r="43" spans="1:22">
      <c r="A43" s="21" t="s">
        <v>47</v>
      </c>
      <c r="B43" s="22" t="s">
        <v>213</v>
      </c>
      <c r="C43" s="23" t="s">
        <v>27</v>
      </c>
      <c r="D43" s="24" t="s">
        <v>364</v>
      </c>
      <c r="E43" s="21" t="s">
        <v>175</v>
      </c>
      <c r="F43" s="23" t="s">
        <v>366</v>
      </c>
      <c r="G43" s="23" t="s">
        <v>258</v>
      </c>
      <c r="H43" s="21">
        <v>4000</v>
      </c>
      <c r="I43" s="25">
        <v>854470000000</v>
      </c>
      <c r="J43" s="21" t="s">
        <v>370</v>
      </c>
      <c r="K43" s="14">
        <v>485</v>
      </c>
      <c r="L43" s="11"/>
      <c r="M43" s="14">
        <v>445</v>
      </c>
      <c r="N43" s="42">
        <v>485</v>
      </c>
      <c r="O43" s="42">
        <v>445</v>
      </c>
      <c r="P43" s="55"/>
      <c r="Q43" s="58">
        <f t="shared" ref="Q43:Q46" si="7">+O43</f>
        <v>445</v>
      </c>
      <c r="R43" s="61" t="s">
        <v>443</v>
      </c>
      <c r="S43" s="57">
        <f t="shared" si="6"/>
        <v>-8.247422680412371E-2</v>
      </c>
      <c r="U43" s="58">
        <f t="shared" si="1"/>
        <v>473.40425531914894</v>
      </c>
      <c r="V43" s="99">
        <f t="shared" si="2"/>
        <v>520.74468085106389</v>
      </c>
    </row>
    <row r="44" spans="1:22">
      <c r="A44" s="21" t="s">
        <v>47</v>
      </c>
      <c r="B44" s="22" t="s">
        <v>213</v>
      </c>
      <c r="C44" s="23" t="s">
        <v>27</v>
      </c>
      <c r="D44" s="24" t="s">
        <v>365</v>
      </c>
      <c r="E44" s="21" t="s">
        <v>175</v>
      </c>
      <c r="F44" s="23" t="s">
        <v>367</v>
      </c>
      <c r="G44" s="23" t="s">
        <v>258</v>
      </c>
      <c r="H44" s="21">
        <v>4000</v>
      </c>
      <c r="I44" s="25">
        <v>854470000000</v>
      </c>
      <c r="J44" s="21" t="s">
        <v>370</v>
      </c>
      <c r="K44" s="14">
        <v>715</v>
      </c>
      <c r="L44" s="11"/>
      <c r="M44" s="14">
        <v>665</v>
      </c>
      <c r="N44" s="42">
        <v>715</v>
      </c>
      <c r="O44" s="42">
        <v>645</v>
      </c>
      <c r="P44" s="55"/>
      <c r="Q44" s="58">
        <f t="shared" si="7"/>
        <v>645</v>
      </c>
      <c r="R44" s="61" t="s">
        <v>443</v>
      </c>
      <c r="S44" s="57">
        <f t="shared" si="6"/>
        <v>-9.7902097902097904E-2</v>
      </c>
      <c r="U44" s="58">
        <f t="shared" si="1"/>
        <v>686.17021276595744</v>
      </c>
      <c r="V44" s="99">
        <f t="shared" si="2"/>
        <v>754.78723404255322</v>
      </c>
    </row>
    <row r="45" spans="1:22">
      <c r="A45" s="21" t="s">
        <v>47</v>
      </c>
      <c r="B45" s="22" t="s">
        <v>213</v>
      </c>
      <c r="C45" s="23" t="s">
        <v>27</v>
      </c>
      <c r="D45" s="24" t="s">
        <v>239</v>
      </c>
      <c r="E45" s="21" t="s">
        <v>175</v>
      </c>
      <c r="F45" s="23" t="s">
        <v>214</v>
      </c>
      <c r="G45" s="23" t="s">
        <v>258</v>
      </c>
      <c r="H45" s="21">
        <v>4000</v>
      </c>
      <c r="I45" s="25">
        <v>854470000000</v>
      </c>
      <c r="J45" s="21" t="s">
        <v>370</v>
      </c>
      <c r="K45" s="14">
        <v>930</v>
      </c>
      <c r="L45" s="11"/>
      <c r="M45" s="14">
        <v>860</v>
      </c>
      <c r="N45" s="42">
        <v>930</v>
      </c>
      <c r="O45" s="42">
        <v>860</v>
      </c>
      <c r="P45" s="55"/>
      <c r="Q45" s="58">
        <f t="shared" si="7"/>
        <v>860</v>
      </c>
      <c r="R45" s="61" t="s">
        <v>443</v>
      </c>
      <c r="S45" s="57">
        <f t="shared" si="6"/>
        <v>-7.5268817204301078E-2</v>
      </c>
      <c r="U45" s="58">
        <f t="shared" si="1"/>
        <v>914.89361702127667</v>
      </c>
      <c r="V45" s="99">
        <f t="shared" si="2"/>
        <v>1006.3829787234044</v>
      </c>
    </row>
    <row r="46" spans="1:22">
      <c r="A46" s="21" t="s">
        <v>47</v>
      </c>
      <c r="B46" s="22" t="s">
        <v>213</v>
      </c>
      <c r="C46" s="23" t="s">
        <v>27</v>
      </c>
      <c r="D46" s="24" t="s">
        <v>240</v>
      </c>
      <c r="E46" s="21" t="s">
        <v>175</v>
      </c>
      <c r="F46" s="23" t="s">
        <v>215</v>
      </c>
      <c r="G46" s="23" t="s">
        <v>258</v>
      </c>
      <c r="H46" s="21">
        <v>4000</v>
      </c>
      <c r="I46" s="25">
        <v>854470000000</v>
      </c>
      <c r="J46" s="21" t="s">
        <v>370</v>
      </c>
      <c r="K46" s="14">
        <v>1715</v>
      </c>
      <c r="L46" s="11"/>
      <c r="M46" s="14">
        <v>1575</v>
      </c>
      <c r="N46" s="42">
        <v>1715</v>
      </c>
      <c r="O46" s="42">
        <v>1575</v>
      </c>
      <c r="P46" s="55"/>
      <c r="Q46" s="58">
        <f t="shared" si="7"/>
        <v>1575</v>
      </c>
      <c r="R46" s="61" t="s">
        <v>443</v>
      </c>
      <c r="S46" s="57">
        <f t="shared" si="6"/>
        <v>-8.1632653061224483E-2</v>
      </c>
      <c r="U46" s="58">
        <f t="shared" si="1"/>
        <v>1675.5319148936171</v>
      </c>
      <c r="V46" s="99">
        <f t="shared" si="2"/>
        <v>1843.0851063829789</v>
      </c>
    </row>
    <row r="47" spans="1:22">
      <c r="A47" s="21" t="s">
        <v>89</v>
      </c>
      <c r="B47" s="22" t="s">
        <v>213</v>
      </c>
      <c r="C47" s="23" t="s">
        <v>27</v>
      </c>
      <c r="D47" s="24" t="s">
        <v>241</v>
      </c>
      <c r="E47" s="21" t="s">
        <v>175</v>
      </c>
      <c r="F47" s="23" t="s">
        <v>200</v>
      </c>
      <c r="G47" s="23" t="s">
        <v>258</v>
      </c>
      <c r="H47" s="21">
        <v>4000</v>
      </c>
      <c r="I47" s="25">
        <v>854470000000</v>
      </c>
      <c r="J47" s="21" t="s">
        <v>370</v>
      </c>
      <c r="K47" s="14">
        <v>317</v>
      </c>
      <c r="L47" s="11">
        <v>330</v>
      </c>
      <c r="M47" s="14"/>
      <c r="N47" s="26">
        <v>380</v>
      </c>
      <c r="O47" s="26">
        <v>0</v>
      </c>
      <c r="Q47" s="58">
        <f t="shared" ref="Q47:Q48" si="8">+N47</f>
        <v>380</v>
      </c>
      <c r="R47" s="61" t="s">
        <v>445</v>
      </c>
      <c r="S47" s="57">
        <f t="shared" si="6"/>
        <v>0.19873817034700317</v>
      </c>
      <c r="U47" s="58">
        <f t="shared" si="1"/>
        <v>404.25531914893617</v>
      </c>
      <c r="V47" s="99">
        <f t="shared" si="2"/>
        <v>444.68085106382983</v>
      </c>
    </row>
    <row r="48" spans="1:22">
      <c r="A48" s="21" t="s">
        <v>89</v>
      </c>
      <c r="B48" s="22" t="s">
        <v>213</v>
      </c>
      <c r="C48" s="23" t="s">
        <v>27</v>
      </c>
      <c r="D48" s="24" t="s">
        <v>242</v>
      </c>
      <c r="E48" s="21" t="s">
        <v>175</v>
      </c>
      <c r="F48" s="23" t="s">
        <v>201</v>
      </c>
      <c r="G48" s="23" t="s">
        <v>258</v>
      </c>
      <c r="H48" s="21">
        <v>4000</v>
      </c>
      <c r="I48" s="25">
        <v>854470000000</v>
      </c>
      <c r="J48" s="21" t="s">
        <v>370</v>
      </c>
      <c r="K48" s="14">
        <v>408</v>
      </c>
      <c r="L48" s="11">
        <v>415</v>
      </c>
      <c r="M48" s="14"/>
      <c r="N48" s="26">
        <v>555</v>
      </c>
      <c r="O48" s="26">
        <v>0</v>
      </c>
      <c r="Q48" s="58">
        <f t="shared" si="8"/>
        <v>555</v>
      </c>
      <c r="R48" s="61" t="s">
        <v>445</v>
      </c>
      <c r="S48" s="57">
        <f t="shared" si="6"/>
        <v>0.36029411764705882</v>
      </c>
      <c r="U48" s="58">
        <f t="shared" si="1"/>
        <v>590.42553191489367</v>
      </c>
      <c r="V48" s="99">
        <f t="shared" si="2"/>
        <v>649.46808510638311</v>
      </c>
    </row>
    <row r="49" spans="1:24">
      <c r="A49" s="21" t="s">
        <v>3</v>
      </c>
      <c r="B49" s="22" t="s">
        <v>197</v>
      </c>
      <c r="C49" s="23" t="s">
        <v>27</v>
      </c>
      <c r="D49" s="24" t="s">
        <v>227</v>
      </c>
      <c r="E49" s="21" t="s">
        <v>175</v>
      </c>
      <c r="F49" s="23" t="s">
        <v>216</v>
      </c>
      <c r="G49" s="23" t="s">
        <v>258</v>
      </c>
      <c r="H49" s="21">
        <v>4000</v>
      </c>
      <c r="I49" s="25">
        <v>854470000000</v>
      </c>
      <c r="J49" s="21" t="s">
        <v>370</v>
      </c>
      <c r="K49" s="14">
        <v>397</v>
      </c>
      <c r="L49" s="11">
        <v>410</v>
      </c>
      <c r="M49" s="14"/>
      <c r="N49" s="42">
        <v>500</v>
      </c>
      <c r="O49" s="42">
        <v>0</v>
      </c>
      <c r="Q49" s="56">
        <f t="shared" ref="Q49:Q58" si="9">+N49</f>
        <v>500</v>
      </c>
      <c r="R49" s="61" t="s">
        <v>442</v>
      </c>
      <c r="S49" s="57">
        <f t="shared" si="6"/>
        <v>0.25944584382871538</v>
      </c>
      <c r="U49" s="56">
        <f t="shared" si="1"/>
        <v>531.91489361702133</v>
      </c>
      <c r="V49" s="98">
        <f t="shared" si="2"/>
        <v>585.10638297872356</v>
      </c>
    </row>
    <row r="50" spans="1:24">
      <c r="A50" s="21" t="s">
        <v>3</v>
      </c>
      <c r="B50" s="22" t="s">
        <v>197</v>
      </c>
      <c r="C50" s="23" t="s">
        <v>27</v>
      </c>
      <c r="D50" s="24" t="s">
        <v>228</v>
      </c>
      <c r="E50" s="21" t="s">
        <v>175</v>
      </c>
      <c r="F50" s="23" t="s">
        <v>217</v>
      </c>
      <c r="G50" s="23" t="s">
        <v>258</v>
      </c>
      <c r="H50" s="21">
        <v>4000</v>
      </c>
      <c r="I50" s="25">
        <v>854470000000</v>
      </c>
      <c r="J50" s="21" t="s">
        <v>370</v>
      </c>
      <c r="K50" s="14">
        <v>446</v>
      </c>
      <c r="L50" s="11">
        <v>460</v>
      </c>
      <c r="M50" s="14"/>
      <c r="N50" s="42">
        <v>410</v>
      </c>
      <c r="O50" s="42">
        <v>0</v>
      </c>
      <c r="P50" s="55"/>
      <c r="Q50" s="56">
        <f t="shared" si="9"/>
        <v>410</v>
      </c>
      <c r="R50" s="61" t="s">
        <v>442</v>
      </c>
      <c r="S50" s="57">
        <f t="shared" si="6"/>
        <v>-8.0717488789237665E-2</v>
      </c>
      <c r="U50" s="56">
        <f t="shared" si="1"/>
        <v>436.17021276595744</v>
      </c>
      <c r="V50" s="98">
        <f t="shared" si="2"/>
        <v>479.78723404255322</v>
      </c>
    </row>
    <row r="51" spans="1:24">
      <c r="A51" s="21" t="s">
        <v>3</v>
      </c>
      <c r="B51" s="22" t="s">
        <v>197</v>
      </c>
      <c r="C51" s="23" t="s">
        <v>27</v>
      </c>
      <c r="D51" s="24" t="s">
        <v>229</v>
      </c>
      <c r="E51" s="21" t="s">
        <v>175</v>
      </c>
      <c r="F51" s="23" t="s">
        <v>218</v>
      </c>
      <c r="G51" s="23" t="s">
        <v>258</v>
      </c>
      <c r="H51" s="21">
        <v>4000</v>
      </c>
      <c r="I51" s="25">
        <v>854470000000</v>
      </c>
      <c r="J51" s="21" t="s">
        <v>370</v>
      </c>
      <c r="K51" s="14">
        <v>504</v>
      </c>
      <c r="L51" s="11">
        <v>520</v>
      </c>
      <c r="M51" s="14"/>
      <c r="N51" s="42">
        <v>505</v>
      </c>
      <c r="O51" s="42">
        <v>0</v>
      </c>
      <c r="P51" s="55"/>
      <c r="Q51" s="56">
        <f t="shared" si="9"/>
        <v>505</v>
      </c>
      <c r="R51" s="61" t="s">
        <v>442</v>
      </c>
      <c r="S51" s="57">
        <f t="shared" si="6"/>
        <v>1.984126984126984E-3</v>
      </c>
      <c r="U51" s="56">
        <f t="shared" si="1"/>
        <v>537.23404255319156</v>
      </c>
      <c r="V51" s="98">
        <f t="shared" si="2"/>
        <v>590.95744680851078</v>
      </c>
    </row>
    <row r="52" spans="1:24">
      <c r="A52" s="21" t="s">
        <v>3</v>
      </c>
      <c r="B52" s="22" t="s">
        <v>197</v>
      </c>
      <c r="C52" s="23" t="s">
        <v>27</v>
      </c>
      <c r="D52" s="24" t="s">
        <v>230</v>
      </c>
      <c r="E52" s="21" t="s">
        <v>175</v>
      </c>
      <c r="F52" s="23" t="s">
        <v>219</v>
      </c>
      <c r="G52" s="23" t="s">
        <v>258</v>
      </c>
      <c r="H52" s="21">
        <v>4000</v>
      </c>
      <c r="I52" s="25">
        <v>854470000000</v>
      </c>
      <c r="J52" s="21" t="s">
        <v>370</v>
      </c>
      <c r="K52" s="14">
        <v>611</v>
      </c>
      <c r="L52" s="11">
        <v>620</v>
      </c>
      <c r="M52" s="14"/>
      <c r="N52" s="42">
        <v>615</v>
      </c>
      <c r="O52" s="42">
        <v>0</v>
      </c>
      <c r="P52" s="55"/>
      <c r="Q52" s="56">
        <f t="shared" si="9"/>
        <v>615</v>
      </c>
      <c r="R52" s="61" t="s">
        <v>442</v>
      </c>
      <c r="S52" s="57">
        <f t="shared" si="6"/>
        <v>6.5466448445171853E-3</v>
      </c>
      <c r="U52" s="56">
        <f t="shared" si="1"/>
        <v>654.25531914893622</v>
      </c>
      <c r="V52" s="98">
        <f>(U52*V$1)</f>
        <v>719.68085106382989</v>
      </c>
    </row>
    <row r="53" spans="1:24">
      <c r="A53" s="21" t="s">
        <v>3</v>
      </c>
      <c r="B53" s="22" t="s">
        <v>197</v>
      </c>
      <c r="C53" s="23" t="s">
        <v>27</v>
      </c>
      <c r="D53" s="24" t="s">
        <v>231</v>
      </c>
      <c r="E53" s="21" t="s">
        <v>175</v>
      </c>
      <c r="F53" s="23" t="s">
        <v>220</v>
      </c>
      <c r="G53" s="23" t="s">
        <v>258</v>
      </c>
      <c r="H53" s="21">
        <v>4000</v>
      </c>
      <c r="I53" s="25">
        <v>854470000000</v>
      </c>
      <c r="J53" s="21" t="s">
        <v>370</v>
      </c>
      <c r="K53" s="14">
        <v>956</v>
      </c>
      <c r="L53" s="11">
        <v>1010</v>
      </c>
      <c r="M53" s="14"/>
      <c r="N53" s="42">
        <v>950</v>
      </c>
      <c r="O53" s="42">
        <v>0</v>
      </c>
      <c r="P53" s="55"/>
      <c r="Q53" s="56">
        <f t="shared" si="9"/>
        <v>950</v>
      </c>
      <c r="R53" s="61" t="s">
        <v>442</v>
      </c>
      <c r="S53" s="57">
        <f t="shared" si="6"/>
        <v>-6.2761506276150627E-3</v>
      </c>
      <c r="U53" s="56">
        <f t="shared" si="1"/>
        <v>1010.6382978723404</v>
      </c>
      <c r="V53" s="98">
        <f t="shared" si="2"/>
        <v>1111.7021276595747</v>
      </c>
    </row>
    <row r="54" spans="1:24">
      <c r="A54" s="21" t="s">
        <v>89</v>
      </c>
      <c r="B54" s="22" t="s">
        <v>197</v>
      </c>
      <c r="C54" s="23" t="s">
        <v>27</v>
      </c>
      <c r="D54" s="24" t="s">
        <v>232</v>
      </c>
      <c r="E54" s="21" t="s">
        <v>175</v>
      </c>
      <c r="F54" s="23" t="s">
        <v>221</v>
      </c>
      <c r="G54" s="23" t="s">
        <v>258</v>
      </c>
      <c r="H54" s="21">
        <v>4000</v>
      </c>
      <c r="I54" s="25">
        <v>854470000000</v>
      </c>
      <c r="J54" s="21" t="s">
        <v>370</v>
      </c>
      <c r="K54" s="14">
        <v>306</v>
      </c>
      <c r="L54" s="11">
        <v>310</v>
      </c>
      <c r="M54" s="14"/>
      <c r="N54" s="26">
        <v>330</v>
      </c>
      <c r="O54" s="26">
        <v>0</v>
      </c>
      <c r="Q54" s="58">
        <f t="shared" si="9"/>
        <v>330</v>
      </c>
      <c r="R54" s="61" t="s">
        <v>445</v>
      </c>
      <c r="S54" s="57">
        <f t="shared" si="6"/>
        <v>7.8431372549019607E-2</v>
      </c>
      <c r="U54" s="58">
        <f t="shared" si="1"/>
        <v>351.06382978723406</v>
      </c>
      <c r="V54" s="99">
        <f t="shared" si="2"/>
        <v>386.1702127659575</v>
      </c>
    </row>
    <row r="55" spans="1:24">
      <c r="A55" s="21" t="s">
        <v>89</v>
      </c>
      <c r="B55" s="22" t="s">
        <v>197</v>
      </c>
      <c r="C55" s="23" t="s">
        <v>27</v>
      </c>
      <c r="D55" s="24" t="s">
        <v>233</v>
      </c>
      <c r="E55" s="21" t="s">
        <v>175</v>
      </c>
      <c r="F55" s="23" t="s">
        <v>222</v>
      </c>
      <c r="G55" s="23" t="s">
        <v>258</v>
      </c>
      <c r="H55" s="21">
        <v>4000</v>
      </c>
      <c r="I55" s="25">
        <v>854470000000</v>
      </c>
      <c r="J55" s="21" t="s">
        <v>370</v>
      </c>
      <c r="K55" s="14">
        <v>313</v>
      </c>
      <c r="L55" s="11">
        <v>320</v>
      </c>
      <c r="M55" s="14"/>
      <c r="N55" s="26">
        <v>355</v>
      </c>
      <c r="O55" s="26">
        <v>0</v>
      </c>
      <c r="Q55" s="58">
        <f t="shared" si="9"/>
        <v>355</v>
      </c>
      <c r="R55" s="61" t="s">
        <v>445</v>
      </c>
      <c r="S55" s="57">
        <f t="shared" si="6"/>
        <v>0.13418530351437699</v>
      </c>
      <c r="U55" s="58">
        <f t="shared" si="1"/>
        <v>377.65957446808511</v>
      </c>
      <c r="V55" s="99">
        <f t="shared" si="2"/>
        <v>415.42553191489367</v>
      </c>
    </row>
    <row r="56" spans="1:24">
      <c r="A56" s="21" t="s">
        <v>89</v>
      </c>
      <c r="B56" s="22" t="s">
        <v>197</v>
      </c>
      <c r="C56" s="23" t="s">
        <v>27</v>
      </c>
      <c r="D56" s="24" t="s">
        <v>234</v>
      </c>
      <c r="E56" s="21" t="s">
        <v>175</v>
      </c>
      <c r="F56" s="23" t="s">
        <v>223</v>
      </c>
      <c r="G56" s="23" t="s">
        <v>258</v>
      </c>
      <c r="H56" s="21">
        <v>4000</v>
      </c>
      <c r="I56" s="25">
        <v>854470000000</v>
      </c>
      <c r="J56" s="21" t="s">
        <v>370</v>
      </c>
      <c r="K56" s="14">
        <v>321</v>
      </c>
      <c r="L56" s="11">
        <v>335</v>
      </c>
      <c r="M56" s="14"/>
      <c r="N56" s="26">
        <v>365</v>
      </c>
      <c r="O56" s="26">
        <v>0</v>
      </c>
      <c r="Q56" s="58">
        <f t="shared" si="9"/>
        <v>365</v>
      </c>
      <c r="R56" s="61" t="s">
        <v>445</v>
      </c>
      <c r="S56" s="57">
        <f t="shared" si="6"/>
        <v>0.13707165109034267</v>
      </c>
      <c r="U56" s="58">
        <f t="shared" si="1"/>
        <v>388.29787234042556</v>
      </c>
      <c r="V56" s="99">
        <f t="shared" si="2"/>
        <v>427.12765957446817</v>
      </c>
    </row>
    <row r="57" spans="1:24">
      <c r="A57" s="21" t="s">
        <v>89</v>
      </c>
      <c r="B57" s="22" t="s">
        <v>197</v>
      </c>
      <c r="C57" s="23" t="s">
        <v>27</v>
      </c>
      <c r="D57" s="24" t="s">
        <v>235</v>
      </c>
      <c r="E57" s="21" t="s">
        <v>175</v>
      </c>
      <c r="F57" s="23" t="s">
        <v>224</v>
      </c>
      <c r="G57" s="23" t="s">
        <v>258</v>
      </c>
      <c r="H57" s="21">
        <v>4000</v>
      </c>
      <c r="I57" s="25">
        <v>854470000000</v>
      </c>
      <c r="J57" s="21" t="s">
        <v>370</v>
      </c>
      <c r="K57" s="14">
        <v>336</v>
      </c>
      <c r="L57" s="11">
        <v>355</v>
      </c>
      <c r="M57" s="14"/>
      <c r="N57" s="26">
        <v>405</v>
      </c>
      <c r="O57" s="26">
        <v>0</v>
      </c>
      <c r="Q57" s="58">
        <f t="shared" si="9"/>
        <v>405</v>
      </c>
      <c r="R57" s="61" t="s">
        <v>445</v>
      </c>
      <c r="S57" s="57">
        <f t="shared" si="6"/>
        <v>0.20535714285714285</v>
      </c>
      <c r="U57" s="58">
        <f t="shared" si="1"/>
        <v>430.85106382978728</v>
      </c>
      <c r="V57" s="99">
        <f t="shared" si="2"/>
        <v>473.93617021276606</v>
      </c>
    </row>
    <row r="58" spans="1:24">
      <c r="A58" s="21" t="s">
        <v>89</v>
      </c>
      <c r="B58" s="22" t="s">
        <v>197</v>
      </c>
      <c r="C58" s="23" t="s">
        <v>27</v>
      </c>
      <c r="D58" s="24" t="s">
        <v>236</v>
      </c>
      <c r="E58" s="21" t="s">
        <v>175</v>
      </c>
      <c r="F58" s="23" t="s">
        <v>225</v>
      </c>
      <c r="G58" s="23" t="s">
        <v>258</v>
      </c>
      <c r="H58" s="21">
        <v>4000</v>
      </c>
      <c r="I58" s="25">
        <v>854470000000</v>
      </c>
      <c r="J58" s="21" t="s">
        <v>370</v>
      </c>
      <c r="K58" s="14">
        <v>427</v>
      </c>
      <c r="L58" s="11">
        <v>450</v>
      </c>
      <c r="M58" s="14"/>
      <c r="N58" s="26">
        <v>578</v>
      </c>
      <c r="O58" s="26">
        <v>0</v>
      </c>
      <c r="Q58" s="58">
        <f t="shared" si="9"/>
        <v>578</v>
      </c>
      <c r="R58" s="61" t="s">
        <v>445</v>
      </c>
      <c r="S58" s="57">
        <f t="shared" si="6"/>
        <v>0.35362997658079626</v>
      </c>
      <c r="U58" s="58">
        <f t="shared" si="1"/>
        <v>614.89361702127667</v>
      </c>
      <c r="V58" s="99">
        <f t="shared" si="2"/>
        <v>676.38297872340434</v>
      </c>
    </row>
    <row r="59" spans="1:24">
      <c r="A59" s="63" t="s">
        <v>3</v>
      </c>
      <c r="B59" s="64" t="s">
        <v>263</v>
      </c>
      <c r="C59" s="65" t="s">
        <v>18</v>
      </c>
      <c r="D59" s="66" t="s">
        <v>19</v>
      </c>
      <c r="E59" s="63" t="s">
        <v>173</v>
      </c>
      <c r="F59" s="65" t="s">
        <v>20</v>
      </c>
      <c r="G59" s="65" t="s">
        <v>258</v>
      </c>
      <c r="H59" s="63">
        <v>4000</v>
      </c>
      <c r="I59" s="67">
        <v>854470000000</v>
      </c>
      <c r="J59" s="63" t="s">
        <v>370</v>
      </c>
      <c r="K59" s="14">
        <v>257</v>
      </c>
      <c r="L59" s="11">
        <v>268</v>
      </c>
      <c r="M59" s="14"/>
      <c r="N59" s="42">
        <v>257</v>
      </c>
      <c r="O59" s="42">
        <v>240</v>
      </c>
      <c r="Q59" s="56">
        <f t="shared" ref="Q59:Q66" si="10">+N59</f>
        <v>257</v>
      </c>
      <c r="R59" s="61" t="s">
        <v>442</v>
      </c>
      <c r="S59" s="57">
        <f t="shared" si="6"/>
        <v>0</v>
      </c>
      <c r="U59" s="56">
        <f t="shared" si="1"/>
        <v>273.40425531914894</v>
      </c>
      <c r="V59" s="98">
        <f t="shared" si="2"/>
        <v>300.74468085106389</v>
      </c>
      <c r="X59" s="121"/>
    </row>
    <row r="60" spans="1:24">
      <c r="A60" s="63" t="s">
        <v>3</v>
      </c>
      <c r="B60" s="64" t="s">
        <v>263</v>
      </c>
      <c r="C60" s="65" t="s">
        <v>18</v>
      </c>
      <c r="D60" s="66" t="s">
        <v>21</v>
      </c>
      <c r="E60" s="63" t="s">
        <v>173</v>
      </c>
      <c r="F60" s="65" t="s">
        <v>22</v>
      </c>
      <c r="G60" s="65" t="s">
        <v>258</v>
      </c>
      <c r="H60" s="63">
        <v>4000</v>
      </c>
      <c r="I60" s="67">
        <v>854470000000</v>
      </c>
      <c r="J60" s="63" t="s">
        <v>370</v>
      </c>
      <c r="K60" s="14">
        <v>308</v>
      </c>
      <c r="L60" s="11">
        <v>316</v>
      </c>
      <c r="M60" s="14"/>
      <c r="N60" s="42">
        <v>308</v>
      </c>
      <c r="O60" s="42">
        <v>280</v>
      </c>
      <c r="Q60" s="56">
        <f t="shared" si="10"/>
        <v>308</v>
      </c>
      <c r="R60" s="61" t="s">
        <v>442</v>
      </c>
      <c r="S60" s="57">
        <f t="shared" si="6"/>
        <v>0</v>
      </c>
      <c r="U60" s="56">
        <f t="shared" si="1"/>
        <v>327.65957446808511</v>
      </c>
      <c r="V60" s="98">
        <f t="shared" si="2"/>
        <v>360.42553191489367</v>
      </c>
    </row>
    <row r="61" spans="1:24">
      <c r="A61" s="63" t="s">
        <v>3</v>
      </c>
      <c r="B61" s="64" t="s">
        <v>263</v>
      </c>
      <c r="C61" s="65" t="s">
        <v>18</v>
      </c>
      <c r="D61" s="66" t="s">
        <v>23</v>
      </c>
      <c r="E61" s="63" t="s">
        <v>173</v>
      </c>
      <c r="F61" s="65" t="s">
        <v>24</v>
      </c>
      <c r="G61" s="65" t="s">
        <v>258</v>
      </c>
      <c r="H61" s="63">
        <v>4000</v>
      </c>
      <c r="I61" s="67">
        <v>854470000000</v>
      </c>
      <c r="J61" s="63" t="s">
        <v>370</v>
      </c>
      <c r="K61" s="14">
        <v>406</v>
      </c>
      <c r="L61" s="11">
        <v>413</v>
      </c>
      <c r="M61" s="14"/>
      <c r="N61" s="42">
        <v>396</v>
      </c>
      <c r="O61" s="42">
        <v>360</v>
      </c>
      <c r="Q61" s="56">
        <f t="shared" si="10"/>
        <v>396</v>
      </c>
      <c r="R61" s="61" t="s">
        <v>442</v>
      </c>
      <c r="S61" s="57">
        <f t="shared" si="6"/>
        <v>-2.4630541871921183E-2</v>
      </c>
      <c r="U61" s="56">
        <f t="shared" si="1"/>
        <v>421.27659574468089</v>
      </c>
      <c r="V61" s="98">
        <f t="shared" si="2"/>
        <v>463.404255319149</v>
      </c>
    </row>
    <row r="62" spans="1:24">
      <c r="A62" s="63" t="s">
        <v>3</v>
      </c>
      <c r="B62" s="64" t="s">
        <v>263</v>
      </c>
      <c r="C62" s="65" t="s">
        <v>18</v>
      </c>
      <c r="D62" s="66" t="s">
        <v>25</v>
      </c>
      <c r="E62" s="63" t="s">
        <v>173</v>
      </c>
      <c r="F62" s="65" t="s">
        <v>26</v>
      </c>
      <c r="G62" s="65" t="s">
        <v>258</v>
      </c>
      <c r="H62" s="63">
        <v>4000</v>
      </c>
      <c r="I62" s="67">
        <v>854470000000</v>
      </c>
      <c r="J62" s="63" t="s">
        <v>370</v>
      </c>
      <c r="K62" s="14">
        <v>697</v>
      </c>
      <c r="L62" s="11">
        <v>710</v>
      </c>
      <c r="M62" s="14"/>
      <c r="N62" s="42">
        <v>677</v>
      </c>
      <c r="O62" s="42">
        <v>600</v>
      </c>
      <c r="Q62" s="56">
        <f t="shared" si="10"/>
        <v>677</v>
      </c>
      <c r="R62" s="61" t="s">
        <v>442</v>
      </c>
      <c r="S62" s="57">
        <f t="shared" si="6"/>
        <v>-2.8694404591104734E-2</v>
      </c>
      <c r="U62" s="56">
        <f t="shared" si="1"/>
        <v>720.21276595744689</v>
      </c>
      <c r="V62" s="98">
        <f t="shared" si="2"/>
        <v>792.23404255319167</v>
      </c>
    </row>
    <row r="63" spans="1:24">
      <c r="A63" s="63" t="s">
        <v>89</v>
      </c>
      <c r="B63" s="64" t="s">
        <v>263</v>
      </c>
      <c r="C63" s="65" t="s">
        <v>18</v>
      </c>
      <c r="D63" s="66" t="s">
        <v>102</v>
      </c>
      <c r="E63" s="63" t="s">
        <v>173</v>
      </c>
      <c r="F63" s="65" t="s">
        <v>103</v>
      </c>
      <c r="G63" s="65" t="s">
        <v>258</v>
      </c>
      <c r="H63" s="63">
        <v>4000</v>
      </c>
      <c r="I63" s="67">
        <v>854470000000</v>
      </c>
      <c r="J63" s="63" t="s">
        <v>370</v>
      </c>
      <c r="K63" s="14">
        <v>143</v>
      </c>
      <c r="L63" s="11">
        <v>150</v>
      </c>
      <c r="M63" s="14"/>
      <c r="N63" s="26">
        <v>178</v>
      </c>
      <c r="O63" s="26">
        <v>0</v>
      </c>
      <c r="Q63" s="58">
        <f t="shared" si="10"/>
        <v>178</v>
      </c>
      <c r="R63" s="61" t="s">
        <v>445</v>
      </c>
      <c r="S63" s="57">
        <f t="shared" si="6"/>
        <v>0.24475524475524477</v>
      </c>
      <c r="U63" s="58">
        <f t="shared" si="1"/>
        <v>189.36170212765958</v>
      </c>
      <c r="V63" s="99">
        <f t="shared" si="2"/>
        <v>208.29787234042556</v>
      </c>
    </row>
    <row r="64" spans="1:24">
      <c r="A64" s="63" t="s">
        <v>89</v>
      </c>
      <c r="B64" s="64" t="s">
        <v>263</v>
      </c>
      <c r="C64" s="65" t="s">
        <v>18</v>
      </c>
      <c r="D64" s="66" t="s">
        <v>104</v>
      </c>
      <c r="E64" s="63" t="s">
        <v>173</v>
      </c>
      <c r="F64" s="65" t="s">
        <v>105</v>
      </c>
      <c r="G64" s="65" t="s">
        <v>258</v>
      </c>
      <c r="H64" s="63">
        <v>4000</v>
      </c>
      <c r="I64" s="67">
        <v>854470000000</v>
      </c>
      <c r="J64" s="63" t="s">
        <v>370</v>
      </c>
      <c r="K64" s="14">
        <v>154</v>
      </c>
      <c r="L64" s="11">
        <v>158</v>
      </c>
      <c r="M64" s="14"/>
      <c r="N64" s="26">
        <v>194</v>
      </c>
      <c r="O64" s="26">
        <v>0</v>
      </c>
      <c r="Q64" s="58">
        <f t="shared" si="10"/>
        <v>194</v>
      </c>
      <c r="R64" s="61" t="s">
        <v>445</v>
      </c>
      <c r="S64" s="57">
        <f t="shared" si="6"/>
        <v>0.25974025974025972</v>
      </c>
      <c r="U64" s="58">
        <f t="shared" si="1"/>
        <v>206.38297872340428</v>
      </c>
      <c r="V64" s="99">
        <f t="shared" si="2"/>
        <v>227.02127659574472</v>
      </c>
    </row>
    <row r="65" spans="1:24">
      <c r="A65" s="63" t="s">
        <v>89</v>
      </c>
      <c r="B65" s="64" t="s">
        <v>263</v>
      </c>
      <c r="C65" s="65" t="s">
        <v>18</v>
      </c>
      <c r="D65" s="66" t="s">
        <v>106</v>
      </c>
      <c r="E65" s="63" t="s">
        <v>173</v>
      </c>
      <c r="F65" s="65" t="s">
        <v>107</v>
      </c>
      <c r="G65" s="65" t="s">
        <v>258</v>
      </c>
      <c r="H65" s="63">
        <v>4000</v>
      </c>
      <c r="I65" s="67">
        <v>854470000000</v>
      </c>
      <c r="J65" s="63" t="s">
        <v>370</v>
      </c>
      <c r="K65" s="14">
        <v>165</v>
      </c>
      <c r="L65" s="11">
        <v>175</v>
      </c>
      <c r="M65" s="14"/>
      <c r="N65" s="26">
        <v>230</v>
      </c>
      <c r="O65" s="26">
        <v>0</v>
      </c>
      <c r="Q65" s="58">
        <f t="shared" si="10"/>
        <v>230</v>
      </c>
      <c r="R65" s="61" t="s">
        <v>445</v>
      </c>
      <c r="S65" s="57">
        <f t="shared" si="6"/>
        <v>0.39393939393939392</v>
      </c>
      <c r="U65" s="58">
        <f t="shared" si="1"/>
        <v>244.68085106382981</v>
      </c>
      <c r="V65" s="99">
        <f t="shared" si="2"/>
        <v>269.14893617021283</v>
      </c>
    </row>
    <row r="66" spans="1:24">
      <c r="A66" s="63" t="s">
        <v>89</v>
      </c>
      <c r="B66" s="64" t="s">
        <v>263</v>
      </c>
      <c r="C66" s="65" t="s">
        <v>18</v>
      </c>
      <c r="D66" s="66" t="s">
        <v>108</v>
      </c>
      <c r="E66" s="63" t="s">
        <v>173</v>
      </c>
      <c r="F66" s="65" t="s">
        <v>109</v>
      </c>
      <c r="G66" s="65" t="s">
        <v>258</v>
      </c>
      <c r="H66" s="63">
        <v>4000</v>
      </c>
      <c r="I66" s="67">
        <v>854470000000</v>
      </c>
      <c r="J66" s="63" t="s">
        <v>370</v>
      </c>
      <c r="K66" s="14">
        <v>224</v>
      </c>
      <c r="L66" s="11">
        <v>230</v>
      </c>
      <c r="M66" s="14"/>
      <c r="N66" s="26">
        <v>345</v>
      </c>
      <c r="O66" s="26">
        <v>0</v>
      </c>
      <c r="Q66" s="58">
        <f t="shared" si="10"/>
        <v>345</v>
      </c>
      <c r="R66" s="61" t="s">
        <v>445</v>
      </c>
      <c r="S66" s="57">
        <f t="shared" si="6"/>
        <v>0.5401785714285714</v>
      </c>
      <c r="U66" s="58">
        <f t="shared" si="1"/>
        <v>367.02127659574472</v>
      </c>
      <c r="V66" s="99">
        <f t="shared" si="2"/>
        <v>403.72340425531922</v>
      </c>
    </row>
    <row r="67" spans="1:24">
      <c r="A67" s="21" t="s">
        <v>3</v>
      </c>
      <c r="B67" s="22" t="s">
        <v>136</v>
      </c>
      <c r="C67" s="23" t="s">
        <v>4</v>
      </c>
      <c r="D67" s="24" t="s">
        <v>5</v>
      </c>
      <c r="E67" s="21" t="s">
        <v>174</v>
      </c>
      <c r="F67" s="23" t="s">
        <v>6</v>
      </c>
      <c r="G67" s="23" t="s">
        <v>258</v>
      </c>
      <c r="H67" s="21">
        <v>4000</v>
      </c>
      <c r="I67" s="25">
        <v>854470000000</v>
      </c>
      <c r="J67" s="21" t="s">
        <v>370</v>
      </c>
      <c r="K67" s="14">
        <v>300</v>
      </c>
      <c r="L67" s="11">
        <v>306</v>
      </c>
      <c r="M67" s="14"/>
      <c r="N67" s="42">
        <v>300</v>
      </c>
      <c r="O67" s="42">
        <v>273</v>
      </c>
      <c r="Q67" s="56">
        <f t="shared" ref="Q67:Q70" si="11">+N67</f>
        <v>300</v>
      </c>
      <c r="R67" s="61" t="s">
        <v>442</v>
      </c>
      <c r="S67" s="57">
        <f t="shared" si="6"/>
        <v>0</v>
      </c>
      <c r="U67" s="56">
        <f t="shared" si="1"/>
        <v>319.14893617021278</v>
      </c>
      <c r="V67" s="98">
        <f t="shared" si="2"/>
        <v>351.06382978723406</v>
      </c>
      <c r="X67" s="121"/>
    </row>
    <row r="68" spans="1:24">
      <c r="A68" s="21" t="s">
        <v>3</v>
      </c>
      <c r="B68" s="22" t="s">
        <v>136</v>
      </c>
      <c r="C68" s="23" t="s">
        <v>4</v>
      </c>
      <c r="D68" s="24" t="s">
        <v>7</v>
      </c>
      <c r="E68" s="21" t="s">
        <v>174</v>
      </c>
      <c r="F68" s="23" t="s">
        <v>8</v>
      </c>
      <c r="G68" s="23" t="s">
        <v>258</v>
      </c>
      <c r="H68" s="21">
        <v>4000</v>
      </c>
      <c r="I68" s="25">
        <v>854470000000</v>
      </c>
      <c r="J68" s="21" t="s">
        <v>370</v>
      </c>
      <c r="K68" s="14">
        <v>347</v>
      </c>
      <c r="L68" s="11">
        <v>356</v>
      </c>
      <c r="M68" s="14"/>
      <c r="N68" s="42">
        <v>337</v>
      </c>
      <c r="O68" s="42">
        <v>312</v>
      </c>
      <c r="Q68" s="56">
        <f t="shared" si="11"/>
        <v>337</v>
      </c>
      <c r="R68" s="61" t="s">
        <v>442</v>
      </c>
      <c r="S68" s="57">
        <f t="shared" si="6"/>
        <v>-2.8818443804034581E-2</v>
      </c>
      <c r="U68" s="56">
        <f t="shared" si="1"/>
        <v>358.51063829787233</v>
      </c>
      <c r="V68" s="98">
        <f t="shared" si="2"/>
        <v>394.36170212765961</v>
      </c>
    </row>
    <row r="69" spans="1:24">
      <c r="A69" s="21" t="s">
        <v>3</v>
      </c>
      <c r="B69" s="22" t="s">
        <v>136</v>
      </c>
      <c r="C69" s="23" t="s">
        <v>4</v>
      </c>
      <c r="D69" s="24" t="s">
        <v>9</v>
      </c>
      <c r="E69" s="21" t="s">
        <v>174</v>
      </c>
      <c r="F69" s="23" t="s">
        <v>10</v>
      </c>
      <c r="G69" s="23" t="s">
        <v>258</v>
      </c>
      <c r="H69" s="21">
        <v>4000</v>
      </c>
      <c r="I69" s="25">
        <v>854470000000</v>
      </c>
      <c r="J69" s="21" t="s">
        <v>370</v>
      </c>
      <c r="K69" s="14">
        <v>441</v>
      </c>
      <c r="L69" s="11">
        <v>457</v>
      </c>
      <c r="M69" s="14"/>
      <c r="N69" s="42">
        <v>427</v>
      </c>
      <c r="O69" s="42">
        <v>388</v>
      </c>
      <c r="Q69" s="56">
        <f t="shared" si="11"/>
        <v>427</v>
      </c>
      <c r="R69" s="61" t="s">
        <v>442</v>
      </c>
      <c r="S69" s="57">
        <f t="shared" si="6"/>
        <v>-3.1746031746031744E-2</v>
      </c>
      <c r="U69" s="56">
        <f t="shared" si="1"/>
        <v>454.25531914893622</v>
      </c>
      <c r="V69" s="98">
        <f t="shared" si="2"/>
        <v>499.68085106382989</v>
      </c>
    </row>
    <row r="70" spans="1:24">
      <c r="A70" s="21" t="s">
        <v>3</v>
      </c>
      <c r="B70" s="22" t="s">
        <v>136</v>
      </c>
      <c r="C70" s="23" t="s">
        <v>4</v>
      </c>
      <c r="D70" s="24" t="s">
        <v>11</v>
      </c>
      <c r="E70" s="21" t="s">
        <v>174</v>
      </c>
      <c r="F70" s="23" t="s">
        <v>12</v>
      </c>
      <c r="G70" s="23" t="s">
        <v>258</v>
      </c>
      <c r="H70" s="21">
        <v>4000</v>
      </c>
      <c r="I70" s="25">
        <v>854470000000</v>
      </c>
      <c r="J70" s="21" t="s">
        <v>370</v>
      </c>
      <c r="K70" s="14">
        <v>744</v>
      </c>
      <c r="L70" s="11">
        <v>768</v>
      </c>
      <c r="M70" s="14"/>
      <c r="N70" s="42">
        <v>716</v>
      </c>
      <c r="O70" s="42">
        <v>655</v>
      </c>
      <c r="Q70" s="56">
        <f t="shared" si="11"/>
        <v>716</v>
      </c>
      <c r="R70" s="61" t="s">
        <v>442</v>
      </c>
      <c r="S70" s="57">
        <f t="shared" si="6"/>
        <v>-3.7634408602150539E-2</v>
      </c>
      <c r="U70" s="56">
        <f t="shared" ref="U70:U134" si="12">(Q70/0.94)</f>
        <v>761.70212765957456</v>
      </c>
      <c r="V70" s="98">
        <f t="shared" ref="V70:V134" si="13">(U70*V$1)</f>
        <v>837.87234042553212</v>
      </c>
    </row>
    <row r="71" spans="1:24">
      <c r="A71" s="21" t="s">
        <v>47</v>
      </c>
      <c r="B71" s="22" t="s">
        <v>136</v>
      </c>
      <c r="C71" s="23" t="s">
        <v>4</v>
      </c>
      <c r="D71" s="24" t="s">
        <v>48</v>
      </c>
      <c r="E71" s="21" t="s">
        <v>174</v>
      </c>
      <c r="F71" s="23" t="s">
        <v>49</v>
      </c>
      <c r="G71" s="23" t="s">
        <v>258</v>
      </c>
      <c r="H71" s="21">
        <v>4000</v>
      </c>
      <c r="I71" s="25">
        <v>854470000000</v>
      </c>
      <c r="J71" s="21" t="s">
        <v>370</v>
      </c>
      <c r="K71" s="14">
        <v>460</v>
      </c>
      <c r="L71" s="11"/>
      <c r="M71" s="14">
        <v>425</v>
      </c>
      <c r="N71" s="42">
        <v>460</v>
      </c>
      <c r="O71" s="42">
        <v>425</v>
      </c>
      <c r="Q71" s="58">
        <f t="shared" ref="Q71:Q74" si="14">+O71</f>
        <v>425</v>
      </c>
      <c r="R71" s="61" t="s">
        <v>443</v>
      </c>
      <c r="S71" s="57">
        <f t="shared" si="6"/>
        <v>-7.6086956521739135E-2</v>
      </c>
      <c r="U71" s="58">
        <f t="shared" si="12"/>
        <v>452.12765957446811</v>
      </c>
      <c r="V71" s="99">
        <f t="shared" si="13"/>
        <v>497.34042553191495</v>
      </c>
      <c r="X71" s="121"/>
    </row>
    <row r="72" spans="1:24">
      <c r="A72" s="21" t="s">
        <v>47</v>
      </c>
      <c r="B72" s="22" t="s">
        <v>136</v>
      </c>
      <c r="C72" s="23" t="s">
        <v>4</v>
      </c>
      <c r="D72" s="24" t="s">
        <v>50</v>
      </c>
      <c r="E72" s="21" t="s">
        <v>174</v>
      </c>
      <c r="F72" s="23" t="s">
        <v>51</v>
      </c>
      <c r="G72" s="23" t="s">
        <v>258</v>
      </c>
      <c r="H72" s="21">
        <v>4000</v>
      </c>
      <c r="I72" s="25">
        <v>854470000000</v>
      </c>
      <c r="J72" s="21" t="s">
        <v>370</v>
      </c>
      <c r="K72" s="14">
        <v>567</v>
      </c>
      <c r="L72" s="11"/>
      <c r="M72" s="14">
        <v>525</v>
      </c>
      <c r="N72" s="42">
        <v>567</v>
      </c>
      <c r="O72" s="42">
        <v>525</v>
      </c>
      <c r="Q72" s="58">
        <f t="shared" si="14"/>
        <v>525</v>
      </c>
      <c r="R72" s="61" t="s">
        <v>443</v>
      </c>
      <c r="S72" s="57">
        <f t="shared" si="6"/>
        <v>-7.407407407407407E-2</v>
      </c>
      <c r="U72" s="58">
        <f t="shared" si="12"/>
        <v>558.51063829787233</v>
      </c>
      <c r="V72" s="99">
        <f t="shared" si="13"/>
        <v>614.36170212765967</v>
      </c>
    </row>
    <row r="73" spans="1:24">
      <c r="A73" s="21" t="s">
        <v>47</v>
      </c>
      <c r="B73" s="22" t="s">
        <v>136</v>
      </c>
      <c r="C73" s="23" t="s">
        <v>4</v>
      </c>
      <c r="D73" s="24" t="s">
        <v>52</v>
      </c>
      <c r="E73" s="21" t="s">
        <v>174</v>
      </c>
      <c r="F73" s="23" t="s">
        <v>53</v>
      </c>
      <c r="G73" s="23" t="s">
        <v>258</v>
      </c>
      <c r="H73" s="21">
        <v>4000</v>
      </c>
      <c r="I73" s="25">
        <v>854470000000</v>
      </c>
      <c r="J73" s="21" t="s">
        <v>370</v>
      </c>
      <c r="K73" s="14">
        <v>780</v>
      </c>
      <c r="L73" s="11"/>
      <c r="M73" s="14">
        <v>717</v>
      </c>
      <c r="N73" s="42">
        <v>780</v>
      </c>
      <c r="O73" s="42">
        <v>717</v>
      </c>
      <c r="Q73" s="58">
        <f t="shared" si="14"/>
        <v>717</v>
      </c>
      <c r="R73" s="61" t="s">
        <v>443</v>
      </c>
      <c r="S73" s="57">
        <f t="shared" ref="S73:S91" si="15">(Q73-K73)/K73</f>
        <v>-8.0769230769230774E-2</v>
      </c>
      <c r="U73" s="58">
        <f t="shared" si="12"/>
        <v>762.76595744680856</v>
      </c>
      <c r="V73" s="99">
        <f t="shared" si="13"/>
        <v>839.04255319148945</v>
      </c>
    </row>
    <row r="74" spans="1:24">
      <c r="A74" s="21" t="s">
        <v>47</v>
      </c>
      <c r="B74" s="22" t="s">
        <v>136</v>
      </c>
      <c r="C74" s="23" t="s">
        <v>4</v>
      </c>
      <c r="D74" s="24" t="s">
        <v>54</v>
      </c>
      <c r="E74" s="21" t="s">
        <v>174</v>
      </c>
      <c r="F74" s="23" t="s">
        <v>55</v>
      </c>
      <c r="G74" s="23" t="s">
        <v>258</v>
      </c>
      <c r="H74" s="21">
        <v>4000</v>
      </c>
      <c r="I74" s="25">
        <v>854470000000</v>
      </c>
      <c r="J74" s="21" t="s">
        <v>370</v>
      </c>
      <c r="K74" s="14">
        <v>1510</v>
      </c>
      <c r="L74" s="11"/>
      <c r="M74" s="14">
        <v>1410</v>
      </c>
      <c r="N74" s="42">
        <v>1510</v>
      </c>
      <c r="O74" s="42">
        <v>1410</v>
      </c>
      <c r="Q74" s="58">
        <f t="shared" si="14"/>
        <v>1410</v>
      </c>
      <c r="R74" s="61" t="s">
        <v>443</v>
      </c>
      <c r="S74" s="57">
        <f t="shared" si="15"/>
        <v>-6.6225165562913912E-2</v>
      </c>
      <c r="U74" s="58">
        <f t="shared" si="12"/>
        <v>1500</v>
      </c>
      <c r="V74" s="99">
        <f t="shared" si="13"/>
        <v>1650.0000000000002</v>
      </c>
    </row>
    <row r="75" spans="1:24">
      <c r="A75" s="21" t="s">
        <v>76</v>
      </c>
      <c r="B75" s="22" t="s">
        <v>136</v>
      </c>
      <c r="C75" s="23" t="s">
        <v>4</v>
      </c>
      <c r="D75" s="24" t="s">
        <v>77</v>
      </c>
      <c r="E75" s="21" t="s">
        <v>174</v>
      </c>
      <c r="F75" s="23" t="s">
        <v>78</v>
      </c>
      <c r="G75" s="23" t="s">
        <v>258</v>
      </c>
      <c r="H75" s="21">
        <v>4000</v>
      </c>
      <c r="I75" s="25">
        <v>854470000000</v>
      </c>
      <c r="J75" s="21" t="s">
        <v>370</v>
      </c>
      <c r="K75" s="14">
        <v>866</v>
      </c>
      <c r="L75" s="11">
        <v>890</v>
      </c>
      <c r="M75" s="14"/>
      <c r="N75" s="26">
        <v>800</v>
      </c>
      <c r="O75" s="26">
        <v>0</v>
      </c>
      <c r="Q75" s="58">
        <f t="shared" ref="Q75:Q82" si="16">+N75</f>
        <v>800</v>
      </c>
      <c r="R75" s="61" t="s">
        <v>444</v>
      </c>
      <c r="S75" s="57">
        <f t="shared" si="15"/>
        <v>-7.6212471131639717E-2</v>
      </c>
      <c r="U75" s="58">
        <f t="shared" si="12"/>
        <v>851.06382978723411</v>
      </c>
      <c r="V75" s="99">
        <f t="shared" si="13"/>
        <v>936.17021276595756</v>
      </c>
    </row>
    <row r="76" spans="1:24">
      <c r="A76" s="21" t="s">
        <v>76</v>
      </c>
      <c r="B76" s="22" t="s">
        <v>136</v>
      </c>
      <c r="C76" s="23" t="s">
        <v>4</v>
      </c>
      <c r="D76" s="24" t="s">
        <v>79</v>
      </c>
      <c r="E76" s="21" t="s">
        <v>174</v>
      </c>
      <c r="F76" s="23" t="s">
        <v>80</v>
      </c>
      <c r="G76" s="23" t="s">
        <v>258</v>
      </c>
      <c r="H76" s="21">
        <v>4000</v>
      </c>
      <c r="I76" s="25">
        <v>854470000000</v>
      </c>
      <c r="J76" s="21" t="s">
        <v>370</v>
      </c>
      <c r="K76" s="14">
        <v>1134</v>
      </c>
      <c r="L76" s="11">
        <v>1158</v>
      </c>
      <c r="M76" s="14"/>
      <c r="N76" s="26">
        <v>1010</v>
      </c>
      <c r="O76" s="26">
        <v>0</v>
      </c>
      <c r="Q76" s="58">
        <f t="shared" si="16"/>
        <v>1010</v>
      </c>
      <c r="R76" s="61" t="s">
        <v>444</v>
      </c>
      <c r="S76" s="57">
        <f t="shared" si="15"/>
        <v>-0.10934744268077601</v>
      </c>
      <c r="U76" s="58">
        <f t="shared" si="12"/>
        <v>1074.4680851063831</v>
      </c>
      <c r="V76" s="99">
        <f t="shared" si="13"/>
        <v>1181.9148936170216</v>
      </c>
    </row>
    <row r="77" spans="1:24">
      <c r="A77" s="21" t="s">
        <v>76</v>
      </c>
      <c r="B77" s="22" t="s">
        <v>136</v>
      </c>
      <c r="C77" s="23" t="s">
        <v>4</v>
      </c>
      <c r="D77" s="24" t="s">
        <v>81</v>
      </c>
      <c r="E77" s="21" t="s">
        <v>174</v>
      </c>
      <c r="F77" s="23" t="s">
        <v>82</v>
      </c>
      <c r="G77" s="23" t="s">
        <v>258</v>
      </c>
      <c r="H77" s="21">
        <v>4000</v>
      </c>
      <c r="I77" s="25">
        <v>854470000000</v>
      </c>
      <c r="J77" s="21" t="s">
        <v>370</v>
      </c>
      <c r="K77" s="14">
        <v>1660</v>
      </c>
      <c r="L77" s="11">
        <v>1678</v>
      </c>
      <c r="M77" s="14"/>
      <c r="N77" s="26">
        <v>1450</v>
      </c>
      <c r="O77" s="26">
        <v>0</v>
      </c>
      <c r="Q77" s="58">
        <f t="shared" si="16"/>
        <v>1450</v>
      </c>
      <c r="R77" s="61" t="s">
        <v>444</v>
      </c>
      <c r="S77" s="57">
        <f t="shared" si="15"/>
        <v>-0.12650602409638553</v>
      </c>
      <c r="U77" s="58">
        <f t="shared" si="12"/>
        <v>1542.5531914893618</v>
      </c>
      <c r="V77" s="99">
        <f t="shared" si="13"/>
        <v>1696.808510638298</v>
      </c>
    </row>
    <row r="78" spans="1:24">
      <c r="A78" s="21" t="s">
        <v>76</v>
      </c>
      <c r="B78" s="22" t="s">
        <v>136</v>
      </c>
      <c r="C78" s="23" t="s">
        <v>4</v>
      </c>
      <c r="D78" s="24" t="s">
        <v>83</v>
      </c>
      <c r="E78" s="21" t="s">
        <v>174</v>
      </c>
      <c r="F78" s="23" t="s">
        <v>84</v>
      </c>
      <c r="G78" s="23" t="s">
        <v>258</v>
      </c>
      <c r="H78" s="21">
        <v>4000</v>
      </c>
      <c r="I78" s="25">
        <v>854470000000</v>
      </c>
      <c r="J78" s="21" t="s">
        <v>370</v>
      </c>
      <c r="K78" s="14">
        <v>3130</v>
      </c>
      <c r="L78" s="11">
        <v>3150</v>
      </c>
      <c r="M78" s="14"/>
      <c r="N78" s="26">
        <v>2750</v>
      </c>
      <c r="O78" s="26">
        <v>0</v>
      </c>
      <c r="Q78" s="58">
        <f t="shared" si="16"/>
        <v>2750</v>
      </c>
      <c r="R78" s="61" t="s">
        <v>444</v>
      </c>
      <c r="S78" s="57">
        <f t="shared" si="15"/>
        <v>-0.12140575079872204</v>
      </c>
      <c r="U78" s="58">
        <f t="shared" si="12"/>
        <v>2925.5319148936173</v>
      </c>
      <c r="V78" s="99">
        <f t="shared" si="13"/>
        <v>3218.0851063829791</v>
      </c>
    </row>
    <row r="79" spans="1:24">
      <c r="A79" s="21" t="s">
        <v>89</v>
      </c>
      <c r="B79" s="22" t="s">
        <v>136</v>
      </c>
      <c r="C79" s="23" t="s">
        <v>4</v>
      </c>
      <c r="D79" s="24" t="s">
        <v>90</v>
      </c>
      <c r="E79" s="21" t="s">
        <v>174</v>
      </c>
      <c r="F79" s="23" t="s">
        <v>91</v>
      </c>
      <c r="G79" s="23" t="s">
        <v>258</v>
      </c>
      <c r="H79" s="21">
        <v>4000</v>
      </c>
      <c r="I79" s="25">
        <v>854470000000</v>
      </c>
      <c r="J79" s="21" t="s">
        <v>370</v>
      </c>
      <c r="K79" s="14">
        <v>170</v>
      </c>
      <c r="L79" s="11">
        <v>178</v>
      </c>
      <c r="M79" s="14"/>
      <c r="N79" s="26">
        <v>205</v>
      </c>
      <c r="O79" s="26">
        <v>0</v>
      </c>
      <c r="Q79" s="58">
        <f t="shared" si="16"/>
        <v>205</v>
      </c>
      <c r="R79" s="61" t="s">
        <v>445</v>
      </c>
      <c r="S79" s="57">
        <f t="shared" si="15"/>
        <v>0.20588235294117646</v>
      </c>
      <c r="U79" s="58">
        <f t="shared" si="12"/>
        <v>218.08510638297872</v>
      </c>
      <c r="V79" s="99">
        <f t="shared" si="13"/>
        <v>239.89361702127661</v>
      </c>
    </row>
    <row r="80" spans="1:24">
      <c r="A80" s="21" t="s">
        <v>89</v>
      </c>
      <c r="B80" s="22" t="s">
        <v>136</v>
      </c>
      <c r="C80" s="23" t="s">
        <v>4</v>
      </c>
      <c r="D80" s="24" t="s">
        <v>92</v>
      </c>
      <c r="E80" s="21" t="s">
        <v>174</v>
      </c>
      <c r="F80" s="23" t="s">
        <v>93</v>
      </c>
      <c r="G80" s="23" t="s">
        <v>258</v>
      </c>
      <c r="H80" s="21">
        <v>4000</v>
      </c>
      <c r="I80" s="25">
        <v>854470000000</v>
      </c>
      <c r="J80" s="21" t="s">
        <v>370</v>
      </c>
      <c r="K80" s="14">
        <v>178</v>
      </c>
      <c r="L80" s="11">
        <v>185</v>
      </c>
      <c r="M80" s="14"/>
      <c r="N80" s="26">
        <v>220</v>
      </c>
      <c r="O80" s="26">
        <v>0</v>
      </c>
      <c r="Q80" s="58">
        <f t="shared" si="16"/>
        <v>220</v>
      </c>
      <c r="R80" s="61" t="s">
        <v>445</v>
      </c>
      <c r="S80" s="57">
        <f t="shared" si="15"/>
        <v>0.23595505617977527</v>
      </c>
      <c r="U80" s="58">
        <f t="shared" si="12"/>
        <v>234.04255319148936</v>
      </c>
      <c r="V80" s="99">
        <f t="shared" si="13"/>
        <v>257.44680851063833</v>
      </c>
    </row>
    <row r="81" spans="1:26">
      <c r="A81" s="21" t="s">
        <v>89</v>
      </c>
      <c r="B81" s="22" t="s">
        <v>136</v>
      </c>
      <c r="C81" s="23" t="s">
        <v>4</v>
      </c>
      <c r="D81" s="24" t="s">
        <v>94</v>
      </c>
      <c r="E81" s="21" t="s">
        <v>174</v>
      </c>
      <c r="F81" s="23" t="s">
        <v>95</v>
      </c>
      <c r="G81" s="23" t="s">
        <v>258</v>
      </c>
      <c r="H81" s="21">
        <v>4000</v>
      </c>
      <c r="I81" s="25">
        <v>854470000000</v>
      </c>
      <c r="J81" s="21" t="s">
        <v>370</v>
      </c>
      <c r="K81" s="14">
        <v>190</v>
      </c>
      <c r="L81" s="11">
        <v>200</v>
      </c>
      <c r="M81" s="14"/>
      <c r="N81" s="26">
        <v>250</v>
      </c>
      <c r="O81" s="26">
        <v>0</v>
      </c>
      <c r="Q81" s="58">
        <f t="shared" si="16"/>
        <v>250</v>
      </c>
      <c r="R81" s="61" t="s">
        <v>445</v>
      </c>
      <c r="S81" s="57">
        <f t="shared" si="15"/>
        <v>0.31578947368421051</v>
      </c>
      <c r="U81" s="58">
        <f t="shared" si="12"/>
        <v>265.95744680851067</v>
      </c>
      <c r="V81" s="99">
        <f t="shared" si="13"/>
        <v>292.55319148936178</v>
      </c>
    </row>
    <row r="82" spans="1:26">
      <c r="A82" s="21" t="s">
        <v>89</v>
      </c>
      <c r="B82" s="22" t="s">
        <v>136</v>
      </c>
      <c r="C82" s="23" t="s">
        <v>4</v>
      </c>
      <c r="D82" s="24" t="s">
        <v>96</v>
      </c>
      <c r="E82" s="21" t="s">
        <v>174</v>
      </c>
      <c r="F82" s="23" t="s">
        <v>97</v>
      </c>
      <c r="G82" s="23" t="s">
        <v>258</v>
      </c>
      <c r="H82" s="21">
        <v>4000</v>
      </c>
      <c r="I82" s="25">
        <v>854470000000</v>
      </c>
      <c r="J82" s="21" t="s">
        <v>370</v>
      </c>
      <c r="K82" s="14">
        <v>245</v>
      </c>
      <c r="L82" s="11">
        <v>254</v>
      </c>
      <c r="M82" s="14"/>
      <c r="N82" s="26">
        <v>360</v>
      </c>
      <c r="O82" s="26">
        <v>0</v>
      </c>
      <c r="Q82" s="58">
        <f t="shared" si="16"/>
        <v>360</v>
      </c>
      <c r="R82" s="61" t="s">
        <v>445</v>
      </c>
      <c r="S82" s="57">
        <f t="shared" si="15"/>
        <v>0.46938775510204084</v>
      </c>
      <c r="U82" s="58">
        <f t="shared" si="12"/>
        <v>382.97872340425533</v>
      </c>
      <c r="V82" s="99">
        <f t="shared" si="13"/>
        <v>421.27659574468089</v>
      </c>
    </row>
    <row r="83" spans="1:26">
      <c r="A83" s="63" t="s">
        <v>3</v>
      </c>
      <c r="B83" s="64" t="s">
        <v>136</v>
      </c>
      <c r="C83" s="65" t="s">
        <v>4</v>
      </c>
      <c r="D83" s="66" t="s">
        <v>270</v>
      </c>
      <c r="E83" s="63" t="s">
        <v>252</v>
      </c>
      <c r="F83" s="65" t="s">
        <v>271</v>
      </c>
      <c r="G83" s="65" t="s">
        <v>258</v>
      </c>
      <c r="H83" s="63">
        <v>4000</v>
      </c>
      <c r="I83" s="67">
        <v>854470000000</v>
      </c>
      <c r="J83" s="63" t="s">
        <v>370</v>
      </c>
      <c r="K83" s="14">
        <v>318</v>
      </c>
      <c r="L83" s="11">
        <v>331</v>
      </c>
      <c r="M83" s="14"/>
      <c r="N83" s="42">
        <v>295</v>
      </c>
      <c r="O83" s="42">
        <v>305</v>
      </c>
      <c r="P83" s="55"/>
      <c r="Q83" s="56">
        <f t="shared" ref="Q83:Q86" si="17">+N83</f>
        <v>295</v>
      </c>
      <c r="R83" s="61" t="s">
        <v>442</v>
      </c>
      <c r="S83" s="57">
        <f t="shared" si="15"/>
        <v>-7.2327044025157231E-2</v>
      </c>
      <c r="U83" s="56">
        <f t="shared" si="12"/>
        <v>313.82978723404256</v>
      </c>
      <c r="V83" s="98">
        <f t="shared" si="13"/>
        <v>345.21276595744683</v>
      </c>
    </row>
    <row r="84" spans="1:26">
      <c r="A84" s="63" t="s">
        <v>3</v>
      </c>
      <c r="B84" s="64" t="s">
        <v>182</v>
      </c>
      <c r="C84" s="65" t="s">
        <v>4</v>
      </c>
      <c r="D84" s="66" t="s">
        <v>316</v>
      </c>
      <c r="E84" s="63" t="s">
        <v>252</v>
      </c>
      <c r="F84" s="65" t="s">
        <v>317</v>
      </c>
      <c r="G84" s="65" t="s">
        <v>258</v>
      </c>
      <c r="H84" s="63">
        <v>4000</v>
      </c>
      <c r="I84" s="67">
        <v>854470000000</v>
      </c>
      <c r="J84" s="63" t="s">
        <v>370</v>
      </c>
      <c r="K84" s="14">
        <v>395</v>
      </c>
      <c r="L84" s="11">
        <v>414.75</v>
      </c>
      <c r="M84" s="14"/>
      <c r="N84" s="42">
        <v>365</v>
      </c>
      <c r="O84" s="42">
        <v>345</v>
      </c>
      <c r="P84" s="55"/>
      <c r="Q84" s="56">
        <f t="shared" si="17"/>
        <v>365</v>
      </c>
      <c r="R84" s="61" t="s">
        <v>442</v>
      </c>
      <c r="S84" s="57">
        <f t="shared" si="15"/>
        <v>-7.5949367088607597E-2</v>
      </c>
      <c r="U84" s="56">
        <f t="shared" si="12"/>
        <v>388.29787234042556</v>
      </c>
      <c r="V84" s="98">
        <f t="shared" si="13"/>
        <v>427.12765957446817</v>
      </c>
      <c r="X84" s="121"/>
    </row>
    <row r="85" spans="1:26">
      <c r="A85" s="63" t="s">
        <v>3</v>
      </c>
      <c r="B85" s="64" t="s">
        <v>182</v>
      </c>
      <c r="C85" s="65" t="s">
        <v>4</v>
      </c>
      <c r="D85" s="66" t="s">
        <v>183</v>
      </c>
      <c r="E85" s="63" t="s">
        <v>252</v>
      </c>
      <c r="F85" s="65" t="s">
        <v>176</v>
      </c>
      <c r="G85" s="65" t="s">
        <v>258</v>
      </c>
      <c r="H85" s="63">
        <v>4000</v>
      </c>
      <c r="I85" s="67">
        <v>854470000000</v>
      </c>
      <c r="J85" s="63" t="s">
        <v>370</v>
      </c>
      <c r="K85" s="14">
        <v>453</v>
      </c>
      <c r="L85" s="11">
        <v>465</v>
      </c>
      <c r="M85" s="14"/>
      <c r="N85" s="42">
        <v>420</v>
      </c>
      <c r="O85" s="42">
        <v>430</v>
      </c>
      <c r="P85" s="55"/>
      <c r="Q85" s="56">
        <f t="shared" si="17"/>
        <v>420</v>
      </c>
      <c r="R85" s="61" t="s">
        <v>442</v>
      </c>
      <c r="S85" s="57">
        <f t="shared" si="15"/>
        <v>-7.2847682119205295E-2</v>
      </c>
      <c r="U85" s="56">
        <f t="shared" si="12"/>
        <v>446.80851063829789</v>
      </c>
      <c r="V85" s="98">
        <f t="shared" si="13"/>
        <v>491.48936170212772</v>
      </c>
    </row>
    <row r="86" spans="1:26">
      <c r="A86" s="63" t="s">
        <v>3</v>
      </c>
      <c r="B86" s="64" t="s">
        <v>182</v>
      </c>
      <c r="C86" s="65" t="s">
        <v>4</v>
      </c>
      <c r="D86" s="66" t="s">
        <v>184</v>
      </c>
      <c r="E86" s="63" t="s">
        <v>252</v>
      </c>
      <c r="F86" s="65" t="s">
        <v>177</v>
      </c>
      <c r="G86" s="65" t="s">
        <v>258</v>
      </c>
      <c r="H86" s="63">
        <v>4000</v>
      </c>
      <c r="I86" s="67">
        <v>854470000000</v>
      </c>
      <c r="J86" s="63" t="s">
        <v>370</v>
      </c>
      <c r="K86" s="14">
        <v>801</v>
      </c>
      <c r="L86" s="11">
        <v>814</v>
      </c>
      <c r="M86" s="14"/>
      <c r="N86" s="42">
        <v>740</v>
      </c>
      <c r="O86" s="42">
        <v>705</v>
      </c>
      <c r="P86" s="55"/>
      <c r="Q86" s="56">
        <f t="shared" si="17"/>
        <v>740</v>
      </c>
      <c r="R86" s="61" t="s">
        <v>442</v>
      </c>
      <c r="S86" s="57">
        <f t="shared" si="15"/>
        <v>-7.6154806491885149E-2</v>
      </c>
      <c r="U86" s="56">
        <f t="shared" si="12"/>
        <v>787.23404255319156</v>
      </c>
      <c r="V86" s="98">
        <f t="shared" si="13"/>
        <v>865.95744680851078</v>
      </c>
    </row>
    <row r="87" spans="1:26">
      <c r="A87" s="63" t="s">
        <v>47</v>
      </c>
      <c r="B87" s="64" t="s">
        <v>182</v>
      </c>
      <c r="C87" s="65" t="s">
        <v>4</v>
      </c>
      <c r="D87" s="66" t="s">
        <v>272</v>
      </c>
      <c r="E87" s="63" t="s">
        <v>252</v>
      </c>
      <c r="F87" s="65" t="s">
        <v>273</v>
      </c>
      <c r="G87" s="65" t="s">
        <v>258</v>
      </c>
      <c r="H87" s="63">
        <v>4000</v>
      </c>
      <c r="I87" s="67">
        <v>854470000000</v>
      </c>
      <c r="J87" s="63" t="s">
        <v>370</v>
      </c>
      <c r="K87" s="14">
        <v>521</v>
      </c>
      <c r="L87" s="11">
        <v>533</v>
      </c>
      <c r="M87" s="14">
        <v>480</v>
      </c>
      <c r="N87" s="42">
        <v>521</v>
      </c>
      <c r="O87" s="42">
        <v>513</v>
      </c>
      <c r="P87" s="55"/>
      <c r="Q87" s="58">
        <f t="shared" ref="Q87:Q90" si="18">+O87</f>
        <v>513</v>
      </c>
      <c r="R87" s="61" t="s">
        <v>443</v>
      </c>
      <c r="S87" s="57">
        <f t="shared" si="15"/>
        <v>-1.5355086372360844E-2</v>
      </c>
      <c r="U87" s="58">
        <f t="shared" si="12"/>
        <v>545.74468085106389</v>
      </c>
      <c r="V87" s="99">
        <f>(U87*V$1)</f>
        <v>600.31914893617034</v>
      </c>
      <c r="X87" s="121"/>
      <c r="Z87" s="121"/>
    </row>
    <row r="88" spans="1:26">
      <c r="A88" s="63" t="s">
        <v>47</v>
      </c>
      <c r="B88" s="64" t="s">
        <v>182</v>
      </c>
      <c r="C88" s="65" t="s">
        <v>4</v>
      </c>
      <c r="D88" s="66" t="s">
        <v>276</v>
      </c>
      <c r="E88" s="63" t="s">
        <v>252</v>
      </c>
      <c r="F88" s="65" t="s">
        <v>277</v>
      </c>
      <c r="G88" s="65" t="s">
        <v>258</v>
      </c>
      <c r="H88" s="63">
        <v>4000</v>
      </c>
      <c r="I88" s="67">
        <v>854470000000</v>
      </c>
      <c r="J88" s="63" t="s">
        <v>370</v>
      </c>
      <c r="K88" s="14">
        <v>740</v>
      </c>
      <c r="L88" s="11">
        <v>777</v>
      </c>
      <c r="M88" s="14"/>
      <c r="N88" s="42">
        <v>655</v>
      </c>
      <c r="O88" s="42">
        <v>625</v>
      </c>
      <c r="Q88" s="58">
        <f t="shared" si="18"/>
        <v>625</v>
      </c>
      <c r="R88" s="61" t="s">
        <v>443</v>
      </c>
      <c r="S88" s="57">
        <f t="shared" si="15"/>
        <v>-0.1554054054054054</v>
      </c>
      <c r="U88" s="58">
        <f t="shared" si="12"/>
        <v>664.89361702127667</v>
      </c>
      <c r="V88" s="99">
        <f t="shared" si="13"/>
        <v>731.38297872340445</v>
      </c>
    </row>
    <row r="89" spans="1:26">
      <c r="A89" s="63" t="s">
        <v>47</v>
      </c>
      <c r="B89" s="64" t="s">
        <v>182</v>
      </c>
      <c r="C89" s="65" t="s">
        <v>4</v>
      </c>
      <c r="D89" s="66" t="s">
        <v>185</v>
      </c>
      <c r="E89" s="63" t="s">
        <v>252</v>
      </c>
      <c r="F89" s="65" t="s">
        <v>178</v>
      </c>
      <c r="G89" s="65" t="s">
        <v>258</v>
      </c>
      <c r="H89" s="63">
        <v>4000</v>
      </c>
      <c r="I89" s="67">
        <v>854470000000</v>
      </c>
      <c r="J89" s="63" t="s">
        <v>370</v>
      </c>
      <c r="K89" s="14">
        <v>888</v>
      </c>
      <c r="L89" s="11">
        <v>912</v>
      </c>
      <c r="M89" s="14">
        <v>814</v>
      </c>
      <c r="N89" s="42">
        <v>888</v>
      </c>
      <c r="O89" s="42">
        <v>846</v>
      </c>
      <c r="P89" s="55"/>
      <c r="Q89" s="58">
        <f t="shared" si="18"/>
        <v>846</v>
      </c>
      <c r="R89" s="61" t="s">
        <v>443</v>
      </c>
      <c r="S89" s="57">
        <f t="shared" si="15"/>
        <v>-4.72972972972973E-2</v>
      </c>
      <c r="U89" s="58">
        <f t="shared" si="12"/>
        <v>900</v>
      </c>
      <c r="V89" s="99">
        <f t="shared" si="13"/>
        <v>990.00000000000011</v>
      </c>
    </row>
    <row r="90" spans="1:26">
      <c r="A90" s="63" t="s">
        <v>47</v>
      </c>
      <c r="B90" s="64" t="s">
        <v>182</v>
      </c>
      <c r="C90" s="65" t="s">
        <v>4</v>
      </c>
      <c r="D90" s="66" t="s">
        <v>188</v>
      </c>
      <c r="E90" s="63" t="s">
        <v>252</v>
      </c>
      <c r="F90" s="65" t="s">
        <v>179</v>
      </c>
      <c r="G90" s="65" t="s">
        <v>258</v>
      </c>
      <c r="H90" s="63">
        <v>4000</v>
      </c>
      <c r="I90" s="67">
        <v>854470000000</v>
      </c>
      <c r="J90" s="63" t="s">
        <v>370</v>
      </c>
      <c r="K90" s="14">
        <v>1618</v>
      </c>
      <c r="L90" s="11">
        <v>1645</v>
      </c>
      <c r="M90" s="14">
        <v>1498</v>
      </c>
      <c r="N90" s="42">
        <v>1618</v>
      </c>
      <c r="O90" s="42">
        <v>1535</v>
      </c>
      <c r="P90" s="55"/>
      <c r="Q90" s="58">
        <f t="shared" si="18"/>
        <v>1535</v>
      </c>
      <c r="R90" s="61" t="s">
        <v>443</v>
      </c>
      <c r="S90" s="57">
        <f t="shared" si="15"/>
        <v>-5.1297898640296664E-2</v>
      </c>
      <c r="U90" s="58">
        <f t="shared" si="12"/>
        <v>1632.9787234042553</v>
      </c>
      <c r="V90" s="99">
        <f t="shared" si="13"/>
        <v>1796.2765957446811</v>
      </c>
    </row>
    <row r="91" spans="1:26">
      <c r="A91" s="63" t="s">
        <v>76</v>
      </c>
      <c r="B91" s="64" t="s">
        <v>182</v>
      </c>
      <c r="C91" s="65" t="s">
        <v>4</v>
      </c>
      <c r="D91" s="66" t="s">
        <v>358</v>
      </c>
      <c r="E91" s="63" t="s">
        <v>252</v>
      </c>
      <c r="F91" s="65" t="s">
        <v>359</v>
      </c>
      <c r="G91" s="65" t="s">
        <v>258</v>
      </c>
      <c r="H91" s="63">
        <v>4000</v>
      </c>
      <c r="I91" s="67">
        <v>854470000000</v>
      </c>
      <c r="J91" s="63" t="s">
        <v>370</v>
      </c>
      <c r="K91" s="14">
        <v>720</v>
      </c>
      <c r="L91" s="11"/>
      <c r="M91" s="14"/>
      <c r="N91" s="26">
        <v>645</v>
      </c>
      <c r="O91" s="26">
        <v>0</v>
      </c>
      <c r="Q91" s="58">
        <f t="shared" ref="Q91:Q99" si="19">+N91</f>
        <v>645</v>
      </c>
      <c r="R91" s="61" t="s">
        <v>444</v>
      </c>
      <c r="S91" s="57">
        <f t="shared" si="15"/>
        <v>-0.10416666666666667</v>
      </c>
      <c r="U91" s="58">
        <f t="shared" si="12"/>
        <v>686.17021276595744</v>
      </c>
      <c r="V91" s="99">
        <f t="shared" si="13"/>
        <v>754.78723404255322</v>
      </c>
    </row>
    <row r="92" spans="1:26">
      <c r="A92" s="63" t="s">
        <v>76</v>
      </c>
      <c r="B92" s="64" t="s">
        <v>182</v>
      </c>
      <c r="C92" s="65" t="s">
        <v>4</v>
      </c>
      <c r="D92" s="66" t="s">
        <v>434</v>
      </c>
      <c r="E92" s="63" t="s">
        <v>252</v>
      </c>
      <c r="F92" s="65" t="s">
        <v>441</v>
      </c>
      <c r="G92" s="65" t="s">
        <v>258</v>
      </c>
      <c r="H92" s="63">
        <v>4000</v>
      </c>
      <c r="I92" s="67">
        <v>854470000000</v>
      </c>
      <c r="J92" s="63" t="s">
        <v>370</v>
      </c>
      <c r="K92" s="14">
        <v>0</v>
      </c>
      <c r="L92" s="11"/>
      <c r="M92" s="14"/>
      <c r="N92" s="26">
        <v>875</v>
      </c>
      <c r="O92" s="26"/>
      <c r="Q92" s="58">
        <f t="shared" si="19"/>
        <v>875</v>
      </c>
      <c r="R92" s="61" t="s">
        <v>444</v>
      </c>
      <c r="S92" s="57"/>
      <c r="U92" s="58">
        <f t="shared" si="12"/>
        <v>930.85106382978734</v>
      </c>
      <c r="V92" s="99">
        <f t="shared" si="13"/>
        <v>1023.9361702127661</v>
      </c>
    </row>
    <row r="93" spans="1:26">
      <c r="A93" s="63" t="s">
        <v>76</v>
      </c>
      <c r="B93" s="64" t="s">
        <v>182</v>
      </c>
      <c r="C93" s="65" t="s">
        <v>4</v>
      </c>
      <c r="D93" s="66" t="s">
        <v>435</v>
      </c>
      <c r="E93" s="63" t="s">
        <v>252</v>
      </c>
      <c r="F93" s="65" t="s">
        <v>440</v>
      </c>
      <c r="G93" s="65" t="s">
        <v>258</v>
      </c>
      <c r="H93" s="63">
        <v>4000</v>
      </c>
      <c r="I93" s="67">
        <v>854470000000</v>
      </c>
      <c r="J93" s="63" t="s">
        <v>370</v>
      </c>
      <c r="K93" s="14">
        <v>0</v>
      </c>
      <c r="L93" s="11"/>
      <c r="M93" s="14"/>
      <c r="N93" s="26">
        <v>1105</v>
      </c>
      <c r="O93" s="26"/>
      <c r="Q93" s="58">
        <f t="shared" si="19"/>
        <v>1105</v>
      </c>
      <c r="R93" s="61" t="s">
        <v>444</v>
      </c>
      <c r="S93" s="57"/>
      <c r="U93" s="58">
        <f t="shared" si="12"/>
        <v>1175.5319148936171</v>
      </c>
      <c r="V93" s="99">
        <f t="shared" si="13"/>
        <v>1293.0851063829789</v>
      </c>
    </row>
    <row r="94" spans="1:26">
      <c r="A94" s="63" t="s">
        <v>76</v>
      </c>
      <c r="B94" s="64" t="s">
        <v>182</v>
      </c>
      <c r="C94" s="65" t="s">
        <v>4</v>
      </c>
      <c r="D94" s="66" t="s">
        <v>436</v>
      </c>
      <c r="E94" s="63" t="s">
        <v>252</v>
      </c>
      <c r="F94" s="65" t="s">
        <v>439</v>
      </c>
      <c r="G94" s="65" t="s">
        <v>258</v>
      </c>
      <c r="H94" s="63">
        <v>4000</v>
      </c>
      <c r="I94" s="67">
        <v>854470000000</v>
      </c>
      <c r="J94" s="63" t="s">
        <v>370</v>
      </c>
      <c r="K94" s="14">
        <v>0</v>
      </c>
      <c r="L94" s="11"/>
      <c r="M94" s="14"/>
      <c r="N94" s="26">
        <v>1570</v>
      </c>
      <c r="O94" s="26"/>
      <c r="Q94" s="58">
        <f t="shared" si="19"/>
        <v>1570</v>
      </c>
      <c r="R94" s="61" t="s">
        <v>444</v>
      </c>
      <c r="S94" s="57"/>
      <c r="U94" s="58">
        <f t="shared" si="12"/>
        <v>1670.2127659574469</v>
      </c>
      <c r="V94" s="99">
        <f t="shared" si="13"/>
        <v>1837.2340425531918</v>
      </c>
    </row>
    <row r="95" spans="1:26">
      <c r="A95" s="63" t="s">
        <v>76</v>
      </c>
      <c r="B95" s="64" t="s">
        <v>182</v>
      </c>
      <c r="C95" s="65" t="s">
        <v>4</v>
      </c>
      <c r="D95" s="66" t="s">
        <v>437</v>
      </c>
      <c r="E95" s="63" t="s">
        <v>252</v>
      </c>
      <c r="F95" s="65" t="s">
        <v>438</v>
      </c>
      <c r="G95" s="65" t="s">
        <v>258</v>
      </c>
      <c r="H95" s="63">
        <v>4000</v>
      </c>
      <c r="I95" s="67">
        <v>854470000000</v>
      </c>
      <c r="J95" s="63" t="s">
        <v>370</v>
      </c>
      <c r="K95" s="14">
        <v>0</v>
      </c>
      <c r="L95" s="11"/>
      <c r="M95" s="14"/>
      <c r="N95" s="26">
        <v>3000</v>
      </c>
      <c r="O95" s="26"/>
      <c r="Q95" s="58">
        <f t="shared" si="19"/>
        <v>3000</v>
      </c>
      <c r="R95" s="61" t="s">
        <v>444</v>
      </c>
      <c r="S95" s="57"/>
      <c r="U95" s="58">
        <f t="shared" si="12"/>
        <v>3191.489361702128</v>
      </c>
      <c r="V95" s="99">
        <f t="shared" si="13"/>
        <v>3510.6382978723409</v>
      </c>
    </row>
    <row r="96" spans="1:26">
      <c r="A96" s="63">
        <f>+W14</f>
        <v>0</v>
      </c>
      <c r="B96" s="64" t="s">
        <v>182</v>
      </c>
      <c r="C96" s="65" t="s">
        <v>4</v>
      </c>
      <c r="D96" s="66" t="s">
        <v>267</v>
      </c>
      <c r="E96" s="63" t="s">
        <v>252</v>
      </c>
      <c r="F96" s="65" t="s">
        <v>268</v>
      </c>
      <c r="G96" s="65" t="s">
        <v>258</v>
      </c>
      <c r="H96" s="63">
        <v>4000</v>
      </c>
      <c r="I96" s="67">
        <v>854470000000</v>
      </c>
      <c r="J96" s="63" t="s">
        <v>370</v>
      </c>
      <c r="K96" s="14">
        <v>178</v>
      </c>
      <c r="L96" s="11">
        <v>185</v>
      </c>
      <c r="M96" s="14"/>
      <c r="N96" s="26">
        <v>230</v>
      </c>
      <c r="O96" s="26">
        <v>0</v>
      </c>
      <c r="Q96" s="58">
        <f t="shared" si="19"/>
        <v>230</v>
      </c>
      <c r="R96" s="61" t="s">
        <v>445</v>
      </c>
      <c r="S96" s="57">
        <f t="shared" ref="S96:S110" si="20">(Q96-K96)/K96</f>
        <v>0.29213483146067415</v>
      </c>
      <c r="U96" s="58">
        <f t="shared" si="12"/>
        <v>244.68085106382981</v>
      </c>
      <c r="V96" s="99">
        <f t="shared" si="13"/>
        <v>269.14893617021283</v>
      </c>
    </row>
    <row r="97" spans="1:22">
      <c r="A97" s="63" t="s">
        <v>89</v>
      </c>
      <c r="B97" s="64" t="s">
        <v>182</v>
      </c>
      <c r="C97" s="65" t="s">
        <v>4</v>
      </c>
      <c r="D97" s="66" t="s">
        <v>318</v>
      </c>
      <c r="E97" s="63" t="s">
        <v>252</v>
      </c>
      <c r="F97" s="65" t="s">
        <v>357</v>
      </c>
      <c r="G97" s="65" t="s">
        <v>258</v>
      </c>
      <c r="H97" s="63">
        <v>4000</v>
      </c>
      <c r="I97" s="67">
        <v>854470000000</v>
      </c>
      <c r="J97" s="63" t="s">
        <v>370</v>
      </c>
      <c r="K97" s="14">
        <v>185</v>
      </c>
      <c r="L97" s="11">
        <v>194.25</v>
      </c>
      <c r="M97" s="14"/>
      <c r="N97" s="26">
        <v>245</v>
      </c>
      <c r="O97" s="26">
        <v>0</v>
      </c>
      <c r="Q97" s="58">
        <f t="shared" si="19"/>
        <v>245</v>
      </c>
      <c r="R97" s="61" t="s">
        <v>445</v>
      </c>
      <c r="S97" s="57">
        <f t="shared" si="20"/>
        <v>0.32432432432432434</v>
      </c>
      <c r="U97" s="58">
        <f t="shared" si="12"/>
        <v>260.63829787234044</v>
      </c>
      <c r="V97" s="99">
        <f t="shared" si="13"/>
        <v>286.7021276595745</v>
      </c>
    </row>
    <row r="98" spans="1:22">
      <c r="A98" s="63" t="s">
        <v>89</v>
      </c>
      <c r="B98" s="64" t="s">
        <v>182</v>
      </c>
      <c r="C98" s="65" t="s">
        <v>4</v>
      </c>
      <c r="D98" s="66" t="s">
        <v>186</v>
      </c>
      <c r="E98" s="63" t="s">
        <v>252</v>
      </c>
      <c r="F98" s="65" t="s">
        <v>180</v>
      </c>
      <c r="G98" s="65" t="s">
        <v>258</v>
      </c>
      <c r="H98" s="63">
        <v>4000</v>
      </c>
      <c r="I98" s="67">
        <v>854470000000</v>
      </c>
      <c r="J98" s="63" t="s">
        <v>370</v>
      </c>
      <c r="K98" s="14">
        <v>198</v>
      </c>
      <c r="L98" s="11">
        <v>212</v>
      </c>
      <c r="M98" s="14"/>
      <c r="N98" s="26">
        <v>280</v>
      </c>
      <c r="O98" s="26">
        <v>0</v>
      </c>
      <c r="Q98" s="58">
        <f t="shared" si="19"/>
        <v>280</v>
      </c>
      <c r="R98" s="61" t="s">
        <v>445</v>
      </c>
      <c r="S98" s="57">
        <f t="shared" si="20"/>
        <v>0.41414141414141414</v>
      </c>
      <c r="U98" s="58">
        <f t="shared" si="12"/>
        <v>297.87234042553195</v>
      </c>
      <c r="V98" s="99">
        <f t="shared" si="13"/>
        <v>327.65957446808517</v>
      </c>
    </row>
    <row r="99" spans="1:22">
      <c r="A99" s="63" t="s">
        <v>89</v>
      </c>
      <c r="B99" s="64" t="s">
        <v>182</v>
      </c>
      <c r="C99" s="65" t="s">
        <v>4</v>
      </c>
      <c r="D99" s="66" t="s">
        <v>187</v>
      </c>
      <c r="E99" s="63" t="s">
        <v>252</v>
      </c>
      <c r="F99" s="65" t="s">
        <v>181</v>
      </c>
      <c r="G99" s="65" t="s">
        <v>258</v>
      </c>
      <c r="H99" s="63">
        <v>4000</v>
      </c>
      <c r="I99" s="67">
        <v>854470000000</v>
      </c>
      <c r="J99" s="63" t="s">
        <v>370</v>
      </c>
      <c r="K99" s="14">
        <v>251</v>
      </c>
      <c r="L99" s="11">
        <v>265</v>
      </c>
      <c r="M99" s="14"/>
      <c r="N99" s="26">
        <v>400</v>
      </c>
      <c r="O99" s="26">
        <v>0</v>
      </c>
      <c r="Q99" s="58">
        <f t="shared" si="19"/>
        <v>400</v>
      </c>
      <c r="R99" s="61" t="s">
        <v>445</v>
      </c>
      <c r="S99" s="57">
        <f t="shared" si="20"/>
        <v>0.59362549800796816</v>
      </c>
      <c r="U99" s="58">
        <f t="shared" si="12"/>
        <v>425.53191489361706</v>
      </c>
      <c r="V99" s="99">
        <f t="shared" si="13"/>
        <v>468.08510638297878</v>
      </c>
    </row>
    <row r="100" spans="1:22">
      <c r="A100" s="21" t="s">
        <v>3</v>
      </c>
      <c r="B100" s="22" t="s">
        <v>260</v>
      </c>
      <c r="C100" s="23" t="s">
        <v>42</v>
      </c>
      <c r="D100" s="24" t="s">
        <v>43</v>
      </c>
      <c r="E100" s="21" t="s">
        <v>173</v>
      </c>
      <c r="F100" s="23" t="s">
        <v>44</v>
      </c>
      <c r="G100" s="23" t="s">
        <v>258</v>
      </c>
      <c r="H100" s="21">
        <v>4000</v>
      </c>
      <c r="I100" s="25">
        <v>854470000000</v>
      </c>
      <c r="J100" s="21" t="s">
        <v>370</v>
      </c>
      <c r="K100" s="14">
        <v>1597</v>
      </c>
      <c r="L100" s="11">
        <v>1620</v>
      </c>
      <c r="M100" s="14"/>
      <c r="N100" s="42">
        <v>1530</v>
      </c>
      <c r="O100" s="42">
        <v>1350</v>
      </c>
      <c r="Q100" s="56">
        <f t="shared" ref="Q100:Q101" si="21">+N100</f>
        <v>1530</v>
      </c>
      <c r="R100" s="61" t="s">
        <v>442</v>
      </c>
      <c r="S100" s="57">
        <f t="shared" si="20"/>
        <v>-4.1953663118346904E-2</v>
      </c>
      <c r="U100" s="56">
        <f t="shared" si="12"/>
        <v>1627.6595744680851</v>
      </c>
      <c r="V100" s="98">
        <f t="shared" si="13"/>
        <v>1790.4255319148938</v>
      </c>
    </row>
    <row r="101" spans="1:22">
      <c r="A101" s="21" t="s">
        <v>3</v>
      </c>
      <c r="B101" s="22" t="s">
        <v>260</v>
      </c>
      <c r="C101" s="23" t="s">
        <v>42</v>
      </c>
      <c r="D101" s="24" t="s">
        <v>45</v>
      </c>
      <c r="E101" s="21" t="s">
        <v>173</v>
      </c>
      <c r="F101" s="23" t="s">
        <v>46</v>
      </c>
      <c r="G101" s="23" t="s">
        <v>258</v>
      </c>
      <c r="H101" s="21">
        <v>4000</v>
      </c>
      <c r="I101" s="25">
        <v>854470000000</v>
      </c>
      <c r="J101" s="21" t="s">
        <v>370</v>
      </c>
      <c r="K101" s="14">
        <v>2768</v>
      </c>
      <c r="L101" s="11">
        <v>2795</v>
      </c>
      <c r="M101" s="14"/>
      <c r="N101" s="42">
        <v>2710</v>
      </c>
      <c r="O101" s="42">
        <v>2320</v>
      </c>
      <c r="Q101" s="56">
        <f t="shared" si="21"/>
        <v>2710</v>
      </c>
      <c r="R101" s="61" t="s">
        <v>442</v>
      </c>
      <c r="S101" s="57">
        <f t="shared" si="20"/>
        <v>-2.0953757225433526E-2</v>
      </c>
      <c r="U101" s="56">
        <f t="shared" si="12"/>
        <v>2882.9787234042556</v>
      </c>
      <c r="V101" s="98">
        <f t="shared" si="13"/>
        <v>3171.2765957446813</v>
      </c>
    </row>
    <row r="102" spans="1:22">
      <c r="A102" s="21" t="s">
        <v>47</v>
      </c>
      <c r="B102" s="22" t="s">
        <v>260</v>
      </c>
      <c r="C102" s="23" t="s">
        <v>42</v>
      </c>
      <c r="D102" s="24" t="s">
        <v>72</v>
      </c>
      <c r="E102" s="21" t="s">
        <v>173</v>
      </c>
      <c r="F102" s="23" t="s">
        <v>73</v>
      </c>
      <c r="G102" s="23" t="s">
        <v>258</v>
      </c>
      <c r="H102" s="21">
        <v>4000</v>
      </c>
      <c r="I102" s="25">
        <v>854470000000</v>
      </c>
      <c r="J102" s="21" t="s">
        <v>370</v>
      </c>
      <c r="K102" s="14">
        <v>3134</v>
      </c>
      <c r="L102" s="11">
        <v>3155</v>
      </c>
      <c r="M102" s="14">
        <v>3010</v>
      </c>
      <c r="N102" s="42">
        <v>3134</v>
      </c>
      <c r="O102" s="42">
        <v>3010</v>
      </c>
      <c r="Q102" s="58">
        <f t="shared" ref="Q102:Q103" si="22">+O102</f>
        <v>3010</v>
      </c>
      <c r="R102" s="61" t="s">
        <v>443</v>
      </c>
      <c r="S102" s="57">
        <f t="shared" si="20"/>
        <v>-3.9566049776643269E-2</v>
      </c>
      <c r="U102" s="58">
        <f t="shared" si="12"/>
        <v>3202.1276595744685</v>
      </c>
      <c r="V102" s="99">
        <f t="shared" si="13"/>
        <v>3522.3404255319156</v>
      </c>
    </row>
    <row r="103" spans="1:22">
      <c r="A103" s="21" t="s">
        <v>47</v>
      </c>
      <c r="B103" s="22" t="s">
        <v>260</v>
      </c>
      <c r="C103" s="23" t="s">
        <v>42</v>
      </c>
      <c r="D103" s="24" t="s">
        <v>74</v>
      </c>
      <c r="E103" s="21" t="s">
        <v>173</v>
      </c>
      <c r="F103" s="23" t="s">
        <v>75</v>
      </c>
      <c r="G103" s="23" t="s">
        <v>258</v>
      </c>
      <c r="H103" s="21">
        <v>4000</v>
      </c>
      <c r="I103" s="25">
        <v>854470000000</v>
      </c>
      <c r="J103" s="21" t="s">
        <v>370</v>
      </c>
      <c r="K103" s="14">
        <v>5875</v>
      </c>
      <c r="L103" s="11">
        <v>5900</v>
      </c>
      <c r="M103" s="14">
        <v>5685</v>
      </c>
      <c r="N103" s="42">
        <v>5875</v>
      </c>
      <c r="O103" s="42">
        <v>5685</v>
      </c>
      <c r="Q103" s="58">
        <f t="shared" si="22"/>
        <v>5685</v>
      </c>
      <c r="R103" s="61" t="s">
        <v>443</v>
      </c>
      <c r="S103" s="57">
        <f t="shared" si="20"/>
        <v>-3.2340425531914893E-2</v>
      </c>
      <c r="U103" s="58">
        <f t="shared" si="12"/>
        <v>6047.8723404255325</v>
      </c>
      <c r="V103" s="99">
        <f t="shared" si="13"/>
        <v>6652.6595744680862</v>
      </c>
    </row>
    <row r="104" spans="1:22">
      <c r="A104" s="21" t="s">
        <v>89</v>
      </c>
      <c r="B104" s="22" t="s">
        <v>260</v>
      </c>
      <c r="C104" s="23" t="s">
        <v>42</v>
      </c>
      <c r="D104" s="24" t="s">
        <v>125</v>
      </c>
      <c r="E104" s="21" t="s">
        <v>173</v>
      </c>
      <c r="F104" s="23" t="s">
        <v>126</v>
      </c>
      <c r="G104" s="23" t="s">
        <v>258</v>
      </c>
      <c r="H104" s="21">
        <v>4000</v>
      </c>
      <c r="I104" s="25">
        <v>854470000000</v>
      </c>
      <c r="J104" s="21" t="s">
        <v>370</v>
      </c>
      <c r="K104" s="14">
        <v>576</v>
      </c>
      <c r="L104" s="11">
        <v>595</v>
      </c>
      <c r="M104" s="14"/>
      <c r="N104" s="26">
        <v>870</v>
      </c>
      <c r="O104" s="26">
        <v>0</v>
      </c>
      <c r="Q104" s="58">
        <f t="shared" ref="Q104:Q105" si="23">+N104</f>
        <v>870</v>
      </c>
      <c r="R104" s="61" t="s">
        <v>445</v>
      </c>
      <c r="S104" s="57">
        <f t="shared" si="20"/>
        <v>0.51041666666666663</v>
      </c>
      <c r="U104" s="58">
        <f t="shared" si="12"/>
        <v>925.53191489361711</v>
      </c>
      <c r="V104" s="99">
        <f t="shared" si="13"/>
        <v>1018.0851063829789</v>
      </c>
    </row>
    <row r="105" spans="1:22">
      <c r="A105" s="21" t="s">
        <v>89</v>
      </c>
      <c r="B105" s="22" t="s">
        <v>260</v>
      </c>
      <c r="C105" s="23" t="s">
        <v>42</v>
      </c>
      <c r="D105" s="24" t="s">
        <v>127</v>
      </c>
      <c r="E105" s="21" t="s">
        <v>173</v>
      </c>
      <c r="F105" s="23" t="s">
        <v>128</v>
      </c>
      <c r="G105" s="23" t="s">
        <v>258</v>
      </c>
      <c r="H105" s="21">
        <v>4000</v>
      </c>
      <c r="I105" s="25">
        <v>854470000000</v>
      </c>
      <c r="J105" s="21" t="s">
        <v>370</v>
      </c>
      <c r="K105" s="14">
        <v>814</v>
      </c>
      <c r="L105" s="11">
        <v>828</v>
      </c>
      <c r="M105" s="14"/>
      <c r="N105" s="26">
        <v>1360</v>
      </c>
      <c r="O105" s="26">
        <v>0</v>
      </c>
      <c r="Q105" s="58">
        <f t="shared" si="23"/>
        <v>1360</v>
      </c>
      <c r="R105" s="61" t="s">
        <v>445</v>
      </c>
      <c r="S105" s="57">
        <f t="shared" si="20"/>
        <v>0.67076167076167081</v>
      </c>
      <c r="U105" s="58">
        <f t="shared" si="12"/>
        <v>1446.808510638298</v>
      </c>
      <c r="V105" s="99">
        <f t="shared" si="13"/>
        <v>1591.489361702128</v>
      </c>
    </row>
    <row r="106" spans="1:22">
      <c r="A106" s="63" t="s">
        <v>3</v>
      </c>
      <c r="B106" s="64" t="s">
        <v>171</v>
      </c>
      <c r="C106" s="65" t="s">
        <v>137</v>
      </c>
      <c r="D106" s="66" t="s">
        <v>274</v>
      </c>
      <c r="E106" s="63" t="s">
        <v>175</v>
      </c>
      <c r="F106" s="65" t="s">
        <v>203</v>
      </c>
      <c r="G106" s="65" t="s">
        <v>258</v>
      </c>
      <c r="H106" s="63">
        <v>4000</v>
      </c>
      <c r="I106" s="67">
        <v>854470000000</v>
      </c>
      <c r="J106" s="63" t="s">
        <v>370</v>
      </c>
      <c r="K106" s="14">
        <v>1054</v>
      </c>
      <c r="L106" s="11">
        <v>1080</v>
      </c>
      <c r="M106" s="14"/>
      <c r="N106" s="42">
        <v>1015</v>
      </c>
      <c r="O106" s="42">
        <v>957</v>
      </c>
      <c r="Q106" s="56">
        <f t="shared" ref="Q106:Q108" si="24">+N106</f>
        <v>1015</v>
      </c>
      <c r="R106" s="61" t="s">
        <v>442</v>
      </c>
      <c r="S106" s="57">
        <f t="shared" si="20"/>
        <v>-3.7001897533206832E-2</v>
      </c>
      <c r="U106" s="56">
        <f t="shared" si="12"/>
        <v>1079.7872340425533</v>
      </c>
      <c r="V106" s="98">
        <f t="shared" si="13"/>
        <v>1187.7659574468087</v>
      </c>
    </row>
    <row r="107" spans="1:22">
      <c r="A107" s="63" t="s">
        <v>3</v>
      </c>
      <c r="B107" s="64" t="s">
        <v>171</v>
      </c>
      <c r="C107" s="65" t="s">
        <v>137</v>
      </c>
      <c r="D107" s="66" t="s">
        <v>138</v>
      </c>
      <c r="E107" s="63" t="s">
        <v>175</v>
      </c>
      <c r="F107" s="65" t="s">
        <v>204</v>
      </c>
      <c r="G107" s="65" t="s">
        <v>258</v>
      </c>
      <c r="H107" s="63">
        <v>4000</v>
      </c>
      <c r="I107" s="67">
        <v>854470000000</v>
      </c>
      <c r="J107" s="63" t="s">
        <v>370</v>
      </c>
      <c r="K107" s="14">
        <v>1378</v>
      </c>
      <c r="L107" s="11">
        <v>1400</v>
      </c>
      <c r="M107" s="14"/>
      <c r="N107" s="42">
        <v>1310</v>
      </c>
      <c r="O107" s="42">
        <v>1190</v>
      </c>
      <c r="Q107" s="56">
        <f t="shared" si="24"/>
        <v>1310</v>
      </c>
      <c r="R107" s="61" t="s">
        <v>442</v>
      </c>
      <c r="S107" s="57">
        <f t="shared" si="20"/>
        <v>-4.9346879535558781E-2</v>
      </c>
      <c r="U107" s="56">
        <f t="shared" si="12"/>
        <v>1393.6170212765958</v>
      </c>
      <c r="V107" s="98">
        <f t="shared" si="13"/>
        <v>1532.9787234042556</v>
      </c>
    </row>
    <row r="108" spans="1:22">
      <c r="A108" s="63" t="s">
        <v>3</v>
      </c>
      <c r="B108" s="64" t="s">
        <v>171</v>
      </c>
      <c r="C108" s="65" t="s">
        <v>137</v>
      </c>
      <c r="D108" s="66" t="s">
        <v>139</v>
      </c>
      <c r="E108" s="63" t="s">
        <v>175</v>
      </c>
      <c r="F108" s="65" t="s">
        <v>205</v>
      </c>
      <c r="G108" s="65" t="s">
        <v>258</v>
      </c>
      <c r="H108" s="63">
        <v>4000</v>
      </c>
      <c r="I108" s="67">
        <v>854470000000</v>
      </c>
      <c r="J108" s="63" t="s">
        <v>370</v>
      </c>
      <c r="K108" s="14">
        <v>2018</v>
      </c>
      <c r="L108" s="11">
        <v>2040</v>
      </c>
      <c r="M108" s="14"/>
      <c r="N108" s="42">
        <v>1965</v>
      </c>
      <c r="O108" s="42">
        <v>1780</v>
      </c>
      <c r="Q108" s="56">
        <f t="shared" si="24"/>
        <v>1965</v>
      </c>
      <c r="R108" s="61" t="s">
        <v>442</v>
      </c>
      <c r="S108" s="57">
        <f t="shared" si="20"/>
        <v>-2.6263627353815659E-2</v>
      </c>
      <c r="U108" s="56">
        <f t="shared" si="12"/>
        <v>2090.4255319148938</v>
      </c>
      <c r="V108" s="98">
        <f t="shared" si="13"/>
        <v>2299.4680851063836</v>
      </c>
    </row>
    <row r="109" spans="1:22">
      <c r="A109" s="63" t="s">
        <v>47</v>
      </c>
      <c r="B109" s="64" t="s">
        <v>171</v>
      </c>
      <c r="C109" s="65" t="s">
        <v>137</v>
      </c>
      <c r="D109" s="66" t="s">
        <v>140</v>
      </c>
      <c r="E109" s="63" t="s">
        <v>175</v>
      </c>
      <c r="F109" s="65" t="s">
        <v>206</v>
      </c>
      <c r="G109" s="65" t="s">
        <v>258</v>
      </c>
      <c r="H109" s="63">
        <v>4000</v>
      </c>
      <c r="I109" s="67">
        <v>854470000000</v>
      </c>
      <c r="J109" s="63" t="s">
        <v>370</v>
      </c>
      <c r="K109" s="14">
        <v>1485</v>
      </c>
      <c r="L109" s="11"/>
      <c r="M109" s="14">
        <v>1396</v>
      </c>
      <c r="N109" s="42">
        <v>1440</v>
      </c>
      <c r="O109" s="42">
        <v>1378</v>
      </c>
      <c r="Q109" s="58">
        <f t="shared" ref="Q109:Q111" si="25">+O109</f>
        <v>1378</v>
      </c>
      <c r="R109" s="61" t="s">
        <v>443</v>
      </c>
      <c r="S109" s="57">
        <f t="shared" si="20"/>
        <v>-7.2053872053872051E-2</v>
      </c>
      <c r="U109" s="58">
        <f t="shared" si="12"/>
        <v>1465.9574468085107</v>
      </c>
      <c r="V109" s="99">
        <f t="shared" si="13"/>
        <v>1612.5531914893618</v>
      </c>
    </row>
    <row r="110" spans="1:22">
      <c r="A110" s="63" t="s">
        <v>47</v>
      </c>
      <c r="B110" s="64" t="s">
        <v>171</v>
      </c>
      <c r="C110" s="65" t="s">
        <v>137</v>
      </c>
      <c r="D110" s="66" t="s">
        <v>141</v>
      </c>
      <c r="E110" s="63" t="s">
        <v>175</v>
      </c>
      <c r="F110" s="65" t="s">
        <v>207</v>
      </c>
      <c r="G110" s="65" t="s">
        <v>258</v>
      </c>
      <c r="H110" s="63">
        <v>4000</v>
      </c>
      <c r="I110" s="67">
        <v>854470000000</v>
      </c>
      <c r="J110" s="63" t="s">
        <v>370</v>
      </c>
      <c r="K110" s="14">
        <v>2290</v>
      </c>
      <c r="L110" s="11"/>
      <c r="M110" s="14">
        <v>2110</v>
      </c>
      <c r="N110" s="42">
        <v>2210</v>
      </c>
      <c r="O110" s="42">
        <v>2060</v>
      </c>
      <c r="Q110" s="58">
        <f t="shared" si="25"/>
        <v>2060</v>
      </c>
      <c r="R110" s="61" t="s">
        <v>443</v>
      </c>
      <c r="S110" s="57">
        <f t="shared" si="20"/>
        <v>-0.10043668122270742</v>
      </c>
      <c r="U110" s="58">
        <f t="shared" si="12"/>
        <v>2191.489361702128</v>
      </c>
      <c r="V110" s="99">
        <f t="shared" si="13"/>
        <v>2410.6382978723409</v>
      </c>
    </row>
    <row r="111" spans="1:22">
      <c r="A111" s="63" t="s">
        <v>47</v>
      </c>
      <c r="B111" s="64" t="s">
        <v>171</v>
      </c>
      <c r="C111" s="65" t="s">
        <v>137</v>
      </c>
      <c r="D111" s="66" t="s">
        <v>142</v>
      </c>
      <c r="E111" s="63" t="s">
        <v>175</v>
      </c>
      <c r="F111" s="65" t="s">
        <v>208</v>
      </c>
      <c r="G111" s="65" t="s">
        <v>258</v>
      </c>
      <c r="H111" s="63">
        <v>4000</v>
      </c>
      <c r="I111" s="67">
        <v>854470000000</v>
      </c>
      <c r="J111" s="63" t="s">
        <v>370</v>
      </c>
      <c r="K111" s="14">
        <v>0</v>
      </c>
      <c r="L111" s="11"/>
      <c r="M111" s="14">
        <v>3345</v>
      </c>
      <c r="N111" s="42">
        <v>3880</v>
      </c>
      <c r="O111" s="42">
        <v>3290</v>
      </c>
      <c r="Q111" s="58">
        <f t="shared" si="25"/>
        <v>3290</v>
      </c>
      <c r="R111" s="61" t="s">
        <v>443</v>
      </c>
      <c r="S111" s="57"/>
      <c r="U111" s="58">
        <f t="shared" si="12"/>
        <v>3500</v>
      </c>
      <c r="V111" s="99">
        <f t="shared" si="13"/>
        <v>3850.0000000000005</v>
      </c>
    </row>
    <row r="112" spans="1:22">
      <c r="A112" s="63" t="s">
        <v>89</v>
      </c>
      <c r="B112" s="64" t="s">
        <v>171</v>
      </c>
      <c r="C112" s="65" t="s">
        <v>137</v>
      </c>
      <c r="D112" s="66" t="s">
        <v>143</v>
      </c>
      <c r="E112" s="63" t="s">
        <v>175</v>
      </c>
      <c r="F112" s="65" t="s">
        <v>209</v>
      </c>
      <c r="G112" s="65" t="s">
        <v>258</v>
      </c>
      <c r="H112" s="63">
        <v>4000</v>
      </c>
      <c r="I112" s="67">
        <v>854470000000</v>
      </c>
      <c r="J112" s="63" t="s">
        <v>370</v>
      </c>
      <c r="K112" s="14">
        <v>788</v>
      </c>
      <c r="L112" s="11">
        <v>800</v>
      </c>
      <c r="M112" s="14"/>
      <c r="N112" s="26">
        <v>845</v>
      </c>
      <c r="O112" s="26">
        <v>0</v>
      </c>
      <c r="Q112" s="58">
        <f t="shared" ref="Q112:Q118" si="26">+N112</f>
        <v>845</v>
      </c>
      <c r="R112" s="61" t="s">
        <v>445</v>
      </c>
      <c r="S112" s="57">
        <f t="shared" ref="S112:S144" si="27">(Q112-K112)/K112</f>
        <v>7.2335025380710655E-2</v>
      </c>
      <c r="U112" s="58">
        <f t="shared" si="12"/>
        <v>898.936170212766</v>
      </c>
      <c r="V112" s="99">
        <f t="shared" si="13"/>
        <v>988.82978723404267</v>
      </c>
    </row>
    <row r="113" spans="1:22">
      <c r="A113" s="63" t="s">
        <v>89</v>
      </c>
      <c r="B113" s="64" t="s">
        <v>171</v>
      </c>
      <c r="C113" s="65" t="s">
        <v>137</v>
      </c>
      <c r="D113" s="66" t="s">
        <v>144</v>
      </c>
      <c r="E113" s="63" t="s">
        <v>175</v>
      </c>
      <c r="F113" s="65" t="s">
        <v>210</v>
      </c>
      <c r="G113" s="65" t="s">
        <v>258</v>
      </c>
      <c r="H113" s="63">
        <v>4000</v>
      </c>
      <c r="I113" s="67">
        <v>854470000000</v>
      </c>
      <c r="J113" s="63" t="s">
        <v>370</v>
      </c>
      <c r="K113" s="14">
        <v>832</v>
      </c>
      <c r="L113" s="11">
        <v>845</v>
      </c>
      <c r="M113" s="14"/>
      <c r="N113" s="26">
        <v>940</v>
      </c>
      <c r="O113" s="26">
        <v>0</v>
      </c>
      <c r="Q113" s="58">
        <f t="shared" si="26"/>
        <v>940</v>
      </c>
      <c r="R113" s="61" t="s">
        <v>445</v>
      </c>
      <c r="S113" s="57">
        <f t="shared" si="27"/>
        <v>0.12980769230769232</v>
      </c>
      <c r="U113" s="58">
        <f t="shared" si="12"/>
        <v>1000</v>
      </c>
      <c r="V113" s="99">
        <f t="shared" si="13"/>
        <v>1100</v>
      </c>
    </row>
    <row r="114" spans="1:22">
      <c r="A114" s="63" t="s">
        <v>89</v>
      </c>
      <c r="B114" s="64" t="s">
        <v>171</v>
      </c>
      <c r="C114" s="65" t="s">
        <v>137</v>
      </c>
      <c r="D114" s="66" t="s">
        <v>145</v>
      </c>
      <c r="E114" s="63" t="s">
        <v>175</v>
      </c>
      <c r="F114" s="65" t="s">
        <v>211</v>
      </c>
      <c r="G114" s="65" t="s">
        <v>258</v>
      </c>
      <c r="H114" s="63">
        <v>4000</v>
      </c>
      <c r="I114" s="67">
        <v>854470000000</v>
      </c>
      <c r="J114" s="63" t="s">
        <v>370</v>
      </c>
      <c r="K114" s="14">
        <v>913</v>
      </c>
      <c r="L114" s="11">
        <v>928</v>
      </c>
      <c r="M114" s="14"/>
      <c r="N114" s="26">
        <v>1080</v>
      </c>
      <c r="O114" s="26">
        <v>0</v>
      </c>
      <c r="Q114" s="58">
        <f t="shared" si="26"/>
        <v>1080</v>
      </c>
      <c r="R114" s="61" t="s">
        <v>445</v>
      </c>
      <c r="S114" s="57">
        <f t="shared" si="27"/>
        <v>0.18291347207009859</v>
      </c>
      <c r="U114" s="58">
        <f t="shared" si="12"/>
        <v>1148.936170212766</v>
      </c>
      <c r="V114" s="99">
        <f t="shared" si="13"/>
        <v>1263.8297872340427</v>
      </c>
    </row>
    <row r="115" spans="1:22">
      <c r="A115" s="63" t="s">
        <v>89</v>
      </c>
      <c r="B115" s="64" t="s">
        <v>171</v>
      </c>
      <c r="C115" s="65" t="s">
        <v>137</v>
      </c>
      <c r="D115" s="66" t="s">
        <v>450</v>
      </c>
      <c r="E115" s="63" t="s">
        <v>175</v>
      </c>
      <c r="F115" s="65" t="s">
        <v>451</v>
      </c>
      <c r="G115" s="65" t="s">
        <v>258</v>
      </c>
      <c r="H115" s="63">
        <v>4000</v>
      </c>
      <c r="I115" s="67">
        <v>854470000000</v>
      </c>
      <c r="J115" s="63" t="s">
        <v>370</v>
      </c>
      <c r="K115" s="14">
        <v>0</v>
      </c>
      <c r="L115" s="11"/>
      <c r="M115" s="14"/>
      <c r="N115" s="122">
        <v>1985</v>
      </c>
      <c r="O115" s="26">
        <v>0</v>
      </c>
      <c r="Q115" s="58">
        <f t="shared" ref="Q115" si="28">+N115</f>
        <v>1985</v>
      </c>
      <c r="R115" s="61" t="s">
        <v>445</v>
      </c>
      <c r="S115" s="57"/>
      <c r="U115" s="58">
        <f t="shared" ref="U115" si="29">(Q115/0.94)</f>
        <v>2111.7021276595747</v>
      </c>
      <c r="V115" s="99">
        <f t="shared" ref="V115" si="30">(U115*V$1)</f>
        <v>2322.8723404255325</v>
      </c>
    </row>
    <row r="116" spans="1:22">
      <c r="A116" s="63" t="s">
        <v>89</v>
      </c>
      <c r="B116" s="64" t="s">
        <v>171</v>
      </c>
      <c r="C116" s="65" t="s">
        <v>137</v>
      </c>
      <c r="D116" s="66" t="s">
        <v>360</v>
      </c>
      <c r="E116" s="63" t="s">
        <v>175</v>
      </c>
      <c r="F116" s="65" t="s">
        <v>255</v>
      </c>
      <c r="G116" s="65" t="s">
        <v>258</v>
      </c>
      <c r="H116" s="63">
        <v>4000</v>
      </c>
      <c r="I116" s="67">
        <v>854470000000</v>
      </c>
      <c r="J116" s="63" t="s">
        <v>370</v>
      </c>
      <c r="K116" s="14">
        <v>1613</v>
      </c>
      <c r="L116" s="11">
        <v>1640</v>
      </c>
      <c r="M116" s="14"/>
      <c r="N116" s="26">
        <v>2100</v>
      </c>
      <c r="O116" s="26">
        <v>0</v>
      </c>
      <c r="Q116" s="58">
        <f t="shared" si="26"/>
        <v>2100</v>
      </c>
      <c r="R116" s="61" t="s">
        <v>445</v>
      </c>
      <c r="S116" s="57">
        <f t="shared" si="27"/>
        <v>0.30192188468691877</v>
      </c>
      <c r="U116" s="58">
        <f t="shared" si="12"/>
        <v>2234.0425531914893</v>
      </c>
      <c r="V116" s="99">
        <f t="shared" si="13"/>
        <v>2457.4468085106387</v>
      </c>
    </row>
    <row r="117" spans="1:22">
      <c r="A117" s="63" t="s">
        <v>89</v>
      </c>
      <c r="B117" s="64" t="s">
        <v>171</v>
      </c>
      <c r="C117" s="65" t="s">
        <v>137</v>
      </c>
      <c r="D117" s="66" t="s">
        <v>361</v>
      </c>
      <c r="E117" s="63" t="s">
        <v>175</v>
      </c>
      <c r="F117" s="65" t="s">
        <v>256</v>
      </c>
      <c r="G117" s="65" t="s">
        <v>258</v>
      </c>
      <c r="H117" s="63">
        <v>4000</v>
      </c>
      <c r="I117" s="67">
        <v>854470000000</v>
      </c>
      <c r="J117" s="63" t="s">
        <v>370</v>
      </c>
      <c r="K117" s="14">
        <v>2470</v>
      </c>
      <c r="L117" s="11">
        <v>2488</v>
      </c>
      <c r="M117" s="14"/>
      <c r="N117" s="26">
        <v>3515</v>
      </c>
      <c r="O117" s="26">
        <v>0</v>
      </c>
      <c r="Q117" s="58">
        <f t="shared" si="26"/>
        <v>3515</v>
      </c>
      <c r="R117" s="61" t="s">
        <v>445</v>
      </c>
      <c r="S117" s="57">
        <f t="shared" si="27"/>
        <v>0.42307692307692307</v>
      </c>
      <c r="U117" s="58">
        <f t="shared" si="12"/>
        <v>3739.36170212766</v>
      </c>
      <c r="V117" s="99">
        <f t="shared" si="13"/>
        <v>4113.2978723404267</v>
      </c>
    </row>
    <row r="118" spans="1:22" ht="24" thickBot="1">
      <c r="A118" s="68" t="s">
        <v>89</v>
      </c>
      <c r="B118" s="80" t="s">
        <v>195</v>
      </c>
      <c r="C118" s="70" t="s">
        <v>137</v>
      </c>
      <c r="D118" s="71" t="s">
        <v>196</v>
      </c>
      <c r="E118" s="68" t="s">
        <v>175</v>
      </c>
      <c r="F118" s="70" t="s">
        <v>226</v>
      </c>
      <c r="G118" s="70" t="s">
        <v>258</v>
      </c>
      <c r="H118" s="68">
        <v>4000</v>
      </c>
      <c r="I118" s="72">
        <v>854470000000</v>
      </c>
      <c r="J118" s="73" t="s">
        <v>370</v>
      </c>
      <c r="K118" s="34">
        <v>943</v>
      </c>
      <c r="L118" s="35">
        <v>955</v>
      </c>
      <c r="M118" s="34"/>
      <c r="N118" s="36">
        <v>1196</v>
      </c>
      <c r="O118" s="36">
        <v>0</v>
      </c>
      <c r="Q118" s="59">
        <f t="shared" si="26"/>
        <v>1196</v>
      </c>
      <c r="R118" s="62" t="s">
        <v>445</v>
      </c>
      <c r="S118" s="60">
        <f t="shared" si="27"/>
        <v>0.26829268292682928</v>
      </c>
      <c r="U118" s="59">
        <f t="shared" si="12"/>
        <v>1272.3404255319149</v>
      </c>
      <c r="V118" s="100">
        <f t="shared" si="13"/>
        <v>1399.5744680851064</v>
      </c>
    </row>
    <row r="119" spans="1:22" ht="24" thickTop="1">
      <c r="A119" s="44" t="s">
        <v>3</v>
      </c>
      <c r="B119" s="45" t="s">
        <v>212</v>
      </c>
      <c r="C119" s="46" t="s">
        <v>202</v>
      </c>
      <c r="D119" s="47" t="s">
        <v>243</v>
      </c>
      <c r="E119" s="44" t="s">
        <v>175</v>
      </c>
      <c r="F119" s="46" t="s">
        <v>146</v>
      </c>
      <c r="G119" s="46" t="s">
        <v>258</v>
      </c>
      <c r="H119" s="44">
        <v>4000</v>
      </c>
      <c r="I119" s="48">
        <v>854470000000</v>
      </c>
      <c r="J119" s="44" t="s">
        <v>370</v>
      </c>
      <c r="K119" s="28">
        <v>914</v>
      </c>
      <c r="L119" s="29">
        <v>940</v>
      </c>
      <c r="M119" s="28"/>
      <c r="N119" s="41">
        <v>885</v>
      </c>
      <c r="O119" s="41">
        <v>832</v>
      </c>
      <c r="Q119" s="111">
        <f t="shared" ref="Q119:Q121" si="31">+N119</f>
        <v>885</v>
      </c>
      <c r="R119" s="112" t="s">
        <v>442</v>
      </c>
      <c r="S119" s="113">
        <f t="shared" si="27"/>
        <v>-3.1728665207877461E-2</v>
      </c>
      <c r="U119" s="111">
        <f t="shared" si="12"/>
        <v>941.48936170212767</v>
      </c>
      <c r="V119" s="115">
        <f t="shared" si="13"/>
        <v>1035.6382978723404</v>
      </c>
    </row>
    <row r="120" spans="1:22">
      <c r="A120" s="21" t="s">
        <v>3</v>
      </c>
      <c r="B120" s="22" t="s">
        <v>212</v>
      </c>
      <c r="C120" s="23" t="s">
        <v>202</v>
      </c>
      <c r="D120" s="24" t="s">
        <v>244</v>
      </c>
      <c r="E120" s="21" t="s">
        <v>175</v>
      </c>
      <c r="F120" s="23" t="s">
        <v>147</v>
      </c>
      <c r="G120" s="23" t="s">
        <v>258</v>
      </c>
      <c r="H120" s="21">
        <v>4000</v>
      </c>
      <c r="I120" s="25">
        <v>854470000000</v>
      </c>
      <c r="J120" s="21" t="s">
        <v>370</v>
      </c>
      <c r="K120" s="14">
        <v>1234</v>
      </c>
      <c r="L120" s="11">
        <v>1250</v>
      </c>
      <c r="M120" s="14"/>
      <c r="N120" s="42">
        <v>1215</v>
      </c>
      <c r="O120" s="42">
        <v>1080</v>
      </c>
      <c r="Q120" s="56">
        <f t="shared" si="31"/>
        <v>1215</v>
      </c>
      <c r="R120" s="61" t="s">
        <v>442</v>
      </c>
      <c r="S120" s="57">
        <f t="shared" si="27"/>
        <v>-1.539708265802269E-2</v>
      </c>
      <c r="U120" s="56">
        <f t="shared" si="12"/>
        <v>1292.5531914893618</v>
      </c>
      <c r="V120" s="98">
        <f t="shared" si="13"/>
        <v>1421.808510638298</v>
      </c>
    </row>
    <row r="121" spans="1:22">
      <c r="A121" s="21" t="s">
        <v>3</v>
      </c>
      <c r="B121" s="22" t="s">
        <v>212</v>
      </c>
      <c r="C121" s="23" t="s">
        <v>202</v>
      </c>
      <c r="D121" s="24" t="s">
        <v>245</v>
      </c>
      <c r="E121" s="21" t="s">
        <v>175</v>
      </c>
      <c r="F121" s="23" t="s">
        <v>150</v>
      </c>
      <c r="G121" s="23" t="s">
        <v>258</v>
      </c>
      <c r="H121" s="21">
        <v>4000</v>
      </c>
      <c r="I121" s="25">
        <v>854470000000</v>
      </c>
      <c r="J121" s="21" t="s">
        <v>370</v>
      </c>
      <c r="K121" s="14">
        <v>1845</v>
      </c>
      <c r="L121" s="11">
        <v>1880</v>
      </c>
      <c r="M121" s="14"/>
      <c r="N121" s="42">
        <v>1810</v>
      </c>
      <c r="O121" s="42">
        <v>1575</v>
      </c>
      <c r="Q121" s="56">
        <f t="shared" si="31"/>
        <v>1810</v>
      </c>
      <c r="R121" s="61" t="s">
        <v>442</v>
      </c>
      <c r="S121" s="57">
        <f t="shared" si="27"/>
        <v>-1.8970189701897018E-2</v>
      </c>
      <c r="U121" s="56">
        <f t="shared" si="12"/>
        <v>1925.5319148936171</v>
      </c>
      <c r="V121" s="98">
        <f t="shared" si="13"/>
        <v>2118.0851063829791</v>
      </c>
    </row>
    <row r="122" spans="1:22">
      <c r="A122" s="21" t="s">
        <v>47</v>
      </c>
      <c r="B122" s="22" t="s">
        <v>212</v>
      </c>
      <c r="C122" s="23" t="s">
        <v>202</v>
      </c>
      <c r="D122" s="24" t="s">
        <v>246</v>
      </c>
      <c r="E122" s="21" t="s">
        <v>175</v>
      </c>
      <c r="F122" s="23" t="s">
        <v>148</v>
      </c>
      <c r="G122" s="23" t="s">
        <v>258</v>
      </c>
      <c r="H122" s="21">
        <v>4000</v>
      </c>
      <c r="I122" s="25">
        <v>854470000000</v>
      </c>
      <c r="J122" s="21" t="s">
        <v>370</v>
      </c>
      <c r="K122" s="14">
        <v>1280</v>
      </c>
      <c r="L122" s="11"/>
      <c r="M122" s="14">
        <v>1186</v>
      </c>
      <c r="N122" s="42">
        <v>1245</v>
      </c>
      <c r="O122" s="42">
        <v>1170</v>
      </c>
      <c r="Q122" s="58">
        <f t="shared" ref="Q122:Q124" si="32">+O122</f>
        <v>1170</v>
      </c>
      <c r="R122" s="61" t="s">
        <v>443</v>
      </c>
      <c r="S122" s="57">
        <f t="shared" si="27"/>
        <v>-8.59375E-2</v>
      </c>
      <c r="U122" s="58">
        <f t="shared" si="12"/>
        <v>1244.6808510638298</v>
      </c>
      <c r="V122" s="99">
        <f t="shared" si="13"/>
        <v>1369.1489361702129</v>
      </c>
    </row>
    <row r="123" spans="1:22">
      <c r="A123" s="21" t="s">
        <v>47</v>
      </c>
      <c r="B123" s="22" t="s">
        <v>212</v>
      </c>
      <c r="C123" s="23" t="s">
        <v>202</v>
      </c>
      <c r="D123" s="24" t="s">
        <v>247</v>
      </c>
      <c r="E123" s="21" t="s">
        <v>175</v>
      </c>
      <c r="F123" s="23" t="s">
        <v>153</v>
      </c>
      <c r="G123" s="23" t="s">
        <v>258</v>
      </c>
      <c r="H123" s="21">
        <v>4000</v>
      </c>
      <c r="I123" s="25">
        <v>854470000000</v>
      </c>
      <c r="J123" s="21" t="s">
        <v>370</v>
      </c>
      <c r="K123" s="14">
        <v>2010</v>
      </c>
      <c r="L123" s="11"/>
      <c r="M123" s="14">
        <v>1862</v>
      </c>
      <c r="N123" s="42">
        <v>1980</v>
      </c>
      <c r="O123" s="42">
        <v>1855</v>
      </c>
      <c r="Q123" s="58">
        <f t="shared" si="32"/>
        <v>1855</v>
      </c>
      <c r="R123" s="61" t="s">
        <v>443</v>
      </c>
      <c r="S123" s="57">
        <f t="shared" si="27"/>
        <v>-7.7114427860696513E-2</v>
      </c>
      <c r="U123" s="58">
        <f t="shared" si="12"/>
        <v>1973.4042553191491</v>
      </c>
      <c r="V123" s="99">
        <f t="shared" si="13"/>
        <v>2170.744680851064</v>
      </c>
    </row>
    <row r="124" spans="1:22">
      <c r="A124" s="21" t="s">
        <v>47</v>
      </c>
      <c r="B124" s="22" t="s">
        <v>212</v>
      </c>
      <c r="C124" s="23" t="s">
        <v>202</v>
      </c>
      <c r="D124" s="24" t="s">
        <v>248</v>
      </c>
      <c r="E124" s="21" t="s">
        <v>175</v>
      </c>
      <c r="F124" s="23" t="s">
        <v>151</v>
      </c>
      <c r="G124" s="23" t="s">
        <v>258</v>
      </c>
      <c r="H124" s="21">
        <v>4000</v>
      </c>
      <c r="I124" s="25">
        <v>854470000000</v>
      </c>
      <c r="J124" s="21" t="s">
        <v>370</v>
      </c>
      <c r="K124" s="14">
        <v>3480</v>
      </c>
      <c r="L124" s="11"/>
      <c r="M124" s="14">
        <v>3215</v>
      </c>
      <c r="N124" s="42">
        <v>3450</v>
      </c>
      <c r="O124" s="42">
        <v>3200</v>
      </c>
      <c r="Q124" s="58">
        <f t="shared" si="32"/>
        <v>3200</v>
      </c>
      <c r="R124" s="61" t="s">
        <v>443</v>
      </c>
      <c r="S124" s="57">
        <f t="shared" si="27"/>
        <v>-8.0459770114942528E-2</v>
      </c>
      <c r="U124" s="58">
        <f t="shared" si="12"/>
        <v>3404.2553191489365</v>
      </c>
      <c r="V124" s="99">
        <f t="shared" si="13"/>
        <v>3744.6808510638302</v>
      </c>
    </row>
    <row r="125" spans="1:22">
      <c r="A125" s="21" t="s">
        <v>89</v>
      </c>
      <c r="B125" s="22" t="s">
        <v>212</v>
      </c>
      <c r="C125" s="23" t="s">
        <v>202</v>
      </c>
      <c r="D125" s="24" t="s">
        <v>249</v>
      </c>
      <c r="E125" s="21" t="s">
        <v>175</v>
      </c>
      <c r="F125" s="23" t="s">
        <v>149</v>
      </c>
      <c r="G125" s="23" t="s">
        <v>258</v>
      </c>
      <c r="H125" s="21">
        <v>4000</v>
      </c>
      <c r="I125" s="25">
        <v>854470000000</v>
      </c>
      <c r="J125" s="21" t="s">
        <v>370</v>
      </c>
      <c r="K125" s="14">
        <v>643</v>
      </c>
      <c r="L125" s="11">
        <v>660</v>
      </c>
      <c r="M125" s="14"/>
      <c r="N125" s="26">
        <v>710</v>
      </c>
      <c r="O125" s="26">
        <v>0</v>
      </c>
      <c r="Q125" s="58">
        <f t="shared" ref="Q125:Q129" si="33">+N125</f>
        <v>710</v>
      </c>
      <c r="R125" s="61" t="s">
        <v>445</v>
      </c>
      <c r="S125" s="57">
        <f t="shared" si="27"/>
        <v>0.104199066874028</v>
      </c>
      <c r="U125" s="58">
        <f t="shared" si="12"/>
        <v>755.31914893617022</v>
      </c>
      <c r="V125" s="99">
        <f t="shared" si="13"/>
        <v>830.85106382978734</v>
      </c>
    </row>
    <row r="126" spans="1:22">
      <c r="A126" s="21" t="s">
        <v>89</v>
      </c>
      <c r="B126" s="22" t="s">
        <v>212</v>
      </c>
      <c r="C126" s="23" t="s">
        <v>202</v>
      </c>
      <c r="D126" s="24" t="s">
        <v>250</v>
      </c>
      <c r="E126" s="21" t="s">
        <v>175</v>
      </c>
      <c r="F126" s="23" t="s">
        <v>154</v>
      </c>
      <c r="G126" s="23" t="s">
        <v>258</v>
      </c>
      <c r="H126" s="21">
        <v>4000</v>
      </c>
      <c r="I126" s="25">
        <v>854470000000</v>
      </c>
      <c r="J126" s="21" t="s">
        <v>370</v>
      </c>
      <c r="K126" s="14">
        <v>686</v>
      </c>
      <c r="L126" s="11">
        <v>700</v>
      </c>
      <c r="M126" s="14"/>
      <c r="N126" s="26">
        <v>770</v>
      </c>
      <c r="O126" s="26">
        <v>0</v>
      </c>
      <c r="Q126" s="58">
        <f t="shared" si="33"/>
        <v>770</v>
      </c>
      <c r="R126" s="61" t="s">
        <v>445</v>
      </c>
      <c r="S126" s="57">
        <f t="shared" si="27"/>
        <v>0.12244897959183673</v>
      </c>
      <c r="U126" s="58">
        <f t="shared" si="12"/>
        <v>819.14893617021278</v>
      </c>
      <c r="V126" s="99">
        <f t="shared" si="13"/>
        <v>901.06382978723411</v>
      </c>
    </row>
    <row r="127" spans="1:22">
      <c r="A127" s="21" t="s">
        <v>89</v>
      </c>
      <c r="B127" s="22" t="s">
        <v>212</v>
      </c>
      <c r="C127" s="23" t="s">
        <v>202</v>
      </c>
      <c r="D127" s="24" t="s">
        <v>251</v>
      </c>
      <c r="E127" s="21" t="s">
        <v>175</v>
      </c>
      <c r="F127" s="23" t="s">
        <v>152</v>
      </c>
      <c r="G127" s="23" t="s">
        <v>258</v>
      </c>
      <c r="H127" s="21">
        <v>4000</v>
      </c>
      <c r="I127" s="25">
        <v>854470000000</v>
      </c>
      <c r="J127" s="21" t="s">
        <v>370</v>
      </c>
      <c r="K127" s="14">
        <v>793</v>
      </c>
      <c r="L127" s="11">
        <v>810</v>
      </c>
      <c r="M127" s="14"/>
      <c r="N127" s="26">
        <v>955</v>
      </c>
      <c r="O127" s="26">
        <v>0</v>
      </c>
      <c r="Q127" s="58">
        <f t="shared" si="33"/>
        <v>955</v>
      </c>
      <c r="R127" s="61" t="s">
        <v>445</v>
      </c>
      <c r="S127" s="57">
        <f t="shared" si="27"/>
        <v>0.20428751576292559</v>
      </c>
      <c r="U127" s="58">
        <f t="shared" si="12"/>
        <v>1015.9574468085107</v>
      </c>
      <c r="V127" s="99">
        <f t="shared" si="13"/>
        <v>1117.5531914893618</v>
      </c>
    </row>
    <row r="128" spans="1:22">
      <c r="A128" s="21" t="s">
        <v>89</v>
      </c>
      <c r="B128" s="22" t="s">
        <v>212</v>
      </c>
      <c r="C128" s="23" t="s">
        <v>202</v>
      </c>
      <c r="D128" s="24" t="s">
        <v>362</v>
      </c>
      <c r="E128" s="21" t="s">
        <v>175</v>
      </c>
      <c r="F128" s="23" t="s">
        <v>253</v>
      </c>
      <c r="G128" s="23" t="s">
        <v>258</v>
      </c>
      <c r="H128" s="21">
        <v>4000</v>
      </c>
      <c r="I128" s="25">
        <v>854470000000</v>
      </c>
      <c r="J128" s="21" t="s">
        <v>370</v>
      </c>
      <c r="K128" s="14">
        <v>1345</v>
      </c>
      <c r="L128" s="11">
        <v>1368</v>
      </c>
      <c r="M128" s="14"/>
      <c r="N128" s="26">
        <v>2145</v>
      </c>
      <c r="O128" s="26">
        <v>0</v>
      </c>
      <c r="Q128" s="58">
        <f t="shared" si="33"/>
        <v>2145</v>
      </c>
      <c r="R128" s="61" t="s">
        <v>445</v>
      </c>
      <c r="S128" s="57">
        <f t="shared" si="27"/>
        <v>0.59479553903345728</v>
      </c>
      <c r="U128" s="58">
        <f t="shared" si="12"/>
        <v>2281.9148936170213</v>
      </c>
      <c r="V128" s="99">
        <f t="shared" si="13"/>
        <v>2510.1063829787236</v>
      </c>
    </row>
    <row r="129" spans="1:22">
      <c r="A129" s="21" t="s">
        <v>89</v>
      </c>
      <c r="B129" s="22" t="s">
        <v>212</v>
      </c>
      <c r="C129" s="23" t="s">
        <v>202</v>
      </c>
      <c r="D129" s="24" t="s">
        <v>363</v>
      </c>
      <c r="E129" s="21" t="s">
        <v>175</v>
      </c>
      <c r="F129" s="23" t="s">
        <v>254</v>
      </c>
      <c r="G129" s="23" t="s">
        <v>258</v>
      </c>
      <c r="H129" s="21">
        <v>4000</v>
      </c>
      <c r="I129" s="25">
        <v>854470000000</v>
      </c>
      <c r="J129" s="21" t="s">
        <v>370</v>
      </c>
      <c r="K129" s="14">
        <v>2111</v>
      </c>
      <c r="L129" s="11">
        <v>2156</v>
      </c>
      <c r="M129" s="14"/>
      <c r="N129" s="26">
        <v>3675</v>
      </c>
      <c r="O129" s="26">
        <v>0</v>
      </c>
      <c r="Q129" s="58">
        <f t="shared" si="33"/>
        <v>3675</v>
      </c>
      <c r="R129" s="61" t="s">
        <v>445</v>
      </c>
      <c r="S129" s="57">
        <f t="shared" si="27"/>
        <v>0.74088109900521082</v>
      </c>
      <c r="U129" s="58">
        <f t="shared" si="12"/>
        <v>3909.5744680851067</v>
      </c>
      <c r="V129" s="99">
        <f t="shared" si="13"/>
        <v>4300.5319148936178</v>
      </c>
    </row>
    <row r="130" spans="1:22">
      <c r="A130" s="63" t="s">
        <v>3</v>
      </c>
      <c r="B130" s="64" t="s">
        <v>264</v>
      </c>
      <c r="C130" s="65" t="s">
        <v>37</v>
      </c>
      <c r="D130" s="66" t="s">
        <v>38</v>
      </c>
      <c r="E130" s="63" t="s">
        <v>173</v>
      </c>
      <c r="F130" s="65" t="s">
        <v>39</v>
      </c>
      <c r="G130" s="65" t="s">
        <v>258</v>
      </c>
      <c r="H130" s="63">
        <v>4000</v>
      </c>
      <c r="I130" s="67">
        <v>854470000000</v>
      </c>
      <c r="J130" s="63" t="s">
        <v>370</v>
      </c>
      <c r="K130" s="14">
        <v>1412</v>
      </c>
      <c r="L130" s="11">
        <v>1432</v>
      </c>
      <c r="M130" s="14"/>
      <c r="N130" s="42">
        <v>1412</v>
      </c>
      <c r="O130" s="42">
        <v>1230</v>
      </c>
      <c r="Q130" s="56">
        <f t="shared" ref="Q130:Q131" si="34">+N130</f>
        <v>1412</v>
      </c>
      <c r="R130" s="61" t="s">
        <v>442</v>
      </c>
      <c r="S130" s="57">
        <f t="shared" si="27"/>
        <v>0</v>
      </c>
      <c r="U130" s="56">
        <f t="shared" si="12"/>
        <v>1502.1276595744682</v>
      </c>
      <c r="V130" s="98">
        <f t="shared" si="13"/>
        <v>1652.3404255319151</v>
      </c>
    </row>
    <row r="131" spans="1:22">
      <c r="A131" s="63" t="s">
        <v>3</v>
      </c>
      <c r="B131" s="64" t="s">
        <v>264</v>
      </c>
      <c r="C131" s="65" t="s">
        <v>37</v>
      </c>
      <c r="D131" s="66" t="s">
        <v>40</v>
      </c>
      <c r="E131" s="63" t="s">
        <v>173</v>
      </c>
      <c r="F131" s="65" t="s">
        <v>41</v>
      </c>
      <c r="G131" s="65" t="s">
        <v>258</v>
      </c>
      <c r="H131" s="63">
        <v>4000</v>
      </c>
      <c r="I131" s="67">
        <v>854470000000</v>
      </c>
      <c r="J131" s="63" t="s">
        <v>370</v>
      </c>
      <c r="K131" s="14">
        <v>2550</v>
      </c>
      <c r="L131" s="11">
        <v>2580</v>
      </c>
      <c r="M131" s="14"/>
      <c r="N131" s="42">
        <v>2550</v>
      </c>
      <c r="O131" s="42">
        <v>2210</v>
      </c>
      <c r="Q131" s="56">
        <f t="shared" si="34"/>
        <v>2550</v>
      </c>
      <c r="R131" s="61" t="s">
        <v>442</v>
      </c>
      <c r="S131" s="57">
        <f t="shared" si="27"/>
        <v>0</v>
      </c>
      <c r="U131" s="56">
        <f t="shared" si="12"/>
        <v>2712.7659574468084</v>
      </c>
      <c r="V131" s="98">
        <f t="shared" si="13"/>
        <v>2984.0425531914893</v>
      </c>
    </row>
    <row r="132" spans="1:22">
      <c r="A132" s="63" t="s">
        <v>47</v>
      </c>
      <c r="B132" s="64" t="s">
        <v>264</v>
      </c>
      <c r="C132" s="65" t="s">
        <v>37</v>
      </c>
      <c r="D132" s="66" t="s">
        <v>68</v>
      </c>
      <c r="E132" s="63" t="s">
        <v>173</v>
      </c>
      <c r="F132" s="65" t="s">
        <v>69</v>
      </c>
      <c r="G132" s="65" t="s">
        <v>258</v>
      </c>
      <c r="H132" s="63">
        <v>4000</v>
      </c>
      <c r="I132" s="67">
        <v>854470000000</v>
      </c>
      <c r="J132" s="63" t="s">
        <v>370</v>
      </c>
      <c r="K132" s="14">
        <v>3080</v>
      </c>
      <c r="L132" s="11">
        <v>3110</v>
      </c>
      <c r="M132" s="14">
        <v>2885</v>
      </c>
      <c r="N132" s="42">
        <v>3080</v>
      </c>
      <c r="O132" s="42">
        <v>2880</v>
      </c>
      <c r="Q132" s="58">
        <f t="shared" ref="Q132:Q133" si="35">+O132</f>
        <v>2880</v>
      </c>
      <c r="R132" s="61" t="s">
        <v>443</v>
      </c>
      <c r="S132" s="57">
        <f t="shared" si="27"/>
        <v>-6.4935064935064929E-2</v>
      </c>
      <c r="U132" s="58">
        <f t="shared" si="12"/>
        <v>3063.8297872340427</v>
      </c>
      <c r="V132" s="99">
        <f t="shared" si="13"/>
        <v>3370.2127659574471</v>
      </c>
    </row>
    <row r="133" spans="1:22">
      <c r="A133" s="63" t="s">
        <v>47</v>
      </c>
      <c r="B133" s="64" t="s">
        <v>264</v>
      </c>
      <c r="C133" s="65" t="s">
        <v>37</v>
      </c>
      <c r="D133" s="66" t="s">
        <v>70</v>
      </c>
      <c r="E133" s="63" t="s">
        <v>173</v>
      </c>
      <c r="F133" s="65" t="s">
        <v>71</v>
      </c>
      <c r="G133" s="65" t="s">
        <v>258</v>
      </c>
      <c r="H133" s="63">
        <v>4000</v>
      </c>
      <c r="I133" s="67">
        <v>854470000000</v>
      </c>
      <c r="J133" s="63" t="s">
        <v>370</v>
      </c>
      <c r="K133" s="14">
        <v>5788</v>
      </c>
      <c r="L133" s="11">
        <v>5814</v>
      </c>
      <c r="M133" s="14">
        <v>5485</v>
      </c>
      <c r="N133" s="42">
        <v>5788</v>
      </c>
      <c r="O133" s="42">
        <v>5485</v>
      </c>
      <c r="Q133" s="58">
        <f t="shared" si="35"/>
        <v>5485</v>
      </c>
      <c r="R133" s="61" t="s">
        <v>443</v>
      </c>
      <c r="S133" s="57">
        <f t="shared" si="27"/>
        <v>-5.2349689011748447E-2</v>
      </c>
      <c r="U133" s="58">
        <f t="shared" si="12"/>
        <v>5835.1063829787236</v>
      </c>
      <c r="V133" s="99">
        <f t="shared" si="13"/>
        <v>6418.6170212765965</v>
      </c>
    </row>
    <row r="134" spans="1:22">
      <c r="A134" s="63" t="s">
        <v>89</v>
      </c>
      <c r="B134" s="64" t="s">
        <v>264</v>
      </c>
      <c r="C134" s="65" t="s">
        <v>37</v>
      </c>
      <c r="D134" s="66" t="s">
        <v>266</v>
      </c>
      <c r="E134" s="63" t="s">
        <v>173</v>
      </c>
      <c r="F134" s="65" t="s">
        <v>265</v>
      </c>
      <c r="G134" s="65" t="s">
        <v>258</v>
      </c>
      <c r="H134" s="63">
        <v>4000</v>
      </c>
      <c r="I134" s="67">
        <v>854470000000</v>
      </c>
      <c r="J134" s="63" t="s">
        <v>370</v>
      </c>
      <c r="K134" s="14">
        <v>378</v>
      </c>
      <c r="L134" s="11">
        <v>406</v>
      </c>
      <c r="M134" s="14"/>
      <c r="N134" s="26">
        <v>520</v>
      </c>
      <c r="O134" s="26">
        <v>0</v>
      </c>
      <c r="Q134" s="58">
        <f t="shared" ref="Q134:Q136" si="36">+N134</f>
        <v>520</v>
      </c>
      <c r="R134" s="61" t="s">
        <v>445</v>
      </c>
      <c r="S134" s="57">
        <f t="shared" si="27"/>
        <v>0.37566137566137564</v>
      </c>
      <c r="U134" s="58">
        <f t="shared" si="12"/>
        <v>553.19148936170211</v>
      </c>
      <c r="V134" s="99">
        <f t="shared" si="13"/>
        <v>608.51063829787233</v>
      </c>
    </row>
    <row r="135" spans="1:22">
      <c r="A135" s="63" t="s">
        <v>89</v>
      </c>
      <c r="B135" s="64" t="s">
        <v>264</v>
      </c>
      <c r="C135" s="65" t="s">
        <v>37</v>
      </c>
      <c r="D135" s="66" t="s">
        <v>121</v>
      </c>
      <c r="E135" s="63" t="s">
        <v>173</v>
      </c>
      <c r="F135" s="65" t="s">
        <v>122</v>
      </c>
      <c r="G135" s="65" t="s">
        <v>258</v>
      </c>
      <c r="H135" s="63">
        <v>4000</v>
      </c>
      <c r="I135" s="67">
        <v>854470000000</v>
      </c>
      <c r="J135" s="63" t="s">
        <v>370</v>
      </c>
      <c r="K135" s="14">
        <v>494</v>
      </c>
      <c r="L135" s="11">
        <v>500</v>
      </c>
      <c r="M135" s="14"/>
      <c r="N135" s="26">
        <v>720</v>
      </c>
      <c r="O135" s="26">
        <v>0</v>
      </c>
      <c r="Q135" s="58">
        <f t="shared" si="36"/>
        <v>720</v>
      </c>
      <c r="R135" s="61" t="s">
        <v>445</v>
      </c>
      <c r="S135" s="57">
        <f t="shared" si="27"/>
        <v>0.45748987854251011</v>
      </c>
      <c r="U135" s="58">
        <f t="shared" ref="U135:U198" si="37">(Q135/0.94)</f>
        <v>765.95744680851067</v>
      </c>
      <c r="V135" s="99">
        <f t="shared" ref="V135:V198" si="38">(U135*V$1)</f>
        <v>842.55319148936178</v>
      </c>
    </row>
    <row r="136" spans="1:22" ht="24" thickBot="1">
      <c r="A136" s="68" t="s">
        <v>89</v>
      </c>
      <c r="B136" s="69" t="s">
        <v>264</v>
      </c>
      <c r="C136" s="70" t="s">
        <v>37</v>
      </c>
      <c r="D136" s="71" t="s">
        <v>123</v>
      </c>
      <c r="E136" s="68" t="s">
        <v>173</v>
      </c>
      <c r="F136" s="70" t="s">
        <v>124</v>
      </c>
      <c r="G136" s="70" t="s">
        <v>258</v>
      </c>
      <c r="H136" s="68">
        <v>4000</v>
      </c>
      <c r="I136" s="72">
        <v>854470000000</v>
      </c>
      <c r="J136" s="73" t="s">
        <v>370</v>
      </c>
      <c r="K136" s="34">
        <v>700</v>
      </c>
      <c r="L136" s="35">
        <v>712</v>
      </c>
      <c r="M136" s="34"/>
      <c r="N136" s="36">
        <v>1190</v>
      </c>
      <c r="O136" s="36">
        <v>0</v>
      </c>
      <c r="Q136" s="59">
        <f t="shared" si="36"/>
        <v>1190</v>
      </c>
      <c r="R136" s="62" t="s">
        <v>445</v>
      </c>
      <c r="S136" s="60">
        <f t="shared" si="27"/>
        <v>0.7</v>
      </c>
      <c r="U136" s="59">
        <f t="shared" si="37"/>
        <v>1265.9574468085107</v>
      </c>
      <c r="V136" s="100">
        <f t="shared" si="38"/>
        <v>1392.5531914893618</v>
      </c>
    </row>
    <row r="137" spans="1:22" s="12" customFormat="1" ht="24" thickTop="1">
      <c r="A137" s="44" t="s">
        <v>3</v>
      </c>
      <c r="B137" s="45" t="s">
        <v>261</v>
      </c>
      <c r="C137" s="46" t="s">
        <v>32</v>
      </c>
      <c r="D137" s="47" t="s">
        <v>278</v>
      </c>
      <c r="E137" s="44" t="s">
        <v>174</v>
      </c>
      <c r="F137" s="46" t="s">
        <v>319</v>
      </c>
      <c r="G137" s="46" t="s">
        <v>258</v>
      </c>
      <c r="H137" s="44">
        <v>4000</v>
      </c>
      <c r="I137" s="48">
        <v>854470000000</v>
      </c>
      <c r="J137" s="44" t="s">
        <v>370</v>
      </c>
      <c r="K137" s="28">
        <v>738</v>
      </c>
      <c r="L137" s="29">
        <f>K137*1.05</f>
        <v>774.9</v>
      </c>
      <c r="M137" s="28"/>
      <c r="N137" s="41">
        <v>785</v>
      </c>
      <c r="O137" s="41">
        <v>750</v>
      </c>
      <c r="P137" s="55"/>
      <c r="Q137" s="111">
        <f t="shared" ref="Q137:Q143" si="39">+N137</f>
        <v>785</v>
      </c>
      <c r="R137" s="112" t="s">
        <v>442</v>
      </c>
      <c r="S137" s="113">
        <f t="shared" si="27"/>
        <v>6.3685636856368563E-2</v>
      </c>
      <c r="U137" s="111">
        <f t="shared" si="37"/>
        <v>835.10638297872345</v>
      </c>
      <c r="V137" s="115">
        <f t="shared" si="38"/>
        <v>918.61702127659589</v>
      </c>
    </row>
    <row r="138" spans="1:22" s="12" customFormat="1">
      <c r="A138" s="21" t="s">
        <v>3</v>
      </c>
      <c r="B138" s="22" t="s">
        <v>261</v>
      </c>
      <c r="C138" s="23" t="s">
        <v>32</v>
      </c>
      <c r="D138" s="24" t="s">
        <v>279</v>
      </c>
      <c r="E138" s="21" t="s">
        <v>174</v>
      </c>
      <c r="F138" s="23" t="s">
        <v>320</v>
      </c>
      <c r="G138" s="23" t="s">
        <v>258</v>
      </c>
      <c r="H138" s="21">
        <v>4000</v>
      </c>
      <c r="I138" s="25">
        <v>854470000000</v>
      </c>
      <c r="J138" s="21" t="s">
        <v>370</v>
      </c>
      <c r="K138" s="14">
        <v>1053</v>
      </c>
      <c r="L138" s="11">
        <f>K138*1.03</f>
        <v>1084.5899999999999</v>
      </c>
      <c r="M138" s="14"/>
      <c r="N138" s="42">
        <v>950</v>
      </c>
      <c r="O138" s="42">
        <v>985</v>
      </c>
      <c r="P138" s="55"/>
      <c r="Q138" s="56">
        <f t="shared" si="39"/>
        <v>950</v>
      </c>
      <c r="R138" s="61" t="s">
        <v>442</v>
      </c>
      <c r="S138" s="57">
        <f t="shared" si="27"/>
        <v>-9.781576448243115E-2</v>
      </c>
      <c r="U138" s="56">
        <f t="shared" si="37"/>
        <v>1010.6382978723404</v>
      </c>
      <c r="V138" s="98">
        <f t="shared" si="38"/>
        <v>1111.7021276595747</v>
      </c>
    </row>
    <row r="139" spans="1:22">
      <c r="A139" s="21" t="s">
        <v>3</v>
      </c>
      <c r="B139" s="22" t="s">
        <v>261</v>
      </c>
      <c r="C139" s="23" t="s">
        <v>32</v>
      </c>
      <c r="D139" s="24" t="s">
        <v>33</v>
      </c>
      <c r="E139" s="21" t="s">
        <v>174</v>
      </c>
      <c r="F139" s="23" t="s">
        <v>34</v>
      </c>
      <c r="G139" s="23" t="s">
        <v>258</v>
      </c>
      <c r="H139" s="21">
        <v>4000</v>
      </c>
      <c r="I139" s="25">
        <v>854470000000</v>
      </c>
      <c r="J139" s="21" t="s">
        <v>370</v>
      </c>
      <c r="K139" s="14">
        <v>1485</v>
      </c>
      <c r="L139" s="11">
        <v>1510</v>
      </c>
      <c r="M139" s="14"/>
      <c r="N139" s="42">
        <v>1580</v>
      </c>
      <c r="O139" s="42">
        <v>1390</v>
      </c>
      <c r="P139" s="55"/>
      <c r="Q139" s="56">
        <f t="shared" si="39"/>
        <v>1580</v>
      </c>
      <c r="R139" s="61" t="s">
        <v>442</v>
      </c>
      <c r="S139" s="57">
        <f t="shared" si="27"/>
        <v>6.3973063973063973E-2</v>
      </c>
      <c r="U139" s="56">
        <f t="shared" si="37"/>
        <v>1680.8510638297873</v>
      </c>
      <c r="V139" s="98">
        <f t="shared" si="38"/>
        <v>1848.9361702127662</v>
      </c>
    </row>
    <row r="140" spans="1:22" s="12" customFormat="1">
      <c r="A140" s="21" t="s">
        <v>3</v>
      </c>
      <c r="B140" s="22" t="s">
        <v>261</v>
      </c>
      <c r="C140" s="23" t="s">
        <v>32</v>
      </c>
      <c r="D140" s="24" t="s">
        <v>280</v>
      </c>
      <c r="E140" s="21" t="s">
        <v>174</v>
      </c>
      <c r="F140" s="23" t="s">
        <v>321</v>
      </c>
      <c r="G140" s="23" t="s">
        <v>258</v>
      </c>
      <c r="H140" s="21">
        <v>4000</v>
      </c>
      <c r="I140" s="25">
        <v>854470000000</v>
      </c>
      <c r="J140" s="21" t="s">
        <v>370</v>
      </c>
      <c r="K140" s="14">
        <v>2306</v>
      </c>
      <c r="L140" s="11">
        <f>K140*1.03</f>
        <v>2375.1799999999998</v>
      </c>
      <c r="M140" s="14"/>
      <c r="N140" s="42">
        <v>2360</v>
      </c>
      <c r="O140" s="42">
        <v>2000</v>
      </c>
      <c r="P140" s="55"/>
      <c r="Q140" s="56">
        <f t="shared" si="39"/>
        <v>2360</v>
      </c>
      <c r="R140" s="61" t="s">
        <v>442</v>
      </c>
      <c r="S140" s="57">
        <f t="shared" si="27"/>
        <v>2.3417172593235037E-2</v>
      </c>
      <c r="U140" s="56">
        <f t="shared" si="37"/>
        <v>2510.6382978723404</v>
      </c>
      <c r="V140" s="98">
        <f t="shared" si="38"/>
        <v>2761.7021276595747</v>
      </c>
    </row>
    <row r="141" spans="1:22">
      <c r="A141" s="21" t="s">
        <v>3</v>
      </c>
      <c r="B141" s="22" t="s">
        <v>261</v>
      </c>
      <c r="C141" s="23" t="s">
        <v>32</v>
      </c>
      <c r="D141" s="24" t="s">
        <v>35</v>
      </c>
      <c r="E141" s="21" t="s">
        <v>174</v>
      </c>
      <c r="F141" s="23" t="s">
        <v>36</v>
      </c>
      <c r="G141" s="23" t="s">
        <v>258</v>
      </c>
      <c r="H141" s="21">
        <v>4000</v>
      </c>
      <c r="I141" s="25">
        <v>854470000000</v>
      </c>
      <c r="J141" s="21" t="s">
        <v>370</v>
      </c>
      <c r="K141" s="14">
        <v>2755</v>
      </c>
      <c r="L141" s="11">
        <v>2770</v>
      </c>
      <c r="M141" s="14"/>
      <c r="N141" s="42">
        <v>3100</v>
      </c>
      <c r="O141" s="42">
        <v>2590</v>
      </c>
      <c r="P141" s="55"/>
      <c r="Q141" s="56">
        <f t="shared" si="39"/>
        <v>3100</v>
      </c>
      <c r="R141" s="61" t="s">
        <v>442</v>
      </c>
      <c r="S141" s="57">
        <f t="shared" si="27"/>
        <v>0.12522686025408347</v>
      </c>
      <c r="U141" s="56">
        <f t="shared" si="37"/>
        <v>3297.872340425532</v>
      </c>
      <c r="V141" s="98">
        <f t="shared" si="38"/>
        <v>3627.6595744680853</v>
      </c>
    </row>
    <row r="142" spans="1:22" s="12" customFormat="1">
      <c r="A142" s="21" t="s">
        <v>3</v>
      </c>
      <c r="B142" s="22" t="s">
        <v>261</v>
      </c>
      <c r="C142" s="23" t="s">
        <v>32</v>
      </c>
      <c r="D142" s="24" t="s">
        <v>281</v>
      </c>
      <c r="E142" s="21" t="s">
        <v>174</v>
      </c>
      <c r="F142" s="23" t="s">
        <v>322</v>
      </c>
      <c r="G142" s="23" t="s">
        <v>258</v>
      </c>
      <c r="H142" s="21">
        <v>4000</v>
      </c>
      <c r="I142" s="25">
        <v>854470000000</v>
      </c>
      <c r="J142" s="21" t="s">
        <v>370</v>
      </c>
      <c r="K142" s="14">
        <v>4388</v>
      </c>
      <c r="L142" s="11">
        <f>K142*1.03</f>
        <v>4519.6400000000003</v>
      </c>
      <c r="M142" s="14"/>
      <c r="N142" s="42">
        <v>4400</v>
      </c>
      <c r="O142" s="42">
        <v>3700</v>
      </c>
      <c r="P142" s="55"/>
      <c r="Q142" s="56">
        <f t="shared" si="39"/>
        <v>4400</v>
      </c>
      <c r="R142" s="61" t="s">
        <v>442</v>
      </c>
      <c r="S142" s="57">
        <f t="shared" si="27"/>
        <v>2.7347310847766638E-3</v>
      </c>
      <c r="U142" s="56">
        <f t="shared" si="37"/>
        <v>4680.8510638297876</v>
      </c>
      <c r="V142" s="98">
        <f t="shared" si="38"/>
        <v>5148.9361702127671</v>
      </c>
    </row>
    <row r="143" spans="1:22" s="12" customFormat="1">
      <c r="A143" s="21" t="s">
        <v>3</v>
      </c>
      <c r="B143" s="22" t="s">
        <v>261</v>
      </c>
      <c r="C143" s="23" t="s">
        <v>32</v>
      </c>
      <c r="D143" s="24" t="s">
        <v>282</v>
      </c>
      <c r="E143" s="21" t="s">
        <v>174</v>
      </c>
      <c r="F143" s="23" t="s">
        <v>323</v>
      </c>
      <c r="G143" s="23" t="s">
        <v>258</v>
      </c>
      <c r="H143" s="21">
        <v>4000</v>
      </c>
      <c r="I143" s="25">
        <v>854470000000</v>
      </c>
      <c r="J143" s="21" t="s">
        <v>370</v>
      </c>
      <c r="K143" s="14">
        <v>8385</v>
      </c>
      <c r="L143" s="11">
        <f>K143*1.03</f>
        <v>8636.5500000000011</v>
      </c>
      <c r="M143" s="14"/>
      <c r="N143" s="42">
        <v>7680</v>
      </c>
      <c r="O143" s="42">
        <v>6935</v>
      </c>
      <c r="P143" s="55"/>
      <c r="Q143" s="56">
        <f t="shared" si="39"/>
        <v>7680</v>
      </c>
      <c r="R143" s="61" t="s">
        <v>442</v>
      </c>
      <c r="S143" s="57">
        <f t="shared" si="27"/>
        <v>-8.4078711985688726E-2</v>
      </c>
      <c r="U143" s="56">
        <f t="shared" si="37"/>
        <v>8170.2127659574471</v>
      </c>
      <c r="V143" s="98">
        <f t="shared" si="38"/>
        <v>8987.2340425531929</v>
      </c>
    </row>
    <row r="144" spans="1:22" s="12" customFormat="1">
      <c r="A144" s="21" t="s">
        <v>47</v>
      </c>
      <c r="B144" s="22" t="s">
        <v>261</v>
      </c>
      <c r="C144" s="23" t="s">
        <v>32</v>
      </c>
      <c r="D144" s="24" t="s">
        <v>283</v>
      </c>
      <c r="E144" s="21" t="s">
        <v>174</v>
      </c>
      <c r="F144" s="23" t="s">
        <v>324</v>
      </c>
      <c r="G144" s="23" t="s">
        <v>258</v>
      </c>
      <c r="H144" s="21">
        <v>4000</v>
      </c>
      <c r="I144" s="25">
        <v>854470000000</v>
      </c>
      <c r="J144" s="21" t="s">
        <v>370</v>
      </c>
      <c r="K144" s="14">
        <v>1284</v>
      </c>
      <c r="L144" s="11">
        <f>K144*1.03</f>
        <v>1322.52</v>
      </c>
      <c r="M144" s="14"/>
      <c r="N144" s="42">
        <v>1200</v>
      </c>
      <c r="O144" s="42">
        <v>1130</v>
      </c>
      <c r="P144" s="2"/>
      <c r="Q144" s="58">
        <f t="shared" ref="Q144:Q150" si="40">+O144</f>
        <v>1130</v>
      </c>
      <c r="R144" s="61" t="s">
        <v>443</v>
      </c>
      <c r="S144" s="57">
        <f t="shared" si="27"/>
        <v>-0.11993769470404984</v>
      </c>
      <c r="U144" s="58">
        <f t="shared" si="37"/>
        <v>1202.1276595744682</v>
      </c>
      <c r="V144" s="99">
        <f t="shared" si="38"/>
        <v>1322.3404255319151</v>
      </c>
    </row>
    <row r="145" spans="1:22" s="12" customFormat="1">
      <c r="A145" s="21" t="s">
        <v>47</v>
      </c>
      <c r="B145" s="22" t="s">
        <v>261</v>
      </c>
      <c r="C145" s="23" t="s">
        <v>32</v>
      </c>
      <c r="D145" s="24" t="s">
        <v>284</v>
      </c>
      <c r="E145" s="21" t="s">
        <v>174</v>
      </c>
      <c r="F145" s="23" t="s">
        <v>325</v>
      </c>
      <c r="G145" s="23" t="s">
        <v>258</v>
      </c>
      <c r="H145" s="21">
        <v>4000</v>
      </c>
      <c r="I145" s="25">
        <v>854470000000</v>
      </c>
      <c r="J145" s="21" t="s">
        <v>370</v>
      </c>
      <c r="K145" s="14">
        <v>2145</v>
      </c>
      <c r="L145" s="11">
        <f>K145*1.03</f>
        <v>2209.35</v>
      </c>
      <c r="M145" s="14"/>
      <c r="N145" s="42">
        <v>1985</v>
      </c>
      <c r="O145" s="42">
        <v>1845</v>
      </c>
      <c r="P145" s="2"/>
      <c r="Q145" s="58">
        <f t="shared" si="40"/>
        <v>1845</v>
      </c>
      <c r="R145" s="61" t="s">
        <v>443</v>
      </c>
      <c r="S145" s="57">
        <f t="shared" ref="S145:S176" si="41">(Q145-K145)/K145</f>
        <v>-0.13986013986013987</v>
      </c>
      <c r="U145" s="58">
        <f t="shared" si="37"/>
        <v>1962.7659574468087</v>
      </c>
      <c r="V145" s="99">
        <f t="shared" si="38"/>
        <v>2159.0425531914898</v>
      </c>
    </row>
    <row r="146" spans="1:22">
      <c r="A146" s="21" t="s">
        <v>47</v>
      </c>
      <c r="B146" s="22" t="s">
        <v>261</v>
      </c>
      <c r="C146" s="23" t="s">
        <v>32</v>
      </c>
      <c r="D146" s="24" t="s">
        <v>56</v>
      </c>
      <c r="E146" s="21" t="s">
        <v>174</v>
      </c>
      <c r="F146" s="23" t="s">
        <v>57</v>
      </c>
      <c r="G146" s="23" t="s">
        <v>258</v>
      </c>
      <c r="H146" s="21">
        <v>4000</v>
      </c>
      <c r="I146" s="25">
        <v>854470000000</v>
      </c>
      <c r="J146" s="21" t="s">
        <v>370</v>
      </c>
      <c r="K146" s="14">
        <v>3175</v>
      </c>
      <c r="L146" s="11">
        <v>3196</v>
      </c>
      <c r="M146" s="14">
        <v>2985</v>
      </c>
      <c r="N146" s="42">
        <v>3175</v>
      </c>
      <c r="O146" s="42">
        <v>2985</v>
      </c>
      <c r="Q146" s="58">
        <f t="shared" si="40"/>
        <v>2985</v>
      </c>
      <c r="R146" s="61" t="s">
        <v>443</v>
      </c>
      <c r="S146" s="57">
        <f t="shared" si="41"/>
        <v>-5.9842519685039369E-2</v>
      </c>
      <c r="U146" s="58">
        <f t="shared" si="37"/>
        <v>3175.5319148936173</v>
      </c>
      <c r="V146" s="99">
        <f t="shared" si="38"/>
        <v>3493.0851063829796</v>
      </c>
    </row>
    <row r="147" spans="1:22" s="12" customFormat="1">
      <c r="A147" s="21" t="s">
        <v>47</v>
      </c>
      <c r="B147" s="22" t="s">
        <v>261</v>
      </c>
      <c r="C147" s="23" t="s">
        <v>32</v>
      </c>
      <c r="D147" s="24" t="s">
        <v>285</v>
      </c>
      <c r="E147" s="21" t="s">
        <v>174</v>
      </c>
      <c r="F147" s="23" t="s">
        <v>326</v>
      </c>
      <c r="G147" s="23" t="s">
        <v>258</v>
      </c>
      <c r="H147" s="21">
        <v>4000</v>
      </c>
      <c r="I147" s="25">
        <v>854470000000</v>
      </c>
      <c r="J147" s="21" t="s">
        <v>370</v>
      </c>
      <c r="K147" s="14">
        <v>5582</v>
      </c>
      <c r="L147" s="11">
        <f>K147*1.03</f>
        <v>5749.46</v>
      </c>
      <c r="M147" s="14"/>
      <c r="N147" s="42">
        <v>4560</v>
      </c>
      <c r="O147" s="42">
        <v>4280</v>
      </c>
      <c r="P147" s="2"/>
      <c r="Q147" s="58">
        <f t="shared" si="40"/>
        <v>4280</v>
      </c>
      <c r="R147" s="61" t="s">
        <v>443</v>
      </c>
      <c r="S147" s="57">
        <f t="shared" si="41"/>
        <v>-0.23324973127911142</v>
      </c>
      <c r="U147" s="58">
        <f t="shared" si="37"/>
        <v>4553.1914893617022</v>
      </c>
      <c r="V147" s="99">
        <f t="shared" si="38"/>
        <v>5008.5106382978729</v>
      </c>
    </row>
    <row r="148" spans="1:22">
      <c r="A148" s="21" t="s">
        <v>47</v>
      </c>
      <c r="B148" s="22" t="s">
        <v>261</v>
      </c>
      <c r="C148" s="23" t="s">
        <v>32</v>
      </c>
      <c r="D148" s="24" t="s">
        <v>58</v>
      </c>
      <c r="E148" s="21" t="s">
        <v>174</v>
      </c>
      <c r="F148" s="23" t="s">
        <v>59</v>
      </c>
      <c r="G148" s="23" t="s">
        <v>258</v>
      </c>
      <c r="H148" s="21">
        <v>4000</v>
      </c>
      <c r="I148" s="25">
        <v>854470000000</v>
      </c>
      <c r="J148" s="21" t="s">
        <v>370</v>
      </c>
      <c r="K148" s="14">
        <v>5946</v>
      </c>
      <c r="L148" s="11">
        <v>5966</v>
      </c>
      <c r="M148" s="14">
        <v>5600</v>
      </c>
      <c r="N148" s="42">
        <v>5945</v>
      </c>
      <c r="O148" s="42">
        <v>5980</v>
      </c>
      <c r="Q148" s="58">
        <f t="shared" si="40"/>
        <v>5980</v>
      </c>
      <c r="R148" s="61" t="s">
        <v>443</v>
      </c>
      <c r="S148" s="57">
        <f t="shared" si="41"/>
        <v>5.7181298351833163E-3</v>
      </c>
      <c r="U148" s="58">
        <f t="shared" si="37"/>
        <v>6361.7021276595751</v>
      </c>
      <c r="V148" s="99">
        <f t="shared" si="38"/>
        <v>6997.8723404255334</v>
      </c>
    </row>
    <row r="149" spans="1:22" s="12" customFormat="1">
      <c r="A149" s="21" t="s">
        <v>47</v>
      </c>
      <c r="B149" s="22" t="s">
        <v>261</v>
      </c>
      <c r="C149" s="23" t="s">
        <v>32</v>
      </c>
      <c r="D149" s="24" t="s">
        <v>286</v>
      </c>
      <c r="E149" s="21" t="s">
        <v>174</v>
      </c>
      <c r="F149" s="23" t="s">
        <v>327</v>
      </c>
      <c r="G149" s="23" t="s">
        <v>258</v>
      </c>
      <c r="H149" s="21">
        <v>4000</v>
      </c>
      <c r="I149" s="25">
        <v>854470000000</v>
      </c>
      <c r="J149" s="21" t="s">
        <v>370</v>
      </c>
      <c r="K149" s="14">
        <v>10940</v>
      </c>
      <c r="L149" s="11">
        <f>K149*1.02</f>
        <v>11158.800000000001</v>
      </c>
      <c r="M149" s="14"/>
      <c r="N149" s="42">
        <v>9340</v>
      </c>
      <c r="O149" s="42">
        <v>8780</v>
      </c>
      <c r="P149" s="2"/>
      <c r="Q149" s="58">
        <f t="shared" si="40"/>
        <v>8780</v>
      </c>
      <c r="R149" s="61" t="s">
        <v>443</v>
      </c>
      <c r="S149" s="57">
        <f t="shared" si="41"/>
        <v>-0.19744058500914077</v>
      </c>
      <c r="U149" s="58">
        <f t="shared" si="37"/>
        <v>9340.4255319148942</v>
      </c>
      <c r="V149" s="99">
        <f t="shared" si="38"/>
        <v>10274.468085106384</v>
      </c>
    </row>
    <row r="150" spans="1:22" s="12" customFormat="1">
      <c r="A150" s="21" t="s">
        <v>47</v>
      </c>
      <c r="B150" s="22" t="s">
        <v>261</v>
      </c>
      <c r="C150" s="23" t="s">
        <v>32</v>
      </c>
      <c r="D150" s="24" t="s">
        <v>287</v>
      </c>
      <c r="E150" s="21" t="s">
        <v>174</v>
      </c>
      <c r="F150" s="23" t="s">
        <v>328</v>
      </c>
      <c r="G150" s="23" t="s">
        <v>258</v>
      </c>
      <c r="H150" s="21">
        <v>4000</v>
      </c>
      <c r="I150" s="25">
        <v>854470000000</v>
      </c>
      <c r="J150" s="21" t="s">
        <v>370</v>
      </c>
      <c r="K150" s="14">
        <v>21489</v>
      </c>
      <c r="L150" s="11">
        <f>K150*1.02</f>
        <v>21918.78</v>
      </c>
      <c r="M150" s="14"/>
      <c r="N150" s="42">
        <v>18210</v>
      </c>
      <c r="O150" s="42">
        <v>17100</v>
      </c>
      <c r="P150" s="2"/>
      <c r="Q150" s="58">
        <f t="shared" si="40"/>
        <v>17100</v>
      </c>
      <c r="R150" s="61" t="s">
        <v>443</v>
      </c>
      <c r="S150" s="57">
        <f t="shared" si="41"/>
        <v>-0.20424403183023873</v>
      </c>
      <c r="U150" s="58">
        <f t="shared" si="37"/>
        <v>18191.48936170213</v>
      </c>
      <c r="V150" s="99">
        <f t="shared" si="38"/>
        <v>20010.638297872345</v>
      </c>
    </row>
    <row r="151" spans="1:22" s="12" customFormat="1">
      <c r="A151" s="21" t="s">
        <v>76</v>
      </c>
      <c r="B151" s="22" t="s">
        <v>261</v>
      </c>
      <c r="C151" s="23" t="s">
        <v>32</v>
      </c>
      <c r="D151" s="24" t="s">
        <v>288</v>
      </c>
      <c r="E151" s="21" t="s">
        <v>174</v>
      </c>
      <c r="F151" s="23" t="s">
        <v>329</v>
      </c>
      <c r="G151" s="23" t="s">
        <v>258</v>
      </c>
      <c r="H151" s="21">
        <v>4000</v>
      </c>
      <c r="I151" s="25">
        <v>854470000000</v>
      </c>
      <c r="J151" s="21" t="s">
        <v>370</v>
      </c>
      <c r="K151" s="14">
        <v>1985</v>
      </c>
      <c r="L151" s="11">
        <f>K151*1.03</f>
        <v>2044.55</v>
      </c>
      <c r="M151" s="14"/>
      <c r="N151" s="26">
        <v>1915</v>
      </c>
      <c r="O151" s="26">
        <v>0</v>
      </c>
      <c r="P151" s="2"/>
      <c r="Q151" s="58">
        <f t="shared" ref="Q151:Q164" si="42">+N151</f>
        <v>1915</v>
      </c>
      <c r="R151" s="61" t="s">
        <v>444</v>
      </c>
      <c r="S151" s="57">
        <f t="shared" si="41"/>
        <v>-3.5264483627204031E-2</v>
      </c>
      <c r="U151" s="58">
        <f t="shared" si="37"/>
        <v>2037.2340425531916</v>
      </c>
      <c r="V151" s="99">
        <f t="shared" si="38"/>
        <v>2240.9574468085107</v>
      </c>
    </row>
    <row r="152" spans="1:22" s="12" customFormat="1">
      <c r="A152" s="21" t="s">
        <v>76</v>
      </c>
      <c r="B152" s="22" t="s">
        <v>261</v>
      </c>
      <c r="C152" s="23" t="s">
        <v>32</v>
      </c>
      <c r="D152" s="24" t="s">
        <v>289</v>
      </c>
      <c r="E152" s="21" t="s">
        <v>174</v>
      </c>
      <c r="F152" s="23" t="s">
        <v>330</v>
      </c>
      <c r="G152" s="23" t="s">
        <v>258</v>
      </c>
      <c r="H152" s="21">
        <v>4000</v>
      </c>
      <c r="I152" s="25">
        <v>854470000000</v>
      </c>
      <c r="J152" s="21" t="s">
        <v>370</v>
      </c>
      <c r="K152" s="14">
        <v>3550</v>
      </c>
      <c r="L152" s="11">
        <f>K152*1.03</f>
        <v>3656.5</v>
      </c>
      <c r="M152" s="14"/>
      <c r="N152" s="26">
        <v>3350</v>
      </c>
      <c r="O152" s="26">
        <v>0</v>
      </c>
      <c r="P152" s="2"/>
      <c r="Q152" s="58">
        <f t="shared" si="42"/>
        <v>3350</v>
      </c>
      <c r="R152" s="61" t="s">
        <v>444</v>
      </c>
      <c r="S152" s="57">
        <f t="shared" si="41"/>
        <v>-5.6338028169014086E-2</v>
      </c>
      <c r="U152" s="58">
        <f t="shared" si="37"/>
        <v>3563.8297872340427</v>
      </c>
      <c r="V152" s="99">
        <f t="shared" si="38"/>
        <v>3920.2127659574471</v>
      </c>
    </row>
    <row r="153" spans="1:22">
      <c r="A153" s="21" t="s">
        <v>76</v>
      </c>
      <c r="B153" s="22" t="s">
        <v>261</v>
      </c>
      <c r="C153" s="23" t="s">
        <v>32</v>
      </c>
      <c r="D153" s="24" t="s">
        <v>85</v>
      </c>
      <c r="E153" s="21" t="s">
        <v>174</v>
      </c>
      <c r="F153" s="23" t="s">
        <v>86</v>
      </c>
      <c r="G153" s="23" t="s">
        <v>258</v>
      </c>
      <c r="H153" s="21">
        <v>4000</v>
      </c>
      <c r="I153" s="25">
        <v>854470000000</v>
      </c>
      <c r="J153" s="21" t="s">
        <v>370</v>
      </c>
      <c r="K153" s="14">
        <v>5981</v>
      </c>
      <c r="L153" s="11">
        <v>5995</v>
      </c>
      <c r="M153" s="14"/>
      <c r="N153" s="26">
        <v>5900</v>
      </c>
      <c r="O153" s="26">
        <v>0</v>
      </c>
      <c r="Q153" s="58">
        <f t="shared" si="42"/>
        <v>5900</v>
      </c>
      <c r="R153" s="61" t="s">
        <v>444</v>
      </c>
      <c r="S153" s="57">
        <f t="shared" si="41"/>
        <v>-1.3542885805049323E-2</v>
      </c>
      <c r="U153" s="58">
        <f t="shared" si="37"/>
        <v>6276.5957446808516</v>
      </c>
      <c r="V153" s="99">
        <f t="shared" si="38"/>
        <v>6904.2553191489369</v>
      </c>
    </row>
    <row r="154" spans="1:22" s="12" customFormat="1">
      <c r="A154" s="21" t="s">
        <v>76</v>
      </c>
      <c r="B154" s="22" t="s">
        <v>261</v>
      </c>
      <c r="C154" s="23" t="s">
        <v>32</v>
      </c>
      <c r="D154" s="24" t="s">
        <v>290</v>
      </c>
      <c r="E154" s="21" t="s">
        <v>174</v>
      </c>
      <c r="F154" s="23" t="s">
        <v>331</v>
      </c>
      <c r="G154" s="23" t="s">
        <v>258</v>
      </c>
      <c r="H154" s="21">
        <v>4000</v>
      </c>
      <c r="I154" s="25">
        <v>854470000000</v>
      </c>
      <c r="J154" s="21" t="s">
        <v>370</v>
      </c>
      <c r="K154" s="14">
        <v>9800</v>
      </c>
      <c r="L154" s="11">
        <f>K154*1.02</f>
        <v>9996</v>
      </c>
      <c r="M154" s="14"/>
      <c r="N154" s="26">
        <v>9080</v>
      </c>
      <c r="O154" s="26">
        <v>0</v>
      </c>
      <c r="P154" s="2"/>
      <c r="Q154" s="58">
        <f t="shared" si="42"/>
        <v>9080</v>
      </c>
      <c r="R154" s="61" t="s">
        <v>444</v>
      </c>
      <c r="S154" s="57">
        <f t="shared" si="41"/>
        <v>-7.3469387755102047E-2</v>
      </c>
      <c r="U154" s="58">
        <f t="shared" si="37"/>
        <v>9659.5744680851076</v>
      </c>
      <c r="V154" s="99">
        <f t="shared" si="38"/>
        <v>10625.53191489362</v>
      </c>
    </row>
    <row r="155" spans="1:22">
      <c r="A155" s="21" t="s">
        <v>76</v>
      </c>
      <c r="B155" s="22" t="s">
        <v>261</v>
      </c>
      <c r="C155" s="23" t="s">
        <v>32</v>
      </c>
      <c r="D155" s="24" t="s">
        <v>87</v>
      </c>
      <c r="E155" s="21" t="s">
        <v>174</v>
      </c>
      <c r="F155" s="23" t="s">
        <v>88</v>
      </c>
      <c r="G155" s="23" t="s">
        <v>258</v>
      </c>
      <c r="H155" s="21">
        <v>4000</v>
      </c>
      <c r="I155" s="25">
        <v>854470000000</v>
      </c>
      <c r="J155" s="21" t="s">
        <v>370</v>
      </c>
      <c r="K155" s="14">
        <v>11760</v>
      </c>
      <c r="L155" s="11">
        <v>11795</v>
      </c>
      <c r="M155" s="14"/>
      <c r="N155" s="26">
        <v>11765</v>
      </c>
      <c r="O155" s="26">
        <v>0</v>
      </c>
      <c r="Q155" s="58">
        <f t="shared" si="42"/>
        <v>11765</v>
      </c>
      <c r="R155" s="61" t="s">
        <v>444</v>
      </c>
      <c r="S155" s="57">
        <f t="shared" si="41"/>
        <v>4.2517006802721087E-4</v>
      </c>
      <c r="U155" s="58">
        <f t="shared" si="37"/>
        <v>12515.957446808512</v>
      </c>
      <c r="V155" s="99">
        <f t="shared" si="38"/>
        <v>13767.553191489364</v>
      </c>
    </row>
    <row r="156" spans="1:22" s="12" customFormat="1">
      <c r="A156" s="21" t="s">
        <v>76</v>
      </c>
      <c r="B156" s="22" t="s">
        <v>261</v>
      </c>
      <c r="C156" s="23" t="s">
        <v>32</v>
      </c>
      <c r="D156" s="24" t="s">
        <v>291</v>
      </c>
      <c r="E156" s="21" t="s">
        <v>174</v>
      </c>
      <c r="F156" s="23" t="s">
        <v>332</v>
      </c>
      <c r="G156" s="23" t="s">
        <v>258</v>
      </c>
      <c r="H156" s="21">
        <v>4000</v>
      </c>
      <c r="I156" s="25">
        <v>854470000000</v>
      </c>
      <c r="J156" s="21" t="s">
        <v>370</v>
      </c>
      <c r="K156" s="14">
        <v>19354</v>
      </c>
      <c r="L156" s="11">
        <f>K156*1.02</f>
        <v>19741.080000000002</v>
      </c>
      <c r="M156" s="14"/>
      <c r="N156" s="26">
        <v>18600</v>
      </c>
      <c r="O156" s="26">
        <v>0</v>
      </c>
      <c r="P156" s="2"/>
      <c r="Q156" s="58">
        <f t="shared" si="42"/>
        <v>18600</v>
      </c>
      <c r="R156" s="61" t="s">
        <v>444</v>
      </c>
      <c r="S156" s="57">
        <f t="shared" si="41"/>
        <v>-3.895835486204402E-2</v>
      </c>
      <c r="U156" s="58">
        <f t="shared" si="37"/>
        <v>19787.234042553191</v>
      </c>
      <c r="V156" s="99">
        <f t="shared" si="38"/>
        <v>21765.957446808512</v>
      </c>
    </row>
    <row r="157" spans="1:22" s="12" customFormat="1">
      <c r="A157" s="21" t="s">
        <v>76</v>
      </c>
      <c r="B157" s="22" t="s">
        <v>261</v>
      </c>
      <c r="C157" s="23" t="s">
        <v>32</v>
      </c>
      <c r="D157" s="24" t="s">
        <v>292</v>
      </c>
      <c r="E157" s="21" t="s">
        <v>174</v>
      </c>
      <c r="F157" s="23" t="s">
        <v>333</v>
      </c>
      <c r="G157" s="23" t="s">
        <v>258</v>
      </c>
      <c r="H157" s="21">
        <v>4000</v>
      </c>
      <c r="I157" s="25">
        <v>854470000000</v>
      </c>
      <c r="J157" s="21" t="s">
        <v>370</v>
      </c>
      <c r="K157" s="14">
        <v>38337</v>
      </c>
      <c r="L157" s="11">
        <f>K157*1.01</f>
        <v>38720.370000000003</v>
      </c>
      <c r="M157" s="14"/>
      <c r="N157" s="26">
        <v>35345</v>
      </c>
      <c r="O157" s="26">
        <v>0</v>
      </c>
      <c r="P157" s="2"/>
      <c r="Q157" s="58">
        <f t="shared" si="42"/>
        <v>35345</v>
      </c>
      <c r="R157" s="61" t="s">
        <v>444</v>
      </c>
      <c r="S157" s="57">
        <f t="shared" si="41"/>
        <v>-7.8044708766987506E-2</v>
      </c>
      <c r="U157" s="58">
        <f t="shared" si="37"/>
        <v>37601.063829787236</v>
      </c>
      <c r="V157" s="99">
        <f t="shared" si="38"/>
        <v>41361.170212765959</v>
      </c>
    </row>
    <row r="158" spans="1:22" s="12" customFormat="1">
      <c r="A158" s="21" t="s">
        <v>89</v>
      </c>
      <c r="B158" s="22" t="s">
        <v>261</v>
      </c>
      <c r="C158" s="23" t="s">
        <v>32</v>
      </c>
      <c r="D158" s="24" t="s">
        <v>293</v>
      </c>
      <c r="E158" s="21" t="s">
        <v>174</v>
      </c>
      <c r="F158" s="23" t="s">
        <v>334</v>
      </c>
      <c r="G158" s="23" t="s">
        <v>258</v>
      </c>
      <c r="H158" s="21">
        <v>4000</v>
      </c>
      <c r="I158" s="25">
        <v>854470000000</v>
      </c>
      <c r="J158" s="21" t="s">
        <v>370</v>
      </c>
      <c r="K158" s="14">
        <v>469</v>
      </c>
      <c r="L158" s="11">
        <f>K158*1.05</f>
        <v>492.45000000000005</v>
      </c>
      <c r="M158" s="14"/>
      <c r="N158" s="26">
        <v>545</v>
      </c>
      <c r="O158" s="26">
        <v>0</v>
      </c>
      <c r="P158" s="2"/>
      <c r="Q158" s="58">
        <f t="shared" si="42"/>
        <v>545</v>
      </c>
      <c r="R158" s="61" t="s">
        <v>445</v>
      </c>
      <c r="S158" s="57">
        <f t="shared" si="41"/>
        <v>0.16204690831556504</v>
      </c>
      <c r="U158" s="58">
        <f t="shared" si="37"/>
        <v>579.78723404255322</v>
      </c>
      <c r="V158" s="99">
        <f t="shared" si="38"/>
        <v>637.76595744680856</v>
      </c>
    </row>
    <row r="159" spans="1:22" s="12" customFormat="1">
      <c r="A159" s="21" t="s">
        <v>89</v>
      </c>
      <c r="B159" s="22" t="s">
        <v>261</v>
      </c>
      <c r="C159" s="23" t="s">
        <v>32</v>
      </c>
      <c r="D159" s="24" t="s">
        <v>294</v>
      </c>
      <c r="E159" s="21" t="s">
        <v>174</v>
      </c>
      <c r="F159" s="23" t="s">
        <v>335</v>
      </c>
      <c r="G159" s="23" t="s">
        <v>258</v>
      </c>
      <c r="H159" s="21">
        <v>4000</v>
      </c>
      <c r="I159" s="25">
        <v>854470000000</v>
      </c>
      <c r="J159" s="21" t="s">
        <v>370</v>
      </c>
      <c r="K159" s="14">
        <v>512</v>
      </c>
      <c r="L159" s="11">
        <f>K159*1.05</f>
        <v>537.6</v>
      </c>
      <c r="M159" s="14"/>
      <c r="N159" s="26">
        <v>645</v>
      </c>
      <c r="O159" s="26">
        <v>0</v>
      </c>
      <c r="P159" s="2"/>
      <c r="Q159" s="58">
        <f t="shared" si="42"/>
        <v>645</v>
      </c>
      <c r="R159" s="61" t="s">
        <v>445</v>
      </c>
      <c r="S159" s="57">
        <f t="shared" si="41"/>
        <v>0.259765625</v>
      </c>
      <c r="U159" s="58">
        <f t="shared" si="37"/>
        <v>686.17021276595744</v>
      </c>
      <c r="V159" s="99">
        <f t="shared" si="38"/>
        <v>754.78723404255322</v>
      </c>
    </row>
    <row r="160" spans="1:22">
      <c r="A160" s="21" t="s">
        <v>89</v>
      </c>
      <c r="B160" s="22" t="s">
        <v>261</v>
      </c>
      <c r="C160" s="23" t="s">
        <v>32</v>
      </c>
      <c r="D160" s="24" t="s">
        <v>117</v>
      </c>
      <c r="E160" s="21" t="s">
        <v>174</v>
      </c>
      <c r="F160" s="23" t="s">
        <v>118</v>
      </c>
      <c r="G160" s="23" t="s">
        <v>258</v>
      </c>
      <c r="H160" s="21">
        <v>4000</v>
      </c>
      <c r="I160" s="25">
        <v>854470000000</v>
      </c>
      <c r="J160" s="21" t="s">
        <v>370</v>
      </c>
      <c r="K160" s="14">
        <v>545</v>
      </c>
      <c r="L160" s="11">
        <v>565</v>
      </c>
      <c r="M160" s="14"/>
      <c r="N160" s="26">
        <v>840</v>
      </c>
      <c r="O160" s="26">
        <v>0</v>
      </c>
      <c r="Q160" s="58">
        <f t="shared" si="42"/>
        <v>840</v>
      </c>
      <c r="R160" s="61" t="s">
        <v>445</v>
      </c>
      <c r="S160" s="57">
        <f t="shared" si="41"/>
        <v>0.54128440366972475</v>
      </c>
      <c r="U160" s="58">
        <f t="shared" si="37"/>
        <v>893.61702127659578</v>
      </c>
      <c r="V160" s="99">
        <f t="shared" si="38"/>
        <v>982.97872340425545</v>
      </c>
    </row>
    <row r="161" spans="1:22" s="12" customFormat="1">
      <c r="A161" s="21" t="s">
        <v>89</v>
      </c>
      <c r="B161" s="22" t="s">
        <v>261</v>
      </c>
      <c r="C161" s="23" t="s">
        <v>32</v>
      </c>
      <c r="D161" s="24" t="s">
        <v>295</v>
      </c>
      <c r="E161" s="21" t="s">
        <v>174</v>
      </c>
      <c r="F161" s="23" t="s">
        <v>336</v>
      </c>
      <c r="G161" s="23" t="s">
        <v>258</v>
      </c>
      <c r="H161" s="21">
        <v>4000</v>
      </c>
      <c r="I161" s="25">
        <v>854470000000</v>
      </c>
      <c r="J161" s="21" t="s">
        <v>370</v>
      </c>
      <c r="K161" s="14">
        <v>686</v>
      </c>
      <c r="L161" s="11">
        <f>K161*1.05</f>
        <v>720.30000000000007</v>
      </c>
      <c r="M161" s="14"/>
      <c r="N161" s="26">
        <v>1050</v>
      </c>
      <c r="O161" s="26">
        <v>0</v>
      </c>
      <c r="P161" s="2"/>
      <c r="Q161" s="58">
        <f t="shared" si="42"/>
        <v>1050</v>
      </c>
      <c r="R161" s="61" t="s">
        <v>445</v>
      </c>
      <c r="S161" s="57">
        <f t="shared" si="41"/>
        <v>0.53061224489795922</v>
      </c>
      <c r="U161" s="58">
        <f t="shared" si="37"/>
        <v>1117.0212765957447</v>
      </c>
      <c r="V161" s="99">
        <f t="shared" si="38"/>
        <v>1228.7234042553193</v>
      </c>
    </row>
    <row r="162" spans="1:22">
      <c r="A162" s="21" t="s">
        <v>89</v>
      </c>
      <c r="B162" s="22" t="s">
        <v>261</v>
      </c>
      <c r="C162" s="23" t="s">
        <v>32</v>
      </c>
      <c r="D162" s="24" t="s">
        <v>119</v>
      </c>
      <c r="E162" s="21" t="s">
        <v>174</v>
      </c>
      <c r="F162" s="23" t="s">
        <v>120</v>
      </c>
      <c r="G162" s="23" t="s">
        <v>258</v>
      </c>
      <c r="H162" s="21">
        <v>4000</v>
      </c>
      <c r="I162" s="25">
        <v>854470000000</v>
      </c>
      <c r="J162" s="21" t="s">
        <v>370</v>
      </c>
      <c r="K162" s="14">
        <v>785</v>
      </c>
      <c r="L162" s="11">
        <v>800</v>
      </c>
      <c r="M162" s="14"/>
      <c r="N162" s="26">
        <v>1350</v>
      </c>
      <c r="O162" s="26">
        <v>0</v>
      </c>
      <c r="Q162" s="58">
        <f t="shared" si="42"/>
        <v>1350</v>
      </c>
      <c r="R162" s="61" t="s">
        <v>445</v>
      </c>
      <c r="S162" s="57">
        <f t="shared" si="41"/>
        <v>0.71974522292993626</v>
      </c>
      <c r="U162" s="58">
        <f t="shared" si="37"/>
        <v>1436.1702127659576</v>
      </c>
      <c r="V162" s="99">
        <f t="shared" si="38"/>
        <v>1579.7872340425533</v>
      </c>
    </row>
    <row r="163" spans="1:22" s="12" customFormat="1">
      <c r="A163" s="21" t="s">
        <v>89</v>
      </c>
      <c r="B163" s="22" t="s">
        <v>261</v>
      </c>
      <c r="C163" s="23" t="s">
        <v>32</v>
      </c>
      <c r="D163" s="24" t="s">
        <v>296</v>
      </c>
      <c r="E163" s="21" t="s">
        <v>174</v>
      </c>
      <c r="F163" s="23" t="s">
        <v>337</v>
      </c>
      <c r="G163" s="23" t="s">
        <v>258</v>
      </c>
      <c r="H163" s="21">
        <v>4000</v>
      </c>
      <c r="I163" s="25">
        <v>854470000000</v>
      </c>
      <c r="J163" s="21" t="s">
        <v>370</v>
      </c>
      <c r="K163" s="14">
        <v>1150</v>
      </c>
      <c r="L163" s="11">
        <f>K163*1.03</f>
        <v>1184.5</v>
      </c>
      <c r="M163" s="14"/>
      <c r="N163" s="26">
        <v>1850</v>
      </c>
      <c r="O163" s="26">
        <v>0</v>
      </c>
      <c r="P163" s="2"/>
      <c r="Q163" s="58">
        <f t="shared" si="42"/>
        <v>1850</v>
      </c>
      <c r="R163" s="61" t="s">
        <v>445</v>
      </c>
      <c r="S163" s="57">
        <f t="shared" si="41"/>
        <v>0.60869565217391308</v>
      </c>
      <c r="U163" s="58">
        <f t="shared" si="37"/>
        <v>1968.0851063829789</v>
      </c>
      <c r="V163" s="99">
        <f t="shared" si="38"/>
        <v>2164.8936170212769</v>
      </c>
    </row>
    <row r="164" spans="1:22" s="12" customFormat="1" ht="24" thickBot="1">
      <c r="A164" s="49" t="s">
        <v>89</v>
      </c>
      <c r="B164" s="50" t="s">
        <v>261</v>
      </c>
      <c r="C164" s="51" t="s">
        <v>32</v>
      </c>
      <c r="D164" s="52" t="s">
        <v>297</v>
      </c>
      <c r="E164" s="49" t="s">
        <v>174</v>
      </c>
      <c r="F164" s="51" t="s">
        <v>338</v>
      </c>
      <c r="G164" s="51" t="s">
        <v>258</v>
      </c>
      <c r="H164" s="49">
        <v>4000</v>
      </c>
      <c r="I164" s="53">
        <v>854470000000</v>
      </c>
      <c r="J164" s="54" t="s">
        <v>370</v>
      </c>
      <c r="K164" s="34">
        <v>1907</v>
      </c>
      <c r="L164" s="35">
        <f>K164*1.03</f>
        <v>1964.21</v>
      </c>
      <c r="M164" s="34"/>
      <c r="N164" s="36">
        <v>3360</v>
      </c>
      <c r="O164" s="36">
        <v>0</v>
      </c>
      <c r="P164" s="2"/>
      <c r="Q164" s="59">
        <f t="shared" si="42"/>
        <v>3360</v>
      </c>
      <c r="R164" s="62" t="s">
        <v>445</v>
      </c>
      <c r="S164" s="60">
        <f t="shared" si="41"/>
        <v>0.76192973256423702</v>
      </c>
      <c r="U164" s="59">
        <f t="shared" si="37"/>
        <v>3574.4680851063831</v>
      </c>
      <c r="V164" s="100">
        <f t="shared" si="38"/>
        <v>3931.9148936170218</v>
      </c>
    </row>
    <row r="165" spans="1:22" s="12" customFormat="1" ht="24" thickTop="1">
      <c r="A165" s="78" t="s">
        <v>3</v>
      </c>
      <c r="B165" s="81" t="s">
        <v>262</v>
      </c>
      <c r="C165" s="76" t="s">
        <v>32</v>
      </c>
      <c r="D165" s="77" t="s">
        <v>298</v>
      </c>
      <c r="E165" s="78" t="s">
        <v>252</v>
      </c>
      <c r="F165" s="76" t="s">
        <v>339</v>
      </c>
      <c r="G165" s="76" t="s">
        <v>258</v>
      </c>
      <c r="H165" s="78">
        <v>4000</v>
      </c>
      <c r="I165" s="79">
        <v>854470000000</v>
      </c>
      <c r="J165" s="78" t="s">
        <v>370</v>
      </c>
      <c r="K165" s="28">
        <v>811</v>
      </c>
      <c r="L165" s="29">
        <f>K165*1.02</f>
        <v>827.22</v>
      </c>
      <c r="M165" s="28"/>
      <c r="N165" s="41">
        <v>810</v>
      </c>
      <c r="O165" s="41">
        <v>745</v>
      </c>
      <c r="P165" s="2"/>
      <c r="Q165" s="119">
        <f t="shared" ref="Q165:Q171" si="43">+N165</f>
        <v>810</v>
      </c>
      <c r="R165" s="109" t="s">
        <v>442</v>
      </c>
      <c r="S165" s="110">
        <f t="shared" si="41"/>
        <v>-1.2330456226880395E-3</v>
      </c>
      <c r="U165" s="119">
        <f t="shared" si="37"/>
        <v>861.70212765957456</v>
      </c>
      <c r="V165" s="120">
        <f t="shared" si="38"/>
        <v>947.87234042553212</v>
      </c>
    </row>
    <row r="166" spans="1:22" s="12" customFormat="1">
      <c r="A166" s="63" t="s">
        <v>3</v>
      </c>
      <c r="B166" s="82" t="s">
        <v>262</v>
      </c>
      <c r="C166" s="65" t="s">
        <v>32</v>
      </c>
      <c r="D166" s="66" t="s">
        <v>299</v>
      </c>
      <c r="E166" s="63" t="s">
        <v>252</v>
      </c>
      <c r="F166" s="65" t="s">
        <v>340</v>
      </c>
      <c r="G166" s="65" t="s">
        <v>258</v>
      </c>
      <c r="H166" s="63">
        <v>4000</v>
      </c>
      <c r="I166" s="67">
        <v>854470000000</v>
      </c>
      <c r="J166" s="63" t="s">
        <v>370</v>
      </c>
      <c r="K166" s="14">
        <v>1137</v>
      </c>
      <c r="L166" s="11">
        <f>K166*1.03</f>
        <v>1171.1100000000001</v>
      </c>
      <c r="M166" s="14"/>
      <c r="N166" s="42">
        <v>1035</v>
      </c>
      <c r="O166" s="42">
        <v>1040</v>
      </c>
      <c r="P166" s="2"/>
      <c r="Q166" s="56">
        <f t="shared" si="43"/>
        <v>1035</v>
      </c>
      <c r="R166" s="61" t="s">
        <v>442</v>
      </c>
      <c r="S166" s="57">
        <f t="shared" si="41"/>
        <v>-8.9709762532981532E-2</v>
      </c>
      <c r="U166" s="56">
        <f t="shared" si="37"/>
        <v>1101.063829787234</v>
      </c>
      <c r="V166" s="98">
        <f t="shared" si="38"/>
        <v>1211.1702127659576</v>
      </c>
    </row>
    <row r="167" spans="1:22">
      <c r="A167" s="63" t="s">
        <v>3</v>
      </c>
      <c r="B167" s="82" t="s">
        <v>262</v>
      </c>
      <c r="C167" s="65" t="s">
        <v>32</v>
      </c>
      <c r="D167" s="66" t="s">
        <v>192</v>
      </c>
      <c r="E167" s="63" t="s">
        <v>252</v>
      </c>
      <c r="F167" s="65" t="s">
        <v>189</v>
      </c>
      <c r="G167" s="65" t="s">
        <v>258</v>
      </c>
      <c r="H167" s="63">
        <v>4000</v>
      </c>
      <c r="I167" s="67">
        <v>854470000000</v>
      </c>
      <c r="J167" s="63" t="s">
        <v>370</v>
      </c>
      <c r="K167" s="14">
        <v>1578</v>
      </c>
      <c r="L167" s="11">
        <v>1600</v>
      </c>
      <c r="M167" s="14"/>
      <c r="N167" s="42">
        <v>1485</v>
      </c>
      <c r="O167" s="42">
        <v>1455</v>
      </c>
      <c r="Q167" s="56">
        <f t="shared" si="43"/>
        <v>1485</v>
      </c>
      <c r="R167" s="61" t="s">
        <v>442</v>
      </c>
      <c r="S167" s="57">
        <f t="shared" si="41"/>
        <v>-5.8935361216730035E-2</v>
      </c>
      <c r="U167" s="56">
        <f t="shared" si="37"/>
        <v>1579.7872340425533</v>
      </c>
      <c r="V167" s="98">
        <f t="shared" si="38"/>
        <v>1737.7659574468089</v>
      </c>
    </row>
    <row r="168" spans="1:22" s="12" customFormat="1">
      <c r="A168" s="63" t="s">
        <v>3</v>
      </c>
      <c r="B168" s="82" t="s">
        <v>262</v>
      </c>
      <c r="C168" s="65" t="s">
        <v>32</v>
      </c>
      <c r="D168" s="66" t="s">
        <v>300</v>
      </c>
      <c r="E168" s="63" t="s">
        <v>252</v>
      </c>
      <c r="F168" s="65" t="s">
        <v>341</v>
      </c>
      <c r="G168" s="65" t="s">
        <v>258</v>
      </c>
      <c r="H168" s="63">
        <v>4000</v>
      </c>
      <c r="I168" s="67">
        <v>854470000000</v>
      </c>
      <c r="J168" s="63" t="s">
        <v>370</v>
      </c>
      <c r="K168" s="14">
        <v>2440</v>
      </c>
      <c r="L168" s="11">
        <f>K168*1.03</f>
        <v>2513.2000000000003</v>
      </c>
      <c r="M168" s="14"/>
      <c r="N168" s="42">
        <v>2210</v>
      </c>
      <c r="O168" s="42">
        <v>2210</v>
      </c>
      <c r="P168" s="2"/>
      <c r="Q168" s="56">
        <f t="shared" si="43"/>
        <v>2210</v>
      </c>
      <c r="R168" s="61" t="s">
        <v>442</v>
      </c>
      <c r="S168" s="57">
        <f t="shared" si="41"/>
        <v>-9.4262295081967207E-2</v>
      </c>
      <c r="U168" s="56">
        <f t="shared" si="37"/>
        <v>2351.0638297872342</v>
      </c>
      <c r="V168" s="98">
        <f t="shared" si="38"/>
        <v>2586.1702127659578</v>
      </c>
    </row>
    <row r="169" spans="1:22" s="12" customFormat="1">
      <c r="A169" s="63" t="s">
        <v>3</v>
      </c>
      <c r="B169" s="82" t="s">
        <v>262</v>
      </c>
      <c r="C169" s="65" t="s">
        <v>32</v>
      </c>
      <c r="D169" s="66" t="s">
        <v>301</v>
      </c>
      <c r="E169" s="63" t="s">
        <v>252</v>
      </c>
      <c r="F169" s="65" t="s">
        <v>342</v>
      </c>
      <c r="G169" s="65" t="s">
        <v>258</v>
      </c>
      <c r="H169" s="63">
        <v>4000</v>
      </c>
      <c r="I169" s="67">
        <v>854470000000</v>
      </c>
      <c r="J169" s="63" t="s">
        <v>370</v>
      </c>
      <c r="K169" s="14">
        <v>3217</v>
      </c>
      <c r="L169" s="11">
        <f>K169*1.03</f>
        <v>3313.51</v>
      </c>
      <c r="M169" s="14"/>
      <c r="N169" s="42">
        <v>2845</v>
      </c>
      <c r="O169" s="42">
        <v>2825</v>
      </c>
      <c r="P169" s="2"/>
      <c r="Q169" s="56">
        <f t="shared" si="43"/>
        <v>2845</v>
      </c>
      <c r="R169" s="61" t="s">
        <v>442</v>
      </c>
      <c r="S169" s="57">
        <f t="shared" si="41"/>
        <v>-0.11563568542119988</v>
      </c>
      <c r="U169" s="56">
        <f t="shared" si="37"/>
        <v>3026.5957446808511</v>
      </c>
      <c r="V169" s="98">
        <f t="shared" si="38"/>
        <v>3329.2553191489365</v>
      </c>
    </row>
    <row r="170" spans="1:22" s="12" customFormat="1">
      <c r="A170" s="63" t="s">
        <v>3</v>
      </c>
      <c r="B170" s="82" t="s">
        <v>262</v>
      </c>
      <c r="C170" s="65" t="s">
        <v>32</v>
      </c>
      <c r="D170" s="66" t="s">
        <v>302</v>
      </c>
      <c r="E170" s="63" t="s">
        <v>252</v>
      </c>
      <c r="F170" s="65" t="s">
        <v>343</v>
      </c>
      <c r="G170" s="65" t="s">
        <v>258</v>
      </c>
      <c r="H170" s="63">
        <v>4000</v>
      </c>
      <c r="I170" s="67">
        <v>854470000000</v>
      </c>
      <c r="J170" s="63" t="s">
        <v>370</v>
      </c>
      <c r="K170" s="14">
        <v>4622</v>
      </c>
      <c r="L170" s="11">
        <f>K170*1.03</f>
        <v>4760.66</v>
      </c>
      <c r="M170" s="14"/>
      <c r="N170" s="42">
        <v>4100</v>
      </c>
      <c r="O170" s="42">
        <v>3915</v>
      </c>
      <c r="P170" s="2"/>
      <c r="Q170" s="56">
        <f t="shared" si="43"/>
        <v>4100</v>
      </c>
      <c r="R170" s="61" t="s">
        <v>442</v>
      </c>
      <c r="S170" s="57">
        <f t="shared" si="41"/>
        <v>-0.11293812202509736</v>
      </c>
      <c r="U170" s="56">
        <f t="shared" si="37"/>
        <v>4361.7021276595751</v>
      </c>
      <c r="V170" s="98">
        <f t="shared" si="38"/>
        <v>4797.8723404255334</v>
      </c>
    </row>
    <row r="171" spans="1:22" s="12" customFormat="1">
      <c r="A171" s="63" t="s">
        <v>3</v>
      </c>
      <c r="B171" s="82" t="s">
        <v>262</v>
      </c>
      <c r="C171" s="65" t="s">
        <v>32</v>
      </c>
      <c r="D171" s="66" t="s">
        <v>303</v>
      </c>
      <c r="E171" s="63" t="s">
        <v>252</v>
      </c>
      <c r="F171" s="65" t="s">
        <v>344</v>
      </c>
      <c r="G171" s="65" t="s">
        <v>258</v>
      </c>
      <c r="H171" s="63">
        <v>4000</v>
      </c>
      <c r="I171" s="67">
        <v>854470000000</v>
      </c>
      <c r="J171" s="63" t="s">
        <v>370</v>
      </c>
      <c r="K171" s="14">
        <v>8790</v>
      </c>
      <c r="L171" s="11">
        <f>K171*1.02</f>
        <v>8965.7999999999993</v>
      </c>
      <c r="M171" s="14"/>
      <c r="N171" s="42">
        <v>7630</v>
      </c>
      <c r="O171" s="42">
        <v>6880</v>
      </c>
      <c r="P171" s="2"/>
      <c r="Q171" s="56">
        <f t="shared" si="43"/>
        <v>7630</v>
      </c>
      <c r="R171" s="61" t="s">
        <v>442</v>
      </c>
      <c r="S171" s="57">
        <f t="shared" si="41"/>
        <v>-0.13196814562002276</v>
      </c>
      <c r="U171" s="56">
        <f t="shared" si="37"/>
        <v>8117.0212765957449</v>
      </c>
      <c r="V171" s="98">
        <f t="shared" si="38"/>
        <v>8928.7234042553209</v>
      </c>
    </row>
    <row r="172" spans="1:22" s="12" customFormat="1">
      <c r="A172" s="63" t="s">
        <v>47</v>
      </c>
      <c r="B172" s="82" t="s">
        <v>262</v>
      </c>
      <c r="C172" s="65" t="s">
        <v>32</v>
      </c>
      <c r="D172" s="66" t="s">
        <v>304</v>
      </c>
      <c r="E172" s="63" t="s">
        <v>252</v>
      </c>
      <c r="F172" s="65" t="s">
        <v>345</v>
      </c>
      <c r="G172" s="65" t="s">
        <v>258</v>
      </c>
      <c r="H172" s="63">
        <v>4000</v>
      </c>
      <c r="I172" s="67">
        <v>854470000000</v>
      </c>
      <c r="J172" s="63" t="s">
        <v>370</v>
      </c>
      <c r="K172" s="14">
        <v>1378</v>
      </c>
      <c r="L172" s="11">
        <f>K172*1.03</f>
        <v>1419.3400000000001</v>
      </c>
      <c r="M172" s="14"/>
      <c r="N172" s="42">
        <v>1225</v>
      </c>
      <c r="O172" s="42">
        <v>1160</v>
      </c>
      <c r="P172" s="2"/>
      <c r="Q172" s="58">
        <f t="shared" ref="Q172:Q178" si="44">+O172</f>
        <v>1160</v>
      </c>
      <c r="R172" s="61" t="s">
        <v>443</v>
      </c>
      <c r="S172" s="57">
        <f t="shared" si="41"/>
        <v>-0.15820029027576196</v>
      </c>
      <c r="U172" s="58">
        <f t="shared" si="37"/>
        <v>1234.0425531914893</v>
      </c>
      <c r="V172" s="99">
        <f t="shared" si="38"/>
        <v>1357.4468085106384</v>
      </c>
    </row>
    <row r="173" spans="1:22" s="12" customFormat="1">
      <c r="A173" s="63" t="s">
        <v>47</v>
      </c>
      <c r="B173" s="82" t="s">
        <v>262</v>
      </c>
      <c r="C173" s="65" t="s">
        <v>32</v>
      </c>
      <c r="D173" s="66" t="s">
        <v>305</v>
      </c>
      <c r="E173" s="63" t="s">
        <v>252</v>
      </c>
      <c r="F173" s="65" t="s">
        <v>346</v>
      </c>
      <c r="G173" s="65" t="s">
        <v>258</v>
      </c>
      <c r="H173" s="63">
        <v>4000</v>
      </c>
      <c r="I173" s="67">
        <v>854470000000</v>
      </c>
      <c r="J173" s="63" t="s">
        <v>370</v>
      </c>
      <c r="K173" s="14">
        <v>2271</v>
      </c>
      <c r="L173" s="11">
        <f>K173*1.03</f>
        <v>2339.13</v>
      </c>
      <c r="M173" s="14"/>
      <c r="N173" s="42">
        <v>2010</v>
      </c>
      <c r="O173" s="42">
        <v>1815</v>
      </c>
      <c r="P173" s="2"/>
      <c r="Q173" s="58">
        <f t="shared" si="44"/>
        <v>1815</v>
      </c>
      <c r="R173" s="61" t="s">
        <v>443</v>
      </c>
      <c r="S173" s="57">
        <f t="shared" si="41"/>
        <v>-0.20079260237780713</v>
      </c>
      <c r="U173" s="58">
        <f t="shared" si="37"/>
        <v>1930.8510638297873</v>
      </c>
      <c r="V173" s="99">
        <f t="shared" si="38"/>
        <v>2123.9361702127662</v>
      </c>
    </row>
    <row r="174" spans="1:22">
      <c r="A174" s="63" t="s">
        <v>47</v>
      </c>
      <c r="B174" s="82" t="s">
        <v>262</v>
      </c>
      <c r="C174" s="65" t="s">
        <v>32</v>
      </c>
      <c r="D174" s="66" t="s">
        <v>193</v>
      </c>
      <c r="E174" s="63" t="s">
        <v>252</v>
      </c>
      <c r="F174" s="65" t="s">
        <v>190</v>
      </c>
      <c r="G174" s="65" t="s">
        <v>258</v>
      </c>
      <c r="H174" s="63">
        <v>4000</v>
      </c>
      <c r="I174" s="67">
        <v>854470000000</v>
      </c>
      <c r="J174" s="63" t="s">
        <v>370</v>
      </c>
      <c r="K174" s="14">
        <v>3378</v>
      </c>
      <c r="L174" s="11">
        <v>3400</v>
      </c>
      <c r="M174" s="14">
        <v>3110</v>
      </c>
      <c r="N174" s="42">
        <v>3375</v>
      </c>
      <c r="O174" s="42">
        <v>3120</v>
      </c>
      <c r="Q174" s="58">
        <f t="shared" si="44"/>
        <v>3120</v>
      </c>
      <c r="R174" s="61" t="s">
        <v>443</v>
      </c>
      <c r="S174" s="57">
        <f t="shared" si="41"/>
        <v>-7.6376554174067496E-2</v>
      </c>
      <c r="U174" s="58">
        <f t="shared" si="37"/>
        <v>3319.1489361702129</v>
      </c>
      <c r="V174" s="99">
        <f t="shared" si="38"/>
        <v>3651.0638297872347</v>
      </c>
    </row>
    <row r="175" spans="1:22" s="12" customFormat="1">
      <c r="A175" s="63" t="s">
        <v>47</v>
      </c>
      <c r="B175" s="82" t="s">
        <v>262</v>
      </c>
      <c r="C175" s="65" t="s">
        <v>32</v>
      </c>
      <c r="D175" s="66" t="s">
        <v>306</v>
      </c>
      <c r="E175" s="63" t="s">
        <v>252</v>
      </c>
      <c r="F175" s="65" t="s">
        <v>347</v>
      </c>
      <c r="G175" s="65" t="s">
        <v>258</v>
      </c>
      <c r="H175" s="63">
        <v>4000</v>
      </c>
      <c r="I175" s="67">
        <v>854470000000</v>
      </c>
      <c r="J175" s="63" t="s">
        <v>370</v>
      </c>
      <c r="K175" s="14">
        <v>5840</v>
      </c>
      <c r="L175" s="11">
        <f>K175*1.03</f>
        <v>6015.2</v>
      </c>
      <c r="M175" s="14"/>
      <c r="N175" s="42">
        <v>5175</v>
      </c>
      <c r="O175" s="42">
        <v>4770</v>
      </c>
      <c r="P175" s="2"/>
      <c r="Q175" s="58">
        <f t="shared" si="44"/>
        <v>4770</v>
      </c>
      <c r="R175" s="61" t="s">
        <v>443</v>
      </c>
      <c r="S175" s="57">
        <f t="shared" si="41"/>
        <v>-0.18321917808219179</v>
      </c>
      <c r="U175" s="58">
        <f t="shared" si="37"/>
        <v>5074.4680851063831</v>
      </c>
      <c r="V175" s="99">
        <f t="shared" si="38"/>
        <v>5581.9148936170222</v>
      </c>
    </row>
    <row r="176" spans="1:22" s="12" customFormat="1">
      <c r="A176" s="63" t="s">
        <v>47</v>
      </c>
      <c r="B176" s="82" t="s">
        <v>262</v>
      </c>
      <c r="C176" s="65" t="s">
        <v>32</v>
      </c>
      <c r="D176" s="66" t="s">
        <v>307</v>
      </c>
      <c r="E176" s="63" t="s">
        <v>252</v>
      </c>
      <c r="F176" s="65" t="s">
        <v>348</v>
      </c>
      <c r="G176" s="65" t="s">
        <v>258</v>
      </c>
      <c r="H176" s="63">
        <v>4000</v>
      </c>
      <c r="I176" s="67">
        <v>854470000000</v>
      </c>
      <c r="J176" s="63" t="s">
        <v>370</v>
      </c>
      <c r="K176" s="14">
        <v>7755</v>
      </c>
      <c r="L176" s="11">
        <f>K176*1.02</f>
        <v>7910.1</v>
      </c>
      <c r="M176" s="14"/>
      <c r="N176" s="42">
        <v>6880</v>
      </c>
      <c r="O176" s="42">
        <v>6320</v>
      </c>
      <c r="P176" s="2"/>
      <c r="Q176" s="58">
        <f t="shared" si="44"/>
        <v>6320</v>
      </c>
      <c r="R176" s="61" t="s">
        <v>443</v>
      </c>
      <c r="S176" s="57">
        <f t="shared" si="41"/>
        <v>-0.18504190844616378</v>
      </c>
      <c r="U176" s="58">
        <f t="shared" si="37"/>
        <v>6723.4042553191493</v>
      </c>
      <c r="V176" s="99">
        <f t="shared" si="38"/>
        <v>7395.7446808510649</v>
      </c>
    </row>
    <row r="177" spans="1:22" s="12" customFormat="1">
      <c r="A177" s="63" t="s">
        <v>47</v>
      </c>
      <c r="B177" s="82" t="s">
        <v>262</v>
      </c>
      <c r="C177" s="65" t="s">
        <v>32</v>
      </c>
      <c r="D177" s="66" t="s">
        <v>308</v>
      </c>
      <c r="E177" s="63" t="s">
        <v>252</v>
      </c>
      <c r="F177" s="65" t="s">
        <v>349</v>
      </c>
      <c r="G177" s="65" t="s">
        <v>258</v>
      </c>
      <c r="H177" s="63">
        <v>4000</v>
      </c>
      <c r="I177" s="67">
        <v>854470000000</v>
      </c>
      <c r="J177" s="63" t="s">
        <v>370</v>
      </c>
      <c r="K177" s="14">
        <v>8465</v>
      </c>
      <c r="L177" s="11">
        <f>K177*1.02</f>
        <v>8634.2999999999993</v>
      </c>
      <c r="M177" s="14"/>
      <c r="N177" s="42">
        <v>10060</v>
      </c>
      <c r="O177" s="42">
        <v>9250</v>
      </c>
      <c r="P177" s="2"/>
      <c r="Q177" s="58">
        <f t="shared" si="44"/>
        <v>9250</v>
      </c>
      <c r="R177" s="61" t="s">
        <v>443</v>
      </c>
      <c r="S177" s="57">
        <f t="shared" ref="S177:S201" si="45">(Q177-K177)/K177</f>
        <v>9.2734790313053747E-2</v>
      </c>
      <c r="U177" s="58">
        <f t="shared" si="37"/>
        <v>9840.4255319148942</v>
      </c>
      <c r="V177" s="99">
        <f t="shared" si="38"/>
        <v>10824.468085106384</v>
      </c>
    </row>
    <row r="178" spans="1:22" s="12" customFormat="1">
      <c r="A178" s="63" t="s">
        <v>47</v>
      </c>
      <c r="B178" s="82" t="s">
        <v>262</v>
      </c>
      <c r="C178" s="65" t="s">
        <v>32</v>
      </c>
      <c r="D178" s="66" t="s">
        <v>309</v>
      </c>
      <c r="E178" s="63" t="s">
        <v>252</v>
      </c>
      <c r="F178" s="65" t="s">
        <v>350</v>
      </c>
      <c r="G178" s="65" t="s">
        <v>258</v>
      </c>
      <c r="H178" s="63">
        <v>4000</v>
      </c>
      <c r="I178" s="67">
        <v>854470000000</v>
      </c>
      <c r="J178" s="63" t="s">
        <v>370</v>
      </c>
      <c r="K178" s="14">
        <v>22400</v>
      </c>
      <c r="L178" s="11">
        <f>K178*1.01</f>
        <v>22624</v>
      </c>
      <c r="M178" s="14"/>
      <c r="N178" s="42">
        <v>19613</v>
      </c>
      <c r="O178" s="42">
        <v>18000</v>
      </c>
      <c r="P178" s="2"/>
      <c r="Q178" s="58">
        <f t="shared" si="44"/>
        <v>18000</v>
      </c>
      <c r="R178" s="61" t="s">
        <v>443</v>
      </c>
      <c r="S178" s="57">
        <f t="shared" si="45"/>
        <v>-0.19642857142857142</v>
      </c>
      <c r="U178" s="58">
        <f t="shared" si="37"/>
        <v>19148.936170212768</v>
      </c>
      <c r="V178" s="99">
        <f t="shared" si="38"/>
        <v>21063.829787234048</v>
      </c>
    </row>
    <row r="179" spans="1:22" s="12" customFormat="1">
      <c r="A179" s="63" t="s">
        <v>89</v>
      </c>
      <c r="B179" s="82" t="s">
        <v>262</v>
      </c>
      <c r="C179" s="65" t="s">
        <v>32</v>
      </c>
      <c r="D179" s="66" t="s">
        <v>310</v>
      </c>
      <c r="E179" s="63" t="s">
        <v>252</v>
      </c>
      <c r="F179" s="65" t="s">
        <v>351</v>
      </c>
      <c r="G179" s="65" t="s">
        <v>258</v>
      </c>
      <c r="H179" s="63">
        <v>4000</v>
      </c>
      <c r="I179" s="67">
        <v>854470000000</v>
      </c>
      <c r="J179" s="63" t="s">
        <v>370</v>
      </c>
      <c r="K179" s="14">
        <v>531</v>
      </c>
      <c r="L179" s="11">
        <f>K179*1.05</f>
        <v>557.55000000000007</v>
      </c>
      <c r="M179" s="14"/>
      <c r="N179" s="26">
        <v>615</v>
      </c>
      <c r="O179" s="26">
        <v>0</v>
      </c>
      <c r="P179" s="2"/>
      <c r="Q179" s="58">
        <f t="shared" ref="Q179:Q185" si="46">+N179</f>
        <v>615</v>
      </c>
      <c r="R179" s="61" t="s">
        <v>445</v>
      </c>
      <c r="S179" s="57">
        <f t="shared" si="45"/>
        <v>0.15819209039548024</v>
      </c>
      <c r="U179" s="58">
        <f t="shared" si="37"/>
        <v>654.25531914893622</v>
      </c>
      <c r="V179" s="99">
        <f t="shared" si="38"/>
        <v>719.68085106382989</v>
      </c>
    </row>
    <row r="180" spans="1:22" s="12" customFormat="1">
      <c r="A180" s="63" t="s">
        <v>89</v>
      </c>
      <c r="B180" s="82" t="s">
        <v>262</v>
      </c>
      <c r="C180" s="65" t="s">
        <v>32</v>
      </c>
      <c r="D180" s="66" t="s">
        <v>311</v>
      </c>
      <c r="E180" s="63" t="s">
        <v>252</v>
      </c>
      <c r="F180" s="65" t="s">
        <v>352</v>
      </c>
      <c r="G180" s="65" t="s">
        <v>258</v>
      </c>
      <c r="H180" s="63">
        <v>4000</v>
      </c>
      <c r="I180" s="67">
        <v>854470000000</v>
      </c>
      <c r="J180" s="63" t="s">
        <v>370</v>
      </c>
      <c r="K180" s="14">
        <v>575</v>
      </c>
      <c r="L180" s="11">
        <f>K180*1.05</f>
        <v>603.75</v>
      </c>
      <c r="M180" s="14"/>
      <c r="N180" s="26">
        <v>725</v>
      </c>
      <c r="O180" s="26">
        <v>0</v>
      </c>
      <c r="P180" s="2"/>
      <c r="Q180" s="58">
        <f t="shared" si="46"/>
        <v>725</v>
      </c>
      <c r="R180" s="61" t="s">
        <v>445</v>
      </c>
      <c r="S180" s="57">
        <f t="shared" si="45"/>
        <v>0.2608695652173913</v>
      </c>
      <c r="U180" s="58">
        <f t="shared" si="37"/>
        <v>771.27659574468089</v>
      </c>
      <c r="V180" s="99">
        <f t="shared" si="38"/>
        <v>848.404255319149</v>
      </c>
    </row>
    <row r="181" spans="1:22">
      <c r="A181" s="63" t="s">
        <v>89</v>
      </c>
      <c r="B181" s="82" t="s">
        <v>262</v>
      </c>
      <c r="C181" s="65" t="s">
        <v>32</v>
      </c>
      <c r="D181" s="66" t="s">
        <v>194</v>
      </c>
      <c r="E181" s="63" t="s">
        <v>252</v>
      </c>
      <c r="F181" s="65" t="s">
        <v>191</v>
      </c>
      <c r="G181" s="65" t="s">
        <v>258</v>
      </c>
      <c r="H181" s="63">
        <v>4000</v>
      </c>
      <c r="I181" s="67">
        <v>854470000000</v>
      </c>
      <c r="J181" s="63" t="s">
        <v>370</v>
      </c>
      <c r="K181" s="14">
        <v>644</v>
      </c>
      <c r="L181" s="11">
        <v>564</v>
      </c>
      <c r="M181" s="14"/>
      <c r="N181" s="26">
        <v>935</v>
      </c>
      <c r="O181" s="26">
        <v>0</v>
      </c>
      <c r="Q181" s="58">
        <f t="shared" si="46"/>
        <v>935</v>
      </c>
      <c r="R181" s="61" t="s">
        <v>445</v>
      </c>
      <c r="S181" s="57">
        <f t="shared" si="45"/>
        <v>0.45186335403726707</v>
      </c>
      <c r="U181" s="58">
        <f t="shared" si="37"/>
        <v>994.68085106382989</v>
      </c>
      <c r="V181" s="99">
        <f t="shared" si="38"/>
        <v>1094.1489361702129</v>
      </c>
    </row>
    <row r="182" spans="1:22" s="12" customFormat="1">
      <c r="A182" s="63" t="s">
        <v>89</v>
      </c>
      <c r="B182" s="82" t="s">
        <v>262</v>
      </c>
      <c r="C182" s="65" t="s">
        <v>32</v>
      </c>
      <c r="D182" s="66" t="s">
        <v>312</v>
      </c>
      <c r="E182" s="63" t="s">
        <v>252</v>
      </c>
      <c r="F182" s="65" t="s">
        <v>353</v>
      </c>
      <c r="G182" s="65" t="s">
        <v>258</v>
      </c>
      <c r="H182" s="63">
        <v>4000</v>
      </c>
      <c r="I182" s="67">
        <v>854470000000</v>
      </c>
      <c r="J182" s="63" t="s">
        <v>370</v>
      </c>
      <c r="K182" s="14">
        <v>756</v>
      </c>
      <c r="L182" s="11">
        <f>K182*1.05</f>
        <v>793.80000000000007</v>
      </c>
      <c r="M182" s="14"/>
      <c r="N182" s="26">
        <v>1125</v>
      </c>
      <c r="O182" s="26">
        <v>0</v>
      </c>
      <c r="P182" s="2"/>
      <c r="Q182" s="58">
        <f t="shared" si="46"/>
        <v>1125</v>
      </c>
      <c r="R182" s="61" t="s">
        <v>445</v>
      </c>
      <c r="S182" s="57">
        <f t="shared" si="45"/>
        <v>0.48809523809523808</v>
      </c>
      <c r="U182" s="58">
        <f t="shared" si="37"/>
        <v>1196.808510638298</v>
      </c>
      <c r="V182" s="99">
        <f t="shared" si="38"/>
        <v>1316.489361702128</v>
      </c>
    </row>
    <row r="183" spans="1:22" s="12" customFormat="1">
      <c r="A183" s="63" t="s">
        <v>89</v>
      </c>
      <c r="B183" s="82" t="s">
        <v>262</v>
      </c>
      <c r="C183" s="65" t="s">
        <v>32</v>
      </c>
      <c r="D183" s="66" t="s">
        <v>313</v>
      </c>
      <c r="E183" s="63" t="s">
        <v>252</v>
      </c>
      <c r="F183" s="65" t="s">
        <v>354</v>
      </c>
      <c r="G183" s="65" t="s">
        <v>258</v>
      </c>
      <c r="H183" s="63">
        <v>4000</v>
      </c>
      <c r="I183" s="67">
        <v>854470000000</v>
      </c>
      <c r="J183" s="63" t="s">
        <v>370</v>
      </c>
      <c r="K183" s="14">
        <v>975</v>
      </c>
      <c r="L183" s="11">
        <f>K183*1.05</f>
        <v>1023.75</v>
      </c>
      <c r="M183" s="14"/>
      <c r="N183" s="26">
        <v>1480</v>
      </c>
      <c r="O183" s="26">
        <v>0</v>
      </c>
      <c r="P183" s="2"/>
      <c r="Q183" s="58">
        <f t="shared" si="46"/>
        <v>1480</v>
      </c>
      <c r="R183" s="61" t="s">
        <v>445</v>
      </c>
      <c r="S183" s="57">
        <f t="shared" si="45"/>
        <v>0.517948717948718</v>
      </c>
      <c r="U183" s="58">
        <f t="shared" si="37"/>
        <v>1574.4680851063831</v>
      </c>
      <c r="V183" s="99">
        <f t="shared" si="38"/>
        <v>1731.9148936170216</v>
      </c>
    </row>
    <row r="184" spans="1:22" s="12" customFormat="1">
      <c r="A184" s="63" t="s">
        <v>89</v>
      </c>
      <c r="B184" s="82" t="s">
        <v>262</v>
      </c>
      <c r="C184" s="65" t="s">
        <v>32</v>
      </c>
      <c r="D184" s="66" t="s">
        <v>314</v>
      </c>
      <c r="E184" s="63" t="s">
        <v>252</v>
      </c>
      <c r="F184" s="65" t="s">
        <v>355</v>
      </c>
      <c r="G184" s="65" t="s">
        <v>258</v>
      </c>
      <c r="H184" s="63">
        <v>4000</v>
      </c>
      <c r="I184" s="67">
        <v>854470000000</v>
      </c>
      <c r="J184" s="63" t="s">
        <v>370</v>
      </c>
      <c r="K184" s="14">
        <v>1260</v>
      </c>
      <c r="L184" s="11">
        <f>K184*1.03</f>
        <v>1297.8</v>
      </c>
      <c r="M184" s="14"/>
      <c r="N184" s="26">
        <v>1945</v>
      </c>
      <c r="O184" s="26">
        <v>0</v>
      </c>
      <c r="P184" s="2"/>
      <c r="Q184" s="58">
        <f t="shared" si="46"/>
        <v>1945</v>
      </c>
      <c r="R184" s="61" t="s">
        <v>445</v>
      </c>
      <c r="S184" s="57">
        <f t="shared" si="45"/>
        <v>0.54365079365079361</v>
      </c>
      <c r="U184" s="58">
        <f t="shared" si="37"/>
        <v>2069.1489361702129</v>
      </c>
      <c r="V184" s="99">
        <f t="shared" si="38"/>
        <v>2276.0638297872342</v>
      </c>
    </row>
    <row r="185" spans="1:22" s="12" customFormat="1">
      <c r="A185" s="63" t="s">
        <v>89</v>
      </c>
      <c r="B185" s="82" t="s">
        <v>262</v>
      </c>
      <c r="C185" s="65" t="s">
        <v>32</v>
      </c>
      <c r="D185" s="66" t="s">
        <v>315</v>
      </c>
      <c r="E185" s="63" t="s">
        <v>252</v>
      </c>
      <c r="F185" s="65" t="s">
        <v>356</v>
      </c>
      <c r="G185" s="65" t="s">
        <v>258</v>
      </c>
      <c r="H185" s="63">
        <v>4000</v>
      </c>
      <c r="I185" s="67">
        <v>854470000000</v>
      </c>
      <c r="J185" s="63" t="s">
        <v>370</v>
      </c>
      <c r="K185" s="14">
        <v>2060</v>
      </c>
      <c r="L185" s="11">
        <f>K185*1.03</f>
        <v>2121.8000000000002</v>
      </c>
      <c r="M185" s="14"/>
      <c r="N185" s="26">
        <v>3510</v>
      </c>
      <c r="O185" s="26">
        <v>0</v>
      </c>
      <c r="P185" s="2"/>
      <c r="Q185" s="58">
        <f t="shared" si="46"/>
        <v>3510</v>
      </c>
      <c r="R185" s="61" t="s">
        <v>445</v>
      </c>
      <c r="S185" s="57">
        <f t="shared" si="45"/>
        <v>0.70388349514563109</v>
      </c>
      <c r="U185" s="58">
        <f t="shared" si="37"/>
        <v>3734.0425531914898</v>
      </c>
      <c r="V185" s="99">
        <f t="shared" si="38"/>
        <v>4107.4468085106391</v>
      </c>
    </row>
    <row r="186" spans="1:22">
      <c r="A186" s="21" t="s">
        <v>3</v>
      </c>
      <c r="B186" s="22" t="s">
        <v>259</v>
      </c>
      <c r="C186" s="23" t="s">
        <v>13</v>
      </c>
      <c r="D186" s="24" t="s">
        <v>14</v>
      </c>
      <c r="E186" s="21" t="s">
        <v>175</v>
      </c>
      <c r="F186" s="23" t="s">
        <v>155</v>
      </c>
      <c r="G186" s="23" t="s">
        <v>258</v>
      </c>
      <c r="H186" s="21">
        <v>4000</v>
      </c>
      <c r="I186" s="25">
        <v>854470000000</v>
      </c>
      <c r="J186" s="21" t="s">
        <v>370</v>
      </c>
      <c r="K186" s="14">
        <v>304</v>
      </c>
      <c r="L186" s="11">
        <v>313</v>
      </c>
      <c r="M186" s="14"/>
      <c r="N186" s="42">
        <v>300</v>
      </c>
      <c r="O186" s="42">
        <v>255</v>
      </c>
      <c r="Q186" s="56">
        <f t="shared" ref="Q186:Q189" si="47">+N186</f>
        <v>300</v>
      </c>
      <c r="R186" s="61" t="s">
        <v>442</v>
      </c>
      <c r="S186" s="57">
        <f t="shared" si="45"/>
        <v>-1.3157894736842105E-2</v>
      </c>
      <c r="U186" s="56">
        <f t="shared" si="37"/>
        <v>319.14893617021278</v>
      </c>
      <c r="V186" s="98">
        <f t="shared" si="38"/>
        <v>351.06382978723406</v>
      </c>
    </row>
    <row r="187" spans="1:22">
      <c r="A187" s="21" t="s">
        <v>3</v>
      </c>
      <c r="B187" s="22" t="s">
        <v>259</v>
      </c>
      <c r="C187" s="23" t="s">
        <v>13</v>
      </c>
      <c r="D187" s="24" t="s">
        <v>15</v>
      </c>
      <c r="E187" s="21" t="s">
        <v>175</v>
      </c>
      <c r="F187" s="23" t="s">
        <v>156</v>
      </c>
      <c r="G187" s="23" t="s">
        <v>258</v>
      </c>
      <c r="H187" s="21">
        <v>4000</v>
      </c>
      <c r="I187" s="25">
        <v>854470000000</v>
      </c>
      <c r="J187" s="21" t="s">
        <v>370</v>
      </c>
      <c r="K187" s="14">
        <v>358</v>
      </c>
      <c r="L187" s="11">
        <v>375</v>
      </c>
      <c r="M187" s="14"/>
      <c r="N187" s="42">
        <v>360</v>
      </c>
      <c r="O187" s="42">
        <v>310</v>
      </c>
      <c r="Q187" s="56">
        <f t="shared" si="47"/>
        <v>360</v>
      </c>
      <c r="R187" s="61" t="s">
        <v>442</v>
      </c>
      <c r="S187" s="57">
        <f t="shared" si="45"/>
        <v>5.5865921787709499E-3</v>
      </c>
      <c r="U187" s="56">
        <f t="shared" si="37"/>
        <v>382.97872340425533</v>
      </c>
      <c r="V187" s="98">
        <f t="shared" si="38"/>
        <v>421.27659574468089</v>
      </c>
    </row>
    <row r="188" spans="1:22">
      <c r="A188" s="21" t="s">
        <v>3</v>
      </c>
      <c r="B188" s="22" t="s">
        <v>259</v>
      </c>
      <c r="C188" s="23" t="s">
        <v>13</v>
      </c>
      <c r="D188" s="24" t="s">
        <v>16</v>
      </c>
      <c r="E188" s="21" t="s">
        <v>175</v>
      </c>
      <c r="F188" s="23" t="s">
        <v>157</v>
      </c>
      <c r="G188" s="23" t="s">
        <v>258</v>
      </c>
      <c r="H188" s="21">
        <v>4000</v>
      </c>
      <c r="I188" s="25">
        <v>854470000000</v>
      </c>
      <c r="J188" s="21" t="s">
        <v>370</v>
      </c>
      <c r="K188" s="14">
        <v>481</v>
      </c>
      <c r="L188" s="11">
        <v>495</v>
      </c>
      <c r="M188" s="14"/>
      <c r="N188" s="42">
        <v>475</v>
      </c>
      <c r="O188" s="42">
        <v>410</v>
      </c>
      <c r="Q188" s="56">
        <f t="shared" si="47"/>
        <v>475</v>
      </c>
      <c r="R188" s="61" t="s">
        <v>442</v>
      </c>
      <c r="S188" s="57">
        <f t="shared" si="45"/>
        <v>-1.2474012474012475E-2</v>
      </c>
      <c r="U188" s="56">
        <f t="shared" si="37"/>
        <v>505.31914893617022</v>
      </c>
      <c r="V188" s="98">
        <f t="shared" si="38"/>
        <v>555.85106382978734</v>
      </c>
    </row>
    <row r="189" spans="1:22">
      <c r="A189" s="21" t="s">
        <v>3</v>
      </c>
      <c r="B189" s="22" t="s">
        <v>259</v>
      </c>
      <c r="C189" s="23" t="s">
        <v>13</v>
      </c>
      <c r="D189" s="24" t="s">
        <v>17</v>
      </c>
      <c r="E189" s="21" t="s">
        <v>175</v>
      </c>
      <c r="F189" s="23" t="s">
        <v>158</v>
      </c>
      <c r="G189" s="23" t="s">
        <v>258</v>
      </c>
      <c r="H189" s="21">
        <v>4000</v>
      </c>
      <c r="I189" s="25">
        <v>854470000000</v>
      </c>
      <c r="J189" s="21" t="s">
        <v>370</v>
      </c>
      <c r="K189" s="14">
        <v>797</v>
      </c>
      <c r="L189" s="11">
        <v>814</v>
      </c>
      <c r="M189" s="14"/>
      <c r="N189" s="42">
        <v>815</v>
      </c>
      <c r="O189" s="42">
        <v>700</v>
      </c>
      <c r="Q189" s="56">
        <f t="shared" si="47"/>
        <v>815</v>
      </c>
      <c r="R189" s="61" t="s">
        <v>442</v>
      </c>
      <c r="S189" s="57">
        <f t="shared" si="45"/>
        <v>2.258469259723965E-2</v>
      </c>
      <c r="U189" s="56">
        <f t="shared" si="37"/>
        <v>867.02127659574478</v>
      </c>
      <c r="V189" s="98">
        <f t="shared" si="38"/>
        <v>953.72340425531934</v>
      </c>
    </row>
    <row r="190" spans="1:22">
      <c r="A190" s="21" t="s">
        <v>47</v>
      </c>
      <c r="B190" s="22" t="s">
        <v>259</v>
      </c>
      <c r="C190" s="23" t="s">
        <v>13</v>
      </c>
      <c r="D190" s="24" t="s">
        <v>60</v>
      </c>
      <c r="E190" s="21" t="s">
        <v>175</v>
      </c>
      <c r="F190" s="23" t="s">
        <v>159</v>
      </c>
      <c r="G190" s="23" t="s">
        <v>258</v>
      </c>
      <c r="H190" s="21">
        <v>4000</v>
      </c>
      <c r="I190" s="25">
        <v>854470000000</v>
      </c>
      <c r="J190" s="21" t="s">
        <v>370</v>
      </c>
      <c r="K190" s="14">
        <v>515</v>
      </c>
      <c r="L190" s="11"/>
      <c r="M190" s="14">
        <v>480</v>
      </c>
      <c r="N190" s="42">
        <v>515</v>
      </c>
      <c r="O190" s="42">
        <v>480</v>
      </c>
      <c r="Q190" s="58">
        <f t="shared" ref="Q190:Q193" si="48">+O190</f>
        <v>480</v>
      </c>
      <c r="R190" s="61" t="s">
        <v>443</v>
      </c>
      <c r="S190" s="57">
        <f t="shared" si="45"/>
        <v>-6.7961165048543687E-2</v>
      </c>
      <c r="U190" s="58">
        <f t="shared" si="37"/>
        <v>510.63829787234044</v>
      </c>
      <c r="V190" s="99">
        <f t="shared" si="38"/>
        <v>561.70212765957456</v>
      </c>
    </row>
    <row r="191" spans="1:22">
      <c r="A191" s="21" t="s">
        <v>47</v>
      </c>
      <c r="B191" s="22" t="s">
        <v>259</v>
      </c>
      <c r="C191" s="23" t="s">
        <v>13</v>
      </c>
      <c r="D191" s="24" t="s">
        <v>61</v>
      </c>
      <c r="E191" s="21" t="s">
        <v>175</v>
      </c>
      <c r="F191" s="23" t="s">
        <v>160</v>
      </c>
      <c r="G191" s="23" t="s">
        <v>258</v>
      </c>
      <c r="H191" s="21">
        <v>4000</v>
      </c>
      <c r="I191" s="25">
        <v>854470000000</v>
      </c>
      <c r="J191" s="21" t="s">
        <v>370</v>
      </c>
      <c r="K191" s="14">
        <v>640</v>
      </c>
      <c r="L191" s="11"/>
      <c r="M191" s="14">
        <v>595</v>
      </c>
      <c r="N191" s="42">
        <v>640</v>
      </c>
      <c r="O191" s="42">
        <v>595</v>
      </c>
      <c r="Q191" s="58">
        <f t="shared" si="48"/>
        <v>595</v>
      </c>
      <c r="R191" s="61" t="s">
        <v>443</v>
      </c>
      <c r="S191" s="57">
        <f t="shared" si="45"/>
        <v>-7.03125E-2</v>
      </c>
      <c r="U191" s="58">
        <f t="shared" si="37"/>
        <v>632.97872340425533</v>
      </c>
      <c r="V191" s="99">
        <f t="shared" si="38"/>
        <v>696.27659574468089</v>
      </c>
    </row>
    <row r="192" spans="1:22">
      <c r="A192" s="21" t="s">
        <v>47</v>
      </c>
      <c r="B192" s="22" t="s">
        <v>259</v>
      </c>
      <c r="C192" s="23" t="s">
        <v>13</v>
      </c>
      <c r="D192" s="24" t="s">
        <v>62</v>
      </c>
      <c r="E192" s="21" t="s">
        <v>175</v>
      </c>
      <c r="F192" s="23" t="s">
        <v>161</v>
      </c>
      <c r="G192" s="23" t="s">
        <v>258</v>
      </c>
      <c r="H192" s="21">
        <v>4000</v>
      </c>
      <c r="I192" s="25">
        <v>854470000000</v>
      </c>
      <c r="J192" s="21" t="s">
        <v>370</v>
      </c>
      <c r="K192" s="14">
        <v>890</v>
      </c>
      <c r="L192" s="11"/>
      <c r="M192" s="14">
        <v>823</v>
      </c>
      <c r="N192" s="42">
        <v>89</v>
      </c>
      <c r="O192" s="42">
        <v>823</v>
      </c>
      <c r="Q192" s="58">
        <f t="shared" si="48"/>
        <v>823</v>
      </c>
      <c r="R192" s="61" t="s">
        <v>443</v>
      </c>
      <c r="S192" s="57">
        <f t="shared" si="45"/>
        <v>-7.528089887640449E-2</v>
      </c>
      <c r="U192" s="58">
        <f t="shared" si="37"/>
        <v>875.53191489361711</v>
      </c>
      <c r="V192" s="99">
        <f t="shared" si="38"/>
        <v>963.08510638297889</v>
      </c>
    </row>
    <row r="193" spans="1:22">
      <c r="A193" s="21" t="s">
        <v>47</v>
      </c>
      <c r="B193" s="22" t="s">
        <v>259</v>
      </c>
      <c r="C193" s="23" t="s">
        <v>13</v>
      </c>
      <c r="D193" s="24" t="s">
        <v>63</v>
      </c>
      <c r="E193" s="21" t="s">
        <v>175</v>
      </c>
      <c r="F193" s="23" t="s">
        <v>162</v>
      </c>
      <c r="G193" s="23" t="s">
        <v>258</v>
      </c>
      <c r="H193" s="21">
        <v>4000</v>
      </c>
      <c r="I193" s="25">
        <v>854470000000</v>
      </c>
      <c r="J193" s="21" t="s">
        <v>370</v>
      </c>
      <c r="K193" s="14">
        <v>1620</v>
      </c>
      <c r="L193" s="11"/>
      <c r="M193" s="14">
        <v>1510</v>
      </c>
      <c r="N193" s="42">
        <v>1620</v>
      </c>
      <c r="O193" s="42">
        <v>1510</v>
      </c>
      <c r="Q193" s="58">
        <f t="shared" si="48"/>
        <v>1510</v>
      </c>
      <c r="R193" s="61" t="s">
        <v>443</v>
      </c>
      <c r="S193" s="57">
        <f t="shared" si="45"/>
        <v>-6.7901234567901231E-2</v>
      </c>
      <c r="U193" s="58">
        <f t="shared" si="37"/>
        <v>1606.3829787234044</v>
      </c>
      <c r="V193" s="99">
        <f t="shared" si="38"/>
        <v>1767.0212765957451</v>
      </c>
    </row>
    <row r="194" spans="1:22">
      <c r="A194" s="21" t="s">
        <v>76</v>
      </c>
      <c r="B194" s="22" t="s">
        <v>259</v>
      </c>
      <c r="C194" s="23" t="s">
        <v>13</v>
      </c>
      <c r="D194" s="24" t="s">
        <v>64</v>
      </c>
      <c r="E194" s="21" t="s">
        <v>175</v>
      </c>
      <c r="F194" s="23" t="s">
        <v>163</v>
      </c>
      <c r="G194" s="23" t="s">
        <v>258</v>
      </c>
      <c r="H194" s="21">
        <v>4000</v>
      </c>
      <c r="I194" s="25">
        <v>854470000000</v>
      </c>
      <c r="J194" s="21" t="s">
        <v>370</v>
      </c>
      <c r="K194" s="14">
        <v>900</v>
      </c>
      <c r="L194" s="11">
        <v>914</v>
      </c>
      <c r="M194" s="14"/>
      <c r="N194" s="42">
        <v>880</v>
      </c>
      <c r="O194" s="42">
        <v>0</v>
      </c>
      <c r="Q194" s="58">
        <f t="shared" ref="Q194:Q201" si="49">+N194</f>
        <v>880</v>
      </c>
      <c r="R194" s="61" t="s">
        <v>444</v>
      </c>
      <c r="S194" s="57">
        <f t="shared" si="45"/>
        <v>-2.2222222222222223E-2</v>
      </c>
      <c r="U194" s="58">
        <f t="shared" si="37"/>
        <v>936.17021276595744</v>
      </c>
      <c r="V194" s="99">
        <f t="shared" si="38"/>
        <v>1029.7872340425533</v>
      </c>
    </row>
    <row r="195" spans="1:22">
      <c r="A195" s="21" t="s">
        <v>76</v>
      </c>
      <c r="B195" s="22" t="s">
        <v>259</v>
      </c>
      <c r="C195" s="23" t="s">
        <v>13</v>
      </c>
      <c r="D195" s="24" t="s">
        <v>65</v>
      </c>
      <c r="E195" s="21" t="s">
        <v>175</v>
      </c>
      <c r="F195" s="23" t="s">
        <v>164</v>
      </c>
      <c r="G195" s="23" t="s">
        <v>258</v>
      </c>
      <c r="H195" s="21">
        <v>4000</v>
      </c>
      <c r="I195" s="25">
        <v>854470000000</v>
      </c>
      <c r="J195" s="21" t="s">
        <v>370</v>
      </c>
      <c r="K195" s="14">
        <v>1160</v>
      </c>
      <c r="L195" s="11">
        <v>1195</v>
      </c>
      <c r="M195" s="14"/>
      <c r="N195" s="42">
        <v>1154</v>
      </c>
      <c r="O195" s="42">
        <v>0</v>
      </c>
      <c r="Q195" s="58">
        <f t="shared" si="49"/>
        <v>1154</v>
      </c>
      <c r="R195" s="61" t="s">
        <v>444</v>
      </c>
      <c r="S195" s="57">
        <f t="shared" si="45"/>
        <v>-5.1724137931034482E-3</v>
      </c>
      <c r="U195" s="58">
        <f t="shared" si="37"/>
        <v>1227.6595744680851</v>
      </c>
      <c r="V195" s="99">
        <f t="shared" si="38"/>
        <v>1350.4255319148938</v>
      </c>
    </row>
    <row r="196" spans="1:22">
      <c r="A196" s="21" t="s">
        <v>76</v>
      </c>
      <c r="B196" s="22" t="s">
        <v>259</v>
      </c>
      <c r="C196" s="23" t="s">
        <v>13</v>
      </c>
      <c r="D196" s="24" t="s">
        <v>66</v>
      </c>
      <c r="E196" s="21" t="s">
        <v>175</v>
      </c>
      <c r="F196" s="23" t="s">
        <v>165</v>
      </c>
      <c r="G196" s="23" t="s">
        <v>258</v>
      </c>
      <c r="H196" s="21">
        <v>4000</v>
      </c>
      <c r="I196" s="25">
        <v>854470000000</v>
      </c>
      <c r="J196" s="21" t="s">
        <v>370</v>
      </c>
      <c r="K196" s="14">
        <v>1745</v>
      </c>
      <c r="L196" s="11">
        <v>1763</v>
      </c>
      <c r="M196" s="14"/>
      <c r="N196" s="42">
        <v>1700</v>
      </c>
      <c r="O196" s="42">
        <v>0</v>
      </c>
      <c r="Q196" s="58">
        <f t="shared" si="49"/>
        <v>1700</v>
      </c>
      <c r="R196" s="61" t="s">
        <v>444</v>
      </c>
      <c r="S196" s="57">
        <f t="shared" si="45"/>
        <v>-2.5787965616045846E-2</v>
      </c>
      <c r="U196" s="58">
        <f t="shared" si="37"/>
        <v>1808.5106382978724</v>
      </c>
      <c r="V196" s="99">
        <f t="shared" si="38"/>
        <v>1989.3617021276598</v>
      </c>
    </row>
    <row r="197" spans="1:22">
      <c r="A197" s="21" t="s">
        <v>76</v>
      </c>
      <c r="B197" s="22" t="s">
        <v>259</v>
      </c>
      <c r="C197" s="23" t="s">
        <v>13</v>
      </c>
      <c r="D197" s="24" t="s">
        <v>67</v>
      </c>
      <c r="E197" s="21" t="s">
        <v>175</v>
      </c>
      <c r="F197" s="23" t="s">
        <v>166</v>
      </c>
      <c r="G197" s="23" t="s">
        <v>258</v>
      </c>
      <c r="H197" s="21">
        <v>4000</v>
      </c>
      <c r="I197" s="25">
        <v>854470000000</v>
      </c>
      <c r="J197" s="21" t="s">
        <v>370</v>
      </c>
      <c r="K197" s="14">
        <v>3312</v>
      </c>
      <c r="L197" s="11">
        <v>3330</v>
      </c>
      <c r="M197" s="14"/>
      <c r="N197" s="42">
        <v>3240</v>
      </c>
      <c r="O197" s="42">
        <v>0</v>
      </c>
      <c r="Q197" s="58">
        <f t="shared" si="49"/>
        <v>3240</v>
      </c>
      <c r="R197" s="61" t="s">
        <v>444</v>
      </c>
      <c r="S197" s="57">
        <f t="shared" si="45"/>
        <v>-2.1739130434782608E-2</v>
      </c>
      <c r="U197" s="58">
        <f t="shared" si="37"/>
        <v>3446.8085106382982</v>
      </c>
      <c r="V197" s="99">
        <f t="shared" si="38"/>
        <v>3791.4893617021285</v>
      </c>
    </row>
    <row r="198" spans="1:22">
      <c r="A198" s="21" t="s">
        <v>89</v>
      </c>
      <c r="B198" s="22" t="s">
        <v>259</v>
      </c>
      <c r="C198" s="23" t="s">
        <v>13</v>
      </c>
      <c r="D198" s="24" t="s">
        <v>98</v>
      </c>
      <c r="E198" s="21" t="s">
        <v>175</v>
      </c>
      <c r="F198" s="23" t="s">
        <v>167</v>
      </c>
      <c r="G198" s="23" t="s">
        <v>258</v>
      </c>
      <c r="H198" s="21">
        <v>4000</v>
      </c>
      <c r="I198" s="25">
        <v>854470000000</v>
      </c>
      <c r="J198" s="21" t="s">
        <v>370</v>
      </c>
      <c r="K198" s="14">
        <v>165</v>
      </c>
      <c r="L198" s="11">
        <v>178</v>
      </c>
      <c r="M198" s="14"/>
      <c r="N198" s="26">
        <v>198</v>
      </c>
      <c r="O198" s="26">
        <v>0</v>
      </c>
      <c r="Q198" s="58">
        <f t="shared" si="49"/>
        <v>198</v>
      </c>
      <c r="R198" s="61" t="s">
        <v>445</v>
      </c>
      <c r="S198" s="57">
        <f t="shared" si="45"/>
        <v>0.2</v>
      </c>
      <c r="U198" s="58">
        <f t="shared" si="37"/>
        <v>210.63829787234044</v>
      </c>
      <c r="V198" s="99">
        <f t="shared" si="38"/>
        <v>231.7021276595745</v>
      </c>
    </row>
    <row r="199" spans="1:22">
      <c r="A199" s="21" t="s">
        <v>89</v>
      </c>
      <c r="B199" s="22" t="s">
        <v>259</v>
      </c>
      <c r="C199" s="23" t="s">
        <v>13</v>
      </c>
      <c r="D199" s="24" t="s">
        <v>99</v>
      </c>
      <c r="E199" s="21" t="s">
        <v>175</v>
      </c>
      <c r="F199" s="23" t="s">
        <v>168</v>
      </c>
      <c r="G199" s="23" t="s">
        <v>258</v>
      </c>
      <c r="H199" s="21">
        <v>4000</v>
      </c>
      <c r="I199" s="25">
        <v>854470000000</v>
      </c>
      <c r="J199" s="21" t="s">
        <v>370</v>
      </c>
      <c r="K199" s="14">
        <v>188</v>
      </c>
      <c r="L199" s="11">
        <v>195</v>
      </c>
      <c r="M199" s="14"/>
      <c r="N199" s="26">
        <v>233</v>
      </c>
      <c r="O199" s="26">
        <v>0</v>
      </c>
      <c r="Q199" s="58">
        <f t="shared" si="49"/>
        <v>233</v>
      </c>
      <c r="R199" s="61" t="s">
        <v>445</v>
      </c>
      <c r="S199" s="57">
        <f t="shared" si="45"/>
        <v>0.23936170212765959</v>
      </c>
      <c r="U199" s="58">
        <f t="shared" ref="U199:U201" si="50">(Q199/0.94)</f>
        <v>247.87234042553192</v>
      </c>
      <c r="V199" s="99">
        <f t="shared" ref="V199:V201" si="51">(U199*V$1)</f>
        <v>272.65957446808511</v>
      </c>
    </row>
    <row r="200" spans="1:22">
      <c r="A200" s="21" t="s">
        <v>89</v>
      </c>
      <c r="B200" s="22" t="s">
        <v>259</v>
      </c>
      <c r="C200" s="23" t="s">
        <v>13</v>
      </c>
      <c r="D200" s="24" t="s">
        <v>100</v>
      </c>
      <c r="E200" s="21" t="s">
        <v>175</v>
      </c>
      <c r="F200" s="23" t="s">
        <v>169</v>
      </c>
      <c r="G200" s="23" t="s">
        <v>258</v>
      </c>
      <c r="H200" s="21">
        <v>4000</v>
      </c>
      <c r="I200" s="25">
        <v>854470000000</v>
      </c>
      <c r="J200" s="21" t="s">
        <v>370</v>
      </c>
      <c r="K200" s="14">
        <v>218</v>
      </c>
      <c r="L200" s="11">
        <v>225</v>
      </c>
      <c r="M200" s="14"/>
      <c r="N200" s="26">
        <v>280</v>
      </c>
      <c r="O200" s="26">
        <v>0</v>
      </c>
      <c r="Q200" s="58">
        <f t="shared" si="49"/>
        <v>280</v>
      </c>
      <c r="R200" s="61" t="s">
        <v>445</v>
      </c>
      <c r="S200" s="57">
        <f t="shared" si="45"/>
        <v>0.28440366972477066</v>
      </c>
      <c r="U200" s="58">
        <f t="shared" si="50"/>
        <v>297.87234042553195</v>
      </c>
      <c r="V200" s="99">
        <f t="shared" si="51"/>
        <v>327.65957446808517</v>
      </c>
    </row>
    <row r="201" spans="1:22" ht="24" thickBot="1">
      <c r="A201" s="21" t="s">
        <v>89</v>
      </c>
      <c r="B201" s="22" t="s">
        <v>259</v>
      </c>
      <c r="C201" s="23" t="s">
        <v>13</v>
      </c>
      <c r="D201" s="24" t="s">
        <v>101</v>
      </c>
      <c r="E201" s="21" t="s">
        <v>175</v>
      </c>
      <c r="F201" s="23" t="s">
        <v>170</v>
      </c>
      <c r="G201" s="23" t="s">
        <v>258</v>
      </c>
      <c r="H201" s="21">
        <v>4000</v>
      </c>
      <c r="I201" s="25">
        <v>854470000000</v>
      </c>
      <c r="J201" s="21" t="s">
        <v>370</v>
      </c>
      <c r="K201" s="15">
        <v>306</v>
      </c>
      <c r="L201" s="16">
        <v>320</v>
      </c>
      <c r="M201" s="15"/>
      <c r="N201" s="27">
        <v>475</v>
      </c>
      <c r="O201" s="27">
        <v>0</v>
      </c>
      <c r="Q201" s="59">
        <f t="shared" si="49"/>
        <v>475</v>
      </c>
      <c r="R201" s="62" t="s">
        <v>445</v>
      </c>
      <c r="S201" s="60">
        <f t="shared" si="45"/>
        <v>0.55228758169934644</v>
      </c>
      <c r="U201" s="59">
        <f t="shared" si="50"/>
        <v>505.31914893617022</v>
      </c>
      <c r="V201" s="100">
        <f t="shared" si="51"/>
        <v>555.85106382978734</v>
      </c>
    </row>
    <row r="202" spans="1:22" ht="24" thickBot="1">
      <c r="A202" s="7"/>
      <c r="B202" s="10"/>
      <c r="C202" s="6"/>
      <c r="D202" s="20"/>
      <c r="E202" s="7"/>
      <c r="F202" s="6"/>
      <c r="G202" s="6"/>
      <c r="H202" s="7"/>
      <c r="I202" s="7"/>
      <c r="J202" s="6"/>
      <c r="M202" s="3"/>
      <c r="O202" s="3"/>
      <c r="Q202" s="101"/>
      <c r="R202" s="102"/>
      <c r="S202" s="103"/>
      <c r="T202" s="103"/>
      <c r="U202" s="103"/>
      <c r="V202" s="104"/>
    </row>
    <row r="205" spans="1:22">
      <c r="F205" s="8"/>
    </row>
    <row r="206" spans="1:22">
      <c r="F206" s="8"/>
    </row>
    <row r="207" spans="1:22">
      <c r="F207" s="8"/>
    </row>
    <row r="208" spans="1:22">
      <c r="F208" s="8"/>
    </row>
    <row r="209" spans="6:6">
      <c r="F209" s="8"/>
    </row>
    <row r="210" spans="6:6">
      <c r="F210" s="8"/>
    </row>
    <row r="211" spans="6:6">
      <c r="F211" s="8"/>
    </row>
    <row r="212" spans="6:6">
      <c r="F212" s="8"/>
    </row>
    <row r="213" spans="6:6">
      <c r="F213" s="8"/>
    </row>
    <row r="214" spans="6:6">
      <c r="F214" s="8"/>
    </row>
    <row r="215" spans="6:6">
      <c r="F215" s="8"/>
    </row>
    <row r="216" spans="6:6">
      <c r="F216" s="8"/>
    </row>
    <row r="217" spans="6:6">
      <c r="F217" s="8"/>
    </row>
    <row r="218" spans="6:6">
      <c r="F218" s="8"/>
    </row>
    <row r="219" spans="6:6">
      <c r="F219" s="8"/>
    </row>
    <row r="220" spans="6:6">
      <c r="F220" s="8"/>
    </row>
  </sheetData>
  <autoFilter ref="A4:P201" xr:uid="{00000000-0001-0000-0000-000000000000}"/>
  <mergeCells count="8">
    <mergeCell ref="K1:M1"/>
    <mergeCell ref="K2:M2"/>
    <mergeCell ref="K3:L3"/>
    <mergeCell ref="Q3:R3"/>
    <mergeCell ref="U3:V3"/>
    <mergeCell ref="Q2:V2"/>
    <mergeCell ref="N2:O2"/>
    <mergeCell ref="N1:O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7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C590D6670B46B394B0B20BFCA2F5" ma:contentTypeVersion="13" ma:contentTypeDescription="Create a new document." ma:contentTypeScope="" ma:versionID="e37331a057ee0a5a9dd6547076a1eb6d">
  <xsd:schema xmlns:xsd="http://www.w3.org/2001/XMLSchema" xmlns:xs="http://www.w3.org/2001/XMLSchema" xmlns:p="http://schemas.microsoft.com/office/2006/metadata/properties" xmlns:ns2="3fc676b9-f308-4a3a-a96e-67809d3f5e2f" xmlns:ns3="13f770f0-9450-4655-9bd0-4bbda5435d4e" targetNamespace="http://schemas.microsoft.com/office/2006/metadata/properties" ma:root="true" ma:fieldsID="2083e1cea1e9dbaee31fec228d269d7c" ns2:_="" ns3:_="">
    <xsd:import namespace="3fc676b9-f308-4a3a-a96e-67809d3f5e2f"/>
    <xsd:import namespace="13f770f0-9450-4655-9bd0-4bbda5435d4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76b9-f308-4a3a-a96e-67809d3f5e2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ba64877-485a-430f-902d-53d98a15f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f770f0-9450-4655-9bd0-4bbda5435d4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a725e1f-f39c-4928-b8ca-a153e256ffb6}" ma:internalName="TaxCatchAll" ma:showField="CatchAllData" ma:web="13f770f0-9450-4655-9bd0-4bbda5435d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c676b9-f308-4a3a-a96e-67809d3f5e2f">
      <Terms xmlns="http://schemas.microsoft.com/office/infopath/2007/PartnerControls"/>
    </lcf76f155ced4ddcb4097134ff3c332f>
    <TaxCatchAll xmlns="13f770f0-9450-4655-9bd0-4bbda5435d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BF966D-562A-41B3-A000-ADC52B7A52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c676b9-f308-4a3a-a96e-67809d3f5e2f"/>
    <ds:schemaRef ds:uri="13f770f0-9450-4655-9bd0-4bbda5435d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D23FDB-5086-453A-BE3E-13D1A214D93C}">
  <ds:schemaRefs>
    <ds:schemaRef ds:uri="13f770f0-9450-4655-9bd0-4bbda5435d4e"/>
    <ds:schemaRef ds:uri="http://schemas.microsoft.com/office/infopath/2007/PartnerControls"/>
    <ds:schemaRef ds:uri="3fc676b9-f308-4a3a-a96e-67809d3f5e2f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362AF67-4213-452B-AFCA-555434BC95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SYMEA FO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Paul</cp:lastModifiedBy>
  <cp:lastPrinted>2024-10-21T11:06:13Z</cp:lastPrinted>
  <dcterms:created xsi:type="dcterms:W3CDTF">2015-06-05T18:17:20Z</dcterms:created>
  <dcterms:modified xsi:type="dcterms:W3CDTF">2026-04-07T12:30:55Z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0x0101006514C590D6670B46B394B0B20BFCA2F5</vt:lpwstr>
  </property>
  <property fmtid="{D5CDD505-2E9C-101B-9397-08002B2CF9AE}" pid="3" name="MediaServiceImageTags">
    <vt:lpwstr/>
  </property>
</Properties>
</file>
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IN code &amp; packing details" sheetId="1" r:id="rId4"/>
    <sheet state="visible" name="NEXKERN GTIN code &amp; packing" sheetId="2" r:id="rId5"/>
    <sheet state="visible" name="ORSEAN GTIN code &amp; packing" sheetId="3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hidden="1" localSheetId="0" name="_xlnm._FilterDatabase">'GTIN code &amp; packing details'!$A$1:$AF$384</definedName>
    <definedName hidden="1" localSheetId="2" name="_xlnm._FilterDatabase">'ORSEAN GTIN code &amp; packing'!$A$1:$U$77</definedName>
  </definedNames>
  <calcPr/>
  <extLst>
    <ext uri="GoogleSheetsCustomDataVersion2">
      <go:sheetsCustomData xmlns:go="http://customooxmlschemas.google.com/" r:id="rId12" roundtripDataChecksum="CCfR5fZJe8UBx27sI6DE61skUrihYS4s+GGNaxhLJs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63">
      <text>
        <t xml:space="preserve">======
ID#AAAB5J4NrSs
Jacqueline    (2026-05-03 16:34:34)
duplicate</t>
      </text>
    </comment>
    <comment authorId="0" ref="S141">
      <text>
        <t xml:space="preserve">======
ID#AAAB5J4NrSo
PC    (2026-05-03 16:34:34)
Rita: 待定，后续或许只用中性袋</t>
      </text>
    </comment>
  </commentList>
  <extLst>
    <ext uri="GoogleSheetsCustomDataVersion2">
      <go:sheetsCustomData xmlns:go="http://customooxmlschemas.google.com/" r:id="rId1" roundtripDataSignature="AMtx7mipWeAc1VCJNZ7G261D13+2smaF5w=="/>
    </ext>
  </extLst>
</comments>
</file>

<file path=xl/sharedStrings.xml><?xml version="1.0" encoding="utf-8"?>
<sst xmlns="http://schemas.openxmlformats.org/spreadsheetml/2006/main" count="4822" uniqueCount="1868">
  <si>
    <t>Range</t>
  </si>
  <si>
    <t>Sub-Range</t>
  </si>
  <si>
    <t>Type</t>
  </si>
  <si>
    <t>AWG</t>
  </si>
  <si>
    <t>Internal Code</t>
  </si>
  <si>
    <t>Unikkern Items code</t>
  </si>
  <si>
    <t>Description En</t>
  </si>
  <si>
    <t>OD (mm)</t>
  </si>
  <si>
    <t>lab</t>
  </si>
  <si>
    <t>CPR level</t>
  </si>
  <si>
    <t>CPR updated date</t>
  </si>
  <si>
    <t>Report no.</t>
  </si>
  <si>
    <t>Cu (kg/km)</t>
  </si>
  <si>
    <t>Origin</t>
  </si>
  <si>
    <t>Per Product Net Content</t>
  </si>
  <si>
    <t>Per Product Net Content (Unit)</t>
  </si>
  <si>
    <t>Global Trade Item Number (GTIN)</t>
  </si>
  <si>
    <t>Individual Qty</t>
  </si>
  <si>
    <t>Individual carton/bag size(mm)</t>
  </si>
  <si>
    <t>Qty per inner carton</t>
  </si>
  <si>
    <t>Inner carton size(cm)</t>
  </si>
  <si>
    <t>Qty per export carton</t>
  </si>
  <si>
    <t>Export carton size(mm)</t>
  </si>
  <si>
    <t>QTY/Pallet</t>
  </si>
  <si>
    <t>Loading Way /Pallet</t>
  </si>
  <si>
    <t>Pallet Size cm</t>
  </si>
  <si>
    <t>Sticker ENG</t>
  </si>
  <si>
    <t>Sticker FR</t>
  </si>
  <si>
    <t>UID Code</t>
  </si>
  <si>
    <t>DoP</t>
  </si>
  <si>
    <t>Marking</t>
  </si>
  <si>
    <t>SOLID CABLE</t>
  </si>
  <si>
    <t>SOLID CABLE CAT6</t>
  </si>
  <si>
    <t>U/UTP</t>
  </si>
  <si>
    <t>KCU64PZHDGRB-21</t>
  </si>
  <si>
    <t>KCU64PZHDGRB</t>
  </si>
  <si>
    <t>CAT6 CABLE U/UTP 4 PAIRS AWG24 250MHz LSZH CPR DCA GREY RAL7035 B305M</t>
  </si>
  <si>
    <t>5.80 +/- 0.3</t>
  </si>
  <si>
    <t>SGS - 2658</t>
  </si>
  <si>
    <t>Dca-s2, d1, a1</t>
  </si>
  <si>
    <t>China</t>
  </si>
  <si>
    <t>Kilogram (kg)</t>
  </si>
  <si>
    <t>4897108885389</t>
  </si>
  <si>
    <t>-</t>
  </si>
  <si>
    <t>2x3x3</t>
  </si>
  <si>
    <t>120x80x115</t>
  </si>
  <si>
    <t>KCU64PZHDGRB-E02</t>
  </si>
  <si>
    <t>TSE - 1783</t>
  </si>
  <si>
    <t>Turkey</t>
  </si>
  <si>
    <t>KCU64PZHDGR5-21</t>
  </si>
  <si>
    <t>KCU64PZHDGR5</t>
  </si>
  <si>
    <t>CAT6 CABLE U/UTP 4 PAIRS AWG24 250MHz LSZH CPR DCA GREY RAL7035 500M</t>
  </si>
  <si>
    <t>4897108888939</t>
  </si>
  <si>
    <t>CAT6 CABLE U/UTP 4 PAIRS AWG23 LSZH CPR DCA GREY RAL7035 500M</t>
  </si>
  <si>
    <t>CÂBLE CAT6 U/UTP 4 PAIRES AWG23 LSZH CPR DCA GRIS RAL7035 500M</t>
  </si>
  <si>
    <t>UKN-C6UU4P01DLH</t>
  </si>
  <si>
    <t>UKN-L07DLH-XX</t>
  </si>
  <si>
    <t>UNIKKERN DATA CABLE U/UTP CAT6 4 PAIRS AWG23 100OHM Tested up to 400MHZ NVP 69% EN50575 Dca Certified SGS 21WWYY – IEC 61156-5/ISO11801/TIA-EIA 568.2-D CE LSZH xxxxxxM</t>
  </si>
  <si>
    <t>KCU64PLZHDGR5-21</t>
  </si>
  <si>
    <t>KCU64PLZHDGR5</t>
  </si>
  <si>
    <t>5.30 +/- 0.3</t>
  </si>
  <si>
    <t>4897108882319</t>
  </si>
  <si>
    <t>UKN-C6UU4P01SDLH</t>
  </si>
  <si>
    <t>UKN-L07SDLH-XX</t>
  </si>
  <si>
    <t>UNIKKERN DATA CABLE U/UTP CAT6 4 PAIRS AWG24 100OHM Tested up to 400MHZ NVP 69% EN50575 Dca Certified SGS 21WWYY – IEC 61156-5/ISO11801/TIA-EIA 568.2-D CE LSZH xxxxxxM</t>
  </si>
  <si>
    <t>KCU64PLZHDGR5-E02</t>
  </si>
  <si>
    <t>KCU64PLZHDGRB-21</t>
  </si>
  <si>
    <t>KCU64PLZHDGRB</t>
  </si>
  <si>
    <t>4897108882326</t>
  </si>
  <si>
    <t>2x5x3</t>
  </si>
  <si>
    <t>KCU64PLZHDGRB-E02</t>
  </si>
  <si>
    <t>KCU64PLGRB-21</t>
  </si>
  <si>
    <t>KCU64PLGRB</t>
  </si>
  <si>
    <t>CAT6 CABLE U/UTP 4 PAIRS AWG24 TEST UP TO 400MHz PVC CPR ECA GREY RAL7035 B305M</t>
  </si>
  <si>
    <t>3P - 2652</t>
  </si>
  <si>
    <t>ECA</t>
  </si>
  <si>
    <t>4897108884047</t>
  </si>
  <si>
    <t>120x80x130</t>
  </si>
  <si>
    <t>CAT6 CABLE U/UTP 4 PAIRS AWG24 PVC ECA GREY 305M</t>
  </si>
  <si>
    <t>CABLE CAT6 U/UTP 4 PAIRES AWG24 PVC ECA GRIS 305M</t>
  </si>
  <si>
    <t>KCU64PLGRB-E02</t>
  </si>
  <si>
    <t>F/UTP</t>
  </si>
  <si>
    <t>KCFU64PZHDGR5-21</t>
  </si>
  <si>
    <t>KCFU64PZHDGR5</t>
  </si>
  <si>
    <t>CAT6 CABLE F/UTP 4 PAIRS AWG23 250MHz LSZH CPR DCA GREY RAL7035 500M</t>
  </si>
  <si>
    <t>6.90 +/- 0.4</t>
  </si>
  <si>
    <t>Dca (B2ca-s1a,d0,a1)</t>
  </si>
  <si>
    <t>630309.16_Class</t>
  </si>
  <si>
    <t>4897108881749</t>
  </si>
  <si>
    <t>KCFU64PZHDGR5-E02</t>
  </si>
  <si>
    <t>KCFU68PZHDGR5-21</t>
  </si>
  <si>
    <t>KCFU68PZHDGR5</t>
  </si>
  <si>
    <t>CAT6 CABLE F/UTP 2x4 PAIRS AWG23 250MHz LSZH CPR DCA GREY RAL7035 500M</t>
  </si>
  <si>
    <t>6.90 x 14.0 +/- 0.4</t>
  </si>
  <si>
    <t>630309.31_Class</t>
  </si>
  <si>
    <t>4897108881756</t>
  </si>
  <si>
    <t>2x2x2</t>
  </si>
  <si>
    <t>120x110x93</t>
  </si>
  <si>
    <t>KCFU68PZHDGR5-E02</t>
  </si>
  <si>
    <t>KCFU64PZHDGRB-21</t>
  </si>
  <si>
    <t>KCFU64PZHDGRB</t>
  </si>
  <si>
    <t>CAT6 CABLE F/UTP 4 PAIRS AWG23 250MHz LSZH CPR DCA GREY RAL7035 B305M</t>
  </si>
  <si>
    <t>4897108882333</t>
  </si>
  <si>
    <t>KCFU64PZHDGRB-E02</t>
  </si>
  <si>
    <t>SOLID CABLE CAT6A</t>
  </si>
  <si>
    <t>KCU6A4PLZHDBL5-21</t>
  </si>
  <si>
    <t>KCU6A4PLZHDBL5</t>
  </si>
  <si>
    <t>CAT6A CABLE U/UTP 4 PAIRS AWG23 500MHz LSZH CPR DCA BLUE RAL5024 500M</t>
  </si>
  <si>
    <t>6.30 +/- 0.4</t>
  </si>
  <si>
    <t>SGS - 0598</t>
  </si>
  <si>
    <t>630309.15</t>
  </si>
  <si>
    <t>4897108883996</t>
  </si>
  <si>
    <t>2x3x4</t>
  </si>
  <si>
    <t>UNIKKERN DATA CABLE U/UTP CAT6A 4 PAIRS AWG23 100OHM Tested up to 650MHZ NVP 75% EN50575 Dca Certified SGS 21WWYY – IEC 61156-5/ISO11801/TIA-EIA 568.2-D CE LSZH xxxxxxM</t>
  </si>
  <si>
    <t>KCU6A4PLZHDBL5-E02</t>
  </si>
  <si>
    <t>KCU6A4PLZHDVI5-21</t>
  </si>
  <si>
    <t>KCU6A4PLZHDVI5</t>
  </si>
  <si>
    <t>CAT6A CABLE U/UTP 4 PAIRS AWG23 500MHz LSZH CPR DCA VIOLET RAL4001 500M</t>
  </si>
  <si>
    <t>4897108885648</t>
  </si>
  <si>
    <t>UKN-C6AUU4P01DLH</t>
  </si>
  <si>
    <t>UKN-L11DLH-XX</t>
  </si>
  <si>
    <t>KCU6A4PLZHDVI5-E02</t>
  </si>
  <si>
    <t>U/FTP</t>
  </si>
  <si>
    <t>KCUF6A4PZHDBL5-21</t>
  </si>
  <si>
    <t>KCUF6A4PZHDBL5</t>
  </si>
  <si>
    <t>CAT6A CABLE U/FTP 4 PAIRS AWG23 500MHz LSZH CPR DCA BLUE RAL5024 500M</t>
  </si>
  <si>
    <t>7.0 +/- 0.2</t>
  </si>
  <si>
    <t>630309.23_Class</t>
  </si>
  <si>
    <t>4897108882340</t>
  </si>
  <si>
    <t>KCUF6A4PZHDBL5-E02</t>
  </si>
  <si>
    <t>KCUF6A8PZHDBL5-21</t>
  </si>
  <si>
    <t>KCUF6A8PZHDBL5</t>
  </si>
  <si>
    <t>CAT6A CABLE U/FTP 2x4 PAIRS AWG23 500MHz LSZH CPR DCA BLUE RAL5024 500M</t>
  </si>
  <si>
    <t>7.0 x 14.8 +/- 0.2</t>
  </si>
  <si>
    <t>4897108882357</t>
  </si>
  <si>
    <t>KCUF6A8PZHDBL5-E02</t>
  </si>
  <si>
    <t>KCUF6A4PZHCBL5-21</t>
  </si>
  <si>
    <t>KCUF6A4PZHCBL5</t>
  </si>
  <si>
    <t>CAT6A CABLE U/FTP 4 PAIRS AWG23 500MHz LSZH CPR CCA BLUE RAL5024 500M</t>
  </si>
  <si>
    <t>7.20 +/- 0.2</t>
  </si>
  <si>
    <t>Cca (B2ca-s1a,d0,a1)</t>
  </si>
  <si>
    <t>4897108882364</t>
  </si>
  <si>
    <t>KCUF6A4PZHCBL5-E02</t>
  </si>
  <si>
    <t>KCUF6A4PZHB2BL5-21</t>
  </si>
  <si>
    <t>KCUF6A4PZHB2BL5</t>
  </si>
  <si>
    <t>CAT6A CABLE U/FTP 4 PAIRS AWG23 500MHz LSZH CPR B2CA BLUE RAL5024 500M</t>
  </si>
  <si>
    <t>B2ca-s1a,d0,a1</t>
  </si>
  <si>
    <t>4897108882371</t>
  </si>
  <si>
    <t>KCUF6A4PZHB2BL5-E02</t>
  </si>
  <si>
    <t>KCUF6A4PZHCOUT5-21</t>
  </si>
  <si>
    <t>KCUF6A4PZHCOUT5</t>
  </si>
  <si>
    <t>CAT6A CABLE U/FTP 4 PAIRS AWG23 TESTED UP TO 650MHz LSZH CPR CCA INDOOR/OUTDOOR BLACK RAL9005 500M</t>
  </si>
  <si>
    <t>7.50 +/- 0.3</t>
  </si>
  <si>
    <t>4897108886140</t>
  </si>
  <si>
    <t>UKN-C6AUF4P01CUVLH</t>
  </si>
  <si>
    <t>UKN-L15CUVLH-XX</t>
  </si>
  <si>
    <t>UNIKKERN DATA CABLE U/FTP CAT6A 4 PAIRS AWG23 100OHM Tested up to 650MHZ NVP 76% EN50575 Cca Certified SGS 21WWYY – IEC 61156-5/ISO11801/TIA-EIA 568.2-D CE UV LSZH xxxxxxM</t>
  </si>
  <si>
    <t>KCUF6A4PZHCOUT5-E02</t>
  </si>
  <si>
    <t>KCFU6A4PZHDWH5-21</t>
  </si>
  <si>
    <t>KCFU6A4PZHDWH5</t>
  </si>
  <si>
    <t>CAT6A CABLE F/UTP 4 PAIRS AWG23 500MHz LSZH CPR DCA WHITE RAL9003 500M</t>
  </si>
  <si>
    <t>6.60 +/- 0.2</t>
  </si>
  <si>
    <t>4897108884900</t>
  </si>
  <si>
    <t>UKN-C6AFU4P01DLH</t>
  </si>
  <si>
    <t>UKN-L13DLH-XX</t>
  </si>
  <si>
    <t>UNIKKERN DATA CABLE F/UTP CAT6A 4 PAIRS AWG23 100OHM Tested up to 650MHZ NVP 68% EN50575 Dca Certified SGS 21WWYY – IEC 61156-5/ISO11801/TIA-EIA 568.2-D CE LSZH xxxxxxM</t>
  </si>
  <si>
    <t>KCFU6A4PZHDWH5-E02</t>
  </si>
  <si>
    <t>F/FTP</t>
  </si>
  <si>
    <t>KCFF6A4PZHDBL5-21</t>
  </si>
  <si>
    <t>KCFF6A4PZHDBL5</t>
  </si>
  <si>
    <t>CAT6A CABLE F/FTP 4 PAIRS AWG23 500MHz LSZH CPR DCA BLUE RAL5024 500M</t>
  </si>
  <si>
    <t>630309.22_Class</t>
  </si>
  <si>
    <t>4897108881763</t>
  </si>
  <si>
    <t>KCFF6A4PZHDBL5-E02</t>
  </si>
  <si>
    <t>KCFF6A4PZHDBLB-21</t>
  </si>
  <si>
    <t>KCFF6A4PZHDBLB</t>
  </si>
  <si>
    <t>CAT6A CABLE F/FTP 4 PAIRS AWG23 500MHz LSZH CPR DCA BLUE RAL5024 305M</t>
  </si>
  <si>
    <t>4897108882753</t>
  </si>
  <si>
    <t>KCFF6A4PZHDBLB-E02</t>
  </si>
  <si>
    <t>KCFF6A8PZHDBL5-21</t>
  </si>
  <si>
    <t>KCFF6A8PZHDBL5</t>
  </si>
  <si>
    <t>CAT6A CABLE F/FTP 2x4 PAIRS AWG23 500MHz LSZH CPR DCA BLUE RAL5024 500M</t>
  </si>
  <si>
    <t>4897108881770</t>
  </si>
  <si>
    <t>120x110x90</t>
  </si>
  <si>
    <t>KCFF6A8PZHDBL5-E02</t>
  </si>
  <si>
    <t>KCFF6A4PZHDGR5-21</t>
  </si>
  <si>
    <t>KCFF6A4PZHDGR5</t>
  </si>
  <si>
    <t>CAT6A CABLE F/FTP 4 PAIRS AWG23 500MHz LSZH CPR DCA GREY RAL7035 500M</t>
  </si>
  <si>
    <t>4897108882470</t>
  </si>
  <si>
    <t>KCFF6A4PZHDGR5-E02</t>
  </si>
  <si>
    <t>KCFF6A8PZHDGR5-21</t>
  </si>
  <si>
    <t>KCFF6A8PZHDGR5</t>
  </si>
  <si>
    <t>CAT6A CABLE F/FTP 2x4 PAIRS AWG23 500MHz LSZH CPR DCA GREY RAL7035 500M</t>
  </si>
  <si>
    <t>4897108882487</t>
  </si>
  <si>
    <t>KCFF6A8PZHDGR5-E02</t>
  </si>
  <si>
    <t>KCFF6A4PZHCBL5-21</t>
  </si>
  <si>
    <t>KCFF6A4PZHCBL5</t>
  </si>
  <si>
    <t>CAT6A CABLE F/FTP 4 PAIRS AWG23 500MHz LSZH CPR CCA BLUE RAL5024 500M</t>
  </si>
  <si>
    <t>4897108882388</t>
  </si>
  <si>
    <t>KCFF6A4PZHCBL5-E02</t>
  </si>
  <si>
    <t>KCFF6A8PZHCBL5-21</t>
  </si>
  <si>
    <t>KCFF6A8PZHCBL5</t>
  </si>
  <si>
    <t>CAT6A CABLE F/FTP 2x4 PAIRS AWG23 500MHz LSZH CPR CCA BLUE RAL5024 500M</t>
  </si>
  <si>
    <t>7.20 x 15.0 +/- 0.2</t>
  </si>
  <si>
    <t>4897108884931</t>
  </si>
  <si>
    <t>KCFF6A8PZHCBL5-E02</t>
  </si>
  <si>
    <t>KCFF6A4PZHB2BL5-21</t>
  </si>
  <si>
    <t>KCFF6A4PZHB2BL5</t>
  </si>
  <si>
    <t>CAT6A CABLE F/FTP 4 PAIRS AWG23 500MHz LSZH CPR B2CA BLUE RAL5024 500M</t>
  </si>
  <si>
    <t>4897108882395</t>
  </si>
  <si>
    <t>KCFF6A4PZHB2BL5-E02</t>
  </si>
  <si>
    <t>S/FTP</t>
  </si>
  <si>
    <t>KCSF6A4PZHDBL5-21</t>
  </si>
  <si>
    <t>KCSF6A4PZHDBL5</t>
  </si>
  <si>
    <t>CAT6A CABLE S/FTP 4 PAIRS AWG23 500MHz LSZH CPR DCA BLUE RAL5024 500M</t>
  </si>
  <si>
    <t>4897108882715</t>
  </si>
  <si>
    <t>120x100x112</t>
  </si>
  <si>
    <t>KCSF6A4PZHDBL5-E02</t>
  </si>
  <si>
    <t>KCSF6A8PZHDBL5-21</t>
  </si>
  <si>
    <t>KCSF6A8PZHDBL5</t>
  </si>
  <si>
    <t>CAT6A CABLE S/FTP 2x4 PAIRS AWG23 500MHz LSZH CPR DCA BLUE RAL5024 500M</t>
  </si>
  <si>
    <t>4897108882722</t>
  </si>
  <si>
    <t>UKN-C6ASF8P01DLH</t>
  </si>
  <si>
    <t>UKN-L20DLH-XX</t>
  </si>
  <si>
    <t>UNIKKERN DATA CABLE S/FTP CAT6A 2x4 PAIRS AWG23 100OHM Tested up to 650MHZ NVP 76% EN50575 Dca Certified SGS 21WWYY– IEC 61156-5/ISO11801/TIA-EIA 568.2-D CE LSZH xxxxxxM</t>
  </si>
  <si>
    <t>KCSF6A8PZHDBL5-E02</t>
  </si>
  <si>
    <t>KCSF6A4PZHCBL5-21</t>
  </si>
  <si>
    <t>KCSF6A4PZHCBL5</t>
  </si>
  <si>
    <t>CAT6A CABLE S/FTP 4 PAIRS AWG23 LSZH CPR CCA BLUE RAL5024 500M</t>
  </si>
  <si>
    <t>7.30 +/- 0.3</t>
  </si>
  <si>
    <t>630309.21_Class</t>
  </si>
  <si>
    <t>4897108885624</t>
  </si>
  <si>
    <t>120x120x80</t>
  </si>
  <si>
    <t>CAT6A CABLE S/FTP 4 PAIRS AWG23 LSZH CPR CCA BLUE 500M</t>
  </si>
  <si>
    <t>CÂBLE CAT6A S/FTP 4 PAIRES AWG23 LSZH CPR CCA BLEU 500M</t>
  </si>
  <si>
    <t>UKN-C6ASF4P01CLH</t>
  </si>
  <si>
    <t>UKN-L19CLH-XX</t>
  </si>
  <si>
    <t>UNIKKERN DATA CABLE S/FTP CAT6A 4 PAIRS AWG23 100OHM Tested up to 650MHZ NVP 76% EN50575 Cca Certified SGS ZZWWYY– IEC 61156-5/ISO11801/TIA-EIA 568.2-D CE LSZH xxxxxxM</t>
  </si>
  <si>
    <t>KCSF6A4PZHCWH5-21</t>
  </si>
  <si>
    <t>KCSF6A4PZHCWH5</t>
  </si>
  <si>
    <t>CAT6A CABLE S/FTP 4 PAIRS AWG23 LSZH CPR CCA WHITE RAL9003 500M</t>
  </si>
  <si>
    <t>4897108889226</t>
  </si>
  <si>
    <t>CAT6A CABLE S/FTP 4 PAIRS AWG23 LSZH CPR CCA WHITE 500M</t>
  </si>
  <si>
    <t>CÂBLE CAT6A S/FTP 4 PAIRES AWG23 LSZH CPR CCA BLANC 500M</t>
  </si>
  <si>
    <t>KCSF6A4PZHCBL5-E02</t>
  </si>
  <si>
    <t>7.0 +/- 0.3</t>
  </si>
  <si>
    <t>SOLID CABLE CAT7</t>
  </si>
  <si>
    <t>KCSF74PZHDOR5-21</t>
  </si>
  <si>
    <t>KCSF74PZHDOR5</t>
  </si>
  <si>
    <t>CAT7 CABLE S/FTP 4 PAIRS AWG23 600MHz LSZH CPR DCA ORANGE RAL2003 500M</t>
  </si>
  <si>
    <t>4897108881787</t>
  </si>
  <si>
    <t>2x2x4</t>
  </si>
  <si>
    <t>KCSF74PZHDOR5-E02</t>
  </si>
  <si>
    <t>KCSF78PZHDOR5-21</t>
  </si>
  <si>
    <t>KCSF78PZHDOR5</t>
  </si>
  <si>
    <t>CAT7 CABLE S/FTP 2x4 PAIRS AWG23 600MHz LSZH CPR DCA ORANGE RAL2003 500M</t>
  </si>
  <si>
    <t>4897108881794</t>
  </si>
  <si>
    <t>KCSF78PZHDOR5-E02</t>
  </si>
  <si>
    <t>KCSF78PZHCOR5-21</t>
  </si>
  <si>
    <t>KCSF78PZHCOR5</t>
  </si>
  <si>
    <t>CAT7 CABLE S/FTP 2x4 PAIRS AWG23 600MHz LSZH CPR CCA ORANGE RAL2003 500M</t>
  </si>
  <si>
    <t>4897108884658</t>
  </si>
  <si>
    <t>KCSF78PZHCOR5-E02</t>
  </si>
  <si>
    <t>6.95 x 14.8 +/- 0.2</t>
  </si>
  <si>
    <t>KCSF74PZHCOR5-21</t>
  </si>
  <si>
    <t>KCSF74PZHCOR5</t>
  </si>
  <si>
    <t>CAT7 CABLE S/FTP 4 PAIRS AWG23 600MHz LSZH CPR CCA ORANGE RAL2003 500M</t>
  </si>
  <si>
    <t>4897108882401</t>
  </si>
  <si>
    <t>KCSF74PZHCOR5-E02</t>
  </si>
  <si>
    <t>6.95 +/- 0.2</t>
  </si>
  <si>
    <t>KCSF74PZHB2OR5-21</t>
  </si>
  <si>
    <t>KCSF74PZHB2OR5</t>
  </si>
  <si>
    <t>CAT7 CABLE S/FTP 4 PAIRS AWG23 600MHz LSZH CPR B2CA ORANGE RAL2003 500M</t>
  </si>
  <si>
    <t>7.80 +/- 0.3</t>
  </si>
  <si>
    <t>4897108882418</t>
  </si>
  <si>
    <t>KCSF74PZHB2OR5-E02</t>
  </si>
  <si>
    <t>SOLID CABLE CAT7A</t>
  </si>
  <si>
    <t>KCSF7A4PZHB2BR5-21</t>
  </si>
  <si>
    <t>KCSF7A4PZHB2BR5</t>
  </si>
  <si>
    <r>
      <rPr>
        <rFont val="Calibri"/>
        <color rgb="FF1E4E79"/>
        <sz val="10.0"/>
      </rPr>
      <t xml:space="preserve">CAT7A CABLE S/FTP 4 PAIRS AWG23 TESTED UP TO 1200MHz LSZH CPR B2CA BROWN </t>
    </r>
    <r>
      <rPr>
        <rFont val="Calibri"/>
        <color rgb="FFFF0000"/>
        <sz val="10.0"/>
      </rPr>
      <t>RAL1011</t>
    </r>
    <r>
      <rPr>
        <rFont val="Calibri"/>
        <color rgb="FF1E4E79"/>
        <sz val="10.0"/>
      </rPr>
      <t xml:space="preserve"> 500M</t>
    </r>
  </si>
  <si>
    <t>7.80 +/- 0.2</t>
  </si>
  <si>
    <t>4897108885631</t>
  </si>
  <si>
    <t>120x80x90</t>
  </si>
  <si>
    <t>CAT7A CABLE S/FTP 4 PAIRS AWG23 LSZH CPR B2CA BROWN 500M</t>
  </si>
  <si>
    <t>CÂBLE CAT7A S/FTP 4 PAIRES AWG23 LSZH CPR B2CA MARRON 500M</t>
  </si>
  <si>
    <t>UKN-C7ASF4P01BLH</t>
  </si>
  <si>
    <t>UKN-L23BLH-XX</t>
  </si>
  <si>
    <t>UNIKKERN DATA CABLE S/FTP CAT7A 4 PAIRS AWG23 100OHM 1200MHZ NVP 78% EN50575 B2ca Certified SGS ZZWWYY– IEC 61156-5/ISO11801/TIA-EIA 568.2-D CE LSZH xxxxxxM</t>
  </si>
  <si>
    <t>KCSF7A4PZHB2BR5-E02</t>
  </si>
  <si>
    <r>
      <rPr>
        <rFont val="Calibri"/>
        <color rgb="FF1E4E79"/>
        <sz val="10.0"/>
      </rPr>
      <t xml:space="preserve">CAT7A CABLE S/FTP 4 PAIRS AWG23 TESTED UP TO 1200MHz LSZH CPR B2CA BROWN </t>
    </r>
    <r>
      <rPr>
        <rFont val="Calibri"/>
        <color rgb="FFFF0000"/>
        <sz val="10.0"/>
      </rPr>
      <t>RAL1011</t>
    </r>
    <r>
      <rPr>
        <rFont val="Calibri"/>
        <color rgb="FF1E4E79"/>
        <sz val="10.0"/>
      </rPr>
      <t xml:space="preserve"> 500M</t>
    </r>
  </si>
  <si>
    <t>SOLID CABLE GRADE3 TV</t>
  </si>
  <si>
    <t>23/22</t>
  </si>
  <si>
    <t>OEG3TVs4DT5</t>
  </si>
  <si>
    <t>G3TV CABLE F/FTP 1x4 PAIRS AWG23 2200MHz LSZH CPR DCA WHITE RAL9003 500M 85dB</t>
  </si>
  <si>
    <t>8.0 +/- 0.2</t>
  </si>
  <si>
    <t>4897108884030</t>
  </si>
  <si>
    <t>120x100x115</t>
  </si>
  <si>
    <t>OEG3TVs4DT40</t>
  </si>
  <si>
    <t>G3TV CABLE F/FTP 1x4 PAIRS AWG23 2200MHz LSZH CPR DCA WHITE RAL9003 4000M 85dB</t>
  </si>
  <si>
    <t>4897108884023</t>
  </si>
  <si>
    <t>1x2</t>
  </si>
  <si>
    <t>123x100x115</t>
  </si>
  <si>
    <t>SOLID CABLE CAT8</t>
  </si>
  <si>
    <t>KCSF84PZHB2LI5</t>
  </si>
  <si>
    <t>CAT8.2 CABLE S/FTP 4 PAIRS AWG22 TESTED UP TO 2000MHz LSZH CPR B2CA LIME GREEN RAL6039 500M</t>
  </si>
  <si>
    <t>7.50 +/- 0.2</t>
  </si>
  <si>
    <t>4897108884764</t>
  </si>
  <si>
    <t>120x110x101</t>
  </si>
  <si>
    <t>CAT8.2 CABLE S/FTP 4 PAIRS AWG22 LSZH B2CA LIME GREEN 500M</t>
  </si>
  <si>
    <t>CÂBLE CAT8.2 S/FTP 4 PAIRES AWG22 LSZH B2CA VERT CITRON RAL6039 500M</t>
  </si>
  <si>
    <t>KCSF6A4PZHMCB2R5</t>
  </si>
  <si>
    <t>CAT6A CABLE S/FTP 4 PAIRS AWG23 LSZH CPR B2CA PH120 500M</t>
  </si>
  <si>
    <t>AJFS2107006289FF</t>
  </si>
  <si>
    <t>kilogram (kg)</t>
  </si>
  <si>
    <t>4897108884993</t>
  </si>
  <si>
    <t>120x100</t>
  </si>
  <si>
    <t>CAT6A CABLE S/FTP 4 PAIRS AWG23 LSZH B2CA PH120 RED 500M</t>
  </si>
  <si>
    <t>CÂBLE CAT6A S/FTP 4 PAIRS AWG23 LSZH B2CA PH120 ROUGE FRAISE 500M</t>
  </si>
  <si>
    <t>UKN-C6ASF4P01MCBLH</t>
  </si>
  <si>
    <t>UKN-L19MCBLH-XX</t>
  </si>
  <si>
    <t>UNIKKERN DATA CABLE S/FTP CAT6A 4 PAIRS AWG23 100OHM Tested up to 650MHZ NVP 76% EN50200 PH120 B2ca Certified SGS 17WWYY– IEC 61156-5/ISO11801/TIA-EIA 568.2-D CE UV LSZH xxxxxxM</t>
  </si>
  <si>
    <t>KCFU64PZHMCB2R5</t>
  </si>
  <si>
    <t>CAT6 CABLE F/UTP 4 PAIRS AWG23 TESTED UP TO 450MHz LSZH CPR B2CA PH90 500M</t>
  </si>
  <si>
    <t>AJFS2107006286FF</t>
  </si>
  <si>
    <t>4897108885402</t>
  </si>
  <si>
    <t>CAT6 CABLE F/UTP 4 PAIRS AWG23 LSZH B2CA PH90 RED 500M</t>
  </si>
  <si>
    <t>CÂBLE CAT6 F/UTP 4 PAIRS AWG23 LSZH B2CA PH90 ROUGE FRAISE 500M</t>
  </si>
  <si>
    <t>UKN-C6FU4P01MCBLH</t>
  </si>
  <si>
    <t>UKN-L09MCBLH-XX</t>
  </si>
  <si>
    <t>UNIKKERN DATA CABLE F/UTP CAT6 4 PAIRS AWG23 100OHM Tested up to 450MHZ NVP 69% IEC60331-23 PH90 B2ca Certified SGS 17WWYY– IEC 61156-5/IS11801/TIA-EIA 568.2-D CE UV LSZH xxxxxxM</t>
  </si>
  <si>
    <t>KEYSTONE JACK</t>
  </si>
  <si>
    <t>KEYSTONE CAT6</t>
  </si>
  <si>
    <t>Unshielded</t>
  </si>
  <si>
    <t>KJ6U90DEF24</t>
  </si>
  <si>
    <t xml:space="preserve">CAT6 RJ45 KEYSTONE JACK UNSHIELDED 90° DUAL IDC 24PCS PER ECO FRIENDLY CARTON </t>
  </si>
  <si>
    <t>Gram (g)</t>
  </si>
  <si>
    <t>4897108881916</t>
  </si>
  <si>
    <t>265*135*38</t>
  </si>
  <si>
    <t>380x280x305</t>
  </si>
  <si>
    <t>2x4x3</t>
  </si>
  <si>
    <t>KJ6U180DEF24</t>
  </si>
  <si>
    <t>CAT6 RJ45 KESYTONE JACK UNSHIELDED 180° DUAL IDC 24PCS PER ECO FRIENDLY CARTON</t>
  </si>
  <si>
    <t>4897108881923</t>
  </si>
  <si>
    <t>KJ6UEF24</t>
  </si>
  <si>
    <t>CAT6 RJ45 KEYSTONE JACK UNSHIELDED TOOLESS 24PCS PER ECO FRIENDLY CARTON</t>
  </si>
  <si>
    <t>4897108881930</t>
  </si>
  <si>
    <t>KJ6UHQEF24</t>
  </si>
  <si>
    <t>CAT6 RJ45 KEYSTONE JACK UNSHIELDED TOOLESS INTERTEK CERTIFIED 24PCS PER ECO FRIENDLY CARTON</t>
  </si>
  <si>
    <t>4897108881947</t>
  </si>
  <si>
    <t>CAT6 RJ45 KEYSTONE JACK UNSHIELDED TOOLESS INTERTEK CERTIFIED</t>
  </si>
  <si>
    <t>EMBASE KEYSTONE CAT6 RJ45 NON BLINDÉ SANS OUTIL CERTIFIÉ INTERTEK</t>
  </si>
  <si>
    <t>Shielded</t>
  </si>
  <si>
    <t>KJ6FSEF1</t>
  </si>
  <si>
    <t>CAT6 RJ45 KEYSTONE JACK SHIELDED TOOLESS 1PC PER ECO FRIENDLY BAG</t>
  </si>
  <si>
    <t>4897108881954</t>
  </si>
  <si>
    <t>140*90</t>
  </si>
  <si>
    <t>380x280x320</t>
  </si>
  <si>
    <t>KJ6FSEF8</t>
  </si>
  <si>
    <t>CAT6 RJ45 KEYSTONE JACK SHIELDED TOOLESS 8PCS PER ECO FRIENDLY CARTON</t>
  </si>
  <si>
    <t>4897108881961</t>
  </si>
  <si>
    <t>180*80*40</t>
  </si>
  <si>
    <t>KJ6FSEF24</t>
  </si>
  <si>
    <t>CAT6 RJ45 KEYSTONE JACK SHIELDED TOOLESS 24PCS PER ECO FRIENDLY CARTON</t>
  </si>
  <si>
    <t>4897108881978</t>
  </si>
  <si>
    <t>KJ6FSHQEF8</t>
  </si>
  <si>
    <t>CAT6 RJ45 KEYSTONE JACK SHIELDED TOOLESS INTERTEK CERTIFIED 8PCS PER ECO FRIENDLY CARTON</t>
  </si>
  <si>
    <t>4897108881985</t>
  </si>
  <si>
    <t>KJ6FSHQEF24</t>
  </si>
  <si>
    <t>CAT6 RJ45 KEYSTONE JACK SHIELDED TOOLESS INTERTEK CERTIFIED 24PCS PER ECO FRIENDLY CARTON</t>
  </si>
  <si>
    <t>4897108881992</t>
  </si>
  <si>
    <t>KEYSTONE CAT6A</t>
  </si>
  <si>
    <t>KJ6AUEF24</t>
  </si>
  <si>
    <t>CAT6A RJ45 KEYSTONE JACK UNSHIELDED TOOLESS 24PCS PER ECO FRIENDLY CARTON</t>
  </si>
  <si>
    <t>4897108882005</t>
  </si>
  <si>
    <t>KJ6AUHQEF1</t>
  </si>
  <si>
    <t>CAT6A RJ45 KEYSTONE JACK UNSHIELDED TOOLESS INTERTEK CERTIFIED 1PC PER ECO FRIENDLY BAG</t>
  </si>
  <si>
    <t>4897108885655</t>
  </si>
  <si>
    <t xml:space="preserve">CAT6A RJ45 KEYSTONE JACK UNSHIELDED TOOLESS INTERTEK CERTIFIED </t>
  </si>
  <si>
    <t>EMBASE KEYSTONE CAT6A RJ45 NON BLINDÉ SANS OUTIL CERTIFIÉ INTERTEK</t>
  </si>
  <si>
    <t>KJ6AUHQEF24</t>
  </si>
  <si>
    <t>CAT6A RJ45 KEYSTONE JACK UNSHIELDED TOOLESS INTERTEK CERTIFIED 24PCS PER ECO FRIENDLY CARTON</t>
  </si>
  <si>
    <t>4897108882012</t>
  </si>
  <si>
    <t>KJ6AFSEF1</t>
  </si>
  <si>
    <t>CAT6A RJ45 KEYSTONE JACK SHIELDED TOOLESS 1PC PER ECO FRIENDLY BAG</t>
  </si>
  <si>
    <t>4897108880285</t>
  </si>
  <si>
    <t>CAT6A RJ45 KEYSTONE STP</t>
  </si>
  <si>
    <t xml:space="preserve">EMBASE KEYSTONE CAT6A BLINDÉ </t>
  </si>
  <si>
    <t>KJ6AFSEF8</t>
  </si>
  <si>
    <t>CAT6A RJ45 KEYSTONE JACK SHIELDED TOOLESS 8PCS PER ECO FRIENDLY CARTON</t>
  </si>
  <si>
    <t>4897108882029</t>
  </si>
  <si>
    <t>KJ6AFSEF24</t>
  </si>
  <si>
    <t>CAT6A RJ45 KEYSTONE JACK SHIELDED TOOLESS 24PCS PER ECO FRIENDLY CARTON</t>
  </si>
  <si>
    <t>4897108882036</t>
  </si>
  <si>
    <t>KJ6AFSHQEF1</t>
  </si>
  <si>
    <t>CAT6A RJ45 KEYSTONE JACK SHIELDED TOOLESS DELTA &amp; INTERTEK CERTIFIED 1PC PER ECO FRIENDLY BAG</t>
  </si>
  <si>
    <t>4897108882043</t>
  </si>
  <si>
    <t xml:space="preserve">Individual eco bag : CAT6A RJ45 KEYSTONE STP HQ /  24pcs polybag &amp; export carton/pallet :CAT6A RJ45 KEYSTONE JACK SHIELDED TOOLESS DELTA &amp; INTERTEK CERTIFIED </t>
  </si>
  <si>
    <t xml:space="preserve">EMBASE KEYSTONE CAT6A BLINDÉ HQ / EMBASE KEYSTONE CAT6A RJ45 BLINDÉ SANS OUTIL CERTIFIÉ DELTA/INTERTEK </t>
  </si>
  <si>
    <t>KJ6AFSHQEF8</t>
  </si>
  <si>
    <t>CAT6A RJ45 KEYSTONE JACK SHIELDED TOOLESS DELTA &amp; INTERTEK CERTIFIED 8PCS PER ECO FRIENDLY CARTON</t>
  </si>
  <si>
    <t>4897108882050</t>
  </si>
  <si>
    <t>KJ6AFSHQEF24</t>
  </si>
  <si>
    <t>CAT6A RJ45 KEYSTONE JACK SHIELDED TOOLESS DELTA &amp; INTERTEK CERTIFIED 24PCS PER ECO-FRIENDLY CARTON</t>
  </si>
  <si>
    <t>4897108881800</t>
  </si>
  <si>
    <t xml:space="preserve">CAT6A RJ45 KEYSTONE JACK SHIELDED TOOLESS DELTA &amp; INTERTEK CERTIFIED </t>
  </si>
  <si>
    <t xml:space="preserve">EMBASE KEYSTONE CAT6A RJ45 BLINDÉ SANS OUTIL CERTIFIÉ DELTA/INTERTEK </t>
  </si>
  <si>
    <t>KJ6ADSRD</t>
  </si>
  <si>
    <t>CAT6A DUST SHUTTER RED RAL3027 100PCS PER ECO FRIENDLY BAG</t>
  </si>
  <si>
    <t>4897108882517</t>
  </si>
  <si>
    <t>CAT6A DUST SHUTTER RED</t>
  </si>
  <si>
    <t>VOLET ANTI-POUSSIÈRE CAT6A ROUGE</t>
  </si>
  <si>
    <t>KJ6ADSBL</t>
  </si>
  <si>
    <t>CAT6A DUST SHUTTER BLUE RAL5024 100PCS PER ECO FRIENDLY BAG</t>
  </si>
  <si>
    <t>4897108882524</t>
  </si>
  <si>
    <t>CAT6A DUST SHUTTER BLUE</t>
  </si>
  <si>
    <t>VOLET ANTI-POUSSIÈRE CAT6A BLEU</t>
  </si>
  <si>
    <t>KJ6ADSGE</t>
  </si>
  <si>
    <t>CAT6A DUST SHUTTER GREEN RAL6018 100PCS PER ECO FRIENDLY BAG</t>
  </si>
  <si>
    <t>4897108882531</t>
  </si>
  <si>
    <t xml:space="preserve">CAT6A DUST SHUTTER GREEN </t>
  </si>
  <si>
    <t>VOLET ANTI-POUSSIÈRE CAT6A VERT</t>
  </si>
  <si>
    <t>KJ6ADSOR</t>
  </si>
  <si>
    <t>CAT6A DUST SHUTTER ORANGE RAL2003 100PCS PER ECO FRIENDLY BAG</t>
  </si>
  <si>
    <t>4897108882548</t>
  </si>
  <si>
    <t>CAT6A DUST SHUTTER ORANGE</t>
  </si>
  <si>
    <t>VOLET ANTI-POUSSIÈRE CAT6A ORANGE</t>
  </si>
  <si>
    <t>KEYSTONE JACK &amp; ACCESSORIES</t>
  </si>
  <si>
    <t>FIELD PLUG CAT6A</t>
  </si>
  <si>
    <t>KMP6AFSXSEF1</t>
  </si>
  <si>
    <t>CAT6A RJ45 MINI PLUG SHIELDED TOOLESS 1PCS PER ECO FRIENDLY BAG</t>
  </si>
  <si>
    <t>4897108885181</t>
  </si>
  <si>
    <t>460x350x275</t>
  </si>
  <si>
    <t>CAT6A RJ45 MINI PLUG SHIELDED TOOLESS</t>
  </si>
  <si>
    <t xml:space="preserve">MINI CONNECTEUR DE TERRAIN CAT6A RJ45 BLINDÉE SANS OUTIL </t>
  </si>
  <si>
    <t>KMP6AUEF1</t>
  </si>
  <si>
    <t>CAT6A RJ45 FIELD PLUG UNSHIELDED TOOLESS 1PCS PER ECO FRIENDLY BAG</t>
  </si>
  <si>
    <t>4897108885198</t>
  </si>
  <si>
    <t>CAT6A RJ45 FIELD PLUG UNSHIELDED</t>
  </si>
  <si>
    <t xml:space="preserve">CONNECTEUR DE TERRAIN CAT6A RJ45 NON BLINDÉE </t>
  </si>
  <si>
    <t>KMP6AFSEF1</t>
  </si>
  <si>
    <t>CAT6A RJ45 FIELD PLUG SHIELDED TOOLESS 1PCS PER ECO FRIENDLY BAG</t>
  </si>
  <si>
    <t>4897108885396</t>
  </si>
  <si>
    <t xml:space="preserve">CAT6A RJ45 FIELD PLUG SHIELDED TOOLESS </t>
  </si>
  <si>
    <t xml:space="preserve">CONNECTEUR DE TERRAIN CAT6A RJ45 BLINDÉE SANS OUTIL </t>
  </si>
  <si>
    <t>COPPER ACCESS FRANCE</t>
  </si>
  <si>
    <t>PLUGS &amp; ACCESS</t>
  </si>
  <si>
    <t>KPL45BITOOL</t>
  </si>
  <si>
    <t>CRIMPING TOOL FOR RJ45 RJ11 MODULAR PLUGS</t>
  </si>
  <si>
    <t>4897108886072</t>
  </si>
  <si>
    <t>MULTIFUNCTION CRIMPING TOOL</t>
  </si>
  <si>
    <t>OUTIL DE SERTISSAGE MULTIFONCTION</t>
  </si>
  <si>
    <t>KPL45BIBOGR</t>
  </si>
  <si>
    <t>BOOTS FOR RJ45 PLUG 8P8C BIG WIRE INSERT GREY DIAM 7.5</t>
  </si>
  <si>
    <t>4897108886089</t>
  </si>
  <si>
    <t>MANCHETTE POUR FICHE RJ45 8P8C INSERT GROS FIL GRIS DIAM 7.5</t>
  </si>
  <si>
    <t>KPL45BIBOBK</t>
  </si>
  <si>
    <t>BOOTS FOR RJ45 PLUG 8P8C BIG WIRE INSERT BLACK DIAM 7.5</t>
  </si>
  <si>
    <t>4897108886096</t>
  </si>
  <si>
    <t>PLUGS &amp; ACCESSORIES</t>
  </si>
  <si>
    <t>KPL45S6A</t>
  </si>
  <si>
    <t>PLUG RJ45 8P8C SHIELDED CAT6A WITH INSERT 4/4 100PCS PER ECO FRIENDLY BAG</t>
  </si>
  <si>
    <t>4897108886058</t>
  </si>
  <si>
    <t>PLUG RJ45 8P8C SHIELDED CAT6A WITH INSERT 4/4</t>
  </si>
  <si>
    <t>FICHE PLUG RJ45 8P8C BLINDÉ CAT6A AVEC INSERT 4/4</t>
  </si>
  <si>
    <t>KPL45S6AEP</t>
  </si>
  <si>
    <t>PLUG RJ45 8P8C SHIELDED CAT6A WITH INSERT 100PCS PER ECO FRIENDLY BAG</t>
  </si>
  <si>
    <t>4897108886065</t>
  </si>
  <si>
    <t>PLUG RJ45 8P8C SHIELDED CAT6A WITH INSERT EASY PASS-THROUGH</t>
  </si>
  <si>
    <t xml:space="preserve">FICHE PLUG RJ45 8P8C BLINDÉ CAT6A AVEC INSERT ET FACILE A PASSER </t>
  </si>
  <si>
    <t>KPL45U6AEP</t>
  </si>
  <si>
    <t>PLUG RJ45 8P8C UNSHIELDED CAT6A WITHOUT INSERT 4/4 100PCS PER ECO FRIENDLY BAG</t>
  </si>
  <si>
    <t>4897108885662</t>
  </si>
  <si>
    <t>PLUG RJ45 8P8C UNSHIELDED CAT6A WITHOUT INSERT EASY PASS-THROUGH</t>
  </si>
  <si>
    <t xml:space="preserve">FICHE PLUG RJ45 8P8C NON BLINDÉ CAT6A SANS INSERT ET FACILE A PASSER </t>
  </si>
  <si>
    <t>PATCH CORDS</t>
  </si>
  <si>
    <t>RJ45 CAT6 U/UTP</t>
  </si>
  <si>
    <t>KPUU6ZH03EF</t>
  </si>
  <si>
    <t>CAT6 PATCH CORD U/UTP GREY LSZH 0.3M</t>
  </si>
  <si>
    <t>4897108882081</t>
  </si>
  <si>
    <t>170*240</t>
  </si>
  <si>
    <t>57.5*18*23</t>
  </si>
  <si>
    <t>590*380*490</t>
  </si>
  <si>
    <t>KPUU6ZH05EF</t>
  </si>
  <si>
    <t>CAT6 PATCH CORD U/UTP GREY LSZH 0.5M</t>
  </si>
  <si>
    <t>4897108882098</t>
  </si>
  <si>
    <t>CORDON DE BRASSAGE CAT6 U/UTP GRIS LSZH 0,5M</t>
  </si>
  <si>
    <t>KPUU6ZH1EF</t>
  </si>
  <si>
    <t>CAT6 PATCH CORD U/UTP GREY LSZH 1M</t>
  </si>
  <si>
    <t>4897108882104</t>
  </si>
  <si>
    <t>KPUU6ZH2EF</t>
  </si>
  <si>
    <t>CAT6 PATCH CORD U/UTP GREY LSZH 2M</t>
  </si>
  <si>
    <t>4897108882111</t>
  </si>
  <si>
    <t>KPUU6ZH3EF</t>
  </si>
  <si>
    <t>CAT6 PATCH CORD U/UTP GREY LSZH 3M</t>
  </si>
  <si>
    <t>4897108882128</t>
  </si>
  <si>
    <t>KPUU6ZH5EF</t>
  </si>
  <si>
    <t>CAT6 PATCH CORD U/UTP GREY LSZH 5M</t>
  </si>
  <si>
    <t>4897108882135</t>
  </si>
  <si>
    <t>230*295</t>
  </si>
  <si>
    <t>KPUU6ZH10EF</t>
  </si>
  <si>
    <t>CAT6 PATCH CORD U/UTP GREY LSZH 10M</t>
  </si>
  <si>
    <t>4897108882142</t>
  </si>
  <si>
    <t>CORDON DE BRASSAGE CAT6 U/UTP GRIS LSZH 10M</t>
  </si>
  <si>
    <t>KPUU6ZH15EF</t>
  </si>
  <si>
    <t>CAT6 PATCH CORD U/UTP GREY LSZH 15M</t>
  </si>
  <si>
    <t>4897108888359</t>
  </si>
  <si>
    <t>CORDON DE BRASSAGE CAT6 U/UTP GRIS LSZH 15M</t>
  </si>
  <si>
    <t>KPUU6ZH25EF</t>
  </si>
  <si>
    <t>CAT6 PATCH CORD U/UTP GREY LSZH 25M</t>
  </si>
  <si>
    <t>4897108888366</t>
  </si>
  <si>
    <t>CORDON DE BRASSAGE CAT6 U/UTP GRIS LSZH 25M</t>
  </si>
  <si>
    <t>RJ45 CAT6 F/UTP</t>
  </si>
  <si>
    <t>KPFU603EF</t>
  </si>
  <si>
    <t>CAT6 PATCH CORD F/UTP GREY PVC 0.3M</t>
  </si>
  <si>
    <t>4897108882159</t>
  </si>
  <si>
    <t>160*210</t>
  </si>
  <si>
    <t>KPFU605EF</t>
  </si>
  <si>
    <t>CAT6 PATCH CORD F/UTP GREY PVC 0.5M</t>
  </si>
  <si>
    <t>4897108882166</t>
  </si>
  <si>
    <t>KPFU61EF</t>
  </si>
  <si>
    <t>CAT6 PATCH CORD F/UTP GREY PVC 1M</t>
  </si>
  <si>
    <t>4897108882173</t>
  </si>
  <si>
    <t>KPFU62EF</t>
  </si>
  <si>
    <t>CAT6 PATCH CORD F/UTP GREY PVC 2M</t>
  </si>
  <si>
    <t>4897108882180</t>
  </si>
  <si>
    <t>KPFU63EF</t>
  </si>
  <si>
    <t>CAT6 PATCH CORD F/UTP GREY PVC 3M</t>
  </si>
  <si>
    <t>4897108882197</t>
  </si>
  <si>
    <t>KPFU65EF</t>
  </si>
  <si>
    <t>CAT6 PATCH CORD F/UTP GREY PVC 5M</t>
  </si>
  <si>
    <t>4897108882203</t>
  </si>
  <si>
    <t>230*30</t>
  </si>
  <si>
    <t>KPFU610EF</t>
  </si>
  <si>
    <t>CAT6 PATCH CORD F/UTP GREY PVC 10M</t>
  </si>
  <si>
    <t>4897108882210</t>
  </si>
  <si>
    <t>RJ45 CAT6A UTP</t>
  </si>
  <si>
    <t>KPUU6AZH05EF</t>
  </si>
  <si>
    <t>CAT6A PATCH CORD U/UTP GREY LSZH 0.5M</t>
  </si>
  <si>
    <t>4897108884290</t>
  </si>
  <si>
    <t>CORDON DE BRASSAGE CAT6A U/UTP GRIS LSZH 0,5M</t>
  </si>
  <si>
    <t>KPUU6AZH10EF</t>
  </si>
  <si>
    <t>CAT6A PATCH CORD U/UTP GREY LSZH 10M</t>
  </si>
  <si>
    <t>4897108888373</t>
  </si>
  <si>
    <t>CORDON DE BRASSAGE CAT6A U/UTP GRIS LSZH 10M</t>
  </si>
  <si>
    <t>KPUU6AZH15EF</t>
  </si>
  <si>
    <t>CAT6A PATCH CORD U/UTP GREY LSZH 15M</t>
  </si>
  <si>
    <t>4897108888380</t>
  </si>
  <si>
    <t>CORDON DE BRASSAGE CAT6A U/UTP GRIS LSZH 15M</t>
  </si>
  <si>
    <t>KPUU6AZH25EF</t>
  </si>
  <si>
    <t>CAT6A PATCH CORD U/UTP GREY LSZH 25M</t>
  </si>
  <si>
    <t>4897108888397</t>
  </si>
  <si>
    <t>CORDON DE BRASSAGE CAT6A U/UTP GRIS LSZH 25M</t>
  </si>
  <si>
    <t>KPUU6AZH1EF</t>
  </si>
  <si>
    <t>CAT6A PATCH CORD U/UTP GREY LSZH 1M</t>
  </si>
  <si>
    <t>4897108884306</t>
  </si>
  <si>
    <t>CORDON DE BRASSAGE CAT6A U/UTP GRIS LSZH 1M</t>
  </si>
  <si>
    <t>KPUU6AZHBL2EF</t>
  </si>
  <si>
    <t>4897108885761</t>
  </si>
  <si>
    <t>CAT6A PATCH CORD U/UTP BLUE LSZH 2M</t>
  </si>
  <si>
    <t>CORDON DE BRASSAGE CAT6A U/UTP BLEU LSZH 2M</t>
  </si>
  <si>
    <t>UNIKKERN U/UTP CAT6A PATCH ZZ/WW/YY - ISO11801/TIA-EIA 568.2-D CE LSZH</t>
  </si>
  <si>
    <t>KPUU6AZH3EF</t>
  </si>
  <si>
    <t>CAT6A PATCH CORD U/UTP GREY LSZH 3M</t>
  </si>
  <si>
    <t>4897108884313</t>
  </si>
  <si>
    <t>CORDON DE BRASSAGE CAT6A U/UTP GRIS LSZH 3M</t>
  </si>
  <si>
    <t>KPUU6AZH5EF</t>
  </si>
  <si>
    <t>4897108888922</t>
  </si>
  <si>
    <t>CAT6A PATCH CORD U/UTP GREY LSZH 5M</t>
  </si>
  <si>
    <t>CORDON DE BRASSAGE CAT6A U/UTP GRIS LSZH 5M</t>
  </si>
  <si>
    <t>RJ45 CAT6A S/FTP</t>
  </si>
  <si>
    <t>KPSF6AZH03EF</t>
  </si>
  <si>
    <t>CAT6A PATCH CORD S/FTP GREY LSZH 0.3M</t>
  </si>
  <si>
    <t>4897108882227</t>
  </si>
  <si>
    <t>CORDON DE BRASSAGE CAT6A S/FTP GRIS LSZH 0,3M</t>
  </si>
  <si>
    <t>KPSF6AZH05EF</t>
  </si>
  <si>
    <t>CAT6A PATCH CORD S/FTP GREY LSZH 0.5M</t>
  </si>
  <si>
    <t>4897108882234</t>
  </si>
  <si>
    <t>CORDON DE BRASSAGE CAT6A S/FTP GRIS LSZH 0,5M</t>
  </si>
  <si>
    <t>KPSF6AZH1EF</t>
  </si>
  <si>
    <t>CAT6A PATCH CORD S/FTP GREY LSZH 1M</t>
  </si>
  <si>
    <t>4897108882241</t>
  </si>
  <si>
    <t>CORDON DE BRASSAGE CAT6A S/FTP GRIS LSZH 1M</t>
  </si>
  <si>
    <t>KPSF6AZH2EF</t>
  </si>
  <si>
    <t>CAT6A PATCH CORD S/FTP GREY LSZH 2M</t>
  </si>
  <si>
    <t>4897108882258</t>
  </si>
  <si>
    <t>CORDON DE BRASSAGE CAT6A S/FTP GRIS LSZH 2M</t>
  </si>
  <si>
    <t>KPSF6AZH3EF</t>
  </si>
  <si>
    <t>CAT6A PATCH CORD S/FTP GREY LSZH 3M</t>
  </si>
  <si>
    <t>4897108882265</t>
  </si>
  <si>
    <t>CORDON DE BRASSAGE CAT6A S/FTP GRIS LSZH 3M</t>
  </si>
  <si>
    <t>KPSF6AZH5EF</t>
  </si>
  <si>
    <t>CAT6A PATCH CORD S/FTP GREY LSZH 5M</t>
  </si>
  <si>
    <t>4897108882272</t>
  </si>
  <si>
    <t>CORDON DE BRASSAGE CAT6A S/FTP GRIS LSZH 5M</t>
  </si>
  <si>
    <t>KPSF6AZH10EF</t>
  </si>
  <si>
    <t>CAT6A PATCH CORD S/FTP GREY LSZH 10M</t>
  </si>
  <si>
    <t>4897108882289</t>
  </si>
  <si>
    <t>CORDON DE BRASSAGE CAT6A S/FTP GRIS LSZH 10M</t>
  </si>
  <si>
    <t>KPSF6AZH15EF</t>
  </si>
  <si>
    <t>CAT6A PATCH CORD S/FTP GREY LSZH 15M</t>
  </si>
  <si>
    <t>4897108884573</t>
  </si>
  <si>
    <t>CORDON DE BRASSAGE CAT6A S/FTP GRIS LSZH 15M</t>
  </si>
  <si>
    <t>UNIKKERN S/FTP CAT6A PATCH ZZ/WW/YY - ISO11801/TIA-EIA 568.2-D CE LSZH</t>
  </si>
  <si>
    <t>KPSF6AZH20EF</t>
  </si>
  <si>
    <t>CAT6A PATCH CORD S/FTP GREY LSZH 20M</t>
  </si>
  <si>
    <t>4897108884580</t>
  </si>
  <si>
    <t>CORDON DE BRASSAGE CAT6A S/FTP GRIS LSZH 20M</t>
  </si>
  <si>
    <t>KPSF6AZH25EF</t>
  </si>
  <si>
    <t>360*400</t>
  </si>
  <si>
    <t>CAT6A PATCH CORD S/FTP GREY LSZH 25M</t>
  </si>
  <si>
    <t>CORDON DE BRASSAGE CAT6A S/FTP GRIS LSZH 25M</t>
  </si>
  <si>
    <t>KPSF6AZH30EF</t>
  </si>
  <si>
    <t>4897108885006</t>
  </si>
  <si>
    <t>CAT6A PATCH CORD S/FTP GREY LSZH 30M</t>
  </si>
  <si>
    <t>CORDON DE BRASSAGE CAT6A S/FTP GRIS LSZH 30M</t>
  </si>
  <si>
    <t>KPSF6AZH40EF</t>
  </si>
  <si>
    <t>4897108885013</t>
  </si>
  <si>
    <t>CAT6A PATCH CORD S/FTP GREY LSZH 40M</t>
  </si>
  <si>
    <t>CORDON DE BRASSAGE CAT6A S/FTP GRIS LSZH 40M</t>
  </si>
  <si>
    <t>KPSF6AZH50EF</t>
  </si>
  <si>
    <t>4897108885020</t>
  </si>
  <si>
    <t>CAT6A PATCH CORD S/FTP GREY LSZH 50M</t>
  </si>
  <si>
    <t>CORDON DE BRASSAGE CAT6A S/FTP GRIS LSZH 50M</t>
  </si>
  <si>
    <t>KPSF6AZH70EF</t>
  </si>
  <si>
    <t>400*420</t>
  </si>
  <si>
    <t>CAT6A PATCH CORD S/FTP GREY LSZH 70M</t>
  </si>
  <si>
    <t>CORDON DE BRASSAGE CAT6A S/FTP GRIS LSZH 70M</t>
  </si>
  <si>
    <t>FACE PLATES</t>
  </si>
  <si>
    <t>FACE PLATE</t>
  </si>
  <si>
    <t>KFP45451PANGEF8</t>
  </si>
  <si>
    <t>45X45 FACE PLATE 1 PORT ANGLED 45° 8PCS PER ECO FRIENDLY CARTON</t>
  </si>
  <si>
    <t>4897108882296</t>
  </si>
  <si>
    <t>160*96*53</t>
  </si>
  <si>
    <t>29.5*17*11.5</t>
  </si>
  <si>
    <t>610*360*360</t>
  </si>
  <si>
    <t>123x93x123</t>
  </si>
  <si>
    <t xml:space="preserve">45X45 FACE PLATE 1 PORT ANGLED 45° </t>
  </si>
  <si>
    <t xml:space="preserve">PLASTRON 45X45 1 PORT INCLINÉ 45° </t>
  </si>
  <si>
    <t>KFP45452PANGEF8</t>
  </si>
  <si>
    <t>45X45 FACE PLATE 2 PORTS ANGLED 45° 8PCS PER ECO FRIENDLY CARTON</t>
  </si>
  <si>
    <t>4897108882302</t>
  </si>
  <si>
    <t xml:space="preserve">45X45 FACE PLATE 2 PORTS ANGLED 45° </t>
  </si>
  <si>
    <t xml:space="preserve">PLASTRON 45X45 2 PORTS INCLINÉ 45° </t>
  </si>
  <si>
    <t>KFP45451PEF8</t>
  </si>
  <si>
    <t>45X45 FACE PLATE 1 PORT FLAT 8PCS PER ECO FRIENDLY CARTON</t>
  </si>
  <si>
    <t>4897108881824</t>
  </si>
  <si>
    <t>97*77*55</t>
  </si>
  <si>
    <t>24*10.5*12</t>
  </si>
  <si>
    <t>550*255*255</t>
  </si>
  <si>
    <t>120x80x117</t>
  </si>
  <si>
    <t>45X45 FACE PLATE 1 PORT FLAT</t>
  </si>
  <si>
    <t xml:space="preserve">PLASTRON 45X45 1 PORT PLAT </t>
  </si>
  <si>
    <t>KFP45452PEF8</t>
  </si>
  <si>
    <t>45X45 FACE PLATE 2 PORTS FLAT 8PCS PER ECO FRIENDLY CARTON</t>
  </si>
  <si>
    <t>4897108881831</t>
  </si>
  <si>
    <t>45X45 FACE PLATE 2 PORTS FLAT</t>
  </si>
  <si>
    <t xml:space="preserve">PLASTRON 45X45 2 PORTS PLAT </t>
  </si>
  <si>
    <t>KFP45451PABEF8</t>
  </si>
  <si>
    <t>45X45 FACE PLATE 1 PORT FLAT ANTIBACTERIAL SGS VERIFIED 8PCS PER ECO FRIENDLY CARTON</t>
  </si>
  <si>
    <t>4897108882739</t>
  </si>
  <si>
    <t>45X45 FACE PLATE 1P FLAT ANTIBACTERIAL SGS VERIFIED</t>
  </si>
  <si>
    <t xml:space="preserve">PLASTRON 45X45 1P PLAT ANTIBACTÉRIEN SGS VÉRIFIÉ </t>
  </si>
  <si>
    <t>KFP45452PABEF8</t>
  </si>
  <si>
    <t>45X45 FACE PLATE 2 PORTS FLAT ANTIBACTERIAL SGS VERIFIED 8PCS PER ECO FRIENDLY CARTON</t>
  </si>
  <si>
    <t>4897108882746</t>
  </si>
  <si>
    <t>45X45 FACE PLATE 2P FLAT ANTIBACTERIAL SGS VERIFIED</t>
  </si>
  <si>
    <t xml:space="preserve">PLASTRON 45X45 2P PLAT ANTIBACTÉRIEN SGS VÉRIFIÉ </t>
  </si>
  <si>
    <t>KWP86861PEF8</t>
  </si>
  <si>
    <t>86X86 WALL PLATE 1 PORT 8PCS PER ECO FRIENDLY CARTON</t>
  </si>
  <si>
    <t>4897108884252</t>
  </si>
  <si>
    <t>18.4*7.2*11.5</t>
  </si>
  <si>
    <t>385*385*251</t>
  </si>
  <si>
    <t>3x2x4</t>
  </si>
  <si>
    <t>120*80*115</t>
  </si>
  <si>
    <t>PLAQUE MURALE 86X86 1 PORT 8PCS PAR CARTON ÉCOLOGIQUE</t>
  </si>
  <si>
    <t>KWP8686A1PEF8</t>
  </si>
  <si>
    <t>86X86 WALL PLATE 1 PORT ANGLED UK STYLE c/w SHUTTER</t>
  </si>
  <si>
    <t>4897108885679</t>
  </si>
  <si>
    <t>120*80*110</t>
  </si>
  <si>
    <t>PLAQUE MURALE ANGULE  86X86 1 PORT 8PCS STYLE UK AVEC VOLET</t>
  </si>
  <si>
    <t>KWP86862PEF8</t>
  </si>
  <si>
    <t>86X86 WALL PLATE 2 PORTS 8PCS PER ECO FRIENDLY CARTON</t>
  </si>
  <si>
    <t>4897108884269</t>
  </si>
  <si>
    <t>PLAQUE MURALE 86X86 2 PORT 8PCS PAR CARTON ÉCOLOGIQUE</t>
  </si>
  <si>
    <t>OPTICAL FIBER ACCESS</t>
  </si>
  <si>
    <t>OPTICAL FIBER PANEL</t>
  </si>
  <si>
    <t>KSFP1U205NPCEF</t>
  </si>
  <si>
    <t>19" 1U FIBRE OPTIC PATCH PANEL 205 UNLOADED WITHOUT FRONT PLATE WITH HOLE CUTTING AND ACCESSORIES PER FRIENDLY CARTON</t>
  </si>
  <si>
    <t>4897108882609</t>
  </si>
  <si>
    <t>455*215*50</t>
  </si>
  <si>
    <t>470*270*275</t>
  </si>
  <si>
    <t>120*80*103</t>
  </si>
  <si>
    <t xml:space="preserve">19" 1U FIBRE OPTIC PATCH PANEL 205 UNLOADED WITHOUT FRONT PLATE </t>
  </si>
  <si>
    <t>TIROIR OPTIQUE 19" 1U 205mm SANS FACE AVANT</t>
  </si>
  <si>
    <t>KSFP1U245NPCEF</t>
  </si>
  <si>
    <t>19" 1U FIBRE OPTIC PATCH PANEL 245 UNLOADED WITHOUT FRONT PLATE WITH HOLE CUTTING AND ACCESSORIES PER FRIENDLY CARTON</t>
  </si>
  <si>
    <t>4897108884009</t>
  </si>
  <si>
    <t>455*255*50</t>
  </si>
  <si>
    <t>470*230*275</t>
  </si>
  <si>
    <t xml:space="preserve">19" 1U FIBRE OPTIC PATCH PANEL 245 UNLOADED WITHOUT FRONT PLATE </t>
  </si>
  <si>
    <t>TIROIR OPTIQUE 19" 1U 245mm SANS FACE AVANT</t>
  </si>
  <si>
    <t>KSFP1UFP24SCDEF</t>
  </si>
  <si>
    <t>19" 1U PANEL FRONT PLATE 24 SC DUPLEX</t>
  </si>
  <si>
    <t>4897108882616</t>
  </si>
  <si>
    <t>445*50*38.5</t>
  </si>
  <si>
    <t> FACE AVANT 1U 24 SC DUPLEX</t>
  </si>
  <si>
    <t>KSFP1UFP24SCSEF</t>
  </si>
  <si>
    <t>19" 1U PANEL FRONT PLATE 24 SC SIMPLEX</t>
  </si>
  <si>
    <t>4897108882623</t>
  </si>
  <si>
    <t> FACE AVANT 1U 24 SC SIMPLEX</t>
  </si>
  <si>
    <t>KSFP1UFP12SCDEF</t>
  </si>
  <si>
    <t>19" 1U PANEL FRONT PLATE 12 SC DUPLEX</t>
  </si>
  <si>
    <t>4897108882630</t>
  </si>
  <si>
    <t> FACE AVANT 1U 12 SC DUPLEX</t>
  </si>
  <si>
    <t>KSFP1UFP12SCSEF</t>
  </si>
  <si>
    <t>19" 1U PANEL FRONT PLATE 12 SC SIMPLEX</t>
  </si>
  <si>
    <t>4897108882647</t>
  </si>
  <si>
    <t> FACE AVANT 1U 12 SC SIMPLEX</t>
  </si>
  <si>
    <t>OPTICAL FIBER ADAPTER</t>
  </si>
  <si>
    <t>KSALCDS40</t>
  </si>
  <si>
    <t>LC DUPLEX SINGLEMODE ADAPTOR 40PCS PER ECO FRIENDLY BAG</t>
  </si>
  <si>
    <t>4897108882654</t>
  </si>
  <si>
    <t>140*200</t>
  </si>
  <si>
    <t>39*25*28</t>
  </si>
  <si>
    <t>520*410*300</t>
  </si>
  <si>
    <t>LC DUPLEX SINGLEMODE ADAPTOR</t>
  </si>
  <si>
    <t> TRAVERSEES LC DUPLEX MONOMODE</t>
  </si>
  <si>
    <t>KSALCDM40</t>
  </si>
  <si>
    <t>LC DUPLEX MULTIMODE ADAPTOR 40PCS PER ECO FRIENDLY BAG</t>
  </si>
  <si>
    <t>4897108882661</t>
  </si>
  <si>
    <t>LC DUPLEX MULTIMODE ADAPTOR</t>
  </si>
  <si>
    <t> TRAVERSEES LC DUPLEX MULTIMODE</t>
  </si>
  <si>
    <t>KSASCDS20</t>
  </si>
  <si>
    <t>SC DUPLEX SINGLEMODE ADAPTOR 20PCS PER ECO FRIENDLY BAG</t>
  </si>
  <si>
    <t>4897108882678</t>
  </si>
  <si>
    <t>SC DUPLEX SINGLEMODE ADAPTOR</t>
  </si>
  <si>
    <t> TRAVERSEES SC DUPLEX MONOMODE</t>
  </si>
  <si>
    <t>KSASCDM20</t>
  </si>
  <si>
    <t>SC DUPLEX MULTIMODE ADAPTOR 20PCS PER ECO FRIENDLY BAG</t>
  </si>
  <si>
    <t>4897108882685</t>
  </si>
  <si>
    <t>SC DUPLEX MULTIMODE ADAPTOR</t>
  </si>
  <si>
    <t> TRAVERSEES SC DUPLEX MULTIMODE</t>
  </si>
  <si>
    <t>OPTICAL PATCH CORDS</t>
  </si>
  <si>
    <t>KCDOM3LCLC1MEF</t>
  </si>
  <si>
    <t>LC/LC OM3 DUPLEX OPTICAL PATCH CORD 1M ECO FRIENDLY BAG</t>
  </si>
  <si>
    <t>4897108884054</t>
  </si>
  <si>
    <t>180*260</t>
  </si>
  <si>
    <t>120*80*105</t>
  </si>
  <si>
    <t>JARRETIERE OPTIQUE DUPLEX LC/LC OM3 1M SAC ÉCOLOGIQUE</t>
  </si>
  <si>
    <t>KCDOM3LCLC3MEF</t>
  </si>
  <si>
    <t>LC/LC OM3 DUPLEX OPTICAL PATCH CORD 3M ECO FRIENDLY BAG</t>
  </si>
  <si>
    <t>4897108884061</t>
  </si>
  <si>
    <t>JARRETIERE OPTIQUE DUPLEX LC/LC OM3 3M SAC ÉCOLOGIQUE</t>
  </si>
  <si>
    <t>KCDOM3LCLC5MEF</t>
  </si>
  <si>
    <t>LC/LC OM3 DUPLEX OPTICAL PATCH CORD 5M ECO FRIENDLY BAG</t>
  </si>
  <si>
    <t>4897108884078</t>
  </si>
  <si>
    <t>JARRETIERE OPTIQUE DUPLEX LC/LC OM3 5M SAC ÉCOLOGIQUE</t>
  </si>
  <si>
    <t>KCDOM3SCLC1MEF</t>
  </si>
  <si>
    <t>SC/LC OM3 DUPLEX OPTICAL PATCH CORD 1M ECO FRIENDLY BAG</t>
  </si>
  <si>
    <t>4897108884085</t>
  </si>
  <si>
    <t>JARRETIERE OPTIQUE DUPLEX SC/LC OM3 1M SAC ÉCOLOGIQUE</t>
  </si>
  <si>
    <t>KCDOM3SCLC3MEF</t>
  </si>
  <si>
    <t>SC/LC OM3 DUPLEX OPTICAL PATCH CORD 3M ECO FRIENDLY BAG</t>
  </si>
  <si>
    <t>4897108884092</t>
  </si>
  <si>
    <t>JARRETIERE OPTIQUE DUPLEX SC/LC OM3 3M SAC ÉCOLOGIQUE</t>
  </si>
  <si>
    <t>KCDOM4LCLC1MEF</t>
  </si>
  <si>
    <t>LC/LC OM4 DUPLEX OPTICAL PATCH CORD 1M ECO FRIENDLY BAG</t>
  </si>
  <si>
    <t>4897108884108</t>
  </si>
  <si>
    <t>JARRETIERE OPTIQUE DUPLEX LC/LC OM4 1M SAC ÉCOLOGIQUE</t>
  </si>
  <si>
    <t>KCDOM4LCLC2MEF</t>
  </si>
  <si>
    <t>LC/LC OM4 DUPLEX OPTICAL PATCH CORD 2M ECO FRIENDLY BAG</t>
  </si>
  <si>
    <t>4897108884115</t>
  </si>
  <si>
    <t>JARRETIERE OPTIQUE DUPLEX LC/LC OM4 2M SAC ÉCOLOGIQUE</t>
  </si>
  <si>
    <t>KCDOM4LCLC3MEF</t>
  </si>
  <si>
    <t>LC/LC OM4 DUPLEX OPTICAL PATCH CORD 3M ECO FRIENDLY BAG</t>
  </si>
  <si>
    <t>4897108884122</t>
  </si>
  <si>
    <t>JARRETIERE OPTIQUE DUPLEX LC/LC OM4 3M SAC ÉCOLOGIQUE</t>
  </si>
  <si>
    <t>KCDOM4LCLC5MEF</t>
  </si>
  <si>
    <t>LC/LC OM4 DUPLEX OPTICAL PATCH CORD 5M ECO FRIENDLY BAG</t>
  </si>
  <si>
    <t>4897108884139</t>
  </si>
  <si>
    <t>JARRETIERE OPTIQUE DUPLEX LC/LC OM4 5M SAC ÉCOLOGIQUE</t>
  </si>
  <si>
    <t>KCDOS2LCLC1MEF</t>
  </si>
  <si>
    <t>LC/LC OS2 DUPLEX OPTICAL PATCH CORD 1M ECO FRIENDLY BAG</t>
  </si>
  <si>
    <t>4897108884146</t>
  </si>
  <si>
    <t>JARRETIERE OPTIQUE DUPLEX LC/LC OS2 1M SAC ÉCOLOGIQUE</t>
  </si>
  <si>
    <t>KCDOS2LCLC3MEF</t>
  </si>
  <si>
    <t>LC/LC OS2 DUPLEX OPTICAL PATCH CORD 3M ECO FRIENDLY BAG</t>
  </si>
  <si>
    <t>4897108884153</t>
  </si>
  <si>
    <t>JARRETIERE OPTIQUE DUPLEX LC/LC OS2 3MSAC ÉCOLOGIQUE</t>
  </si>
  <si>
    <t>KCDOS2LCLC5MEF</t>
  </si>
  <si>
    <t>LC/LC OS2 DUPLEX OPTICAL PATCH CORD 5M ECO FRIENDLY BAG</t>
  </si>
  <si>
    <t>4897108884160</t>
  </si>
  <si>
    <t>JARRETIERE OPTIQUE DUPLEX LC/LC OS2 5M SAC ÉCOLOGIQUE</t>
  </si>
  <si>
    <t>KCDOS2SCLC1MEF</t>
  </si>
  <si>
    <t>SC/LC OS2 DUPLEX OPTICAL PATCH CORD 1M ECO FRIENDLY BAG</t>
  </si>
  <si>
    <t>4897108884177</t>
  </si>
  <si>
    <t>JARRETIERE OPTIQUE DUPLEX SC/LC OS2 1M SAC ÉCOLOGIQUE</t>
  </si>
  <si>
    <t>KCDOS2A2LCLCB10MEF</t>
  </si>
  <si>
    <t>LC/LC OS2/G657A2 DUPLEX GRADE B OPTICAL PATCH CORD 10M ECO FRIENDLY BAG</t>
  </si>
  <si>
    <t>4897108885419</t>
  </si>
  <si>
    <t>250*300</t>
  </si>
  <si>
    <t>2*2*3</t>
  </si>
  <si>
    <t>JARRETIERE OPTIQUE DUPLEX LC/LC OS2/G657A2 GRADE B 10M SAC ÉCOLOGIQUE</t>
  </si>
  <si>
    <t>Unikkern Optical Fiber Cable OS2/G657A2 9/125 LSZH Grade B 10HWWYY ****M</t>
  </si>
  <si>
    <t>KCDOS2A2LCLCB1MEF</t>
  </si>
  <si>
    <t>LC/LC OS2/G657A2 DUPLEX GRADE B OPTICAL PATCH CORD 1M ECO FRIENDLY BAG</t>
  </si>
  <si>
    <t>4897108885426</t>
  </si>
  <si>
    <t>JARRETIERE OPTIQUE DUPLEX LC/LC OS2/G657A2 GRADE B 1M SAC ÉCOLOGIQUE</t>
  </si>
  <si>
    <t>KCDOS2A2LCLCB2MEF</t>
  </si>
  <si>
    <t>LC/LC OS2/G657A2 DUPLEX GRADE B OPTICAL PATCH CORD 2M ECO FRIENDLY BAG</t>
  </si>
  <si>
    <t>4897108885433</t>
  </si>
  <si>
    <t>JARRETIERE OPTIQUE DUPLEX LC/LC OS2/G657A2 GRADE B 2M SAC ÉCOLOGIQUE</t>
  </si>
  <si>
    <t>KCDOS2A2LCLCB3MEF</t>
  </si>
  <si>
    <t>LC/LC OS2/G657A2 DUPLEX GRADE B OPTICAL PATCH CORD 3M ECO FRIENDLY BAG</t>
  </si>
  <si>
    <t>4897108885440</t>
  </si>
  <si>
    <t>JARRETIERE OPTIQUE DUPLEX LC/LC OS2/G657A2 GRADE B 3M SAC ÉCOLOGIQUE</t>
  </si>
  <si>
    <t>KCDOS2A2LCLCB5MEF</t>
  </si>
  <si>
    <t>LC/LC OS2/G657A2 DUPLEX GRADE B OPTICAL PATCH CORD 5M ECO FRIENDLY BAG</t>
  </si>
  <si>
    <t>4897108885457</t>
  </si>
  <si>
    <t>JARRETIERE OPTIQUE DUPLEX LC/LC OS2/G657A2 GRADE B 5M SAC ÉCOLOGIQUE</t>
  </si>
  <si>
    <t>KSFP1U06POS2LCEDF</t>
  </si>
  <si>
    <t>19" 1U 245MM FIBER OPTIC PANEL EQUIPPED WITH 6 OS2/G657A2 LC PIGTAILS GRADE B/3 LCD ADAPTERS /SPOOLING CASSETTE</t>
  </si>
  <si>
    <t>4897108885464</t>
  </si>
  <si>
    <t>510*360*55</t>
  </si>
  <si>
    <t>51*36*5.5</t>
  </si>
  <si>
    <t>530*380*305</t>
  </si>
  <si>
    <t>120*80*106.5</t>
  </si>
  <si>
    <t>TIROIR FIBRE OPTIQUE 19" 1U 245MM EQUIPPE DE 6 PIGTAILS OS2/G657A2 LC GRADE B/3 TRAVERSEES LCD/CASSETTE DE LOVAGE</t>
  </si>
  <si>
    <t>KSFP1U12POS2LCEDF</t>
  </si>
  <si>
    <t>19" 1U 245MM FIBER OPTIC PANEL EQUIPPED WITH 12 OS2/G657A2 LC PIGTAILS GRADE B/6 LCD ADAPTERS/SPOOLING CASSETTE</t>
  </si>
  <si>
    <t>4897108885471</t>
  </si>
  <si>
    <t>TIROIR FIBRE OPTIQUE 19" 1U 245MM EQUIPPE DE 12 PIGTAILS OS2/G657A2 LC GRADE B/6 TRAVERSEES LCD/CASSETTE DE LOVAGE</t>
  </si>
  <si>
    <t>KSFP1U24POS2LCEDF</t>
  </si>
  <si>
    <t>19" 1U 245MM FIBER OPTIC PANEL EQUIPPED WITH 24 OS2/G657A2 LC PIGTAILS GRADE B/12 LCD ADAPTERS/SPOOLING CASSETTE</t>
  </si>
  <si>
    <t>4897108885488</t>
  </si>
  <si>
    <t>TIROIR FIBRE OPTIQUE 19" 1U 245MM EQUIPPE DE 24 PIGTAILS OS2/G657A2 LC GRADE B/12 TRAVERSEES LCD/CASSETTE DE LOVAGE</t>
  </si>
  <si>
    <t>KSFP1U48POS2LCEDF</t>
  </si>
  <si>
    <t>19" 1U 245MM FIBER OPTIC PANEL EQUIPPED WITH 48 OS2/G657A2 LC PIGTAILS GRADE B/24 LCD ADAPTERS/ SPOOLING CASSETTE</t>
  </si>
  <si>
    <t>4897108885495</t>
  </si>
  <si>
    <t>TIROIR FIBRE OPTIQUE 19" 1U 245MM EQUIPPE DE 48 PIGTAILS OS2/G657A2 LC GRADE B/24 TRAVERSEES LCD/CASSETTE DE LOVAGE</t>
  </si>
  <si>
    <t>KSFP1U12POM4LCEDF</t>
  </si>
  <si>
    <t>19" 1U 245MM FIBER OPTIC PANEL EQUIPPED WITH 12 OM4 LC PIGTAILS GRADE B/6 LCD ADAPTERS/SPOOLING CASSETTE</t>
  </si>
  <si>
    <t>4897108885785</t>
  </si>
  <si>
    <t>TIROIR FIBRE OPTIQUE 19" 1U 245MM EQUIPPE DE 12 PIGTAILS OM4 LC GRADE B/6 TRAVERSEES LCD/CASSETTE DE LOVAGE</t>
  </si>
  <si>
    <t>KSFP1U24POM4LCEDF</t>
  </si>
  <si>
    <t>19" 1U 245MM FIBER OPTIC PANEL EQUIPPED WITH 24 OM4 LC PIGTAILS GRADE B/12 LCD ADAPTERS/SPOOLING CASSETTE</t>
  </si>
  <si>
    <t>4897108885792</t>
  </si>
  <si>
    <t>TIROIR FIBRE OPTIQUE 19" 1U 245MM EQUIPPE DE 24 PIGTAILS OM4 LC GRADE B/12 TRAVERSEES LCD/CASSETTE DE LOVAGE</t>
  </si>
  <si>
    <t>KSFP1U48POM4LCEDF</t>
  </si>
  <si>
    <t>19" 1U 245MM FIBER OPTIC PANEL EQUIPPED WITH 48 OM4 LC PIGTAILS GRADE B/24 LCD ADAPTERS/ SPOOLING CASSETTE</t>
  </si>
  <si>
    <t>4897108885808</t>
  </si>
  <si>
    <t>TIROIR FIBRE OPTIQUE 19" 1U 245MM EQUIPPE DE 48 PIGTAILS OM4 LC GRADE B/24 TRAVERSEES LCD/CASSETTE DE LOVAGE</t>
  </si>
  <si>
    <t>PANEL, SHELVES,DRAWERS</t>
  </si>
  <si>
    <t>KSFP1U2424LCDSEF2</t>
  </si>
  <si>
    <t>19" 1U FIBER OPTIC PANEL 24 LC DUPLEX STAGGERED EQUIPPED WITH 24 LC DUPLEX SINGLEMODE</t>
  </si>
  <si>
    <t>4897108885815</t>
  </si>
  <si>
    <r>
      <rPr>
        <rFont val="Calibri"/>
        <color rgb="FF44546A"/>
        <sz val="10.0"/>
      </rPr>
      <t xml:space="preserve">19" 1U FIBER OPTIC PANEL 24 LC DUPLEX </t>
    </r>
    <r>
      <rPr>
        <rFont val="Calibri"/>
        <color rgb="FF44546A"/>
        <sz val="11.0"/>
      </rPr>
      <t>STAGGERED EQUIPPED WITH 24 LC DUPLEX SINGLEMODE</t>
    </r>
  </si>
  <si>
    <t>TIROIR FIBRE OPTIQUE 19" 1U 24 LC DUPLEX EN QUINCONCE EQUIPPE DE 24 TRAVERSEES MONOMODE</t>
  </si>
  <si>
    <t>KSFP1U2412LCDSEF2</t>
  </si>
  <si>
    <t>19" 1U FIBER OPTIC PANEL 24 LC DUPLEX STAGGERED EQUIPPED WITH 12 LC DUPLEX SINGLEMODE</t>
  </si>
  <si>
    <t>4897108885822</t>
  </si>
  <si>
    <r>
      <rPr>
        <rFont val="Calibri"/>
        <color rgb="FF44546A"/>
        <sz val="10.0"/>
      </rPr>
      <t xml:space="preserve">19" 1U FIBER OPTIC PANEL 24 LC DUPLEX </t>
    </r>
    <r>
      <rPr>
        <rFont val="Calibri"/>
        <color rgb="FF44546A"/>
        <sz val="11.0"/>
      </rPr>
      <t>STAGGERED EQUIPPED WITH 12 LC DUPLEX SINGLEMODE</t>
    </r>
  </si>
  <si>
    <t>TIROIR FIBRE OPTIQUE 19" 1U 24 LC DUPLEX EN QUINCONCE EQUIPPE DE 12 TRAVERSEES MONOMODE</t>
  </si>
  <si>
    <t>KSFP1U2424LCDMEF2</t>
  </si>
  <si>
    <t xml:space="preserve">19" 1U FIBER OPTIC PANEL 24 LC DUPLEX STAGGERED EQUIPPED WITH 24 LC DUPLEX MULTIMODE </t>
  </si>
  <si>
    <t>4897108885839</t>
  </si>
  <si>
    <r>
      <rPr>
        <rFont val="Calibri"/>
        <color rgb="FF44546A"/>
        <sz val="10.0"/>
      </rPr>
      <t xml:space="preserve">19" 1U FIBER OPTIC PANEL 24 LC DUPLEX </t>
    </r>
    <r>
      <rPr>
        <rFont val="Calibri"/>
        <color rgb="FF44546A"/>
        <sz val="11.0"/>
      </rPr>
      <t xml:space="preserve">STAGGERED EQUIPPED WITH 24 LC DUPLEX MULTIMODE </t>
    </r>
  </si>
  <si>
    <t>TIROIR FIBRE OPTIQUE 19" 1U 24 LC DUPLEX EN QUINCONCE EQUIPPE DE 24 TRAVERSEES MULTIMODE</t>
  </si>
  <si>
    <t>KSFP1U2412LCDMEF2</t>
  </si>
  <si>
    <t xml:space="preserve">19" 1U FIBER OPTIC PANEL 24 LC DUPLEX STAGGERED EQUIPPED WITH 12 LC DUPLEX MULTIMODE </t>
  </si>
  <si>
    <t>4897108885846</t>
  </si>
  <si>
    <r>
      <rPr>
        <rFont val="Calibri"/>
        <color rgb="FF44546A"/>
        <sz val="10.0"/>
      </rPr>
      <t xml:space="preserve">19" 1U FIBER OPTIC PANEL 24 LC DUPLEX </t>
    </r>
    <r>
      <rPr>
        <rFont val="Calibri"/>
        <color rgb="FF44546A"/>
        <sz val="11.0"/>
      </rPr>
      <t xml:space="preserve">STAGGERED EQUIPPED WITH 12 LC DUPLEX MULTIMODE </t>
    </r>
  </si>
  <si>
    <t>TIROIR FIBRE OPTIQUE 19" 1U 24 LC DUPLEX EN QUINCONCE EQUIPPE DE 12 TRAVERSEES MULTIMODE</t>
  </si>
  <si>
    <t>KSFP1U2424LCDSEF</t>
  </si>
  <si>
    <t>19" 1U FIBRE OPTIC PATCH PANEL 24 LC DUPLEX EQUIPPED WITH 24 LC DUPLEX SINGLEMODE</t>
  </si>
  <si>
    <t>4897108886102</t>
  </si>
  <si>
    <t>TIROIR FIBRE OPTIQUE 19" 1U 24 LC DUPLEX EQUIPPE DE 24 TRAVERSEES MONOMODE</t>
  </si>
  <si>
    <t>KSFP1U2412LCDSEF</t>
  </si>
  <si>
    <t>19" 1U FIBRE OPTIC PATCH PANEL 24 LC DUPLEX EQUIPPED WITH 12 LC DUPLEX SINGLEMODE</t>
  </si>
  <si>
    <t>4897108886119</t>
  </si>
  <si>
    <t>TIROIR FIBRE OPTIQUE 19" 1U 24 LC DUPLEX EQUIPPE DE 12 TRAVERSEES MONOMODE</t>
  </si>
  <si>
    <t>KSFP1U2424LCDMEF</t>
  </si>
  <si>
    <t>19" 1U FIBRE OPTIC PATCH PANEL 24 LC DUPLEX EQUIPPED WITH 24 LC DUPLEX MULTIMODE</t>
  </si>
  <si>
    <t>4897108886126</t>
  </si>
  <si>
    <t>TIROIR FIBRE OPTIQUE 19" 1U 24 LC DUPLEX EQUIPPE DE 24 TRAVERSEES MULTIMODE</t>
  </si>
  <si>
    <t>KSFP1U2412LCDMEF</t>
  </si>
  <si>
    <t>19" 1U FIBRE OPTIC PATCH PANEL 24 LC DUPLEX EQUIPPED WITH 12 LC DUPLEX MULTIMODE</t>
  </si>
  <si>
    <t>4897108886133</t>
  </si>
  <si>
    <t>TIROIR FIBRE OPTIQUE 19" 1U 24 LC DUPLEX EQUIPPE DE 12 TRAVERSEES MULTIMODE</t>
  </si>
  <si>
    <t>PIGTAILS</t>
  </si>
  <si>
    <t>KPIGOS2LC2MEF</t>
  </si>
  <si>
    <t>LC OS2 PIGTAIL 2 METERS ECO FRIENDLY BAG</t>
  </si>
  <si>
    <t>4897108884184</t>
  </si>
  <si>
    <t>120x80x103</t>
  </si>
  <si>
    <t>LC OS2 PIGTAIL 2 MÈTRES SAC ÉCOLOGIQUE</t>
  </si>
  <si>
    <t>KPIGOS2SC2MEF</t>
  </si>
  <si>
    <t>SC OS2 PIGTAIL 2 METERS ECO FRIENDLY BAG</t>
  </si>
  <si>
    <t>4897108884191</t>
  </si>
  <si>
    <t>SC OS2 PIGTAIL 2 MÈTRES SAC ÉCOLOGIQUE</t>
  </si>
  <si>
    <t>OPTICAL ACCCESSORIES</t>
  </si>
  <si>
    <t>KSPLICE45MM</t>
  </si>
  <si>
    <t>SPLICE PROTECTION HEAT SHRINKABLE 45MM</t>
  </si>
  <si>
    <t>4897108889035</t>
  </si>
  <si>
    <t>PROTECTION EPISSURE THERMORETRACTABLE 45MM</t>
  </si>
  <si>
    <t>KSPLICE60MM</t>
  </si>
  <si>
    <t>SPLICE PROTECTION HEAT SHRINKABLE 60MM</t>
  </si>
  <si>
    <t>4897108884207</t>
  </si>
  <si>
    <t>PROTECTION EPISSURE THERMORETRACTABLE 60MM</t>
  </si>
  <si>
    <t>KSET24FO</t>
  </si>
  <si>
    <t>SPLICE CASSETTE WITH SPLICE HOLDER STACKABLE 24FO</t>
  </si>
  <si>
    <t>4897108884214</t>
  </si>
  <si>
    <t>150*300</t>
  </si>
  <si>
    <t>CASSETTE DE LOVAGE STACKABLE 24FO</t>
  </si>
  <si>
    <t>POWER SUPPLY FRANCE</t>
  </si>
  <si>
    <t>PDU ALUMINIUM BLOCK 19 INCH</t>
  </si>
  <si>
    <t>KPDU8PC90</t>
  </si>
  <si>
    <t>PDU FRENCH 19" 8 SOCKETS ALU WITH 90° FIXTURES PER BOX</t>
  </si>
  <si>
    <t>4897108882555</t>
  </si>
  <si>
    <t>525*85*55</t>
  </si>
  <si>
    <t>54*36*30</t>
  </si>
  <si>
    <t>2x2x3</t>
  </si>
  <si>
    <t>FRENCH PDU 19" 8 SOCKETS ALU – ADJUSTABLE FIXTURE</t>
  </si>
  <si>
    <t xml:space="preserve">BLOC D’ALIMENTATION ALU 19" 8 PRISES - ORIENTABLE </t>
  </si>
  <si>
    <t>KPDU8PCSW90</t>
  </si>
  <si>
    <t>PDU FRENCH 19" 8 SOCKETS ALU WITH SWITCH WITH 90° FIXTURES PER BOX</t>
  </si>
  <si>
    <t>4897108882562</t>
  </si>
  <si>
    <t>FRENCH PDU 19" 8 SOCKETS ALU WITH SWITCH - ADJUSTABLE FIXTURE</t>
  </si>
  <si>
    <t>BLOC D’ALIMENTATION ALU 19" 8 PRISES AVEC INTERRUPTEUR - ORIENTABLE</t>
  </si>
  <si>
    <t>KPDU6PC90</t>
  </si>
  <si>
    <t>PDU FRENCH 19" 6 SOCKETS ALU WITH 90° FIXTURES PER BOX</t>
  </si>
  <si>
    <t>4897108882579</t>
  </si>
  <si>
    <t>54*42*32</t>
  </si>
  <si>
    <t>120*80*111</t>
  </si>
  <si>
    <t>FRENCH PDU 19" 6 SOCKETS ALU – ADJUSTABLE FIXTURE</t>
  </si>
  <si>
    <t xml:space="preserve">BLOC D’ALIMENTATION ALU 19" 6 PRISES - ORIENTABLE </t>
  </si>
  <si>
    <t>KPDU6PCSW90</t>
  </si>
  <si>
    <t>PDU FRENCH 19" 6 SOCKETS ALU WITH SWITCH WITH 90° FIXTURES PER BOX</t>
  </si>
  <si>
    <t>4897108882586</t>
  </si>
  <si>
    <t>FRENCH PDU 19" 6 SOCKETS ALU WITH SWITCH - ADJUSTABLE FIXTURE</t>
  </si>
  <si>
    <t>BLOC D’ALIMENTATION ALU 19" 6 PRISES AVEC INTERRUPTEUR - ORIENTABLE</t>
  </si>
  <si>
    <t>KPDU6PCCB</t>
  </si>
  <si>
    <t>PDU FRENCH 19" 6 SOCKETS ALU WITH CIRCUIT BREAKER 16A 30MA WITH PROTECTION COVER PER BOX</t>
  </si>
  <si>
    <t>525*75*80</t>
  </si>
  <si>
    <t>XELPDUFAL6CBP</t>
  </si>
  <si>
    <t>KSFP1U245NPLCEF</t>
  </si>
  <si>
    <t>19" 1U FIBRE OPTIC PATCH PANEL 245 UNLOADED WITHOUT FRONT PLATE WITH HOLE CUTTING WITH LOCKING SYSTEM AND ACCESSORIES PER FRIENDLY CARTON</t>
  </si>
  <si>
    <t>4897108884221</t>
  </si>
  <si>
    <t xml:space="preserve">TIROIR FIBRE OPTIQUE 19" 1U 245MM VIDE SANS PLAQUE AVANT AVEC DÉCOUPE DE TROU, SYSTEM DE VERROUILLAGE  ET ACCESSOIRES PAR CARTON </t>
  </si>
  <si>
    <t>KSFP1UFP12SCSLEF</t>
  </si>
  <si>
    <t>19" 1U PANEL FRONT PLATE WITH LOCKING SYSTEM 12 SC SIMPLEX/LC DUPLEX</t>
  </si>
  <si>
    <t>4897108884238</t>
  </si>
  <si>
    <t>PLAQUE AVANT TIROIR 19" 1U AVEC VERROUILLAGE 12 SC SIMPLEX/LC DUPLEX</t>
  </si>
  <si>
    <t>KSFP1UFP24SCSLEF</t>
  </si>
  <si>
    <t>19" 1U PANEL FRONT PLATE WITH LOCKING SYSTEM 24 SC SIMPLEX/LC DUPLEX</t>
  </si>
  <si>
    <t>4897108884245</t>
  </si>
  <si>
    <t>PLAQUE AVANT TIROIR 19" 1U AVEC VERROUILLAGE 24 SC SIMPLEX/LC DUPLEX</t>
  </si>
  <si>
    <t>KSPFK1U4RCEF</t>
  </si>
  <si>
    <t>19'' CABLE MANAGEMENT WITH 4 RINGS WITH HOLE CUTTING AND ACCESSORIES PER ECO FRIENDLY CARTON</t>
  </si>
  <si>
    <t>4897108881848</t>
  </si>
  <si>
    <t>485*80*50</t>
  </si>
  <si>
    <t>430*265*505</t>
  </si>
  <si>
    <t>2x4x2</t>
  </si>
  <si>
    <t>120x80x116</t>
  </si>
  <si>
    <t xml:space="preserve">19'' CABLE MANAGEMENT 1U WITH 4 RINGS </t>
  </si>
  <si>
    <t>PANNEAU 19'' 1U GESTION DE CABLE AVEC 4 ANNEAUX</t>
  </si>
  <si>
    <t>KSPFK1U4RCFEF</t>
  </si>
  <si>
    <t>19'' CABLE MANAGEMENT FULL METAL WITH 4 RINGS WITH HOLE CUTTING AND ACCESSORIES PER ECO FRIENDLY CARTON</t>
  </si>
  <si>
    <t>4897108882593</t>
  </si>
  <si>
    <t>19'' CABLE MANAGEMENT 1U WITH 4 RINGS METAL</t>
  </si>
  <si>
    <t>PANNEAU 19'' 1U GESTION DE CABLE AVEC 4 ANNEAUX METAL</t>
  </si>
  <si>
    <t>KSPFK1UHDCEF</t>
  </si>
  <si>
    <t>19'' CABLE MANAGEMENT HIGH DENSITY WITH HOLE CUTTING AND ACCESSORIES PER ECO FRIENDLY CARTON</t>
  </si>
  <si>
    <t>4897108888403</t>
  </si>
  <si>
    <t>PANNEAU DE GESTION DE CÂBLES 19'' HAUTE DENSITÉ AVEC TROU DECOUPE ET ACCESSOIRES PAR CARTON ÉCOLOGIQUE</t>
  </si>
  <si>
    <t>KSPFK2UHDCEF</t>
  </si>
  <si>
    <t>19'' CABLE MANAGEMENT HIGH DENSITY 2U WITH HOLE CUTTING AND ACCESSORIES PER ECO FRIENDLY CARTON</t>
  </si>
  <si>
    <t>4897108888410</t>
  </si>
  <si>
    <t>PANNEAU DE GESTION DE CÂBLES 19'' 2U HAUTE DENSITÉ AVEC TROU DECOUPE ET ACCESSOIRES PAR CARTON ÉCOLOGIQUE</t>
  </si>
  <si>
    <t>KSFP1UFP4848LCDSLEF</t>
  </si>
  <si>
    <t>19" 1U PANEL FRONT PLATE 48 LC DUPLEX EQUIPPED WITH 48 LC DUPLEX SINGLEMODE</t>
  </si>
  <si>
    <t>4897108888427</t>
  </si>
  <si>
    <t>TIROIR FIBRE OPTIQUE 19" 1U 48 LC DUPLEX EQUIPPE DE 48 TRAVERSEES MONOMODE</t>
  </si>
  <si>
    <t>KCDOM3LCLC10MEF</t>
  </si>
  <si>
    <t>LC/LC OM3 DUPLEX OPTICAL PATCH CORD 10M ECO FRIENDLY BAG</t>
  </si>
  <si>
    <t>4897108888441</t>
  </si>
  <si>
    <t>KCDOM3LCLC15MEF</t>
  </si>
  <si>
    <t>LC/LC OM3 DUPLEX OPTICAL PATCH CORD 15M ECO FRIENDLY BAG</t>
  </si>
  <si>
    <t>4897108888458</t>
  </si>
  <si>
    <t>KCDOM3LCLC25MEF</t>
  </si>
  <si>
    <t>LC/LC OM3 DUPLEX OPTICAL PATCH CORD 25M ECO FRIENDLY BAG</t>
  </si>
  <si>
    <t>4897108888465</t>
  </si>
  <si>
    <t>KCDOM3SCLC10MEF</t>
  </si>
  <si>
    <t>SC/LC OM3 DUPLEX OPTICAL PATCH CORD 10M ECO FRIENDLY BAG</t>
  </si>
  <si>
    <t>4897108888472</t>
  </si>
  <si>
    <t>KCDOM3SCLC15MEF</t>
  </si>
  <si>
    <t>SC/LC OM3 DUPLEX OPTICAL PATCH CORD 15M ECO FRIENDLY BAG</t>
  </si>
  <si>
    <t>4897108888489</t>
  </si>
  <si>
    <t>KCDOM3SCLC25MEF</t>
  </si>
  <si>
    <t>SC/LC OM3 DUPLEX OPTICAL PATCH CORD 25M ECO FRIENDLY BAG</t>
  </si>
  <si>
    <t>4897108888496</t>
  </si>
  <si>
    <t>KCDOM3SCLC5MEF</t>
  </si>
  <si>
    <t>SC/LC OM3 DUPLEX OPTICAL PATCH CORD 5M ECO FRIENDLY BAG</t>
  </si>
  <si>
    <t>4897108888502</t>
  </si>
  <si>
    <t>KCDOM4LCLC10MEF</t>
  </si>
  <si>
    <t>LC/LC OM4 DUPLEX OPTICAL PATCH CORD 10M ECO FRIENDLY BAG</t>
  </si>
  <si>
    <t>4897108888519</t>
  </si>
  <si>
    <t>KCDOM4LCLC15MEF</t>
  </si>
  <si>
    <t>LC/LC OM4 DUPLEX OPTICAL PATCH CORD 15M ECO FRIENDLY BAG</t>
  </si>
  <si>
    <t>4897108888526</t>
  </si>
  <si>
    <t>KCDOM4LCLC25MEF</t>
  </si>
  <si>
    <t>LC/LC OM4 DUPLEX OPTICAL PATCH CORD 25M ECO FRIENDLY BAG</t>
  </si>
  <si>
    <t>4897108888533</t>
  </si>
  <si>
    <t>KCDOM4SCLC10MEF</t>
  </si>
  <si>
    <t>SC/LC OM4 DUPLEX OPTICAL PATCH CORD 10M ECO FRIENDLY BAG</t>
  </si>
  <si>
    <t>4897108888540</t>
  </si>
  <si>
    <t>KCDOM4SCLC15MEF</t>
  </si>
  <si>
    <t>SC/LC OM4 DUPLEX OPTICAL PATCH CORD 15M ECO FRIENDLY BAG</t>
  </si>
  <si>
    <t>4897108888557</t>
  </si>
  <si>
    <t>KCDOM4SCLC1MEF</t>
  </si>
  <si>
    <t>SC/LC OM4 DUPLEX OPTICAL PATCH CORD 1M ECO FRIENDLY BAG</t>
  </si>
  <si>
    <t>4897108888564</t>
  </si>
  <si>
    <t>KCDOM4SCLC25MEF</t>
  </si>
  <si>
    <t>SC/LC OM4 DUPLEX OPTICAL PATCH CORD 25M ECO FRIENDLY BAG</t>
  </si>
  <si>
    <t>4897108888571</t>
  </si>
  <si>
    <t>KCDOM4SCLC3MEF</t>
  </si>
  <si>
    <t>SC/LC OM4 DUPLEX OPTICAL PATCH CORD 3M ECO FRIENDLY BAG</t>
  </si>
  <si>
    <t>4897108888588</t>
  </si>
  <si>
    <t>KCDOM4SCLC5MEF</t>
  </si>
  <si>
    <t>SC/LC OM4 DUPLEX OPTICAL PATCH CORD 5M ECO FRIENDLY BAG</t>
  </si>
  <si>
    <t>4897108888595</t>
  </si>
  <si>
    <t>KCDOS2LCLC10MEF</t>
  </si>
  <si>
    <t>LC/LC OS2 DUPLEX OPTICAL PATCH CORD 10M ECO FRIENDLY BAG</t>
  </si>
  <si>
    <t>4897108888601</t>
  </si>
  <si>
    <t>KCDOS2LCLC15MEF</t>
  </si>
  <si>
    <t>LC/LC OS2 DUPLEX OPTICAL PATCH CORD 15M ECO FRIENDLY BAG</t>
  </si>
  <si>
    <t>4897108888618</t>
  </si>
  <si>
    <t>KCDOS2LCLC25MEF</t>
  </si>
  <si>
    <t>LC/LC OS2 DUPLEX OPTICAL PATCH CORD 25M ECO FRIENDLY BAG</t>
  </si>
  <si>
    <t>4897108888625</t>
  </si>
  <si>
    <t>KCDOS2SCLC10MEF</t>
  </si>
  <si>
    <t>SC/LC OS2 DUPLEX OPTICAL PATCH CORD 10M ECO FRIENDLY BAG</t>
  </si>
  <si>
    <t>4897108888632</t>
  </si>
  <si>
    <t>KCDOS2SCLC15MEF</t>
  </si>
  <si>
    <t>SC/LC OS2 DUPLEX OPTICAL PATCH CORD 15M ECO FRIENDLY BAG</t>
  </si>
  <si>
    <t>4897108888649</t>
  </si>
  <si>
    <t>KCDOS2SCLC25MEF</t>
  </si>
  <si>
    <t>SC/LC OS2 DUPLEX OPTICAL PATCH CORD 25M ECO FRIENDLY BAG</t>
  </si>
  <si>
    <t>4897108888656</t>
  </si>
  <si>
    <t>KCDOS2SCLC3MEF</t>
  </si>
  <si>
    <t>SC/LC OS2 DUPLEX OPTICAL PATCH CORD 3M ECO FRIENDLY BAG</t>
  </si>
  <si>
    <t>4897108888663</t>
  </si>
  <si>
    <t>KCDOS2SCLC5MEF</t>
  </si>
  <si>
    <t>SC/LC OS2 DUPLEX OPTICAL PATCH CORD 5M ECO FRIENDLY BAG</t>
  </si>
  <si>
    <t>4897108888670</t>
  </si>
  <si>
    <t>KPIGOM3LC2MEF</t>
  </si>
  <si>
    <t>LC OM3 PIGTAIL 2 METERS ECO FRIENDLY BAG</t>
  </si>
  <si>
    <t>4897108888687</t>
  </si>
  <si>
    <t>KPIGOM3SC2MEF</t>
  </si>
  <si>
    <t>SC OM3 PIGTAIL 2 METERS ECO FRIENDLY BAG</t>
  </si>
  <si>
    <t>4897108888694</t>
  </si>
  <si>
    <t>KPIGOM4LC2MEF</t>
  </si>
  <si>
    <t>LC OM4 PIGTAIL 2 METERS ECO FRIENDLY BAG</t>
  </si>
  <si>
    <t>4897108888700</t>
  </si>
  <si>
    <t>KPIGOM4SC2MEF</t>
  </si>
  <si>
    <t>SC OM4 PIGTAIL 2 METERS ECO FRIENDLY BAG</t>
  </si>
  <si>
    <t>4897108888717</t>
  </si>
  <si>
    <t>KSALCDOM340</t>
  </si>
  <si>
    <t>LC DUPLEX MULTIMODE OM3 AQUA ADAPTOR 40PCS PER ECO FRIENDLY BAG</t>
  </si>
  <si>
    <t>4897108888724</t>
  </si>
  <si>
    <t>KPIG12OM3LCB2MEF</t>
  </si>
  <si>
    <t>12 LC OM3 GRADE B PIGTAIL 2 METERS ECO FRIENDLY BAG</t>
  </si>
  <si>
    <t>4897108888946</t>
  </si>
  <si>
    <t>12 LC OM3 GRADE B PIGTAIL 2 MÈTRES SAC ÉCOLOGIQUE</t>
  </si>
  <si>
    <r>
      <rPr>
        <rFont val="Calibri"/>
        <color rgb="FF1E4E79"/>
        <sz val="10.0"/>
      </rPr>
      <t>KPIG12OS</t>
    </r>
    <r>
      <rPr>
        <rFont val="Calibri"/>
        <color rgb="FFFF0000"/>
        <sz val="10.0"/>
      </rPr>
      <t>2</t>
    </r>
    <r>
      <rPr>
        <rFont val="Calibri"/>
        <color rgb="FF1E4E79"/>
        <sz val="10.0"/>
      </rPr>
      <t>A2LCB2MEF</t>
    </r>
  </si>
  <si>
    <t>12 LC OS2/G657A2 GRADE B PIGTAIL 2 METERS ECO FRIENDLY BAG</t>
  </si>
  <si>
    <t>4897108888953</t>
  </si>
  <si>
    <t>12 LC OS2/G657A2 GRADE B PIGTAIL 2 MÈTRES SAC ÉCOLOGIQUE</t>
  </si>
  <si>
    <t>KPIG12OM4LCB2MEF</t>
  </si>
  <si>
    <t>12 LC OM4 GRADE B PIGTAIL 2 METERS ECO FRIENDLY BAG</t>
  </si>
  <si>
    <t>4897108888960</t>
  </si>
  <si>
    <t>12 LC OM4 GRADE B PIGTAIL 2 MÈTRES SAC ÉCOLOGIQUE</t>
  </si>
  <si>
    <t>KPIG12OM4LC2MEF</t>
  </si>
  <si>
    <t>12 LC OM4 PIGTAIL 2 METERS ECO FRIENDLY BAG</t>
  </si>
  <si>
    <t>4897108888977</t>
  </si>
  <si>
    <t>12 LC OM4 PIGTAIL 2 MÈTRES SAC ÉCOLOGIQUE</t>
  </si>
  <si>
    <t>KPIG12OM4SC2MEF</t>
  </si>
  <si>
    <t>12 SC OM4 PIGTAIL 2 METERS ECO FRIENDLY BAG</t>
  </si>
  <si>
    <t>4897108888984</t>
  </si>
  <si>
    <t>12 SC OM4 PIGTAIL 2 MÈTRES SAC ÉCOLOGIQUE</t>
  </si>
  <si>
    <t>KPIG12OM3LC2MEF</t>
  </si>
  <si>
    <t>12 LC OM3 PIGTAIL 2 METERS ECO FRIENDLY BAG</t>
  </si>
  <si>
    <t>4897108888991</t>
  </si>
  <si>
    <t>12 LC OM3 PIGTAIL 2 MÈTRES SAC ÉCOLOGIQUE</t>
  </si>
  <si>
    <t>KPIG12OM3SC2MEF</t>
  </si>
  <si>
    <t>12 SC OM3 PIGTAIL 2 METERS ECO FRIENDLY BAG</t>
  </si>
  <si>
    <t>4897108889004</t>
  </si>
  <si>
    <t>12 SC OM3 PIGTAIL 2 MÈTRES SAC ÉCOLOGIQUE</t>
  </si>
  <si>
    <t>KPIG12OS2A2SC2MEF</t>
  </si>
  <si>
    <t>12 SC OS2/G657A2 PIGTAIL 2 METERS ECO FRIENDLY BAG</t>
  </si>
  <si>
    <t>4897108889011</t>
  </si>
  <si>
    <t>12 SC OS2 PIGTAIL 2 METERS ECO FRIENDLY BAG</t>
  </si>
  <si>
    <t>12 SC OS2 PIGTAIL 2 MÈTRES SAC ÉCOLOGIQUE</t>
  </si>
  <si>
    <t>KPIG12OS2A2LC2MEF</t>
  </si>
  <si>
    <t>12 LC OS2/G657A2 PIGTAIL 2 METERS ECO FRIENDLY BAG</t>
  </si>
  <si>
    <t>4897108889028</t>
  </si>
  <si>
    <t>12 LC OS2 PIGTAIL 2 METERS ECO FRIENDLY BAG</t>
  </si>
  <si>
    <t>12 LC OS2 PIGTAIL 2 MÈTRES SAC ÉCOLOGIQUE</t>
  </si>
  <si>
    <t>KSALCDOM440</t>
  </si>
  <si>
    <t>LC DUPLEX MULTIMODE OM4 ERIKA VIOLET ADAPTOR 40PCS PER ECO FRIENDLY BAG</t>
  </si>
  <si>
    <t>4897108888731</t>
  </si>
  <si>
    <t>KSASCDOM320</t>
  </si>
  <si>
    <t>SC DUPLEX MULTIMODE OM3 AQUA ADAPTOR 20PCS PER ECO FRIENDLY BAG</t>
  </si>
  <si>
    <t>4897108888748</t>
  </si>
  <si>
    <t>KSASCDOM420</t>
  </si>
  <si>
    <t>SC DUPLEX MULTIMODE OM4 ERIKA VIOLET ADAPTOR 20PCS PER ECO FRIENDLY BAG</t>
  </si>
  <si>
    <t>4897108888755</t>
  </si>
  <si>
    <t>KSBRUSHCEF</t>
  </si>
  <si>
    <t>19'' CABLE MANAGEMENT WITH BRUSH WITH HOLE CUTTING AND ACCESSORIES PER ECO FRIENDLY CARTON</t>
  </si>
  <si>
    <t>4897108881855</t>
  </si>
  <si>
    <t>490*50*20</t>
  </si>
  <si>
    <t>515*270*235</t>
  </si>
  <si>
    <t>2x4x4</t>
  </si>
  <si>
    <t>120x80x110</t>
  </si>
  <si>
    <t>19'' CABLE MANAGEMENT 1U WITH BRUSH</t>
  </si>
  <si>
    <t>PANNEAU 19"1U GESTION DE CABLE AVEC BROSSE</t>
  </si>
  <si>
    <t>KSFS1U250</t>
  </si>
  <si>
    <t>19" FIXED SHELVE 1U DEPTH 250 MM PER BOX</t>
  </si>
  <si>
    <t>4897108882814</t>
  </si>
  <si>
    <t>505*265*50</t>
  </si>
  <si>
    <t>520*420*290</t>
  </si>
  <si>
    <t>120*90*135</t>
  </si>
  <si>
    <t>ÉTAGÈRE FIXE 19" 1U PROFONDEUR 250 MM PAR BOITE</t>
  </si>
  <si>
    <t>KSFS2U250</t>
  </si>
  <si>
    <t>19" FIXED SHELVE 2U DEPTH 250 MM PER BOX</t>
  </si>
  <si>
    <t>4897108882821</t>
  </si>
  <si>
    <t>ÉTAGÈRE FIXE 19" 2U PROFONDEUR 250 MM PAR BOÎTE</t>
  </si>
  <si>
    <t>KJPP1UUEF</t>
  </si>
  <si>
    <t>24 PORTS UNLOADED PATCH PANEL 1U PER ECO FRIENDLY CARTON</t>
  </si>
  <si>
    <t>4897108882067</t>
  </si>
  <si>
    <t>500*95*55</t>
  </si>
  <si>
    <t>515*290*410</t>
  </si>
  <si>
    <t>2X3X2</t>
  </si>
  <si>
    <t>120x80.5x97</t>
  </si>
  <si>
    <t>KJPP1UEF</t>
  </si>
  <si>
    <t>24 PORTS UNLOADED PATCH PANEL 1U DIRECT GROUNDING PER ECO FRIENDLY CARTON</t>
  </si>
  <si>
    <t>4897108882074</t>
  </si>
  <si>
    <t>24 PORTS UNLOADED PATCH PANEL 1U STP</t>
  </si>
  <si>
    <t>PANNEAU DE BRASSAGE NON EQUIPE 24PORTS 1U STP</t>
  </si>
  <si>
    <t>KJPP1UBEF</t>
  </si>
  <si>
    <t>24 PORTS UNLOADED PATCH PANEL 1U DIRECT GROUNDING BLACK PER ECO FRIENDLY CARTON</t>
  </si>
  <si>
    <t>4897108882463</t>
  </si>
  <si>
    <t>KJPP1UBCEF</t>
  </si>
  <si>
    <t>24 PORTS UNLOADED PATCH PANEL 1U DIRECT GROUNDING BLACK WITH HOLE CUTTING AND ACCESSORIES PER ECO FRIENDLY CARTON</t>
  </si>
  <si>
    <t>4897108881817</t>
  </si>
  <si>
    <t>KJPP1UBCTEF</t>
  </si>
  <si>
    <t>24 PORTS UNLOADED PATCH PANEL 1U STP BLACK T SHAPE WITH ONE HOLE CUTTING AND ACCESSORIES PER ECO-FRIENDLY CARTON</t>
  </si>
  <si>
    <t>4897108882760</t>
  </si>
  <si>
    <t>KJPP1UBMCTEF</t>
  </si>
  <si>
    <t>24 PORTS UNLOADED PATCH PANEL 1U DIRECT GROUNDING FULL METAL BLACK T SHAPE WITH HOLE CUTTING AND ACCESSORIES WITH 24PCS CABLE TIE PER ECO FRIENDLY CARTON</t>
  </si>
  <si>
    <t>4897108883453</t>
  </si>
  <si>
    <t>24 PORTS UNLOADED PATCH PANEL 1U STP METAL</t>
  </si>
  <si>
    <t>PANNEAU DE BRASSAGE NON EQUIPE 24PORTS 1U STP METAL</t>
  </si>
  <si>
    <t>KJPP2UBMCTEF</t>
  </si>
  <si>
    <t>48 PORTS UNLOADED PATCH PANEL 2U DIRECT GROUNDING FULL METAL BLACK T SHAPE WITH HOLE CUTTING AND ACCESSORIES WITH 48PCS CABLE TIE PER ECO FRIENDLY CARTON</t>
  </si>
  <si>
    <t>4897108884283</t>
  </si>
  <si>
    <t>500*110*50</t>
  </si>
  <si>
    <t>120x86x116</t>
  </si>
  <si>
    <t>48 PORTS UNLOADED PATCH PANEL 2U STP METAL</t>
  </si>
  <si>
    <t>PANNEAU DE BRASSAGE NON EQUIPE 48PORTS 2U STP METAL</t>
  </si>
  <si>
    <t>KJPP1UBCANEF</t>
  </si>
  <si>
    <t>24 PORTS UNLOADED PATCH PANEL 1U DIRECT GROUNDING BLACK ANGLED V SHAPE PER ECO FRIENDLY CARTON</t>
  </si>
  <si>
    <t>4897108884276</t>
  </si>
  <si>
    <t>500*170*55</t>
  </si>
  <si>
    <t>515*290*360</t>
  </si>
  <si>
    <t>120x80.5x123</t>
  </si>
  <si>
    <t>24 PORTS UNLOADED PATCH PANEL 1U DIRECT GROUNDING BLACK ANGLED V SHAPE</t>
  </si>
  <si>
    <t>PANNEAU DE BRASSAGE VIDE 24 ports 1U MISE A LA TERRE DIRECTE NOIR EN V ANGULÉ</t>
  </si>
  <si>
    <t>KSFP1UFP2412LCDSEF</t>
  </si>
  <si>
    <t>19" 1U PANEL FRONT PLATE 24 LC DUPLEX/LC QUAD EQUIPPED WITH 12 LC DUPLEX SINGLEMODE</t>
  </si>
  <si>
    <t>4897108884474</t>
  </si>
  <si>
    <t>KSFP1UFP2412LCDMEF</t>
  </si>
  <si>
    <t>19" 1U PANEL FRONT PLATE 24 LC DUPLEX/LC QUAD EQUIPPED WITH 12 LC DUPLEX MULTIMODE</t>
  </si>
  <si>
    <t>4897108884481</t>
  </si>
  <si>
    <t>KSFP1UFP2424LCDMEF</t>
  </si>
  <si>
    <t>19" 1U PANEL FRONT PLATE 24 LC DUPLEX/LC QUAD EQUIPPED WITH 24 LC DUPLEX MULTIMODE</t>
  </si>
  <si>
    <t>4897108884498</t>
  </si>
  <si>
    <t>KSFP1UFP2424LCDSEF</t>
  </si>
  <si>
    <t>19" 1U PANEL FRONT PLATE 24 LC DUPLEX/LC QUAD EQUIPPED WITH 24 LC DUPLEX SINGLEMODE</t>
  </si>
  <si>
    <t>4897108884504</t>
  </si>
  <si>
    <t>KSFP1UFP2412SCDSEF</t>
  </si>
  <si>
    <t>19" 1U PANEL FRONT PLATE 24 SC DUPLEX/LC QUAD EQUIPPED WITH 12 SC DUPLEX SINGLEMODE</t>
  </si>
  <si>
    <t>4897108884511</t>
  </si>
  <si>
    <t>KSFP1UFP2412SCDMEF</t>
  </si>
  <si>
    <t>19" 1U PANEL FRONT PLATE 24 SC DUPLEX/LC QUAD EQUIPPED WITH 12 SC DUPLEX MULTIMODE</t>
  </si>
  <si>
    <t>4897108884528</t>
  </si>
  <si>
    <t>KSFP1UFP2424SCDSEF</t>
  </si>
  <si>
    <t>19" 1U PANEL FRONT PLATE 24 SC DUPLEX/LC QUAD EQUIPPED WITH 24 SC DUPLEX SINGLEMODE</t>
  </si>
  <si>
    <t>4897108884535</t>
  </si>
  <si>
    <t>KSFP1UFP2424SCDMEF</t>
  </si>
  <si>
    <t>19" 1U PANEL FRONT PLATE 24 SC DUPLEX/LC QUAD EQUIPPED WITH 24 SC DUPLEX MULTIMODE</t>
  </si>
  <si>
    <t>4897108884542</t>
  </si>
  <si>
    <t>CABINET</t>
  </si>
  <si>
    <t>CABINET HYBRID</t>
  </si>
  <si>
    <t>KRH4288EDF</t>
  </si>
  <si>
    <t>CABINET 19’’ EDF 42U 800X800</t>
  </si>
  <si>
    <t>BAIE 19’’ EDF 42U 800X800</t>
  </si>
  <si>
    <t>UPS</t>
  </si>
  <si>
    <t>KUPS1K90036</t>
  </si>
  <si>
    <t xml:space="preserve">1kVA 900W 36VDC standard model, RT type </t>
  </si>
  <si>
    <t>Kilogram (kg) [KGM]</t>
  </si>
  <si>
    <t>4897108884696</t>
  </si>
  <si>
    <t>KUPS2K180072</t>
  </si>
  <si>
    <t xml:space="preserve">2kVA 1800W 72VDC standard model, RT type </t>
  </si>
  <si>
    <t>4897108884702</t>
  </si>
  <si>
    <t>KUPS3K270096</t>
  </si>
  <si>
    <t xml:space="preserve">3kVA 2700W 96VDC standard model, RT type </t>
  </si>
  <si>
    <t>4897108884719</t>
  </si>
  <si>
    <t>KUPS6K6000192</t>
  </si>
  <si>
    <t xml:space="preserve">6kVA 6kW 192VDC standard model, RT type </t>
  </si>
  <si>
    <t>4897108884726</t>
  </si>
  <si>
    <t>KUPS10K10K192</t>
  </si>
  <si>
    <t xml:space="preserve">10kVA 10kW 192VDC standard model, RT type </t>
  </si>
  <si>
    <t>4897108884733</t>
  </si>
  <si>
    <t>KUPS20K20K192</t>
  </si>
  <si>
    <t>20kVA 20kW 192VDC 3/1 long run model,RT type</t>
  </si>
  <si>
    <t>4897108884740</t>
  </si>
  <si>
    <t>KUPSCARDSNMP</t>
  </si>
  <si>
    <t xml:space="preserve">SNMP card </t>
  </si>
  <si>
    <t>4897108884757</t>
  </si>
  <si>
    <t>OPTICAL FIBER CABLE</t>
  </si>
  <si>
    <t xml:space="preserve">LOOSE TUBE UNIVERSAL </t>
  </si>
  <si>
    <t>KFO6OS2CTZHD</t>
  </si>
  <si>
    <t>6FO OS2 CENTRAL LOOSE TUBE LSZH UNIVERSAL Dca YELLOW RAL1021 2000M DRUM</t>
  </si>
  <si>
    <t>4897108884351</t>
  </si>
  <si>
    <t>6FO OS2 CENTRAL LOOSE TUBE LSZH UNIVERSAL Dca YELLOW RAL1021</t>
  </si>
  <si>
    <t>6FO OS2 TUBE CENTRAL STRUCTURE LIBRE LSZH UNIVERSEL Dca JAUNE RAL1021</t>
  </si>
  <si>
    <t>UKN-LTDLH-XX</t>
  </si>
  <si>
    <t>KFO8OS2CTZHD</t>
  </si>
  <si>
    <t>8FO OS2 CENTRAL LOOSE TUBE LSZH UNIVERSAL Dca YELLOW RAL1021 2000M DRUM</t>
  </si>
  <si>
    <t>4897108884368</t>
  </si>
  <si>
    <t>8FO OS2 CENTRAL LOOSE TUBE LSZH UNIVERSAL Dca YELLOW RAL1021</t>
  </si>
  <si>
    <t>8FO OS2 TUBE CENTRAL STRUCTURE LIBRE LSZH UNIVERSEL Dca JAUNE RAL1021</t>
  </si>
  <si>
    <t>KFO12OS2CTZHD</t>
  </si>
  <si>
    <t>12FO OS2 CENTRAL LOOSE TUBE LSZH UNIVERSAL Dca YELLOW RAL1021 2000M DRUM</t>
  </si>
  <si>
    <t>4897108884375</t>
  </si>
  <si>
    <t>12FO OS2 CENTRAL LOOSE TUBE LSZH UNIVERSAL Dca YELLOW RAL1021</t>
  </si>
  <si>
    <t>12FO OS2 TUBE CENTRAL STRUCTURE LIBRE LSZH UNIVERSEL Dca JAUNE RAL1021</t>
  </si>
  <si>
    <t>KFO24OS2CTZHD</t>
  </si>
  <si>
    <t>24FO OS2 CENTRAL LOOSE TUBE LSZH UNIVERSAL Dca YELLOW RAL1021 2000M DRUM</t>
  </si>
  <si>
    <t>4897108884382</t>
  </si>
  <si>
    <t>24FO OS2 CENTRAL LOOSE TUBE LSZH UNIVERSAL Dca YELLOW RAL1021</t>
  </si>
  <si>
    <t>24FO OS2 TUBE CENTRAL STRUCTURE LIBRE LSZH UNIVERSEL Dca JAUNE RAL1021</t>
  </si>
  <si>
    <t>KFO6OM3CTZHD</t>
  </si>
  <si>
    <t>6FO OM3 CENTRAL LOOSE TUBE LSZH UNIVERSAL Dca TURQUOISE RAL6027 2000M DRUM</t>
  </si>
  <si>
    <t>4897108884436</t>
  </si>
  <si>
    <t>6FO OM3 CENTRAL LOOSE TUBE LSZH UNIVERSAL Dca TURQUOISE RAL6027</t>
  </si>
  <si>
    <t>6FO OM3 TUBE CENTRAL STRUCTURE LIBRE LSZH UNIVERSEL Dca TURQUOISE RAL6027</t>
  </si>
  <si>
    <t>KFO8OM4CTZHD</t>
  </si>
  <si>
    <t>8FO OM4 CENTRAL LOOSE TUBE LSZH UNIVERSAL Dca ERIKA VIOLET RAL4003 2000M DRUM</t>
  </si>
  <si>
    <t>4897108884405</t>
  </si>
  <si>
    <t>8FO OM4 CENTRAL LOOSE TUBE LSZH UNIVERSAL Dca ERIKA VIOLET RAL4003</t>
  </si>
  <si>
    <t>8FO OM4 TUBE CENTRAL STRUCTURE LIBRE LSZH UNIVERSEL Dca VIOLET ERIKA RAL4003</t>
  </si>
  <si>
    <t>KFO12OM3CTZHD</t>
  </si>
  <si>
    <t>12FO OM3 CENTRAL LOOSE TUBE LSZH UNIVERSAL Dca TURQUOISE RAL6027 2000M DRUM</t>
  </si>
  <si>
    <t>4897108884344</t>
  </si>
  <si>
    <t>12FO OM3 CENTRAL LOOSE TUBE LSZH UNIVERSAL Dca TURQUOISE RAL6027</t>
  </si>
  <si>
    <t>12FO OM3 TUBE CENTRAL STRUCTURE LIBRE LSZH UNIVERSEL Dca TURQUOISE RAL6027</t>
  </si>
  <si>
    <t>KFO24OM3CTZHD</t>
  </si>
  <si>
    <t>24FO OM3 CENTRAL LOOSE TUBE LSZH UNIVERSAL Dca AQUA RAL6027 2000M DRUM</t>
  </si>
  <si>
    <t>4897108884665</t>
  </si>
  <si>
    <t>KFO12OM4CTZHD</t>
  </si>
  <si>
    <t>12FO OM4 CENTRAL LOOSE TUBE LSZH UNIVERSAL Dca ERIKA VIOLET RAL4003 2000M DRUM</t>
  </si>
  <si>
    <t>4897108884412</t>
  </si>
  <si>
    <t>12FO OM4 CENTRAL LOOSE TUBE LSZH UNIVERSAL Dca ERIKA VIOLET RAL4003</t>
  </si>
  <si>
    <t>12FO OM4 TUBE CENTRAL STRUCTURE LIBRE LSZH UNIVERSEL Dca VIOLET ERIKA RAL4003</t>
  </si>
  <si>
    <t>KFO24OM4CTZHD</t>
  </si>
  <si>
    <t>24FO OM4 CENTRAL LOOSE TUBE LSZH UNIVERSAL Dca ERIKA VIOLET RAL4003 2000M DRUM</t>
  </si>
  <si>
    <t>4897108884429</t>
  </si>
  <si>
    <t>24FO OM4 CENTRAL LOOSE TUBE LSZH UNIVERSAL Dca ERIKA VIOLET RAL4003</t>
  </si>
  <si>
    <t>24FO OM4 TUBE CENTRAL STRUCTURE LIBRE LSZH UNIVERSEL Dca VIOLET ERIKA RAL4003</t>
  </si>
  <si>
    <t>KFO6OS2CTZHC</t>
  </si>
  <si>
    <t>6FO OS2 CENTRAL LOOSE TUBE LSZH UNIVERSAL Cca YELLOW RAL1021 2000M DRUM</t>
  </si>
  <si>
    <t>4897108884948</t>
  </si>
  <si>
    <t>6FO OS2 CENTRAL LOOSE TUBE LSZH UNIVERSAL Cca YELLOW RAL1021</t>
  </si>
  <si>
    <t>6FO OS2 TUBE CENTRAL STRUCTURE LIBRE LSZH UNIVERSEL Cca JAUNE RAL1021</t>
  </si>
  <si>
    <t>UKN-LTCLH-XX</t>
  </si>
  <si>
    <t>KFO12OS2CTZHC</t>
  </si>
  <si>
    <t>12FO OS2 CENTRAL LOOSE TUBE LSZH UNIVERSAL Cca YELLOW RAL1021 2000M DRUM</t>
  </si>
  <si>
    <t>4897108884955</t>
  </si>
  <si>
    <t>12FO OS2 CENTRAL LOOSE TUBE LSZH UNIVERSAL Cca YELLOW RAL1021</t>
  </si>
  <si>
    <t>12FO OS2 TUBE CENTRAL STRUCTURE LIBRE LSZH UNIVERSEL Cca JAUNE RAL1021</t>
  </si>
  <si>
    <t>KFO24OS2CTZHC</t>
  </si>
  <si>
    <t>24FO OS2 CENTRAL LOOSE TUBE LSZH UNIVERSAL Cca YELLOW RAL1021 2000M DRUM</t>
  </si>
  <si>
    <t>4897108884962</t>
  </si>
  <si>
    <t>24FO OS2 CENTRAL LOOSE TUBE LSZH UNIVERSAL Cca YELLOW RAL1021</t>
  </si>
  <si>
    <t>24FO OS2 TUBE CENTRAL STRUCTURE LIBRE LSZH UNIVERSEL Cca JAUNE RAL1021</t>
  </si>
  <si>
    <t>KFO12OM3CTZHC</t>
  </si>
  <si>
    <t>12FO OM3 CENTRAL LOOSE TUBE LSZH UNIVERSAL Cca TURQUOISE RAL6027 2000M DRUM</t>
  </si>
  <si>
    <t>4897108884979</t>
  </si>
  <si>
    <t>12FO OM3 CENTRAL LOOSE TUBE LSZH UNIVERSAL Cca TURQUOISE RAL6027</t>
  </si>
  <si>
    <t>12FO OM3 TUBE CENTRAL STRUCTURE LIBRE LSZH UNIVERSEL Cca TURQUOISE RAL6027</t>
  </si>
  <si>
    <t>KFO24OM3CTZHC</t>
  </si>
  <si>
    <t>24FO OM3 CENTRAL LOOSE TUBE LSZH UNIVERSAL Cca TURQUOISE RAL6027 2000M DRUM</t>
  </si>
  <si>
    <t>4897108884986</t>
  </si>
  <si>
    <t>24FO OM3 CENTRAL LOOSE TUBE LSZH UNIVERSAL Cca TURQUOISE RAL6027</t>
  </si>
  <si>
    <t>24FO OM3 TUBE CENTRAL STRUCTURE LIBRE LSZH UNIVERSEL Cca TURQUOISE RAL6027</t>
  </si>
  <si>
    <t>KFO6OM4CTZHC</t>
  </si>
  <si>
    <t>6FO OM4 CENTRAL LOOSE TUBE LSZH UNIVERSAL Cca ERIKA VIOLET RAL4003 2000M DRUM</t>
  </si>
  <si>
    <t>4897108885044</t>
  </si>
  <si>
    <t>UKN-LT6FOOM4CLH</t>
  </si>
  <si>
    <t>KFO12OM4CTZHC</t>
  </si>
  <si>
    <t>12FO OM4 CENTRAL LOOSE TUBE LSZH UNIVERSAL Cca ERIKA VIOLET RAL4003 2000M DRUM</t>
  </si>
  <si>
    <t>4897108885051</t>
  </si>
  <si>
    <t>UKN-LT12FOOM4CLH</t>
  </si>
  <si>
    <t>KFO24OM4CTZHC</t>
  </si>
  <si>
    <t>24FO OM4 CENTRAL LOOSE TUBE LSZH UNIVERSAL Cca ERIKA VIOLET RAL4003 2000M DRUM</t>
  </si>
  <si>
    <t>4897108886157</t>
  </si>
  <si>
    <t>24FO OM4 CENTRAL LOOSE TUBE LSZH UNIVERSAL Cca ERIKA VIOLET RAL4003</t>
  </si>
  <si>
    <t>24FO OM4 TUBE CENTRAL STRUCTURE LIBRE LSZH UNIVERSEL Cca VIOLET ERIKA RAL4003</t>
  </si>
  <si>
    <t>UKN-LT24FOOM4CLH</t>
  </si>
  <si>
    <t>UNIKKERN OPTICAL FIBER xx FO ZZZ x/125 CENTRAL TUBE LSZH Cca  Certified NB 2184 ZZWWYY xxxxxxM</t>
  </si>
  <si>
    <t>KFO6OM3CTZHC</t>
  </si>
  <si>
    <t>6FO OM3 CENTRAL LOOSE TUBE LSZH UNIVERSAL Cca AQUA RAL6027 2000M DRUM</t>
  </si>
  <si>
    <t>4897108886164</t>
  </si>
  <si>
    <t>6FO OM3 CENTRAL LOOSE TUBE LSZH UNIVERSAL Cca AQUA RAL6027</t>
  </si>
  <si>
    <t>6FO OM3 TUBE CENTRAL STRUCTURE LIBRE LSZH UNIVERSEL Cca AQUA RAL6027</t>
  </si>
  <si>
    <t>UKN-LT6FOOM3CLH</t>
  </si>
  <si>
    <t>KFO4OM5CTZHCBLACK40</t>
  </si>
  <si>
    <t>4FO OM5 CENTRAL LOOSE TUBE LSZH UNIVERSAL Cca BLACK RAL9005 4000M DRUM</t>
  </si>
  <si>
    <t>4897108885341</t>
  </si>
  <si>
    <t>4FO OM5 CENTRAL LOOSE TUBE LSZH UNIVERSAL CCA BLACK RAL9005</t>
  </si>
  <si>
    <t>4FO OM5 TUBE CENTRAL STRUCTURE LIBRE LSZH UNIVERSEL CCA NOIR  RAL 9005</t>
  </si>
  <si>
    <t>UKN-LT4FOOM5CLH</t>
  </si>
  <si>
    <t>UNIKKERN OPTICAL FIBER xx FO ZZZ x/125 CENTRAL TUBE LSZH Cca Certified NB 2184 ZZWWYY xxxxxxM</t>
  </si>
  <si>
    <t>KFO12OM4CTAZHB2</t>
  </si>
  <si>
    <t>12FO OM4 CENTRAL LOOSE TUBE ARMORED LSZH B2ca OUTDOOR ERIKA VIOLET RAL4003 2000M DRUM</t>
  </si>
  <si>
    <t>4897108889042</t>
  </si>
  <si>
    <t>UKN-LT12FOOM4ABLH</t>
  </si>
  <si>
    <t>UKN-LTABLH-XX</t>
  </si>
  <si>
    <t>UNIKKERN OPTICAL FIBER xx FO ZZZ x/125 CENTRAL TUBE LSZH B2ca Certified NB 2184 ZZWWYY xxxxxxM</t>
  </si>
  <si>
    <t>KFO24OM4CTAZHB2</t>
  </si>
  <si>
    <t>24FO OM4 CENTRAL LOOSE TUBE ARMORED LSZH B2ca OUTDOOR ERIKA VIOLET RAL4003 2000M DRUM</t>
  </si>
  <si>
    <t>4897108889059</t>
  </si>
  <si>
    <t>UKN-LT24FOOM4ABLH</t>
  </si>
  <si>
    <t>KFO24OS2CTAZHB2</t>
  </si>
  <si>
    <t>24FO OS2 CENTRAL LOOSE TUBE ARMORED LSZH B2ca OUTDOOR YELLOW RAL 1021 2000M DRUM</t>
  </si>
  <si>
    <t>4897108889066</t>
  </si>
  <si>
    <t>UKN-LT24FOOS2ABLH</t>
  </si>
  <si>
    <t>KFO12OS2CTAZHB2</t>
  </si>
  <si>
    <t>12FO OS2 CENTRAL LOOSE TUBE ARMORED LSZH B2ca OUTDOOR YELLOW RAL 1021 2000M DRUM</t>
  </si>
  <si>
    <t>4897108889073</t>
  </si>
  <si>
    <t>UKN-LT12FOOS2ABLH</t>
  </si>
  <si>
    <t>MULTI LOOSE TUBE</t>
  </si>
  <si>
    <t>KFO96OS2MTZHAZHB2</t>
  </si>
  <si>
    <t>96FO OS2 MULTI LOOSE TUBE ARMORDED DOUBLE JACKET LSZH B2ca OUTDOOR PURPLE 2000M DRUM</t>
  </si>
  <si>
    <t>4897108889080</t>
  </si>
  <si>
    <t xml:space="preserve">96FO OS2 MULTI LOOSE TUBE ARMORDED DOUBLE JACKET LSZH B2ca OUTDOOR PURPLE </t>
  </si>
  <si>
    <t xml:space="preserve">96FO OS2 MULTITUBE STRUCTURE LIBRE ARME DOUBLE GAINE LSZH B2ca EXTÉRIEUR MAUVE </t>
  </si>
  <si>
    <t>UKN-MT96FOOS2MTLHABLH</t>
  </si>
  <si>
    <t>UKN-MTLHABLH-XX</t>
  </si>
  <si>
    <t>UNIKKERN OPTICAL FIBER xx FO ZZZ x/125 MULTITUBE DOUBLE JACKET ARMORED LSZH B2ca Certified NB 2184 ZZWWYY xxxxxxM</t>
  </si>
  <si>
    <t>KFO48OS2MTZHC</t>
  </si>
  <si>
    <t>48FO OS2 MULTI LOOSE TUBE LSZH UNIVERSAL Cca YELLOW RAL1021 2000 DRUM</t>
  </si>
  <si>
    <t>4897108885518</t>
  </si>
  <si>
    <t>48FO OS2 MULTI LOOSE TUBE LSZH UNIVERSAL Cca YELLOW RAL1021</t>
  </si>
  <si>
    <t>48FO OS2 MULTI TUBE STRUCTURE LIBRE LSZH UNIVERSEL Cca JAUNE RAL1021</t>
  </si>
  <si>
    <t>KFO12OS2MTZHAZHB2</t>
  </si>
  <si>
    <t>12FO OS2 MULTI LOOSE TUBE ARMORDED DOUBLE JACKET LSZH B2ca OUTDOOR ERIKA VIOLET RAL 4003 2000 DRUM</t>
  </si>
  <si>
    <t>4897108885525</t>
  </si>
  <si>
    <t xml:space="preserve">12FO OS2 MULTI LOOSE TUBE ARMORDED DOUBLE JACKET LSZH B2ca OUTDOOR PURPLE </t>
  </si>
  <si>
    <t xml:space="preserve">12FO OS2 MULTITUBE STRUCTURE LIBRE ARME DOUBLE GAINE LSZH B2ca EXTÉRIEUR MAUVE </t>
  </si>
  <si>
    <t>KFO24OS2MTZHAZHB2</t>
  </si>
  <si>
    <t>24FO OS2 MULTI LOOSE TUBE ARMORDED DOUBLE JACKET LSZH B2ca OUTDOOR ERIKA VIOLET RAL 4003 2000 DRUM</t>
  </si>
  <si>
    <t>4897108885532</t>
  </si>
  <si>
    <t xml:space="preserve">24FO OS2 MULTI LOOSE TUBE ARMORDED DOUBLE JACKET LSZH B2ca OUTDOOR PURPLE </t>
  </si>
  <si>
    <t xml:space="preserve">24FO OS2 MULTITUBE STRUCTURE LIBRE ARME DOUBLE GAINE LSZH B2ca EXTÉRIEUR MAUVE </t>
  </si>
  <si>
    <t>KFO48OS2MTZHAZHB2</t>
  </si>
  <si>
    <t>48FO OS2 MULTI LOOSE TUBE ARMORDED DOUBLE JACKET LSZH B2ca OUTDOOR ERIKA VIOLET RAL 4003 2000 DRUM</t>
  </si>
  <si>
    <t>4897108885549</t>
  </si>
  <si>
    <t xml:space="preserve">48FO OS2 MULTI LOOSE TUBE ARMORDED DOUBLE JACKET LSZH B2ca OUTDOOR PURPLE </t>
  </si>
  <si>
    <t xml:space="preserve">48FO OS2 MULTITUBE STRUCTURE LIBRE ARME DOUBLE GAINE LSZH B2ca EXTÉRIEUR MAUVE </t>
  </si>
  <si>
    <t>KFO6OM3CT</t>
  </si>
  <si>
    <t>4897108885259</t>
  </si>
  <si>
    <t>6FO OM3 CENTRAL LOOSE TUBE PEHD OUTDOOR BLACK RAL 9005</t>
  </si>
  <si>
    <t>6FO OM3 TUBE CENTRAL STRUCTURE LIBRE PEHD EXTÉRIEUR NOIR RAL9005</t>
  </si>
  <si>
    <t>UKN-LTPE-XX</t>
  </si>
  <si>
    <t>KFO12OM3CT</t>
  </si>
  <si>
    <t>4897108885266</t>
  </si>
  <si>
    <t>12FO OM3 CENTRAL LOOSE TUBE PEHD OUTDOOR BLACK RAL9005</t>
  </si>
  <si>
    <t>12FO OM3 TUBE CENTRAL STRUCTURE LIBRE PEHD EXTÉRIEUR NOIR RAL9005</t>
  </si>
  <si>
    <t>KFO6OS2CT</t>
  </si>
  <si>
    <t>4897108885273</t>
  </si>
  <si>
    <t>6FO OS2 CENTRAL LOOSE TUBE PEHD OUTDOOR BLACK RAL9005</t>
  </si>
  <si>
    <t>6FO OS2 TUBE CENTRAL STRUCTURE LIBRE PEHD EXTÉRIEUR NOIR RAL9005</t>
  </si>
  <si>
    <t>KFO12OS2CT</t>
  </si>
  <si>
    <t>12FO OS2 CENTRAL LOOSE TUBE UNIVERSAL PEHD OUTDOOR BLACK RAL9005 2000M DRUM</t>
  </si>
  <si>
    <t>4897108884672</t>
  </si>
  <si>
    <t>12FO OS2 CENTRAL LOOSE TUBE PEHD OUTDOOR BLACK 2000M</t>
  </si>
  <si>
    <t>12FO OS2 TUBE CENTRAL STRUCTURE LIBRE PEHD EXTÉRIEUR NOIR RAL9005</t>
  </si>
  <si>
    <t>KFO12OS2CT30</t>
  </si>
  <si>
    <t>4897108885327</t>
  </si>
  <si>
    <t>12FO OS2 CENTRAL LOOSE TUBE PEHD OUTDOOR BLACK 3000M</t>
  </si>
  <si>
    <t>UKN-LT12FOOS2PE</t>
  </si>
  <si>
    <t>UNIKKERN OPTICAL FIBER xx FO ZZZ x/125 CENTRAL TUBE PEHD Fca ZZWWYY xxxxxxM</t>
  </si>
  <si>
    <t>KFO12OS2CT40</t>
  </si>
  <si>
    <t>4897108885280</t>
  </si>
  <si>
    <t>12FO OS2 CENTRAL LOOSE TUBE PEHD OUTDOOR BLACK 4000M</t>
  </si>
  <si>
    <t>KFO24OS2CT</t>
  </si>
  <si>
    <t>24FO OS2 CENTRAL LOOSE TUBE UNIVERSAL PEHD OUTDOOR BLACK RAL9005 2000M DRUM</t>
  </si>
  <si>
    <t>4897108884689</t>
  </si>
  <si>
    <t>24FO OS2 CENTRAL LOOSE TUBE PEHD OUTDOOR BLACK 2000M</t>
  </si>
  <si>
    <t>24FO OS2 TUBE CENTRAL STRUCTURE LIBRE PEHD EXTÉRIEUR NOIR RAL9005</t>
  </si>
  <si>
    <t>KFO24OS2CTA</t>
  </si>
  <si>
    <t>24FO OS2 CENTRAL LOOSE TUBE ARMORED PEHD OUTDOOR BLACK RAL9005 2000M DRUM</t>
  </si>
  <si>
    <t>4897108884399</t>
  </si>
  <si>
    <t>24FO OS2 CENTRAL LOOSE TUBE ARMORED PEHD OUTDOOR BLACK RAL9005</t>
  </si>
  <si>
    <t>24FO OS2TUBE CENTRAL STRUCTURE LIBRE ARMÉ  PEHD EXTÉRIEUR NOIR RAL9005</t>
  </si>
  <si>
    <t>UKN-LTAPE-XX</t>
  </si>
  <si>
    <t>KFO24OS2CTABLE20</t>
  </si>
  <si>
    <t>24FO OS2 CENTRAL LOOSE TUBE ARMORED PEHD OUTDOOR BLUE RAL5012 2000M DRUM</t>
  </si>
  <si>
    <t>4897108884771</t>
  </si>
  <si>
    <t>24FO OS2 CENTRAL LOOSE TUBE ARMORED PEHD OUTDOOR BLUE RAL5012</t>
  </si>
  <si>
    <t>24FO OS2 TUBE CENTRAL STRUCTURE LIBRE ARMÉ  PEHD EXTÉRIEUR BLEU RAL5012</t>
  </si>
  <si>
    <t>UKN-LT24FOOS2APE</t>
  </si>
  <si>
    <t>KFO8OM3CTZHD40</t>
  </si>
  <si>
    <t>8FO OM3 CENTRAL LOOSE TUBE LSZH UNIVERSAL Dca AQUA RAL6027 4000 DRUM</t>
  </si>
  <si>
    <t>4897108886423</t>
  </si>
  <si>
    <t>8FO OM3 CENTRAL LOOSE TUBE LSZH UNIVERSAL Dca TURQUOISE RAL6027</t>
  </si>
  <si>
    <t>UKN-LT8FOOM3DLH</t>
  </si>
  <si>
    <t>KFO24OM3CTZHD40</t>
  </si>
  <si>
    <t>24FO OM3 CENTRAL LOOSE TUBE LSZH UNIVERSAL Dca AQUA RAL6027 4000 DRUM</t>
  </si>
  <si>
    <t>4897108886430</t>
  </si>
  <si>
    <t>24FO OM3 CENTRAL LOOSE TUBE LSZH UNIVERSAL Dca TURQUOISE RAL6027</t>
  </si>
  <si>
    <t>24FO OM3 TUBE CENTRAL STRUCTURE LIBRE LSZH UNIVERSEL Dca TURQUOISE RAL6027</t>
  </si>
  <si>
    <t>UKN-LT24FOOM3DLH</t>
  </si>
  <si>
    <t>KFO48OM3MTZHD40</t>
  </si>
  <si>
    <t>48FO OM3 MULTI LOOSE TUBE LSZH UNIVERSAL Dca AQUA RAL6027 4000 DRUM</t>
  </si>
  <si>
    <t>4897108886447</t>
  </si>
  <si>
    <t>48FO OM3 MULTI LOOSE TUBE LSZH UNIVERSAL Dca TURQUOISE RAL6027</t>
  </si>
  <si>
    <t>48FO OS2 MULTI TUBE STRUCTURE LIBRE LSZH UNIVERSEL Dca TURQUOISE RAL6027</t>
  </si>
  <si>
    <t>UKN-MT48FOOM3DLH</t>
  </si>
  <si>
    <t>UKN-MTDLH-XX</t>
  </si>
  <si>
    <t>KFO24OM3CT</t>
  </si>
  <si>
    <t>24FO OM3 CENTRAL LOOSE TUBE PEHD OUTDOOR BLACK RAL9005 2000 DRUM</t>
  </si>
  <si>
    <t>4897108886454</t>
  </si>
  <si>
    <t>24FO OM3 CENTRAL LOOSE TUBE PEHD OUTDOOR BLACK RAL 9005</t>
  </si>
  <si>
    <t>24FO OM3 TUBE CENTRAL STRUCTURE LIBRE PEHD EXTÉRIEUR NOIR RAL9005</t>
  </si>
  <si>
    <t>UKN-LT24FOOM3PE</t>
  </si>
  <si>
    <t>KFO48OM4MTZHD40</t>
  </si>
  <si>
    <t>48FO OM4 MULTI LOOSE TUBE LSZH UNIVERSAL Dca ERIKA VIOLET RAL4003 4000 DRUM</t>
  </si>
  <si>
    <t>4897108886461</t>
  </si>
  <si>
    <t>48FO OM4 MULTI LOOSE TUBE LSZH UNIVERSAL Dca ERIKA VIOLET RAL4003</t>
  </si>
  <si>
    <t>48FO OM4 MULTI TUBE STRUCTURE LIBRE LSZH UNIVERSEL Dca VIOLET ERIKA RAL4003</t>
  </si>
  <si>
    <t>UKN-MT48FOOM4DLH</t>
  </si>
  <si>
    <t>KFO24OM4CTZHD40</t>
  </si>
  <si>
    <t>24FO OM4 CENTRAL LOOSE TUBE LSZH UNIVERSAL Dca ERIKA VIOLET RAL4003 4000 DRUM</t>
  </si>
  <si>
    <t>4897108886478</t>
  </si>
  <si>
    <t>24FO OM3 TUBE CENTRAL STRUCTURE LIBRE LSZH UNIVERSEL Dca VIOLET ERIKA RAL4003</t>
  </si>
  <si>
    <t>UKN-LT24FOOM4DLH</t>
  </si>
  <si>
    <t>KFO24OS2CTA40</t>
  </si>
  <si>
    <t>24FO OS2 CENTRAL LOOSE TUBE ARMORED PEHD OUTDOOR BLACK RAL9005 4000 DRUM</t>
  </si>
  <si>
    <t>4897108886485</t>
  </si>
  <si>
    <t>KFO48OS2MTA40</t>
  </si>
  <si>
    <t>48FO OS2 MULTI LOOSE TUBE ARMORDED PEHD OUTDOOR BLACK RAL 9005 4000 DRUM</t>
  </si>
  <si>
    <t>4897108886492</t>
  </si>
  <si>
    <t>48FO OS2 MULTI LOOSE TUBE ARMORDED PEHD OUTDOOR BLACK RAL 9005</t>
  </si>
  <si>
    <t>48FO OS2 MULTITUBE STRUCTURE LIBRE ARMÉ PEHD EXTÉRIEUR NOIR RAL9005</t>
  </si>
  <si>
    <t>UKN-MTA48FOOS2PE</t>
  </si>
  <si>
    <t>UKN-MTAPE-XX</t>
  </si>
  <si>
    <t>KFO48OS2MTZHD40</t>
  </si>
  <si>
    <t>48FO OS2 MULTI LOOSE TUBE LSZH UNIVERSAL Dca YELLOW RAL1021 4000 DRUM</t>
  </si>
  <si>
    <t>4897108886508</t>
  </si>
  <si>
    <t>48FO OS2 MULTI LOOSE TUBE LSZH UNIVERSAL Dca YELLOW RAL1021</t>
  </si>
  <si>
    <t>48FO OS2 MULTI TUBE STRUCTURE LIBRE LSZH UNIVERSEL Dca JAUNE RAL1021</t>
  </si>
  <si>
    <t>UKN-MT48FOOS2DLH</t>
  </si>
  <si>
    <t>KFO48OS2MTAZHBLE40</t>
  </si>
  <si>
    <t>48FO OS2 MULTI LOOSE TUBE ARMORDED LSZH Eca INDOOR OUTDOOR BLUE RAL 5012 4000M DRUM</t>
  </si>
  <si>
    <t>Eca</t>
  </si>
  <si>
    <t>4897108884597</t>
  </si>
  <si>
    <t>48FO OS2 MULTI LOOSE TUBE ARMORDED LSZH Eca INDOOR OUTDOOR BLUE RAL 5012</t>
  </si>
  <si>
    <t>48FO OS2 MULTI TUBE STRUCTURE LIBRE ARMÉ LSZH Eca INTÉRIERE EXTÉRIEUR  BLEUE RAL 5012</t>
  </si>
  <si>
    <t>KFO48OS2MTAZHBLE30</t>
  </si>
  <si>
    <t>48FO OS2 MULTI LOOSE TUBE ARMORDED LSZH Eca INDOOR OUTDOOR BLUE RAL 5012 3000M DRUM</t>
  </si>
  <si>
    <t>4897108884603</t>
  </si>
  <si>
    <t>KFO24OS2MTBLE15</t>
  </si>
  <si>
    <t>24FO OS2 MULTI LOOSE TUBE PEHD Fca OUTDOOR BLUE RAL5015 1500M DRUM</t>
  </si>
  <si>
    <t>Fca</t>
  </si>
  <si>
    <t>4897108884863</t>
  </si>
  <si>
    <t>KFO24OS2MTBLE25</t>
  </si>
  <si>
    <t>24FO OS2 MULTI LOOSE TUBE PEHD Fca OUTDOOR BLUE RAL5015 2500M DRUM</t>
  </si>
  <si>
    <t>4897108884870</t>
  </si>
  <si>
    <t>48FO OS2 MULTI LOOSE TUBE PEHD Fca OUTDOOR BLUE RAL5015 2000M DRUM</t>
  </si>
  <si>
    <t>4897108884887</t>
  </si>
  <si>
    <t>KFO48OS2MTBLE25</t>
  </si>
  <si>
    <t>48FO OS2 MULTI LOOSE TUBE PEHD Fca OUTDOOR BLUE RAL5015 2500M DRUM</t>
  </si>
  <si>
    <t>4897108884894</t>
  </si>
  <si>
    <t>KFO24OS2CTAZHBLE20</t>
  </si>
  <si>
    <t>24FO OS2 CENTRAL LOOSE TUBE ARMORDED LSZH Eca INDOOR OUTDOOR BLUE RAL 5012 2000M DRUM</t>
  </si>
  <si>
    <t>4897108884610</t>
  </si>
  <si>
    <t xml:space="preserve">24FO OS2 CENTRAL LOOSE TUBE ARMORDED LSZH Eca INDOOR OUTDOOR BLUE RAL 5012 </t>
  </si>
  <si>
    <t>24FO OS2 TUBE CENTRAL STRUCTURE LIBRE ARMÉ LSZH Eca INTÉRIERE EXTÉRIEUR  BLEUE RAL 5012</t>
  </si>
  <si>
    <t>KFO12OS2CTA</t>
  </si>
  <si>
    <t>12FO OS2 CENTRAL LOOSE TUBE ARMORED PEHD OUTDOOR BLACK RAL9005 2000M DRUM</t>
  </si>
  <si>
    <t>4897108884627</t>
  </si>
  <si>
    <t>12FO OS2 CENTRAL LOOSE TUBE ARMORED PEHD OUTDOOR BLACK RAL9005</t>
  </si>
  <si>
    <t>12FO OS2TUBE CENTRAL STRUCTURE LIBRE ARMÉ  PEHD EXTÉRIEUR NOIR RAL9005</t>
  </si>
  <si>
    <t>KFO6OS2CTRZHD</t>
  </si>
  <si>
    <t>6FO OS2 CENTRAL LOOSE TUBE 2kN LSZH UNIVERSAL Dca YELLOW RAL1021 2000M DRUM</t>
  </si>
  <si>
    <t>Dca</t>
  </si>
  <si>
    <t>4897108884634</t>
  </si>
  <si>
    <t>6FO OS2 CENTRAL LOOSE TUBE 2kN LSZH UNIVERSAL Dca YELLOW RAL1021</t>
  </si>
  <si>
    <t>6FO OS2 TUBE CENTRAL STRUCTURE LIBRE 2kN LSZH UNIVERSEL Dca JAUNE RAL1021</t>
  </si>
  <si>
    <t>CONTROL CABLE</t>
  </si>
  <si>
    <t>SONO</t>
  </si>
  <si>
    <t>KSONO2X15ZHB2BR10</t>
  </si>
  <si>
    <t>B2ca</t>
  </si>
  <si>
    <t>4897108885037</t>
  </si>
  <si>
    <t>CONTROL CABLE HSLCH 300/500V LSZH B2CA BROWN 1000M</t>
  </si>
  <si>
    <t>CONTROL CÂBLE HSLCH 200/500V LSZH B2CA MARRON 1000M</t>
  </si>
  <si>
    <t>UKN-SONO215MMB2</t>
  </si>
  <si>
    <t>UKN-SONOB2-E02</t>
  </si>
  <si>
    <t>KSONO4X15ZHB2BR10</t>
  </si>
  <si>
    <t>4897108884917</t>
  </si>
  <si>
    <t>UKN-SONO415MMB2</t>
  </si>
  <si>
    <t>KSONO7X15ZHB2BR10</t>
  </si>
  <si>
    <t>4897108884924</t>
  </si>
  <si>
    <t>UKN-SONO715MMB2</t>
  </si>
  <si>
    <t>KSONO8X15ZHB2BR10</t>
  </si>
  <si>
    <t>4897108885297</t>
  </si>
  <si>
    <t>UKN-SONO815MMB2</t>
  </si>
  <si>
    <t>KSONO12X15ZHB2BR10</t>
  </si>
  <si>
    <t>4897108885303</t>
  </si>
  <si>
    <t>UKN-SONO1215MMB2</t>
  </si>
  <si>
    <t>KSONO24X15ZHB2BR10</t>
  </si>
  <si>
    <t>4897108885310</t>
  </si>
  <si>
    <t>UKN-SONO2415MMB2</t>
  </si>
  <si>
    <t>KSONO4X15ZHNAB2BR10</t>
  </si>
  <si>
    <t>4897108885501</t>
  </si>
  <si>
    <t>CONTROL CABLE HSLCH 300/500V NON ARMORED LSZH B2CA BROWN 1000M</t>
  </si>
  <si>
    <t>CONTROL CÂBLE HSLCH 300/500V NON ARME LSZH B2CA MARRON 1000M</t>
  </si>
  <si>
    <t>UKN-SONONA415MMB2</t>
  </si>
  <si>
    <t>Syskern SONO CONTROL COMMAND NON ARMORED 4x1.5mm² 300/500V EN50575 B2ca E02WWYY CE xxxxxxM</t>
  </si>
  <si>
    <t>WALL CABINET START</t>
  </si>
  <si>
    <t>KWA660F</t>
  </si>
  <si>
    <t>CABINET 4-19'' 6U 570x600 UNASSEMBLED BLACK</t>
  </si>
  <si>
    <t>4897108885068</t>
  </si>
  <si>
    <t>COFFRET 4-19" 6U 570x600 NON MONTE NOIR</t>
  </si>
  <si>
    <t>KWA960F</t>
  </si>
  <si>
    <t>CABINET 4-19'' 9U 570x600 UNASSEMBLED BLACK</t>
  </si>
  <si>
    <t>4897108885075</t>
  </si>
  <si>
    <t>COFFRET 4-19" 9U 570x600 NON MONTE NOIR</t>
  </si>
  <si>
    <t>KWA1260F</t>
  </si>
  <si>
    <t>CABINET 4-19'' 12U 570x600 UNASSEMBLED BLACK</t>
  </si>
  <si>
    <t>4897108885082</t>
  </si>
  <si>
    <t>COFFRET 4-19" 12U 570x600 NON MONTE NOIR</t>
  </si>
  <si>
    <t>KWA1560F</t>
  </si>
  <si>
    <t>CABINET 4-19'' 15U 570x600 UNASSEMBLED BLACK</t>
  </si>
  <si>
    <t>4897108885099</t>
  </si>
  <si>
    <t>COFFRET 4-19" 15U 570x600 NON MONTE NOIR</t>
  </si>
  <si>
    <t>KWA1860F</t>
  </si>
  <si>
    <t>CABINET 4-19'' 18U 570x600 UNASSEMBLED BLACK</t>
  </si>
  <si>
    <t>4897108885105</t>
  </si>
  <si>
    <t>COFFRET 4-19" 18U 570x600 NON MONTE NOIR</t>
  </si>
  <si>
    <t>KWA2260F</t>
  </si>
  <si>
    <t>CABINET 4-19'' 22U 570x600 UNASSEMBLED BLACK</t>
  </si>
  <si>
    <t>4897108885112</t>
  </si>
  <si>
    <t>COFFRET 4-19" 22U 570x600 NON MONTE NOIR</t>
  </si>
  <si>
    <t>KWA645F</t>
  </si>
  <si>
    <t>CABINET 2-19'' 6U 570x450 UNASSEMBLED BLACK</t>
  </si>
  <si>
    <t>4897108885129</t>
  </si>
  <si>
    <t>COFFRET 2-19" 6U 570x450 NON MONTE NOIR</t>
  </si>
  <si>
    <t>KWA945F</t>
  </si>
  <si>
    <t>CABINET 2-19'' 9U 570x450 UNASSEMBLED BLACK</t>
  </si>
  <si>
    <t>4897108885136</t>
  </si>
  <si>
    <t>COFFRET 2-19" 9U 570x450 NON MONTE NOIR</t>
  </si>
  <si>
    <t>KWA1245F</t>
  </si>
  <si>
    <t>CABINET 2-19'' 12U 570x450 UNASSEMBLED BLACK</t>
  </si>
  <si>
    <t>4897108885143</t>
  </si>
  <si>
    <t>COFFRET 2-19" 12U 570x450 NON MONTE NOIR</t>
  </si>
  <si>
    <t>KWA1545F</t>
  </si>
  <si>
    <t>CABINET 2-19'' 15U 570x450 UNASSEMBLED BLACK</t>
  </si>
  <si>
    <t>4897108885150</t>
  </si>
  <si>
    <t>COFFRET 2-19" 15U 570x450 NON MONTE NOIR</t>
  </si>
  <si>
    <t>KWA1845F</t>
  </si>
  <si>
    <t>CABINET 2-19'' 18U 570x450 UNASSEMBLED BLACK</t>
  </si>
  <si>
    <t>4897108885167</t>
  </si>
  <si>
    <t>COFFRET 2-19" 18U 570x450 NON MONTE NOIR</t>
  </si>
  <si>
    <t>KWA2245F</t>
  </si>
  <si>
    <t>CABINET 2-19'' 22U 570x450 UNASSEMBLED BLACK</t>
  </si>
  <si>
    <t>4897108885174</t>
  </si>
  <si>
    <t>COFFRET 2-19" 22U 570x450 NON MONTE NOIR</t>
  </si>
  <si>
    <t>NETWORK CABINET START</t>
  </si>
  <si>
    <t>KRS42810DG2</t>
  </si>
  <si>
    <t>NETWORK CABINET "GRID" 42U 800x1000 19' DOUBLE FRONT/REAR PERFORATED DOORS</t>
  </si>
  <si>
    <t>4897108885204</t>
  </si>
  <si>
    <t xml:space="preserve">KRS42810DP2 </t>
  </si>
  <si>
    <t>NETWORK CABINET "START" 42U 800x1000 19 INCH DOUBLE FRONT/REAR PERFORATED DOORS</t>
  </si>
  <si>
    <t>4897108885853</t>
  </si>
  <si>
    <t>BAIE RESEAU "START" 42U 800x1000 19 POUCES DOUBLE PORTE AV/AR PERFOREES</t>
  </si>
  <si>
    <t>KRS4288DGR</t>
  </si>
  <si>
    <t>NETWORK CABINET "START" 42U 800x800 19 INCH DOUBLE GLASS DOORS - REAR PANEL</t>
  </si>
  <si>
    <t>4897108885860</t>
  </si>
  <si>
    <t>BAIE RESEAU "START" 42U 800x800 19 POUCES DOUBLE PORTE AV VITREE - PANNEAU AR</t>
  </si>
  <si>
    <t>KRS4286DGR</t>
  </si>
  <si>
    <t>NETWORK CABINET "START" 42U 800x600 19 INCH DOUBLE GLASS DOORS - REAR PANEL</t>
  </si>
  <si>
    <t>4897108885877</t>
  </si>
  <si>
    <t>BAIE RESEAU "START" 42U 800x600 19 POUCES DOUBLE PORTE AV VITREE - PANNEAU AR</t>
  </si>
  <si>
    <t>KRS4266SGR</t>
  </si>
  <si>
    <t>NETWORK CABINET "START" 42U 600x600 19 INCH SINGLE GLASS DOOR - REAR PANEL</t>
  </si>
  <si>
    <t>4897108885884</t>
  </si>
  <si>
    <t>BAIE RESEAU "START" 42U 600x600 19 POUCES PORTE AV VITREE SIMPLE - PANNEAU AR</t>
  </si>
  <si>
    <t>NETWORK CABINET GRID</t>
  </si>
  <si>
    <t>KRG4288DP2</t>
  </si>
  <si>
    <t>NETWORK CABINET "GRID" 42U 800x800 19 INCH DOUBLE  FRONT/REAR PERFORATED DOORS</t>
  </si>
  <si>
    <t>4897108885891</t>
  </si>
  <si>
    <t>BAIE RESEAU "GRID" 42U 800x800 19 POUCES DOUBLE PORTE AV/AR PERFOREES</t>
  </si>
  <si>
    <t>KRS4288SGR</t>
  </si>
  <si>
    <t>NETWORK CABINET "START" 42U 800x800 19 INCH SINGLE GLASS DOORS - REAR PANEL</t>
  </si>
  <si>
    <t>4897108885907</t>
  </si>
  <si>
    <t>BAIE RESEAU "START" 42U 800x800 19 POUCES PORTE AV VITREE SIMPLE - PANNEAU AR</t>
  </si>
  <si>
    <t xml:space="preserve">KRG42810DP2 </t>
  </si>
  <si>
    <t>NETWORK CABINET "GRID" 42U
800x1000 19 INCH DOUBLE
FRONT/REAR PERFORATED DOORS</t>
  </si>
  <si>
    <t>4897108885914</t>
  </si>
  <si>
    <t>NETWORK CABINET "GRID" 42U 
800x1000 19 INCH DOUBLE 
FRONT/REAR PERFORATED DOORS</t>
  </si>
  <si>
    <t>BAIE RESEAU "GRID" 42U 800x1000 19 POUCES POUCES DOUBLE PORTE AV/AR PERFOREES</t>
  </si>
  <si>
    <t>KRG4288DGR</t>
  </si>
  <si>
    <t>NETWORK CABINET "GRID" 42U 800x800 19 INCH DOUBLE  FRONT GLASS DOOR - FULL REAR</t>
  </si>
  <si>
    <t>4897108885921</t>
  </si>
  <si>
    <t>BAIE RESEAU "GRID" 42U 800x800 19 POUCES DOUBLE PORTE AV VITREE - PANNEAU AR</t>
  </si>
  <si>
    <t>WALL CABINET GRID</t>
  </si>
  <si>
    <t>KWG09600SG</t>
  </si>
  <si>
    <t>WALL MOUNTED RACK "GRID" 9U 565x600 19 INCH - BLACK</t>
  </si>
  <si>
    <t>4897108885938</t>
  </si>
  <si>
    <t>COFFRET 19 POUCES  "GRID" 9U 565x600  - NOIR</t>
  </si>
  <si>
    <t>KRS2466SGR</t>
  </si>
  <si>
    <t>NETWORK CABINET "START" 24U 600x600 19 INCH SINGLE GLASS DOOR - REAR PANEL</t>
  </si>
  <si>
    <t>4897108888793</t>
  </si>
  <si>
    <t>BAIE RESEAU "START" 24U 600x600 19 POUCES PORTE AV VITREE SIMPLE - PANNEAU AR</t>
  </si>
  <si>
    <t>WALL CABINET IP55</t>
  </si>
  <si>
    <t>KWI07600</t>
  </si>
  <si>
    <t>IP 55 WALL MOUNTED RACK 7U 600x600 19 INCH - LIGHT GREY</t>
  </si>
  <si>
    <t>4897108885945</t>
  </si>
  <si>
    <t>COFFRET 19 POUCES IP55  7U 600x600 - GRIS CLAIR</t>
  </si>
  <si>
    <t>KWI07600FDRA</t>
  </si>
  <si>
    <t>IP 55 WALL MOUNTED RACK 7U 600x600 19 INCH REMOVABLE SIDE PANEL - LIGHT GREY</t>
  </si>
  <si>
    <t>4897108885952</t>
  </si>
  <si>
    <t>COFFRET 19 POUCES IP55  7U 600x600  PANNEAU LATERAL AMOVIBLE - GRIS CLAIR</t>
  </si>
  <si>
    <t>KWI09600SGRA</t>
  </si>
  <si>
    <t>IP 55 WALL MOUNTED RACK 9U 600x600 19 INCH FRONT GLASS DOOR &amp; REMOVABLE SIDE PANEL - LIGHT GREY</t>
  </si>
  <si>
    <t>4897108885990</t>
  </si>
  <si>
    <t>COFFRET 19 POUCES IP55  9U 600x600 PORTE AVANT VERRE &amp;  PANNEAU LATERAL AMOVIBLE - GRIS CLAIR</t>
  </si>
  <si>
    <t>KWI12600SGRA</t>
  </si>
  <si>
    <t>IP 55 WALL MOUNTED RACK 12U 600x600 19 INCH FRONT GLASS DOOR &amp; REMOVABLE SIDE PANEL - LIGHT GREY</t>
  </si>
  <si>
    <t>4897108886003</t>
  </si>
  <si>
    <t>COFFRET 19 POUCES IP55  12U 600x600 PORTE AVANT VERRE &amp;  PANNEAU LATERAL AMOVIBLE - GRIS CLAIR</t>
  </si>
  <si>
    <t xml:space="preserve">KWI16600SGRA </t>
  </si>
  <si>
    <t>IP 55 WALL MOUNTED RACK 16U 600x600 19 INCH FRONT GLASS DOOR &amp; REMOVABLE SIDE PANEL - LIGHT GREY</t>
  </si>
  <si>
    <t>4897108886010</t>
  </si>
  <si>
    <t>COFFRET 19 POUCES IP55  16U 600x600 PORTE AVANT VERRE &amp;  PANNEAU LATERAL AMOVIBLE - GRIS CLAIR</t>
  </si>
  <si>
    <t>KRC4L42810SPDP</t>
  </si>
  <si>
    <t>CO-LOCATION NETWORK RACK CABINET 4 SECTIONS 42U 800x1000 MM 19-INCH PERFORATED FRONT AND REAR DOORS</t>
  </si>
  <si>
    <t>4897108888434</t>
  </si>
  <si>
    <t>BAIE RESEAU DE CO-LOCATION 4 COMPARTIMENTS 42U 800X1000 19 POUCES PORTES AV/AR PERFOREES</t>
  </si>
  <si>
    <t>CABINET ACCESS</t>
  </si>
  <si>
    <t>WALL CABINET IP55 ACCESS</t>
  </si>
  <si>
    <t xml:space="preserve">KWI12UFD </t>
  </si>
  <si>
    <t>FULL DOOR WITH HANDLE LOCK 12U IP55</t>
  </si>
  <si>
    <t>4897108886027</t>
  </si>
  <si>
    <t>PORTE COMPLETTE SERRURE POIGNÉE 12U IP55</t>
  </si>
  <si>
    <t xml:space="preserve">KFAN2VG </t>
  </si>
  <si>
    <t>2 FANS ANALOG THERMOSTAT CONTROLLED FAN MODULE</t>
  </si>
  <si>
    <t>1,8</t>
  </si>
  <si>
    <t>4897108886034</t>
  </si>
  <si>
    <t>MODULE 2 VENTILATEURS RÉGULÉS PAR THERMOSTAT</t>
  </si>
  <si>
    <t>KWIBASE600</t>
  </si>
  <si>
    <t>BASE FOR RACK IP55 600MM W600-D600-H100</t>
  </si>
  <si>
    <t>5,68</t>
  </si>
  <si>
    <t>4897108886041</t>
  </si>
  <si>
    <t>BASE RACK IP55 600×600×100 MM</t>
  </si>
  <si>
    <t>NETWORK CABINET GRID ACCESS</t>
  </si>
  <si>
    <t>KFA4T</t>
  </si>
  <si>
    <t>4 FANS BLACK ANALOG THEMOSTAT CONTROLLED FAN MODULE</t>
  </si>
  <si>
    <t>4897108885211</t>
  </si>
  <si>
    <t>KCH8101628</t>
  </si>
  <si>
    <t>ADJUSTABLE CHAIR 800x1000 H158-280</t>
  </si>
  <si>
    <t xml:space="preserve">TELEPHONE CABLE </t>
  </si>
  <si>
    <t>TELEPHONE CABLE SYT2</t>
  </si>
  <si>
    <t>KSYT2A2415ZHB2BR5</t>
  </si>
  <si>
    <r>
      <rPr>
        <rFont val="Calibri"/>
        <color rgb="FF1F3864"/>
        <sz val="10.0"/>
      </rPr>
      <t xml:space="preserve">CABLEAWG24 SYT 2 ARMORED LSZH 15 PAIRS B2CA BROWN RAL </t>
    </r>
    <r>
      <rPr>
        <rFont val="Calibri"/>
        <color rgb="FFFF0000"/>
        <sz val="10.0"/>
      </rPr>
      <t>1011</t>
    </r>
    <r>
      <rPr>
        <rFont val="Calibri"/>
        <color rgb="FF1F3864"/>
        <sz val="10.0"/>
      </rPr>
      <t xml:space="preserve"> D500M</t>
    </r>
  </si>
  <si>
    <t>TURKEY</t>
  </si>
  <si>
    <t>4897108885600</t>
  </si>
  <si>
    <t>120x110x80</t>
  </si>
  <si>
    <t>CABLEAWG24 SYT 2 ARMORED LSZH 15 PAIRS BROWN B2CA 500M</t>
  </si>
  <si>
    <t>CABLE AWG24 SYT 2 ARMEE LSZH 15 PAIRES MARRON B2CA 500M</t>
  </si>
  <si>
    <t>UKN-TELAR1524LHB</t>
  </si>
  <si>
    <t>UKN-SYTARBLH-E02</t>
  </si>
  <si>
    <t>UNIKKERN SYT2 5 PAIRS AWG24 EN50575 B2ca E02WW/YY CE xxxxxxM</t>
  </si>
  <si>
    <t>KSYT2A2430ZHB2BR5</t>
  </si>
  <si>
    <r>
      <rPr>
        <rFont val="Calibri"/>
        <color rgb="FF1F3864"/>
        <sz val="10.0"/>
      </rPr>
      <t xml:space="preserve">CABLEAWG24 SYT 2 ARMORED LSZH 30 PAIRS B2CA BROWN RAL </t>
    </r>
    <r>
      <rPr>
        <rFont val="Calibri"/>
        <color rgb="FFFF0000"/>
        <sz val="10.0"/>
      </rPr>
      <t>1011</t>
    </r>
    <r>
      <rPr>
        <rFont val="Calibri"/>
        <color rgb="FF1F3864"/>
        <sz val="10.0"/>
      </rPr>
      <t xml:space="preserve"> D500M</t>
    </r>
  </si>
  <si>
    <t>4897108885617</t>
  </si>
  <si>
    <t>125x120x80</t>
  </si>
  <si>
    <t>CABLEAWG24 SYT 2 ARMORED LSZH 30 PAIRS BROWN B2CA 500M</t>
  </si>
  <si>
    <t>CABLE AWG24 SYT 2 ARMEE LSZH 30 PAIRES MARRON B2CA 500M</t>
  </si>
  <si>
    <t>UKN-TELAR3024LHB</t>
  </si>
  <si>
    <t>UNIKKERN SYT2 15 PAIRS AWG24 EN50575 B2ca E02WW/YY CE xxxxxxM</t>
  </si>
  <si>
    <t>KSYT2A245ZHB2BR5</t>
  </si>
  <si>
    <r>
      <rPr>
        <rFont val="Calibri"/>
        <color rgb="FF1F3864"/>
        <sz val="10.0"/>
      </rPr>
      <t xml:space="preserve">CABLEAWG24 SYT 2 ARMORED LSZH 5 PAIRS B2CA BROWN RAL </t>
    </r>
    <r>
      <rPr>
        <rFont val="Calibri"/>
        <color rgb="FFFF0000"/>
        <sz val="10.0"/>
      </rPr>
      <t>1011</t>
    </r>
    <r>
      <rPr>
        <rFont val="Calibri"/>
        <color rgb="FF1F3864"/>
        <sz val="10.0"/>
      </rPr>
      <t xml:space="preserve"> D500M</t>
    </r>
  </si>
  <si>
    <t>4897108885594</t>
  </si>
  <si>
    <t>CABLEAWG24 SYT 2 ARMORED LSZH 5 PAIRS BROWN B2CA 500M</t>
  </si>
  <si>
    <t>CABLE AWG24 SYT 2 ARMEE LSZH 5 PAIRES MARRON B2CA 500M</t>
  </si>
  <si>
    <t>UKN-TELAR524LHB</t>
  </si>
  <si>
    <t>UNIKKERN SYT2 30 PAIRS AWG24 EN50575 B2ca E02WW/YY CE xxxxxxM</t>
  </si>
  <si>
    <t>KSYT2A2410ZHB2BR5</t>
  </si>
  <si>
    <r>
      <rPr>
        <rFont val="Calibri"/>
        <color rgb="FF1F3864"/>
        <sz val="10.0"/>
      </rPr>
      <t xml:space="preserve">CABLEAWG24 SYT 2 ARMORED LSZH 10 PAIRS B2CA BROWN RAL </t>
    </r>
    <r>
      <rPr>
        <rFont val="Calibri"/>
        <color rgb="FFFF0000"/>
        <sz val="10.0"/>
      </rPr>
      <t>1011</t>
    </r>
    <r>
      <rPr>
        <rFont val="Calibri"/>
        <color rgb="FF1F3864"/>
        <sz val="10.0"/>
      </rPr>
      <t xml:space="preserve"> D500M</t>
    </r>
  </si>
  <si>
    <t>4897108886171</t>
  </si>
  <si>
    <t>CABLEAWG24 SYT 2 ARMORED LSZH 10 PAIRS BROWN B2CA 500M</t>
  </si>
  <si>
    <t>CABLE AWG24 SYT 2 ARMEE LSZH 10 PAIRES MARRON B2CA 500M</t>
  </si>
  <si>
    <t>UKN-TELAR1024LHB</t>
  </si>
  <si>
    <t>KSYT2A2056ZHB2BR5</t>
  </si>
  <si>
    <t>CABLEAWG20 SYT 2 ARMORED LSZH 56 PAIRS BROWN RAL 1011 B2CA D500M</t>
  </si>
  <si>
    <t>4897108888786</t>
  </si>
  <si>
    <t>CABLEAWG20 SYT 2 ARMORED LSZH 56 PAIRS BROWN B2CA 500M</t>
  </si>
  <si>
    <t>CABLE AWG20 SYT 2 ARMEE LSZH 56 PAIRES MARRON B2CA 500M</t>
  </si>
  <si>
    <t>UKN-TELAR5620LHB</t>
  </si>
  <si>
    <t>KSYT2A2456ZHB2BR5</t>
  </si>
  <si>
    <t>CABLEAWG24 SYT 2 ARMORED LSZH 56 PAIRS BROWN RAL 1011 B2CA D500M</t>
  </si>
  <si>
    <t>4897108888762</t>
  </si>
  <si>
    <t>CABLEAWG24 SYT 2 ARMORED LSZH 56 PAIRS BROWN B2CA 500M</t>
  </si>
  <si>
    <t>CABLE AWG24 SYT 2 ARMEE LSZH 56 PAIRES MARRON B2CA 500M</t>
  </si>
  <si>
    <t>UKN-TELAR5624LHB</t>
  </si>
  <si>
    <t>KSYT2A24112ZHB2BR5</t>
  </si>
  <si>
    <t>CABLEAWG24 SYT 2 ARMORED LSZH 112 PAIRS BROWN RAL 1011 B2CA D500M</t>
  </si>
  <si>
    <t>4897108888779</t>
  </si>
  <si>
    <t>CABLEAWG24 SYT 2 ARMORED LSZH 112 PAIRS BROWN B2CA 500M</t>
  </si>
  <si>
    <t>CABLE AWG24 SYT 2 ARMEE LSZH 112 PAIRES MARRON B2CA 500M</t>
  </si>
  <si>
    <t>UKN-TELAR11224LHB</t>
  </si>
  <si>
    <t>KRG47810EDF</t>
  </si>
  <si>
    <t>NETWORK CABINET "GRID" 47U 800x1000 19 INCH FRONT/REAR PERFORATED DOORS EDF SPECIAL</t>
  </si>
  <si>
    <t>4897108886515</t>
  </si>
  <si>
    <t>BAIE RESEAU "GRID" 47U 800x1000 19 POUCES PORTE AV/AR PERFOREES SPECIAL EDF</t>
  </si>
  <si>
    <t>KRG4288EDF</t>
  </si>
  <si>
    <t>NETWORK CABINET "GRID" 42U 800x800 19 INCH FRONT/REAR PERFORATED DOORS EDF SPECIAL</t>
  </si>
  <si>
    <t>4897108886188</t>
  </si>
  <si>
    <t>KRG4266EDF</t>
  </si>
  <si>
    <t>NETWORK CABINET "GRID" 42U 600x600 19 INCH FRONT/REAR PERFORATED DOORS EDF SPECIAL</t>
  </si>
  <si>
    <t>4897108886195</t>
  </si>
  <si>
    <r>
      <rPr>
        <rFont val="Calibri"/>
        <color rgb="FF1E4E79"/>
        <sz val="10.0"/>
      </rPr>
      <t xml:space="preserve">*For Detailed packing, please refer to Syskern drive: SYS\SYSKERN - </t>
    </r>
    <r>
      <rPr>
        <rFont val="DengXian"/>
        <color rgb="FFFF0000"/>
        <sz val="10.0"/>
      </rPr>
      <t>文档</t>
    </r>
    <r>
      <rPr>
        <rFont val="Calibri"/>
        <color rgb="FFFF0000"/>
        <sz val="10.0"/>
      </rPr>
      <t>\General\UKN PRODUCTS DATABASE &amp; PRICELIST\Packing details</t>
    </r>
  </si>
  <si>
    <t>KRG42810EDF</t>
  </si>
  <si>
    <t>NETWORK CABINET "GRID" 42U 800x1000 19 INCH FRONT/REAR PERFORATED DOORS EDF SPECIAL</t>
  </si>
  <si>
    <t>4897108886201</t>
  </si>
  <si>
    <t>KRG4268EDF</t>
  </si>
  <si>
    <t>NETWORK CABINET "GRID" 42U 600x800 19 INCH FRONT/REAR PERFORATED DOORS EDF SPECIAL</t>
  </si>
  <si>
    <t>4897108886218</t>
  </si>
  <si>
    <t>KWG09600FD</t>
  </si>
  <si>
    <t>19 INCH WALL MOUNTED RACK 09U PROF600 WITH SOLID FRONT DOOR</t>
  </si>
  <si>
    <t>4897108886225</t>
  </si>
  <si>
    <t>KWG12600</t>
  </si>
  <si>
    <t>19 INCH WALL MOUNTED RACK 12U PROF600</t>
  </si>
  <si>
    <t>4897108886232</t>
  </si>
  <si>
    <t>KWGDOOR12PED</t>
  </si>
  <si>
    <t>PERFORATED FRONT DOOR 12U</t>
  </si>
  <si>
    <t>4897108886249</t>
  </si>
  <si>
    <t>KWGDOOR12FD</t>
  </si>
  <si>
    <t>SOLID FRONT DOOR 12U</t>
  </si>
  <si>
    <t>4897108886256</t>
  </si>
  <si>
    <t>KWG22600</t>
  </si>
  <si>
    <t>19 INCH WALL MOUNTED RACK 22U PROF600</t>
  </si>
  <si>
    <t>4897108886263</t>
  </si>
  <si>
    <t>KWGDOOR22FD</t>
  </si>
  <si>
    <t>SOLID FRONT DOOR 22U</t>
  </si>
  <si>
    <t>4897108886270</t>
  </si>
  <si>
    <t>KWGDOOR22PED</t>
  </si>
  <si>
    <t>PERFORATED FRONT DOOR 22U</t>
  </si>
  <si>
    <t>4897108886287</t>
  </si>
  <si>
    <t>KRG42810SGR</t>
  </si>
  <si>
    <t>NETWORK CABINET "GRID" 42U 800x1000 19 INCH SINGLE FRONT GLASS DOOR - FULL REAR</t>
  </si>
  <si>
    <t>4897108886294</t>
  </si>
  <si>
    <t>KRG42810DP2</t>
  </si>
  <si>
    <t>NETWORK CABINET "GRID" 42U 800x1000 19 INCH DOUBLE FRONT/REAR PERFORATED DOORS</t>
  </si>
  <si>
    <t>4897108886300</t>
  </si>
  <si>
    <t>KCH881628</t>
  </si>
  <si>
    <t>ADJUSTABLE CHAIR 800x800 H158-280</t>
  </si>
  <si>
    <t>4897108886317</t>
  </si>
  <si>
    <t>KCH882852</t>
  </si>
  <si>
    <t>ADJUSTABLE CHAIR 800x800 H278-520</t>
  </si>
  <si>
    <t>4897108886324</t>
  </si>
  <si>
    <t>KCH8102852</t>
  </si>
  <si>
    <t>ADJUSTABLE CHAIR 800x1000 H278-520</t>
  </si>
  <si>
    <t>4897108886331</t>
  </si>
  <si>
    <t>KCH661628</t>
  </si>
  <si>
    <t>ADJUSTABLE CHAIR 600x600 H158-280</t>
  </si>
  <si>
    <t>4897108886348</t>
  </si>
  <si>
    <t>KCH662852</t>
  </si>
  <si>
    <t>ADJUSTABLE CHAIR 600x600 H278-520</t>
  </si>
  <si>
    <t>4897108886355</t>
  </si>
  <si>
    <t>KSFS1U800</t>
  </si>
  <si>
    <t>19" FIXED SHELVE 1U DEPTH 800 MM PER BOX</t>
  </si>
  <si>
    <t>4897108886362</t>
  </si>
  <si>
    <t>KSFS1U1000</t>
  </si>
  <si>
    <t>19" FIXED SHELVE 1U DEPTH 1000 MM PER BOX</t>
  </si>
  <si>
    <t>4897108886379</t>
  </si>
  <si>
    <t>KSC1U800</t>
  </si>
  <si>
    <t>19" SLIDING SHELVE 1U DEPTH 800 MM PER BOX</t>
  </si>
  <si>
    <t>4897108886386</t>
  </si>
  <si>
    <t>KSC1U1000</t>
  </si>
  <si>
    <t>19" SLIDING SHELVE 1U DEPTH 1000 MM PER BOX</t>
  </si>
  <si>
    <t>4897108886393</t>
  </si>
  <si>
    <t>KW1/4T</t>
  </si>
  <si>
    <t>1/4 TURN SECURED CAM LOCK CYLINDER, FOR PANELS AND WALL CABINETS</t>
  </si>
  <si>
    <t>4897108886409</t>
  </si>
  <si>
    <t>KWMTBALAI</t>
  </si>
  <si>
    <t>BRUSH MODULE FOR CABINET ROOF</t>
  </si>
  <si>
    <t>4897108886416</t>
  </si>
  <si>
    <t>FIBER ACCESS</t>
  </si>
  <si>
    <t>OPTICAL PATCH PANEL</t>
  </si>
  <si>
    <t>KSLI1UHM</t>
  </si>
  <si>
    <t>19'' OPTICAL PATCH PANEL SLIM 1U SLIM UP TO 144 FIBERS WITH SIDE CABLES GUIDES</t>
  </si>
  <si>
    <t>CHINA</t>
  </si>
  <si>
    <t>4897108889097</t>
  </si>
  <si>
    <t>19'' OPTICAL PATCH PANEL SLIM 1U SLIM UP TO 144 FIBERS WITH SIDE CABLES GUIDES PER FRIENDLY CARTON</t>
  </si>
  <si>
    <t xml:space="preserve">PANNEAU 19'' SLIM HAUTE DENSITE AVEC GESTION ARRIERE / AVANT - MAX 144FO </t>
  </si>
  <si>
    <t>KSLIM12LCDOM4</t>
  </si>
  <si>
    <t>FUSION SPLICE CASSETTE FOR SLIM OPTICAL PATCH PANEL LCD OM4 12 FIBERS</t>
  </si>
  <si>
    <t>4897108889103</t>
  </si>
  <si>
    <t>FUSION SPLICE CASSETTE FOR SLIM OPTICAL PATCH PANEL LCD OM4 12 FIBERS ECO FRIENDLY BAG</t>
  </si>
  <si>
    <t xml:space="preserve">CASSETTE SLIM A FUSIONNER POUR TIROIR HAUTE DENSITE - LCD OM4 12 BRINS </t>
  </si>
  <si>
    <t>KSLIM12LCDOS2</t>
  </si>
  <si>
    <t>FUSION SPLICE CASSETTE FOR SLIM OPTICAL PATCH PANEL LCD OS2 12 FIBERS</t>
  </si>
  <si>
    <t>4897108889110</t>
  </si>
  <si>
    <t>FUSION SPLICE CASSETTE FOR SLIM OPTICAL PATCH PANEL LCD OS2 12 FIBERS ECO FRIENDLY BAG</t>
  </si>
  <si>
    <t xml:space="preserve">CASSETTE SLIM A FUSIONNER POUR TIROIR HAUTE DENSITE - LCD OS2 12 BRINS </t>
  </si>
  <si>
    <t>KSLIMOBT</t>
  </si>
  <si>
    <t>BLANK MODULE FOR SLIM OPTICAL PATCH PANEL</t>
  </si>
  <si>
    <t>4897108889127</t>
  </si>
  <si>
    <t>BLANK MODULE FOR SLIM OPTICAL PATCH PANEL PER FRIENDLY CARTON</t>
  </si>
  <si>
    <t xml:space="preserve">OBTURATEUR POUR PANNEAU DE BRASSAGE OPTIQUE SLIM </t>
  </si>
  <si>
    <t>CPR</t>
  </si>
  <si>
    <t>TELEPHONE CABLE SYT1</t>
  </si>
  <si>
    <t>NKSYT2P20G5</t>
  </si>
  <si>
    <t>SYT 2P AWG 20 PVC Eca Grey D500M</t>
  </si>
  <si>
    <t>4897108885334</t>
  </si>
  <si>
    <t>SYT 2P AWG 20 PVC ECA GREY 500M</t>
  </si>
  <si>
    <t>SYT 2P AWG 20 PVC ECA GRIS 500M</t>
  </si>
  <si>
    <t>XKN-TEL220PC</t>
  </si>
  <si>
    <t>XKN-SYT-XX-0024</t>
  </si>
  <si>
    <t>BUS CABLE</t>
  </si>
  <si>
    <t>NKEIB2P08LSZH5</t>
  </si>
  <si>
    <t>BUS EIB CABLE 2x2x0.8 LSZH Dca D500M</t>
  </si>
  <si>
    <t>4897108885686</t>
  </si>
  <si>
    <t>BUS EIB CABLE 2x2x0.8 LSZH Dca 500M</t>
  </si>
  <si>
    <t>CÂBLE BUS EIB 2x2x0.8 LSZH Dca 500M</t>
  </si>
  <si>
    <t>XKN-EIB3P208</t>
  </si>
  <si>
    <t>XKN-EIBD-XX-0016</t>
  </si>
  <si>
    <t>Individual Packing</t>
  </si>
  <si>
    <t>Individual carton/bag size</t>
  </si>
  <si>
    <t>Inner carton size mm</t>
  </si>
  <si>
    <t>Export carton size mm</t>
  </si>
  <si>
    <t>CABLE GRADE 3 TV 2.15GHZ T500M</t>
  </si>
  <si>
    <t>500m drum</t>
  </si>
  <si>
    <t>ORSEANCABLES GRADE3TV 4 PAIRES AWG23 F/FTP - 2150MHZ - DCA s2 d2 a2 - CE - LSZH &amp; MARQUAGE METRIQUE</t>
  </si>
  <si>
    <t>CABLE GRADE 3 TV 2.15GHZ T4000M</t>
  </si>
  <si>
    <t>4000m drum</t>
  </si>
  <si>
    <t>OEG3TVs4CT5</t>
  </si>
  <si>
    <t>Cca</t>
  </si>
  <si>
    <t>4897108880216</t>
  </si>
  <si>
    <t>ORSEANCABLES GRADE3TV 4 PAIRES AWG23 F/FTP - 2150MHZ - CCA s1 d1 a1 - CE - LSZH &amp; MARQUAGE METRIQUE</t>
  </si>
  <si>
    <t>OEG3TVs4CT40</t>
  </si>
  <si>
    <t>4897108884016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</si>
</sst>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b/>
      <sz val="10.0"/>
      <color rgb="FF1E4E79"/>
      <name val="Calibri"/>
    </font>
    <font>
      <b/>
      <sz val="10.0"/>
      <color rgb="FF162F56"/>
      <name val="Calibri"/>
    </font>
    <font>
      <sz val="10.0"/>
      <color rgb="FF1E4E79"/>
      <name val="Calibri"/>
    </font>
    <font>
      <sz val="10.0"/>
      <color rgb="FFFF0000"/>
      <name val="Calibri"/>
    </font>
    <font>
      <sz val="10.0"/>
      <color rgb="FF44546A"/>
      <name val="Calibri"/>
    </font>
    <font>
      <sz val="10.0"/>
      <color theme="1"/>
      <name val="Calibri"/>
    </font>
    <font>
      <sz val="10.0"/>
      <color rgb="FF0000FF"/>
      <name val="Calibri"/>
    </font>
    <font>
      <sz val="10.0"/>
      <color rgb="FF1F3864"/>
      <name val="Calibri"/>
    </font>
    <font>
      <sz val="10.0"/>
      <color rgb="FF1F4E78"/>
      <name val="Calibri"/>
    </font>
    <font>
      <b/>
      <i/>
      <sz val="10.0"/>
      <color theme="1"/>
      <name val="Calibri"/>
    </font>
    <font>
      <i/>
      <sz val="10.0"/>
      <color theme="1"/>
      <name val="Calibri"/>
    </font>
    <font>
      <b/>
      <sz val="10.0"/>
      <color rgb="FFFF0000"/>
      <name val="Calibri"/>
    </font>
    <font>
      <sz val="10.0"/>
      <color rgb="FF000000"/>
      <name val="Calibri"/>
    </font>
    <font>
      <sz val="10.0"/>
      <color rgb="FF00206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649E5F"/>
        <bgColor rgb="FF649E5F"/>
      </patternFill>
    </fill>
    <fill>
      <patternFill patternType="solid">
        <fgColor rgb="FFFBE4D5"/>
        <bgColor rgb="FFFBE4D5"/>
      </patternFill>
    </fill>
    <fill>
      <patternFill patternType="solid">
        <fgColor rgb="FF757070"/>
        <bgColor rgb="FF75707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4" xfId="0" applyAlignment="1" applyBorder="1" applyFont="1" applyNumberFormat="1">
      <alignment vertical="center"/>
    </xf>
    <xf borderId="1" fillId="0" fontId="3" numFmtId="4" xfId="0" applyAlignment="1" applyBorder="1" applyFont="1" applyNumberFormat="1">
      <alignment vertical="center"/>
    </xf>
    <xf borderId="1" fillId="0" fontId="3" numFmtId="4" xfId="0" applyAlignment="1" applyBorder="1" applyFont="1" applyNumberFormat="1">
      <alignment horizontal="left" vertical="center"/>
    </xf>
    <xf borderId="1" fillId="4" fontId="3" numFmtId="4" xfId="0" applyAlignment="1" applyBorder="1" applyFont="1" applyNumberFormat="1">
      <alignment horizontal="center" vertical="center"/>
    </xf>
    <xf quotePrefix="1" borderId="1" fillId="0" fontId="3" numFmtId="164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quotePrefix="1" borderId="1" fillId="6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vertical="center"/>
    </xf>
    <xf borderId="1" fillId="7" fontId="3" numFmtId="0" xfId="0" applyAlignment="1" applyBorder="1" applyFont="1">
      <alignment horizontal="center" vertical="center"/>
    </xf>
    <xf borderId="1" fillId="7" fontId="3" numFmtId="4" xfId="0" applyAlignment="1" applyBorder="1" applyFont="1" applyNumberFormat="1">
      <alignment vertical="center"/>
    </xf>
    <xf borderId="1" fillId="7" fontId="3" numFmtId="4" xfId="0" applyAlignment="1" applyBorder="1" applyFont="1" applyNumberFormat="1">
      <alignment horizontal="left" vertical="center"/>
    </xf>
    <xf quotePrefix="1" borderId="1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left" vertical="center"/>
    </xf>
    <xf borderId="1" fillId="8" fontId="3" numFmtId="0" xfId="0" applyAlignment="1" applyBorder="1" applyFill="1" applyFont="1">
      <alignment vertical="center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shrinkToFit="0" vertical="center" wrapText="1"/>
    </xf>
    <xf quotePrefix="1"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vertical="center"/>
    </xf>
    <xf borderId="1" fillId="7" fontId="5" numFmtId="4" xfId="0" applyAlignment="1" applyBorder="1" applyFont="1" applyNumberFormat="1">
      <alignment horizontal="left" vertical="center"/>
    </xf>
    <xf borderId="1" fillId="7" fontId="5" numFmtId="0" xfId="0" applyAlignment="1" applyBorder="1" applyFont="1">
      <alignment horizontal="left" vertical="center"/>
    </xf>
    <xf borderId="1" fillId="7" fontId="1" numFmtId="0" xfId="0" applyAlignment="1" applyBorder="1" applyFont="1">
      <alignment vertical="center"/>
    </xf>
    <xf borderId="1" fillId="7" fontId="3" numFmtId="0" xfId="0" applyAlignment="1" applyBorder="1" applyFont="1">
      <alignment horizontal="left" shrinkToFit="0" vertical="center" wrapText="1"/>
    </xf>
    <xf borderId="1" fillId="7" fontId="5" numFmtId="0" xfId="0" applyAlignment="1" applyBorder="1" applyFont="1">
      <alignment horizontal="left"/>
    </xf>
    <xf borderId="1" fillId="5" fontId="6" numFmtId="0" xfId="0" applyAlignment="1" applyBorder="1" applyFont="1">
      <alignment vertical="center"/>
    </xf>
    <xf borderId="1" fillId="5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8" fontId="3" numFmtId="4" xfId="0" applyAlignment="1" applyBorder="1" applyFont="1" applyNumberFormat="1">
      <alignment vertical="center"/>
    </xf>
    <xf borderId="1" fillId="8" fontId="3" numFmtId="4" xfId="0" applyAlignment="1" applyBorder="1" applyFont="1" applyNumberFormat="1">
      <alignment horizontal="left" shrinkToFit="0" vertical="center" wrapText="1"/>
    </xf>
    <xf borderId="1" fillId="8" fontId="3" numFmtId="4" xfId="0" applyAlignment="1" applyBorder="1" applyFont="1" applyNumberFormat="1">
      <alignment horizontal="left" vertical="center"/>
    </xf>
    <xf borderId="2" fillId="8" fontId="3" numFmtId="0" xfId="0" applyAlignment="1" applyBorder="1" applyFont="1">
      <alignment horizontal="left" vertical="center"/>
    </xf>
    <xf borderId="1" fillId="8" fontId="4" numFmtId="0" xfId="0" applyAlignment="1" applyBorder="1" applyFont="1">
      <alignment horizontal="center" vertical="center"/>
    </xf>
    <xf borderId="1" fillId="0" fontId="3" numFmtId="0" xfId="0" applyBorder="1" applyFont="1"/>
    <xf borderId="1" fillId="0" fontId="8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7" fontId="9" numFmtId="4" xfId="0" applyAlignment="1" applyBorder="1" applyFont="1" applyNumberFormat="1">
      <alignment vertical="center"/>
    </xf>
    <xf borderId="1" fillId="7" fontId="8" numFmtId="0" xfId="0" applyAlignment="1" applyBorder="1" applyFont="1">
      <alignment horizontal="left" vertical="center"/>
    </xf>
    <xf borderId="1" fillId="8" fontId="8" numFmtId="0" xfId="0" applyAlignment="1" applyBorder="1" applyFont="1">
      <alignment horizontal="left" vertical="center"/>
    </xf>
    <xf borderId="1" fillId="7" fontId="8" numFmtId="0" xfId="0" applyAlignment="1" applyBorder="1" applyFont="1">
      <alignment horizontal="left" shrinkToFit="0" vertical="center" wrapText="1"/>
    </xf>
    <xf borderId="1" fillId="9" fontId="3" numFmtId="0" xfId="0" applyAlignment="1" applyBorder="1" applyFill="1" applyFont="1">
      <alignment vertical="center"/>
    </xf>
    <xf borderId="1" fillId="9" fontId="3" numFmtId="0" xfId="0" applyAlignment="1" applyBorder="1" applyFont="1">
      <alignment horizontal="center" vertical="center"/>
    </xf>
    <xf borderId="1" fillId="9" fontId="3" numFmtId="4" xfId="0" applyAlignment="1" applyBorder="1" applyFont="1" applyNumberFormat="1">
      <alignment vertical="center"/>
    </xf>
    <xf borderId="1" fillId="9" fontId="8" numFmtId="0" xfId="0" applyAlignment="1" applyBorder="1" applyFont="1">
      <alignment horizontal="left" vertical="center"/>
    </xf>
    <xf quotePrefix="1" borderId="1" fillId="9" fontId="3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3" fillId="3" fontId="1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quotePrefix="1"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11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1" fillId="0" fontId="6" numFmtId="0" xfId="0" applyBorder="1" applyFont="1"/>
    <xf borderId="1" fillId="6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2" Type="http://customschemas.google.com/relationships/workbookmetadata" Target="metadata"/><Relationship Id="rId9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ymeagroup.sharepoint.com/sites/EGS-China/Shared%20Documents/SYMEA%20UKN/TDS/@%20SYSKERN%20UNIKKERN/UKN_RANGE_UID_DOP_MARKING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ymeagroup.sharepoint.com/sites/SYSKERN/Shared%20Documents/General/UKN%20PRODUCTS%20DATABASE%20&amp;%20PRICELIST/UKN_RANGE_PRICES_DECEMBER%202025%20-%20Q1%202026_v3%20(avec%20copper%20&amp;%20USD%20adjust%20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jacqueline/Desktop/&#20811;&#37325;(1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ymeagroup.sharepoint.com/sites/SYSKERN/Shared%20Documents/General/UKN%20PRODUCTS%20DATABASE%20&amp;%20PRICELIST/UKN_RANGE_PRICES_MARCH%202026%20-%20Q1%202026_v1%20-%20OP%20Working%20file%2097000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ymeagroup.sharepoint.com/sites/SYSKERN/Shared%20Documents/General/UKN%20PRODUCTS%20DATABASE%20&amp;%20PRICELIST/UKN_RANGE_PRICES_DECEMBER%202025%20-%20Q1%202026_v2%20(avec%20copper%20adjust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KN UID-DOP-Marki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 &amp; SC Dec 2026"/>
      <sheetName val="Info."/>
      <sheetName val="SC FRANCE Q1 2025"/>
      <sheetName val="SC FRANCE Q1 2025 v2"/>
      <sheetName val="ARBORESCENCE FRANCAISE"/>
      <sheetName val="SC FRANCE Q3&amp;Q4 2025 v1"/>
      <sheetName val="SC FRANCE Q3&amp;Q4 2025 v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 &amp; SC March 2026"/>
      <sheetName val="Info."/>
      <sheetName val="Supplier code list"/>
      <sheetName val="SC FRANCE Q1 2025"/>
      <sheetName val="SC FRANCE Q1 2025 v2"/>
      <sheetName val="ARBORESCENCE FRANCAISE"/>
      <sheetName val="SC FRANCE Q3&amp;Q4 2025 v1"/>
      <sheetName val="SC FRANCE Q3&amp;Q4 2025 v2"/>
      <sheetName val="SC FRANCE 24.03.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 &amp; SC Dec 2026"/>
      <sheetName val="Info."/>
      <sheetName val="SC FRANCE Q1 2025"/>
      <sheetName val="SC FRANCE Q1 2025 v2"/>
      <sheetName val="ARBORESCENCE FRANCAISE"/>
      <sheetName val="SC FRANCE Q3&amp;Q4 2025 v1"/>
      <sheetName val="SC FRANCE Q3&amp;Q4 2025 v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 outlineLevelCol="1"/>
  <cols>
    <col customWidth="1" min="1" max="1" width="25.43"/>
    <col customWidth="1" min="2" max="2" width="30.43"/>
    <col customWidth="1" min="3" max="3" width="11.43"/>
    <col customWidth="1" min="4" max="4" width="8.0"/>
    <col customWidth="1" min="5" max="5" width="21.0"/>
    <col customWidth="1" min="6" max="6" width="23.43"/>
    <col customWidth="1" min="7" max="7" width="101.29" outlineLevel="1"/>
    <col customWidth="1" min="8" max="8" width="21.43" outlineLevel="1"/>
    <col customWidth="1" min="9" max="9" width="13.71" outlineLevel="1"/>
    <col customWidth="1" min="10" max="10" width="19.43" outlineLevel="1"/>
    <col customWidth="1" min="11" max="11" width="27.43" outlineLevel="1"/>
    <col customWidth="1" min="12" max="12" width="20.57" outlineLevel="1"/>
    <col customWidth="1" min="13" max="13" width="15.57" outlineLevel="1"/>
    <col customWidth="1" min="14" max="14" width="11.0"/>
    <col customWidth="1" min="15" max="15" width="27.57"/>
    <col customWidth="1" min="16" max="16" width="33.43"/>
    <col customWidth="1" min="17" max="17" width="36.0"/>
    <col customWidth="1" hidden="1" min="18" max="18" width="17.43" outlineLevel="1"/>
    <col customWidth="1" hidden="1" min="19" max="19" width="28.14" outlineLevel="1"/>
    <col customWidth="1" hidden="1" min="20" max="20" width="24.0" outlineLevel="1"/>
    <col customWidth="1" hidden="1" min="21" max="21" width="24.43" outlineLevel="1"/>
    <col customWidth="1" hidden="1" min="22" max="23" width="25.43" outlineLevel="1"/>
    <col customWidth="1" hidden="1" min="24" max="24" width="22.43" outlineLevel="1"/>
    <col customWidth="1" hidden="1" min="25" max="25" width="22.14" outlineLevel="1"/>
    <col customWidth="1" hidden="1" min="26" max="26" width="17.0" outlineLevel="1"/>
    <col customWidth="1" min="27" max="27" width="3.43"/>
    <col customWidth="1" min="28" max="28" width="75.29" outlineLevel="1"/>
    <col customWidth="1" min="29" max="29" width="117.0" outlineLevel="1"/>
    <col customWidth="1" min="30" max="30" width="24.86" outlineLevel="1"/>
    <col customWidth="1" min="31" max="31" width="18.71" outlineLevel="1"/>
    <col customWidth="1" min="32" max="32" width="186.43" outlineLevel="1"/>
    <col customWidth="1" min="33" max="33" width="26.4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/>
      <c r="AB1" s="5" t="s">
        <v>26</v>
      </c>
      <c r="AC1" s="5" t="s">
        <v>27</v>
      </c>
      <c r="AD1" s="6" t="s">
        <v>28</v>
      </c>
      <c r="AE1" s="6" t="s">
        <v>29</v>
      </c>
      <c r="AF1" s="7" t="s">
        <v>30</v>
      </c>
      <c r="AG1" s="8"/>
    </row>
    <row r="2" ht="14.25" customHeight="1">
      <c r="A2" s="9" t="s">
        <v>31</v>
      </c>
      <c r="B2" s="9" t="s">
        <v>32</v>
      </c>
      <c r="C2" s="9" t="s">
        <v>33</v>
      </c>
      <c r="D2" s="10">
        <v>23.0</v>
      </c>
      <c r="E2" s="11" t="s">
        <v>34</v>
      </c>
      <c r="F2" s="9" t="s">
        <v>35</v>
      </c>
      <c r="G2" s="12" t="s">
        <v>36</v>
      </c>
      <c r="H2" s="13" t="s">
        <v>37</v>
      </c>
      <c r="I2" s="13" t="s">
        <v>38</v>
      </c>
      <c r="J2" s="10" t="s">
        <v>39</v>
      </c>
      <c r="K2" s="14">
        <v>43761.0</v>
      </c>
      <c r="L2" s="10">
        <v>630309.11</v>
      </c>
      <c r="M2" s="10">
        <v>16.0</v>
      </c>
      <c r="N2" s="10" t="s">
        <v>40</v>
      </c>
      <c r="O2" s="10">
        <v>38.0</v>
      </c>
      <c r="P2" s="10" t="s">
        <v>41</v>
      </c>
      <c r="Q2" s="15" t="s">
        <v>42</v>
      </c>
      <c r="R2" s="16" t="s">
        <v>43</v>
      </c>
      <c r="S2" s="16" t="s">
        <v>43</v>
      </c>
      <c r="T2" s="16" t="s">
        <v>43</v>
      </c>
      <c r="U2" s="16" t="s">
        <v>43</v>
      </c>
      <c r="V2" s="16" t="s">
        <v>43</v>
      </c>
      <c r="W2" s="16" t="s">
        <v>43</v>
      </c>
      <c r="X2" s="16">
        <v>12.0</v>
      </c>
      <c r="Y2" s="16" t="s">
        <v>44</v>
      </c>
      <c r="Z2" s="16" t="s">
        <v>45</v>
      </c>
      <c r="AA2" s="10"/>
      <c r="AB2" s="17"/>
      <c r="AC2" s="17"/>
      <c r="AD2" s="17" t="str">
        <f t="shared" ref="AD2:AD3" si="1">VLOOKUP(F2,'[1]UKN UID-DOP-Marking'!$H$3:$J$394,3,FALSE)</f>
        <v>#REF!</v>
      </c>
      <c r="AE2" s="17" t="str">
        <f t="shared" ref="AE2:AE3" si="2">VLOOKUP(F2,'[1]UKN UID-DOP-Marking'!$H$3:$K$185,4,FALSE)</f>
        <v>#REF!</v>
      </c>
      <c r="AF2" s="17" t="str">
        <f t="shared" ref="AF2:AF3" si="3">VLOOKUP(F2,'[1]UKN UID-DOP-Marking'!$H$3:$L$394,5,FALSE)</f>
        <v>#REF!</v>
      </c>
      <c r="AG2" s="18"/>
    </row>
    <row r="3" ht="14.25" hidden="1" customHeight="1">
      <c r="A3" s="9" t="s">
        <v>31</v>
      </c>
      <c r="B3" s="9" t="s">
        <v>32</v>
      </c>
      <c r="C3" s="9" t="s">
        <v>33</v>
      </c>
      <c r="D3" s="10">
        <v>23.0</v>
      </c>
      <c r="E3" s="11" t="s">
        <v>46</v>
      </c>
      <c r="F3" s="9" t="s">
        <v>35</v>
      </c>
      <c r="G3" s="12" t="s">
        <v>36</v>
      </c>
      <c r="H3" s="19"/>
      <c r="I3" s="19" t="s">
        <v>47</v>
      </c>
      <c r="J3" s="20"/>
      <c r="K3" s="21"/>
      <c r="L3" s="20"/>
      <c r="M3" s="20"/>
      <c r="N3" s="10" t="s">
        <v>48</v>
      </c>
      <c r="O3" s="20"/>
      <c r="P3" s="10" t="s">
        <v>41</v>
      </c>
      <c r="Q3" s="15" t="s">
        <v>42</v>
      </c>
      <c r="R3" s="16"/>
      <c r="S3" s="16"/>
      <c r="T3" s="16"/>
      <c r="U3" s="16"/>
      <c r="V3" s="16"/>
      <c r="W3" s="16"/>
      <c r="X3" s="16"/>
      <c r="Y3" s="16"/>
      <c r="Z3" s="16"/>
      <c r="AA3" s="10"/>
      <c r="AB3" s="17"/>
      <c r="AC3" s="17"/>
      <c r="AD3" s="17" t="str">
        <f t="shared" si="1"/>
        <v>#REF!</v>
      </c>
      <c r="AE3" s="17" t="str">
        <f t="shared" si="2"/>
        <v>#REF!</v>
      </c>
      <c r="AF3" s="17" t="str">
        <f t="shared" si="3"/>
        <v>#REF!</v>
      </c>
      <c r="AG3" s="18"/>
    </row>
    <row r="4" ht="14.25" customHeight="1">
      <c r="A4" s="9" t="s">
        <v>31</v>
      </c>
      <c r="B4" s="9" t="s">
        <v>32</v>
      </c>
      <c r="C4" s="9" t="s">
        <v>33</v>
      </c>
      <c r="D4" s="10">
        <v>23.0</v>
      </c>
      <c r="E4" s="11" t="s">
        <v>49</v>
      </c>
      <c r="F4" s="9" t="s">
        <v>50</v>
      </c>
      <c r="G4" s="12" t="s">
        <v>51</v>
      </c>
      <c r="H4" s="19" t="s">
        <v>37</v>
      </c>
      <c r="I4" s="19" t="s">
        <v>38</v>
      </c>
      <c r="J4" s="20" t="s">
        <v>39</v>
      </c>
      <c r="K4" s="21">
        <v>43761.0</v>
      </c>
      <c r="L4" s="20">
        <v>630309.11</v>
      </c>
      <c r="M4" s="20">
        <v>16.0</v>
      </c>
      <c r="N4" s="10" t="s">
        <v>40</v>
      </c>
      <c r="O4" s="20">
        <v>62.0</v>
      </c>
      <c r="P4" s="10" t="s">
        <v>41</v>
      </c>
      <c r="Q4" s="15" t="s">
        <v>52</v>
      </c>
      <c r="R4" s="16"/>
      <c r="S4" s="16"/>
      <c r="T4" s="16"/>
      <c r="U4" s="16"/>
      <c r="V4" s="16"/>
      <c r="W4" s="16"/>
      <c r="X4" s="16"/>
      <c r="Y4" s="16"/>
      <c r="Z4" s="16"/>
      <c r="AA4" s="10"/>
      <c r="AB4" s="17" t="s">
        <v>53</v>
      </c>
      <c r="AC4" s="17" t="s">
        <v>54</v>
      </c>
      <c r="AD4" s="17" t="s">
        <v>55</v>
      </c>
      <c r="AE4" s="17" t="s">
        <v>56</v>
      </c>
      <c r="AF4" s="17" t="s">
        <v>57</v>
      </c>
      <c r="AG4" s="18"/>
    </row>
    <row r="5" ht="14.25" customHeight="1">
      <c r="A5" s="9" t="s">
        <v>31</v>
      </c>
      <c r="B5" s="9" t="s">
        <v>32</v>
      </c>
      <c r="C5" s="9" t="s">
        <v>33</v>
      </c>
      <c r="D5" s="10">
        <v>24.0</v>
      </c>
      <c r="E5" s="11" t="s">
        <v>58</v>
      </c>
      <c r="F5" s="9" t="s">
        <v>59</v>
      </c>
      <c r="G5" s="12" t="s">
        <v>51</v>
      </c>
      <c r="H5" s="13" t="s">
        <v>60</v>
      </c>
      <c r="I5" s="13" t="s">
        <v>38</v>
      </c>
      <c r="J5" s="10" t="s">
        <v>39</v>
      </c>
      <c r="K5" s="14">
        <v>43761.0</v>
      </c>
      <c r="L5" s="10">
        <v>630309.11</v>
      </c>
      <c r="M5" s="10">
        <v>16.0</v>
      </c>
      <c r="N5" s="10" t="s">
        <v>40</v>
      </c>
      <c r="O5" s="10">
        <v>34.0</v>
      </c>
      <c r="P5" s="10" t="s">
        <v>41</v>
      </c>
      <c r="Q5" s="10" t="s">
        <v>61</v>
      </c>
      <c r="R5" s="16" t="s">
        <v>43</v>
      </c>
      <c r="S5" s="16" t="s">
        <v>43</v>
      </c>
      <c r="T5" s="16" t="s">
        <v>43</v>
      </c>
      <c r="U5" s="16" t="s">
        <v>43</v>
      </c>
      <c r="V5" s="16" t="s">
        <v>43</v>
      </c>
      <c r="W5" s="16" t="s">
        <v>43</v>
      </c>
      <c r="X5" s="16">
        <v>12.0</v>
      </c>
      <c r="Y5" s="16" t="s">
        <v>44</v>
      </c>
      <c r="Z5" s="16" t="s">
        <v>45</v>
      </c>
      <c r="AA5" s="10"/>
      <c r="AB5" s="17"/>
      <c r="AC5" s="17"/>
      <c r="AD5" s="17" t="s">
        <v>62</v>
      </c>
      <c r="AE5" s="17" t="s">
        <v>63</v>
      </c>
      <c r="AF5" s="17" t="s">
        <v>64</v>
      </c>
      <c r="AG5" s="18"/>
    </row>
    <row r="6" ht="14.25" hidden="1" customHeight="1">
      <c r="A6" s="9" t="s">
        <v>31</v>
      </c>
      <c r="B6" s="9" t="s">
        <v>32</v>
      </c>
      <c r="C6" s="9" t="s">
        <v>33</v>
      </c>
      <c r="D6" s="10">
        <v>24.0</v>
      </c>
      <c r="E6" s="11" t="s">
        <v>65</v>
      </c>
      <c r="F6" s="9" t="s">
        <v>59</v>
      </c>
      <c r="G6" s="12" t="s">
        <v>51</v>
      </c>
      <c r="H6" s="19"/>
      <c r="I6" s="19" t="s">
        <v>47</v>
      </c>
      <c r="J6" s="20"/>
      <c r="K6" s="21"/>
      <c r="L6" s="20"/>
      <c r="M6" s="20"/>
      <c r="N6" s="10" t="s">
        <v>48</v>
      </c>
      <c r="O6" s="20"/>
      <c r="P6" s="10" t="s">
        <v>41</v>
      </c>
      <c r="Q6" s="10" t="s">
        <v>61</v>
      </c>
      <c r="R6" s="16"/>
      <c r="S6" s="16"/>
      <c r="T6" s="16"/>
      <c r="U6" s="16"/>
      <c r="V6" s="16"/>
      <c r="W6" s="16"/>
      <c r="X6" s="16"/>
      <c r="Y6" s="16"/>
      <c r="Z6" s="16"/>
      <c r="AA6" s="10"/>
      <c r="AB6" s="17"/>
      <c r="AC6" s="17"/>
      <c r="AD6" s="17" t="s">
        <v>62</v>
      </c>
      <c r="AE6" s="17" t="s">
        <v>63</v>
      </c>
      <c r="AF6" s="17" t="s">
        <v>64</v>
      </c>
      <c r="AG6" s="18"/>
    </row>
    <row r="7" ht="14.25" customHeight="1">
      <c r="A7" s="9" t="s">
        <v>31</v>
      </c>
      <c r="B7" s="9" t="s">
        <v>32</v>
      </c>
      <c r="C7" s="9" t="s">
        <v>33</v>
      </c>
      <c r="D7" s="10">
        <v>24.0</v>
      </c>
      <c r="E7" s="11" t="s">
        <v>66</v>
      </c>
      <c r="F7" s="9" t="s">
        <v>67</v>
      </c>
      <c r="G7" s="12" t="s">
        <v>36</v>
      </c>
      <c r="H7" s="13" t="s">
        <v>60</v>
      </c>
      <c r="I7" s="13" t="s">
        <v>38</v>
      </c>
      <c r="J7" s="10" t="s">
        <v>39</v>
      </c>
      <c r="K7" s="14">
        <v>43761.0</v>
      </c>
      <c r="L7" s="10">
        <v>630309.11</v>
      </c>
      <c r="M7" s="10">
        <v>15.12</v>
      </c>
      <c r="N7" s="10" t="s">
        <v>40</v>
      </c>
      <c r="O7" s="10">
        <v>34.0</v>
      </c>
      <c r="P7" s="10" t="s">
        <v>41</v>
      </c>
      <c r="Q7" s="10" t="s">
        <v>68</v>
      </c>
      <c r="R7" s="16" t="s">
        <v>43</v>
      </c>
      <c r="S7" s="16" t="s">
        <v>43</v>
      </c>
      <c r="T7" s="16" t="s">
        <v>43</v>
      </c>
      <c r="U7" s="16" t="s">
        <v>43</v>
      </c>
      <c r="V7" s="16" t="s">
        <v>43</v>
      </c>
      <c r="W7" s="16" t="s">
        <v>43</v>
      </c>
      <c r="X7" s="16">
        <v>9.15</v>
      </c>
      <c r="Y7" s="16" t="s">
        <v>69</v>
      </c>
      <c r="Z7" s="16" t="s">
        <v>45</v>
      </c>
      <c r="AA7" s="10"/>
      <c r="AB7" s="17"/>
      <c r="AC7" s="17"/>
      <c r="AD7" s="17" t="s">
        <v>62</v>
      </c>
      <c r="AE7" s="17" t="s">
        <v>63</v>
      </c>
      <c r="AF7" s="17" t="s">
        <v>64</v>
      </c>
      <c r="AG7" s="18"/>
    </row>
    <row r="8" ht="14.25" hidden="1" customHeight="1">
      <c r="A8" s="9" t="s">
        <v>31</v>
      </c>
      <c r="B8" s="9" t="s">
        <v>32</v>
      </c>
      <c r="C8" s="9" t="s">
        <v>33</v>
      </c>
      <c r="D8" s="10">
        <v>24.0</v>
      </c>
      <c r="E8" s="11" t="s">
        <v>70</v>
      </c>
      <c r="F8" s="9" t="s">
        <v>67</v>
      </c>
      <c r="G8" s="12" t="s">
        <v>36</v>
      </c>
      <c r="H8" s="19"/>
      <c r="I8" s="19" t="s">
        <v>47</v>
      </c>
      <c r="J8" s="20"/>
      <c r="K8" s="21"/>
      <c r="L8" s="20"/>
      <c r="M8" s="20"/>
      <c r="N8" s="10" t="s">
        <v>48</v>
      </c>
      <c r="O8" s="20"/>
      <c r="P8" s="10" t="s">
        <v>41</v>
      </c>
      <c r="Q8" s="10" t="s">
        <v>68</v>
      </c>
      <c r="R8" s="16"/>
      <c r="S8" s="16"/>
      <c r="T8" s="16"/>
      <c r="U8" s="16"/>
      <c r="V8" s="16"/>
      <c r="W8" s="16"/>
      <c r="X8" s="16"/>
      <c r="Y8" s="16"/>
      <c r="Z8" s="16"/>
      <c r="AA8" s="10"/>
      <c r="AB8" s="17"/>
      <c r="AC8" s="17"/>
      <c r="AD8" s="17" t="s">
        <v>62</v>
      </c>
      <c r="AE8" s="17" t="s">
        <v>63</v>
      </c>
      <c r="AF8" s="17" t="s">
        <v>64</v>
      </c>
      <c r="AG8" s="18"/>
    </row>
    <row r="9" ht="14.25" customHeight="1">
      <c r="A9" s="9" t="s">
        <v>31</v>
      </c>
      <c r="B9" s="9" t="s">
        <v>32</v>
      </c>
      <c r="C9" s="9" t="s">
        <v>33</v>
      </c>
      <c r="D9" s="10">
        <v>24.0</v>
      </c>
      <c r="E9" s="22" t="s">
        <v>71</v>
      </c>
      <c r="F9" s="23" t="s">
        <v>72</v>
      </c>
      <c r="G9" s="24" t="s">
        <v>73</v>
      </c>
      <c r="H9" s="13" t="s">
        <v>60</v>
      </c>
      <c r="I9" s="13" t="s">
        <v>74</v>
      </c>
      <c r="J9" s="10" t="s">
        <v>75</v>
      </c>
      <c r="K9" s="14">
        <v>42655.0</v>
      </c>
      <c r="L9" s="10">
        <v>1164609.0</v>
      </c>
      <c r="M9" s="10">
        <v>15.12</v>
      </c>
      <c r="N9" s="10" t="s">
        <v>40</v>
      </c>
      <c r="O9" s="10">
        <v>38.0</v>
      </c>
      <c r="P9" s="10" t="s">
        <v>41</v>
      </c>
      <c r="Q9" s="10" t="s">
        <v>76</v>
      </c>
      <c r="R9" s="16" t="s">
        <v>43</v>
      </c>
      <c r="S9" s="16" t="s">
        <v>43</v>
      </c>
      <c r="T9" s="16" t="s">
        <v>43</v>
      </c>
      <c r="U9" s="16" t="s">
        <v>43</v>
      </c>
      <c r="V9" s="16" t="s">
        <v>43</v>
      </c>
      <c r="W9" s="16" t="s">
        <v>43</v>
      </c>
      <c r="X9" s="16">
        <v>9.15</v>
      </c>
      <c r="Y9" s="16" t="s">
        <v>69</v>
      </c>
      <c r="Z9" s="16" t="s">
        <v>77</v>
      </c>
      <c r="AA9" s="10"/>
      <c r="AB9" s="17" t="s">
        <v>78</v>
      </c>
      <c r="AC9" s="17" t="s">
        <v>79</v>
      </c>
      <c r="AD9" s="17" t="str">
        <f t="shared" ref="AD9:AD18" si="4">VLOOKUP(F9,'[1]UKN UID-DOP-Marking'!$H$3:$J$394,3,FALSE)</f>
        <v>#REF!</v>
      </c>
      <c r="AE9" s="17" t="str">
        <f t="shared" ref="AE9:AE18" si="5">VLOOKUP(F9,'[1]UKN UID-DOP-Marking'!$H$3:$K$185,4,FALSE)</f>
        <v>#REF!</v>
      </c>
      <c r="AF9" s="17" t="str">
        <f t="shared" ref="AF9:AF16" si="6">VLOOKUP(F9,'[1]UKN UID-DOP-Marking'!$H$3:$L$394,5,FALSE)</f>
        <v>#REF!</v>
      </c>
      <c r="AG9" s="18"/>
    </row>
    <row r="10" ht="14.25" hidden="1" customHeight="1">
      <c r="A10" s="9" t="s">
        <v>31</v>
      </c>
      <c r="B10" s="9" t="s">
        <v>32</v>
      </c>
      <c r="C10" s="9" t="s">
        <v>33</v>
      </c>
      <c r="D10" s="10">
        <v>24.0</v>
      </c>
      <c r="E10" s="22" t="s">
        <v>80</v>
      </c>
      <c r="F10" s="23" t="s">
        <v>72</v>
      </c>
      <c r="G10" s="24" t="s">
        <v>73</v>
      </c>
      <c r="H10" s="25"/>
      <c r="I10" s="19" t="s">
        <v>47</v>
      </c>
      <c r="J10" s="20"/>
      <c r="K10" s="21"/>
      <c r="L10" s="20"/>
      <c r="M10" s="20"/>
      <c r="N10" s="10" t="s">
        <v>48</v>
      </c>
      <c r="O10" s="20"/>
      <c r="P10" s="10" t="s">
        <v>41</v>
      </c>
      <c r="Q10" s="10" t="s">
        <v>76</v>
      </c>
      <c r="R10" s="16"/>
      <c r="S10" s="16"/>
      <c r="T10" s="16"/>
      <c r="U10" s="16"/>
      <c r="V10" s="16"/>
      <c r="W10" s="16"/>
      <c r="X10" s="16"/>
      <c r="Y10" s="16"/>
      <c r="Z10" s="16"/>
      <c r="AA10" s="10"/>
      <c r="AB10" s="17"/>
      <c r="AC10" s="17"/>
      <c r="AD10" s="17" t="str">
        <f t="shared" si="4"/>
        <v>#REF!</v>
      </c>
      <c r="AE10" s="17" t="str">
        <f t="shared" si="5"/>
        <v>#REF!</v>
      </c>
      <c r="AF10" s="17" t="str">
        <f t="shared" si="6"/>
        <v>#REF!</v>
      </c>
      <c r="AG10" s="18"/>
    </row>
    <row r="11" ht="14.25" customHeight="1">
      <c r="A11" s="9" t="s">
        <v>31</v>
      </c>
      <c r="B11" s="9" t="s">
        <v>32</v>
      </c>
      <c r="C11" s="9" t="s">
        <v>81</v>
      </c>
      <c r="D11" s="10">
        <v>23.0</v>
      </c>
      <c r="E11" s="11" t="s">
        <v>82</v>
      </c>
      <c r="F11" s="9" t="s">
        <v>83</v>
      </c>
      <c r="G11" s="12" t="s">
        <v>84</v>
      </c>
      <c r="H11" s="13" t="s">
        <v>85</v>
      </c>
      <c r="I11" s="13" t="s">
        <v>38</v>
      </c>
      <c r="J11" s="10" t="s">
        <v>86</v>
      </c>
      <c r="K11" s="14">
        <v>46071.0</v>
      </c>
      <c r="L11" s="14" t="s">
        <v>87</v>
      </c>
      <c r="M11" s="10">
        <v>17.5</v>
      </c>
      <c r="N11" s="10" t="s">
        <v>40</v>
      </c>
      <c r="O11" s="10">
        <v>49.0</v>
      </c>
      <c r="P11" s="10" t="s">
        <v>41</v>
      </c>
      <c r="Q11" s="15" t="s">
        <v>88</v>
      </c>
      <c r="R11" s="16" t="s">
        <v>43</v>
      </c>
      <c r="S11" s="16" t="s">
        <v>43</v>
      </c>
      <c r="T11" s="16" t="s">
        <v>43</v>
      </c>
      <c r="U11" s="16" t="s">
        <v>43</v>
      </c>
      <c r="V11" s="16" t="s">
        <v>43</v>
      </c>
      <c r="W11" s="16" t="s">
        <v>43</v>
      </c>
      <c r="X11" s="16">
        <v>9.0</v>
      </c>
      <c r="Y11" s="16" t="s">
        <v>44</v>
      </c>
      <c r="Z11" s="16" t="s">
        <v>77</v>
      </c>
      <c r="AA11" s="10"/>
      <c r="AB11" s="17"/>
      <c r="AC11" s="17"/>
      <c r="AD11" s="17" t="str">
        <f t="shared" si="4"/>
        <v>#REF!</v>
      </c>
      <c r="AE11" s="17" t="str">
        <f t="shared" si="5"/>
        <v>#REF!</v>
      </c>
      <c r="AF11" s="17" t="str">
        <f t="shared" si="6"/>
        <v>#REF!</v>
      </c>
      <c r="AG11" s="18"/>
    </row>
    <row r="12" ht="14.25" hidden="1" customHeight="1">
      <c r="A12" s="9" t="s">
        <v>31</v>
      </c>
      <c r="B12" s="9" t="s">
        <v>32</v>
      </c>
      <c r="C12" s="9" t="s">
        <v>81</v>
      </c>
      <c r="D12" s="10">
        <v>23.0</v>
      </c>
      <c r="E12" s="11" t="s">
        <v>89</v>
      </c>
      <c r="F12" s="9" t="s">
        <v>83</v>
      </c>
      <c r="G12" s="12" t="s">
        <v>84</v>
      </c>
      <c r="H12" s="19"/>
      <c r="I12" s="19" t="s">
        <v>47</v>
      </c>
      <c r="J12" s="20"/>
      <c r="K12" s="21"/>
      <c r="L12" s="21"/>
      <c r="M12" s="20"/>
      <c r="N12" s="10" t="s">
        <v>48</v>
      </c>
      <c r="O12" s="20"/>
      <c r="P12" s="10" t="s">
        <v>41</v>
      </c>
      <c r="Q12" s="15" t="s">
        <v>88</v>
      </c>
      <c r="R12" s="16"/>
      <c r="S12" s="16"/>
      <c r="T12" s="16"/>
      <c r="U12" s="16"/>
      <c r="V12" s="16"/>
      <c r="W12" s="16"/>
      <c r="X12" s="16"/>
      <c r="Y12" s="16"/>
      <c r="Z12" s="16"/>
      <c r="AA12" s="10"/>
      <c r="AB12" s="17"/>
      <c r="AC12" s="17"/>
      <c r="AD12" s="17" t="str">
        <f t="shared" si="4"/>
        <v>#REF!</v>
      </c>
      <c r="AE12" s="17" t="str">
        <f t="shared" si="5"/>
        <v>#REF!</v>
      </c>
      <c r="AF12" s="17" t="str">
        <f t="shared" si="6"/>
        <v>#REF!</v>
      </c>
      <c r="AG12" s="18"/>
    </row>
    <row r="13" ht="14.25" customHeight="1">
      <c r="A13" s="9" t="s">
        <v>31</v>
      </c>
      <c r="B13" s="9" t="s">
        <v>32</v>
      </c>
      <c r="C13" s="9" t="s">
        <v>81</v>
      </c>
      <c r="D13" s="10">
        <v>23.0</v>
      </c>
      <c r="E13" s="11" t="s">
        <v>90</v>
      </c>
      <c r="F13" s="9" t="s">
        <v>91</v>
      </c>
      <c r="G13" s="12" t="s">
        <v>92</v>
      </c>
      <c r="H13" s="13" t="s">
        <v>93</v>
      </c>
      <c r="I13" s="13" t="s">
        <v>38</v>
      </c>
      <c r="J13" s="10" t="s">
        <v>86</v>
      </c>
      <c r="K13" s="14">
        <v>46071.0</v>
      </c>
      <c r="L13" s="26" t="s">
        <v>94</v>
      </c>
      <c r="M13" s="10">
        <v>35.0</v>
      </c>
      <c r="N13" s="10" t="s">
        <v>40</v>
      </c>
      <c r="O13" s="10">
        <v>98.0</v>
      </c>
      <c r="P13" s="10" t="s">
        <v>41</v>
      </c>
      <c r="Q13" s="10" t="s">
        <v>95</v>
      </c>
      <c r="R13" s="16" t="s">
        <v>43</v>
      </c>
      <c r="S13" s="16" t="s">
        <v>43</v>
      </c>
      <c r="T13" s="16" t="s">
        <v>43</v>
      </c>
      <c r="U13" s="16" t="s">
        <v>43</v>
      </c>
      <c r="V13" s="16" t="s">
        <v>43</v>
      </c>
      <c r="W13" s="16" t="s">
        <v>43</v>
      </c>
      <c r="X13" s="16">
        <v>4.0</v>
      </c>
      <c r="Y13" s="16" t="s">
        <v>96</v>
      </c>
      <c r="Z13" s="16" t="s">
        <v>97</v>
      </c>
      <c r="AA13" s="10"/>
      <c r="AB13" s="17"/>
      <c r="AC13" s="17"/>
      <c r="AD13" s="17" t="str">
        <f t="shared" si="4"/>
        <v>#REF!</v>
      </c>
      <c r="AE13" s="17" t="str">
        <f t="shared" si="5"/>
        <v>#REF!</v>
      </c>
      <c r="AF13" s="17" t="str">
        <f t="shared" si="6"/>
        <v>#REF!</v>
      </c>
      <c r="AG13" s="18"/>
    </row>
    <row r="14" ht="14.25" hidden="1" customHeight="1">
      <c r="A14" s="9" t="s">
        <v>31</v>
      </c>
      <c r="B14" s="9" t="s">
        <v>32</v>
      </c>
      <c r="C14" s="9" t="s">
        <v>81</v>
      </c>
      <c r="D14" s="10">
        <v>23.0</v>
      </c>
      <c r="E14" s="11" t="s">
        <v>98</v>
      </c>
      <c r="F14" s="9" t="s">
        <v>91</v>
      </c>
      <c r="G14" s="12" t="s">
        <v>92</v>
      </c>
      <c r="H14" s="19"/>
      <c r="I14" s="19" t="s">
        <v>47</v>
      </c>
      <c r="J14" s="20"/>
      <c r="K14" s="21"/>
      <c r="L14" s="21"/>
      <c r="M14" s="20"/>
      <c r="N14" s="10" t="s">
        <v>48</v>
      </c>
      <c r="O14" s="20"/>
      <c r="P14" s="10" t="s">
        <v>41</v>
      </c>
      <c r="Q14" s="10" t="s">
        <v>95</v>
      </c>
      <c r="R14" s="16"/>
      <c r="S14" s="16"/>
      <c r="T14" s="16"/>
      <c r="U14" s="16"/>
      <c r="V14" s="16"/>
      <c r="W14" s="16"/>
      <c r="X14" s="16"/>
      <c r="Y14" s="16"/>
      <c r="Z14" s="16"/>
      <c r="AA14" s="10"/>
      <c r="AB14" s="17"/>
      <c r="AC14" s="17"/>
      <c r="AD14" s="17" t="str">
        <f t="shared" si="4"/>
        <v>#REF!</v>
      </c>
      <c r="AE14" s="17" t="str">
        <f t="shared" si="5"/>
        <v>#REF!</v>
      </c>
      <c r="AF14" s="17" t="str">
        <f t="shared" si="6"/>
        <v>#REF!</v>
      </c>
      <c r="AG14" s="18"/>
    </row>
    <row r="15" ht="14.25" customHeight="1">
      <c r="A15" s="9" t="s">
        <v>31</v>
      </c>
      <c r="B15" s="9" t="s">
        <v>32</v>
      </c>
      <c r="C15" s="9" t="s">
        <v>81</v>
      </c>
      <c r="D15" s="10">
        <v>23.0</v>
      </c>
      <c r="E15" s="11" t="s">
        <v>99</v>
      </c>
      <c r="F15" s="9" t="s">
        <v>100</v>
      </c>
      <c r="G15" s="12" t="s">
        <v>101</v>
      </c>
      <c r="H15" s="13" t="s">
        <v>85</v>
      </c>
      <c r="I15" s="13" t="s">
        <v>38</v>
      </c>
      <c r="J15" s="10" t="s">
        <v>86</v>
      </c>
      <c r="K15" s="14">
        <v>46071.0</v>
      </c>
      <c r="L15" s="14" t="s">
        <v>87</v>
      </c>
      <c r="M15" s="10">
        <v>18.0</v>
      </c>
      <c r="N15" s="10" t="s">
        <v>40</v>
      </c>
      <c r="O15" s="10">
        <v>49.0</v>
      </c>
      <c r="P15" s="10" t="s">
        <v>41</v>
      </c>
      <c r="Q15" s="10" t="s">
        <v>102</v>
      </c>
      <c r="R15" s="16" t="s">
        <v>43</v>
      </c>
      <c r="S15" s="16" t="s">
        <v>43</v>
      </c>
      <c r="T15" s="16" t="s">
        <v>43</v>
      </c>
      <c r="U15" s="16" t="s">
        <v>43</v>
      </c>
      <c r="V15" s="16" t="s">
        <v>43</v>
      </c>
      <c r="W15" s="16" t="s">
        <v>43</v>
      </c>
      <c r="X15" s="16">
        <v>6.8625</v>
      </c>
      <c r="Y15" s="16" t="s">
        <v>44</v>
      </c>
      <c r="Z15" s="16" t="s">
        <v>77</v>
      </c>
      <c r="AA15" s="10"/>
      <c r="AB15" s="17"/>
      <c r="AC15" s="17"/>
      <c r="AD15" s="17" t="str">
        <f t="shared" si="4"/>
        <v>#REF!</v>
      </c>
      <c r="AE15" s="17" t="str">
        <f t="shared" si="5"/>
        <v>#REF!</v>
      </c>
      <c r="AF15" s="17" t="str">
        <f t="shared" si="6"/>
        <v>#REF!</v>
      </c>
      <c r="AG15" s="18"/>
    </row>
    <row r="16" ht="14.25" hidden="1" customHeight="1">
      <c r="A16" s="9" t="s">
        <v>31</v>
      </c>
      <c r="B16" s="9" t="s">
        <v>32</v>
      </c>
      <c r="C16" s="9" t="s">
        <v>81</v>
      </c>
      <c r="D16" s="10">
        <v>23.0</v>
      </c>
      <c r="E16" s="11" t="s">
        <v>103</v>
      </c>
      <c r="F16" s="9" t="s">
        <v>100</v>
      </c>
      <c r="G16" s="12" t="s">
        <v>101</v>
      </c>
      <c r="H16" s="19"/>
      <c r="I16" s="19" t="s">
        <v>47</v>
      </c>
      <c r="J16" s="20"/>
      <c r="K16" s="21"/>
      <c r="L16" s="21"/>
      <c r="M16" s="20"/>
      <c r="N16" s="10" t="s">
        <v>48</v>
      </c>
      <c r="O16" s="20"/>
      <c r="P16" s="10" t="s">
        <v>41</v>
      </c>
      <c r="Q16" s="10" t="s">
        <v>102</v>
      </c>
      <c r="R16" s="16"/>
      <c r="S16" s="16"/>
      <c r="T16" s="16"/>
      <c r="U16" s="16"/>
      <c r="V16" s="16"/>
      <c r="W16" s="16"/>
      <c r="X16" s="16"/>
      <c r="Y16" s="16"/>
      <c r="Z16" s="16"/>
      <c r="AA16" s="10"/>
      <c r="AB16" s="17"/>
      <c r="AC16" s="17"/>
      <c r="AD16" s="17" t="str">
        <f t="shared" si="4"/>
        <v>#REF!</v>
      </c>
      <c r="AE16" s="17" t="str">
        <f t="shared" si="5"/>
        <v>#REF!</v>
      </c>
      <c r="AF16" s="17" t="str">
        <f t="shared" si="6"/>
        <v>#REF!</v>
      </c>
      <c r="AG16" s="18"/>
    </row>
    <row r="17" ht="14.25" customHeight="1">
      <c r="A17" s="9" t="s">
        <v>31</v>
      </c>
      <c r="B17" s="9" t="s">
        <v>104</v>
      </c>
      <c r="C17" s="9" t="s">
        <v>33</v>
      </c>
      <c r="D17" s="10">
        <v>23.0</v>
      </c>
      <c r="E17" s="11" t="s">
        <v>105</v>
      </c>
      <c r="F17" s="9" t="s">
        <v>106</v>
      </c>
      <c r="G17" s="12" t="s">
        <v>107</v>
      </c>
      <c r="H17" s="13" t="s">
        <v>108</v>
      </c>
      <c r="I17" s="13" t="s">
        <v>109</v>
      </c>
      <c r="J17" s="10" t="s">
        <v>86</v>
      </c>
      <c r="K17" s="14">
        <v>43795.0</v>
      </c>
      <c r="L17" s="26" t="s">
        <v>110</v>
      </c>
      <c r="M17" s="10">
        <v>16.4</v>
      </c>
      <c r="N17" s="10" t="s">
        <v>40</v>
      </c>
      <c r="O17" s="10">
        <v>40.0</v>
      </c>
      <c r="P17" s="10" t="s">
        <v>41</v>
      </c>
      <c r="Q17" s="15" t="s">
        <v>111</v>
      </c>
      <c r="R17" s="16" t="s">
        <v>43</v>
      </c>
      <c r="S17" s="16" t="s">
        <v>43</v>
      </c>
      <c r="T17" s="16" t="s">
        <v>43</v>
      </c>
      <c r="U17" s="16" t="s">
        <v>43</v>
      </c>
      <c r="V17" s="16" t="s">
        <v>43</v>
      </c>
      <c r="W17" s="16" t="s">
        <v>43</v>
      </c>
      <c r="X17" s="16">
        <v>12.0</v>
      </c>
      <c r="Y17" s="16" t="s">
        <v>112</v>
      </c>
      <c r="Z17" s="16" t="s">
        <v>45</v>
      </c>
      <c r="AA17" s="10"/>
      <c r="AB17" s="17"/>
      <c r="AC17" s="17"/>
      <c r="AD17" s="17" t="str">
        <f t="shared" si="4"/>
        <v>#REF!</v>
      </c>
      <c r="AE17" s="17" t="str">
        <f t="shared" si="5"/>
        <v>#REF!</v>
      </c>
      <c r="AF17" s="17" t="s">
        <v>113</v>
      </c>
      <c r="AG17" s="18"/>
    </row>
    <row r="18" ht="14.25" hidden="1" customHeight="1">
      <c r="A18" s="9" t="s">
        <v>31</v>
      </c>
      <c r="B18" s="9" t="s">
        <v>104</v>
      </c>
      <c r="C18" s="9" t="s">
        <v>33</v>
      </c>
      <c r="D18" s="10">
        <v>23.0</v>
      </c>
      <c r="E18" s="11" t="s">
        <v>114</v>
      </c>
      <c r="F18" s="9" t="s">
        <v>106</v>
      </c>
      <c r="G18" s="12" t="s">
        <v>107</v>
      </c>
      <c r="H18" s="19"/>
      <c r="I18" s="19" t="s">
        <v>47</v>
      </c>
      <c r="J18" s="21"/>
      <c r="K18" s="21"/>
      <c r="L18" s="21"/>
      <c r="M18" s="20"/>
      <c r="N18" s="10" t="s">
        <v>48</v>
      </c>
      <c r="O18" s="20"/>
      <c r="P18" s="10" t="s">
        <v>41</v>
      </c>
      <c r="Q18" s="15" t="s">
        <v>111</v>
      </c>
      <c r="R18" s="16"/>
      <c r="S18" s="16"/>
      <c r="T18" s="16"/>
      <c r="U18" s="16"/>
      <c r="V18" s="16"/>
      <c r="W18" s="16"/>
      <c r="X18" s="16"/>
      <c r="Y18" s="16"/>
      <c r="Z18" s="16"/>
      <c r="AA18" s="10"/>
      <c r="AB18" s="17"/>
      <c r="AC18" s="17"/>
      <c r="AD18" s="17" t="str">
        <f t="shared" si="4"/>
        <v>#REF!</v>
      </c>
      <c r="AE18" s="17" t="str">
        <f t="shared" si="5"/>
        <v>#REF!</v>
      </c>
      <c r="AF18" s="17" t="s">
        <v>113</v>
      </c>
      <c r="AG18" s="18"/>
    </row>
    <row r="19" ht="14.25" customHeight="1">
      <c r="A19" s="9" t="s">
        <v>31</v>
      </c>
      <c r="B19" s="9" t="s">
        <v>104</v>
      </c>
      <c r="C19" s="9" t="s">
        <v>33</v>
      </c>
      <c r="D19" s="10">
        <v>23.0</v>
      </c>
      <c r="E19" s="11" t="s">
        <v>115</v>
      </c>
      <c r="F19" s="9" t="s">
        <v>116</v>
      </c>
      <c r="G19" s="12" t="s">
        <v>117</v>
      </c>
      <c r="H19" s="13" t="s">
        <v>108</v>
      </c>
      <c r="I19" s="13" t="s">
        <v>38</v>
      </c>
      <c r="J19" s="10" t="s">
        <v>86</v>
      </c>
      <c r="K19" s="14">
        <v>43795.0</v>
      </c>
      <c r="L19" s="26" t="s">
        <v>110</v>
      </c>
      <c r="M19" s="10">
        <v>16.4</v>
      </c>
      <c r="N19" s="10" t="s">
        <v>40</v>
      </c>
      <c r="O19" s="27">
        <v>40.0</v>
      </c>
      <c r="P19" s="10" t="s">
        <v>41</v>
      </c>
      <c r="Q19" s="28" t="s">
        <v>118</v>
      </c>
      <c r="R19" s="16"/>
      <c r="S19" s="16"/>
      <c r="T19" s="16"/>
      <c r="U19" s="16"/>
      <c r="V19" s="16"/>
      <c r="W19" s="16"/>
      <c r="X19" s="16">
        <v>12.0</v>
      </c>
      <c r="Y19" s="16" t="s">
        <v>112</v>
      </c>
      <c r="Z19" s="16" t="s">
        <v>45</v>
      </c>
      <c r="AA19" s="10"/>
      <c r="AB19" s="29"/>
      <c r="AC19" s="29"/>
      <c r="AD19" s="29" t="s">
        <v>119</v>
      </c>
      <c r="AE19" s="29" t="s">
        <v>120</v>
      </c>
      <c r="AF19" s="29" t="s">
        <v>113</v>
      </c>
      <c r="AG19" s="18"/>
    </row>
    <row r="20" ht="14.25" hidden="1" customHeight="1">
      <c r="A20" s="9" t="s">
        <v>31</v>
      </c>
      <c r="B20" s="9" t="s">
        <v>104</v>
      </c>
      <c r="C20" s="9" t="s">
        <v>33</v>
      </c>
      <c r="D20" s="10">
        <v>23.0</v>
      </c>
      <c r="E20" s="11" t="s">
        <v>121</v>
      </c>
      <c r="F20" s="9" t="s">
        <v>116</v>
      </c>
      <c r="G20" s="30"/>
      <c r="H20" s="19"/>
      <c r="I20" s="19" t="s">
        <v>47</v>
      </c>
      <c r="J20" s="21"/>
      <c r="K20" s="21"/>
      <c r="L20" s="21"/>
      <c r="M20" s="20"/>
      <c r="N20" s="10" t="s">
        <v>48</v>
      </c>
      <c r="O20" s="20"/>
      <c r="P20" s="10" t="s">
        <v>41</v>
      </c>
      <c r="Q20" s="28" t="s">
        <v>118</v>
      </c>
      <c r="R20" s="16"/>
      <c r="S20" s="16"/>
      <c r="T20" s="16"/>
      <c r="U20" s="16"/>
      <c r="V20" s="16"/>
      <c r="W20" s="16"/>
      <c r="X20" s="16"/>
      <c r="Y20" s="16"/>
      <c r="Z20" s="16"/>
      <c r="AA20" s="10"/>
      <c r="AB20" s="29"/>
      <c r="AC20" s="29"/>
      <c r="AD20" s="29" t="s">
        <v>119</v>
      </c>
      <c r="AE20" s="29" t="s">
        <v>120</v>
      </c>
      <c r="AF20" s="29" t="s">
        <v>113</v>
      </c>
      <c r="AG20" s="18"/>
    </row>
    <row r="21" ht="14.25" customHeight="1">
      <c r="A21" s="9" t="s">
        <v>31</v>
      </c>
      <c r="B21" s="9" t="s">
        <v>104</v>
      </c>
      <c r="C21" s="9" t="s">
        <v>122</v>
      </c>
      <c r="D21" s="10">
        <v>23.0</v>
      </c>
      <c r="E21" s="11" t="s">
        <v>123</v>
      </c>
      <c r="F21" s="9" t="s">
        <v>124</v>
      </c>
      <c r="G21" s="12" t="s">
        <v>125</v>
      </c>
      <c r="H21" s="13" t="s">
        <v>126</v>
      </c>
      <c r="I21" s="13" t="s">
        <v>38</v>
      </c>
      <c r="J21" s="10" t="s">
        <v>86</v>
      </c>
      <c r="K21" s="14">
        <v>45625.0</v>
      </c>
      <c r="L21" s="10" t="s">
        <v>127</v>
      </c>
      <c r="M21" s="10">
        <v>18.0</v>
      </c>
      <c r="N21" s="10" t="s">
        <v>40</v>
      </c>
      <c r="O21" s="10">
        <v>48.0</v>
      </c>
      <c r="P21" s="10" t="s">
        <v>41</v>
      </c>
      <c r="Q21" s="10" t="s">
        <v>128</v>
      </c>
      <c r="R21" s="16" t="s">
        <v>43</v>
      </c>
      <c r="S21" s="16" t="s">
        <v>43</v>
      </c>
      <c r="T21" s="16" t="s">
        <v>43</v>
      </c>
      <c r="U21" s="16" t="s">
        <v>43</v>
      </c>
      <c r="V21" s="16" t="s">
        <v>43</v>
      </c>
      <c r="W21" s="16" t="s">
        <v>43</v>
      </c>
      <c r="X21" s="16">
        <v>9.0</v>
      </c>
      <c r="Y21" s="16" t="s">
        <v>44</v>
      </c>
      <c r="Z21" s="16" t="s">
        <v>77</v>
      </c>
      <c r="AA21" s="10"/>
      <c r="AB21" s="17"/>
      <c r="AC21" s="17"/>
      <c r="AD21" s="17" t="str">
        <f t="shared" ref="AD21:AD28" si="7">VLOOKUP(F21,'[1]UKN UID-DOP-Marking'!$H$3:$J$394,3,FALSE)</f>
        <v>#REF!</v>
      </c>
      <c r="AE21" s="17" t="str">
        <f t="shared" ref="AE21:AE28" si="8">VLOOKUP(F21,'[1]UKN UID-DOP-Marking'!$H$3:$K$185,4,FALSE)</f>
        <v>#REF!</v>
      </c>
      <c r="AF21" s="17" t="str">
        <f t="shared" ref="AF21:AF28" si="9">VLOOKUP(F21,'[1]UKN UID-DOP-Marking'!$H$3:$L$394,5,FALSE)</f>
        <v>#REF!</v>
      </c>
      <c r="AG21" s="18"/>
    </row>
    <row r="22" ht="14.25" hidden="1" customHeight="1">
      <c r="A22" s="9" t="s">
        <v>31</v>
      </c>
      <c r="B22" s="9" t="s">
        <v>104</v>
      </c>
      <c r="C22" s="9" t="s">
        <v>122</v>
      </c>
      <c r="D22" s="10">
        <v>23.0</v>
      </c>
      <c r="E22" s="11" t="s">
        <v>129</v>
      </c>
      <c r="F22" s="9" t="s">
        <v>124</v>
      </c>
      <c r="G22" s="12" t="s">
        <v>125</v>
      </c>
      <c r="H22" s="19"/>
      <c r="I22" s="19" t="s">
        <v>47</v>
      </c>
      <c r="J22" s="20"/>
      <c r="K22" s="21"/>
      <c r="L22" s="20"/>
      <c r="M22" s="20"/>
      <c r="N22" s="10" t="s">
        <v>48</v>
      </c>
      <c r="O22" s="20"/>
      <c r="P22" s="10" t="s">
        <v>41</v>
      </c>
      <c r="Q22" s="10" t="s">
        <v>128</v>
      </c>
      <c r="R22" s="16"/>
      <c r="S22" s="16"/>
      <c r="T22" s="16"/>
      <c r="U22" s="16"/>
      <c r="V22" s="16"/>
      <c r="W22" s="16"/>
      <c r="X22" s="16"/>
      <c r="Y22" s="16"/>
      <c r="Z22" s="16"/>
      <c r="AA22" s="10"/>
      <c r="AB22" s="17"/>
      <c r="AC22" s="17"/>
      <c r="AD22" s="17" t="str">
        <f t="shared" si="7"/>
        <v>#REF!</v>
      </c>
      <c r="AE22" s="17" t="str">
        <f t="shared" si="8"/>
        <v>#REF!</v>
      </c>
      <c r="AF22" s="17" t="str">
        <f t="shared" si="9"/>
        <v>#REF!</v>
      </c>
      <c r="AG22" s="18"/>
    </row>
    <row r="23" ht="14.25" customHeight="1">
      <c r="A23" s="9" t="s">
        <v>31</v>
      </c>
      <c r="B23" s="9" t="s">
        <v>104</v>
      </c>
      <c r="C23" s="9" t="s">
        <v>122</v>
      </c>
      <c r="D23" s="10">
        <v>23.0</v>
      </c>
      <c r="E23" s="11" t="s">
        <v>130</v>
      </c>
      <c r="F23" s="9" t="s">
        <v>131</v>
      </c>
      <c r="G23" s="12" t="s">
        <v>132</v>
      </c>
      <c r="H23" s="13" t="s">
        <v>133</v>
      </c>
      <c r="I23" s="13" t="s">
        <v>38</v>
      </c>
      <c r="J23" s="10" t="s">
        <v>86</v>
      </c>
      <c r="K23" s="14">
        <v>45625.0</v>
      </c>
      <c r="L23" s="10" t="s">
        <v>127</v>
      </c>
      <c r="M23" s="10">
        <v>36.0</v>
      </c>
      <c r="N23" s="10" t="s">
        <v>40</v>
      </c>
      <c r="O23" s="10">
        <v>96.0</v>
      </c>
      <c r="P23" s="10" t="s">
        <v>41</v>
      </c>
      <c r="Q23" s="10" t="s">
        <v>134</v>
      </c>
      <c r="R23" s="16" t="s">
        <v>43</v>
      </c>
      <c r="S23" s="16" t="s">
        <v>43</v>
      </c>
      <c r="T23" s="16" t="s">
        <v>43</v>
      </c>
      <c r="U23" s="16" t="s">
        <v>43</v>
      </c>
      <c r="V23" s="16" t="s">
        <v>43</v>
      </c>
      <c r="W23" s="16" t="s">
        <v>43</v>
      </c>
      <c r="X23" s="16">
        <v>4.0</v>
      </c>
      <c r="Y23" s="16" t="s">
        <v>96</v>
      </c>
      <c r="Z23" s="16" t="s">
        <v>97</v>
      </c>
      <c r="AA23" s="10"/>
      <c r="AB23" s="17"/>
      <c r="AC23" s="17"/>
      <c r="AD23" s="17" t="str">
        <f t="shared" si="7"/>
        <v>#REF!</v>
      </c>
      <c r="AE23" s="17" t="str">
        <f t="shared" si="8"/>
        <v>#REF!</v>
      </c>
      <c r="AF23" s="17" t="str">
        <f t="shared" si="9"/>
        <v>#REF!</v>
      </c>
      <c r="AG23" s="18"/>
    </row>
    <row r="24" ht="14.25" hidden="1" customHeight="1">
      <c r="A24" s="9" t="s">
        <v>31</v>
      </c>
      <c r="B24" s="9" t="s">
        <v>104</v>
      </c>
      <c r="C24" s="9" t="s">
        <v>122</v>
      </c>
      <c r="D24" s="10">
        <v>23.0</v>
      </c>
      <c r="E24" s="11" t="s">
        <v>135</v>
      </c>
      <c r="F24" s="9" t="s">
        <v>131</v>
      </c>
      <c r="G24" s="12" t="s">
        <v>132</v>
      </c>
      <c r="H24" s="19"/>
      <c r="I24" s="19" t="s">
        <v>47</v>
      </c>
      <c r="J24" s="20"/>
      <c r="K24" s="21"/>
      <c r="L24" s="20"/>
      <c r="M24" s="20"/>
      <c r="N24" s="10" t="s">
        <v>48</v>
      </c>
      <c r="O24" s="20"/>
      <c r="P24" s="10" t="s">
        <v>41</v>
      </c>
      <c r="Q24" s="10" t="s">
        <v>134</v>
      </c>
      <c r="R24" s="16"/>
      <c r="S24" s="16"/>
      <c r="T24" s="16"/>
      <c r="U24" s="16"/>
      <c r="V24" s="16"/>
      <c r="W24" s="16"/>
      <c r="X24" s="16"/>
      <c r="Y24" s="16"/>
      <c r="Z24" s="16"/>
      <c r="AA24" s="10"/>
      <c r="AB24" s="17"/>
      <c r="AC24" s="17"/>
      <c r="AD24" s="17" t="str">
        <f t="shared" si="7"/>
        <v>#REF!</v>
      </c>
      <c r="AE24" s="17" t="str">
        <f t="shared" si="8"/>
        <v>#REF!</v>
      </c>
      <c r="AF24" s="17" t="str">
        <f t="shared" si="9"/>
        <v>#REF!</v>
      </c>
      <c r="AG24" s="18"/>
    </row>
    <row r="25" ht="14.25" customHeight="1">
      <c r="A25" s="9" t="s">
        <v>31</v>
      </c>
      <c r="B25" s="9" t="s">
        <v>104</v>
      </c>
      <c r="C25" s="9" t="s">
        <v>122</v>
      </c>
      <c r="D25" s="10">
        <v>23.0</v>
      </c>
      <c r="E25" s="11" t="s">
        <v>136</v>
      </c>
      <c r="F25" s="9" t="s">
        <v>137</v>
      </c>
      <c r="G25" s="12" t="s">
        <v>138</v>
      </c>
      <c r="H25" s="13" t="s">
        <v>139</v>
      </c>
      <c r="I25" s="13" t="s">
        <v>38</v>
      </c>
      <c r="J25" s="10" t="s">
        <v>140</v>
      </c>
      <c r="K25" s="14">
        <v>45625.0</v>
      </c>
      <c r="L25" s="10" t="s">
        <v>127</v>
      </c>
      <c r="M25" s="10">
        <v>18.0</v>
      </c>
      <c r="N25" s="10" t="s">
        <v>40</v>
      </c>
      <c r="O25" s="10">
        <v>51.0</v>
      </c>
      <c r="P25" s="10" t="s">
        <v>41</v>
      </c>
      <c r="Q25" s="10" t="s">
        <v>141</v>
      </c>
      <c r="R25" s="16" t="s">
        <v>43</v>
      </c>
      <c r="S25" s="16" t="s">
        <v>43</v>
      </c>
      <c r="T25" s="16" t="s">
        <v>43</v>
      </c>
      <c r="U25" s="16" t="s">
        <v>43</v>
      </c>
      <c r="V25" s="16" t="s">
        <v>43</v>
      </c>
      <c r="W25" s="16" t="s">
        <v>43</v>
      </c>
      <c r="X25" s="16">
        <v>9.0</v>
      </c>
      <c r="Y25" s="16" t="s">
        <v>44</v>
      </c>
      <c r="Z25" s="16" t="s">
        <v>77</v>
      </c>
      <c r="AA25" s="10"/>
      <c r="AB25" s="17"/>
      <c r="AC25" s="17"/>
      <c r="AD25" s="17" t="str">
        <f t="shared" si="7"/>
        <v>#REF!</v>
      </c>
      <c r="AE25" s="17" t="str">
        <f t="shared" si="8"/>
        <v>#REF!</v>
      </c>
      <c r="AF25" s="17" t="str">
        <f t="shared" si="9"/>
        <v>#REF!</v>
      </c>
      <c r="AG25" s="18"/>
    </row>
    <row r="26" ht="14.25" hidden="1" customHeight="1">
      <c r="A26" s="9" t="s">
        <v>31</v>
      </c>
      <c r="B26" s="9" t="s">
        <v>104</v>
      </c>
      <c r="C26" s="9" t="s">
        <v>122</v>
      </c>
      <c r="D26" s="10">
        <v>23.0</v>
      </c>
      <c r="E26" s="11" t="s">
        <v>142</v>
      </c>
      <c r="F26" s="9" t="s">
        <v>137</v>
      </c>
      <c r="G26" s="12" t="s">
        <v>138</v>
      </c>
      <c r="H26" s="19"/>
      <c r="I26" s="19" t="s">
        <v>47</v>
      </c>
      <c r="J26" s="20"/>
      <c r="K26" s="21"/>
      <c r="L26" s="20"/>
      <c r="M26" s="20"/>
      <c r="N26" s="10" t="s">
        <v>48</v>
      </c>
      <c r="O26" s="20"/>
      <c r="P26" s="10" t="s">
        <v>41</v>
      </c>
      <c r="Q26" s="10" t="s">
        <v>141</v>
      </c>
      <c r="R26" s="16"/>
      <c r="S26" s="16"/>
      <c r="T26" s="16"/>
      <c r="U26" s="16"/>
      <c r="V26" s="16"/>
      <c r="W26" s="16"/>
      <c r="X26" s="16"/>
      <c r="Y26" s="16"/>
      <c r="Z26" s="16"/>
      <c r="AA26" s="10"/>
      <c r="AB26" s="17"/>
      <c r="AC26" s="17"/>
      <c r="AD26" s="17" t="str">
        <f t="shared" si="7"/>
        <v>#REF!</v>
      </c>
      <c r="AE26" s="17" t="str">
        <f t="shared" si="8"/>
        <v>#REF!</v>
      </c>
      <c r="AF26" s="17" t="str">
        <f t="shared" si="9"/>
        <v>#REF!</v>
      </c>
      <c r="AG26" s="18"/>
    </row>
    <row r="27" ht="14.25" customHeight="1">
      <c r="A27" s="9" t="s">
        <v>31</v>
      </c>
      <c r="B27" s="9" t="s">
        <v>104</v>
      </c>
      <c r="C27" s="9" t="s">
        <v>122</v>
      </c>
      <c r="D27" s="10">
        <v>23.0</v>
      </c>
      <c r="E27" s="11" t="s">
        <v>143</v>
      </c>
      <c r="F27" s="9" t="s">
        <v>144</v>
      </c>
      <c r="G27" s="12" t="s">
        <v>145</v>
      </c>
      <c r="H27" s="13" t="s">
        <v>139</v>
      </c>
      <c r="I27" s="13" t="s">
        <v>38</v>
      </c>
      <c r="J27" s="10" t="s">
        <v>146</v>
      </c>
      <c r="K27" s="14">
        <v>45625.0</v>
      </c>
      <c r="L27" s="10" t="s">
        <v>127</v>
      </c>
      <c r="M27" s="10">
        <v>18.0</v>
      </c>
      <c r="N27" s="10" t="s">
        <v>40</v>
      </c>
      <c r="O27" s="10">
        <v>51.0</v>
      </c>
      <c r="P27" s="10" t="s">
        <v>41</v>
      </c>
      <c r="Q27" s="10" t="s">
        <v>147</v>
      </c>
      <c r="R27" s="16" t="s">
        <v>43</v>
      </c>
      <c r="S27" s="16" t="s">
        <v>43</v>
      </c>
      <c r="T27" s="16" t="s">
        <v>43</v>
      </c>
      <c r="U27" s="16" t="s">
        <v>43</v>
      </c>
      <c r="V27" s="16" t="s">
        <v>43</v>
      </c>
      <c r="W27" s="16" t="s">
        <v>43</v>
      </c>
      <c r="X27" s="16">
        <v>9.0</v>
      </c>
      <c r="Y27" s="16" t="s">
        <v>44</v>
      </c>
      <c r="Z27" s="16" t="s">
        <v>77</v>
      </c>
      <c r="AA27" s="10"/>
      <c r="AB27" s="17"/>
      <c r="AC27" s="17"/>
      <c r="AD27" s="17" t="str">
        <f t="shared" si="7"/>
        <v>#REF!</v>
      </c>
      <c r="AE27" s="17" t="str">
        <f t="shared" si="8"/>
        <v>#REF!</v>
      </c>
      <c r="AF27" s="17" t="str">
        <f t="shared" si="9"/>
        <v>#REF!</v>
      </c>
      <c r="AG27" s="18"/>
    </row>
    <row r="28" ht="14.25" hidden="1" customHeight="1">
      <c r="A28" s="9" t="s">
        <v>31</v>
      </c>
      <c r="B28" s="9" t="s">
        <v>104</v>
      </c>
      <c r="C28" s="9" t="s">
        <v>122</v>
      </c>
      <c r="D28" s="10">
        <v>23.0</v>
      </c>
      <c r="E28" s="11" t="s">
        <v>148</v>
      </c>
      <c r="F28" s="9" t="s">
        <v>144</v>
      </c>
      <c r="G28" s="12" t="s">
        <v>145</v>
      </c>
      <c r="H28" s="19"/>
      <c r="I28" s="19" t="s">
        <v>47</v>
      </c>
      <c r="J28" s="20"/>
      <c r="K28" s="21"/>
      <c r="L28" s="20"/>
      <c r="M28" s="20"/>
      <c r="N28" s="10" t="s">
        <v>48</v>
      </c>
      <c r="O28" s="20"/>
      <c r="P28" s="10" t="s">
        <v>41</v>
      </c>
      <c r="Q28" s="10" t="s">
        <v>147</v>
      </c>
      <c r="R28" s="16"/>
      <c r="S28" s="16"/>
      <c r="T28" s="16"/>
      <c r="U28" s="16"/>
      <c r="V28" s="16"/>
      <c r="W28" s="16"/>
      <c r="X28" s="16"/>
      <c r="Y28" s="16"/>
      <c r="Z28" s="16"/>
      <c r="AA28" s="10"/>
      <c r="AB28" s="17"/>
      <c r="AC28" s="17"/>
      <c r="AD28" s="17" t="str">
        <f t="shared" si="7"/>
        <v>#REF!</v>
      </c>
      <c r="AE28" s="17" t="str">
        <f t="shared" si="8"/>
        <v>#REF!</v>
      </c>
      <c r="AF28" s="17" t="str">
        <f t="shared" si="9"/>
        <v>#REF!</v>
      </c>
      <c r="AG28" s="18"/>
    </row>
    <row r="29" ht="14.25" customHeight="1">
      <c r="A29" s="9" t="s">
        <v>31</v>
      </c>
      <c r="B29" s="9" t="s">
        <v>104</v>
      </c>
      <c r="C29" s="9" t="s">
        <v>122</v>
      </c>
      <c r="D29" s="10">
        <v>23.0</v>
      </c>
      <c r="E29" s="11" t="s">
        <v>149</v>
      </c>
      <c r="F29" s="9" t="s">
        <v>150</v>
      </c>
      <c r="G29" s="12" t="s">
        <v>151</v>
      </c>
      <c r="H29" s="13" t="s">
        <v>152</v>
      </c>
      <c r="I29" s="13" t="s">
        <v>38</v>
      </c>
      <c r="J29" s="10" t="s">
        <v>140</v>
      </c>
      <c r="K29" s="14">
        <v>45625.0</v>
      </c>
      <c r="L29" s="10" t="s">
        <v>127</v>
      </c>
      <c r="M29" s="10">
        <v>17.8</v>
      </c>
      <c r="N29" s="10" t="s">
        <v>40</v>
      </c>
      <c r="O29" s="10">
        <v>51.0</v>
      </c>
      <c r="P29" s="10" t="s">
        <v>41</v>
      </c>
      <c r="Q29" s="10" t="s">
        <v>153</v>
      </c>
      <c r="R29" s="16"/>
      <c r="S29" s="16"/>
      <c r="T29" s="16"/>
      <c r="U29" s="16"/>
      <c r="V29" s="16"/>
      <c r="W29" s="16"/>
      <c r="X29" s="16"/>
      <c r="Y29" s="16"/>
      <c r="Z29" s="16"/>
      <c r="AA29" s="10"/>
      <c r="AB29" s="17"/>
      <c r="AC29" s="17"/>
      <c r="AD29" s="17" t="s">
        <v>154</v>
      </c>
      <c r="AE29" s="17" t="s">
        <v>155</v>
      </c>
      <c r="AF29" s="17" t="s">
        <v>156</v>
      </c>
      <c r="AG29" s="18"/>
    </row>
    <row r="30" ht="14.25" hidden="1" customHeight="1">
      <c r="A30" s="9" t="s">
        <v>31</v>
      </c>
      <c r="B30" s="9" t="s">
        <v>104</v>
      </c>
      <c r="C30" s="9" t="s">
        <v>122</v>
      </c>
      <c r="D30" s="10">
        <v>23.0</v>
      </c>
      <c r="E30" s="11" t="s">
        <v>157</v>
      </c>
      <c r="F30" s="9" t="s">
        <v>150</v>
      </c>
      <c r="G30" s="12" t="s">
        <v>151</v>
      </c>
      <c r="H30" s="19"/>
      <c r="I30" s="19" t="s">
        <v>47</v>
      </c>
      <c r="J30" s="20"/>
      <c r="K30" s="21"/>
      <c r="L30" s="20"/>
      <c r="M30" s="20"/>
      <c r="N30" s="10" t="s">
        <v>48</v>
      </c>
      <c r="O30" s="20"/>
      <c r="P30" s="10" t="s">
        <v>41</v>
      </c>
      <c r="Q30" s="10" t="s">
        <v>153</v>
      </c>
      <c r="R30" s="16"/>
      <c r="S30" s="16"/>
      <c r="T30" s="16"/>
      <c r="U30" s="16"/>
      <c r="V30" s="16"/>
      <c r="W30" s="16"/>
      <c r="X30" s="16"/>
      <c r="Y30" s="16"/>
      <c r="Z30" s="16"/>
      <c r="AA30" s="10"/>
      <c r="AB30" s="17"/>
      <c r="AC30" s="17"/>
      <c r="AD30" s="17" t="s">
        <v>154</v>
      </c>
      <c r="AE30" s="17" t="s">
        <v>155</v>
      </c>
      <c r="AF30" s="17" t="s">
        <v>156</v>
      </c>
      <c r="AG30" s="18"/>
    </row>
    <row r="31" ht="14.25" customHeight="1">
      <c r="A31" s="9" t="s">
        <v>31</v>
      </c>
      <c r="B31" s="9" t="s">
        <v>104</v>
      </c>
      <c r="C31" s="9" t="s">
        <v>81</v>
      </c>
      <c r="D31" s="10">
        <v>23.0</v>
      </c>
      <c r="E31" s="11" t="s">
        <v>158</v>
      </c>
      <c r="F31" s="9" t="s">
        <v>159</v>
      </c>
      <c r="G31" s="12" t="s">
        <v>160</v>
      </c>
      <c r="H31" s="13" t="s">
        <v>161</v>
      </c>
      <c r="I31" s="13" t="s">
        <v>38</v>
      </c>
      <c r="J31" s="10" t="s">
        <v>86</v>
      </c>
      <c r="K31" s="14">
        <v>46071.0</v>
      </c>
      <c r="L31" s="14" t="s">
        <v>87</v>
      </c>
      <c r="M31" s="10">
        <v>16.6</v>
      </c>
      <c r="N31" s="10" t="s">
        <v>40</v>
      </c>
      <c r="O31" s="10">
        <v>47.0</v>
      </c>
      <c r="P31" s="10" t="s">
        <v>41</v>
      </c>
      <c r="Q31" s="15" t="s">
        <v>162</v>
      </c>
      <c r="R31" s="16" t="s">
        <v>43</v>
      </c>
      <c r="S31" s="16" t="s">
        <v>43</v>
      </c>
      <c r="T31" s="16" t="s">
        <v>43</v>
      </c>
      <c r="U31" s="16" t="s">
        <v>43</v>
      </c>
      <c r="V31" s="16" t="s">
        <v>43</v>
      </c>
      <c r="W31" s="16" t="s">
        <v>43</v>
      </c>
      <c r="X31" s="16">
        <v>9.0</v>
      </c>
      <c r="Y31" s="16" t="s">
        <v>44</v>
      </c>
      <c r="Z31" s="16" t="s">
        <v>77</v>
      </c>
      <c r="AA31" s="10"/>
      <c r="AB31" s="17"/>
      <c r="AC31" s="17"/>
      <c r="AD31" s="9" t="s">
        <v>163</v>
      </c>
      <c r="AE31" s="9" t="s">
        <v>164</v>
      </c>
      <c r="AF31" s="17" t="s">
        <v>165</v>
      </c>
      <c r="AG31" s="18"/>
    </row>
    <row r="32" ht="14.25" hidden="1" customHeight="1">
      <c r="A32" s="9" t="s">
        <v>31</v>
      </c>
      <c r="B32" s="9" t="s">
        <v>104</v>
      </c>
      <c r="C32" s="9" t="s">
        <v>81</v>
      </c>
      <c r="D32" s="10">
        <v>23.0</v>
      </c>
      <c r="E32" s="11" t="s">
        <v>166</v>
      </c>
      <c r="F32" s="9" t="s">
        <v>159</v>
      </c>
      <c r="G32" s="12" t="s">
        <v>160</v>
      </c>
      <c r="H32" s="19"/>
      <c r="I32" s="19" t="s">
        <v>47</v>
      </c>
      <c r="J32" s="20"/>
      <c r="K32" s="21"/>
      <c r="L32" s="21"/>
      <c r="M32" s="20"/>
      <c r="N32" s="10" t="s">
        <v>48</v>
      </c>
      <c r="O32" s="20"/>
      <c r="P32" s="10" t="s">
        <v>41</v>
      </c>
      <c r="Q32" s="15" t="s">
        <v>162</v>
      </c>
      <c r="R32" s="16"/>
      <c r="S32" s="16"/>
      <c r="T32" s="16"/>
      <c r="U32" s="16"/>
      <c r="V32" s="16"/>
      <c r="W32" s="16"/>
      <c r="X32" s="16"/>
      <c r="Y32" s="16"/>
      <c r="Z32" s="16"/>
      <c r="AA32" s="10"/>
      <c r="AB32" s="17"/>
      <c r="AC32" s="17"/>
      <c r="AD32" s="9" t="s">
        <v>163</v>
      </c>
      <c r="AE32" s="9" t="s">
        <v>164</v>
      </c>
      <c r="AF32" s="17" t="s">
        <v>165</v>
      </c>
      <c r="AG32" s="18"/>
    </row>
    <row r="33" ht="14.25" customHeight="1">
      <c r="A33" s="9" t="s">
        <v>31</v>
      </c>
      <c r="B33" s="9" t="s">
        <v>104</v>
      </c>
      <c r="C33" s="9" t="s">
        <v>167</v>
      </c>
      <c r="D33" s="10">
        <v>23.0</v>
      </c>
      <c r="E33" s="11" t="s">
        <v>168</v>
      </c>
      <c r="F33" s="9" t="s">
        <v>169</v>
      </c>
      <c r="G33" s="12" t="s">
        <v>170</v>
      </c>
      <c r="H33" s="13" t="s">
        <v>126</v>
      </c>
      <c r="I33" s="13" t="s">
        <v>38</v>
      </c>
      <c r="J33" s="10" t="s">
        <v>86</v>
      </c>
      <c r="K33" s="14">
        <v>45625.0</v>
      </c>
      <c r="L33" s="10" t="s">
        <v>171</v>
      </c>
      <c r="M33" s="10">
        <v>17.8</v>
      </c>
      <c r="N33" s="10" t="s">
        <v>40</v>
      </c>
      <c r="O33" s="10">
        <v>50.0</v>
      </c>
      <c r="P33" s="10" t="s">
        <v>41</v>
      </c>
      <c r="Q33" s="10" t="s">
        <v>172</v>
      </c>
      <c r="R33" s="16" t="s">
        <v>43</v>
      </c>
      <c r="S33" s="16" t="s">
        <v>43</v>
      </c>
      <c r="T33" s="16" t="s">
        <v>43</v>
      </c>
      <c r="U33" s="16" t="s">
        <v>43</v>
      </c>
      <c r="V33" s="16" t="s">
        <v>43</v>
      </c>
      <c r="W33" s="16" t="s">
        <v>43</v>
      </c>
      <c r="X33" s="16">
        <v>9.0</v>
      </c>
      <c r="Y33" s="16" t="s">
        <v>44</v>
      </c>
      <c r="Z33" s="16" t="s">
        <v>77</v>
      </c>
      <c r="AA33" s="10"/>
      <c r="AB33" s="17"/>
      <c r="AC33" s="17"/>
      <c r="AD33" s="17" t="str">
        <f t="shared" ref="AD33:AD50" si="10">VLOOKUP(F33,'[1]UKN UID-DOP-Marking'!$H$3:$J$394,3,FALSE)</f>
        <v>#REF!</v>
      </c>
      <c r="AE33" s="17" t="str">
        <f t="shared" ref="AE33:AE50" si="11">VLOOKUP(F33,'[1]UKN UID-DOP-Marking'!$H$3:$K$185,4,FALSE)</f>
        <v>#REF!</v>
      </c>
      <c r="AF33" s="17" t="str">
        <f t="shared" ref="AF33:AF50" si="12">VLOOKUP(F33,'[1]UKN UID-DOP-Marking'!$H$3:$L$394,5,FALSE)</f>
        <v>#REF!</v>
      </c>
      <c r="AG33" s="18"/>
    </row>
    <row r="34" ht="14.25" hidden="1" customHeight="1">
      <c r="A34" s="9" t="s">
        <v>31</v>
      </c>
      <c r="B34" s="9" t="s">
        <v>104</v>
      </c>
      <c r="C34" s="9" t="s">
        <v>167</v>
      </c>
      <c r="D34" s="10">
        <v>23.0</v>
      </c>
      <c r="E34" s="11" t="s">
        <v>173</v>
      </c>
      <c r="F34" s="9" t="s">
        <v>169</v>
      </c>
      <c r="G34" s="12" t="s">
        <v>170</v>
      </c>
      <c r="H34" s="19"/>
      <c r="I34" s="19" t="s">
        <v>47</v>
      </c>
      <c r="J34" s="20"/>
      <c r="K34" s="21"/>
      <c r="L34" s="20"/>
      <c r="M34" s="20"/>
      <c r="N34" s="10" t="s">
        <v>48</v>
      </c>
      <c r="O34" s="20"/>
      <c r="P34" s="10" t="s">
        <v>41</v>
      </c>
      <c r="Q34" s="10" t="s">
        <v>172</v>
      </c>
      <c r="R34" s="16"/>
      <c r="S34" s="16"/>
      <c r="T34" s="16"/>
      <c r="U34" s="16"/>
      <c r="V34" s="16"/>
      <c r="W34" s="16"/>
      <c r="X34" s="16"/>
      <c r="Y34" s="16"/>
      <c r="Z34" s="16"/>
      <c r="AA34" s="10"/>
      <c r="AB34" s="17"/>
      <c r="AC34" s="17"/>
      <c r="AD34" s="17" t="str">
        <f t="shared" si="10"/>
        <v>#REF!</v>
      </c>
      <c r="AE34" s="17" t="str">
        <f t="shared" si="11"/>
        <v>#REF!</v>
      </c>
      <c r="AF34" s="17" t="str">
        <f t="shared" si="12"/>
        <v>#REF!</v>
      </c>
      <c r="AG34" s="18"/>
    </row>
    <row r="35" ht="14.25" customHeight="1">
      <c r="A35" s="9" t="s">
        <v>31</v>
      </c>
      <c r="B35" s="9" t="s">
        <v>104</v>
      </c>
      <c r="C35" s="9" t="s">
        <v>167</v>
      </c>
      <c r="D35" s="10">
        <v>23.0</v>
      </c>
      <c r="E35" s="11" t="s">
        <v>174</v>
      </c>
      <c r="F35" s="9" t="s">
        <v>175</v>
      </c>
      <c r="G35" s="12" t="s">
        <v>176</v>
      </c>
      <c r="H35" s="13" t="s">
        <v>126</v>
      </c>
      <c r="I35" s="13" t="s">
        <v>38</v>
      </c>
      <c r="J35" s="10" t="s">
        <v>86</v>
      </c>
      <c r="K35" s="14">
        <v>45625.0</v>
      </c>
      <c r="L35" s="10" t="s">
        <v>171</v>
      </c>
      <c r="M35" s="10">
        <v>17.8</v>
      </c>
      <c r="N35" s="10" t="s">
        <v>40</v>
      </c>
      <c r="O35" s="10">
        <v>50.0</v>
      </c>
      <c r="P35" s="10" t="s">
        <v>41</v>
      </c>
      <c r="Q35" s="15" t="s">
        <v>177</v>
      </c>
      <c r="R35" s="16" t="s">
        <v>43</v>
      </c>
      <c r="S35" s="16" t="s">
        <v>43</v>
      </c>
      <c r="T35" s="16" t="s">
        <v>43</v>
      </c>
      <c r="U35" s="16" t="s">
        <v>43</v>
      </c>
      <c r="V35" s="16" t="s">
        <v>43</v>
      </c>
      <c r="W35" s="16" t="s">
        <v>43</v>
      </c>
      <c r="X35" s="16">
        <v>5.49</v>
      </c>
      <c r="Y35" s="16" t="s">
        <v>44</v>
      </c>
      <c r="Z35" s="16" t="s">
        <v>77</v>
      </c>
      <c r="AA35" s="10"/>
      <c r="AB35" s="17"/>
      <c r="AC35" s="17"/>
      <c r="AD35" s="17" t="str">
        <f t="shared" si="10"/>
        <v>#REF!</v>
      </c>
      <c r="AE35" s="17" t="str">
        <f t="shared" si="11"/>
        <v>#REF!</v>
      </c>
      <c r="AF35" s="17" t="str">
        <f t="shared" si="12"/>
        <v>#REF!</v>
      </c>
      <c r="AG35" s="18"/>
    </row>
    <row r="36" ht="14.25" hidden="1" customHeight="1">
      <c r="A36" s="9" t="s">
        <v>31</v>
      </c>
      <c r="B36" s="9" t="s">
        <v>104</v>
      </c>
      <c r="C36" s="9" t="s">
        <v>167</v>
      </c>
      <c r="D36" s="10">
        <v>23.0</v>
      </c>
      <c r="E36" s="11" t="s">
        <v>178</v>
      </c>
      <c r="F36" s="9" t="s">
        <v>175</v>
      </c>
      <c r="G36" s="12" t="s">
        <v>176</v>
      </c>
      <c r="H36" s="19"/>
      <c r="I36" s="19" t="s">
        <v>47</v>
      </c>
      <c r="J36" s="20"/>
      <c r="K36" s="21"/>
      <c r="L36" s="20"/>
      <c r="M36" s="20"/>
      <c r="N36" s="10" t="s">
        <v>48</v>
      </c>
      <c r="O36" s="20"/>
      <c r="P36" s="10" t="s">
        <v>41</v>
      </c>
      <c r="Q36" s="15" t="s">
        <v>177</v>
      </c>
      <c r="R36" s="16"/>
      <c r="S36" s="16"/>
      <c r="T36" s="16"/>
      <c r="U36" s="16"/>
      <c r="V36" s="16"/>
      <c r="W36" s="16"/>
      <c r="X36" s="16"/>
      <c r="Y36" s="16"/>
      <c r="Z36" s="16"/>
      <c r="AA36" s="10"/>
      <c r="AB36" s="17"/>
      <c r="AC36" s="17"/>
      <c r="AD36" s="17" t="str">
        <f t="shared" si="10"/>
        <v>#REF!</v>
      </c>
      <c r="AE36" s="17" t="str">
        <f t="shared" si="11"/>
        <v>#REF!</v>
      </c>
      <c r="AF36" s="17" t="str">
        <f t="shared" si="12"/>
        <v>#REF!</v>
      </c>
      <c r="AG36" s="18"/>
    </row>
    <row r="37" ht="14.25" customHeight="1">
      <c r="A37" s="9" t="s">
        <v>31</v>
      </c>
      <c r="B37" s="9" t="s">
        <v>104</v>
      </c>
      <c r="C37" s="9" t="s">
        <v>167</v>
      </c>
      <c r="D37" s="10">
        <v>23.0</v>
      </c>
      <c r="E37" s="11" t="s">
        <v>179</v>
      </c>
      <c r="F37" s="9" t="s">
        <v>180</v>
      </c>
      <c r="G37" s="12" t="s">
        <v>181</v>
      </c>
      <c r="H37" s="13" t="s">
        <v>133</v>
      </c>
      <c r="I37" s="13" t="s">
        <v>38</v>
      </c>
      <c r="J37" s="10" t="s">
        <v>86</v>
      </c>
      <c r="K37" s="14">
        <v>45625.0</v>
      </c>
      <c r="L37" s="10" t="s">
        <v>171</v>
      </c>
      <c r="M37" s="10">
        <v>35.6</v>
      </c>
      <c r="N37" s="10" t="s">
        <v>40</v>
      </c>
      <c r="O37" s="10">
        <v>100.0</v>
      </c>
      <c r="P37" s="10" t="s">
        <v>41</v>
      </c>
      <c r="Q37" s="10" t="s">
        <v>182</v>
      </c>
      <c r="R37" s="16" t="s">
        <v>43</v>
      </c>
      <c r="S37" s="16" t="s">
        <v>43</v>
      </c>
      <c r="T37" s="16" t="s">
        <v>43</v>
      </c>
      <c r="U37" s="16" t="s">
        <v>43</v>
      </c>
      <c r="V37" s="16" t="s">
        <v>43</v>
      </c>
      <c r="W37" s="16" t="s">
        <v>43</v>
      </c>
      <c r="X37" s="16">
        <v>4.0</v>
      </c>
      <c r="Y37" s="16" t="s">
        <v>96</v>
      </c>
      <c r="Z37" s="16" t="s">
        <v>183</v>
      </c>
      <c r="AA37" s="10"/>
      <c r="AB37" s="17"/>
      <c r="AC37" s="17"/>
      <c r="AD37" s="17" t="str">
        <f t="shared" si="10"/>
        <v>#REF!</v>
      </c>
      <c r="AE37" s="17" t="str">
        <f t="shared" si="11"/>
        <v>#REF!</v>
      </c>
      <c r="AF37" s="17" t="str">
        <f t="shared" si="12"/>
        <v>#REF!</v>
      </c>
      <c r="AG37" s="18"/>
    </row>
    <row r="38" ht="14.25" hidden="1" customHeight="1">
      <c r="A38" s="9" t="s">
        <v>31</v>
      </c>
      <c r="B38" s="9" t="s">
        <v>104</v>
      </c>
      <c r="C38" s="9" t="s">
        <v>167</v>
      </c>
      <c r="D38" s="10">
        <v>23.0</v>
      </c>
      <c r="E38" s="11" t="s">
        <v>184</v>
      </c>
      <c r="F38" s="9" t="s">
        <v>180</v>
      </c>
      <c r="G38" s="12" t="s">
        <v>181</v>
      </c>
      <c r="H38" s="19"/>
      <c r="I38" s="19" t="s">
        <v>47</v>
      </c>
      <c r="J38" s="20"/>
      <c r="K38" s="21"/>
      <c r="L38" s="20"/>
      <c r="M38" s="20"/>
      <c r="N38" s="10" t="s">
        <v>48</v>
      </c>
      <c r="O38" s="20"/>
      <c r="P38" s="10" t="s">
        <v>41</v>
      </c>
      <c r="Q38" s="10" t="s">
        <v>182</v>
      </c>
      <c r="R38" s="16"/>
      <c r="S38" s="16"/>
      <c r="T38" s="16"/>
      <c r="U38" s="16"/>
      <c r="V38" s="16"/>
      <c r="W38" s="16"/>
      <c r="X38" s="16"/>
      <c r="Y38" s="16"/>
      <c r="Z38" s="16"/>
      <c r="AA38" s="10"/>
      <c r="AB38" s="17"/>
      <c r="AC38" s="17"/>
      <c r="AD38" s="17" t="str">
        <f t="shared" si="10"/>
        <v>#REF!</v>
      </c>
      <c r="AE38" s="17" t="str">
        <f t="shared" si="11"/>
        <v>#REF!</v>
      </c>
      <c r="AF38" s="17" t="str">
        <f t="shared" si="12"/>
        <v>#REF!</v>
      </c>
      <c r="AG38" s="18"/>
    </row>
    <row r="39" ht="14.25" customHeight="1">
      <c r="A39" s="9" t="s">
        <v>31</v>
      </c>
      <c r="B39" s="9" t="s">
        <v>104</v>
      </c>
      <c r="C39" s="9" t="s">
        <v>167</v>
      </c>
      <c r="D39" s="10">
        <v>23.0</v>
      </c>
      <c r="E39" s="11" t="s">
        <v>185</v>
      </c>
      <c r="F39" s="9" t="s">
        <v>186</v>
      </c>
      <c r="G39" s="12" t="s">
        <v>187</v>
      </c>
      <c r="H39" s="13" t="s">
        <v>126</v>
      </c>
      <c r="I39" s="13" t="s">
        <v>38</v>
      </c>
      <c r="J39" s="10" t="s">
        <v>86</v>
      </c>
      <c r="K39" s="14">
        <v>45625.0</v>
      </c>
      <c r="L39" s="10" t="s">
        <v>171</v>
      </c>
      <c r="M39" s="10">
        <v>17.8</v>
      </c>
      <c r="N39" s="10" t="s">
        <v>40</v>
      </c>
      <c r="O39" s="10">
        <v>50.0</v>
      </c>
      <c r="P39" s="10" t="s">
        <v>41</v>
      </c>
      <c r="Q39" s="10" t="s">
        <v>188</v>
      </c>
      <c r="R39" s="16" t="s">
        <v>43</v>
      </c>
      <c r="S39" s="16" t="s">
        <v>43</v>
      </c>
      <c r="T39" s="16" t="s">
        <v>43</v>
      </c>
      <c r="U39" s="16" t="s">
        <v>43</v>
      </c>
      <c r="V39" s="16" t="s">
        <v>43</v>
      </c>
      <c r="W39" s="16" t="s">
        <v>43</v>
      </c>
      <c r="X39" s="16">
        <v>9.0</v>
      </c>
      <c r="Y39" s="16" t="s">
        <v>44</v>
      </c>
      <c r="Z39" s="16" t="s">
        <v>77</v>
      </c>
      <c r="AA39" s="10"/>
      <c r="AB39" s="17"/>
      <c r="AC39" s="17"/>
      <c r="AD39" s="17" t="str">
        <f t="shared" si="10"/>
        <v>#REF!</v>
      </c>
      <c r="AE39" s="17" t="str">
        <f t="shared" si="11"/>
        <v>#REF!</v>
      </c>
      <c r="AF39" s="17" t="str">
        <f t="shared" si="12"/>
        <v>#REF!</v>
      </c>
      <c r="AG39" s="18"/>
    </row>
    <row r="40" ht="14.25" hidden="1" customHeight="1">
      <c r="A40" s="9" t="s">
        <v>31</v>
      </c>
      <c r="B40" s="9" t="s">
        <v>104</v>
      </c>
      <c r="C40" s="9" t="s">
        <v>167</v>
      </c>
      <c r="D40" s="10">
        <v>23.0</v>
      </c>
      <c r="E40" s="11" t="s">
        <v>189</v>
      </c>
      <c r="F40" s="9" t="s">
        <v>186</v>
      </c>
      <c r="G40" s="12" t="s">
        <v>187</v>
      </c>
      <c r="H40" s="19"/>
      <c r="I40" s="19" t="s">
        <v>47</v>
      </c>
      <c r="J40" s="20"/>
      <c r="K40" s="21"/>
      <c r="L40" s="20"/>
      <c r="M40" s="20"/>
      <c r="N40" s="10" t="s">
        <v>48</v>
      </c>
      <c r="O40" s="20"/>
      <c r="P40" s="10" t="s">
        <v>41</v>
      </c>
      <c r="Q40" s="10" t="s">
        <v>188</v>
      </c>
      <c r="R40" s="16"/>
      <c r="S40" s="16"/>
      <c r="T40" s="16"/>
      <c r="U40" s="16"/>
      <c r="V40" s="16"/>
      <c r="W40" s="16"/>
      <c r="X40" s="16"/>
      <c r="Y40" s="16"/>
      <c r="Z40" s="16"/>
      <c r="AA40" s="10"/>
      <c r="AB40" s="17"/>
      <c r="AC40" s="17"/>
      <c r="AD40" s="17" t="str">
        <f t="shared" si="10"/>
        <v>#REF!</v>
      </c>
      <c r="AE40" s="17" t="str">
        <f t="shared" si="11"/>
        <v>#REF!</v>
      </c>
      <c r="AF40" s="17" t="str">
        <f t="shared" si="12"/>
        <v>#REF!</v>
      </c>
      <c r="AG40" s="18"/>
    </row>
    <row r="41" ht="14.25" customHeight="1">
      <c r="A41" s="9" t="s">
        <v>31</v>
      </c>
      <c r="B41" s="9" t="s">
        <v>104</v>
      </c>
      <c r="C41" s="9" t="s">
        <v>167</v>
      </c>
      <c r="D41" s="10">
        <v>23.0</v>
      </c>
      <c r="E41" s="11" t="s">
        <v>190</v>
      </c>
      <c r="F41" s="9" t="s">
        <v>191</v>
      </c>
      <c r="G41" s="12" t="s">
        <v>192</v>
      </c>
      <c r="H41" s="13" t="s">
        <v>133</v>
      </c>
      <c r="I41" s="13" t="s">
        <v>38</v>
      </c>
      <c r="J41" s="10" t="s">
        <v>86</v>
      </c>
      <c r="K41" s="14">
        <v>45625.0</v>
      </c>
      <c r="L41" s="10" t="s">
        <v>171</v>
      </c>
      <c r="M41" s="10">
        <v>35.6</v>
      </c>
      <c r="N41" s="10" t="s">
        <v>40</v>
      </c>
      <c r="O41" s="10">
        <v>100.0</v>
      </c>
      <c r="P41" s="10" t="s">
        <v>41</v>
      </c>
      <c r="Q41" s="10" t="s">
        <v>193</v>
      </c>
      <c r="R41" s="16" t="s">
        <v>43</v>
      </c>
      <c r="S41" s="16" t="s">
        <v>43</v>
      </c>
      <c r="T41" s="16" t="s">
        <v>43</v>
      </c>
      <c r="U41" s="16" t="s">
        <v>43</v>
      </c>
      <c r="V41" s="16" t="s">
        <v>43</v>
      </c>
      <c r="W41" s="16" t="s">
        <v>43</v>
      </c>
      <c r="X41" s="16">
        <v>4.0</v>
      </c>
      <c r="Y41" s="16" t="s">
        <v>96</v>
      </c>
      <c r="Z41" s="16" t="s">
        <v>183</v>
      </c>
      <c r="AA41" s="10"/>
      <c r="AB41" s="17"/>
      <c r="AC41" s="17"/>
      <c r="AD41" s="17" t="str">
        <f t="shared" si="10"/>
        <v>#REF!</v>
      </c>
      <c r="AE41" s="17" t="str">
        <f t="shared" si="11"/>
        <v>#REF!</v>
      </c>
      <c r="AF41" s="17" t="str">
        <f t="shared" si="12"/>
        <v>#REF!</v>
      </c>
      <c r="AG41" s="18"/>
    </row>
    <row r="42" ht="14.25" hidden="1" customHeight="1">
      <c r="A42" s="9" t="s">
        <v>31</v>
      </c>
      <c r="B42" s="9" t="s">
        <v>104</v>
      </c>
      <c r="C42" s="9" t="s">
        <v>167</v>
      </c>
      <c r="D42" s="10">
        <v>23.0</v>
      </c>
      <c r="E42" s="11" t="s">
        <v>194</v>
      </c>
      <c r="F42" s="9" t="s">
        <v>191</v>
      </c>
      <c r="G42" s="12" t="s">
        <v>192</v>
      </c>
      <c r="H42" s="19"/>
      <c r="I42" s="19" t="s">
        <v>47</v>
      </c>
      <c r="J42" s="20"/>
      <c r="K42" s="21"/>
      <c r="L42" s="20"/>
      <c r="M42" s="20"/>
      <c r="N42" s="10" t="s">
        <v>48</v>
      </c>
      <c r="O42" s="20"/>
      <c r="P42" s="10" t="s">
        <v>41</v>
      </c>
      <c r="Q42" s="10" t="s">
        <v>193</v>
      </c>
      <c r="R42" s="16"/>
      <c r="S42" s="16"/>
      <c r="T42" s="16"/>
      <c r="U42" s="16"/>
      <c r="V42" s="16"/>
      <c r="W42" s="16"/>
      <c r="X42" s="16"/>
      <c r="Y42" s="16"/>
      <c r="Z42" s="16"/>
      <c r="AA42" s="10"/>
      <c r="AB42" s="17"/>
      <c r="AC42" s="17"/>
      <c r="AD42" s="17" t="str">
        <f t="shared" si="10"/>
        <v>#REF!</v>
      </c>
      <c r="AE42" s="17" t="str">
        <f t="shared" si="11"/>
        <v>#REF!</v>
      </c>
      <c r="AF42" s="17" t="str">
        <f t="shared" si="12"/>
        <v>#REF!</v>
      </c>
      <c r="AG42" s="18"/>
    </row>
    <row r="43" ht="14.25" customHeight="1">
      <c r="A43" s="9" t="s">
        <v>31</v>
      </c>
      <c r="B43" s="9" t="s">
        <v>104</v>
      </c>
      <c r="C43" s="9" t="s">
        <v>167</v>
      </c>
      <c r="D43" s="10">
        <v>23.0</v>
      </c>
      <c r="E43" s="11" t="s">
        <v>195</v>
      </c>
      <c r="F43" s="9" t="s">
        <v>196</v>
      </c>
      <c r="G43" s="12" t="s">
        <v>197</v>
      </c>
      <c r="H43" s="13" t="s">
        <v>139</v>
      </c>
      <c r="I43" s="13" t="s">
        <v>38</v>
      </c>
      <c r="J43" s="10" t="s">
        <v>140</v>
      </c>
      <c r="K43" s="14">
        <v>45625.0</v>
      </c>
      <c r="L43" s="10" t="s">
        <v>171</v>
      </c>
      <c r="M43" s="10">
        <v>18.0</v>
      </c>
      <c r="N43" s="10" t="s">
        <v>40</v>
      </c>
      <c r="O43" s="10">
        <v>53.0</v>
      </c>
      <c r="P43" s="10" t="s">
        <v>41</v>
      </c>
      <c r="Q43" s="15" t="s">
        <v>198</v>
      </c>
      <c r="R43" s="16" t="s">
        <v>43</v>
      </c>
      <c r="S43" s="16" t="s">
        <v>43</v>
      </c>
      <c r="T43" s="16" t="s">
        <v>43</v>
      </c>
      <c r="U43" s="16" t="s">
        <v>43</v>
      </c>
      <c r="V43" s="16" t="s">
        <v>43</v>
      </c>
      <c r="W43" s="16" t="s">
        <v>43</v>
      </c>
      <c r="X43" s="16">
        <v>9.0</v>
      </c>
      <c r="Y43" s="16" t="s">
        <v>44</v>
      </c>
      <c r="Z43" s="16" t="s">
        <v>77</v>
      </c>
      <c r="AA43" s="10"/>
      <c r="AB43" s="17"/>
      <c r="AC43" s="17"/>
      <c r="AD43" s="17" t="str">
        <f t="shared" si="10"/>
        <v>#REF!</v>
      </c>
      <c r="AE43" s="17" t="str">
        <f t="shared" si="11"/>
        <v>#REF!</v>
      </c>
      <c r="AF43" s="17" t="str">
        <f t="shared" si="12"/>
        <v>#REF!</v>
      </c>
      <c r="AG43" s="18"/>
    </row>
    <row r="44" ht="14.25" hidden="1" customHeight="1">
      <c r="A44" s="9" t="s">
        <v>31</v>
      </c>
      <c r="B44" s="9" t="s">
        <v>104</v>
      </c>
      <c r="C44" s="9" t="s">
        <v>167</v>
      </c>
      <c r="D44" s="10">
        <v>23.0</v>
      </c>
      <c r="E44" s="11" t="s">
        <v>199</v>
      </c>
      <c r="F44" s="9" t="s">
        <v>196</v>
      </c>
      <c r="G44" s="12" t="s">
        <v>197</v>
      </c>
      <c r="H44" s="19"/>
      <c r="I44" s="19" t="s">
        <v>47</v>
      </c>
      <c r="J44" s="20"/>
      <c r="K44" s="21"/>
      <c r="L44" s="20"/>
      <c r="M44" s="20"/>
      <c r="N44" s="10" t="s">
        <v>48</v>
      </c>
      <c r="O44" s="20"/>
      <c r="P44" s="10" t="s">
        <v>41</v>
      </c>
      <c r="Q44" s="15" t="s">
        <v>198</v>
      </c>
      <c r="R44" s="16"/>
      <c r="S44" s="16"/>
      <c r="T44" s="16"/>
      <c r="U44" s="16"/>
      <c r="V44" s="16"/>
      <c r="W44" s="16"/>
      <c r="X44" s="16"/>
      <c r="Y44" s="16"/>
      <c r="Z44" s="16"/>
      <c r="AA44" s="10"/>
      <c r="AB44" s="17"/>
      <c r="AC44" s="17"/>
      <c r="AD44" s="17" t="str">
        <f t="shared" si="10"/>
        <v>#REF!</v>
      </c>
      <c r="AE44" s="17" t="str">
        <f t="shared" si="11"/>
        <v>#REF!</v>
      </c>
      <c r="AF44" s="17" t="str">
        <f t="shared" si="12"/>
        <v>#REF!</v>
      </c>
      <c r="AG44" s="18"/>
    </row>
    <row r="45" ht="14.25" customHeight="1">
      <c r="A45" s="9" t="s">
        <v>31</v>
      </c>
      <c r="B45" s="9" t="s">
        <v>104</v>
      </c>
      <c r="C45" s="9" t="s">
        <v>167</v>
      </c>
      <c r="D45" s="10">
        <v>23.0</v>
      </c>
      <c r="E45" s="11" t="s">
        <v>200</v>
      </c>
      <c r="F45" s="9" t="s">
        <v>201</v>
      </c>
      <c r="G45" s="12" t="s">
        <v>202</v>
      </c>
      <c r="H45" s="13" t="s">
        <v>203</v>
      </c>
      <c r="I45" s="13" t="s">
        <v>38</v>
      </c>
      <c r="J45" s="10" t="s">
        <v>140</v>
      </c>
      <c r="K45" s="14">
        <v>45625.0</v>
      </c>
      <c r="L45" s="10" t="s">
        <v>171</v>
      </c>
      <c r="M45" s="10">
        <v>36.0</v>
      </c>
      <c r="N45" s="10" t="s">
        <v>40</v>
      </c>
      <c r="O45" s="10">
        <v>106.0</v>
      </c>
      <c r="P45" s="10" t="s">
        <v>41</v>
      </c>
      <c r="Q45" s="15" t="s">
        <v>204</v>
      </c>
      <c r="R45" s="16" t="s">
        <v>43</v>
      </c>
      <c r="S45" s="16" t="s">
        <v>43</v>
      </c>
      <c r="T45" s="16" t="s">
        <v>43</v>
      </c>
      <c r="U45" s="16" t="s">
        <v>43</v>
      </c>
      <c r="V45" s="16" t="s">
        <v>43</v>
      </c>
      <c r="W45" s="16" t="s">
        <v>43</v>
      </c>
      <c r="X45" s="16">
        <v>4.0</v>
      </c>
      <c r="Y45" s="16" t="s">
        <v>96</v>
      </c>
      <c r="Z45" s="16" t="s">
        <v>183</v>
      </c>
      <c r="AA45" s="10"/>
      <c r="AB45" s="17"/>
      <c r="AC45" s="17"/>
      <c r="AD45" s="17" t="str">
        <f t="shared" si="10"/>
        <v>#REF!</v>
      </c>
      <c r="AE45" s="17" t="str">
        <f t="shared" si="11"/>
        <v>#REF!</v>
      </c>
      <c r="AF45" s="17" t="str">
        <f t="shared" si="12"/>
        <v>#REF!</v>
      </c>
      <c r="AG45" s="18"/>
    </row>
    <row r="46" ht="14.25" hidden="1" customHeight="1">
      <c r="A46" s="9" t="s">
        <v>31</v>
      </c>
      <c r="B46" s="9" t="s">
        <v>104</v>
      </c>
      <c r="C46" s="9" t="s">
        <v>167</v>
      </c>
      <c r="D46" s="10">
        <v>23.0</v>
      </c>
      <c r="E46" s="11" t="s">
        <v>205</v>
      </c>
      <c r="F46" s="9" t="s">
        <v>201</v>
      </c>
      <c r="G46" s="12" t="s">
        <v>202</v>
      </c>
      <c r="H46" s="19"/>
      <c r="I46" s="19" t="s">
        <v>47</v>
      </c>
      <c r="J46" s="20"/>
      <c r="K46" s="21"/>
      <c r="L46" s="20"/>
      <c r="M46" s="20"/>
      <c r="N46" s="10" t="s">
        <v>48</v>
      </c>
      <c r="O46" s="20"/>
      <c r="P46" s="10" t="s">
        <v>41</v>
      </c>
      <c r="Q46" s="15" t="s">
        <v>204</v>
      </c>
      <c r="R46" s="16"/>
      <c r="S46" s="16"/>
      <c r="T46" s="16"/>
      <c r="U46" s="16"/>
      <c r="V46" s="16"/>
      <c r="W46" s="16"/>
      <c r="X46" s="16"/>
      <c r="Y46" s="16"/>
      <c r="Z46" s="16"/>
      <c r="AA46" s="10"/>
      <c r="AB46" s="17"/>
      <c r="AC46" s="17"/>
      <c r="AD46" s="17" t="str">
        <f t="shared" si="10"/>
        <v>#REF!</v>
      </c>
      <c r="AE46" s="17" t="str">
        <f t="shared" si="11"/>
        <v>#REF!</v>
      </c>
      <c r="AF46" s="17" t="str">
        <f t="shared" si="12"/>
        <v>#REF!</v>
      </c>
      <c r="AG46" s="18"/>
    </row>
    <row r="47" ht="14.25" customHeight="1">
      <c r="A47" s="9" t="s">
        <v>31</v>
      </c>
      <c r="B47" s="9" t="s">
        <v>104</v>
      </c>
      <c r="C47" s="9" t="s">
        <v>167</v>
      </c>
      <c r="D47" s="10">
        <v>23.0</v>
      </c>
      <c r="E47" s="11" t="s">
        <v>206</v>
      </c>
      <c r="F47" s="9" t="s">
        <v>207</v>
      </c>
      <c r="G47" s="12" t="s">
        <v>208</v>
      </c>
      <c r="H47" s="13" t="s">
        <v>139</v>
      </c>
      <c r="I47" s="13" t="s">
        <v>38</v>
      </c>
      <c r="J47" s="10" t="s">
        <v>146</v>
      </c>
      <c r="K47" s="14">
        <v>45625.0</v>
      </c>
      <c r="L47" s="10" t="s">
        <v>171</v>
      </c>
      <c r="M47" s="10">
        <v>18.0</v>
      </c>
      <c r="N47" s="10" t="s">
        <v>40</v>
      </c>
      <c r="O47" s="10">
        <v>53.0</v>
      </c>
      <c r="P47" s="10" t="s">
        <v>41</v>
      </c>
      <c r="Q47" s="10" t="s">
        <v>209</v>
      </c>
      <c r="R47" s="16" t="s">
        <v>43</v>
      </c>
      <c r="S47" s="16" t="s">
        <v>43</v>
      </c>
      <c r="T47" s="16" t="s">
        <v>43</v>
      </c>
      <c r="U47" s="16" t="s">
        <v>43</v>
      </c>
      <c r="V47" s="16" t="s">
        <v>43</v>
      </c>
      <c r="W47" s="16" t="s">
        <v>43</v>
      </c>
      <c r="X47" s="16">
        <v>9.0</v>
      </c>
      <c r="Y47" s="16" t="s">
        <v>44</v>
      </c>
      <c r="Z47" s="16" t="s">
        <v>77</v>
      </c>
      <c r="AA47" s="10"/>
      <c r="AB47" s="17"/>
      <c r="AC47" s="17"/>
      <c r="AD47" s="17" t="str">
        <f t="shared" si="10"/>
        <v>#REF!</v>
      </c>
      <c r="AE47" s="17" t="str">
        <f t="shared" si="11"/>
        <v>#REF!</v>
      </c>
      <c r="AF47" s="17" t="str">
        <f t="shared" si="12"/>
        <v>#REF!</v>
      </c>
      <c r="AG47" s="18"/>
    </row>
    <row r="48" ht="14.25" hidden="1" customHeight="1">
      <c r="A48" s="9" t="s">
        <v>31</v>
      </c>
      <c r="B48" s="9" t="s">
        <v>104</v>
      </c>
      <c r="C48" s="9" t="s">
        <v>167</v>
      </c>
      <c r="D48" s="10">
        <v>23.0</v>
      </c>
      <c r="E48" s="11" t="s">
        <v>210</v>
      </c>
      <c r="F48" s="9" t="s">
        <v>207</v>
      </c>
      <c r="G48" s="12" t="s">
        <v>208</v>
      </c>
      <c r="H48" s="19"/>
      <c r="I48" s="19" t="s">
        <v>47</v>
      </c>
      <c r="J48" s="20"/>
      <c r="K48" s="21"/>
      <c r="L48" s="20"/>
      <c r="M48" s="20"/>
      <c r="N48" s="10" t="s">
        <v>48</v>
      </c>
      <c r="O48" s="20"/>
      <c r="P48" s="10" t="s">
        <v>41</v>
      </c>
      <c r="Q48" s="10" t="s">
        <v>209</v>
      </c>
      <c r="R48" s="16"/>
      <c r="S48" s="16"/>
      <c r="T48" s="16"/>
      <c r="U48" s="16"/>
      <c r="V48" s="16"/>
      <c r="W48" s="16"/>
      <c r="X48" s="16"/>
      <c r="Y48" s="16"/>
      <c r="Z48" s="16"/>
      <c r="AA48" s="10"/>
      <c r="AB48" s="17"/>
      <c r="AC48" s="17"/>
      <c r="AD48" s="17" t="str">
        <f t="shared" si="10"/>
        <v>#REF!</v>
      </c>
      <c r="AE48" s="17" t="str">
        <f t="shared" si="11"/>
        <v>#REF!</v>
      </c>
      <c r="AF48" s="17" t="str">
        <f t="shared" si="12"/>
        <v>#REF!</v>
      </c>
      <c r="AG48" s="18"/>
    </row>
    <row r="49" ht="14.25" customHeight="1">
      <c r="A49" s="9" t="s">
        <v>31</v>
      </c>
      <c r="B49" s="9" t="s">
        <v>104</v>
      </c>
      <c r="C49" s="9" t="s">
        <v>211</v>
      </c>
      <c r="D49" s="10">
        <v>23.0</v>
      </c>
      <c r="E49" s="11" t="s">
        <v>212</v>
      </c>
      <c r="F49" s="9" t="s">
        <v>213</v>
      </c>
      <c r="G49" s="12" t="s">
        <v>214</v>
      </c>
      <c r="H49" s="13" t="s">
        <v>126</v>
      </c>
      <c r="I49" s="13" t="s">
        <v>38</v>
      </c>
      <c r="J49" s="10" t="s">
        <v>39</v>
      </c>
      <c r="K49" s="14">
        <v>43707.0</v>
      </c>
      <c r="L49" s="10">
        <v>630309.08</v>
      </c>
      <c r="M49" s="10">
        <v>21.0</v>
      </c>
      <c r="N49" s="10" t="s">
        <v>40</v>
      </c>
      <c r="O49" s="10">
        <v>51.0</v>
      </c>
      <c r="P49" s="10" t="s">
        <v>41</v>
      </c>
      <c r="Q49" s="15" t="s">
        <v>215</v>
      </c>
      <c r="R49" s="16" t="s">
        <v>43</v>
      </c>
      <c r="S49" s="16" t="s">
        <v>43</v>
      </c>
      <c r="T49" s="16" t="s">
        <v>43</v>
      </c>
      <c r="U49" s="16" t="s">
        <v>43</v>
      </c>
      <c r="V49" s="16" t="s">
        <v>43</v>
      </c>
      <c r="W49" s="16" t="s">
        <v>43</v>
      </c>
      <c r="X49" s="16">
        <v>9.0</v>
      </c>
      <c r="Y49" s="16" t="s">
        <v>44</v>
      </c>
      <c r="Z49" s="16" t="s">
        <v>216</v>
      </c>
      <c r="AA49" s="10"/>
      <c r="AB49" s="17"/>
      <c r="AC49" s="17"/>
      <c r="AD49" s="17" t="str">
        <f t="shared" si="10"/>
        <v>#REF!</v>
      </c>
      <c r="AE49" s="17" t="str">
        <f t="shared" si="11"/>
        <v>#REF!</v>
      </c>
      <c r="AF49" s="17" t="str">
        <f t="shared" si="12"/>
        <v>#REF!</v>
      </c>
      <c r="AG49" s="18"/>
    </row>
    <row r="50" ht="14.25" hidden="1" customHeight="1">
      <c r="A50" s="9" t="s">
        <v>31</v>
      </c>
      <c r="B50" s="9" t="s">
        <v>104</v>
      </c>
      <c r="C50" s="9" t="s">
        <v>211</v>
      </c>
      <c r="D50" s="10">
        <v>23.0</v>
      </c>
      <c r="E50" s="11" t="s">
        <v>217</v>
      </c>
      <c r="F50" s="9" t="s">
        <v>213</v>
      </c>
      <c r="G50" s="12" t="s">
        <v>214</v>
      </c>
      <c r="H50" s="19"/>
      <c r="I50" s="19" t="s">
        <v>47</v>
      </c>
      <c r="J50" s="20"/>
      <c r="K50" s="21"/>
      <c r="L50" s="20"/>
      <c r="M50" s="20"/>
      <c r="N50" s="10" t="s">
        <v>48</v>
      </c>
      <c r="O50" s="20"/>
      <c r="P50" s="10" t="s">
        <v>41</v>
      </c>
      <c r="Q50" s="15" t="s">
        <v>215</v>
      </c>
      <c r="R50" s="16"/>
      <c r="S50" s="16"/>
      <c r="T50" s="16"/>
      <c r="U50" s="16"/>
      <c r="V50" s="16"/>
      <c r="W50" s="16"/>
      <c r="X50" s="16"/>
      <c r="Y50" s="16"/>
      <c r="Z50" s="16"/>
      <c r="AA50" s="10"/>
      <c r="AB50" s="17"/>
      <c r="AC50" s="17"/>
      <c r="AD50" s="17" t="str">
        <f t="shared" si="10"/>
        <v>#REF!</v>
      </c>
      <c r="AE50" s="17" t="str">
        <f t="shared" si="11"/>
        <v>#REF!</v>
      </c>
      <c r="AF50" s="17" t="str">
        <f t="shared" si="12"/>
        <v>#REF!</v>
      </c>
      <c r="AG50" s="18"/>
    </row>
    <row r="51" ht="14.25" customHeight="1">
      <c r="A51" s="9" t="s">
        <v>31</v>
      </c>
      <c r="B51" s="9" t="s">
        <v>104</v>
      </c>
      <c r="C51" s="9" t="s">
        <v>211</v>
      </c>
      <c r="D51" s="10">
        <v>23.0</v>
      </c>
      <c r="E51" s="11" t="s">
        <v>218</v>
      </c>
      <c r="F51" s="9" t="s">
        <v>219</v>
      </c>
      <c r="G51" s="12" t="s">
        <v>220</v>
      </c>
      <c r="H51" s="13" t="s">
        <v>133</v>
      </c>
      <c r="I51" s="13" t="s">
        <v>38</v>
      </c>
      <c r="J51" s="10" t="s">
        <v>39</v>
      </c>
      <c r="K51" s="14">
        <v>43707.0</v>
      </c>
      <c r="L51" s="10">
        <v>630309.08</v>
      </c>
      <c r="M51" s="10">
        <v>42.0</v>
      </c>
      <c r="N51" s="10" t="s">
        <v>40</v>
      </c>
      <c r="O51" s="10">
        <v>102.0</v>
      </c>
      <c r="P51" s="10" t="s">
        <v>41</v>
      </c>
      <c r="Q51" s="15" t="s">
        <v>221</v>
      </c>
      <c r="R51" s="16" t="s">
        <v>43</v>
      </c>
      <c r="S51" s="16" t="s">
        <v>43</v>
      </c>
      <c r="T51" s="16" t="s">
        <v>43</v>
      </c>
      <c r="U51" s="16" t="s">
        <v>43</v>
      </c>
      <c r="V51" s="16" t="s">
        <v>43</v>
      </c>
      <c r="W51" s="16" t="s">
        <v>43</v>
      </c>
      <c r="X51" s="16">
        <v>4.0</v>
      </c>
      <c r="Y51" s="16" t="s">
        <v>96</v>
      </c>
      <c r="Z51" s="16" t="s">
        <v>183</v>
      </c>
      <c r="AA51" s="10"/>
      <c r="AB51" s="17"/>
      <c r="AC51" s="17"/>
      <c r="AD51" s="17" t="s">
        <v>222</v>
      </c>
      <c r="AE51" s="17" t="s">
        <v>223</v>
      </c>
      <c r="AF51" s="17" t="s">
        <v>224</v>
      </c>
      <c r="AG51" s="18"/>
    </row>
    <row r="52" ht="14.25" hidden="1" customHeight="1">
      <c r="A52" s="9" t="s">
        <v>31</v>
      </c>
      <c r="B52" s="9" t="s">
        <v>104</v>
      </c>
      <c r="C52" s="9" t="s">
        <v>211</v>
      </c>
      <c r="D52" s="10">
        <v>23.0</v>
      </c>
      <c r="E52" s="11" t="s">
        <v>225</v>
      </c>
      <c r="F52" s="9" t="s">
        <v>219</v>
      </c>
      <c r="G52" s="12" t="s">
        <v>220</v>
      </c>
      <c r="H52" s="19"/>
      <c r="I52" s="19" t="s">
        <v>47</v>
      </c>
      <c r="J52" s="20"/>
      <c r="K52" s="21"/>
      <c r="L52" s="20"/>
      <c r="M52" s="20"/>
      <c r="N52" s="10" t="s">
        <v>48</v>
      </c>
      <c r="O52" s="20"/>
      <c r="P52" s="10" t="s">
        <v>41</v>
      </c>
      <c r="Q52" s="15" t="s">
        <v>221</v>
      </c>
      <c r="R52" s="16"/>
      <c r="S52" s="16"/>
      <c r="T52" s="16"/>
      <c r="U52" s="16"/>
      <c r="V52" s="16"/>
      <c r="W52" s="16"/>
      <c r="X52" s="16"/>
      <c r="Y52" s="16"/>
      <c r="Z52" s="16"/>
      <c r="AA52" s="10"/>
      <c r="AB52" s="17"/>
      <c r="AC52" s="17"/>
      <c r="AD52" s="17" t="s">
        <v>222</v>
      </c>
      <c r="AE52" s="17" t="s">
        <v>223</v>
      </c>
      <c r="AF52" s="17" t="s">
        <v>224</v>
      </c>
      <c r="AG52" s="18"/>
    </row>
    <row r="53" ht="14.25" customHeight="1">
      <c r="A53" s="9" t="s">
        <v>31</v>
      </c>
      <c r="B53" s="9" t="s">
        <v>104</v>
      </c>
      <c r="C53" s="9" t="s">
        <v>211</v>
      </c>
      <c r="D53" s="10">
        <v>23.0</v>
      </c>
      <c r="E53" s="11" t="s">
        <v>226</v>
      </c>
      <c r="F53" s="9" t="s">
        <v>227</v>
      </c>
      <c r="G53" s="12" t="s">
        <v>228</v>
      </c>
      <c r="H53" s="13" t="s">
        <v>229</v>
      </c>
      <c r="I53" s="13" t="s">
        <v>38</v>
      </c>
      <c r="J53" s="10" t="s">
        <v>140</v>
      </c>
      <c r="K53" s="14">
        <v>45621.0</v>
      </c>
      <c r="L53" s="10" t="s">
        <v>230</v>
      </c>
      <c r="M53" s="10">
        <v>23.0</v>
      </c>
      <c r="N53" s="10" t="s">
        <v>40</v>
      </c>
      <c r="O53" s="10">
        <v>52.0</v>
      </c>
      <c r="P53" s="10" t="s">
        <v>41</v>
      </c>
      <c r="Q53" s="15" t="s">
        <v>231</v>
      </c>
      <c r="R53" s="16"/>
      <c r="S53" s="16"/>
      <c r="T53" s="16"/>
      <c r="U53" s="16"/>
      <c r="V53" s="16"/>
      <c r="W53" s="16"/>
      <c r="X53" s="16">
        <v>9.0</v>
      </c>
      <c r="Y53" s="16"/>
      <c r="Z53" s="16" t="s">
        <v>232</v>
      </c>
      <c r="AA53" s="10"/>
      <c r="AB53" s="17" t="s">
        <v>233</v>
      </c>
      <c r="AC53" s="17" t="s">
        <v>234</v>
      </c>
      <c r="AD53" s="17" t="s">
        <v>235</v>
      </c>
      <c r="AE53" s="17" t="s">
        <v>236</v>
      </c>
      <c r="AF53" s="17" t="s">
        <v>237</v>
      </c>
      <c r="AG53" s="18"/>
    </row>
    <row r="54" ht="14.25" customHeight="1">
      <c r="A54" s="9" t="s">
        <v>31</v>
      </c>
      <c r="B54" s="9" t="s">
        <v>104</v>
      </c>
      <c r="C54" s="9" t="s">
        <v>211</v>
      </c>
      <c r="D54" s="10">
        <v>23.0</v>
      </c>
      <c r="E54" s="11" t="s">
        <v>238</v>
      </c>
      <c r="F54" s="9" t="s">
        <v>239</v>
      </c>
      <c r="G54" s="12" t="s">
        <v>240</v>
      </c>
      <c r="H54" s="13" t="s">
        <v>229</v>
      </c>
      <c r="I54" s="13" t="s">
        <v>38</v>
      </c>
      <c r="J54" s="10" t="s">
        <v>140</v>
      </c>
      <c r="K54" s="14">
        <v>45621.0</v>
      </c>
      <c r="L54" s="10" t="s">
        <v>230</v>
      </c>
      <c r="M54" s="10">
        <v>23.0</v>
      </c>
      <c r="N54" s="10" t="s">
        <v>40</v>
      </c>
      <c r="O54" s="10">
        <v>52.0</v>
      </c>
      <c r="P54" s="10" t="s">
        <v>41</v>
      </c>
      <c r="Q54" s="15" t="s">
        <v>241</v>
      </c>
      <c r="R54" s="16"/>
      <c r="S54" s="16"/>
      <c r="T54" s="16"/>
      <c r="U54" s="16"/>
      <c r="V54" s="16"/>
      <c r="W54" s="16"/>
      <c r="X54" s="16">
        <v>9.0</v>
      </c>
      <c r="Y54" s="16"/>
      <c r="Z54" s="16" t="s">
        <v>232</v>
      </c>
      <c r="AA54" s="10"/>
      <c r="AB54" s="17" t="s">
        <v>242</v>
      </c>
      <c r="AC54" s="17" t="s">
        <v>243</v>
      </c>
      <c r="AD54" s="17" t="s">
        <v>235</v>
      </c>
      <c r="AE54" s="17" t="s">
        <v>236</v>
      </c>
      <c r="AF54" s="17" t="s">
        <v>237</v>
      </c>
      <c r="AG54" s="18"/>
    </row>
    <row r="55" ht="14.25" hidden="1" customHeight="1">
      <c r="A55" s="9" t="s">
        <v>31</v>
      </c>
      <c r="B55" s="9" t="s">
        <v>104</v>
      </c>
      <c r="C55" s="9" t="s">
        <v>211</v>
      </c>
      <c r="D55" s="10">
        <v>23.0</v>
      </c>
      <c r="E55" s="11" t="s">
        <v>244</v>
      </c>
      <c r="F55" s="9" t="s">
        <v>227</v>
      </c>
      <c r="G55" s="12" t="s">
        <v>228</v>
      </c>
      <c r="H55" s="13" t="s">
        <v>245</v>
      </c>
      <c r="I55" s="19" t="s">
        <v>47</v>
      </c>
      <c r="J55" s="20"/>
      <c r="K55" s="21"/>
      <c r="L55" s="20"/>
      <c r="M55" s="20"/>
      <c r="N55" s="10" t="s">
        <v>48</v>
      </c>
      <c r="O55" s="20"/>
      <c r="P55" s="10" t="s">
        <v>41</v>
      </c>
      <c r="Q55" s="15" t="s">
        <v>231</v>
      </c>
      <c r="R55" s="16"/>
      <c r="S55" s="16"/>
      <c r="T55" s="16"/>
      <c r="U55" s="16"/>
      <c r="V55" s="16"/>
      <c r="W55" s="16"/>
      <c r="X55" s="16"/>
      <c r="Y55" s="16"/>
      <c r="Z55" s="16"/>
      <c r="AA55" s="10"/>
      <c r="AB55" s="17"/>
      <c r="AC55" s="17"/>
      <c r="AD55" s="17" t="s">
        <v>235</v>
      </c>
      <c r="AE55" s="17" t="s">
        <v>236</v>
      </c>
      <c r="AF55" s="17" t="s">
        <v>237</v>
      </c>
      <c r="AG55" s="18"/>
    </row>
    <row r="56" ht="14.25" customHeight="1">
      <c r="A56" s="9" t="s">
        <v>31</v>
      </c>
      <c r="B56" s="9" t="s">
        <v>246</v>
      </c>
      <c r="C56" s="9" t="s">
        <v>211</v>
      </c>
      <c r="D56" s="10">
        <v>23.0</v>
      </c>
      <c r="E56" s="11" t="s">
        <v>247</v>
      </c>
      <c r="F56" s="9" t="s">
        <v>248</v>
      </c>
      <c r="G56" s="12" t="s">
        <v>249</v>
      </c>
      <c r="H56" s="13" t="s">
        <v>126</v>
      </c>
      <c r="I56" s="13" t="s">
        <v>38</v>
      </c>
      <c r="J56" s="10" t="s">
        <v>39</v>
      </c>
      <c r="K56" s="14">
        <v>43707.0</v>
      </c>
      <c r="L56" s="10">
        <v>630309.08</v>
      </c>
      <c r="M56" s="10">
        <v>21.0</v>
      </c>
      <c r="N56" s="10" t="s">
        <v>40</v>
      </c>
      <c r="O56" s="10">
        <v>52.0</v>
      </c>
      <c r="P56" s="10" t="s">
        <v>41</v>
      </c>
      <c r="Q56" s="10" t="s">
        <v>250</v>
      </c>
      <c r="R56" s="16" t="s">
        <v>43</v>
      </c>
      <c r="S56" s="16" t="s">
        <v>43</v>
      </c>
      <c r="T56" s="16" t="s">
        <v>43</v>
      </c>
      <c r="U56" s="16" t="s">
        <v>43</v>
      </c>
      <c r="V56" s="16" t="s">
        <v>43</v>
      </c>
      <c r="W56" s="16" t="s">
        <v>43</v>
      </c>
      <c r="X56" s="16">
        <v>8.0</v>
      </c>
      <c r="Y56" s="16" t="s">
        <v>251</v>
      </c>
      <c r="Z56" s="16" t="s">
        <v>216</v>
      </c>
      <c r="AA56" s="10"/>
      <c r="AB56" s="17"/>
      <c r="AC56" s="17"/>
      <c r="AD56" s="17" t="str">
        <f t="shared" ref="AD56:AD65" si="13">VLOOKUP(F56,'[1]UKN UID-DOP-Marking'!$H$3:$J$394,3,FALSE)</f>
        <v>#REF!</v>
      </c>
      <c r="AE56" s="17" t="str">
        <f t="shared" ref="AE56:AE65" si="14">VLOOKUP(F56,'[1]UKN UID-DOP-Marking'!$H$3:$K$185,4,FALSE)</f>
        <v>#REF!</v>
      </c>
      <c r="AF56" s="17" t="str">
        <f t="shared" ref="AF56:AF65" si="15">VLOOKUP(F56,'[1]UKN UID-DOP-Marking'!$H$3:$L$394,5,FALSE)</f>
        <v>#REF!</v>
      </c>
      <c r="AG56" s="18"/>
    </row>
    <row r="57" ht="14.25" hidden="1" customHeight="1">
      <c r="A57" s="9" t="s">
        <v>31</v>
      </c>
      <c r="B57" s="9" t="s">
        <v>246</v>
      </c>
      <c r="C57" s="9" t="s">
        <v>211</v>
      </c>
      <c r="D57" s="10">
        <v>23.0</v>
      </c>
      <c r="E57" s="11" t="s">
        <v>252</v>
      </c>
      <c r="F57" s="9" t="s">
        <v>248</v>
      </c>
      <c r="G57" s="12" t="s">
        <v>249</v>
      </c>
      <c r="H57" s="19"/>
      <c r="I57" s="19" t="s">
        <v>47</v>
      </c>
      <c r="J57" s="20"/>
      <c r="K57" s="21"/>
      <c r="L57" s="20"/>
      <c r="M57" s="20"/>
      <c r="N57" s="10" t="s">
        <v>48</v>
      </c>
      <c r="O57" s="20"/>
      <c r="P57" s="10" t="s">
        <v>41</v>
      </c>
      <c r="Q57" s="10" t="s">
        <v>250</v>
      </c>
      <c r="R57" s="16"/>
      <c r="S57" s="16"/>
      <c r="T57" s="16"/>
      <c r="U57" s="16"/>
      <c r="V57" s="16"/>
      <c r="W57" s="16"/>
      <c r="X57" s="16"/>
      <c r="Y57" s="16"/>
      <c r="Z57" s="16"/>
      <c r="AA57" s="10"/>
      <c r="AB57" s="17"/>
      <c r="AC57" s="17"/>
      <c r="AD57" s="17" t="str">
        <f t="shared" si="13"/>
        <v>#REF!</v>
      </c>
      <c r="AE57" s="17" t="str">
        <f t="shared" si="14"/>
        <v>#REF!</v>
      </c>
      <c r="AF57" s="17" t="str">
        <f t="shared" si="15"/>
        <v>#REF!</v>
      </c>
      <c r="AG57" s="18"/>
    </row>
    <row r="58" ht="14.25" customHeight="1">
      <c r="A58" s="9" t="s">
        <v>31</v>
      </c>
      <c r="B58" s="9" t="s">
        <v>246</v>
      </c>
      <c r="C58" s="9" t="s">
        <v>211</v>
      </c>
      <c r="D58" s="10">
        <v>23.0</v>
      </c>
      <c r="E58" s="11" t="s">
        <v>253</v>
      </c>
      <c r="F58" s="9" t="s">
        <v>254</v>
      </c>
      <c r="G58" s="12" t="s">
        <v>255</v>
      </c>
      <c r="H58" s="13" t="s">
        <v>133</v>
      </c>
      <c r="I58" s="13" t="s">
        <v>38</v>
      </c>
      <c r="J58" s="10" t="s">
        <v>39</v>
      </c>
      <c r="K58" s="14">
        <v>43707.0</v>
      </c>
      <c r="L58" s="10">
        <v>630309.08</v>
      </c>
      <c r="M58" s="10">
        <v>42.0</v>
      </c>
      <c r="N58" s="10" t="s">
        <v>40</v>
      </c>
      <c r="O58" s="10">
        <v>104.0</v>
      </c>
      <c r="P58" s="10" t="s">
        <v>41</v>
      </c>
      <c r="Q58" s="10" t="s">
        <v>256</v>
      </c>
      <c r="R58" s="16" t="s">
        <v>43</v>
      </c>
      <c r="S58" s="16" t="s">
        <v>43</v>
      </c>
      <c r="T58" s="16" t="s">
        <v>43</v>
      </c>
      <c r="U58" s="16" t="s">
        <v>43</v>
      </c>
      <c r="V58" s="16" t="s">
        <v>43</v>
      </c>
      <c r="W58" s="16" t="s">
        <v>43</v>
      </c>
      <c r="X58" s="16">
        <v>4.0</v>
      </c>
      <c r="Y58" s="16" t="s">
        <v>96</v>
      </c>
      <c r="Z58" s="16" t="s">
        <v>183</v>
      </c>
      <c r="AA58" s="10"/>
      <c r="AB58" s="17"/>
      <c r="AC58" s="17"/>
      <c r="AD58" s="17" t="str">
        <f t="shared" si="13"/>
        <v>#REF!</v>
      </c>
      <c r="AE58" s="17" t="str">
        <f t="shared" si="14"/>
        <v>#REF!</v>
      </c>
      <c r="AF58" s="17" t="str">
        <f t="shared" si="15"/>
        <v>#REF!</v>
      </c>
      <c r="AG58" s="18"/>
    </row>
    <row r="59" ht="14.25" hidden="1" customHeight="1">
      <c r="A59" s="9" t="s">
        <v>31</v>
      </c>
      <c r="B59" s="9" t="s">
        <v>246</v>
      </c>
      <c r="C59" s="9" t="s">
        <v>211</v>
      </c>
      <c r="D59" s="10">
        <v>23.0</v>
      </c>
      <c r="E59" s="11" t="s">
        <v>257</v>
      </c>
      <c r="F59" s="9" t="s">
        <v>254</v>
      </c>
      <c r="G59" s="12" t="s">
        <v>255</v>
      </c>
      <c r="H59" s="19"/>
      <c r="I59" s="19" t="s">
        <v>47</v>
      </c>
      <c r="J59" s="20"/>
      <c r="K59" s="21"/>
      <c r="L59" s="20"/>
      <c r="M59" s="20"/>
      <c r="N59" s="10" t="s">
        <v>48</v>
      </c>
      <c r="O59" s="20"/>
      <c r="P59" s="10" t="s">
        <v>41</v>
      </c>
      <c r="Q59" s="10" t="s">
        <v>256</v>
      </c>
      <c r="R59" s="16"/>
      <c r="S59" s="16"/>
      <c r="T59" s="16"/>
      <c r="U59" s="16"/>
      <c r="V59" s="16"/>
      <c r="W59" s="16"/>
      <c r="X59" s="16"/>
      <c r="Y59" s="16"/>
      <c r="Z59" s="16"/>
      <c r="AA59" s="10"/>
      <c r="AB59" s="17"/>
      <c r="AC59" s="17"/>
      <c r="AD59" s="17" t="str">
        <f t="shared" si="13"/>
        <v>#REF!</v>
      </c>
      <c r="AE59" s="17" t="str">
        <f t="shared" si="14"/>
        <v>#REF!</v>
      </c>
      <c r="AF59" s="17" t="str">
        <f t="shared" si="15"/>
        <v>#REF!</v>
      </c>
      <c r="AG59" s="18"/>
    </row>
    <row r="60" ht="14.25" customHeight="1">
      <c r="A60" s="9" t="s">
        <v>31</v>
      </c>
      <c r="B60" s="9" t="s">
        <v>246</v>
      </c>
      <c r="C60" s="9" t="s">
        <v>211</v>
      </c>
      <c r="D60" s="10">
        <v>23.0</v>
      </c>
      <c r="E60" s="11" t="s">
        <v>258</v>
      </c>
      <c r="F60" s="9" t="s">
        <v>259</v>
      </c>
      <c r="G60" s="12" t="s">
        <v>260</v>
      </c>
      <c r="H60" s="13" t="s">
        <v>203</v>
      </c>
      <c r="I60" s="13" t="s">
        <v>38</v>
      </c>
      <c r="J60" s="10" t="s">
        <v>140</v>
      </c>
      <c r="K60" s="14">
        <v>45621.0</v>
      </c>
      <c r="L60" s="10">
        <v>630309.14</v>
      </c>
      <c r="M60" s="10">
        <v>46.0</v>
      </c>
      <c r="N60" s="10" t="s">
        <v>40</v>
      </c>
      <c r="O60" s="10">
        <v>108.0</v>
      </c>
      <c r="P60" s="10" t="s">
        <v>41</v>
      </c>
      <c r="Q60" s="15" t="s">
        <v>261</v>
      </c>
      <c r="R60" s="16" t="s">
        <v>43</v>
      </c>
      <c r="S60" s="16" t="s">
        <v>43</v>
      </c>
      <c r="T60" s="16" t="s">
        <v>43</v>
      </c>
      <c r="U60" s="16" t="s">
        <v>43</v>
      </c>
      <c r="V60" s="16" t="s">
        <v>43</v>
      </c>
      <c r="W60" s="16" t="s">
        <v>43</v>
      </c>
      <c r="X60" s="16">
        <v>4.0</v>
      </c>
      <c r="Y60" s="16" t="s">
        <v>96</v>
      </c>
      <c r="Z60" s="16" t="s">
        <v>183</v>
      </c>
      <c r="AA60" s="10"/>
      <c r="AB60" s="17"/>
      <c r="AC60" s="17"/>
      <c r="AD60" s="17" t="str">
        <f t="shared" si="13"/>
        <v>#REF!</v>
      </c>
      <c r="AE60" s="17" t="str">
        <f t="shared" si="14"/>
        <v>#REF!</v>
      </c>
      <c r="AF60" s="17" t="str">
        <f t="shared" si="15"/>
        <v>#REF!</v>
      </c>
      <c r="AG60" s="18"/>
    </row>
    <row r="61" ht="14.25" hidden="1" customHeight="1">
      <c r="A61" s="9" t="s">
        <v>31</v>
      </c>
      <c r="B61" s="9" t="s">
        <v>246</v>
      </c>
      <c r="C61" s="9" t="s">
        <v>211</v>
      </c>
      <c r="D61" s="10">
        <v>23.0</v>
      </c>
      <c r="E61" s="11" t="s">
        <v>262</v>
      </c>
      <c r="F61" s="9" t="s">
        <v>259</v>
      </c>
      <c r="G61" s="12" t="s">
        <v>260</v>
      </c>
      <c r="H61" s="13" t="s">
        <v>263</v>
      </c>
      <c r="I61" s="19" t="s">
        <v>47</v>
      </c>
      <c r="J61" s="20"/>
      <c r="K61" s="21"/>
      <c r="L61" s="20"/>
      <c r="M61" s="20"/>
      <c r="N61" s="10" t="s">
        <v>48</v>
      </c>
      <c r="O61" s="20"/>
      <c r="P61" s="10" t="s">
        <v>41</v>
      </c>
      <c r="Q61" s="15" t="s">
        <v>261</v>
      </c>
      <c r="R61" s="16"/>
      <c r="S61" s="16"/>
      <c r="T61" s="16"/>
      <c r="U61" s="16"/>
      <c r="V61" s="16"/>
      <c r="W61" s="16"/>
      <c r="X61" s="16"/>
      <c r="Y61" s="16"/>
      <c r="Z61" s="16"/>
      <c r="AA61" s="10"/>
      <c r="AB61" s="17"/>
      <c r="AC61" s="17"/>
      <c r="AD61" s="17" t="str">
        <f t="shared" si="13"/>
        <v>#REF!</v>
      </c>
      <c r="AE61" s="17" t="str">
        <f t="shared" si="14"/>
        <v>#REF!</v>
      </c>
      <c r="AF61" s="17" t="str">
        <f t="shared" si="15"/>
        <v>#REF!</v>
      </c>
      <c r="AG61" s="18"/>
    </row>
    <row r="62" ht="14.25" customHeight="1">
      <c r="A62" s="9" t="s">
        <v>31</v>
      </c>
      <c r="B62" s="9" t="s">
        <v>246</v>
      </c>
      <c r="C62" s="9" t="s">
        <v>211</v>
      </c>
      <c r="D62" s="10">
        <v>23.0</v>
      </c>
      <c r="E62" s="11" t="s">
        <v>264</v>
      </c>
      <c r="F62" s="9" t="s">
        <v>265</v>
      </c>
      <c r="G62" s="12" t="s">
        <v>266</v>
      </c>
      <c r="H62" s="13" t="s">
        <v>139</v>
      </c>
      <c r="I62" s="13" t="s">
        <v>38</v>
      </c>
      <c r="J62" s="10" t="s">
        <v>140</v>
      </c>
      <c r="K62" s="14">
        <v>45621.0</v>
      </c>
      <c r="L62" s="10" t="s">
        <v>230</v>
      </c>
      <c r="M62" s="10">
        <v>21.0</v>
      </c>
      <c r="N62" s="10" t="s">
        <v>40</v>
      </c>
      <c r="O62" s="10">
        <v>54.0</v>
      </c>
      <c r="P62" s="10" t="s">
        <v>41</v>
      </c>
      <c r="Q62" s="10" t="s">
        <v>267</v>
      </c>
      <c r="R62" s="16" t="s">
        <v>43</v>
      </c>
      <c r="S62" s="16" t="s">
        <v>43</v>
      </c>
      <c r="T62" s="16" t="s">
        <v>43</v>
      </c>
      <c r="U62" s="16" t="s">
        <v>43</v>
      </c>
      <c r="V62" s="16" t="s">
        <v>43</v>
      </c>
      <c r="W62" s="16" t="s">
        <v>43</v>
      </c>
      <c r="X62" s="16">
        <v>8.0</v>
      </c>
      <c r="Y62" s="16" t="s">
        <v>251</v>
      </c>
      <c r="Z62" s="16" t="s">
        <v>216</v>
      </c>
      <c r="AA62" s="10"/>
      <c r="AB62" s="17"/>
      <c r="AC62" s="17"/>
      <c r="AD62" s="17" t="str">
        <f t="shared" si="13"/>
        <v>#REF!</v>
      </c>
      <c r="AE62" s="17" t="str">
        <f t="shared" si="14"/>
        <v>#REF!</v>
      </c>
      <c r="AF62" s="17" t="str">
        <f t="shared" si="15"/>
        <v>#REF!</v>
      </c>
      <c r="AG62" s="18"/>
    </row>
    <row r="63" ht="14.25" hidden="1" customHeight="1">
      <c r="A63" s="9" t="s">
        <v>31</v>
      </c>
      <c r="B63" s="9" t="s">
        <v>246</v>
      </c>
      <c r="C63" s="9" t="s">
        <v>211</v>
      </c>
      <c r="D63" s="10">
        <v>23.0</v>
      </c>
      <c r="E63" s="11" t="s">
        <v>268</v>
      </c>
      <c r="F63" s="9" t="s">
        <v>265</v>
      </c>
      <c r="G63" s="12" t="s">
        <v>266</v>
      </c>
      <c r="H63" s="13" t="s">
        <v>269</v>
      </c>
      <c r="I63" s="19" t="s">
        <v>47</v>
      </c>
      <c r="J63" s="20"/>
      <c r="K63" s="21"/>
      <c r="L63" s="20"/>
      <c r="M63" s="20"/>
      <c r="N63" s="10" t="s">
        <v>48</v>
      </c>
      <c r="O63" s="20"/>
      <c r="P63" s="10" t="s">
        <v>41</v>
      </c>
      <c r="Q63" s="10" t="s">
        <v>267</v>
      </c>
      <c r="R63" s="16"/>
      <c r="S63" s="16"/>
      <c r="T63" s="16"/>
      <c r="U63" s="16"/>
      <c r="V63" s="16"/>
      <c r="W63" s="16"/>
      <c r="X63" s="16"/>
      <c r="Y63" s="16"/>
      <c r="Z63" s="16"/>
      <c r="AA63" s="10"/>
      <c r="AB63" s="17"/>
      <c r="AC63" s="17"/>
      <c r="AD63" s="17" t="str">
        <f t="shared" si="13"/>
        <v>#REF!</v>
      </c>
      <c r="AE63" s="17" t="str">
        <f t="shared" si="14"/>
        <v>#REF!</v>
      </c>
      <c r="AF63" s="17" t="str">
        <f t="shared" si="15"/>
        <v>#REF!</v>
      </c>
      <c r="AG63" s="18"/>
    </row>
    <row r="64" ht="14.25" customHeight="1">
      <c r="A64" s="9" t="s">
        <v>31</v>
      </c>
      <c r="B64" s="9" t="s">
        <v>246</v>
      </c>
      <c r="C64" s="9" t="s">
        <v>211</v>
      </c>
      <c r="D64" s="10">
        <v>23.0</v>
      </c>
      <c r="E64" s="11" t="s">
        <v>270</v>
      </c>
      <c r="F64" s="9" t="s">
        <v>271</v>
      </c>
      <c r="G64" s="12" t="s">
        <v>272</v>
      </c>
      <c r="H64" s="13" t="s">
        <v>273</v>
      </c>
      <c r="I64" s="13" t="s">
        <v>38</v>
      </c>
      <c r="J64" s="10" t="s">
        <v>146</v>
      </c>
      <c r="K64" s="14">
        <v>45621.0</v>
      </c>
      <c r="L64" s="10" t="s">
        <v>230</v>
      </c>
      <c r="M64" s="10">
        <v>21.0</v>
      </c>
      <c r="N64" s="10" t="s">
        <v>40</v>
      </c>
      <c r="O64" s="10">
        <v>54.0</v>
      </c>
      <c r="P64" s="10" t="s">
        <v>41</v>
      </c>
      <c r="Q64" s="10" t="s">
        <v>274</v>
      </c>
      <c r="R64" s="16" t="s">
        <v>43</v>
      </c>
      <c r="S64" s="16" t="s">
        <v>43</v>
      </c>
      <c r="T64" s="16" t="s">
        <v>43</v>
      </c>
      <c r="U64" s="16" t="s">
        <v>43</v>
      </c>
      <c r="V64" s="16" t="s">
        <v>43</v>
      </c>
      <c r="W64" s="16" t="s">
        <v>43</v>
      </c>
      <c r="X64" s="16">
        <v>8.0</v>
      </c>
      <c r="Y64" s="16" t="s">
        <v>251</v>
      </c>
      <c r="Z64" s="16" t="s">
        <v>216</v>
      </c>
      <c r="AA64" s="10"/>
      <c r="AB64" s="17"/>
      <c r="AC64" s="17"/>
      <c r="AD64" s="17" t="str">
        <f t="shared" si="13"/>
        <v>#REF!</v>
      </c>
      <c r="AE64" s="17" t="str">
        <f t="shared" si="14"/>
        <v>#REF!</v>
      </c>
      <c r="AF64" s="17" t="str">
        <f t="shared" si="15"/>
        <v>#REF!</v>
      </c>
      <c r="AG64" s="18"/>
    </row>
    <row r="65" ht="14.25" hidden="1" customHeight="1">
      <c r="A65" s="9" t="s">
        <v>31</v>
      </c>
      <c r="B65" s="9" t="s">
        <v>246</v>
      </c>
      <c r="C65" s="9" t="s">
        <v>211</v>
      </c>
      <c r="D65" s="10">
        <v>23.0</v>
      </c>
      <c r="E65" s="11" t="s">
        <v>275</v>
      </c>
      <c r="F65" s="9" t="s">
        <v>271</v>
      </c>
      <c r="G65" s="12" t="s">
        <v>272</v>
      </c>
      <c r="H65" s="19"/>
      <c r="I65" s="19" t="s">
        <v>47</v>
      </c>
      <c r="J65" s="20"/>
      <c r="K65" s="21"/>
      <c r="L65" s="20"/>
      <c r="M65" s="20"/>
      <c r="N65" s="10" t="s">
        <v>48</v>
      </c>
      <c r="O65" s="20"/>
      <c r="P65" s="10" t="s">
        <v>41</v>
      </c>
      <c r="Q65" s="10" t="s">
        <v>274</v>
      </c>
      <c r="R65" s="16"/>
      <c r="S65" s="16"/>
      <c r="T65" s="16"/>
      <c r="U65" s="16"/>
      <c r="V65" s="16"/>
      <c r="W65" s="16"/>
      <c r="X65" s="16"/>
      <c r="Y65" s="16"/>
      <c r="Z65" s="16"/>
      <c r="AA65" s="10"/>
      <c r="AB65" s="17"/>
      <c r="AC65" s="17"/>
      <c r="AD65" s="17" t="str">
        <f t="shared" si="13"/>
        <v>#REF!</v>
      </c>
      <c r="AE65" s="17" t="str">
        <f t="shared" si="14"/>
        <v>#REF!</v>
      </c>
      <c r="AF65" s="17" t="str">
        <f t="shared" si="15"/>
        <v>#REF!</v>
      </c>
      <c r="AG65" s="18"/>
    </row>
    <row r="66" ht="14.25" customHeight="1">
      <c r="A66" s="9" t="s">
        <v>31</v>
      </c>
      <c r="B66" s="9" t="s">
        <v>276</v>
      </c>
      <c r="C66" s="9" t="s">
        <v>211</v>
      </c>
      <c r="D66" s="10">
        <v>23.0</v>
      </c>
      <c r="E66" s="11" t="s">
        <v>277</v>
      </c>
      <c r="F66" s="9" t="s">
        <v>278</v>
      </c>
      <c r="G66" s="12" t="s">
        <v>279</v>
      </c>
      <c r="H66" s="13" t="s">
        <v>280</v>
      </c>
      <c r="I66" s="13" t="s">
        <v>38</v>
      </c>
      <c r="J66" s="10" t="s">
        <v>146</v>
      </c>
      <c r="K66" s="14">
        <v>45621.0</v>
      </c>
      <c r="L66" s="10" t="s">
        <v>230</v>
      </c>
      <c r="M66" s="10">
        <v>25.0</v>
      </c>
      <c r="N66" s="10" t="s">
        <v>40</v>
      </c>
      <c r="O66" s="10">
        <v>56.0</v>
      </c>
      <c r="P66" s="10" t="s">
        <v>41</v>
      </c>
      <c r="Q66" s="15" t="s">
        <v>281</v>
      </c>
      <c r="R66" s="16"/>
      <c r="S66" s="16"/>
      <c r="T66" s="16"/>
      <c r="U66" s="16"/>
      <c r="V66" s="16"/>
      <c r="W66" s="16"/>
      <c r="X66" s="16">
        <v>6.0</v>
      </c>
      <c r="Y66" s="16"/>
      <c r="Z66" s="16" t="s">
        <v>282</v>
      </c>
      <c r="AA66" s="10"/>
      <c r="AB66" s="17" t="s">
        <v>283</v>
      </c>
      <c r="AC66" s="17" t="s">
        <v>284</v>
      </c>
      <c r="AD66" s="17" t="s">
        <v>285</v>
      </c>
      <c r="AE66" s="17" t="s">
        <v>286</v>
      </c>
      <c r="AF66" s="17" t="s">
        <v>287</v>
      </c>
      <c r="AG66" s="18"/>
    </row>
    <row r="67" ht="14.25" hidden="1" customHeight="1">
      <c r="A67" s="9" t="s">
        <v>31</v>
      </c>
      <c r="B67" s="9" t="s">
        <v>276</v>
      </c>
      <c r="C67" s="9" t="s">
        <v>211</v>
      </c>
      <c r="D67" s="10">
        <v>23.0</v>
      </c>
      <c r="E67" s="11" t="s">
        <v>288</v>
      </c>
      <c r="F67" s="9" t="s">
        <v>278</v>
      </c>
      <c r="G67" s="12" t="s">
        <v>289</v>
      </c>
      <c r="H67" s="13" t="s">
        <v>152</v>
      </c>
      <c r="I67" s="19" t="s">
        <v>47</v>
      </c>
      <c r="J67" s="20"/>
      <c r="K67" s="21"/>
      <c r="L67" s="20"/>
      <c r="M67" s="20"/>
      <c r="N67" s="10" t="s">
        <v>48</v>
      </c>
      <c r="O67" s="20">
        <f>53/2</f>
        <v>26.5</v>
      </c>
      <c r="P67" s="10" t="s">
        <v>41</v>
      </c>
      <c r="Q67" s="15" t="s">
        <v>281</v>
      </c>
      <c r="R67" s="16"/>
      <c r="S67" s="16"/>
      <c r="T67" s="16"/>
      <c r="U67" s="16"/>
      <c r="V67" s="16"/>
      <c r="W67" s="16"/>
      <c r="X67" s="16"/>
      <c r="Y67" s="16"/>
      <c r="Z67" s="16"/>
      <c r="AA67" s="10"/>
      <c r="AB67" s="17"/>
      <c r="AC67" s="17"/>
      <c r="AD67" s="17" t="s">
        <v>285</v>
      </c>
      <c r="AE67" s="17" t="s">
        <v>286</v>
      </c>
      <c r="AF67" s="17" t="s">
        <v>287</v>
      </c>
      <c r="AG67" s="18"/>
    </row>
    <row r="68" ht="14.25" customHeight="1">
      <c r="A68" s="9" t="s">
        <v>31</v>
      </c>
      <c r="B68" s="9" t="s">
        <v>290</v>
      </c>
      <c r="C68" s="9" t="s">
        <v>167</v>
      </c>
      <c r="D68" s="10" t="s">
        <v>291</v>
      </c>
      <c r="E68" s="20"/>
      <c r="F68" s="9" t="s">
        <v>292</v>
      </c>
      <c r="G68" s="12" t="s">
        <v>293</v>
      </c>
      <c r="H68" s="13" t="s">
        <v>294</v>
      </c>
      <c r="I68" s="13" t="s">
        <v>38</v>
      </c>
      <c r="J68" s="10" t="s">
        <v>86</v>
      </c>
      <c r="K68" s="14">
        <v>45625.0</v>
      </c>
      <c r="L68" s="10" t="s">
        <v>171</v>
      </c>
      <c r="M68" s="10">
        <v>17.8</v>
      </c>
      <c r="N68" s="10" t="s">
        <v>40</v>
      </c>
      <c r="O68" s="10">
        <v>58.0</v>
      </c>
      <c r="P68" s="10" t="s">
        <v>41</v>
      </c>
      <c r="Q68" s="10" t="s">
        <v>295</v>
      </c>
      <c r="R68" s="16"/>
      <c r="S68" s="16"/>
      <c r="T68" s="16"/>
      <c r="U68" s="16"/>
      <c r="V68" s="16"/>
      <c r="W68" s="16"/>
      <c r="X68" s="16">
        <v>8.0</v>
      </c>
      <c r="Y68" s="16" t="s">
        <v>251</v>
      </c>
      <c r="Z68" s="16" t="s">
        <v>296</v>
      </c>
      <c r="AA68" s="10"/>
      <c r="AB68" s="17"/>
      <c r="AC68" s="17"/>
      <c r="AD68" s="17"/>
      <c r="AE68" s="17"/>
      <c r="AF68" s="17"/>
      <c r="AG68" s="18"/>
    </row>
    <row r="69" ht="14.25" customHeight="1">
      <c r="A69" s="9" t="s">
        <v>31</v>
      </c>
      <c r="B69" s="9" t="s">
        <v>290</v>
      </c>
      <c r="C69" s="9" t="s">
        <v>167</v>
      </c>
      <c r="D69" s="10" t="s">
        <v>291</v>
      </c>
      <c r="E69" s="20"/>
      <c r="F69" s="9" t="s">
        <v>297</v>
      </c>
      <c r="G69" s="12" t="s">
        <v>298</v>
      </c>
      <c r="H69" s="13" t="s">
        <v>294</v>
      </c>
      <c r="I69" s="13" t="s">
        <v>38</v>
      </c>
      <c r="J69" s="10" t="s">
        <v>86</v>
      </c>
      <c r="K69" s="14">
        <v>45625.0</v>
      </c>
      <c r="L69" s="10" t="s">
        <v>171</v>
      </c>
      <c r="M69" s="10">
        <v>17.8</v>
      </c>
      <c r="N69" s="10" t="s">
        <v>40</v>
      </c>
      <c r="O69" s="10">
        <v>58.0</v>
      </c>
      <c r="P69" s="10" t="s">
        <v>41</v>
      </c>
      <c r="Q69" s="10" t="s">
        <v>299</v>
      </c>
      <c r="R69" s="16"/>
      <c r="S69" s="16"/>
      <c r="T69" s="16"/>
      <c r="U69" s="16"/>
      <c r="V69" s="16"/>
      <c r="W69" s="16"/>
      <c r="X69" s="16">
        <v>8.0</v>
      </c>
      <c r="Y69" s="16" t="s">
        <v>300</v>
      </c>
      <c r="Z69" s="16" t="s">
        <v>301</v>
      </c>
      <c r="AA69" s="10"/>
      <c r="AB69" s="17"/>
      <c r="AC69" s="17"/>
      <c r="AD69" s="17"/>
      <c r="AE69" s="17"/>
      <c r="AF69" s="17"/>
      <c r="AG69" s="18"/>
    </row>
    <row r="70" ht="14.25" customHeight="1">
      <c r="A70" s="9" t="s">
        <v>31</v>
      </c>
      <c r="B70" s="9" t="s">
        <v>302</v>
      </c>
      <c r="C70" s="9" t="s">
        <v>211</v>
      </c>
      <c r="D70" s="10">
        <v>22.0</v>
      </c>
      <c r="E70" s="10"/>
      <c r="F70" s="9" t="s">
        <v>303</v>
      </c>
      <c r="G70" s="12" t="s">
        <v>304</v>
      </c>
      <c r="H70" s="13" t="s">
        <v>305</v>
      </c>
      <c r="I70" s="13" t="s">
        <v>38</v>
      </c>
      <c r="J70" s="10" t="s">
        <v>146</v>
      </c>
      <c r="K70" s="14">
        <v>45621.0</v>
      </c>
      <c r="L70" s="10">
        <v>630309.14</v>
      </c>
      <c r="M70" s="10">
        <v>27.6</v>
      </c>
      <c r="N70" s="10" t="s">
        <v>40</v>
      </c>
      <c r="O70" s="10">
        <v>68.0</v>
      </c>
      <c r="P70" s="10" t="s">
        <v>41</v>
      </c>
      <c r="Q70" s="15" t="s">
        <v>306</v>
      </c>
      <c r="R70" s="10" t="s">
        <v>43</v>
      </c>
      <c r="S70" s="10" t="s">
        <v>43</v>
      </c>
      <c r="T70" s="10" t="s">
        <v>43</v>
      </c>
      <c r="U70" s="10" t="s">
        <v>43</v>
      </c>
      <c r="V70" s="10" t="s">
        <v>43</v>
      </c>
      <c r="W70" s="10" t="s">
        <v>43</v>
      </c>
      <c r="X70" s="10">
        <v>6.0</v>
      </c>
      <c r="Y70" s="10"/>
      <c r="Z70" s="10" t="s">
        <v>307</v>
      </c>
      <c r="AA70" s="10"/>
      <c r="AB70" s="31" t="s">
        <v>308</v>
      </c>
      <c r="AC70" s="17" t="s">
        <v>309</v>
      </c>
      <c r="AD70" s="17" t="str">
        <f>VLOOKUP(F70,'[1]UKN UID-DOP-Marking'!$H$3:$J$394,3,FALSE)</f>
        <v>#REF!</v>
      </c>
      <c r="AE70" s="17" t="str">
        <f>VLOOKUP(F70,'[1]UKN UID-DOP-Marking'!$H$3:$K$185,4,FALSE)</f>
        <v>#REF!</v>
      </c>
      <c r="AF70" s="17" t="str">
        <f>VLOOKUP(F70,'[1]UKN UID-DOP-Marking'!$H$3:$L$394,5,FALSE)</f>
        <v>#REF!</v>
      </c>
      <c r="AG70" s="18"/>
    </row>
    <row r="71" ht="14.25" customHeight="1">
      <c r="A71" s="9" t="s">
        <v>31</v>
      </c>
      <c r="B71" s="9" t="s">
        <v>104</v>
      </c>
      <c r="C71" s="9" t="s">
        <v>211</v>
      </c>
      <c r="D71" s="10">
        <v>23.0</v>
      </c>
      <c r="E71" s="10"/>
      <c r="F71" s="9" t="s">
        <v>310</v>
      </c>
      <c r="G71" s="12" t="s">
        <v>311</v>
      </c>
      <c r="H71" s="32">
        <v>8.8</v>
      </c>
      <c r="I71" s="13" t="s">
        <v>38</v>
      </c>
      <c r="J71" s="10" t="s">
        <v>146</v>
      </c>
      <c r="K71" s="33">
        <v>44429.0</v>
      </c>
      <c r="L71" s="10" t="s">
        <v>312</v>
      </c>
      <c r="M71" s="10">
        <v>35.12</v>
      </c>
      <c r="N71" s="10" t="s">
        <v>40</v>
      </c>
      <c r="O71" s="10">
        <v>52.0</v>
      </c>
      <c r="P71" s="10" t="s">
        <v>313</v>
      </c>
      <c r="Q71" s="15" t="s">
        <v>314</v>
      </c>
      <c r="R71" s="10" t="s">
        <v>43</v>
      </c>
      <c r="S71" s="10" t="s">
        <v>43</v>
      </c>
      <c r="T71" s="10" t="s">
        <v>43</v>
      </c>
      <c r="U71" s="10" t="s">
        <v>43</v>
      </c>
      <c r="V71" s="10" t="s">
        <v>43</v>
      </c>
      <c r="W71" s="10" t="s">
        <v>43</v>
      </c>
      <c r="X71" s="10">
        <v>6.0</v>
      </c>
      <c r="Y71" s="10"/>
      <c r="Z71" s="10" t="s">
        <v>315</v>
      </c>
      <c r="AA71" s="10"/>
      <c r="AB71" s="31" t="s">
        <v>316</v>
      </c>
      <c r="AC71" s="17" t="s">
        <v>317</v>
      </c>
      <c r="AD71" s="17" t="s">
        <v>318</v>
      </c>
      <c r="AE71" s="17" t="s">
        <v>319</v>
      </c>
      <c r="AF71" s="17" t="s">
        <v>320</v>
      </c>
      <c r="AG71" s="18"/>
    </row>
    <row r="72" ht="14.25" customHeight="1">
      <c r="A72" s="9" t="s">
        <v>31</v>
      </c>
      <c r="B72" s="9" t="s">
        <v>32</v>
      </c>
      <c r="C72" s="9" t="s">
        <v>81</v>
      </c>
      <c r="D72" s="10">
        <v>23.0</v>
      </c>
      <c r="E72" s="10"/>
      <c r="F72" s="9" t="s">
        <v>321</v>
      </c>
      <c r="G72" s="12" t="s">
        <v>322</v>
      </c>
      <c r="H72" s="32">
        <v>9.3</v>
      </c>
      <c r="I72" s="13" t="s">
        <v>38</v>
      </c>
      <c r="J72" s="10" t="s">
        <v>146</v>
      </c>
      <c r="K72" s="33">
        <v>44431.0</v>
      </c>
      <c r="L72" s="10" t="s">
        <v>323</v>
      </c>
      <c r="M72" s="10">
        <v>23.77</v>
      </c>
      <c r="N72" s="10" t="s">
        <v>40</v>
      </c>
      <c r="O72" s="10"/>
      <c r="P72" s="10" t="s">
        <v>313</v>
      </c>
      <c r="Q72" s="15" t="s">
        <v>324</v>
      </c>
      <c r="R72" s="10" t="s">
        <v>43</v>
      </c>
      <c r="S72" s="10" t="s">
        <v>43</v>
      </c>
      <c r="T72" s="10" t="s">
        <v>43</v>
      </c>
      <c r="U72" s="10" t="s">
        <v>43</v>
      </c>
      <c r="V72" s="10" t="s">
        <v>43</v>
      </c>
      <c r="W72" s="10" t="s">
        <v>43</v>
      </c>
      <c r="X72" s="10">
        <v>9.0</v>
      </c>
      <c r="Y72" s="10"/>
      <c r="Z72" s="10"/>
      <c r="AA72" s="10"/>
      <c r="AB72" s="31" t="s">
        <v>325</v>
      </c>
      <c r="AC72" s="17" t="s">
        <v>326</v>
      </c>
      <c r="AD72" s="17" t="s">
        <v>327</v>
      </c>
      <c r="AE72" s="17" t="s">
        <v>328</v>
      </c>
      <c r="AF72" s="17" t="s">
        <v>329</v>
      </c>
      <c r="AG72" s="18"/>
    </row>
    <row r="73" ht="14.25" customHeight="1">
      <c r="A73" s="9" t="s">
        <v>330</v>
      </c>
      <c r="B73" s="9" t="s">
        <v>331</v>
      </c>
      <c r="C73" s="9" t="s">
        <v>332</v>
      </c>
      <c r="D73" s="10"/>
      <c r="E73" s="20"/>
      <c r="F73" s="9" t="s">
        <v>333</v>
      </c>
      <c r="G73" s="12" t="s">
        <v>334</v>
      </c>
      <c r="H73" s="12"/>
      <c r="I73" s="10"/>
      <c r="J73" s="10"/>
      <c r="K73" s="10"/>
      <c r="L73" s="10"/>
      <c r="M73" s="10"/>
      <c r="N73" s="10" t="s">
        <v>40</v>
      </c>
      <c r="O73" s="10">
        <v>15.0</v>
      </c>
      <c r="P73" s="10" t="s">
        <v>335</v>
      </c>
      <c r="Q73" s="10" t="s">
        <v>336</v>
      </c>
      <c r="R73" s="16">
        <v>24.0</v>
      </c>
      <c r="S73" s="16" t="s">
        <v>337</v>
      </c>
      <c r="T73" s="16" t="s">
        <v>43</v>
      </c>
      <c r="U73" s="16" t="s">
        <v>43</v>
      </c>
      <c r="V73" s="16">
        <v>432.0</v>
      </c>
      <c r="W73" s="16" t="s">
        <v>338</v>
      </c>
      <c r="X73" s="16">
        <v>10368.0</v>
      </c>
      <c r="Y73" s="16" t="s">
        <v>339</v>
      </c>
      <c r="Z73" s="16" t="s">
        <v>45</v>
      </c>
      <c r="AA73" s="10"/>
      <c r="AB73" s="17"/>
      <c r="AC73" s="17"/>
      <c r="AD73" s="17"/>
      <c r="AE73" s="17"/>
      <c r="AF73" s="17"/>
      <c r="AG73" s="18"/>
    </row>
    <row r="74" ht="13.5" customHeight="1">
      <c r="A74" s="9" t="s">
        <v>330</v>
      </c>
      <c r="B74" s="9" t="s">
        <v>331</v>
      </c>
      <c r="C74" s="9" t="s">
        <v>332</v>
      </c>
      <c r="D74" s="10"/>
      <c r="E74" s="20"/>
      <c r="F74" s="9" t="s">
        <v>340</v>
      </c>
      <c r="G74" s="12" t="s">
        <v>341</v>
      </c>
      <c r="H74" s="12"/>
      <c r="I74" s="10"/>
      <c r="J74" s="10"/>
      <c r="K74" s="10"/>
      <c r="L74" s="10"/>
      <c r="M74" s="10"/>
      <c r="N74" s="10" t="s">
        <v>40</v>
      </c>
      <c r="O74" s="10">
        <v>15.0</v>
      </c>
      <c r="P74" s="10" t="s">
        <v>335</v>
      </c>
      <c r="Q74" s="10" t="s">
        <v>342</v>
      </c>
      <c r="R74" s="16">
        <v>24.0</v>
      </c>
      <c r="S74" s="16" t="s">
        <v>337</v>
      </c>
      <c r="T74" s="16" t="s">
        <v>43</v>
      </c>
      <c r="U74" s="16" t="s">
        <v>43</v>
      </c>
      <c r="V74" s="16">
        <v>432.0</v>
      </c>
      <c r="W74" s="16" t="s">
        <v>338</v>
      </c>
      <c r="X74" s="16">
        <v>10368.0</v>
      </c>
      <c r="Y74" s="16" t="s">
        <v>339</v>
      </c>
      <c r="Z74" s="16" t="s">
        <v>45</v>
      </c>
      <c r="AA74" s="10"/>
      <c r="AB74" s="17"/>
      <c r="AC74" s="17"/>
      <c r="AD74" s="17"/>
      <c r="AE74" s="17"/>
      <c r="AF74" s="17"/>
      <c r="AG74" s="18"/>
    </row>
    <row r="75" ht="13.5" customHeight="1">
      <c r="A75" s="9" t="s">
        <v>330</v>
      </c>
      <c r="B75" s="9" t="s">
        <v>331</v>
      </c>
      <c r="C75" s="9" t="s">
        <v>332</v>
      </c>
      <c r="D75" s="10"/>
      <c r="E75" s="20"/>
      <c r="F75" s="9" t="s">
        <v>343</v>
      </c>
      <c r="G75" s="12" t="s">
        <v>344</v>
      </c>
      <c r="H75" s="12"/>
      <c r="I75" s="10"/>
      <c r="J75" s="10"/>
      <c r="K75" s="10"/>
      <c r="L75" s="10"/>
      <c r="M75" s="10"/>
      <c r="N75" s="10" t="s">
        <v>40</v>
      </c>
      <c r="O75" s="10">
        <v>15.0</v>
      </c>
      <c r="P75" s="10" t="s">
        <v>335</v>
      </c>
      <c r="Q75" s="10" t="s">
        <v>345</v>
      </c>
      <c r="R75" s="16">
        <v>24.0</v>
      </c>
      <c r="S75" s="16" t="s">
        <v>337</v>
      </c>
      <c r="T75" s="16" t="s">
        <v>43</v>
      </c>
      <c r="U75" s="16" t="s">
        <v>43</v>
      </c>
      <c r="V75" s="16">
        <v>432.0</v>
      </c>
      <c r="W75" s="16" t="s">
        <v>338</v>
      </c>
      <c r="X75" s="16">
        <v>10368.0</v>
      </c>
      <c r="Y75" s="16" t="s">
        <v>339</v>
      </c>
      <c r="Z75" s="16" t="s">
        <v>45</v>
      </c>
      <c r="AA75" s="10"/>
      <c r="AB75" s="17"/>
      <c r="AC75" s="17"/>
      <c r="AD75" s="17"/>
      <c r="AE75" s="17"/>
      <c r="AF75" s="17"/>
      <c r="AG75" s="18"/>
    </row>
    <row r="76" ht="14.25" customHeight="1">
      <c r="A76" s="9" t="s">
        <v>330</v>
      </c>
      <c r="B76" s="9" t="s">
        <v>331</v>
      </c>
      <c r="C76" s="9" t="s">
        <v>332</v>
      </c>
      <c r="D76" s="10"/>
      <c r="E76" s="20"/>
      <c r="F76" s="34" t="s">
        <v>346</v>
      </c>
      <c r="G76" s="12" t="s">
        <v>347</v>
      </c>
      <c r="H76" s="12"/>
      <c r="I76" s="10"/>
      <c r="J76" s="10"/>
      <c r="K76" s="10"/>
      <c r="L76" s="10"/>
      <c r="M76" s="10"/>
      <c r="N76" s="10" t="s">
        <v>40</v>
      </c>
      <c r="O76" s="10">
        <v>15.0</v>
      </c>
      <c r="P76" s="10" t="s">
        <v>335</v>
      </c>
      <c r="Q76" s="35" t="s">
        <v>348</v>
      </c>
      <c r="R76" s="16">
        <v>24.0</v>
      </c>
      <c r="S76" s="16" t="s">
        <v>337</v>
      </c>
      <c r="T76" s="16" t="s">
        <v>43</v>
      </c>
      <c r="U76" s="16" t="s">
        <v>43</v>
      </c>
      <c r="V76" s="16">
        <v>432.0</v>
      </c>
      <c r="W76" s="16" t="s">
        <v>338</v>
      </c>
      <c r="X76" s="16">
        <v>10368.0</v>
      </c>
      <c r="Y76" s="16" t="s">
        <v>339</v>
      </c>
      <c r="Z76" s="16" t="s">
        <v>45</v>
      </c>
      <c r="AA76" s="10"/>
      <c r="AB76" s="9" t="s">
        <v>349</v>
      </c>
      <c r="AC76" s="9" t="s">
        <v>350</v>
      </c>
      <c r="AD76" s="17"/>
      <c r="AE76" s="17"/>
      <c r="AF76" s="17"/>
      <c r="AG76" s="18"/>
    </row>
    <row r="77" ht="14.25" customHeight="1">
      <c r="A77" s="9" t="s">
        <v>330</v>
      </c>
      <c r="B77" s="9" t="s">
        <v>331</v>
      </c>
      <c r="C77" s="9" t="s">
        <v>351</v>
      </c>
      <c r="D77" s="10"/>
      <c r="E77" s="20"/>
      <c r="F77" s="9" t="s">
        <v>352</v>
      </c>
      <c r="G77" s="12" t="s">
        <v>353</v>
      </c>
      <c r="H77" s="12"/>
      <c r="I77" s="10"/>
      <c r="J77" s="10"/>
      <c r="K77" s="10"/>
      <c r="L77" s="10"/>
      <c r="M77" s="10"/>
      <c r="N77" s="10" t="s">
        <v>40</v>
      </c>
      <c r="O77" s="10">
        <v>20.0</v>
      </c>
      <c r="P77" s="10" t="s">
        <v>335</v>
      </c>
      <c r="Q77" s="10" t="s">
        <v>354</v>
      </c>
      <c r="R77" s="16">
        <v>1.0</v>
      </c>
      <c r="S77" s="16" t="s">
        <v>355</v>
      </c>
      <c r="T77" s="16" t="s">
        <v>43</v>
      </c>
      <c r="U77" s="16" t="s">
        <v>43</v>
      </c>
      <c r="V77" s="16">
        <v>288.0</v>
      </c>
      <c r="W77" s="16" t="s">
        <v>356</v>
      </c>
      <c r="X77" s="16">
        <v>6912.0</v>
      </c>
      <c r="Y77" s="16" t="s">
        <v>339</v>
      </c>
      <c r="Z77" s="16" t="s">
        <v>45</v>
      </c>
      <c r="AA77" s="10"/>
      <c r="AB77" s="17"/>
      <c r="AC77" s="17"/>
      <c r="AD77" s="17"/>
      <c r="AE77" s="17"/>
      <c r="AF77" s="17"/>
      <c r="AG77" s="18"/>
    </row>
    <row r="78" ht="14.25" customHeight="1">
      <c r="A78" s="9" t="s">
        <v>330</v>
      </c>
      <c r="B78" s="9" t="s">
        <v>331</v>
      </c>
      <c r="C78" s="9" t="s">
        <v>351</v>
      </c>
      <c r="D78" s="10"/>
      <c r="E78" s="20"/>
      <c r="F78" s="9" t="s">
        <v>357</v>
      </c>
      <c r="G78" s="12" t="s">
        <v>358</v>
      </c>
      <c r="H78" s="12"/>
      <c r="I78" s="10"/>
      <c r="J78" s="10"/>
      <c r="K78" s="10"/>
      <c r="L78" s="10"/>
      <c r="M78" s="10"/>
      <c r="N78" s="10" t="s">
        <v>40</v>
      </c>
      <c r="O78" s="10">
        <v>20.0</v>
      </c>
      <c r="P78" s="10" t="s">
        <v>335</v>
      </c>
      <c r="Q78" s="10" t="s">
        <v>359</v>
      </c>
      <c r="R78" s="16">
        <v>8.0</v>
      </c>
      <c r="S78" s="16" t="s">
        <v>360</v>
      </c>
      <c r="T78" s="16" t="s">
        <v>43</v>
      </c>
      <c r="U78" s="16" t="s">
        <v>43</v>
      </c>
      <c r="V78" s="16">
        <v>336.0</v>
      </c>
      <c r="W78" s="16" t="s">
        <v>338</v>
      </c>
      <c r="X78" s="16">
        <v>8064.0</v>
      </c>
      <c r="Y78" s="16" t="s">
        <v>339</v>
      </c>
      <c r="Z78" s="16" t="s">
        <v>45</v>
      </c>
      <c r="AA78" s="10"/>
      <c r="AB78" s="17"/>
      <c r="AC78" s="17"/>
      <c r="AD78" s="17"/>
      <c r="AE78" s="17"/>
      <c r="AF78" s="17"/>
      <c r="AG78" s="18"/>
    </row>
    <row r="79" ht="14.25" customHeight="1">
      <c r="A79" s="9" t="s">
        <v>330</v>
      </c>
      <c r="B79" s="9" t="s">
        <v>331</v>
      </c>
      <c r="C79" s="9" t="s">
        <v>351</v>
      </c>
      <c r="D79" s="10"/>
      <c r="E79" s="20"/>
      <c r="F79" s="9" t="s">
        <v>361</v>
      </c>
      <c r="G79" s="12" t="s">
        <v>362</v>
      </c>
      <c r="H79" s="12"/>
      <c r="I79" s="10"/>
      <c r="J79" s="10"/>
      <c r="K79" s="10"/>
      <c r="L79" s="10"/>
      <c r="M79" s="10"/>
      <c r="N79" s="10" t="s">
        <v>40</v>
      </c>
      <c r="O79" s="10">
        <v>20.0</v>
      </c>
      <c r="P79" s="10" t="s">
        <v>335</v>
      </c>
      <c r="Q79" s="10" t="s">
        <v>363</v>
      </c>
      <c r="R79" s="16">
        <v>24.0</v>
      </c>
      <c r="S79" s="16" t="s">
        <v>337</v>
      </c>
      <c r="T79" s="16" t="s">
        <v>43</v>
      </c>
      <c r="U79" s="16" t="s">
        <v>43</v>
      </c>
      <c r="V79" s="16">
        <v>432.0</v>
      </c>
      <c r="W79" s="16" t="s">
        <v>338</v>
      </c>
      <c r="X79" s="16">
        <v>10368.0</v>
      </c>
      <c r="Y79" s="16" t="s">
        <v>339</v>
      </c>
      <c r="Z79" s="16" t="s">
        <v>45</v>
      </c>
      <c r="AA79" s="10"/>
      <c r="AB79" s="17"/>
      <c r="AC79" s="17"/>
      <c r="AD79" s="17"/>
      <c r="AE79" s="17"/>
      <c r="AF79" s="17"/>
      <c r="AG79" s="18"/>
    </row>
    <row r="80" ht="14.25" customHeight="1">
      <c r="A80" s="9" t="s">
        <v>330</v>
      </c>
      <c r="B80" s="9" t="s">
        <v>331</v>
      </c>
      <c r="C80" s="9" t="s">
        <v>351</v>
      </c>
      <c r="D80" s="10"/>
      <c r="E80" s="20"/>
      <c r="F80" s="9" t="s">
        <v>364</v>
      </c>
      <c r="G80" s="12" t="s">
        <v>365</v>
      </c>
      <c r="H80" s="12"/>
      <c r="I80" s="10"/>
      <c r="J80" s="10"/>
      <c r="K80" s="10"/>
      <c r="L80" s="10"/>
      <c r="M80" s="10"/>
      <c r="N80" s="10" t="s">
        <v>40</v>
      </c>
      <c r="O80" s="10">
        <v>20.0</v>
      </c>
      <c r="P80" s="10" t="s">
        <v>335</v>
      </c>
      <c r="Q80" s="10" t="s">
        <v>366</v>
      </c>
      <c r="R80" s="16">
        <v>8.0</v>
      </c>
      <c r="S80" s="16" t="s">
        <v>360</v>
      </c>
      <c r="T80" s="16" t="s">
        <v>43</v>
      </c>
      <c r="U80" s="16" t="s">
        <v>43</v>
      </c>
      <c r="V80" s="16">
        <v>336.0</v>
      </c>
      <c r="W80" s="16" t="s">
        <v>338</v>
      </c>
      <c r="X80" s="16">
        <v>8064.0</v>
      </c>
      <c r="Y80" s="16" t="s">
        <v>339</v>
      </c>
      <c r="Z80" s="16" t="s">
        <v>45</v>
      </c>
      <c r="AA80" s="10"/>
      <c r="AB80" s="17"/>
      <c r="AC80" s="17"/>
      <c r="AD80" s="17"/>
      <c r="AE80" s="17"/>
      <c r="AF80" s="17"/>
      <c r="AG80" s="18"/>
    </row>
    <row r="81" ht="14.25" customHeight="1">
      <c r="A81" s="9" t="s">
        <v>330</v>
      </c>
      <c r="B81" s="9" t="s">
        <v>331</v>
      </c>
      <c r="C81" s="9" t="s">
        <v>351</v>
      </c>
      <c r="D81" s="10"/>
      <c r="E81" s="20"/>
      <c r="F81" s="9" t="s">
        <v>367</v>
      </c>
      <c r="G81" s="12" t="s">
        <v>368</v>
      </c>
      <c r="H81" s="12"/>
      <c r="I81" s="10"/>
      <c r="J81" s="10"/>
      <c r="K81" s="10"/>
      <c r="L81" s="10"/>
      <c r="M81" s="10"/>
      <c r="N81" s="10" t="s">
        <v>40</v>
      </c>
      <c r="O81" s="10">
        <v>20.0</v>
      </c>
      <c r="P81" s="10" t="s">
        <v>335</v>
      </c>
      <c r="Q81" s="10" t="s">
        <v>369</v>
      </c>
      <c r="R81" s="16">
        <v>24.0</v>
      </c>
      <c r="S81" s="16" t="s">
        <v>337</v>
      </c>
      <c r="T81" s="16" t="s">
        <v>43</v>
      </c>
      <c r="U81" s="16" t="s">
        <v>43</v>
      </c>
      <c r="V81" s="16">
        <v>432.0</v>
      </c>
      <c r="W81" s="16" t="s">
        <v>338</v>
      </c>
      <c r="X81" s="16">
        <v>10368.0</v>
      </c>
      <c r="Y81" s="16" t="s">
        <v>339</v>
      </c>
      <c r="Z81" s="16" t="s">
        <v>45</v>
      </c>
      <c r="AA81" s="10"/>
      <c r="AB81" s="17"/>
      <c r="AC81" s="17"/>
      <c r="AD81" s="17"/>
      <c r="AE81" s="17"/>
      <c r="AF81" s="17"/>
      <c r="AG81" s="18"/>
    </row>
    <row r="82" ht="14.25" customHeight="1">
      <c r="A82" s="9" t="s">
        <v>330</v>
      </c>
      <c r="B82" s="9" t="s">
        <v>370</v>
      </c>
      <c r="C82" s="9" t="s">
        <v>332</v>
      </c>
      <c r="D82" s="10"/>
      <c r="E82" s="20"/>
      <c r="F82" s="9" t="s">
        <v>371</v>
      </c>
      <c r="G82" s="12" t="s">
        <v>372</v>
      </c>
      <c r="H82" s="12"/>
      <c r="I82" s="10"/>
      <c r="J82" s="10"/>
      <c r="K82" s="10"/>
      <c r="L82" s="10"/>
      <c r="M82" s="10"/>
      <c r="N82" s="10" t="s">
        <v>40</v>
      </c>
      <c r="O82" s="10">
        <v>15.0</v>
      </c>
      <c r="P82" s="10" t="s">
        <v>335</v>
      </c>
      <c r="Q82" s="10" t="s">
        <v>373</v>
      </c>
      <c r="R82" s="16">
        <v>24.0</v>
      </c>
      <c r="S82" s="16" t="s">
        <v>337</v>
      </c>
      <c r="T82" s="16" t="s">
        <v>43</v>
      </c>
      <c r="U82" s="16" t="s">
        <v>43</v>
      </c>
      <c r="V82" s="16">
        <v>432.0</v>
      </c>
      <c r="W82" s="16" t="s">
        <v>338</v>
      </c>
      <c r="X82" s="16">
        <v>10368.0</v>
      </c>
      <c r="Y82" s="16" t="s">
        <v>339</v>
      </c>
      <c r="Z82" s="16" t="s">
        <v>45</v>
      </c>
      <c r="AA82" s="10"/>
      <c r="AB82" s="17"/>
      <c r="AC82" s="17"/>
      <c r="AD82" s="17"/>
      <c r="AE82" s="17"/>
      <c r="AF82" s="17"/>
      <c r="AG82" s="18"/>
    </row>
    <row r="83" ht="14.25" customHeight="1">
      <c r="A83" s="9" t="s">
        <v>330</v>
      </c>
      <c r="B83" s="9" t="s">
        <v>370</v>
      </c>
      <c r="C83" s="9" t="s">
        <v>332</v>
      </c>
      <c r="D83" s="10"/>
      <c r="E83" s="20"/>
      <c r="F83" s="9" t="s">
        <v>374</v>
      </c>
      <c r="G83" s="12" t="s">
        <v>375</v>
      </c>
      <c r="H83" s="12"/>
      <c r="I83" s="10"/>
      <c r="J83" s="10"/>
      <c r="K83" s="10"/>
      <c r="L83" s="10"/>
      <c r="M83" s="10"/>
      <c r="N83" s="10" t="s">
        <v>40</v>
      </c>
      <c r="O83" s="10">
        <v>15.0</v>
      </c>
      <c r="P83" s="10" t="s">
        <v>335</v>
      </c>
      <c r="Q83" s="10" t="s">
        <v>376</v>
      </c>
      <c r="R83" s="16">
        <v>1.0</v>
      </c>
      <c r="S83" s="16" t="s">
        <v>337</v>
      </c>
      <c r="T83" s="16"/>
      <c r="U83" s="16"/>
      <c r="V83" s="16">
        <v>432.0</v>
      </c>
      <c r="W83" s="16" t="s">
        <v>338</v>
      </c>
      <c r="X83" s="16">
        <v>10368.0</v>
      </c>
      <c r="Y83" s="16" t="s">
        <v>339</v>
      </c>
      <c r="Z83" s="16" t="s">
        <v>45</v>
      </c>
      <c r="AA83" s="10"/>
      <c r="AB83" s="17" t="s">
        <v>377</v>
      </c>
      <c r="AC83" s="17" t="s">
        <v>378</v>
      </c>
      <c r="AD83" s="17"/>
      <c r="AE83" s="17"/>
      <c r="AF83" s="17"/>
      <c r="AG83" s="18"/>
    </row>
    <row r="84" ht="14.25" customHeight="1">
      <c r="A84" s="9" t="s">
        <v>330</v>
      </c>
      <c r="B84" s="9" t="s">
        <v>370</v>
      </c>
      <c r="C84" s="9" t="s">
        <v>332</v>
      </c>
      <c r="D84" s="10"/>
      <c r="E84" s="20"/>
      <c r="F84" s="9" t="s">
        <v>379</v>
      </c>
      <c r="G84" s="12" t="s">
        <v>380</v>
      </c>
      <c r="H84" s="12"/>
      <c r="I84" s="10"/>
      <c r="J84" s="10"/>
      <c r="K84" s="10"/>
      <c r="L84" s="10"/>
      <c r="M84" s="10"/>
      <c r="N84" s="10" t="s">
        <v>40</v>
      </c>
      <c r="O84" s="10">
        <v>15.0</v>
      </c>
      <c r="P84" s="10" t="s">
        <v>335</v>
      </c>
      <c r="Q84" s="10" t="s">
        <v>381</v>
      </c>
      <c r="R84" s="16">
        <v>24.0</v>
      </c>
      <c r="S84" s="16" t="s">
        <v>337</v>
      </c>
      <c r="T84" s="16" t="s">
        <v>43</v>
      </c>
      <c r="U84" s="16" t="s">
        <v>43</v>
      </c>
      <c r="V84" s="16">
        <v>432.0</v>
      </c>
      <c r="W84" s="16" t="s">
        <v>338</v>
      </c>
      <c r="X84" s="16">
        <v>10368.0</v>
      </c>
      <c r="Y84" s="16" t="s">
        <v>339</v>
      </c>
      <c r="Z84" s="16" t="s">
        <v>45</v>
      </c>
      <c r="AA84" s="10"/>
      <c r="AB84" s="17" t="s">
        <v>377</v>
      </c>
      <c r="AC84" s="17" t="s">
        <v>378</v>
      </c>
      <c r="AD84" s="17"/>
      <c r="AE84" s="17"/>
      <c r="AF84" s="17"/>
      <c r="AG84" s="18"/>
    </row>
    <row r="85" ht="14.25" customHeight="1">
      <c r="A85" s="9" t="s">
        <v>330</v>
      </c>
      <c r="B85" s="9" t="s">
        <v>370</v>
      </c>
      <c r="C85" s="9" t="s">
        <v>351</v>
      </c>
      <c r="D85" s="10"/>
      <c r="E85" s="20"/>
      <c r="F85" s="9" t="s">
        <v>382</v>
      </c>
      <c r="G85" s="12" t="s">
        <v>383</v>
      </c>
      <c r="H85" s="12"/>
      <c r="I85" s="10"/>
      <c r="J85" s="10"/>
      <c r="K85" s="10"/>
      <c r="L85" s="10"/>
      <c r="M85" s="10"/>
      <c r="N85" s="10" t="s">
        <v>40</v>
      </c>
      <c r="O85" s="10">
        <v>20.0</v>
      </c>
      <c r="P85" s="10" t="s">
        <v>335</v>
      </c>
      <c r="Q85" s="10" t="s">
        <v>384</v>
      </c>
      <c r="R85" s="16">
        <v>1.0</v>
      </c>
      <c r="S85" s="16" t="s">
        <v>355</v>
      </c>
      <c r="T85" s="16" t="s">
        <v>43</v>
      </c>
      <c r="U85" s="16" t="s">
        <v>43</v>
      </c>
      <c r="V85" s="16">
        <v>288.0</v>
      </c>
      <c r="W85" s="16" t="s">
        <v>356</v>
      </c>
      <c r="X85" s="16">
        <v>6912.0</v>
      </c>
      <c r="Y85" s="16" t="s">
        <v>339</v>
      </c>
      <c r="Z85" s="16" t="s">
        <v>45</v>
      </c>
      <c r="AA85" s="10"/>
      <c r="AB85" s="17" t="s">
        <v>385</v>
      </c>
      <c r="AC85" s="17" t="s">
        <v>386</v>
      </c>
      <c r="AD85" s="17"/>
      <c r="AE85" s="17"/>
      <c r="AF85" s="17"/>
      <c r="AG85" s="18"/>
    </row>
    <row r="86" ht="14.25" customHeight="1">
      <c r="A86" s="9" t="s">
        <v>330</v>
      </c>
      <c r="B86" s="9" t="s">
        <v>370</v>
      </c>
      <c r="C86" s="9" t="s">
        <v>351</v>
      </c>
      <c r="D86" s="10"/>
      <c r="E86" s="20"/>
      <c r="F86" s="9" t="s">
        <v>387</v>
      </c>
      <c r="G86" s="12" t="s">
        <v>388</v>
      </c>
      <c r="H86" s="12"/>
      <c r="I86" s="10"/>
      <c r="J86" s="10"/>
      <c r="K86" s="10"/>
      <c r="L86" s="10"/>
      <c r="M86" s="10"/>
      <c r="N86" s="10" t="s">
        <v>40</v>
      </c>
      <c r="O86" s="10">
        <v>20.0</v>
      </c>
      <c r="P86" s="10" t="s">
        <v>335</v>
      </c>
      <c r="Q86" s="10" t="s">
        <v>389</v>
      </c>
      <c r="R86" s="16">
        <v>8.0</v>
      </c>
      <c r="S86" s="16" t="s">
        <v>360</v>
      </c>
      <c r="T86" s="16" t="s">
        <v>43</v>
      </c>
      <c r="U86" s="16" t="s">
        <v>43</v>
      </c>
      <c r="V86" s="16">
        <v>336.0</v>
      </c>
      <c r="W86" s="16" t="s">
        <v>338</v>
      </c>
      <c r="X86" s="16">
        <v>8064.0</v>
      </c>
      <c r="Y86" s="16" t="s">
        <v>339</v>
      </c>
      <c r="Z86" s="16" t="s">
        <v>45</v>
      </c>
      <c r="AA86" s="10"/>
      <c r="AB86" s="17"/>
      <c r="AC86" s="17"/>
      <c r="AD86" s="17"/>
      <c r="AE86" s="17"/>
      <c r="AF86" s="17"/>
      <c r="AG86" s="18"/>
    </row>
    <row r="87" ht="14.25" customHeight="1">
      <c r="A87" s="9" t="s">
        <v>330</v>
      </c>
      <c r="B87" s="9" t="s">
        <v>370</v>
      </c>
      <c r="C87" s="9" t="s">
        <v>351</v>
      </c>
      <c r="D87" s="10"/>
      <c r="E87" s="20"/>
      <c r="F87" s="9" t="s">
        <v>390</v>
      </c>
      <c r="G87" s="12" t="s">
        <v>391</v>
      </c>
      <c r="H87" s="12"/>
      <c r="I87" s="10"/>
      <c r="J87" s="10"/>
      <c r="K87" s="10"/>
      <c r="L87" s="10"/>
      <c r="M87" s="10"/>
      <c r="N87" s="10" t="s">
        <v>40</v>
      </c>
      <c r="O87" s="10">
        <v>20.0</v>
      </c>
      <c r="P87" s="10" t="s">
        <v>335</v>
      </c>
      <c r="Q87" s="10" t="s">
        <v>392</v>
      </c>
      <c r="R87" s="16">
        <v>24.0</v>
      </c>
      <c r="S87" s="16" t="s">
        <v>337</v>
      </c>
      <c r="T87" s="16" t="s">
        <v>43</v>
      </c>
      <c r="U87" s="16" t="s">
        <v>43</v>
      </c>
      <c r="V87" s="16">
        <v>432.0</v>
      </c>
      <c r="W87" s="16" t="s">
        <v>338</v>
      </c>
      <c r="X87" s="16">
        <v>10368.0</v>
      </c>
      <c r="Y87" s="16" t="s">
        <v>339</v>
      </c>
      <c r="Z87" s="16" t="s">
        <v>45</v>
      </c>
      <c r="AA87" s="10"/>
      <c r="AB87" s="17"/>
      <c r="AC87" s="17"/>
      <c r="AD87" s="17"/>
      <c r="AE87" s="17"/>
      <c r="AF87" s="17"/>
      <c r="AG87" s="18"/>
    </row>
    <row r="88" ht="14.25" customHeight="1">
      <c r="A88" s="9" t="s">
        <v>330</v>
      </c>
      <c r="B88" s="9" t="s">
        <v>370</v>
      </c>
      <c r="C88" s="9" t="s">
        <v>351</v>
      </c>
      <c r="D88" s="10"/>
      <c r="E88" s="20"/>
      <c r="F88" s="9" t="s">
        <v>393</v>
      </c>
      <c r="G88" s="12" t="s">
        <v>394</v>
      </c>
      <c r="H88" s="12"/>
      <c r="I88" s="10"/>
      <c r="J88" s="10"/>
      <c r="K88" s="10"/>
      <c r="L88" s="10"/>
      <c r="M88" s="10"/>
      <c r="N88" s="10" t="s">
        <v>40</v>
      </c>
      <c r="O88" s="10">
        <v>20.0</v>
      </c>
      <c r="P88" s="10" t="s">
        <v>335</v>
      </c>
      <c r="Q88" s="10" t="s">
        <v>395</v>
      </c>
      <c r="R88" s="16">
        <v>1.0</v>
      </c>
      <c r="S88" s="16" t="s">
        <v>355</v>
      </c>
      <c r="T88" s="16" t="s">
        <v>43</v>
      </c>
      <c r="U88" s="16" t="s">
        <v>43</v>
      </c>
      <c r="V88" s="16">
        <v>288.0</v>
      </c>
      <c r="W88" s="16" t="s">
        <v>356</v>
      </c>
      <c r="X88" s="16">
        <v>6912.0</v>
      </c>
      <c r="Y88" s="16" t="s">
        <v>339</v>
      </c>
      <c r="Z88" s="16" t="s">
        <v>45</v>
      </c>
      <c r="AA88" s="10"/>
      <c r="AB88" s="17" t="s">
        <v>396</v>
      </c>
      <c r="AC88" s="17" t="s">
        <v>397</v>
      </c>
      <c r="AD88" s="17"/>
      <c r="AE88" s="17"/>
      <c r="AF88" s="17"/>
      <c r="AG88" s="18"/>
    </row>
    <row r="89" ht="14.25" customHeight="1">
      <c r="A89" s="9" t="s">
        <v>330</v>
      </c>
      <c r="B89" s="9" t="s">
        <v>370</v>
      </c>
      <c r="C89" s="9" t="s">
        <v>351</v>
      </c>
      <c r="D89" s="10"/>
      <c r="E89" s="20"/>
      <c r="F89" s="9" t="s">
        <v>398</v>
      </c>
      <c r="G89" s="12" t="s">
        <v>399</v>
      </c>
      <c r="H89" s="12"/>
      <c r="I89" s="10"/>
      <c r="J89" s="10"/>
      <c r="K89" s="10"/>
      <c r="L89" s="10"/>
      <c r="M89" s="10"/>
      <c r="N89" s="10" t="s">
        <v>40</v>
      </c>
      <c r="O89" s="10">
        <v>20.0</v>
      </c>
      <c r="P89" s="10" t="s">
        <v>335</v>
      </c>
      <c r="Q89" s="10" t="s">
        <v>400</v>
      </c>
      <c r="R89" s="16">
        <v>8.0</v>
      </c>
      <c r="S89" s="16" t="s">
        <v>360</v>
      </c>
      <c r="T89" s="16" t="s">
        <v>43</v>
      </c>
      <c r="U89" s="16" t="s">
        <v>43</v>
      </c>
      <c r="V89" s="16">
        <v>336.0</v>
      </c>
      <c r="W89" s="16" t="s">
        <v>338</v>
      </c>
      <c r="X89" s="16">
        <v>8064.0</v>
      </c>
      <c r="Y89" s="16" t="s">
        <v>339</v>
      </c>
      <c r="Z89" s="16" t="s">
        <v>45</v>
      </c>
      <c r="AA89" s="10"/>
      <c r="AB89" s="17"/>
      <c r="AC89" s="17"/>
      <c r="AD89" s="17"/>
      <c r="AE89" s="17"/>
      <c r="AF89" s="17"/>
      <c r="AG89" s="18"/>
    </row>
    <row r="90" ht="14.25" customHeight="1">
      <c r="A90" s="9" t="s">
        <v>330</v>
      </c>
      <c r="B90" s="9" t="s">
        <v>370</v>
      </c>
      <c r="C90" s="9" t="s">
        <v>351</v>
      </c>
      <c r="D90" s="10"/>
      <c r="E90" s="20"/>
      <c r="F90" s="9" t="s">
        <v>401</v>
      </c>
      <c r="G90" s="12" t="s">
        <v>402</v>
      </c>
      <c r="H90" s="12"/>
      <c r="I90" s="10"/>
      <c r="J90" s="10"/>
      <c r="K90" s="10"/>
      <c r="L90" s="10"/>
      <c r="M90" s="10"/>
      <c r="N90" s="10" t="s">
        <v>40</v>
      </c>
      <c r="O90" s="10">
        <v>20.0</v>
      </c>
      <c r="P90" s="10" t="s">
        <v>335</v>
      </c>
      <c r="Q90" s="10" t="s">
        <v>403</v>
      </c>
      <c r="R90" s="16">
        <v>24.0</v>
      </c>
      <c r="S90" s="16" t="s">
        <v>337</v>
      </c>
      <c r="T90" s="16" t="s">
        <v>43</v>
      </c>
      <c r="U90" s="16" t="s">
        <v>43</v>
      </c>
      <c r="V90" s="16">
        <v>432.0</v>
      </c>
      <c r="W90" s="16" t="s">
        <v>338</v>
      </c>
      <c r="X90" s="16">
        <v>10368.0</v>
      </c>
      <c r="Y90" s="16" t="s">
        <v>339</v>
      </c>
      <c r="Z90" s="16" t="s">
        <v>45</v>
      </c>
      <c r="AA90" s="10"/>
      <c r="AB90" s="17" t="s">
        <v>404</v>
      </c>
      <c r="AC90" s="17" t="s">
        <v>405</v>
      </c>
      <c r="AD90" s="17"/>
      <c r="AE90" s="17"/>
      <c r="AF90" s="17"/>
      <c r="AG90" s="18"/>
    </row>
    <row r="91" ht="14.25" customHeight="1">
      <c r="A91" s="9" t="s">
        <v>330</v>
      </c>
      <c r="B91" s="9" t="s">
        <v>370</v>
      </c>
      <c r="C91" s="9"/>
      <c r="D91" s="10"/>
      <c r="E91" s="20"/>
      <c r="F91" s="9" t="s">
        <v>406</v>
      </c>
      <c r="G91" s="12" t="s">
        <v>407</v>
      </c>
      <c r="H91" s="12"/>
      <c r="I91" s="10"/>
      <c r="J91" s="10"/>
      <c r="K91" s="10"/>
      <c r="L91" s="10"/>
      <c r="M91" s="10"/>
      <c r="N91" s="10" t="s">
        <v>40</v>
      </c>
      <c r="O91" s="10">
        <v>0.23</v>
      </c>
      <c r="P91" s="10" t="s">
        <v>335</v>
      </c>
      <c r="Q91" s="10" t="s">
        <v>408</v>
      </c>
      <c r="R91" s="16">
        <v>1.0</v>
      </c>
      <c r="S91" s="16" t="s">
        <v>355</v>
      </c>
      <c r="T91" s="16"/>
      <c r="U91" s="16"/>
      <c r="V91" s="16"/>
      <c r="W91" s="16"/>
      <c r="X91" s="16"/>
      <c r="Y91" s="16"/>
      <c r="Z91" s="16"/>
      <c r="AA91" s="10"/>
      <c r="AB91" s="17" t="s">
        <v>409</v>
      </c>
      <c r="AC91" s="17" t="s">
        <v>410</v>
      </c>
      <c r="AD91" s="17"/>
      <c r="AE91" s="17"/>
      <c r="AF91" s="17"/>
      <c r="AG91" s="18"/>
    </row>
    <row r="92" ht="14.25" customHeight="1">
      <c r="A92" s="9" t="s">
        <v>330</v>
      </c>
      <c r="B92" s="9" t="s">
        <v>370</v>
      </c>
      <c r="C92" s="9"/>
      <c r="D92" s="10"/>
      <c r="E92" s="20"/>
      <c r="F92" s="9" t="s">
        <v>411</v>
      </c>
      <c r="G92" s="12" t="s">
        <v>412</v>
      </c>
      <c r="H92" s="12"/>
      <c r="I92" s="10"/>
      <c r="J92" s="10"/>
      <c r="K92" s="10"/>
      <c r="L92" s="10"/>
      <c r="M92" s="10"/>
      <c r="N92" s="10" t="s">
        <v>40</v>
      </c>
      <c r="O92" s="10">
        <v>0.23</v>
      </c>
      <c r="P92" s="10" t="s">
        <v>335</v>
      </c>
      <c r="Q92" s="10" t="s">
        <v>413</v>
      </c>
      <c r="R92" s="16">
        <v>1.0</v>
      </c>
      <c r="S92" s="16" t="s">
        <v>355</v>
      </c>
      <c r="T92" s="16"/>
      <c r="U92" s="16"/>
      <c r="V92" s="16"/>
      <c r="W92" s="16"/>
      <c r="X92" s="16"/>
      <c r="Y92" s="16"/>
      <c r="Z92" s="16"/>
      <c r="AA92" s="10"/>
      <c r="AB92" s="17" t="s">
        <v>414</v>
      </c>
      <c r="AC92" s="17" t="s">
        <v>415</v>
      </c>
      <c r="AD92" s="17"/>
      <c r="AE92" s="17"/>
      <c r="AF92" s="17"/>
      <c r="AG92" s="18"/>
    </row>
    <row r="93" ht="14.25" customHeight="1">
      <c r="A93" s="9" t="s">
        <v>330</v>
      </c>
      <c r="B93" s="9" t="s">
        <v>370</v>
      </c>
      <c r="C93" s="9"/>
      <c r="D93" s="10"/>
      <c r="E93" s="20"/>
      <c r="F93" s="9" t="s">
        <v>416</v>
      </c>
      <c r="G93" s="12" t="s">
        <v>417</v>
      </c>
      <c r="H93" s="12"/>
      <c r="I93" s="10"/>
      <c r="J93" s="10"/>
      <c r="K93" s="10"/>
      <c r="L93" s="10"/>
      <c r="M93" s="10"/>
      <c r="N93" s="10" t="s">
        <v>40</v>
      </c>
      <c r="O93" s="10">
        <v>0.23</v>
      </c>
      <c r="P93" s="10" t="s">
        <v>335</v>
      </c>
      <c r="Q93" s="10" t="s">
        <v>418</v>
      </c>
      <c r="R93" s="16">
        <v>1.0</v>
      </c>
      <c r="S93" s="16" t="s">
        <v>355</v>
      </c>
      <c r="T93" s="16"/>
      <c r="U93" s="16"/>
      <c r="V93" s="16"/>
      <c r="W93" s="16"/>
      <c r="X93" s="16"/>
      <c r="Y93" s="16"/>
      <c r="Z93" s="16"/>
      <c r="AA93" s="10"/>
      <c r="AB93" s="17" t="s">
        <v>419</v>
      </c>
      <c r="AC93" s="17" t="s">
        <v>420</v>
      </c>
      <c r="AD93" s="17"/>
      <c r="AE93" s="17"/>
      <c r="AF93" s="17"/>
      <c r="AG93" s="18"/>
    </row>
    <row r="94" ht="14.25" customHeight="1">
      <c r="A94" s="9" t="s">
        <v>330</v>
      </c>
      <c r="B94" s="9" t="s">
        <v>370</v>
      </c>
      <c r="C94" s="9"/>
      <c r="D94" s="10"/>
      <c r="E94" s="20"/>
      <c r="F94" s="9" t="s">
        <v>421</v>
      </c>
      <c r="G94" s="12" t="s">
        <v>422</v>
      </c>
      <c r="H94" s="12"/>
      <c r="I94" s="10"/>
      <c r="J94" s="10"/>
      <c r="K94" s="10"/>
      <c r="L94" s="10"/>
      <c r="M94" s="10"/>
      <c r="N94" s="10" t="s">
        <v>40</v>
      </c>
      <c r="O94" s="10">
        <v>0.23</v>
      </c>
      <c r="P94" s="10" t="s">
        <v>335</v>
      </c>
      <c r="Q94" s="10" t="s">
        <v>423</v>
      </c>
      <c r="R94" s="16">
        <v>1.0</v>
      </c>
      <c r="S94" s="16" t="s">
        <v>355</v>
      </c>
      <c r="T94" s="16"/>
      <c r="U94" s="16"/>
      <c r="V94" s="16"/>
      <c r="W94" s="16"/>
      <c r="X94" s="16"/>
      <c r="Y94" s="16"/>
      <c r="Z94" s="16"/>
      <c r="AA94" s="10"/>
      <c r="AB94" s="17" t="s">
        <v>424</v>
      </c>
      <c r="AC94" s="17" t="s">
        <v>425</v>
      </c>
      <c r="AD94" s="17"/>
      <c r="AE94" s="17"/>
      <c r="AF94" s="17"/>
      <c r="AG94" s="18"/>
    </row>
    <row r="95" ht="14.25" customHeight="1">
      <c r="A95" s="9" t="s">
        <v>426</v>
      </c>
      <c r="B95" s="9" t="s">
        <v>427</v>
      </c>
      <c r="C95" s="9" t="s">
        <v>351</v>
      </c>
      <c r="D95" s="10"/>
      <c r="E95" s="20"/>
      <c r="F95" s="9" t="s">
        <v>428</v>
      </c>
      <c r="G95" s="12" t="s">
        <v>429</v>
      </c>
      <c r="H95" s="12"/>
      <c r="I95" s="10"/>
      <c r="J95" s="10"/>
      <c r="K95" s="10"/>
      <c r="L95" s="10"/>
      <c r="M95" s="10"/>
      <c r="N95" s="10" t="s">
        <v>40</v>
      </c>
      <c r="O95" s="10">
        <v>13.1</v>
      </c>
      <c r="P95" s="10" t="s">
        <v>335</v>
      </c>
      <c r="Q95" s="10" t="s">
        <v>430</v>
      </c>
      <c r="R95" s="16">
        <v>1.0</v>
      </c>
      <c r="S95" s="16" t="s">
        <v>355</v>
      </c>
      <c r="T95" s="16"/>
      <c r="U95" s="16"/>
      <c r="V95" s="16">
        <v>480.0</v>
      </c>
      <c r="W95" s="16" t="s">
        <v>431</v>
      </c>
      <c r="X95" s="16"/>
      <c r="Y95" s="16"/>
      <c r="Z95" s="16"/>
      <c r="AA95" s="10"/>
      <c r="AB95" s="17" t="s">
        <v>432</v>
      </c>
      <c r="AC95" s="17" t="s">
        <v>433</v>
      </c>
      <c r="AD95" s="17"/>
      <c r="AE95" s="17"/>
      <c r="AF95" s="17"/>
      <c r="AG95" s="18"/>
    </row>
    <row r="96" ht="14.25" customHeight="1">
      <c r="A96" s="9" t="s">
        <v>426</v>
      </c>
      <c r="B96" s="9" t="s">
        <v>427</v>
      </c>
      <c r="C96" s="9" t="s">
        <v>332</v>
      </c>
      <c r="D96" s="10"/>
      <c r="E96" s="20"/>
      <c r="F96" s="9" t="s">
        <v>434</v>
      </c>
      <c r="G96" s="12" t="s">
        <v>435</v>
      </c>
      <c r="H96" s="12"/>
      <c r="I96" s="10"/>
      <c r="J96" s="10"/>
      <c r="K96" s="10"/>
      <c r="L96" s="10"/>
      <c r="M96" s="10"/>
      <c r="N96" s="10" t="s">
        <v>40</v>
      </c>
      <c r="O96" s="10">
        <v>6.9</v>
      </c>
      <c r="P96" s="10" t="s">
        <v>335</v>
      </c>
      <c r="Q96" s="10" t="s">
        <v>436</v>
      </c>
      <c r="R96" s="16">
        <v>1.0</v>
      </c>
      <c r="S96" s="16" t="s">
        <v>355</v>
      </c>
      <c r="T96" s="16"/>
      <c r="U96" s="16"/>
      <c r="V96" s="16">
        <v>480.0</v>
      </c>
      <c r="W96" s="16" t="s">
        <v>431</v>
      </c>
      <c r="X96" s="16"/>
      <c r="Y96" s="16"/>
      <c r="Z96" s="16"/>
      <c r="AA96" s="10"/>
      <c r="AB96" s="17" t="s">
        <v>437</v>
      </c>
      <c r="AC96" s="17" t="s">
        <v>438</v>
      </c>
      <c r="AD96" s="17"/>
      <c r="AE96" s="17"/>
      <c r="AF96" s="17"/>
      <c r="AG96" s="18"/>
    </row>
    <row r="97" ht="14.25" customHeight="1">
      <c r="A97" s="9" t="s">
        <v>426</v>
      </c>
      <c r="B97" s="9" t="s">
        <v>427</v>
      </c>
      <c r="C97" s="9" t="s">
        <v>351</v>
      </c>
      <c r="D97" s="10"/>
      <c r="E97" s="20"/>
      <c r="F97" s="9" t="s">
        <v>439</v>
      </c>
      <c r="G97" s="12" t="s">
        <v>440</v>
      </c>
      <c r="H97" s="12"/>
      <c r="I97" s="10"/>
      <c r="J97" s="10"/>
      <c r="K97" s="10"/>
      <c r="L97" s="10"/>
      <c r="M97" s="10"/>
      <c r="N97" s="10" t="s">
        <v>40</v>
      </c>
      <c r="O97" s="10">
        <v>18.0</v>
      </c>
      <c r="P97" s="10" t="s">
        <v>335</v>
      </c>
      <c r="Q97" s="10" t="s">
        <v>441</v>
      </c>
      <c r="R97" s="16">
        <v>1.0</v>
      </c>
      <c r="S97" s="16" t="s">
        <v>355</v>
      </c>
      <c r="T97" s="16"/>
      <c r="U97" s="16"/>
      <c r="V97" s="16">
        <v>480.0</v>
      </c>
      <c r="W97" s="16" t="s">
        <v>431</v>
      </c>
      <c r="X97" s="16"/>
      <c r="Y97" s="16"/>
      <c r="Z97" s="16"/>
      <c r="AA97" s="10"/>
      <c r="AB97" s="17" t="s">
        <v>442</v>
      </c>
      <c r="AC97" s="17" t="s">
        <v>443</v>
      </c>
      <c r="AD97" s="17"/>
      <c r="AE97" s="17"/>
      <c r="AF97" s="17"/>
      <c r="AG97" s="18"/>
    </row>
    <row r="98" ht="14.25" customHeight="1">
      <c r="A98" s="9" t="s">
        <v>444</v>
      </c>
      <c r="B98" s="9" t="s">
        <v>445</v>
      </c>
      <c r="C98" s="9"/>
      <c r="D98" s="10"/>
      <c r="E98" s="20"/>
      <c r="F98" s="9" t="s">
        <v>446</v>
      </c>
      <c r="G98" s="12" t="s">
        <v>447</v>
      </c>
      <c r="H98" s="12"/>
      <c r="I98" s="10"/>
      <c r="J98" s="10"/>
      <c r="K98" s="10"/>
      <c r="L98" s="10"/>
      <c r="M98" s="10"/>
      <c r="N98" s="10" t="s">
        <v>40</v>
      </c>
      <c r="O98" s="10">
        <v>337.0</v>
      </c>
      <c r="P98" s="10" t="s">
        <v>335</v>
      </c>
      <c r="Q98" s="10" t="s">
        <v>448</v>
      </c>
      <c r="R98" s="16"/>
      <c r="S98" s="16"/>
      <c r="T98" s="16"/>
      <c r="U98" s="16"/>
      <c r="V98" s="16"/>
      <c r="W98" s="16"/>
      <c r="X98" s="16"/>
      <c r="Y98" s="16"/>
      <c r="Z98" s="16"/>
      <c r="AA98" s="10"/>
      <c r="AB98" s="17" t="s">
        <v>449</v>
      </c>
      <c r="AC98" s="17" t="s">
        <v>450</v>
      </c>
      <c r="AD98" s="17"/>
      <c r="AE98" s="17"/>
      <c r="AF98" s="17"/>
      <c r="AG98" s="18"/>
    </row>
    <row r="99" ht="14.25" customHeight="1">
      <c r="A99" s="34" t="s">
        <v>444</v>
      </c>
      <c r="B99" s="34" t="s">
        <v>445</v>
      </c>
      <c r="C99" s="34"/>
      <c r="D99" s="35"/>
      <c r="E99" s="20"/>
      <c r="F99" s="36" t="s">
        <v>451</v>
      </c>
      <c r="G99" s="37" t="s">
        <v>452</v>
      </c>
      <c r="H99" s="37"/>
      <c r="I99" s="10"/>
      <c r="J99" s="10"/>
      <c r="K99" s="10"/>
      <c r="L99" s="10"/>
      <c r="M99" s="35"/>
      <c r="N99" s="35" t="s">
        <v>40</v>
      </c>
      <c r="O99" s="35">
        <v>2.46</v>
      </c>
      <c r="P99" s="35" t="s">
        <v>335</v>
      </c>
      <c r="Q99" s="38" t="s">
        <v>453</v>
      </c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7" t="s">
        <v>452</v>
      </c>
      <c r="AC99" s="39" t="s">
        <v>454</v>
      </c>
      <c r="AD99" s="39"/>
      <c r="AE99" s="39"/>
      <c r="AF99" s="39"/>
      <c r="AG99" s="18"/>
    </row>
    <row r="100" ht="14.25" customHeight="1">
      <c r="A100" s="34" t="s">
        <v>444</v>
      </c>
      <c r="B100" s="34" t="s">
        <v>445</v>
      </c>
      <c r="C100" s="34"/>
      <c r="D100" s="35"/>
      <c r="E100" s="20"/>
      <c r="F100" s="36" t="s">
        <v>455</v>
      </c>
      <c r="G100" s="37" t="s">
        <v>456</v>
      </c>
      <c r="H100" s="37"/>
      <c r="I100" s="10"/>
      <c r="J100" s="10"/>
      <c r="K100" s="10"/>
      <c r="L100" s="10"/>
      <c r="M100" s="35"/>
      <c r="N100" s="35" t="s">
        <v>40</v>
      </c>
      <c r="O100" s="35">
        <v>2.46</v>
      </c>
      <c r="P100" s="35" t="s">
        <v>335</v>
      </c>
      <c r="Q100" s="38" t="s">
        <v>457</v>
      </c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7" t="s">
        <v>452</v>
      </c>
      <c r="AC100" s="39" t="s">
        <v>454</v>
      </c>
      <c r="AD100" s="39"/>
      <c r="AE100" s="39"/>
      <c r="AF100" s="39"/>
      <c r="AG100" s="18"/>
    </row>
    <row r="101" ht="14.25" customHeight="1">
      <c r="A101" s="34" t="s">
        <v>426</v>
      </c>
      <c r="B101" s="34" t="s">
        <v>458</v>
      </c>
      <c r="C101" s="34" t="s">
        <v>351</v>
      </c>
      <c r="D101" s="35"/>
      <c r="E101" s="20"/>
      <c r="F101" s="36" t="s">
        <v>459</v>
      </c>
      <c r="G101" s="37" t="s">
        <v>460</v>
      </c>
      <c r="H101" s="37"/>
      <c r="I101" s="10"/>
      <c r="J101" s="10"/>
      <c r="K101" s="10"/>
      <c r="L101" s="10"/>
      <c r="M101" s="35"/>
      <c r="N101" s="35" t="s">
        <v>40</v>
      </c>
      <c r="O101" s="35">
        <v>2.65</v>
      </c>
      <c r="P101" s="35" t="s">
        <v>335</v>
      </c>
      <c r="Q101" s="38" t="s">
        <v>461</v>
      </c>
      <c r="R101" s="35">
        <v>100.0</v>
      </c>
      <c r="S101" s="35"/>
      <c r="T101" s="35"/>
      <c r="U101" s="35"/>
      <c r="V101" s="35"/>
      <c r="W101" s="35"/>
      <c r="X101" s="35"/>
      <c r="Y101" s="35"/>
      <c r="Z101" s="35"/>
      <c r="AA101" s="35"/>
      <c r="AB101" s="37" t="s">
        <v>462</v>
      </c>
      <c r="AC101" s="39" t="s">
        <v>463</v>
      </c>
      <c r="AD101" s="39"/>
      <c r="AE101" s="39"/>
      <c r="AF101" s="39"/>
      <c r="AG101" s="18"/>
    </row>
    <row r="102" ht="14.25" customHeight="1">
      <c r="A102" s="34" t="s">
        <v>426</v>
      </c>
      <c r="B102" s="34" t="s">
        <v>458</v>
      </c>
      <c r="C102" s="34" t="s">
        <v>351</v>
      </c>
      <c r="D102" s="35"/>
      <c r="E102" s="20"/>
      <c r="F102" s="36" t="s">
        <v>464</v>
      </c>
      <c r="G102" s="37" t="s">
        <v>465</v>
      </c>
      <c r="H102" s="37"/>
      <c r="I102" s="10"/>
      <c r="J102" s="10"/>
      <c r="K102" s="10"/>
      <c r="L102" s="10"/>
      <c r="M102" s="35"/>
      <c r="N102" s="35" t="s">
        <v>40</v>
      </c>
      <c r="O102" s="35">
        <v>2.65</v>
      </c>
      <c r="P102" s="35" t="s">
        <v>335</v>
      </c>
      <c r="Q102" s="38" t="s">
        <v>466</v>
      </c>
      <c r="R102" s="35">
        <v>100.0</v>
      </c>
      <c r="S102" s="35"/>
      <c r="T102" s="35"/>
      <c r="U102" s="35"/>
      <c r="V102" s="35"/>
      <c r="W102" s="35"/>
      <c r="X102" s="35"/>
      <c r="Y102" s="35"/>
      <c r="Z102" s="35"/>
      <c r="AA102" s="35"/>
      <c r="AB102" s="37" t="s">
        <v>467</v>
      </c>
      <c r="AC102" s="39" t="s">
        <v>468</v>
      </c>
      <c r="AD102" s="39"/>
      <c r="AE102" s="39"/>
      <c r="AF102" s="39"/>
      <c r="AG102" s="18"/>
    </row>
    <row r="103" ht="14.25" customHeight="1">
      <c r="A103" s="34" t="s">
        <v>426</v>
      </c>
      <c r="B103" s="34" t="s">
        <v>458</v>
      </c>
      <c r="C103" s="34" t="s">
        <v>332</v>
      </c>
      <c r="D103" s="35"/>
      <c r="E103" s="20"/>
      <c r="F103" s="36" t="s">
        <v>469</v>
      </c>
      <c r="G103" s="37" t="s">
        <v>470</v>
      </c>
      <c r="H103" s="37"/>
      <c r="I103" s="10"/>
      <c r="J103" s="10"/>
      <c r="K103" s="10"/>
      <c r="L103" s="10"/>
      <c r="M103" s="35"/>
      <c r="N103" s="35" t="s">
        <v>40</v>
      </c>
      <c r="O103" s="35">
        <v>228.0</v>
      </c>
      <c r="P103" s="35" t="s">
        <v>335</v>
      </c>
      <c r="Q103" s="38" t="s">
        <v>471</v>
      </c>
      <c r="R103" s="35">
        <v>100.0</v>
      </c>
      <c r="S103" s="35"/>
      <c r="T103" s="35"/>
      <c r="U103" s="35"/>
      <c r="V103" s="35"/>
      <c r="W103" s="35"/>
      <c r="X103" s="35"/>
      <c r="Y103" s="35"/>
      <c r="Z103" s="35"/>
      <c r="AA103" s="35"/>
      <c r="AB103" s="37" t="s">
        <v>472</v>
      </c>
      <c r="AC103" s="39" t="s">
        <v>473</v>
      </c>
      <c r="AD103" s="39"/>
      <c r="AE103" s="39"/>
      <c r="AF103" s="39"/>
      <c r="AG103" s="18"/>
    </row>
    <row r="104" ht="14.25" customHeight="1">
      <c r="A104" s="34" t="s">
        <v>474</v>
      </c>
      <c r="B104" s="34" t="s">
        <v>475</v>
      </c>
      <c r="C104" s="34"/>
      <c r="D104" s="35"/>
      <c r="E104" s="20"/>
      <c r="F104" s="36" t="s">
        <v>476</v>
      </c>
      <c r="G104" s="37" t="s">
        <v>477</v>
      </c>
      <c r="H104" s="37"/>
      <c r="I104" s="10"/>
      <c r="J104" s="10"/>
      <c r="K104" s="10"/>
      <c r="L104" s="10"/>
      <c r="M104" s="35"/>
      <c r="N104" s="35" t="s">
        <v>40</v>
      </c>
      <c r="O104" s="35">
        <v>1.5</v>
      </c>
      <c r="P104" s="35" t="s">
        <v>335</v>
      </c>
      <c r="Q104" s="38" t="s">
        <v>478</v>
      </c>
      <c r="R104" s="35">
        <v>1.0</v>
      </c>
      <c r="S104" s="35" t="s">
        <v>479</v>
      </c>
      <c r="T104" s="35">
        <v>100.0</v>
      </c>
      <c r="U104" s="35" t="s">
        <v>480</v>
      </c>
      <c r="V104" s="35">
        <v>400.0</v>
      </c>
      <c r="W104" s="35" t="s">
        <v>481</v>
      </c>
      <c r="X104" s="35">
        <v>3200.0</v>
      </c>
      <c r="Y104" s="35"/>
      <c r="Z104" s="35" t="s">
        <v>45</v>
      </c>
      <c r="AA104" s="35"/>
      <c r="AB104" s="37"/>
      <c r="AC104" s="39"/>
      <c r="AD104" s="39"/>
      <c r="AE104" s="39"/>
      <c r="AF104" s="39" t="str">
        <f t="shared" ref="AF104:AF110" si="16">VLOOKUP(F104,'[1]UKN UID-DOP-Marking'!$H$3:$L$394,5,FALSE)</f>
        <v>#REF!</v>
      </c>
      <c r="AG104" s="18"/>
    </row>
    <row r="105" ht="14.25" customHeight="1">
      <c r="A105" s="9" t="s">
        <v>474</v>
      </c>
      <c r="B105" s="9" t="s">
        <v>475</v>
      </c>
      <c r="C105" s="9"/>
      <c r="D105" s="10"/>
      <c r="E105" s="20"/>
      <c r="F105" s="9" t="s">
        <v>482</v>
      </c>
      <c r="G105" s="12" t="s">
        <v>483</v>
      </c>
      <c r="H105" s="12"/>
      <c r="I105" s="10"/>
      <c r="J105" s="10"/>
      <c r="K105" s="10"/>
      <c r="L105" s="10"/>
      <c r="M105" s="10"/>
      <c r="N105" s="10" t="s">
        <v>40</v>
      </c>
      <c r="O105" s="10">
        <v>2.0</v>
      </c>
      <c r="P105" s="10" t="s">
        <v>335</v>
      </c>
      <c r="Q105" s="10" t="s">
        <v>484</v>
      </c>
      <c r="R105" s="16">
        <v>1.0</v>
      </c>
      <c r="S105" s="16" t="s">
        <v>479</v>
      </c>
      <c r="T105" s="16">
        <v>80.0</v>
      </c>
      <c r="U105" s="16" t="s">
        <v>480</v>
      </c>
      <c r="V105" s="16">
        <v>320.0</v>
      </c>
      <c r="W105" s="16" t="s">
        <v>481</v>
      </c>
      <c r="X105" s="16">
        <v>2560.0</v>
      </c>
      <c r="Y105" s="16"/>
      <c r="Z105" s="16" t="s">
        <v>45</v>
      </c>
      <c r="AA105" s="10"/>
      <c r="AB105" s="17" t="s">
        <v>483</v>
      </c>
      <c r="AC105" s="17" t="s">
        <v>485</v>
      </c>
      <c r="AD105" s="17"/>
      <c r="AE105" s="17"/>
      <c r="AF105" s="17" t="str">
        <f t="shared" si="16"/>
        <v>#REF!</v>
      </c>
      <c r="AG105" s="18"/>
    </row>
    <row r="106" ht="14.25" customHeight="1">
      <c r="A106" s="9" t="s">
        <v>474</v>
      </c>
      <c r="B106" s="9" t="s">
        <v>475</v>
      </c>
      <c r="C106" s="9"/>
      <c r="D106" s="10"/>
      <c r="E106" s="20"/>
      <c r="F106" s="9" t="s">
        <v>486</v>
      </c>
      <c r="G106" s="12" t="s">
        <v>487</v>
      </c>
      <c r="H106" s="12"/>
      <c r="I106" s="10"/>
      <c r="J106" s="10"/>
      <c r="K106" s="10"/>
      <c r="L106" s="10"/>
      <c r="M106" s="10"/>
      <c r="N106" s="10" t="s">
        <v>40</v>
      </c>
      <c r="O106" s="10">
        <v>4.0</v>
      </c>
      <c r="P106" s="10" t="s">
        <v>335</v>
      </c>
      <c r="Q106" s="10" t="s">
        <v>488</v>
      </c>
      <c r="R106" s="16">
        <v>1.0</v>
      </c>
      <c r="S106" s="16" t="s">
        <v>479</v>
      </c>
      <c r="T106" s="16">
        <v>60.0</v>
      </c>
      <c r="U106" s="16" t="s">
        <v>480</v>
      </c>
      <c r="V106" s="16">
        <v>240.0</v>
      </c>
      <c r="W106" s="16" t="s">
        <v>481</v>
      </c>
      <c r="X106" s="16">
        <v>1920.0</v>
      </c>
      <c r="Y106" s="16"/>
      <c r="Z106" s="16" t="s">
        <v>45</v>
      </c>
      <c r="AA106" s="10"/>
      <c r="AB106" s="17"/>
      <c r="AC106" s="17"/>
      <c r="AD106" s="17"/>
      <c r="AE106" s="17"/>
      <c r="AF106" s="17" t="str">
        <f t="shared" si="16"/>
        <v>#REF!</v>
      </c>
      <c r="AG106" s="18"/>
    </row>
    <row r="107" ht="14.25" customHeight="1">
      <c r="A107" s="9" t="s">
        <v>474</v>
      </c>
      <c r="B107" s="9" t="s">
        <v>475</v>
      </c>
      <c r="C107" s="9"/>
      <c r="D107" s="10"/>
      <c r="E107" s="20"/>
      <c r="F107" s="9" t="s">
        <v>489</v>
      </c>
      <c r="G107" s="12" t="s">
        <v>490</v>
      </c>
      <c r="H107" s="12"/>
      <c r="I107" s="10"/>
      <c r="J107" s="10"/>
      <c r="K107" s="10"/>
      <c r="L107" s="10"/>
      <c r="M107" s="10"/>
      <c r="N107" s="10" t="s">
        <v>40</v>
      </c>
      <c r="O107" s="10">
        <v>8.0</v>
      </c>
      <c r="P107" s="10" t="s">
        <v>335</v>
      </c>
      <c r="Q107" s="10" t="s">
        <v>491</v>
      </c>
      <c r="R107" s="16">
        <v>1.0</v>
      </c>
      <c r="S107" s="16" t="s">
        <v>479</v>
      </c>
      <c r="T107" s="16">
        <v>40.0</v>
      </c>
      <c r="U107" s="16" t="s">
        <v>480</v>
      </c>
      <c r="V107" s="16">
        <v>160.0</v>
      </c>
      <c r="W107" s="16" t="s">
        <v>481</v>
      </c>
      <c r="X107" s="16">
        <v>1280.0</v>
      </c>
      <c r="Y107" s="16"/>
      <c r="Z107" s="16" t="s">
        <v>45</v>
      </c>
      <c r="AA107" s="10"/>
      <c r="AB107" s="17"/>
      <c r="AC107" s="17"/>
      <c r="AD107" s="17"/>
      <c r="AE107" s="17"/>
      <c r="AF107" s="17" t="str">
        <f t="shared" si="16"/>
        <v>#REF!</v>
      </c>
      <c r="AG107" s="18"/>
    </row>
    <row r="108" ht="14.25" customHeight="1">
      <c r="A108" s="9" t="s">
        <v>474</v>
      </c>
      <c r="B108" s="9" t="s">
        <v>475</v>
      </c>
      <c r="C108" s="9"/>
      <c r="D108" s="10"/>
      <c r="E108" s="20"/>
      <c r="F108" s="9" t="s">
        <v>492</v>
      </c>
      <c r="G108" s="12" t="s">
        <v>493</v>
      </c>
      <c r="H108" s="12"/>
      <c r="I108" s="10"/>
      <c r="J108" s="10"/>
      <c r="K108" s="10"/>
      <c r="L108" s="10"/>
      <c r="M108" s="10"/>
      <c r="N108" s="10" t="s">
        <v>40</v>
      </c>
      <c r="O108" s="10">
        <v>10.0</v>
      </c>
      <c r="P108" s="10" t="s">
        <v>335</v>
      </c>
      <c r="Q108" s="10" t="s">
        <v>494</v>
      </c>
      <c r="R108" s="16">
        <v>1.0</v>
      </c>
      <c r="S108" s="16" t="s">
        <v>479</v>
      </c>
      <c r="T108" s="16">
        <v>30.0</v>
      </c>
      <c r="U108" s="16" t="s">
        <v>480</v>
      </c>
      <c r="V108" s="16">
        <v>120.0</v>
      </c>
      <c r="W108" s="16" t="s">
        <v>481</v>
      </c>
      <c r="X108" s="16">
        <v>960.0</v>
      </c>
      <c r="Y108" s="16"/>
      <c r="Z108" s="16" t="s">
        <v>45</v>
      </c>
      <c r="AA108" s="10"/>
      <c r="AB108" s="17"/>
      <c r="AC108" s="17"/>
      <c r="AD108" s="17"/>
      <c r="AE108" s="17"/>
      <c r="AF108" s="17" t="str">
        <f t="shared" si="16"/>
        <v>#REF!</v>
      </c>
      <c r="AG108" s="18"/>
    </row>
    <row r="109" ht="14.25" customHeight="1">
      <c r="A109" s="9" t="s">
        <v>474</v>
      </c>
      <c r="B109" s="9" t="s">
        <v>475</v>
      </c>
      <c r="C109" s="9"/>
      <c r="D109" s="10"/>
      <c r="E109" s="20"/>
      <c r="F109" s="9" t="s">
        <v>495</v>
      </c>
      <c r="G109" s="12" t="s">
        <v>496</v>
      </c>
      <c r="H109" s="12"/>
      <c r="I109" s="10"/>
      <c r="J109" s="10"/>
      <c r="K109" s="10"/>
      <c r="L109" s="10"/>
      <c r="M109" s="10"/>
      <c r="N109" s="10" t="s">
        <v>40</v>
      </c>
      <c r="O109" s="10">
        <v>15.0</v>
      </c>
      <c r="P109" s="10" t="s">
        <v>335</v>
      </c>
      <c r="Q109" s="10" t="s">
        <v>497</v>
      </c>
      <c r="R109" s="16">
        <v>1.0</v>
      </c>
      <c r="S109" s="16" t="s">
        <v>498</v>
      </c>
      <c r="T109" s="16">
        <v>20.0</v>
      </c>
      <c r="U109" s="16" t="s">
        <v>480</v>
      </c>
      <c r="V109" s="16">
        <v>80.0</v>
      </c>
      <c r="W109" s="16" t="s">
        <v>481</v>
      </c>
      <c r="X109" s="16">
        <v>640.0</v>
      </c>
      <c r="Y109" s="16"/>
      <c r="Z109" s="16" t="s">
        <v>45</v>
      </c>
      <c r="AA109" s="10"/>
      <c r="AB109" s="17"/>
      <c r="AC109" s="17"/>
      <c r="AD109" s="17"/>
      <c r="AE109" s="17"/>
      <c r="AF109" s="17" t="str">
        <f t="shared" si="16"/>
        <v>#REF!</v>
      </c>
      <c r="AG109" s="18"/>
    </row>
    <row r="110" ht="14.25" customHeight="1">
      <c r="A110" s="9" t="s">
        <v>474</v>
      </c>
      <c r="B110" s="9" t="s">
        <v>475</v>
      </c>
      <c r="C110" s="9"/>
      <c r="D110" s="10"/>
      <c r="E110" s="20"/>
      <c r="F110" s="9" t="s">
        <v>499</v>
      </c>
      <c r="G110" s="12" t="s">
        <v>500</v>
      </c>
      <c r="H110" s="12"/>
      <c r="I110" s="10"/>
      <c r="J110" s="10"/>
      <c r="K110" s="10"/>
      <c r="L110" s="10"/>
      <c r="M110" s="10"/>
      <c r="N110" s="10" t="s">
        <v>40</v>
      </c>
      <c r="O110" s="10">
        <v>20.0</v>
      </c>
      <c r="P110" s="10" t="s">
        <v>335</v>
      </c>
      <c r="Q110" s="10" t="s">
        <v>501</v>
      </c>
      <c r="R110" s="16">
        <v>1.0</v>
      </c>
      <c r="S110" s="16" t="s">
        <v>498</v>
      </c>
      <c r="T110" s="16">
        <v>15.0</v>
      </c>
      <c r="U110" s="16" t="s">
        <v>480</v>
      </c>
      <c r="V110" s="16">
        <v>60.0</v>
      </c>
      <c r="W110" s="16" t="s">
        <v>481</v>
      </c>
      <c r="X110" s="16">
        <v>480.0</v>
      </c>
      <c r="Y110" s="16"/>
      <c r="Z110" s="16" t="s">
        <v>45</v>
      </c>
      <c r="AA110" s="10"/>
      <c r="AB110" s="17" t="s">
        <v>500</v>
      </c>
      <c r="AC110" s="17" t="s">
        <v>502</v>
      </c>
      <c r="AD110" s="17"/>
      <c r="AE110" s="17"/>
      <c r="AF110" s="17" t="str">
        <f t="shared" si="16"/>
        <v>#REF!</v>
      </c>
      <c r="AG110" s="18"/>
    </row>
    <row r="111" ht="14.25" customHeight="1">
      <c r="A111" s="9"/>
      <c r="B111" s="9"/>
      <c r="C111" s="9"/>
      <c r="D111" s="10"/>
      <c r="E111" s="20"/>
      <c r="F111" s="9" t="s">
        <v>503</v>
      </c>
      <c r="G111" s="12" t="s">
        <v>504</v>
      </c>
      <c r="H111" s="12"/>
      <c r="I111" s="10"/>
      <c r="J111" s="10"/>
      <c r="K111" s="10"/>
      <c r="L111" s="10"/>
      <c r="M111" s="10"/>
      <c r="N111" s="10" t="s">
        <v>40</v>
      </c>
      <c r="O111" s="10">
        <v>448.11</v>
      </c>
      <c r="P111" s="10" t="s">
        <v>335</v>
      </c>
      <c r="Q111" s="10" t="s">
        <v>505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0"/>
      <c r="AB111" s="17" t="s">
        <v>504</v>
      </c>
      <c r="AC111" s="17" t="s">
        <v>506</v>
      </c>
      <c r="AD111" s="17"/>
      <c r="AE111" s="17"/>
      <c r="AF111" s="17"/>
      <c r="AG111" s="18"/>
    </row>
    <row r="112" ht="14.25" customHeight="1">
      <c r="A112" s="9"/>
      <c r="B112" s="9"/>
      <c r="C112" s="9"/>
      <c r="D112" s="10"/>
      <c r="E112" s="20"/>
      <c r="F112" s="9" t="s">
        <v>507</v>
      </c>
      <c r="G112" s="12" t="s">
        <v>508</v>
      </c>
      <c r="H112" s="12"/>
      <c r="I112" s="10"/>
      <c r="J112" s="10"/>
      <c r="K112" s="10"/>
      <c r="L112" s="10"/>
      <c r="M112" s="10"/>
      <c r="N112" s="10" t="s">
        <v>40</v>
      </c>
      <c r="O112" s="10">
        <v>736.06</v>
      </c>
      <c r="P112" s="10" t="s">
        <v>335</v>
      </c>
      <c r="Q112" s="10" t="s">
        <v>509</v>
      </c>
      <c r="R112" s="16"/>
      <c r="S112" s="16"/>
      <c r="T112" s="16"/>
      <c r="U112" s="16"/>
      <c r="V112" s="16"/>
      <c r="W112" s="16"/>
      <c r="X112" s="16"/>
      <c r="Y112" s="16"/>
      <c r="Z112" s="16"/>
      <c r="AA112" s="10"/>
      <c r="AB112" s="17" t="s">
        <v>508</v>
      </c>
      <c r="AC112" s="17" t="s">
        <v>510</v>
      </c>
      <c r="AD112" s="17"/>
      <c r="AE112" s="17"/>
      <c r="AF112" s="17"/>
      <c r="AG112" s="18"/>
    </row>
    <row r="113" ht="14.25" customHeight="1">
      <c r="A113" s="9" t="s">
        <v>474</v>
      </c>
      <c r="B113" s="9" t="s">
        <v>511</v>
      </c>
      <c r="C113" s="9"/>
      <c r="D113" s="10"/>
      <c r="E113" s="20"/>
      <c r="F113" s="9" t="s">
        <v>512</v>
      </c>
      <c r="G113" s="12" t="s">
        <v>513</v>
      </c>
      <c r="H113" s="12"/>
      <c r="I113" s="10"/>
      <c r="J113" s="10"/>
      <c r="K113" s="10"/>
      <c r="L113" s="10"/>
      <c r="M113" s="10"/>
      <c r="N113" s="10" t="s">
        <v>40</v>
      </c>
      <c r="O113" s="10">
        <v>1.5</v>
      </c>
      <c r="P113" s="10" t="s">
        <v>335</v>
      </c>
      <c r="Q113" s="10" t="s">
        <v>514</v>
      </c>
      <c r="R113" s="16">
        <v>1.0</v>
      </c>
      <c r="S113" s="16" t="s">
        <v>515</v>
      </c>
      <c r="T113" s="16">
        <v>150.0</v>
      </c>
      <c r="U113" s="16" t="s">
        <v>480</v>
      </c>
      <c r="V113" s="16">
        <v>600.0</v>
      </c>
      <c r="W113" s="16" t="s">
        <v>481</v>
      </c>
      <c r="X113" s="16">
        <v>4800.0</v>
      </c>
      <c r="Y113" s="16"/>
      <c r="Z113" s="16" t="s">
        <v>45</v>
      </c>
      <c r="AA113" s="10"/>
      <c r="AB113" s="17"/>
      <c r="AC113" s="17"/>
      <c r="AD113" s="17"/>
      <c r="AE113" s="17"/>
      <c r="AF113" s="17" t="str">
        <f t="shared" ref="AF113:AF120" si="17">VLOOKUP(F113,'[1]UKN UID-DOP-Marking'!$H$3:$L$394,5,FALSE)</f>
        <v>#REF!</v>
      </c>
      <c r="AG113" s="18"/>
    </row>
    <row r="114" ht="14.25" customHeight="1">
      <c r="A114" s="9" t="s">
        <v>474</v>
      </c>
      <c r="B114" s="9" t="s">
        <v>511</v>
      </c>
      <c r="C114" s="9"/>
      <c r="D114" s="10"/>
      <c r="E114" s="20"/>
      <c r="F114" s="9" t="s">
        <v>516</v>
      </c>
      <c r="G114" s="12" t="s">
        <v>517</v>
      </c>
      <c r="H114" s="12"/>
      <c r="I114" s="10"/>
      <c r="J114" s="10"/>
      <c r="K114" s="10"/>
      <c r="L114" s="10"/>
      <c r="M114" s="10"/>
      <c r="N114" s="10" t="s">
        <v>40</v>
      </c>
      <c r="O114" s="10">
        <v>2.0</v>
      </c>
      <c r="P114" s="10" t="s">
        <v>335</v>
      </c>
      <c r="Q114" s="10" t="s">
        <v>518</v>
      </c>
      <c r="R114" s="16">
        <v>1.0</v>
      </c>
      <c r="S114" s="16" t="s">
        <v>515</v>
      </c>
      <c r="T114" s="16">
        <v>150.0</v>
      </c>
      <c r="U114" s="16" t="s">
        <v>480</v>
      </c>
      <c r="V114" s="16">
        <v>600.0</v>
      </c>
      <c r="W114" s="16" t="s">
        <v>481</v>
      </c>
      <c r="X114" s="16">
        <v>4800.0</v>
      </c>
      <c r="Y114" s="16"/>
      <c r="Z114" s="16" t="s">
        <v>45</v>
      </c>
      <c r="AA114" s="10"/>
      <c r="AB114" s="17"/>
      <c r="AC114" s="17"/>
      <c r="AD114" s="17"/>
      <c r="AE114" s="17"/>
      <c r="AF114" s="17" t="str">
        <f t="shared" si="17"/>
        <v>#REF!</v>
      </c>
      <c r="AG114" s="18"/>
    </row>
    <row r="115" ht="14.25" customHeight="1">
      <c r="A115" s="9" t="s">
        <v>474</v>
      </c>
      <c r="B115" s="9" t="s">
        <v>511</v>
      </c>
      <c r="C115" s="9"/>
      <c r="D115" s="10"/>
      <c r="E115" s="20"/>
      <c r="F115" s="9" t="s">
        <v>519</v>
      </c>
      <c r="G115" s="12" t="s">
        <v>520</v>
      </c>
      <c r="H115" s="12"/>
      <c r="I115" s="10"/>
      <c r="J115" s="10"/>
      <c r="K115" s="10"/>
      <c r="L115" s="10"/>
      <c r="M115" s="10"/>
      <c r="N115" s="10" t="s">
        <v>40</v>
      </c>
      <c r="O115" s="10">
        <v>4.0</v>
      </c>
      <c r="P115" s="10" t="s">
        <v>335</v>
      </c>
      <c r="Q115" s="10" t="s">
        <v>521</v>
      </c>
      <c r="R115" s="16">
        <v>1.0</v>
      </c>
      <c r="S115" s="16" t="s">
        <v>515</v>
      </c>
      <c r="T115" s="16">
        <v>100.0</v>
      </c>
      <c r="U115" s="16" t="s">
        <v>480</v>
      </c>
      <c r="V115" s="16">
        <v>400.0</v>
      </c>
      <c r="W115" s="16" t="s">
        <v>481</v>
      </c>
      <c r="X115" s="16">
        <v>3200.0</v>
      </c>
      <c r="Y115" s="16"/>
      <c r="Z115" s="16" t="s">
        <v>45</v>
      </c>
      <c r="AA115" s="10"/>
      <c r="AB115" s="17"/>
      <c r="AC115" s="17"/>
      <c r="AD115" s="17"/>
      <c r="AE115" s="17"/>
      <c r="AF115" s="17" t="str">
        <f t="shared" si="17"/>
        <v>#REF!</v>
      </c>
      <c r="AG115" s="18"/>
    </row>
    <row r="116" ht="14.25" customHeight="1">
      <c r="A116" s="9" t="s">
        <v>474</v>
      </c>
      <c r="B116" s="9" t="s">
        <v>511</v>
      </c>
      <c r="C116" s="9"/>
      <c r="D116" s="10"/>
      <c r="E116" s="20"/>
      <c r="F116" s="9" t="s">
        <v>522</v>
      </c>
      <c r="G116" s="12" t="s">
        <v>523</v>
      </c>
      <c r="H116" s="12"/>
      <c r="I116" s="10"/>
      <c r="J116" s="10"/>
      <c r="K116" s="10"/>
      <c r="L116" s="10"/>
      <c r="M116" s="10"/>
      <c r="N116" s="10" t="s">
        <v>40</v>
      </c>
      <c r="O116" s="10">
        <v>8.0</v>
      </c>
      <c r="P116" s="10" t="s">
        <v>335</v>
      </c>
      <c r="Q116" s="10" t="s">
        <v>524</v>
      </c>
      <c r="R116" s="16">
        <v>1.0</v>
      </c>
      <c r="S116" s="16" t="s">
        <v>515</v>
      </c>
      <c r="T116" s="16">
        <v>70.0</v>
      </c>
      <c r="U116" s="16" t="s">
        <v>480</v>
      </c>
      <c r="V116" s="16">
        <v>280.0</v>
      </c>
      <c r="W116" s="16" t="s">
        <v>481</v>
      </c>
      <c r="X116" s="16">
        <v>2240.0</v>
      </c>
      <c r="Y116" s="16"/>
      <c r="Z116" s="16" t="s">
        <v>45</v>
      </c>
      <c r="AA116" s="10"/>
      <c r="AB116" s="17"/>
      <c r="AC116" s="17"/>
      <c r="AD116" s="17"/>
      <c r="AE116" s="17"/>
      <c r="AF116" s="17" t="str">
        <f t="shared" si="17"/>
        <v>#REF!</v>
      </c>
      <c r="AG116" s="18"/>
    </row>
    <row r="117" ht="14.25" customHeight="1">
      <c r="A117" s="9" t="s">
        <v>474</v>
      </c>
      <c r="B117" s="9" t="s">
        <v>511</v>
      </c>
      <c r="C117" s="9"/>
      <c r="D117" s="10"/>
      <c r="E117" s="20"/>
      <c r="F117" s="9" t="s">
        <v>525</v>
      </c>
      <c r="G117" s="12" t="s">
        <v>526</v>
      </c>
      <c r="H117" s="12"/>
      <c r="I117" s="10"/>
      <c r="J117" s="10"/>
      <c r="K117" s="10"/>
      <c r="L117" s="10"/>
      <c r="M117" s="10"/>
      <c r="N117" s="10" t="s">
        <v>40</v>
      </c>
      <c r="O117" s="10">
        <v>10.0</v>
      </c>
      <c r="P117" s="10" t="s">
        <v>335</v>
      </c>
      <c r="Q117" s="10" t="s">
        <v>527</v>
      </c>
      <c r="R117" s="16">
        <v>1.0</v>
      </c>
      <c r="S117" s="16" t="s">
        <v>515</v>
      </c>
      <c r="T117" s="16">
        <v>50.0</v>
      </c>
      <c r="U117" s="16" t="s">
        <v>480</v>
      </c>
      <c r="V117" s="16">
        <v>200.0</v>
      </c>
      <c r="W117" s="16" t="s">
        <v>481</v>
      </c>
      <c r="X117" s="16">
        <v>1600.0</v>
      </c>
      <c r="Y117" s="16"/>
      <c r="Z117" s="16" t="s">
        <v>45</v>
      </c>
      <c r="AA117" s="10"/>
      <c r="AB117" s="17"/>
      <c r="AC117" s="17"/>
      <c r="AD117" s="17"/>
      <c r="AE117" s="17"/>
      <c r="AF117" s="17" t="str">
        <f t="shared" si="17"/>
        <v>#REF!</v>
      </c>
      <c r="AG117" s="18"/>
    </row>
    <row r="118" ht="14.25" customHeight="1">
      <c r="A118" s="9" t="s">
        <v>474</v>
      </c>
      <c r="B118" s="9" t="s">
        <v>511</v>
      </c>
      <c r="C118" s="9"/>
      <c r="D118" s="10"/>
      <c r="E118" s="20"/>
      <c r="F118" s="9" t="s">
        <v>528</v>
      </c>
      <c r="G118" s="12" t="s">
        <v>529</v>
      </c>
      <c r="H118" s="12"/>
      <c r="I118" s="10"/>
      <c r="J118" s="10"/>
      <c r="K118" s="10"/>
      <c r="L118" s="10"/>
      <c r="M118" s="10"/>
      <c r="N118" s="10" t="s">
        <v>40</v>
      </c>
      <c r="O118" s="10">
        <v>15.0</v>
      </c>
      <c r="P118" s="10" t="s">
        <v>335</v>
      </c>
      <c r="Q118" s="10" t="s">
        <v>530</v>
      </c>
      <c r="R118" s="16">
        <v>1.0</v>
      </c>
      <c r="S118" s="16" t="s">
        <v>531</v>
      </c>
      <c r="T118" s="16">
        <v>30.0</v>
      </c>
      <c r="U118" s="16" t="s">
        <v>480</v>
      </c>
      <c r="V118" s="16">
        <v>120.0</v>
      </c>
      <c r="W118" s="16" t="s">
        <v>481</v>
      </c>
      <c r="X118" s="16">
        <v>960.0</v>
      </c>
      <c r="Y118" s="16"/>
      <c r="Z118" s="16" t="s">
        <v>45</v>
      </c>
      <c r="AA118" s="10"/>
      <c r="AB118" s="17"/>
      <c r="AC118" s="17"/>
      <c r="AD118" s="17"/>
      <c r="AE118" s="17"/>
      <c r="AF118" s="17" t="str">
        <f t="shared" si="17"/>
        <v>#REF!</v>
      </c>
      <c r="AG118" s="18"/>
    </row>
    <row r="119" ht="14.25" customHeight="1">
      <c r="A119" s="9" t="s">
        <v>474</v>
      </c>
      <c r="B119" s="9" t="s">
        <v>511</v>
      </c>
      <c r="C119" s="9"/>
      <c r="D119" s="10"/>
      <c r="E119" s="20"/>
      <c r="F119" s="9" t="s">
        <v>532</v>
      </c>
      <c r="G119" s="12" t="s">
        <v>533</v>
      </c>
      <c r="H119" s="12"/>
      <c r="I119" s="10"/>
      <c r="J119" s="10"/>
      <c r="K119" s="10"/>
      <c r="L119" s="10"/>
      <c r="M119" s="10"/>
      <c r="N119" s="10" t="s">
        <v>40</v>
      </c>
      <c r="O119" s="10">
        <v>20.0</v>
      </c>
      <c r="P119" s="10" t="s">
        <v>335</v>
      </c>
      <c r="Q119" s="10" t="s">
        <v>534</v>
      </c>
      <c r="R119" s="16">
        <v>1.0</v>
      </c>
      <c r="S119" s="16" t="s">
        <v>531</v>
      </c>
      <c r="T119" s="16">
        <v>20.0</v>
      </c>
      <c r="U119" s="16" t="s">
        <v>480</v>
      </c>
      <c r="V119" s="16">
        <v>80.0</v>
      </c>
      <c r="W119" s="16" t="s">
        <v>481</v>
      </c>
      <c r="X119" s="16">
        <v>640.0</v>
      </c>
      <c r="Y119" s="16"/>
      <c r="Z119" s="16" t="s">
        <v>45</v>
      </c>
      <c r="AA119" s="10"/>
      <c r="AB119" s="17"/>
      <c r="AC119" s="17"/>
      <c r="AD119" s="17"/>
      <c r="AE119" s="17"/>
      <c r="AF119" s="17" t="str">
        <f t="shared" si="17"/>
        <v>#REF!</v>
      </c>
      <c r="AG119" s="18"/>
    </row>
    <row r="120" ht="14.25" customHeight="1">
      <c r="A120" s="9" t="s">
        <v>474</v>
      </c>
      <c r="B120" s="9" t="s">
        <v>535</v>
      </c>
      <c r="C120" s="9"/>
      <c r="D120" s="10"/>
      <c r="E120" s="20"/>
      <c r="F120" s="9" t="s">
        <v>536</v>
      </c>
      <c r="G120" s="12" t="s">
        <v>537</v>
      </c>
      <c r="H120" s="12"/>
      <c r="I120" s="10"/>
      <c r="J120" s="10"/>
      <c r="K120" s="10"/>
      <c r="L120" s="10"/>
      <c r="M120" s="10"/>
      <c r="N120" s="10" t="s">
        <v>40</v>
      </c>
      <c r="O120" s="10">
        <v>35.5</v>
      </c>
      <c r="P120" s="10" t="s">
        <v>335</v>
      </c>
      <c r="Q120" s="10" t="s">
        <v>538</v>
      </c>
      <c r="R120" s="16">
        <v>1.0</v>
      </c>
      <c r="S120" s="16" t="s">
        <v>479</v>
      </c>
      <c r="T120" s="16">
        <v>80.0</v>
      </c>
      <c r="U120" s="16" t="s">
        <v>480</v>
      </c>
      <c r="V120" s="16">
        <v>320.0</v>
      </c>
      <c r="W120" s="16" t="s">
        <v>481</v>
      </c>
      <c r="X120" s="16">
        <v>2560.0</v>
      </c>
      <c r="Y120" s="16"/>
      <c r="Z120" s="16" t="s">
        <v>45</v>
      </c>
      <c r="AA120" s="10"/>
      <c r="AB120" s="17" t="s">
        <v>537</v>
      </c>
      <c r="AC120" s="17" t="s">
        <v>539</v>
      </c>
      <c r="AD120" s="17"/>
      <c r="AE120" s="17"/>
      <c r="AF120" s="17" t="str">
        <f t="shared" si="17"/>
        <v>#REF!</v>
      </c>
      <c r="AG120" s="18"/>
    </row>
    <row r="121" ht="14.25" customHeight="1">
      <c r="A121" s="9"/>
      <c r="B121" s="9"/>
      <c r="C121" s="9"/>
      <c r="D121" s="10"/>
      <c r="E121" s="20"/>
      <c r="F121" s="9" t="s">
        <v>540</v>
      </c>
      <c r="G121" s="12" t="s">
        <v>541</v>
      </c>
      <c r="H121" s="12"/>
      <c r="I121" s="10"/>
      <c r="J121" s="10"/>
      <c r="K121" s="10"/>
      <c r="L121" s="10"/>
      <c r="M121" s="10"/>
      <c r="N121" s="10" t="s">
        <v>40</v>
      </c>
      <c r="O121" s="10">
        <v>389.24</v>
      </c>
      <c r="P121" s="10" t="s">
        <v>335</v>
      </c>
      <c r="Q121" s="10" t="s">
        <v>542</v>
      </c>
      <c r="R121" s="16"/>
      <c r="S121" s="16"/>
      <c r="T121" s="16"/>
      <c r="U121" s="16"/>
      <c r="V121" s="16"/>
      <c r="W121" s="16"/>
      <c r="X121" s="16"/>
      <c r="Y121" s="16"/>
      <c r="Z121" s="16"/>
      <c r="AA121" s="10"/>
      <c r="AB121" s="17" t="s">
        <v>541</v>
      </c>
      <c r="AC121" s="17" t="s">
        <v>543</v>
      </c>
      <c r="AD121" s="17"/>
      <c r="AE121" s="17"/>
      <c r="AF121" s="17"/>
      <c r="AG121" s="18"/>
    </row>
    <row r="122" ht="14.25" customHeight="1">
      <c r="A122" s="9"/>
      <c r="B122" s="9"/>
      <c r="C122" s="9"/>
      <c r="D122" s="10"/>
      <c r="E122" s="20"/>
      <c r="F122" s="9" t="s">
        <v>544</v>
      </c>
      <c r="G122" s="12" t="s">
        <v>545</v>
      </c>
      <c r="H122" s="12"/>
      <c r="I122" s="10"/>
      <c r="J122" s="10"/>
      <c r="K122" s="10"/>
      <c r="L122" s="10"/>
      <c r="M122" s="10"/>
      <c r="N122" s="10" t="s">
        <v>40</v>
      </c>
      <c r="O122" s="10">
        <v>575.77</v>
      </c>
      <c r="P122" s="10" t="s">
        <v>335</v>
      </c>
      <c r="Q122" s="10" t="s">
        <v>546</v>
      </c>
      <c r="R122" s="16"/>
      <c r="S122" s="16"/>
      <c r="T122" s="16"/>
      <c r="U122" s="16"/>
      <c r="V122" s="16"/>
      <c r="W122" s="16"/>
      <c r="X122" s="16"/>
      <c r="Y122" s="16"/>
      <c r="Z122" s="16"/>
      <c r="AA122" s="10"/>
      <c r="AB122" s="17" t="s">
        <v>545</v>
      </c>
      <c r="AC122" s="17" t="s">
        <v>547</v>
      </c>
      <c r="AD122" s="17"/>
      <c r="AE122" s="17"/>
      <c r="AF122" s="17"/>
      <c r="AG122" s="18"/>
    </row>
    <row r="123" ht="14.25" customHeight="1">
      <c r="A123" s="9"/>
      <c r="B123" s="9"/>
      <c r="C123" s="9"/>
      <c r="D123" s="10"/>
      <c r="E123" s="20"/>
      <c r="F123" s="9" t="s">
        <v>548</v>
      </c>
      <c r="G123" s="12" t="s">
        <v>549</v>
      </c>
      <c r="H123" s="12"/>
      <c r="I123" s="10"/>
      <c r="J123" s="10"/>
      <c r="K123" s="10"/>
      <c r="L123" s="10"/>
      <c r="M123" s="10"/>
      <c r="N123" s="10" t="s">
        <v>40</v>
      </c>
      <c r="O123" s="10">
        <v>948.83</v>
      </c>
      <c r="P123" s="10" t="s">
        <v>335</v>
      </c>
      <c r="Q123" s="10" t="s">
        <v>550</v>
      </c>
      <c r="R123" s="16"/>
      <c r="S123" s="16"/>
      <c r="T123" s="16"/>
      <c r="U123" s="16"/>
      <c r="V123" s="16"/>
      <c r="W123" s="16"/>
      <c r="X123" s="16"/>
      <c r="Y123" s="16"/>
      <c r="Z123" s="16"/>
      <c r="AA123" s="10"/>
      <c r="AB123" s="17" t="s">
        <v>549</v>
      </c>
      <c r="AC123" s="17" t="s">
        <v>551</v>
      </c>
      <c r="AD123" s="17"/>
      <c r="AE123" s="17"/>
      <c r="AF123" s="17"/>
      <c r="AG123" s="18"/>
    </row>
    <row r="124" ht="14.25" customHeight="1">
      <c r="A124" s="9" t="s">
        <v>474</v>
      </c>
      <c r="B124" s="9" t="s">
        <v>535</v>
      </c>
      <c r="C124" s="9"/>
      <c r="D124" s="10"/>
      <c r="E124" s="20"/>
      <c r="F124" s="9" t="s">
        <v>552</v>
      </c>
      <c r="G124" s="12" t="s">
        <v>553</v>
      </c>
      <c r="H124" s="12"/>
      <c r="I124" s="10"/>
      <c r="J124" s="10"/>
      <c r="K124" s="10"/>
      <c r="L124" s="10"/>
      <c r="M124" s="10"/>
      <c r="N124" s="10" t="s">
        <v>40</v>
      </c>
      <c r="O124" s="10">
        <v>53.49</v>
      </c>
      <c r="P124" s="10" t="s">
        <v>335</v>
      </c>
      <c r="Q124" s="10" t="s">
        <v>554</v>
      </c>
      <c r="R124" s="16">
        <v>1.0</v>
      </c>
      <c r="S124" s="16" t="s">
        <v>479</v>
      </c>
      <c r="T124" s="16">
        <v>60.0</v>
      </c>
      <c r="U124" s="16" t="s">
        <v>480</v>
      </c>
      <c r="V124" s="16">
        <v>240.0</v>
      </c>
      <c r="W124" s="16" t="s">
        <v>481</v>
      </c>
      <c r="X124" s="16">
        <v>1920.0</v>
      </c>
      <c r="Y124" s="16"/>
      <c r="Z124" s="16" t="s">
        <v>45</v>
      </c>
      <c r="AA124" s="10"/>
      <c r="AB124" s="17" t="s">
        <v>553</v>
      </c>
      <c r="AC124" s="17" t="s">
        <v>555</v>
      </c>
      <c r="AD124" s="17"/>
      <c r="AE124" s="17"/>
      <c r="AF124" s="17" t="str">
        <f>VLOOKUP(F124,'[1]UKN UID-DOP-Marking'!$H$3:$L$394,5,FALSE)</f>
        <v>#REF!</v>
      </c>
      <c r="AG124" s="18"/>
    </row>
    <row r="125" ht="14.25" customHeight="1">
      <c r="A125" s="9" t="s">
        <v>474</v>
      </c>
      <c r="B125" s="9" t="s">
        <v>535</v>
      </c>
      <c r="C125" s="9"/>
      <c r="D125" s="10"/>
      <c r="E125" s="20"/>
      <c r="F125" s="9" t="s">
        <v>556</v>
      </c>
      <c r="G125" s="12"/>
      <c r="H125" s="12"/>
      <c r="I125" s="10"/>
      <c r="J125" s="10"/>
      <c r="K125" s="10"/>
      <c r="L125" s="10"/>
      <c r="M125" s="10"/>
      <c r="N125" s="10" t="s">
        <v>40</v>
      </c>
      <c r="O125" s="10">
        <v>90.8</v>
      </c>
      <c r="P125" s="10" t="s">
        <v>335</v>
      </c>
      <c r="Q125" s="10" t="s">
        <v>557</v>
      </c>
      <c r="R125" s="16">
        <v>1.0</v>
      </c>
      <c r="S125" s="16" t="s">
        <v>479</v>
      </c>
      <c r="T125" s="16">
        <v>40.0</v>
      </c>
      <c r="U125" s="16" t="s">
        <v>480</v>
      </c>
      <c r="V125" s="16">
        <v>160.0</v>
      </c>
      <c r="W125" s="16" t="s">
        <v>481</v>
      </c>
      <c r="X125" s="16">
        <v>1280.0</v>
      </c>
      <c r="Y125" s="16"/>
      <c r="Z125" s="16" t="s">
        <v>45</v>
      </c>
      <c r="AA125" s="10"/>
      <c r="AB125" s="17" t="s">
        <v>558</v>
      </c>
      <c r="AC125" s="17" t="s">
        <v>559</v>
      </c>
      <c r="AD125" s="17"/>
      <c r="AE125" s="17"/>
      <c r="AF125" s="17" t="s">
        <v>560</v>
      </c>
      <c r="AG125" s="18"/>
    </row>
    <row r="126" ht="14.25" customHeight="1">
      <c r="A126" s="9" t="s">
        <v>474</v>
      </c>
      <c r="B126" s="9" t="s">
        <v>535</v>
      </c>
      <c r="C126" s="9"/>
      <c r="D126" s="10"/>
      <c r="E126" s="20"/>
      <c r="F126" s="9" t="s">
        <v>561</v>
      </c>
      <c r="G126" s="12" t="s">
        <v>562</v>
      </c>
      <c r="H126" s="12"/>
      <c r="I126" s="10"/>
      <c r="J126" s="10"/>
      <c r="K126" s="10"/>
      <c r="L126" s="10"/>
      <c r="M126" s="10"/>
      <c r="N126" s="10" t="s">
        <v>40</v>
      </c>
      <c r="O126" s="10">
        <v>128.1</v>
      </c>
      <c r="P126" s="10" t="s">
        <v>335</v>
      </c>
      <c r="Q126" s="10" t="s">
        <v>563</v>
      </c>
      <c r="R126" s="16">
        <v>1.0</v>
      </c>
      <c r="S126" s="16" t="s">
        <v>479</v>
      </c>
      <c r="T126" s="16">
        <v>30.0</v>
      </c>
      <c r="U126" s="16" t="s">
        <v>480</v>
      </c>
      <c r="V126" s="16">
        <v>120.0</v>
      </c>
      <c r="W126" s="16" t="s">
        <v>481</v>
      </c>
      <c r="X126" s="16">
        <v>960.0</v>
      </c>
      <c r="Y126" s="16"/>
      <c r="Z126" s="16" t="s">
        <v>45</v>
      </c>
      <c r="AA126" s="10"/>
      <c r="AB126" s="17" t="s">
        <v>562</v>
      </c>
      <c r="AC126" s="17" t="s">
        <v>564</v>
      </c>
      <c r="AD126" s="17"/>
      <c r="AE126" s="17"/>
      <c r="AF126" s="17" t="str">
        <f>VLOOKUP(F126,'[1]UKN UID-DOP-Marking'!$H$3:$L$394,5,FALSE)</f>
        <v>#REF!</v>
      </c>
      <c r="AG126" s="18"/>
    </row>
    <row r="127" ht="14.25" customHeight="1">
      <c r="A127" s="40" t="s">
        <v>474</v>
      </c>
      <c r="B127" s="40" t="s">
        <v>535</v>
      </c>
      <c r="C127" s="40"/>
      <c r="D127" s="41"/>
      <c r="E127" s="41"/>
      <c r="F127" s="40" t="s">
        <v>565</v>
      </c>
      <c r="G127" s="42"/>
      <c r="H127" s="42"/>
      <c r="I127" s="41"/>
      <c r="J127" s="41"/>
      <c r="K127" s="41"/>
      <c r="L127" s="41"/>
      <c r="M127" s="41"/>
      <c r="N127" s="41" t="s">
        <v>40</v>
      </c>
      <c r="O127" s="41">
        <v>210.0</v>
      </c>
      <c r="P127" s="41" t="s">
        <v>335</v>
      </c>
      <c r="Q127" s="43" t="s">
        <v>566</v>
      </c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4" t="s">
        <v>567</v>
      </c>
      <c r="AC127" s="44" t="s">
        <v>568</v>
      </c>
      <c r="AD127" s="44"/>
      <c r="AE127" s="44"/>
      <c r="AF127" s="44"/>
      <c r="AG127" s="18"/>
    </row>
    <row r="128" ht="14.25" customHeight="1">
      <c r="A128" s="34" t="s">
        <v>474</v>
      </c>
      <c r="B128" s="34" t="s">
        <v>569</v>
      </c>
      <c r="C128" s="34"/>
      <c r="D128" s="35"/>
      <c r="E128" s="20"/>
      <c r="F128" s="36" t="s">
        <v>570</v>
      </c>
      <c r="G128" s="37" t="s">
        <v>571</v>
      </c>
      <c r="H128" s="37"/>
      <c r="I128" s="10"/>
      <c r="J128" s="10"/>
      <c r="K128" s="10"/>
      <c r="L128" s="10"/>
      <c r="M128" s="35"/>
      <c r="N128" s="35" t="s">
        <v>40</v>
      </c>
      <c r="O128" s="35">
        <v>35.0</v>
      </c>
      <c r="P128" s="35" t="s">
        <v>335</v>
      </c>
      <c r="Q128" s="38" t="s">
        <v>572</v>
      </c>
      <c r="R128" s="35">
        <v>1.0</v>
      </c>
      <c r="S128" s="35" t="s">
        <v>479</v>
      </c>
      <c r="T128" s="35">
        <v>100.0</v>
      </c>
      <c r="U128" s="35" t="s">
        <v>480</v>
      </c>
      <c r="V128" s="35">
        <v>400.0</v>
      </c>
      <c r="W128" s="35" t="s">
        <v>481</v>
      </c>
      <c r="X128" s="35">
        <v>3200.0</v>
      </c>
      <c r="Y128" s="35" t="s">
        <v>96</v>
      </c>
      <c r="Z128" s="35" t="s">
        <v>45</v>
      </c>
      <c r="AA128" s="35"/>
      <c r="AB128" s="37" t="s">
        <v>571</v>
      </c>
      <c r="AC128" s="39" t="s">
        <v>573</v>
      </c>
      <c r="AD128" s="39"/>
      <c r="AE128" s="39"/>
      <c r="AF128" s="39" t="str">
        <f t="shared" ref="AF128:AF134" si="18">VLOOKUP(F128,'[1]UKN UID-DOP-Marking'!$H$3:$L$394,5,FALSE)</f>
        <v>#REF!</v>
      </c>
      <c r="AG128" s="18"/>
    </row>
    <row r="129" ht="14.25" customHeight="1">
      <c r="A129" s="34" t="s">
        <v>474</v>
      </c>
      <c r="B129" s="34" t="s">
        <v>569</v>
      </c>
      <c r="C129" s="34"/>
      <c r="D129" s="35"/>
      <c r="E129" s="20"/>
      <c r="F129" s="36" t="s">
        <v>574</v>
      </c>
      <c r="G129" s="37" t="s">
        <v>575</v>
      </c>
      <c r="H129" s="37"/>
      <c r="I129" s="10"/>
      <c r="J129" s="10"/>
      <c r="K129" s="10"/>
      <c r="L129" s="10"/>
      <c r="M129" s="35"/>
      <c r="N129" s="35" t="s">
        <v>40</v>
      </c>
      <c r="O129" s="35">
        <v>40.0</v>
      </c>
      <c r="P129" s="35" t="s">
        <v>335</v>
      </c>
      <c r="Q129" s="38" t="s">
        <v>576</v>
      </c>
      <c r="R129" s="35">
        <v>1.0</v>
      </c>
      <c r="S129" s="35" t="s">
        <v>479</v>
      </c>
      <c r="T129" s="35">
        <v>80.0</v>
      </c>
      <c r="U129" s="35" t="s">
        <v>480</v>
      </c>
      <c r="V129" s="35">
        <v>320.0</v>
      </c>
      <c r="W129" s="35" t="s">
        <v>481</v>
      </c>
      <c r="X129" s="35">
        <v>2560.0</v>
      </c>
      <c r="Y129" s="35" t="s">
        <v>96</v>
      </c>
      <c r="Z129" s="35" t="s">
        <v>45</v>
      </c>
      <c r="AA129" s="35"/>
      <c r="AB129" s="37" t="s">
        <v>575</v>
      </c>
      <c r="AC129" s="39" t="s">
        <v>577</v>
      </c>
      <c r="AD129" s="39"/>
      <c r="AE129" s="39"/>
      <c r="AF129" s="39" t="str">
        <f t="shared" si="18"/>
        <v>#REF!</v>
      </c>
      <c r="AG129" s="18"/>
    </row>
    <row r="130" ht="14.25" customHeight="1">
      <c r="A130" s="34" t="s">
        <v>474</v>
      </c>
      <c r="B130" s="34" t="s">
        <v>569</v>
      </c>
      <c r="C130" s="34"/>
      <c r="D130" s="35"/>
      <c r="E130" s="20"/>
      <c r="F130" s="36" t="s">
        <v>578</v>
      </c>
      <c r="G130" s="37" t="s">
        <v>579</v>
      </c>
      <c r="H130" s="37"/>
      <c r="I130" s="10"/>
      <c r="J130" s="10"/>
      <c r="K130" s="10"/>
      <c r="L130" s="10"/>
      <c r="M130" s="35"/>
      <c r="N130" s="35" t="s">
        <v>40</v>
      </c>
      <c r="O130" s="35">
        <v>60.0</v>
      </c>
      <c r="P130" s="35" t="s">
        <v>335</v>
      </c>
      <c r="Q130" s="38" t="s">
        <v>580</v>
      </c>
      <c r="R130" s="35">
        <v>1.0</v>
      </c>
      <c r="S130" s="35" t="s">
        <v>479</v>
      </c>
      <c r="T130" s="35">
        <v>50.0</v>
      </c>
      <c r="U130" s="35" t="s">
        <v>480</v>
      </c>
      <c r="V130" s="35">
        <v>200.0</v>
      </c>
      <c r="W130" s="35" t="s">
        <v>481</v>
      </c>
      <c r="X130" s="35">
        <v>1600.0</v>
      </c>
      <c r="Y130" s="35" t="s">
        <v>96</v>
      </c>
      <c r="Z130" s="35" t="s">
        <v>45</v>
      </c>
      <c r="AA130" s="35"/>
      <c r="AB130" s="37" t="s">
        <v>579</v>
      </c>
      <c r="AC130" s="39" t="s">
        <v>581</v>
      </c>
      <c r="AD130" s="39"/>
      <c r="AE130" s="39"/>
      <c r="AF130" s="39" t="str">
        <f t="shared" si="18"/>
        <v>#REF!</v>
      </c>
      <c r="AG130" s="18"/>
    </row>
    <row r="131" ht="14.25" customHeight="1">
      <c r="A131" s="34" t="s">
        <v>474</v>
      </c>
      <c r="B131" s="34" t="s">
        <v>569</v>
      </c>
      <c r="C131" s="34"/>
      <c r="D131" s="35"/>
      <c r="E131" s="20"/>
      <c r="F131" s="36" t="s">
        <v>582</v>
      </c>
      <c r="G131" s="37" t="s">
        <v>583</v>
      </c>
      <c r="H131" s="37"/>
      <c r="I131" s="10"/>
      <c r="J131" s="10"/>
      <c r="K131" s="10"/>
      <c r="L131" s="10"/>
      <c r="M131" s="35"/>
      <c r="N131" s="35" t="s">
        <v>40</v>
      </c>
      <c r="O131" s="35">
        <v>100.0</v>
      </c>
      <c r="P131" s="35" t="s">
        <v>335</v>
      </c>
      <c r="Q131" s="38" t="s">
        <v>584</v>
      </c>
      <c r="R131" s="35">
        <v>1.0</v>
      </c>
      <c r="S131" s="35" t="s">
        <v>479</v>
      </c>
      <c r="T131" s="35">
        <v>40.0</v>
      </c>
      <c r="U131" s="35" t="s">
        <v>480</v>
      </c>
      <c r="V131" s="35">
        <v>160.0</v>
      </c>
      <c r="W131" s="35" t="s">
        <v>481</v>
      </c>
      <c r="X131" s="35">
        <v>1280.0</v>
      </c>
      <c r="Y131" s="35" t="s">
        <v>96</v>
      </c>
      <c r="Z131" s="35" t="s">
        <v>45</v>
      </c>
      <c r="AA131" s="35"/>
      <c r="AB131" s="37" t="s">
        <v>583</v>
      </c>
      <c r="AC131" s="39" t="s">
        <v>585</v>
      </c>
      <c r="AD131" s="39"/>
      <c r="AE131" s="39"/>
      <c r="AF131" s="39" t="str">
        <f t="shared" si="18"/>
        <v>#REF!</v>
      </c>
      <c r="AG131" s="18"/>
    </row>
    <row r="132" ht="14.25" customHeight="1">
      <c r="A132" s="34" t="s">
        <v>474</v>
      </c>
      <c r="B132" s="34" t="s">
        <v>569</v>
      </c>
      <c r="C132" s="34"/>
      <c r="D132" s="35"/>
      <c r="E132" s="20"/>
      <c r="F132" s="36" t="s">
        <v>586</v>
      </c>
      <c r="G132" s="37" t="s">
        <v>587</v>
      </c>
      <c r="H132" s="37"/>
      <c r="I132" s="10"/>
      <c r="J132" s="10"/>
      <c r="K132" s="10"/>
      <c r="L132" s="10"/>
      <c r="M132" s="35"/>
      <c r="N132" s="35" t="s">
        <v>40</v>
      </c>
      <c r="O132" s="35">
        <v>120.0</v>
      </c>
      <c r="P132" s="35" t="s">
        <v>335</v>
      </c>
      <c r="Q132" s="38" t="s">
        <v>588</v>
      </c>
      <c r="R132" s="35">
        <v>1.0</v>
      </c>
      <c r="S132" s="35" t="s">
        <v>479</v>
      </c>
      <c r="T132" s="35">
        <v>30.0</v>
      </c>
      <c r="U132" s="35" t="s">
        <v>480</v>
      </c>
      <c r="V132" s="35">
        <v>120.0</v>
      </c>
      <c r="W132" s="35" t="s">
        <v>481</v>
      </c>
      <c r="X132" s="35">
        <v>960.0</v>
      </c>
      <c r="Y132" s="35" t="s">
        <v>96</v>
      </c>
      <c r="Z132" s="35" t="s">
        <v>45</v>
      </c>
      <c r="AA132" s="35"/>
      <c r="AB132" s="37" t="s">
        <v>587</v>
      </c>
      <c r="AC132" s="39" t="s">
        <v>589</v>
      </c>
      <c r="AD132" s="39"/>
      <c r="AE132" s="39"/>
      <c r="AF132" s="39" t="str">
        <f t="shared" si="18"/>
        <v>#REF!</v>
      </c>
      <c r="AG132" s="18"/>
    </row>
    <row r="133" ht="14.25" customHeight="1">
      <c r="A133" s="34" t="s">
        <v>474</v>
      </c>
      <c r="B133" s="34" t="s">
        <v>569</v>
      </c>
      <c r="C133" s="34"/>
      <c r="D133" s="35"/>
      <c r="E133" s="20"/>
      <c r="F133" s="36" t="s">
        <v>590</v>
      </c>
      <c r="G133" s="37" t="s">
        <v>591</v>
      </c>
      <c r="H133" s="37"/>
      <c r="I133" s="10"/>
      <c r="J133" s="10"/>
      <c r="K133" s="10"/>
      <c r="L133" s="10"/>
      <c r="M133" s="35"/>
      <c r="N133" s="35" t="s">
        <v>40</v>
      </c>
      <c r="O133" s="35">
        <v>170.0</v>
      </c>
      <c r="P133" s="35" t="s">
        <v>335</v>
      </c>
      <c r="Q133" s="38" t="s">
        <v>592</v>
      </c>
      <c r="R133" s="35">
        <v>1.0</v>
      </c>
      <c r="S133" s="35" t="s">
        <v>498</v>
      </c>
      <c r="T133" s="35">
        <v>20.0</v>
      </c>
      <c r="U133" s="35" t="s">
        <v>480</v>
      </c>
      <c r="V133" s="35">
        <v>80.0</v>
      </c>
      <c r="W133" s="35" t="s">
        <v>481</v>
      </c>
      <c r="X133" s="35">
        <v>640.0</v>
      </c>
      <c r="Y133" s="35" t="s">
        <v>96</v>
      </c>
      <c r="Z133" s="35" t="s">
        <v>45</v>
      </c>
      <c r="AA133" s="35"/>
      <c r="AB133" s="37" t="s">
        <v>591</v>
      </c>
      <c r="AC133" s="39" t="s">
        <v>593</v>
      </c>
      <c r="AD133" s="39"/>
      <c r="AE133" s="39"/>
      <c r="AF133" s="39" t="str">
        <f t="shared" si="18"/>
        <v>#REF!</v>
      </c>
      <c r="AG133" s="18"/>
    </row>
    <row r="134" ht="14.25" customHeight="1">
      <c r="A134" s="34" t="s">
        <v>474</v>
      </c>
      <c r="B134" s="34" t="s">
        <v>569</v>
      </c>
      <c r="C134" s="34"/>
      <c r="D134" s="35"/>
      <c r="E134" s="20"/>
      <c r="F134" s="36" t="s">
        <v>594</v>
      </c>
      <c r="G134" s="37" t="s">
        <v>595</v>
      </c>
      <c r="H134" s="37"/>
      <c r="I134" s="10"/>
      <c r="J134" s="10"/>
      <c r="K134" s="10"/>
      <c r="L134" s="10"/>
      <c r="M134" s="35"/>
      <c r="N134" s="35" t="s">
        <v>40</v>
      </c>
      <c r="O134" s="35">
        <v>220.0</v>
      </c>
      <c r="P134" s="35" t="s">
        <v>335</v>
      </c>
      <c r="Q134" s="38" t="s">
        <v>596</v>
      </c>
      <c r="R134" s="35">
        <v>1.0</v>
      </c>
      <c r="S134" s="35" t="s">
        <v>498</v>
      </c>
      <c r="T134" s="35">
        <v>15.0</v>
      </c>
      <c r="U134" s="35" t="s">
        <v>480</v>
      </c>
      <c r="V134" s="35">
        <v>60.0</v>
      </c>
      <c r="W134" s="35" t="s">
        <v>481</v>
      </c>
      <c r="X134" s="35">
        <v>480.0</v>
      </c>
      <c r="Y134" s="35" t="s">
        <v>96</v>
      </c>
      <c r="Z134" s="35" t="s">
        <v>45</v>
      </c>
      <c r="AA134" s="35"/>
      <c r="AB134" s="37" t="s">
        <v>595</v>
      </c>
      <c r="AC134" s="39" t="s">
        <v>597</v>
      </c>
      <c r="AD134" s="39"/>
      <c r="AE134" s="39"/>
      <c r="AF134" s="39" t="str">
        <f t="shared" si="18"/>
        <v>#REF!</v>
      </c>
      <c r="AG134" s="18"/>
    </row>
    <row r="135" ht="14.25" customHeight="1">
      <c r="A135" s="34" t="s">
        <v>474</v>
      </c>
      <c r="B135" s="34" t="s">
        <v>569</v>
      </c>
      <c r="C135" s="34"/>
      <c r="D135" s="35"/>
      <c r="E135" s="20"/>
      <c r="F135" s="36" t="s">
        <v>598</v>
      </c>
      <c r="G135" s="37" t="s">
        <v>599</v>
      </c>
      <c r="H135" s="37"/>
      <c r="I135" s="10"/>
      <c r="J135" s="10"/>
      <c r="K135" s="10"/>
      <c r="L135" s="10"/>
      <c r="M135" s="35"/>
      <c r="N135" s="35" t="s">
        <v>40</v>
      </c>
      <c r="O135" s="35">
        <v>470.0</v>
      </c>
      <c r="P135" s="35" t="s">
        <v>335</v>
      </c>
      <c r="Q135" s="38" t="s">
        <v>600</v>
      </c>
      <c r="R135" s="35">
        <v>1.0</v>
      </c>
      <c r="S135" s="35" t="s">
        <v>498</v>
      </c>
      <c r="T135" s="35">
        <v>8.0</v>
      </c>
      <c r="U135" s="35" t="s">
        <v>480</v>
      </c>
      <c r="V135" s="35">
        <v>32.0</v>
      </c>
      <c r="W135" s="35" t="s">
        <v>481</v>
      </c>
      <c r="X135" s="35">
        <v>256.0</v>
      </c>
      <c r="Y135" s="35" t="s">
        <v>96</v>
      </c>
      <c r="Z135" s="35" t="s">
        <v>45</v>
      </c>
      <c r="AA135" s="35"/>
      <c r="AB135" s="37" t="s">
        <v>599</v>
      </c>
      <c r="AC135" s="39" t="s">
        <v>601</v>
      </c>
      <c r="AD135" s="39"/>
      <c r="AE135" s="39"/>
      <c r="AF135" s="39" t="s">
        <v>602</v>
      </c>
      <c r="AG135" s="18"/>
    </row>
    <row r="136" ht="14.25" customHeight="1">
      <c r="A136" s="34" t="s">
        <v>474</v>
      </c>
      <c r="B136" s="34" t="s">
        <v>569</v>
      </c>
      <c r="C136" s="34"/>
      <c r="D136" s="35"/>
      <c r="E136" s="20"/>
      <c r="F136" s="36" t="s">
        <v>603</v>
      </c>
      <c r="G136" s="37" t="s">
        <v>604</v>
      </c>
      <c r="H136" s="37"/>
      <c r="I136" s="10"/>
      <c r="J136" s="10"/>
      <c r="K136" s="10"/>
      <c r="L136" s="10"/>
      <c r="M136" s="35"/>
      <c r="N136" s="35" t="s">
        <v>40</v>
      </c>
      <c r="O136" s="35">
        <v>630.0</v>
      </c>
      <c r="P136" s="35" t="s">
        <v>335</v>
      </c>
      <c r="Q136" s="38" t="s">
        <v>605</v>
      </c>
      <c r="R136" s="35">
        <v>1.0</v>
      </c>
      <c r="S136" s="35" t="s">
        <v>498</v>
      </c>
      <c r="T136" s="35">
        <v>8.0</v>
      </c>
      <c r="U136" s="35" t="s">
        <v>480</v>
      </c>
      <c r="V136" s="35">
        <v>32.0</v>
      </c>
      <c r="W136" s="35" t="s">
        <v>481</v>
      </c>
      <c r="X136" s="35">
        <v>256.0</v>
      </c>
      <c r="Y136" s="35" t="s">
        <v>96</v>
      </c>
      <c r="Z136" s="35" t="s">
        <v>45</v>
      </c>
      <c r="AA136" s="35"/>
      <c r="AB136" s="37" t="s">
        <v>604</v>
      </c>
      <c r="AC136" s="39" t="s">
        <v>606</v>
      </c>
      <c r="AD136" s="39"/>
      <c r="AE136" s="39"/>
      <c r="AF136" s="39" t="s">
        <v>602</v>
      </c>
      <c r="AG136" s="18"/>
    </row>
    <row r="137" ht="14.25" customHeight="1">
      <c r="A137" s="34" t="s">
        <v>474</v>
      </c>
      <c r="B137" s="34" t="s">
        <v>569</v>
      </c>
      <c r="C137" s="34"/>
      <c r="D137" s="35"/>
      <c r="E137" s="20"/>
      <c r="F137" s="36" t="s">
        <v>607</v>
      </c>
      <c r="G137" s="37" t="s">
        <v>599</v>
      </c>
      <c r="H137" s="37"/>
      <c r="I137" s="10"/>
      <c r="J137" s="10"/>
      <c r="K137" s="10"/>
      <c r="L137" s="10"/>
      <c r="M137" s="35"/>
      <c r="N137" s="35" t="s">
        <v>40</v>
      </c>
      <c r="O137" s="35">
        <v>923.0</v>
      </c>
      <c r="P137" s="35" t="s">
        <v>335</v>
      </c>
      <c r="Q137" s="35"/>
      <c r="R137" s="35">
        <v>1.0</v>
      </c>
      <c r="S137" s="35" t="s">
        <v>608</v>
      </c>
      <c r="T137" s="35">
        <v>6.0</v>
      </c>
      <c r="U137" s="35" t="s">
        <v>480</v>
      </c>
      <c r="V137" s="35">
        <v>24.0</v>
      </c>
      <c r="W137" s="35" t="s">
        <v>481</v>
      </c>
      <c r="X137" s="35">
        <v>192.0</v>
      </c>
      <c r="Y137" s="35" t="s">
        <v>96</v>
      </c>
      <c r="Z137" s="35" t="s">
        <v>45</v>
      </c>
      <c r="AA137" s="35"/>
      <c r="AB137" s="37" t="s">
        <v>609</v>
      </c>
      <c r="AC137" s="39" t="s">
        <v>610</v>
      </c>
      <c r="AD137" s="39"/>
      <c r="AE137" s="39"/>
      <c r="AF137" s="39" t="s">
        <v>602</v>
      </c>
      <c r="AG137" s="18"/>
    </row>
    <row r="138" ht="14.25" customHeight="1">
      <c r="A138" s="34" t="s">
        <v>474</v>
      </c>
      <c r="B138" s="34" t="s">
        <v>569</v>
      </c>
      <c r="C138" s="34"/>
      <c r="D138" s="35"/>
      <c r="E138" s="20"/>
      <c r="F138" s="36" t="s">
        <v>611</v>
      </c>
      <c r="G138" s="37" t="s">
        <v>604</v>
      </c>
      <c r="H138" s="37"/>
      <c r="I138" s="10"/>
      <c r="J138" s="10"/>
      <c r="K138" s="10"/>
      <c r="L138" s="10"/>
      <c r="M138" s="35"/>
      <c r="N138" s="35" t="s">
        <v>40</v>
      </c>
      <c r="O138" s="35">
        <v>1103.0</v>
      </c>
      <c r="P138" s="35" t="s">
        <v>335</v>
      </c>
      <c r="Q138" s="38" t="s">
        <v>612</v>
      </c>
      <c r="R138" s="35">
        <v>1.0</v>
      </c>
      <c r="S138" s="35" t="s">
        <v>608</v>
      </c>
      <c r="T138" s="35">
        <v>6.0</v>
      </c>
      <c r="U138" s="35" t="s">
        <v>480</v>
      </c>
      <c r="V138" s="35">
        <v>24.0</v>
      </c>
      <c r="W138" s="35" t="s">
        <v>481</v>
      </c>
      <c r="X138" s="35">
        <v>192.0</v>
      </c>
      <c r="Y138" s="35" t="s">
        <v>96</v>
      </c>
      <c r="Z138" s="35" t="s">
        <v>45</v>
      </c>
      <c r="AA138" s="35"/>
      <c r="AB138" s="37" t="s">
        <v>613</v>
      </c>
      <c r="AC138" s="39" t="s">
        <v>614</v>
      </c>
      <c r="AD138" s="39"/>
      <c r="AE138" s="39"/>
      <c r="AF138" s="39" t="s">
        <v>602</v>
      </c>
      <c r="AG138" s="18"/>
    </row>
    <row r="139" ht="14.25" customHeight="1">
      <c r="A139" s="34" t="s">
        <v>474</v>
      </c>
      <c r="B139" s="34" t="s">
        <v>569</v>
      </c>
      <c r="C139" s="34"/>
      <c r="D139" s="35"/>
      <c r="E139" s="20"/>
      <c r="F139" s="36" t="s">
        <v>615</v>
      </c>
      <c r="G139" s="37" t="s">
        <v>599</v>
      </c>
      <c r="H139" s="37"/>
      <c r="I139" s="10"/>
      <c r="J139" s="10"/>
      <c r="K139" s="10"/>
      <c r="L139" s="10"/>
      <c r="M139" s="35"/>
      <c r="N139" s="35" t="s">
        <v>40</v>
      </c>
      <c r="O139" s="35">
        <v>1465.0</v>
      </c>
      <c r="P139" s="35" t="s">
        <v>335</v>
      </c>
      <c r="Q139" s="38" t="s">
        <v>616</v>
      </c>
      <c r="R139" s="35">
        <v>1.0</v>
      </c>
      <c r="S139" s="35" t="s">
        <v>608</v>
      </c>
      <c r="T139" s="35">
        <v>4.0</v>
      </c>
      <c r="U139" s="35" t="s">
        <v>480</v>
      </c>
      <c r="V139" s="35">
        <v>16.0</v>
      </c>
      <c r="W139" s="35" t="s">
        <v>481</v>
      </c>
      <c r="X139" s="35">
        <v>128.0</v>
      </c>
      <c r="Y139" s="35" t="s">
        <v>96</v>
      </c>
      <c r="Z139" s="35" t="s">
        <v>45</v>
      </c>
      <c r="AA139" s="35"/>
      <c r="AB139" s="37" t="s">
        <v>617</v>
      </c>
      <c r="AC139" s="39" t="s">
        <v>618</v>
      </c>
      <c r="AD139" s="39"/>
      <c r="AE139" s="39"/>
      <c r="AF139" s="39" t="s">
        <v>602</v>
      </c>
      <c r="AG139" s="18"/>
    </row>
    <row r="140" ht="14.25" customHeight="1">
      <c r="A140" s="34" t="s">
        <v>474</v>
      </c>
      <c r="B140" s="34" t="s">
        <v>569</v>
      </c>
      <c r="C140" s="34"/>
      <c r="D140" s="35"/>
      <c r="E140" s="20"/>
      <c r="F140" s="36" t="s">
        <v>619</v>
      </c>
      <c r="G140" s="37" t="s">
        <v>599</v>
      </c>
      <c r="H140" s="37"/>
      <c r="I140" s="10"/>
      <c r="J140" s="10"/>
      <c r="K140" s="10"/>
      <c r="L140" s="10"/>
      <c r="M140" s="35"/>
      <c r="N140" s="35" t="s">
        <v>40</v>
      </c>
      <c r="O140" s="35">
        <v>1827.0</v>
      </c>
      <c r="P140" s="35" t="s">
        <v>335</v>
      </c>
      <c r="Q140" s="38" t="s">
        <v>620</v>
      </c>
      <c r="R140" s="35">
        <v>1.0</v>
      </c>
      <c r="S140" s="35" t="s">
        <v>608</v>
      </c>
      <c r="T140" s="35">
        <v>4.0</v>
      </c>
      <c r="U140" s="35" t="s">
        <v>480</v>
      </c>
      <c r="V140" s="35">
        <v>16.0</v>
      </c>
      <c r="W140" s="35" t="s">
        <v>481</v>
      </c>
      <c r="X140" s="35">
        <v>128.0</v>
      </c>
      <c r="Y140" s="35" t="s">
        <v>96</v>
      </c>
      <c r="Z140" s="35" t="s">
        <v>45</v>
      </c>
      <c r="AA140" s="35"/>
      <c r="AB140" s="37" t="s">
        <v>621</v>
      </c>
      <c r="AC140" s="39" t="s">
        <v>622</v>
      </c>
      <c r="AD140" s="39"/>
      <c r="AE140" s="39"/>
      <c r="AF140" s="39" t="s">
        <v>602</v>
      </c>
      <c r="AG140" s="18"/>
    </row>
    <row r="141" ht="14.25" customHeight="1">
      <c r="A141" s="34" t="s">
        <v>474</v>
      </c>
      <c r="B141" s="34" t="s">
        <v>569</v>
      </c>
      <c r="C141" s="34"/>
      <c r="D141" s="35"/>
      <c r="E141" s="20"/>
      <c r="F141" s="36" t="s">
        <v>623</v>
      </c>
      <c r="G141" s="37" t="s">
        <v>604</v>
      </c>
      <c r="H141" s="37"/>
      <c r="I141" s="10"/>
      <c r="J141" s="10"/>
      <c r="K141" s="10"/>
      <c r="L141" s="10"/>
      <c r="M141" s="35"/>
      <c r="N141" s="35" t="s">
        <v>40</v>
      </c>
      <c r="O141" s="35">
        <v>2550.0</v>
      </c>
      <c r="P141" s="35" t="s">
        <v>335</v>
      </c>
      <c r="Q141" s="35"/>
      <c r="R141" s="35">
        <v>1.0</v>
      </c>
      <c r="S141" s="35" t="s">
        <v>624</v>
      </c>
      <c r="T141" s="35">
        <v>2.0</v>
      </c>
      <c r="U141" s="35" t="s">
        <v>480</v>
      </c>
      <c r="V141" s="35">
        <v>8.0</v>
      </c>
      <c r="W141" s="35" t="s">
        <v>481</v>
      </c>
      <c r="X141" s="35">
        <v>64.0</v>
      </c>
      <c r="Y141" s="35" t="s">
        <v>96</v>
      </c>
      <c r="Z141" s="35" t="s">
        <v>45</v>
      </c>
      <c r="AA141" s="35"/>
      <c r="AB141" s="37" t="s">
        <v>625</v>
      </c>
      <c r="AC141" s="39" t="s">
        <v>626</v>
      </c>
      <c r="AD141" s="39"/>
      <c r="AE141" s="39"/>
      <c r="AF141" s="39" t="s">
        <v>602</v>
      </c>
      <c r="AG141" s="18"/>
    </row>
    <row r="142" ht="14.25" customHeight="1">
      <c r="A142" s="34" t="s">
        <v>627</v>
      </c>
      <c r="B142" s="34" t="s">
        <v>628</v>
      </c>
      <c r="C142" s="34"/>
      <c r="D142" s="35"/>
      <c r="E142" s="20"/>
      <c r="F142" s="36" t="s">
        <v>629</v>
      </c>
      <c r="G142" s="37" t="s">
        <v>630</v>
      </c>
      <c r="H142" s="37"/>
      <c r="I142" s="10"/>
      <c r="J142" s="10"/>
      <c r="K142" s="10"/>
      <c r="L142" s="10"/>
      <c r="M142" s="35"/>
      <c r="N142" s="35" t="s">
        <v>40</v>
      </c>
      <c r="O142" s="35">
        <v>20.0</v>
      </c>
      <c r="P142" s="35" t="s">
        <v>335</v>
      </c>
      <c r="Q142" s="38" t="s">
        <v>631</v>
      </c>
      <c r="R142" s="35">
        <v>8.0</v>
      </c>
      <c r="S142" s="35" t="s">
        <v>632</v>
      </c>
      <c r="T142" s="35">
        <v>48.0</v>
      </c>
      <c r="U142" s="35" t="s">
        <v>633</v>
      </c>
      <c r="V142" s="35">
        <v>480.0</v>
      </c>
      <c r="W142" s="35" t="s">
        <v>634</v>
      </c>
      <c r="X142" s="35">
        <v>8640.0</v>
      </c>
      <c r="Y142" s="35" t="s">
        <v>44</v>
      </c>
      <c r="Z142" s="35" t="s">
        <v>635</v>
      </c>
      <c r="AA142" s="35"/>
      <c r="AB142" s="37" t="s">
        <v>636</v>
      </c>
      <c r="AC142" s="39" t="s">
        <v>637</v>
      </c>
      <c r="AD142" s="39"/>
      <c r="AE142" s="39"/>
      <c r="AF142" s="39"/>
      <c r="AG142" s="18"/>
    </row>
    <row r="143" ht="14.25" customHeight="1">
      <c r="A143" s="34" t="s">
        <v>627</v>
      </c>
      <c r="B143" s="34" t="s">
        <v>628</v>
      </c>
      <c r="C143" s="34"/>
      <c r="D143" s="35"/>
      <c r="E143" s="20"/>
      <c r="F143" s="36" t="s">
        <v>638</v>
      </c>
      <c r="G143" s="37" t="s">
        <v>639</v>
      </c>
      <c r="H143" s="37"/>
      <c r="I143" s="10"/>
      <c r="J143" s="10"/>
      <c r="K143" s="10"/>
      <c r="L143" s="10"/>
      <c r="M143" s="35"/>
      <c r="N143" s="35" t="s">
        <v>40</v>
      </c>
      <c r="O143" s="35">
        <v>20.0</v>
      </c>
      <c r="P143" s="35" t="s">
        <v>335</v>
      </c>
      <c r="Q143" s="38" t="s">
        <v>640</v>
      </c>
      <c r="R143" s="35">
        <v>8.0</v>
      </c>
      <c r="S143" s="35" t="s">
        <v>632</v>
      </c>
      <c r="T143" s="35">
        <v>48.0</v>
      </c>
      <c r="U143" s="35" t="s">
        <v>633</v>
      </c>
      <c r="V143" s="35">
        <v>480.0</v>
      </c>
      <c r="W143" s="35" t="s">
        <v>634</v>
      </c>
      <c r="X143" s="35">
        <v>8640.0</v>
      </c>
      <c r="Y143" s="35" t="s">
        <v>44</v>
      </c>
      <c r="Z143" s="35" t="s">
        <v>635</v>
      </c>
      <c r="AA143" s="35"/>
      <c r="AB143" s="37" t="s">
        <v>641</v>
      </c>
      <c r="AC143" s="39" t="s">
        <v>642</v>
      </c>
      <c r="AD143" s="39"/>
      <c r="AE143" s="39"/>
      <c r="AF143" s="39"/>
      <c r="AG143" s="18"/>
    </row>
    <row r="144" ht="14.25" customHeight="1">
      <c r="A144" s="34" t="s">
        <v>627</v>
      </c>
      <c r="B144" s="34" t="s">
        <v>628</v>
      </c>
      <c r="C144" s="34"/>
      <c r="D144" s="35"/>
      <c r="E144" s="20"/>
      <c r="F144" s="36" t="s">
        <v>643</v>
      </c>
      <c r="G144" s="37" t="s">
        <v>644</v>
      </c>
      <c r="H144" s="37"/>
      <c r="I144" s="10"/>
      <c r="J144" s="10"/>
      <c r="K144" s="10"/>
      <c r="L144" s="10"/>
      <c r="M144" s="35"/>
      <c r="N144" s="35" t="s">
        <v>40</v>
      </c>
      <c r="O144" s="35">
        <v>11.25</v>
      </c>
      <c r="P144" s="35" t="s">
        <v>335</v>
      </c>
      <c r="Q144" s="38" t="s">
        <v>645</v>
      </c>
      <c r="R144" s="35">
        <v>8.0</v>
      </c>
      <c r="S144" s="35" t="s">
        <v>646</v>
      </c>
      <c r="T144" s="35">
        <v>48.0</v>
      </c>
      <c r="U144" s="35" t="s">
        <v>647</v>
      </c>
      <c r="V144" s="35">
        <v>480.0</v>
      </c>
      <c r="W144" s="35" t="s">
        <v>648</v>
      </c>
      <c r="X144" s="35">
        <v>11520.0</v>
      </c>
      <c r="Y144" s="35" t="s">
        <v>339</v>
      </c>
      <c r="Z144" s="35" t="s">
        <v>649</v>
      </c>
      <c r="AA144" s="35"/>
      <c r="AB144" s="37" t="s">
        <v>650</v>
      </c>
      <c r="AC144" s="39" t="s">
        <v>651</v>
      </c>
      <c r="AD144" s="39"/>
      <c r="AE144" s="39"/>
      <c r="AF144" s="39"/>
      <c r="AG144" s="18"/>
    </row>
    <row r="145" ht="14.25" customHeight="1">
      <c r="A145" s="34" t="s">
        <v>627</v>
      </c>
      <c r="B145" s="34" t="s">
        <v>628</v>
      </c>
      <c r="C145" s="34"/>
      <c r="D145" s="35"/>
      <c r="E145" s="20"/>
      <c r="F145" s="36" t="s">
        <v>652</v>
      </c>
      <c r="G145" s="37" t="s">
        <v>653</v>
      </c>
      <c r="H145" s="37"/>
      <c r="I145" s="10"/>
      <c r="J145" s="10"/>
      <c r="K145" s="10"/>
      <c r="L145" s="10"/>
      <c r="M145" s="35"/>
      <c r="N145" s="35" t="s">
        <v>40</v>
      </c>
      <c r="O145" s="35">
        <v>11.25</v>
      </c>
      <c r="P145" s="35" t="s">
        <v>335</v>
      </c>
      <c r="Q145" s="38" t="s">
        <v>654</v>
      </c>
      <c r="R145" s="35">
        <v>8.0</v>
      </c>
      <c r="S145" s="35" t="s">
        <v>646</v>
      </c>
      <c r="T145" s="35">
        <v>48.0</v>
      </c>
      <c r="U145" s="35" t="s">
        <v>647</v>
      </c>
      <c r="V145" s="35">
        <v>480.0</v>
      </c>
      <c r="W145" s="35" t="s">
        <v>648</v>
      </c>
      <c r="X145" s="35">
        <v>11520.0</v>
      </c>
      <c r="Y145" s="35" t="s">
        <v>339</v>
      </c>
      <c r="Z145" s="35" t="s">
        <v>649</v>
      </c>
      <c r="AA145" s="35"/>
      <c r="AB145" s="37" t="s">
        <v>655</v>
      </c>
      <c r="AC145" s="39" t="s">
        <v>656</v>
      </c>
      <c r="AD145" s="39"/>
      <c r="AE145" s="39"/>
      <c r="AF145" s="39"/>
      <c r="AG145" s="18"/>
    </row>
    <row r="146" ht="14.25" customHeight="1">
      <c r="A146" s="34" t="s">
        <v>627</v>
      </c>
      <c r="B146" s="34" t="s">
        <v>628</v>
      </c>
      <c r="C146" s="34"/>
      <c r="D146" s="35"/>
      <c r="E146" s="20"/>
      <c r="F146" s="36" t="s">
        <v>657</v>
      </c>
      <c r="G146" s="37" t="s">
        <v>658</v>
      </c>
      <c r="H146" s="37"/>
      <c r="I146" s="10"/>
      <c r="J146" s="10"/>
      <c r="K146" s="10"/>
      <c r="L146" s="10"/>
      <c r="M146" s="35"/>
      <c r="N146" s="35" t="s">
        <v>40</v>
      </c>
      <c r="O146" s="35">
        <v>11.4</v>
      </c>
      <c r="P146" s="35" t="s">
        <v>335</v>
      </c>
      <c r="Q146" s="38" t="s">
        <v>659</v>
      </c>
      <c r="R146" s="35">
        <v>8.0</v>
      </c>
      <c r="S146" s="35" t="s">
        <v>646</v>
      </c>
      <c r="T146" s="35">
        <v>48.0</v>
      </c>
      <c r="U146" s="35" t="s">
        <v>647</v>
      </c>
      <c r="V146" s="35">
        <v>480.0</v>
      </c>
      <c r="W146" s="35" t="s">
        <v>648</v>
      </c>
      <c r="X146" s="35">
        <v>11520.0</v>
      </c>
      <c r="Y146" s="35" t="s">
        <v>339</v>
      </c>
      <c r="Z146" s="35" t="s">
        <v>649</v>
      </c>
      <c r="AA146" s="35"/>
      <c r="AB146" s="37" t="s">
        <v>660</v>
      </c>
      <c r="AC146" s="39" t="s">
        <v>661</v>
      </c>
      <c r="AD146" s="39"/>
      <c r="AE146" s="39"/>
      <c r="AF146" s="39"/>
      <c r="AG146" s="18"/>
    </row>
    <row r="147" ht="14.25" customHeight="1">
      <c r="A147" s="34" t="s">
        <v>627</v>
      </c>
      <c r="B147" s="34" t="s">
        <v>628</v>
      </c>
      <c r="C147" s="34"/>
      <c r="D147" s="35"/>
      <c r="E147" s="20"/>
      <c r="F147" s="36" t="s">
        <v>662</v>
      </c>
      <c r="G147" s="37" t="s">
        <v>663</v>
      </c>
      <c r="H147" s="37"/>
      <c r="I147" s="10"/>
      <c r="J147" s="10"/>
      <c r="K147" s="10"/>
      <c r="L147" s="10"/>
      <c r="M147" s="35"/>
      <c r="N147" s="35" t="s">
        <v>40</v>
      </c>
      <c r="O147" s="35">
        <v>11.2</v>
      </c>
      <c r="P147" s="35" t="s">
        <v>335</v>
      </c>
      <c r="Q147" s="38" t="s">
        <v>664</v>
      </c>
      <c r="R147" s="35">
        <v>8.0</v>
      </c>
      <c r="S147" s="35" t="s">
        <v>646</v>
      </c>
      <c r="T147" s="35">
        <v>48.0</v>
      </c>
      <c r="U147" s="35" t="s">
        <v>647</v>
      </c>
      <c r="V147" s="35">
        <v>480.0</v>
      </c>
      <c r="W147" s="35" t="s">
        <v>648</v>
      </c>
      <c r="X147" s="35">
        <v>11520.0</v>
      </c>
      <c r="Y147" s="35" t="s">
        <v>339</v>
      </c>
      <c r="Z147" s="35" t="s">
        <v>649</v>
      </c>
      <c r="AA147" s="35"/>
      <c r="AB147" s="37" t="s">
        <v>665</v>
      </c>
      <c r="AC147" s="39" t="s">
        <v>666</v>
      </c>
      <c r="AD147" s="39"/>
      <c r="AE147" s="39"/>
      <c r="AF147" s="39"/>
      <c r="AG147" s="18"/>
    </row>
    <row r="148" ht="14.25" customHeight="1">
      <c r="A148" s="34" t="s">
        <v>444</v>
      </c>
      <c r="B148" s="34" t="s">
        <v>628</v>
      </c>
      <c r="C148" s="34"/>
      <c r="D148" s="35"/>
      <c r="E148" s="20"/>
      <c r="F148" s="36" t="s">
        <v>667</v>
      </c>
      <c r="G148" s="37" t="s">
        <v>668</v>
      </c>
      <c r="H148" s="37"/>
      <c r="I148" s="10"/>
      <c r="J148" s="10"/>
      <c r="K148" s="10"/>
      <c r="L148" s="10"/>
      <c r="M148" s="35"/>
      <c r="N148" s="35" t="s">
        <v>40</v>
      </c>
      <c r="O148" s="35">
        <v>23.0</v>
      </c>
      <c r="P148" s="35" t="s">
        <v>335</v>
      </c>
      <c r="Q148" s="38" t="s">
        <v>669</v>
      </c>
      <c r="R148" s="35">
        <v>1.0</v>
      </c>
      <c r="S148" s="35"/>
      <c r="T148" s="35">
        <v>8.0</v>
      </c>
      <c r="U148" s="35" t="s">
        <v>670</v>
      </c>
      <c r="V148" s="35">
        <v>160.0</v>
      </c>
      <c r="W148" s="35" t="s">
        <v>671</v>
      </c>
      <c r="X148" s="35">
        <v>3840.0</v>
      </c>
      <c r="Y148" s="35" t="s">
        <v>672</v>
      </c>
      <c r="Z148" s="35" t="s">
        <v>673</v>
      </c>
      <c r="AA148" s="35"/>
      <c r="AB148" s="37" t="s">
        <v>668</v>
      </c>
      <c r="AC148" s="39" t="s">
        <v>674</v>
      </c>
      <c r="AD148" s="39"/>
      <c r="AE148" s="39"/>
      <c r="AF148" s="39"/>
      <c r="AG148" s="18"/>
    </row>
    <row r="149" ht="14.25" customHeight="1">
      <c r="A149" s="34" t="s">
        <v>444</v>
      </c>
      <c r="B149" s="34" t="s">
        <v>628</v>
      </c>
      <c r="C149" s="34"/>
      <c r="D149" s="35"/>
      <c r="E149" s="20"/>
      <c r="F149" s="36" t="s">
        <v>675</v>
      </c>
      <c r="G149" s="37" t="s">
        <v>676</v>
      </c>
      <c r="H149" s="37"/>
      <c r="I149" s="10"/>
      <c r="J149" s="10"/>
      <c r="K149" s="10"/>
      <c r="L149" s="10"/>
      <c r="M149" s="35"/>
      <c r="N149" s="35" t="s">
        <v>40</v>
      </c>
      <c r="O149" s="35">
        <v>410.0</v>
      </c>
      <c r="P149" s="35" t="s">
        <v>335</v>
      </c>
      <c r="Q149" s="38" t="s">
        <v>677</v>
      </c>
      <c r="R149" s="35">
        <v>1.0</v>
      </c>
      <c r="S149" s="35"/>
      <c r="T149" s="35">
        <v>8.0</v>
      </c>
      <c r="U149" s="35" t="s">
        <v>670</v>
      </c>
      <c r="V149" s="35">
        <v>160.0</v>
      </c>
      <c r="W149" s="35" t="s">
        <v>671</v>
      </c>
      <c r="X149" s="35">
        <v>3840.0</v>
      </c>
      <c r="Y149" s="35" t="s">
        <v>672</v>
      </c>
      <c r="Z149" s="35" t="s">
        <v>678</v>
      </c>
      <c r="AA149" s="35"/>
      <c r="AB149" s="37" t="s">
        <v>676</v>
      </c>
      <c r="AC149" s="39" t="s">
        <v>679</v>
      </c>
      <c r="AD149" s="39"/>
      <c r="AE149" s="39"/>
      <c r="AF149" s="39"/>
      <c r="AG149" s="18"/>
    </row>
    <row r="150" ht="14.25" customHeight="1">
      <c r="A150" s="9" t="s">
        <v>444</v>
      </c>
      <c r="B150" s="9" t="s">
        <v>628</v>
      </c>
      <c r="C150" s="9"/>
      <c r="D150" s="10"/>
      <c r="E150" s="20"/>
      <c r="F150" s="23" t="s">
        <v>680</v>
      </c>
      <c r="G150" s="24" t="s">
        <v>681</v>
      </c>
      <c r="H150" s="24"/>
      <c r="I150" s="10"/>
      <c r="J150" s="10"/>
      <c r="K150" s="10"/>
      <c r="L150" s="10"/>
      <c r="M150" s="10"/>
      <c r="N150" s="10" t="s">
        <v>40</v>
      </c>
      <c r="O150" s="10">
        <v>22.0</v>
      </c>
      <c r="P150" s="10" t="s">
        <v>335</v>
      </c>
      <c r="Q150" s="15" t="s">
        <v>682</v>
      </c>
      <c r="R150" s="16">
        <v>1.0</v>
      </c>
      <c r="S150" s="16"/>
      <c r="T150" s="16">
        <v>8.0</v>
      </c>
      <c r="U150" s="16" t="s">
        <v>670</v>
      </c>
      <c r="V150" s="16">
        <v>160.0</v>
      </c>
      <c r="W150" s="16" t="s">
        <v>671</v>
      </c>
      <c r="X150" s="16">
        <v>3840.0</v>
      </c>
      <c r="Y150" s="16" t="s">
        <v>672</v>
      </c>
      <c r="Z150" s="16" t="s">
        <v>673</v>
      </c>
      <c r="AA150" s="10"/>
      <c r="AB150" s="24" t="s">
        <v>681</v>
      </c>
      <c r="AC150" s="17" t="s">
        <v>683</v>
      </c>
      <c r="AD150" s="17"/>
      <c r="AE150" s="17"/>
      <c r="AF150" s="17"/>
      <c r="AG150" s="18"/>
    </row>
    <row r="151" ht="14.25" customHeight="1">
      <c r="A151" s="9" t="s">
        <v>684</v>
      </c>
      <c r="B151" s="9" t="s">
        <v>685</v>
      </c>
      <c r="C151" s="9"/>
      <c r="D151" s="10"/>
      <c r="E151" s="20"/>
      <c r="F151" s="9" t="s">
        <v>686</v>
      </c>
      <c r="G151" s="12" t="s">
        <v>687</v>
      </c>
      <c r="H151" s="12"/>
      <c r="I151" s="10"/>
      <c r="J151" s="10"/>
      <c r="K151" s="10"/>
      <c r="L151" s="10"/>
      <c r="M151" s="10"/>
      <c r="N151" s="10" t="s">
        <v>40</v>
      </c>
      <c r="O151" s="10">
        <v>2250.0</v>
      </c>
      <c r="P151" s="10" t="s">
        <v>335</v>
      </c>
      <c r="Q151" s="10" t="s">
        <v>688</v>
      </c>
      <c r="R151" s="16">
        <v>1.0</v>
      </c>
      <c r="S151" s="16" t="s">
        <v>689</v>
      </c>
      <c r="T151" s="16"/>
      <c r="U151" s="16"/>
      <c r="V151" s="16">
        <v>5.0</v>
      </c>
      <c r="W151" s="16" t="s">
        <v>690</v>
      </c>
      <c r="X151" s="16">
        <v>90.0</v>
      </c>
      <c r="Y151" s="16" t="s">
        <v>44</v>
      </c>
      <c r="Z151" s="16" t="s">
        <v>691</v>
      </c>
      <c r="AA151" s="10"/>
      <c r="AB151" s="17" t="s">
        <v>692</v>
      </c>
      <c r="AC151" s="17" t="s">
        <v>693</v>
      </c>
      <c r="AD151" s="17"/>
      <c r="AE151" s="17"/>
      <c r="AF151" s="17"/>
      <c r="AG151" s="18"/>
    </row>
    <row r="152" ht="14.25" customHeight="1">
      <c r="A152" s="9" t="s">
        <v>684</v>
      </c>
      <c r="B152" s="9" t="s">
        <v>685</v>
      </c>
      <c r="C152" s="9"/>
      <c r="D152" s="10"/>
      <c r="E152" s="20"/>
      <c r="F152" s="9" t="s">
        <v>694</v>
      </c>
      <c r="G152" s="12" t="s">
        <v>695</v>
      </c>
      <c r="H152" s="12"/>
      <c r="I152" s="10"/>
      <c r="J152" s="10"/>
      <c r="K152" s="10"/>
      <c r="L152" s="10"/>
      <c r="M152" s="10"/>
      <c r="N152" s="10" t="s">
        <v>40</v>
      </c>
      <c r="O152" s="10">
        <v>2450.0</v>
      </c>
      <c r="P152" s="10" t="s">
        <v>335</v>
      </c>
      <c r="Q152" s="10" t="s">
        <v>696</v>
      </c>
      <c r="R152" s="16">
        <v>1.0</v>
      </c>
      <c r="S152" s="16" t="s">
        <v>697</v>
      </c>
      <c r="T152" s="16"/>
      <c r="U152" s="16"/>
      <c r="V152" s="16">
        <v>5.0</v>
      </c>
      <c r="W152" s="16" t="s">
        <v>698</v>
      </c>
      <c r="X152" s="16">
        <v>90.0</v>
      </c>
      <c r="Y152" s="16" t="s">
        <v>44</v>
      </c>
      <c r="Z152" s="16" t="s">
        <v>691</v>
      </c>
      <c r="AA152" s="10"/>
      <c r="AB152" s="17" t="s">
        <v>699</v>
      </c>
      <c r="AC152" s="17" t="s">
        <v>700</v>
      </c>
      <c r="AD152" s="17"/>
      <c r="AE152" s="17"/>
      <c r="AF152" s="17"/>
      <c r="AG152" s="18"/>
    </row>
    <row r="153" ht="14.25" customHeight="1">
      <c r="A153" s="9" t="s">
        <v>684</v>
      </c>
      <c r="B153" s="9" t="s">
        <v>685</v>
      </c>
      <c r="C153" s="9"/>
      <c r="D153" s="10"/>
      <c r="E153" s="20"/>
      <c r="F153" s="9" t="s">
        <v>701</v>
      </c>
      <c r="G153" s="12" t="s">
        <v>702</v>
      </c>
      <c r="H153" s="12"/>
      <c r="I153" s="10"/>
      <c r="J153" s="10"/>
      <c r="K153" s="10"/>
      <c r="L153" s="10"/>
      <c r="M153" s="10"/>
      <c r="N153" s="10" t="s">
        <v>40</v>
      </c>
      <c r="O153" s="10">
        <v>150.4</v>
      </c>
      <c r="P153" s="10" t="s">
        <v>335</v>
      </c>
      <c r="Q153" s="10" t="s">
        <v>703</v>
      </c>
      <c r="R153" s="16">
        <v>1.0</v>
      </c>
      <c r="S153" s="16" t="s">
        <v>704</v>
      </c>
      <c r="T153" s="16"/>
      <c r="U153" s="16"/>
      <c r="V153" s="16">
        <v>30.0</v>
      </c>
      <c r="W153" s="16" t="s">
        <v>690</v>
      </c>
      <c r="X153" s="16">
        <v>540.0</v>
      </c>
      <c r="Y153" s="16" t="s">
        <v>44</v>
      </c>
      <c r="Z153" s="16" t="s">
        <v>691</v>
      </c>
      <c r="AA153" s="10"/>
      <c r="AB153" s="17" t="s">
        <v>702</v>
      </c>
      <c r="AC153" s="17" t="s">
        <v>705</v>
      </c>
      <c r="AD153" s="17"/>
      <c r="AE153" s="17"/>
      <c r="AF153" s="17"/>
      <c r="AG153" s="18"/>
    </row>
    <row r="154" ht="14.25" customHeight="1">
      <c r="A154" s="9" t="s">
        <v>684</v>
      </c>
      <c r="B154" s="9" t="s">
        <v>685</v>
      </c>
      <c r="C154" s="9"/>
      <c r="D154" s="10"/>
      <c r="E154" s="20"/>
      <c r="F154" s="9" t="s">
        <v>706</v>
      </c>
      <c r="G154" s="12" t="s">
        <v>707</v>
      </c>
      <c r="H154" s="12"/>
      <c r="I154" s="10"/>
      <c r="J154" s="10"/>
      <c r="K154" s="10"/>
      <c r="L154" s="10"/>
      <c r="M154" s="10"/>
      <c r="N154" s="10" t="s">
        <v>40</v>
      </c>
      <c r="O154" s="10">
        <v>178.0</v>
      </c>
      <c r="P154" s="10" t="s">
        <v>335</v>
      </c>
      <c r="Q154" s="10" t="s">
        <v>708</v>
      </c>
      <c r="R154" s="16">
        <v>1.0</v>
      </c>
      <c r="S154" s="16" t="s">
        <v>704</v>
      </c>
      <c r="T154" s="16"/>
      <c r="U154" s="16"/>
      <c r="V154" s="16">
        <v>30.0</v>
      </c>
      <c r="W154" s="16" t="s">
        <v>690</v>
      </c>
      <c r="X154" s="16">
        <v>540.0</v>
      </c>
      <c r="Y154" s="16" t="s">
        <v>44</v>
      </c>
      <c r="Z154" s="16" t="s">
        <v>691</v>
      </c>
      <c r="AA154" s="10"/>
      <c r="AB154" s="17" t="s">
        <v>707</v>
      </c>
      <c r="AC154" s="17" t="s">
        <v>709</v>
      </c>
      <c r="AD154" s="17"/>
      <c r="AE154" s="17"/>
      <c r="AF154" s="17"/>
      <c r="AG154" s="18"/>
    </row>
    <row r="155" ht="14.25" customHeight="1">
      <c r="A155" s="9" t="s">
        <v>684</v>
      </c>
      <c r="B155" s="9" t="s">
        <v>685</v>
      </c>
      <c r="C155" s="9"/>
      <c r="D155" s="10"/>
      <c r="E155" s="20"/>
      <c r="F155" s="9" t="s">
        <v>710</v>
      </c>
      <c r="G155" s="12" t="s">
        <v>711</v>
      </c>
      <c r="H155" s="12"/>
      <c r="I155" s="10"/>
      <c r="J155" s="10"/>
      <c r="K155" s="10"/>
      <c r="L155" s="10"/>
      <c r="M155" s="10"/>
      <c r="N155" s="10" t="s">
        <v>40</v>
      </c>
      <c r="O155" s="10">
        <v>175.0</v>
      </c>
      <c r="P155" s="10" t="s">
        <v>335</v>
      </c>
      <c r="Q155" s="15" t="s">
        <v>712</v>
      </c>
      <c r="R155" s="16">
        <v>1.0</v>
      </c>
      <c r="S155" s="16" t="s">
        <v>704</v>
      </c>
      <c r="T155" s="16"/>
      <c r="U155" s="16"/>
      <c r="V155" s="16">
        <v>30.0</v>
      </c>
      <c r="W155" s="16" t="s">
        <v>690</v>
      </c>
      <c r="X155" s="16">
        <v>540.0</v>
      </c>
      <c r="Y155" s="16" t="s">
        <v>44</v>
      </c>
      <c r="Z155" s="16" t="s">
        <v>691</v>
      </c>
      <c r="AA155" s="10"/>
      <c r="AB155" s="17" t="s">
        <v>711</v>
      </c>
      <c r="AC155" s="17" t="s">
        <v>713</v>
      </c>
      <c r="AD155" s="17"/>
      <c r="AE155" s="17"/>
      <c r="AF155" s="17"/>
      <c r="AG155" s="18"/>
    </row>
    <row r="156" ht="14.25" customHeight="1">
      <c r="A156" s="9" t="s">
        <v>684</v>
      </c>
      <c r="B156" s="9" t="s">
        <v>685</v>
      </c>
      <c r="C156" s="9"/>
      <c r="D156" s="10"/>
      <c r="E156" s="20"/>
      <c r="F156" s="9" t="s">
        <v>714</v>
      </c>
      <c r="G156" s="12" t="s">
        <v>715</v>
      </c>
      <c r="H156" s="12"/>
      <c r="I156" s="10"/>
      <c r="J156" s="10"/>
      <c r="K156" s="10"/>
      <c r="L156" s="10"/>
      <c r="M156" s="10"/>
      <c r="N156" s="10" t="s">
        <v>40</v>
      </c>
      <c r="O156" s="10">
        <v>173.0</v>
      </c>
      <c r="P156" s="10" t="s">
        <v>335</v>
      </c>
      <c r="Q156" s="15" t="s">
        <v>716</v>
      </c>
      <c r="R156" s="16">
        <v>1.0</v>
      </c>
      <c r="S156" s="16" t="s">
        <v>704</v>
      </c>
      <c r="T156" s="16"/>
      <c r="U156" s="16"/>
      <c r="V156" s="16">
        <v>30.0</v>
      </c>
      <c r="W156" s="16" t="s">
        <v>690</v>
      </c>
      <c r="X156" s="16">
        <v>540.0</v>
      </c>
      <c r="Y156" s="16" t="s">
        <v>44</v>
      </c>
      <c r="Z156" s="16" t="s">
        <v>691</v>
      </c>
      <c r="AA156" s="10"/>
      <c r="AB156" s="17" t="s">
        <v>715</v>
      </c>
      <c r="AC156" s="17" t="s">
        <v>717</v>
      </c>
      <c r="AD156" s="17"/>
      <c r="AE156" s="17"/>
      <c r="AF156" s="17"/>
      <c r="AG156" s="18"/>
    </row>
    <row r="157" ht="14.25" customHeight="1">
      <c r="A157" s="9" t="s">
        <v>684</v>
      </c>
      <c r="B157" s="9" t="s">
        <v>718</v>
      </c>
      <c r="C157" s="9"/>
      <c r="D157" s="10"/>
      <c r="E157" s="20"/>
      <c r="F157" s="9" t="s">
        <v>719</v>
      </c>
      <c r="G157" s="12" t="s">
        <v>720</v>
      </c>
      <c r="H157" s="12"/>
      <c r="I157" s="10"/>
      <c r="J157" s="10"/>
      <c r="K157" s="10"/>
      <c r="L157" s="10"/>
      <c r="M157" s="10"/>
      <c r="N157" s="10" t="s">
        <v>40</v>
      </c>
      <c r="O157" s="10">
        <v>3.4</v>
      </c>
      <c r="P157" s="10" t="s">
        <v>335</v>
      </c>
      <c r="Q157" s="10" t="s">
        <v>721</v>
      </c>
      <c r="R157" s="16">
        <v>40.0</v>
      </c>
      <c r="S157" s="16" t="s">
        <v>722</v>
      </c>
      <c r="T157" s="16">
        <v>1440.0</v>
      </c>
      <c r="U157" s="16" t="s">
        <v>723</v>
      </c>
      <c r="V157" s="16">
        <v>2880.0</v>
      </c>
      <c r="W157" s="16" t="s">
        <v>724</v>
      </c>
      <c r="X157" s="16">
        <v>51840.0</v>
      </c>
      <c r="Y157" s="16" t="s">
        <v>44</v>
      </c>
      <c r="Z157" s="16" t="s">
        <v>673</v>
      </c>
      <c r="AA157" s="10"/>
      <c r="AB157" s="17" t="s">
        <v>725</v>
      </c>
      <c r="AC157" s="17" t="s">
        <v>726</v>
      </c>
      <c r="AD157" s="17"/>
      <c r="AE157" s="17"/>
      <c r="AF157" s="17"/>
      <c r="AG157" s="18"/>
    </row>
    <row r="158" ht="14.25" customHeight="1">
      <c r="A158" s="9" t="s">
        <v>684</v>
      </c>
      <c r="B158" s="9" t="s">
        <v>718</v>
      </c>
      <c r="C158" s="9"/>
      <c r="D158" s="10"/>
      <c r="E158" s="20"/>
      <c r="F158" s="9" t="s">
        <v>727</v>
      </c>
      <c r="G158" s="12" t="s">
        <v>728</v>
      </c>
      <c r="H158" s="12"/>
      <c r="I158" s="10"/>
      <c r="J158" s="10"/>
      <c r="K158" s="10"/>
      <c r="L158" s="10"/>
      <c r="M158" s="10"/>
      <c r="N158" s="10" t="s">
        <v>40</v>
      </c>
      <c r="O158" s="10">
        <v>3.4</v>
      </c>
      <c r="P158" s="10" t="s">
        <v>335</v>
      </c>
      <c r="Q158" s="10" t="s">
        <v>729</v>
      </c>
      <c r="R158" s="16">
        <v>40.0</v>
      </c>
      <c r="S158" s="16" t="s">
        <v>722</v>
      </c>
      <c r="T158" s="16">
        <v>1440.0</v>
      </c>
      <c r="U158" s="16" t="s">
        <v>723</v>
      </c>
      <c r="V158" s="16">
        <v>2880.0</v>
      </c>
      <c r="W158" s="16" t="s">
        <v>724</v>
      </c>
      <c r="X158" s="16">
        <v>51840.0</v>
      </c>
      <c r="Y158" s="16" t="s">
        <v>44</v>
      </c>
      <c r="Z158" s="16" t="s">
        <v>673</v>
      </c>
      <c r="AA158" s="10"/>
      <c r="AB158" s="17" t="s">
        <v>730</v>
      </c>
      <c r="AC158" s="17" t="s">
        <v>731</v>
      </c>
      <c r="AD158" s="17"/>
      <c r="AE158" s="17"/>
      <c r="AF158" s="17"/>
      <c r="AG158" s="18"/>
    </row>
    <row r="159" ht="14.25" customHeight="1">
      <c r="A159" s="9" t="s">
        <v>684</v>
      </c>
      <c r="B159" s="9" t="s">
        <v>718</v>
      </c>
      <c r="C159" s="9"/>
      <c r="D159" s="10"/>
      <c r="E159" s="20"/>
      <c r="F159" s="9" t="s">
        <v>732</v>
      </c>
      <c r="G159" s="12" t="s">
        <v>733</v>
      </c>
      <c r="H159" s="12"/>
      <c r="I159" s="10"/>
      <c r="J159" s="10"/>
      <c r="K159" s="10"/>
      <c r="L159" s="10"/>
      <c r="M159" s="10"/>
      <c r="N159" s="10" t="s">
        <v>40</v>
      </c>
      <c r="O159" s="10">
        <v>6.2</v>
      </c>
      <c r="P159" s="10" t="s">
        <v>335</v>
      </c>
      <c r="Q159" s="15" t="s">
        <v>734</v>
      </c>
      <c r="R159" s="16">
        <v>20.0</v>
      </c>
      <c r="S159" s="16" t="s">
        <v>722</v>
      </c>
      <c r="T159" s="16">
        <v>720.0</v>
      </c>
      <c r="U159" s="16" t="s">
        <v>723</v>
      </c>
      <c r="V159" s="16">
        <v>1440.0</v>
      </c>
      <c r="W159" s="16" t="s">
        <v>724</v>
      </c>
      <c r="X159" s="16">
        <v>25920.0</v>
      </c>
      <c r="Y159" s="16" t="s">
        <v>44</v>
      </c>
      <c r="Z159" s="16" t="s">
        <v>673</v>
      </c>
      <c r="AA159" s="10"/>
      <c r="AB159" s="17" t="s">
        <v>735</v>
      </c>
      <c r="AC159" s="17" t="s">
        <v>736</v>
      </c>
      <c r="AD159" s="17"/>
      <c r="AE159" s="17"/>
      <c r="AF159" s="31"/>
      <c r="AG159" s="18"/>
    </row>
    <row r="160" ht="14.25" customHeight="1">
      <c r="A160" s="9" t="s">
        <v>684</v>
      </c>
      <c r="B160" s="9" t="s">
        <v>718</v>
      </c>
      <c r="C160" s="9"/>
      <c r="D160" s="10"/>
      <c r="E160" s="20"/>
      <c r="F160" s="9" t="s">
        <v>737</v>
      </c>
      <c r="G160" s="12" t="s">
        <v>738</v>
      </c>
      <c r="H160" s="12"/>
      <c r="I160" s="10"/>
      <c r="J160" s="10"/>
      <c r="K160" s="10"/>
      <c r="L160" s="10"/>
      <c r="M160" s="10"/>
      <c r="N160" s="10" t="s">
        <v>40</v>
      </c>
      <c r="O160" s="10">
        <v>6.2</v>
      </c>
      <c r="P160" s="10" t="s">
        <v>335</v>
      </c>
      <c r="Q160" s="15" t="s">
        <v>739</v>
      </c>
      <c r="R160" s="16">
        <v>20.0</v>
      </c>
      <c r="S160" s="16" t="s">
        <v>722</v>
      </c>
      <c r="T160" s="16">
        <v>720.0</v>
      </c>
      <c r="U160" s="16" t="s">
        <v>723</v>
      </c>
      <c r="V160" s="16">
        <v>1440.0</v>
      </c>
      <c r="W160" s="16" t="s">
        <v>724</v>
      </c>
      <c r="X160" s="16">
        <v>25920.0</v>
      </c>
      <c r="Y160" s="16" t="s">
        <v>44</v>
      </c>
      <c r="Z160" s="16" t="s">
        <v>673</v>
      </c>
      <c r="AA160" s="10"/>
      <c r="AB160" s="17" t="s">
        <v>740</v>
      </c>
      <c r="AC160" s="17" t="s">
        <v>741</v>
      </c>
      <c r="AD160" s="17"/>
      <c r="AE160" s="17"/>
      <c r="AF160" s="31"/>
      <c r="AG160" s="18"/>
    </row>
    <row r="161" ht="14.25" customHeight="1">
      <c r="A161" s="9" t="s">
        <v>684</v>
      </c>
      <c r="B161" s="9" t="s">
        <v>742</v>
      </c>
      <c r="C161" s="9"/>
      <c r="D161" s="10"/>
      <c r="E161" s="20"/>
      <c r="F161" s="23" t="s">
        <v>743</v>
      </c>
      <c r="G161" s="24" t="s">
        <v>744</v>
      </c>
      <c r="H161" s="24"/>
      <c r="I161" s="10"/>
      <c r="J161" s="10"/>
      <c r="K161" s="10"/>
      <c r="L161" s="10"/>
      <c r="M161" s="10"/>
      <c r="N161" s="10" t="s">
        <v>40</v>
      </c>
      <c r="O161" s="10">
        <v>21.4</v>
      </c>
      <c r="P161" s="10" t="s">
        <v>335</v>
      </c>
      <c r="Q161" s="10" t="s">
        <v>745</v>
      </c>
      <c r="R161" s="16">
        <v>1.0</v>
      </c>
      <c r="S161" s="16" t="s">
        <v>746</v>
      </c>
      <c r="T161" s="16">
        <v>90.0</v>
      </c>
      <c r="U161" s="16" t="s">
        <v>723</v>
      </c>
      <c r="V161" s="16">
        <v>180.0</v>
      </c>
      <c r="W161" s="16" t="s">
        <v>724</v>
      </c>
      <c r="X161" s="16">
        <v>2160.0</v>
      </c>
      <c r="Y161" s="16" t="s">
        <v>44</v>
      </c>
      <c r="Z161" s="16" t="s">
        <v>747</v>
      </c>
      <c r="AA161" s="10"/>
      <c r="AB161" s="24" t="s">
        <v>744</v>
      </c>
      <c r="AC161" s="17" t="s">
        <v>748</v>
      </c>
      <c r="AD161" s="17"/>
      <c r="AE161" s="17"/>
      <c r="AF161" s="17"/>
      <c r="AG161" s="18"/>
    </row>
    <row r="162" ht="14.25" customHeight="1">
      <c r="A162" s="9" t="s">
        <v>684</v>
      </c>
      <c r="B162" s="9" t="s">
        <v>742</v>
      </c>
      <c r="C162" s="9"/>
      <c r="D162" s="10"/>
      <c r="E162" s="20"/>
      <c r="F162" s="23" t="s">
        <v>749</v>
      </c>
      <c r="G162" s="24" t="s">
        <v>750</v>
      </c>
      <c r="H162" s="24"/>
      <c r="I162" s="10"/>
      <c r="J162" s="10"/>
      <c r="K162" s="10"/>
      <c r="L162" s="10"/>
      <c r="M162" s="10"/>
      <c r="N162" s="10" t="s">
        <v>40</v>
      </c>
      <c r="O162" s="10">
        <v>54.2</v>
      </c>
      <c r="P162" s="10" t="s">
        <v>335</v>
      </c>
      <c r="Q162" s="10" t="s">
        <v>751</v>
      </c>
      <c r="R162" s="16">
        <v>1.0</v>
      </c>
      <c r="S162" s="16" t="s">
        <v>746</v>
      </c>
      <c r="T162" s="16">
        <v>80.0</v>
      </c>
      <c r="U162" s="16" t="s">
        <v>723</v>
      </c>
      <c r="V162" s="16">
        <v>160.0</v>
      </c>
      <c r="W162" s="16" t="s">
        <v>724</v>
      </c>
      <c r="X162" s="16">
        <v>1920.0</v>
      </c>
      <c r="Y162" s="16" t="s">
        <v>44</v>
      </c>
      <c r="Z162" s="16" t="s">
        <v>747</v>
      </c>
      <c r="AA162" s="10"/>
      <c r="AB162" s="24" t="s">
        <v>750</v>
      </c>
      <c r="AC162" s="17" t="s">
        <v>752</v>
      </c>
      <c r="AD162" s="17"/>
      <c r="AE162" s="17"/>
      <c r="AF162" s="17"/>
      <c r="AG162" s="18"/>
    </row>
    <row r="163" ht="14.25" customHeight="1">
      <c r="A163" s="9" t="s">
        <v>684</v>
      </c>
      <c r="B163" s="9" t="s">
        <v>742</v>
      </c>
      <c r="C163" s="9"/>
      <c r="D163" s="10"/>
      <c r="E163" s="20"/>
      <c r="F163" s="23" t="s">
        <v>753</v>
      </c>
      <c r="G163" s="24" t="s">
        <v>754</v>
      </c>
      <c r="H163" s="24"/>
      <c r="I163" s="10"/>
      <c r="J163" s="10"/>
      <c r="K163" s="10"/>
      <c r="L163" s="10"/>
      <c r="M163" s="10"/>
      <c r="N163" s="10" t="s">
        <v>40</v>
      </c>
      <c r="O163" s="10">
        <v>97.0</v>
      </c>
      <c r="P163" s="10" t="s">
        <v>335</v>
      </c>
      <c r="Q163" s="10" t="s">
        <v>755</v>
      </c>
      <c r="R163" s="16">
        <v>1.0</v>
      </c>
      <c r="S163" s="16" t="s">
        <v>746</v>
      </c>
      <c r="T163" s="16">
        <v>60.0</v>
      </c>
      <c r="U163" s="16" t="s">
        <v>723</v>
      </c>
      <c r="V163" s="16">
        <v>120.0</v>
      </c>
      <c r="W163" s="16" t="s">
        <v>724</v>
      </c>
      <c r="X163" s="16">
        <v>1440.0</v>
      </c>
      <c r="Y163" s="16" t="s">
        <v>44</v>
      </c>
      <c r="Z163" s="16" t="s">
        <v>747</v>
      </c>
      <c r="AA163" s="10"/>
      <c r="AB163" s="24" t="s">
        <v>754</v>
      </c>
      <c r="AC163" s="17" t="s">
        <v>756</v>
      </c>
      <c r="AD163" s="17"/>
      <c r="AE163" s="17"/>
      <c r="AF163" s="17"/>
      <c r="AG163" s="18"/>
    </row>
    <row r="164" ht="14.25" customHeight="1">
      <c r="A164" s="9" t="s">
        <v>684</v>
      </c>
      <c r="B164" s="9" t="s">
        <v>742</v>
      </c>
      <c r="C164" s="9"/>
      <c r="D164" s="10"/>
      <c r="E164" s="20"/>
      <c r="F164" s="23" t="s">
        <v>757</v>
      </c>
      <c r="G164" s="24" t="s">
        <v>758</v>
      </c>
      <c r="H164" s="24"/>
      <c r="I164" s="10"/>
      <c r="J164" s="10"/>
      <c r="K164" s="10"/>
      <c r="L164" s="10"/>
      <c r="M164" s="10"/>
      <c r="N164" s="10" t="s">
        <v>40</v>
      </c>
      <c r="O164" s="10">
        <v>25.4</v>
      </c>
      <c r="P164" s="10" t="s">
        <v>335</v>
      </c>
      <c r="Q164" s="10" t="s">
        <v>759</v>
      </c>
      <c r="R164" s="16">
        <v>1.0</v>
      </c>
      <c r="S164" s="16" t="s">
        <v>746</v>
      </c>
      <c r="T164" s="16">
        <v>90.0</v>
      </c>
      <c r="U164" s="16" t="s">
        <v>723</v>
      </c>
      <c r="V164" s="16">
        <v>180.0</v>
      </c>
      <c r="W164" s="16" t="s">
        <v>724</v>
      </c>
      <c r="X164" s="16">
        <v>2160.0</v>
      </c>
      <c r="Y164" s="16" t="s">
        <v>44</v>
      </c>
      <c r="Z164" s="16" t="s">
        <v>747</v>
      </c>
      <c r="AA164" s="10"/>
      <c r="AB164" s="24" t="s">
        <v>758</v>
      </c>
      <c r="AC164" s="17" t="s">
        <v>760</v>
      </c>
      <c r="AD164" s="17"/>
      <c r="AE164" s="17"/>
      <c r="AF164" s="17"/>
      <c r="AG164" s="18"/>
    </row>
    <row r="165" ht="14.25" customHeight="1">
      <c r="A165" s="9" t="s">
        <v>684</v>
      </c>
      <c r="B165" s="9" t="s">
        <v>742</v>
      </c>
      <c r="C165" s="9"/>
      <c r="D165" s="10"/>
      <c r="E165" s="20"/>
      <c r="F165" s="23" t="s">
        <v>761</v>
      </c>
      <c r="G165" s="24" t="s">
        <v>762</v>
      </c>
      <c r="H165" s="24"/>
      <c r="I165" s="10"/>
      <c r="J165" s="10"/>
      <c r="K165" s="10"/>
      <c r="L165" s="10"/>
      <c r="M165" s="10"/>
      <c r="N165" s="10" t="s">
        <v>40</v>
      </c>
      <c r="O165" s="10">
        <v>54.2</v>
      </c>
      <c r="P165" s="10" t="s">
        <v>335</v>
      </c>
      <c r="Q165" s="10" t="s">
        <v>763</v>
      </c>
      <c r="R165" s="16">
        <v>1.0</v>
      </c>
      <c r="S165" s="16" t="s">
        <v>746</v>
      </c>
      <c r="T165" s="16">
        <v>80.0</v>
      </c>
      <c r="U165" s="16" t="s">
        <v>723</v>
      </c>
      <c r="V165" s="16">
        <v>160.0</v>
      </c>
      <c r="W165" s="16" t="s">
        <v>724</v>
      </c>
      <c r="X165" s="16">
        <v>1920.0</v>
      </c>
      <c r="Y165" s="16" t="s">
        <v>44</v>
      </c>
      <c r="Z165" s="16" t="s">
        <v>747</v>
      </c>
      <c r="AA165" s="10"/>
      <c r="AB165" s="24" t="s">
        <v>762</v>
      </c>
      <c r="AC165" s="17" t="s">
        <v>764</v>
      </c>
      <c r="AD165" s="17"/>
      <c r="AE165" s="17"/>
      <c r="AF165" s="17"/>
      <c r="AG165" s="18"/>
    </row>
    <row r="166" ht="14.25" customHeight="1">
      <c r="A166" s="9" t="s">
        <v>684</v>
      </c>
      <c r="B166" s="9" t="s">
        <v>742</v>
      </c>
      <c r="C166" s="9"/>
      <c r="D166" s="10"/>
      <c r="E166" s="20"/>
      <c r="F166" s="23" t="s">
        <v>765</v>
      </c>
      <c r="G166" s="24" t="s">
        <v>766</v>
      </c>
      <c r="H166" s="24"/>
      <c r="I166" s="10"/>
      <c r="J166" s="10"/>
      <c r="K166" s="10"/>
      <c r="L166" s="10"/>
      <c r="M166" s="10"/>
      <c r="N166" s="10" t="s">
        <v>40</v>
      </c>
      <c r="O166" s="10">
        <v>22.0</v>
      </c>
      <c r="P166" s="10" t="s">
        <v>335</v>
      </c>
      <c r="Q166" s="10" t="s">
        <v>767</v>
      </c>
      <c r="R166" s="16">
        <v>1.0</v>
      </c>
      <c r="S166" s="16" t="s">
        <v>746</v>
      </c>
      <c r="T166" s="16">
        <v>90.0</v>
      </c>
      <c r="U166" s="16" t="s">
        <v>723</v>
      </c>
      <c r="V166" s="16">
        <v>180.0</v>
      </c>
      <c r="W166" s="16" t="s">
        <v>724</v>
      </c>
      <c r="X166" s="16">
        <v>2160.0</v>
      </c>
      <c r="Y166" s="16" t="s">
        <v>44</v>
      </c>
      <c r="Z166" s="16" t="s">
        <v>747</v>
      </c>
      <c r="AA166" s="10"/>
      <c r="AB166" s="24" t="s">
        <v>766</v>
      </c>
      <c r="AC166" s="17" t="s">
        <v>768</v>
      </c>
      <c r="AD166" s="17"/>
      <c r="AE166" s="17"/>
      <c r="AF166" s="17"/>
      <c r="AG166" s="18"/>
    </row>
    <row r="167" ht="14.25" customHeight="1">
      <c r="A167" s="9" t="s">
        <v>684</v>
      </c>
      <c r="B167" s="9" t="s">
        <v>742</v>
      </c>
      <c r="C167" s="9"/>
      <c r="D167" s="10"/>
      <c r="E167" s="20"/>
      <c r="F167" s="23" t="s">
        <v>769</v>
      </c>
      <c r="G167" s="24" t="s">
        <v>770</v>
      </c>
      <c r="H167" s="24"/>
      <c r="I167" s="10"/>
      <c r="J167" s="10"/>
      <c r="K167" s="10"/>
      <c r="L167" s="10"/>
      <c r="M167" s="10"/>
      <c r="N167" s="10" t="s">
        <v>40</v>
      </c>
      <c r="O167" s="10">
        <v>39.0</v>
      </c>
      <c r="P167" s="10" t="s">
        <v>335</v>
      </c>
      <c r="Q167" s="10" t="s">
        <v>771</v>
      </c>
      <c r="R167" s="16">
        <v>1.0</v>
      </c>
      <c r="S167" s="16" t="s">
        <v>746</v>
      </c>
      <c r="T167" s="16">
        <v>80.0</v>
      </c>
      <c r="U167" s="16" t="s">
        <v>723</v>
      </c>
      <c r="V167" s="16">
        <v>160.0</v>
      </c>
      <c r="W167" s="16" t="s">
        <v>724</v>
      </c>
      <c r="X167" s="16">
        <v>1920.0</v>
      </c>
      <c r="Y167" s="16" t="s">
        <v>44</v>
      </c>
      <c r="Z167" s="16" t="s">
        <v>747</v>
      </c>
      <c r="AA167" s="10"/>
      <c r="AB167" s="24" t="s">
        <v>770</v>
      </c>
      <c r="AC167" s="17" t="s">
        <v>772</v>
      </c>
      <c r="AD167" s="17"/>
      <c r="AE167" s="17"/>
      <c r="AF167" s="17"/>
      <c r="AG167" s="18"/>
    </row>
    <row r="168" ht="14.25" customHeight="1">
      <c r="A168" s="9" t="s">
        <v>684</v>
      </c>
      <c r="B168" s="9" t="s">
        <v>742</v>
      </c>
      <c r="C168" s="9"/>
      <c r="D168" s="10"/>
      <c r="E168" s="20"/>
      <c r="F168" s="23" t="s">
        <v>773</v>
      </c>
      <c r="G168" s="24" t="s">
        <v>774</v>
      </c>
      <c r="H168" s="24"/>
      <c r="I168" s="10"/>
      <c r="J168" s="10"/>
      <c r="K168" s="10"/>
      <c r="L168" s="10"/>
      <c r="M168" s="10"/>
      <c r="N168" s="10" t="s">
        <v>40</v>
      </c>
      <c r="O168" s="10">
        <v>54.2</v>
      </c>
      <c r="P168" s="10" t="s">
        <v>335</v>
      </c>
      <c r="Q168" s="10" t="s">
        <v>775</v>
      </c>
      <c r="R168" s="16">
        <v>1.0</v>
      </c>
      <c r="S168" s="16" t="s">
        <v>746</v>
      </c>
      <c r="T168" s="16">
        <v>80.0</v>
      </c>
      <c r="U168" s="16" t="s">
        <v>723</v>
      </c>
      <c r="V168" s="16">
        <v>160.0</v>
      </c>
      <c r="W168" s="16" t="s">
        <v>724</v>
      </c>
      <c r="X168" s="16">
        <v>1920.0</v>
      </c>
      <c r="Y168" s="16" t="s">
        <v>44</v>
      </c>
      <c r="Z168" s="16" t="s">
        <v>747</v>
      </c>
      <c r="AA168" s="10"/>
      <c r="AB168" s="24" t="s">
        <v>774</v>
      </c>
      <c r="AC168" s="17" t="s">
        <v>776</v>
      </c>
      <c r="AD168" s="17"/>
      <c r="AE168" s="17"/>
      <c r="AF168" s="17"/>
      <c r="AG168" s="18"/>
    </row>
    <row r="169" ht="14.25" customHeight="1">
      <c r="A169" s="9" t="s">
        <v>684</v>
      </c>
      <c r="B169" s="9" t="s">
        <v>742</v>
      </c>
      <c r="C169" s="9"/>
      <c r="D169" s="10"/>
      <c r="E169" s="20"/>
      <c r="F169" s="23" t="s">
        <v>777</v>
      </c>
      <c r="G169" s="24" t="s">
        <v>778</v>
      </c>
      <c r="H169" s="24"/>
      <c r="I169" s="10"/>
      <c r="J169" s="10"/>
      <c r="K169" s="10"/>
      <c r="L169" s="10"/>
      <c r="M169" s="10"/>
      <c r="N169" s="10" t="s">
        <v>40</v>
      </c>
      <c r="O169" s="10">
        <v>97.0</v>
      </c>
      <c r="P169" s="10" t="s">
        <v>335</v>
      </c>
      <c r="Q169" s="10" t="s">
        <v>779</v>
      </c>
      <c r="R169" s="16">
        <v>1.0</v>
      </c>
      <c r="S169" s="16" t="s">
        <v>746</v>
      </c>
      <c r="T169" s="16">
        <v>60.0</v>
      </c>
      <c r="U169" s="16" t="s">
        <v>723</v>
      </c>
      <c r="V169" s="16">
        <v>120.0</v>
      </c>
      <c r="W169" s="16" t="s">
        <v>724</v>
      </c>
      <c r="X169" s="16">
        <v>1440.0</v>
      </c>
      <c r="Y169" s="16" t="s">
        <v>44</v>
      </c>
      <c r="Z169" s="16" t="s">
        <v>747</v>
      </c>
      <c r="AA169" s="10"/>
      <c r="AB169" s="24" t="s">
        <v>778</v>
      </c>
      <c r="AC169" s="17" t="s">
        <v>780</v>
      </c>
      <c r="AD169" s="17"/>
      <c r="AE169" s="17"/>
      <c r="AF169" s="17"/>
      <c r="AG169" s="18"/>
    </row>
    <row r="170" ht="14.25" customHeight="1">
      <c r="A170" s="9" t="s">
        <v>684</v>
      </c>
      <c r="B170" s="9" t="s">
        <v>742</v>
      </c>
      <c r="C170" s="9"/>
      <c r="D170" s="10"/>
      <c r="E170" s="20"/>
      <c r="F170" s="23" t="s">
        <v>781</v>
      </c>
      <c r="G170" s="24" t="s">
        <v>782</v>
      </c>
      <c r="H170" s="24"/>
      <c r="I170" s="10"/>
      <c r="J170" s="10"/>
      <c r="K170" s="10"/>
      <c r="L170" s="10"/>
      <c r="M170" s="10"/>
      <c r="N170" s="10" t="s">
        <v>40</v>
      </c>
      <c r="O170" s="10">
        <v>21.4</v>
      </c>
      <c r="P170" s="10" t="s">
        <v>335</v>
      </c>
      <c r="Q170" s="10" t="s">
        <v>783</v>
      </c>
      <c r="R170" s="16">
        <v>1.0</v>
      </c>
      <c r="S170" s="16" t="s">
        <v>746</v>
      </c>
      <c r="T170" s="16">
        <v>90.0</v>
      </c>
      <c r="U170" s="16" t="s">
        <v>723</v>
      </c>
      <c r="V170" s="16">
        <v>180.0</v>
      </c>
      <c r="W170" s="16" t="s">
        <v>724</v>
      </c>
      <c r="X170" s="16">
        <v>2160.0</v>
      </c>
      <c r="Y170" s="16" t="s">
        <v>44</v>
      </c>
      <c r="Z170" s="16" t="s">
        <v>747</v>
      </c>
      <c r="AA170" s="10"/>
      <c r="AB170" s="24" t="s">
        <v>782</v>
      </c>
      <c r="AC170" s="17" t="s">
        <v>784</v>
      </c>
      <c r="AD170" s="17"/>
      <c r="AE170" s="17"/>
      <c r="AF170" s="17"/>
      <c r="AG170" s="18"/>
    </row>
    <row r="171" ht="14.25" customHeight="1">
      <c r="A171" s="9" t="s">
        <v>684</v>
      </c>
      <c r="B171" s="9" t="s">
        <v>742</v>
      </c>
      <c r="C171" s="9"/>
      <c r="D171" s="10"/>
      <c r="E171" s="20"/>
      <c r="F171" s="23" t="s">
        <v>785</v>
      </c>
      <c r="G171" s="24" t="s">
        <v>786</v>
      </c>
      <c r="H171" s="24"/>
      <c r="I171" s="10"/>
      <c r="J171" s="10"/>
      <c r="K171" s="10"/>
      <c r="L171" s="10"/>
      <c r="M171" s="10"/>
      <c r="N171" s="10" t="s">
        <v>40</v>
      </c>
      <c r="O171" s="10">
        <v>65.0</v>
      </c>
      <c r="P171" s="10" t="s">
        <v>335</v>
      </c>
      <c r="Q171" s="10" t="s">
        <v>787</v>
      </c>
      <c r="R171" s="16">
        <v>1.0</v>
      </c>
      <c r="S171" s="16" t="s">
        <v>746</v>
      </c>
      <c r="T171" s="16">
        <v>80.0</v>
      </c>
      <c r="U171" s="16" t="s">
        <v>723</v>
      </c>
      <c r="V171" s="16">
        <v>160.0</v>
      </c>
      <c r="W171" s="16" t="s">
        <v>724</v>
      </c>
      <c r="X171" s="16">
        <v>1920.0</v>
      </c>
      <c r="Y171" s="16" t="s">
        <v>44</v>
      </c>
      <c r="Z171" s="16" t="s">
        <v>747</v>
      </c>
      <c r="AA171" s="10"/>
      <c r="AB171" s="24" t="s">
        <v>786</v>
      </c>
      <c r="AC171" s="17" t="s">
        <v>788</v>
      </c>
      <c r="AD171" s="17"/>
      <c r="AE171" s="17"/>
      <c r="AF171" s="17"/>
      <c r="AG171" s="18"/>
    </row>
    <row r="172" ht="14.25" customHeight="1">
      <c r="A172" s="9" t="s">
        <v>684</v>
      </c>
      <c r="B172" s="9" t="s">
        <v>742</v>
      </c>
      <c r="C172" s="9"/>
      <c r="D172" s="10"/>
      <c r="E172" s="20"/>
      <c r="F172" s="23" t="s">
        <v>789</v>
      </c>
      <c r="G172" s="24" t="s">
        <v>790</v>
      </c>
      <c r="H172" s="24"/>
      <c r="I172" s="10"/>
      <c r="J172" s="10"/>
      <c r="K172" s="10"/>
      <c r="L172" s="10"/>
      <c r="M172" s="10"/>
      <c r="N172" s="10" t="s">
        <v>40</v>
      </c>
      <c r="O172" s="10">
        <v>97.0</v>
      </c>
      <c r="P172" s="10" t="s">
        <v>335</v>
      </c>
      <c r="Q172" s="10" t="s">
        <v>791</v>
      </c>
      <c r="R172" s="16">
        <v>1.0</v>
      </c>
      <c r="S172" s="16" t="s">
        <v>746</v>
      </c>
      <c r="T172" s="16">
        <v>60.0</v>
      </c>
      <c r="U172" s="16" t="s">
        <v>723</v>
      </c>
      <c r="V172" s="16">
        <v>120.0</v>
      </c>
      <c r="W172" s="16" t="s">
        <v>724</v>
      </c>
      <c r="X172" s="16">
        <v>1440.0</v>
      </c>
      <c r="Y172" s="16" t="s">
        <v>44</v>
      </c>
      <c r="Z172" s="16" t="s">
        <v>747</v>
      </c>
      <c r="AA172" s="10"/>
      <c r="AB172" s="24" t="s">
        <v>790</v>
      </c>
      <c r="AC172" s="17" t="s">
        <v>792</v>
      </c>
      <c r="AD172" s="17"/>
      <c r="AE172" s="17"/>
      <c r="AF172" s="17"/>
      <c r="AG172" s="18"/>
    </row>
    <row r="173" ht="14.25" customHeight="1">
      <c r="A173" s="9" t="s">
        <v>684</v>
      </c>
      <c r="B173" s="9" t="s">
        <v>742</v>
      </c>
      <c r="C173" s="9"/>
      <c r="D173" s="10"/>
      <c r="E173" s="20"/>
      <c r="F173" s="23" t="s">
        <v>793</v>
      </c>
      <c r="G173" s="24" t="s">
        <v>794</v>
      </c>
      <c r="H173" s="24"/>
      <c r="I173" s="10"/>
      <c r="J173" s="10"/>
      <c r="K173" s="10"/>
      <c r="L173" s="10"/>
      <c r="M173" s="10"/>
      <c r="N173" s="10" t="s">
        <v>40</v>
      </c>
      <c r="O173" s="10">
        <v>25.0</v>
      </c>
      <c r="P173" s="10" t="s">
        <v>335</v>
      </c>
      <c r="Q173" s="10" t="s">
        <v>795</v>
      </c>
      <c r="R173" s="16">
        <v>1.0</v>
      </c>
      <c r="S173" s="16" t="s">
        <v>746</v>
      </c>
      <c r="T173" s="16">
        <v>90.0</v>
      </c>
      <c r="U173" s="16" t="s">
        <v>723</v>
      </c>
      <c r="V173" s="16">
        <v>180.0</v>
      </c>
      <c r="W173" s="16" t="s">
        <v>724</v>
      </c>
      <c r="X173" s="16">
        <v>2160.0</v>
      </c>
      <c r="Y173" s="16" t="s">
        <v>44</v>
      </c>
      <c r="Z173" s="16" t="s">
        <v>747</v>
      </c>
      <c r="AA173" s="10"/>
      <c r="AB173" s="24" t="s">
        <v>794</v>
      </c>
      <c r="AC173" s="17" t="s">
        <v>796</v>
      </c>
      <c r="AD173" s="17"/>
      <c r="AE173" s="17"/>
      <c r="AF173" s="17"/>
      <c r="AG173" s="18"/>
    </row>
    <row r="174" ht="14.25" customHeight="1">
      <c r="A174" s="9" t="s">
        <v>684</v>
      </c>
      <c r="B174" s="9" t="s">
        <v>742</v>
      </c>
      <c r="C174" s="9"/>
      <c r="D174" s="10"/>
      <c r="E174" s="20"/>
      <c r="F174" s="23" t="s">
        <v>797</v>
      </c>
      <c r="G174" s="24" t="s">
        <v>798</v>
      </c>
      <c r="H174" s="24"/>
      <c r="I174" s="10"/>
      <c r="J174" s="10"/>
      <c r="K174" s="10"/>
      <c r="L174" s="10"/>
      <c r="M174" s="10"/>
      <c r="N174" s="10" t="s">
        <v>40</v>
      </c>
      <c r="O174" s="10">
        <v>103.45</v>
      </c>
      <c r="P174" s="10" t="s">
        <v>335</v>
      </c>
      <c r="Q174" s="10" t="s">
        <v>799</v>
      </c>
      <c r="R174" s="16">
        <v>1.0</v>
      </c>
      <c r="S174" s="16" t="s">
        <v>800</v>
      </c>
      <c r="T174" s="16">
        <v>20.0</v>
      </c>
      <c r="U174" s="16" t="s">
        <v>723</v>
      </c>
      <c r="V174" s="16">
        <v>40.0</v>
      </c>
      <c r="W174" s="16" t="s">
        <v>724</v>
      </c>
      <c r="X174" s="16">
        <f t="shared" ref="X174:X185" si="19">12*V174</f>
        <v>480</v>
      </c>
      <c r="Y174" s="16" t="s">
        <v>801</v>
      </c>
      <c r="Z174" s="16" t="s">
        <v>747</v>
      </c>
      <c r="AA174" s="10"/>
      <c r="AB174" s="24" t="s">
        <v>798</v>
      </c>
      <c r="AC174" s="17" t="s">
        <v>802</v>
      </c>
      <c r="AD174" s="17"/>
      <c r="AE174" s="17"/>
      <c r="AF174" s="17" t="s">
        <v>803</v>
      </c>
      <c r="AG174" s="18"/>
    </row>
    <row r="175" ht="14.25" customHeight="1">
      <c r="A175" s="9" t="s">
        <v>684</v>
      </c>
      <c r="B175" s="9" t="s">
        <v>742</v>
      </c>
      <c r="C175" s="9"/>
      <c r="D175" s="10"/>
      <c r="E175" s="20"/>
      <c r="F175" s="23" t="s">
        <v>804</v>
      </c>
      <c r="G175" s="24" t="s">
        <v>805</v>
      </c>
      <c r="H175" s="24"/>
      <c r="I175" s="10"/>
      <c r="J175" s="10"/>
      <c r="K175" s="10"/>
      <c r="L175" s="10"/>
      <c r="M175" s="10"/>
      <c r="N175" s="10" t="s">
        <v>40</v>
      </c>
      <c r="O175" s="10">
        <v>28.3</v>
      </c>
      <c r="P175" s="10" t="s">
        <v>335</v>
      </c>
      <c r="Q175" s="10" t="s">
        <v>806</v>
      </c>
      <c r="R175" s="16">
        <v>1.0</v>
      </c>
      <c r="S175" s="16" t="s">
        <v>746</v>
      </c>
      <c r="T175" s="16">
        <v>90.0</v>
      </c>
      <c r="U175" s="16" t="s">
        <v>723</v>
      </c>
      <c r="V175" s="16">
        <v>180.0</v>
      </c>
      <c r="W175" s="16" t="s">
        <v>724</v>
      </c>
      <c r="X175" s="16">
        <f t="shared" si="19"/>
        <v>2160</v>
      </c>
      <c r="Y175" s="16" t="s">
        <v>801</v>
      </c>
      <c r="Z175" s="16" t="s">
        <v>747</v>
      </c>
      <c r="AA175" s="10"/>
      <c r="AB175" s="24" t="s">
        <v>805</v>
      </c>
      <c r="AC175" s="17" t="s">
        <v>807</v>
      </c>
      <c r="AD175" s="17"/>
      <c r="AE175" s="17"/>
      <c r="AF175" s="17" t="s">
        <v>803</v>
      </c>
      <c r="AG175" s="18"/>
    </row>
    <row r="176" ht="14.25" customHeight="1">
      <c r="A176" s="9" t="s">
        <v>684</v>
      </c>
      <c r="B176" s="9" t="s">
        <v>742</v>
      </c>
      <c r="C176" s="9"/>
      <c r="D176" s="10"/>
      <c r="E176" s="20"/>
      <c r="F176" s="23" t="s">
        <v>808</v>
      </c>
      <c r="G176" s="24" t="s">
        <v>809</v>
      </c>
      <c r="H176" s="24"/>
      <c r="I176" s="10"/>
      <c r="J176" s="10"/>
      <c r="K176" s="10"/>
      <c r="L176" s="10"/>
      <c r="M176" s="10"/>
      <c r="N176" s="10" t="s">
        <v>40</v>
      </c>
      <c r="O176" s="10">
        <v>36.65</v>
      </c>
      <c r="P176" s="10" t="s">
        <v>335</v>
      </c>
      <c r="Q176" s="10" t="s">
        <v>810</v>
      </c>
      <c r="R176" s="16">
        <v>1.0</v>
      </c>
      <c r="S176" s="16" t="s">
        <v>746</v>
      </c>
      <c r="T176" s="16">
        <v>80.0</v>
      </c>
      <c r="U176" s="16" t="s">
        <v>723</v>
      </c>
      <c r="V176" s="16">
        <v>160.0</v>
      </c>
      <c r="W176" s="16" t="s">
        <v>724</v>
      </c>
      <c r="X176" s="16">
        <f t="shared" si="19"/>
        <v>1920</v>
      </c>
      <c r="Y176" s="16" t="s">
        <v>801</v>
      </c>
      <c r="Z176" s="16" t="s">
        <v>747</v>
      </c>
      <c r="AA176" s="10"/>
      <c r="AB176" s="24" t="s">
        <v>809</v>
      </c>
      <c r="AC176" s="17" t="s">
        <v>811</v>
      </c>
      <c r="AD176" s="17"/>
      <c r="AE176" s="17"/>
      <c r="AF176" s="17" t="s">
        <v>803</v>
      </c>
      <c r="AG176" s="18"/>
    </row>
    <row r="177" ht="14.25" customHeight="1">
      <c r="A177" s="9" t="s">
        <v>684</v>
      </c>
      <c r="B177" s="9" t="s">
        <v>742</v>
      </c>
      <c r="C177" s="9"/>
      <c r="D177" s="10"/>
      <c r="E177" s="20"/>
      <c r="F177" s="23" t="s">
        <v>812</v>
      </c>
      <c r="G177" s="24" t="s">
        <v>813</v>
      </c>
      <c r="H177" s="24"/>
      <c r="I177" s="10"/>
      <c r="J177" s="10"/>
      <c r="K177" s="10"/>
      <c r="L177" s="10"/>
      <c r="M177" s="10"/>
      <c r="N177" s="10" t="s">
        <v>40</v>
      </c>
      <c r="O177" s="10">
        <v>45.0</v>
      </c>
      <c r="P177" s="10" t="s">
        <v>335</v>
      </c>
      <c r="Q177" s="10" t="s">
        <v>814</v>
      </c>
      <c r="R177" s="16">
        <v>1.0</v>
      </c>
      <c r="S177" s="16" t="s">
        <v>746</v>
      </c>
      <c r="T177" s="16">
        <v>80.0</v>
      </c>
      <c r="U177" s="16" t="s">
        <v>723</v>
      </c>
      <c r="V177" s="16">
        <v>160.0</v>
      </c>
      <c r="W177" s="16" t="s">
        <v>724</v>
      </c>
      <c r="X177" s="16">
        <f t="shared" si="19"/>
        <v>1920</v>
      </c>
      <c r="Y177" s="16" t="s">
        <v>801</v>
      </c>
      <c r="Z177" s="16" t="s">
        <v>747</v>
      </c>
      <c r="AA177" s="10"/>
      <c r="AB177" s="24" t="s">
        <v>813</v>
      </c>
      <c r="AC177" s="17" t="s">
        <v>815</v>
      </c>
      <c r="AD177" s="17"/>
      <c r="AE177" s="17"/>
      <c r="AF177" s="17" t="s">
        <v>803</v>
      </c>
      <c r="AG177" s="18"/>
    </row>
    <row r="178" ht="14.25" customHeight="1">
      <c r="A178" s="9" t="s">
        <v>684</v>
      </c>
      <c r="B178" s="9" t="s">
        <v>742</v>
      </c>
      <c r="C178" s="9"/>
      <c r="D178" s="10"/>
      <c r="E178" s="20"/>
      <c r="F178" s="23" t="s">
        <v>816</v>
      </c>
      <c r="G178" s="24" t="s">
        <v>817</v>
      </c>
      <c r="H178" s="24"/>
      <c r="I178" s="10"/>
      <c r="J178" s="10"/>
      <c r="K178" s="10"/>
      <c r="L178" s="10"/>
      <c r="M178" s="10"/>
      <c r="N178" s="10" t="s">
        <v>40</v>
      </c>
      <c r="O178" s="10">
        <v>55.0</v>
      </c>
      <c r="P178" s="10" t="s">
        <v>335</v>
      </c>
      <c r="Q178" s="10" t="s">
        <v>818</v>
      </c>
      <c r="R178" s="16">
        <v>1.0</v>
      </c>
      <c r="S178" s="16" t="s">
        <v>746</v>
      </c>
      <c r="T178" s="16">
        <v>60.0</v>
      </c>
      <c r="U178" s="16" t="s">
        <v>723</v>
      </c>
      <c r="V178" s="16">
        <v>120.0</v>
      </c>
      <c r="W178" s="16" t="s">
        <v>724</v>
      </c>
      <c r="X178" s="16">
        <f t="shared" si="19"/>
        <v>1440</v>
      </c>
      <c r="Y178" s="16" t="s">
        <v>801</v>
      </c>
      <c r="Z178" s="16" t="s">
        <v>747</v>
      </c>
      <c r="AA178" s="10"/>
      <c r="AB178" s="24" t="s">
        <v>817</v>
      </c>
      <c r="AC178" s="17" t="s">
        <v>819</v>
      </c>
      <c r="AD178" s="17"/>
      <c r="AE178" s="17"/>
      <c r="AF178" s="17" t="s">
        <v>803</v>
      </c>
      <c r="AG178" s="18"/>
    </row>
    <row r="179" ht="14.25" customHeight="1">
      <c r="A179" s="9" t="s">
        <v>684</v>
      </c>
      <c r="B179" s="9" t="s">
        <v>742</v>
      </c>
      <c r="C179" s="9"/>
      <c r="D179" s="10"/>
      <c r="E179" s="20"/>
      <c r="F179" s="23" t="s">
        <v>820</v>
      </c>
      <c r="G179" s="24" t="s">
        <v>821</v>
      </c>
      <c r="H179" s="24"/>
      <c r="I179" s="10"/>
      <c r="J179" s="10"/>
      <c r="K179" s="10"/>
      <c r="L179" s="10"/>
      <c r="M179" s="10"/>
      <c r="N179" s="10" t="s">
        <v>40</v>
      </c>
      <c r="O179" s="10">
        <v>3000.0</v>
      </c>
      <c r="P179" s="10" t="s">
        <v>335</v>
      </c>
      <c r="Q179" s="10" t="s">
        <v>822</v>
      </c>
      <c r="R179" s="16">
        <v>1.0</v>
      </c>
      <c r="S179" s="16" t="s">
        <v>823</v>
      </c>
      <c r="T179" s="16">
        <v>1.0</v>
      </c>
      <c r="U179" s="16" t="s">
        <v>824</v>
      </c>
      <c r="V179" s="16">
        <v>5.0</v>
      </c>
      <c r="W179" s="16" t="s">
        <v>825</v>
      </c>
      <c r="X179" s="16">
        <f t="shared" si="19"/>
        <v>60</v>
      </c>
      <c r="Y179" s="16" t="s">
        <v>801</v>
      </c>
      <c r="Z179" s="16" t="s">
        <v>826</v>
      </c>
      <c r="AA179" s="10"/>
      <c r="AB179" s="24" t="s">
        <v>821</v>
      </c>
      <c r="AC179" s="17" t="s">
        <v>827</v>
      </c>
      <c r="AD179" s="17"/>
      <c r="AE179" s="17"/>
      <c r="AF179" s="17"/>
      <c r="AG179" s="18"/>
    </row>
    <row r="180" ht="14.25" customHeight="1">
      <c r="A180" s="9" t="s">
        <v>684</v>
      </c>
      <c r="B180" s="9" t="s">
        <v>742</v>
      </c>
      <c r="C180" s="9"/>
      <c r="D180" s="10"/>
      <c r="E180" s="20"/>
      <c r="F180" s="23" t="s">
        <v>828</v>
      </c>
      <c r="G180" s="24" t="s">
        <v>829</v>
      </c>
      <c r="H180" s="24"/>
      <c r="I180" s="10"/>
      <c r="J180" s="10"/>
      <c r="K180" s="10"/>
      <c r="L180" s="10"/>
      <c r="M180" s="10"/>
      <c r="N180" s="10" t="s">
        <v>40</v>
      </c>
      <c r="O180" s="10">
        <v>3200.0</v>
      </c>
      <c r="P180" s="10" t="s">
        <v>335</v>
      </c>
      <c r="Q180" s="10" t="s">
        <v>830</v>
      </c>
      <c r="R180" s="16">
        <v>1.0</v>
      </c>
      <c r="S180" s="16" t="s">
        <v>823</v>
      </c>
      <c r="T180" s="16">
        <v>1.0</v>
      </c>
      <c r="U180" s="16" t="s">
        <v>824</v>
      </c>
      <c r="V180" s="16">
        <v>5.0</v>
      </c>
      <c r="W180" s="16" t="s">
        <v>825</v>
      </c>
      <c r="X180" s="16">
        <f t="shared" si="19"/>
        <v>60</v>
      </c>
      <c r="Y180" s="16" t="s">
        <v>801</v>
      </c>
      <c r="Z180" s="16" t="s">
        <v>826</v>
      </c>
      <c r="AA180" s="10"/>
      <c r="AB180" s="24" t="s">
        <v>829</v>
      </c>
      <c r="AC180" s="17" t="s">
        <v>831</v>
      </c>
      <c r="AD180" s="17"/>
      <c r="AE180" s="17"/>
      <c r="AF180" s="17"/>
      <c r="AG180" s="18"/>
    </row>
    <row r="181" ht="14.25" customHeight="1">
      <c r="A181" s="9" t="s">
        <v>684</v>
      </c>
      <c r="B181" s="9" t="s">
        <v>742</v>
      </c>
      <c r="C181" s="9"/>
      <c r="D181" s="10"/>
      <c r="E181" s="20"/>
      <c r="F181" s="23" t="s">
        <v>832</v>
      </c>
      <c r="G181" s="24" t="s">
        <v>833</v>
      </c>
      <c r="H181" s="24"/>
      <c r="I181" s="10"/>
      <c r="J181" s="10"/>
      <c r="K181" s="10"/>
      <c r="L181" s="10"/>
      <c r="M181" s="10"/>
      <c r="N181" s="10" t="s">
        <v>40</v>
      </c>
      <c r="O181" s="10">
        <v>3500.0</v>
      </c>
      <c r="P181" s="10" t="s">
        <v>335</v>
      </c>
      <c r="Q181" s="10" t="s">
        <v>834</v>
      </c>
      <c r="R181" s="16">
        <v>1.0</v>
      </c>
      <c r="S181" s="16" t="s">
        <v>823</v>
      </c>
      <c r="T181" s="16">
        <v>1.0</v>
      </c>
      <c r="U181" s="16" t="s">
        <v>824</v>
      </c>
      <c r="V181" s="16">
        <v>5.0</v>
      </c>
      <c r="W181" s="16" t="s">
        <v>825</v>
      </c>
      <c r="X181" s="16">
        <f t="shared" si="19"/>
        <v>60</v>
      </c>
      <c r="Y181" s="16" t="s">
        <v>801</v>
      </c>
      <c r="Z181" s="16" t="s">
        <v>826</v>
      </c>
      <c r="AA181" s="10"/>
      <c r="AB181" s="24" t="s">
        <v>833</v>
      </c>
      <c r="AC181" s="17" t="s">
        <v>835</v>
      </c>
      <c r="AD181" s="17"/>
      <c r="AE181" s="17"/>
      <c r="AF181" s="17"/>
      <c r="AG181" s="18"/>
    </row>
    <row r="182" ht="14.25" customHeight="1">
      <c r="A182" s="9" t="s">
        <v>684</v>
      </c>
      <c r="B182" s="9" t="s">
        <v>742</v>
      </c>
      <c r="C182" s="9"/>
      <c r="D182" s="10"/>
      <c r="E182" s="20"/>
      <c r="F182" s="23" t="s">
        <v>836</v>
      </c>
      <c r="G182" s="24" t="s">
        <v>837</v>
      </c>
      <c r="H182" s="24"/>
      <c r="I182" s="10"/>
      <c r="J182" s="10"/>
      <c r="K182" s="10"/>
      <c r="L182" s="10"/>
      <c r="M182" s="10"/>
      <c r="N182" s="10" t="s">
        <v>40</v>
      </c>
      <c r="O182" s="10">
        <v>3700.0</v>
      </c>
      <c r="P182" s="10" t="s">
        <v>335</v>
      </c>
      <c r="Q182" s="10" t="s">
        <v>838</v>
      </c>
      <c r="R182" s="16">
        <v>1.0</v>
      </c>
      <c r="S182" s="16" t="s">
        <v>823</v>
      </c>
      <c r="T182" s="16">
        <v>1.0</v>
      </c>
      <c r="U182" s="16" t="s">
        <v>824</v>
      </c>
      <c r="V182" s="16">
        <v>5.0</v>
      </c>
      <c r="W182" s="16" t="s">
        <v>825</v>
      </c>
      <c r="X182" s="16">
        <f t="shared" si="19"/>
        <v>60</v>
      </c>
      <c r="Y182" s="16" t="s">
        <v>801</v>
      </c>
      <c r="Z182" s="16" t="s">
        <v>826</v>
      </c>
      <c r="AA182" s="10"/>
      <c r="AB182" s="24" t="s">
        <v>837</v>
      </c>
      <c r="AC182" s="17" t="s">
        <v>839</v>
      </c>
      <c r="AD182" s="17"/>
      <c r="AE182" s="17"/>
      <c r="AF182" s="17"/>
      <c r="AG182" s="18"/>
    </row>
    <row r="183" ht="14.25" customHeight="1">
      <c r="A183" s="34" t="s">
        <v>684</v>
      </c>
      <c r="B183" s="34" t="s">
        <v>742</v>
      </c>
      <c r="C183" s="34"/>
      <c r="D183" s="35"/>
      <c r="E183" s="20"/>
      <c r="F183" s="36" t="s">
        <v>840</v>
      </c>
      <c r="G183" s="37" t="s">
        <v>841</v>
      </c>
      <c r="H183" s="37"/>
      <c r="I183" s="10"/>
      <c r="J183" s="10"/>
      <c r="K183" s="10"/>
      <c r="L183" s="10"/>
      <c r="M183" s="35"/>
      <c r="N183" s="35" t="s">
        <v>40</v>
      </c>
      <c r="O183" s="35">
        <v>3200.0</v>
      </c>
      <c r="P183" s="35" t="s">
        <v>335</v>
      </c>
      <c r="Q183" s="38" t="s">
        <v>842</v>
      </c>
      <c r="R183" s="35">
        <v>1.0</v>
      </c>
      <c r="S183" s="35" t="s">
        <v>823</v>
      </c>
      <c r="T183" s="35">
        <v>1.0</v>
      </c>
      <c r="U183" s="35" t="s">
        <v>824</v>
      </c>
      <c r="V183" s="35">
        <v>5.0</v>
      </c>
      <c r="W183" s="35" t="s">
        <v>825</v>
      </c>
      <c r="X183" s="35">
        <f t="shared" si="19"/>
        <v>60</v>
      </c>
      <c r="Y183" s="35" t="s">
        <v>801</v>
      </c>
      <c r="Z183" s="35" t="s">
        <v>826</v>
      </c>
      <c r="AA183" s="35"/>
      <c r="AB183" s="45" t="s">
        <v>841</v>
      </c>
      <c r="AC183" s="46" t="s">
        <v>843</v>
      </c>
      <c r="AD183" s="39"/>
      <c r="AE183" s="39"/>
      <c r="AF183" s="39"/>
      <c r="AG183" s="18"/>
    </row>
    <row r="184" ht="14.25" customHeight="1">
      <c r="A184" s="34" t="s">
        <v>684</v>
      </c>
      <c r="B184" s="34" t="s">
        <v>742</v>
      </c>
      <c r="C184" s="34"/>
      <c r="D184" s="35"/>
      <c r="E184" s="20"/>
      <c r="F184" s="36" t="s">
        <v>844</v>
      </c>
      <c r="G184" s="37" t="s">
        <v>845</v>
      </c>
      <c r="H184" s="37"/>
      <c r="I184" s="10"/>
      <c r="J184" s="10"/>
      <c r="K184" s="10"/>
      <c r="L184" s="10"/>
      <c r="M184" s="35"/>
      <c r="N184" s="35" t="s">
        <v>40</v>
      </c>
      <c r="O184" s="35">
        <v>3500.0</v>
      </c>
      <c r="P184" s="35" t="s">
        <v>335</v>
      </c>
      <c r="Q184" s="38" t="s">
        <v>846</v>
      </c>
      <c r="R184" s="35">
        <v>1.0</v>
      </c>
      <c r="S184" s="35" t="s">
        <v>823</v>
      </c>
      <c r="T184" s="35">
        <v>1.0</v>
      </c>
      <c r="U184" s="35" t="s">
        <v>824</v>
      </c>
      <c r="V184" s="35">
        <v>5.0</v>
      </c>
      <c r="W184" s="35" t="s">
        <v>825</v>
      </c>
      <c r="X184" s="35">
        <f t="shared" si="19"/>
        <v>60</v>
      </c>
      <c r="Y184" s="35" t="s">
        <v>801</v>
      </c>
      <c r="Z184" s="35" t="s">
        <v>826</v>
      </c>
      <c r="AA184" s="35"/>
      <c r="AB184" s="45" t="s">
        <v>845</v>
      </c>
      <c r="AC184" s="46" t="s">
        <v>847</v>
      </c>
      <c r="AD184" s="39"/>
      <c r="AE184" s="39"/>
      <c r="AF184" s="39"/>
      <c r="AG184" s="18"/>
    </row>
    <row r="185" ht="14.25" customHeight="1">
      <c r="A185" s="34" t="s">
        <v>684</v>
      </c>
      <c r="B185" s="34" t="s">
        <v>742</v>
      </c>
      <c r="C185" s="34"/>
      <c r="D185" s="35"/>
      <c r="E185" s="20"/>
      <c r="F185" s="36" t="s">
        <v>848</v>
      </c>
      <c r="G185" s="37" t="s">
        <v>849</v>
      </c>
      <c r="H185" s="37"/>
      <c r="I185" s="10"/>
      <c r="J185" s="10"/>
      <c r="K185" s="10"/>
      <c r="L185" s="10"/>
      <c r="M185" s="35"/>
      <c r="N185" s="35" t="s">
        <v>40</v>
      </c>
      <c r="O185" s="35">
        <v>3700.0</v>
      </c>
      <c r="P185" s="35" t="s">
        <v>335</v>
      </c>
      <c r="Q185" s="38" t="s">
        <v>850</v>
      </c>
      <c r="R185" s="35">
        <v>1.0</v>
      </c>
      <c r="S185" s="35" t="s">
        <v>823</v>
      </c>
      <c r="T185" s="35">
        <v>1.0</v>
      </c>
      <c r="U185" s="35" t="s">
        <v>824</v>
      </c>
      <c r="V185" s="35">
        <v>5.0</v>
      </c>
      <c r="W185" s="35" t="s">
        <v>825</v>
      </c>
      <c r="X185" s="35">
        <f t="shared" si="19"/>
        <v>60</v>
      </c>
      <c r="Y185" s="35" t="s">
        <v>801</v>
      </c>
      <c r="Z185" s="35" t="s">
        <v>826</v>
      </c>
      <c r="AA185" s="35"/>
      <c r="AB185" s="45" t="s">
        <v>849</v>
      </c>
      <c r="AC185" s="46" t="s">
        <v>851</v>
      </c>
      <c r="AD185" s="39"/>
      <c r="AE185" s="39"/>
      <c r="AF185" s="39"/>
      <c r="AG185" s="18"/>
    </row>
    <row r="186" ht="14.25" customHeight="1">
      <c r="A186" s="34" t="s">
        <v>852</v>
      </c>
      <c r="B186" s="34" t="s">
        <v>852</v>
      </c>
      <c r="C186" s="34"/>
      <c r="D186" s="35"/>
      <c r="E186" s="20"/>
      <c r="F186" s="47" t="s">
        <v>853</v>
      </c>
      <c r="G186" s="48" t="s">
        <v>854</v>
      </c>
      <c r="H186" s="48"/>
      <c r="I186" s="10"/>
      <c r="J186" s="10"/>
      <c r="K186" s="10"/>
      <c r="L186" s="10"/>
      <c r="M186" s="35"/>
      <c r="N186" s="35" t="s">
        <v>40</v>
      </c>
      <c r="O186" s="35">
        <v>2913.0</v>
      </c>
      <c r="P186" s="35" t="s">
        <v>335</v>
      </c>
      <c r="Q186" s="38" t="s">
        <v>855</v>
      </c>
      <c r="R186" s="35">
        <v>1.0</v>
      </c>
      <c r="S186" s="35" t="s">
        <v>704</v>
      </c>
      <c r="T186" s="35"/>
      <c r="U186" s="35"/>
      <c r="V186" s="35">
        <v>30.0</v>
      </c>
      <c r="W186" s="35" t="s">
        <v>690</v>
      </c>
      <c r="X186" s="35">
        <v>540.0</v>
      </c>
      <c r="Y186" s="35" t="s">
        <v>44</v>
      </c>
      <c r="Z186" s="35" t="s">
        <v>691</v>
      </c>
      <c r="AA186" s="35"/>
      <c r="AB186" s="45" t="s">
        <v>856</v>
      </c>
      <c r="AC186" s="49" t="s">
        <v>857</v>
      </c>
      <c r="AD186" s="39"/>
      <c r="AE186" s="39"/>
      <c r="AF186" s="39"/>
      <c r="AG186" s="18"/>
    </row>
    <row r="187" ht="14.25" customHeight="1">
      <c r="A187" s="34" t="s">
        <v>852</v>
      </c>
      <c r="B187" s="34" t="s">
        <v>852</v>
      </c>
      <c r="C187" s="34"/>
      <c r="D187" s="35"/>
      <c r="E187" s="20"/>
      <c r="F187" s="47" t="s">
        <v>858</v>
      </c>
      <c r="G187" s="48" t="s">
        <v>859</v>
      </c>
      <c r="H187" s="48"/>
      <c r="I187" s="10"/>
      <c r="J187" s="10"/>
      <c r="K187" s="10"/>
      <c r="L187" s="10"/>
      <c r="M187" s="35"/>
      <c r="N187" s="35" t="s">
        <v>40</v>
      </c>
      <c r="O187" s="35">
        <v>2899.0</v>
      </c>
      <c r="P187" s="35" t="s">
        <v>335</v>
      </c>
      <c r="Q187" s="38" t="s">
        <v>860</v>
      </c>
      <c r="R187" s="35">
        <v>1.0</v>
      </c>
      <c r="S187" s="35" t="s">
        <v>704</v>
      </c>
      <c r="T187" s="35"/>
      <c r="U187" s="35"/>
      <c r="V187" s="35">
        <v>30.0</v>
      </c>
      <c r="W187" s="35" t="s">
        <v>690</v>
      </c>
      <c r="X187" s="35">
        <v>540.0</v>
      </c>
      <c r="Y187" s="35" t="s">
        <v>44</v>
      </c>
      <c r="Z187" s="35" t="s">
        <v>691</v>
      </c>
      <c r="AA187" s="35"/>
      <c r="AB187" s="45" t="s">
        <v>861</v>
      </c>
      <c r="AC187" s="49" t="s">
        <v>862</v>
      </c>
      <c r="AD187" s="39"/>
      <c r="AE187" s="39"/>
      <c r="AF187" s="39"/>
      <c r="AG187" s="18"/>
    </row>
    <row r="188" ht="14.25" customHeight="1">
      <c r="A188" s="34" t="s">
        <v>852</v>
      </c>
      <c r="B188" s="34" t="s">
        <v>852</v>
      </c>
      <c r="C188" s="34"/>
      <c r="D188" s="35"/>
      <c r="E188" s="20"/>
      <c r="F188" s="47" t="s">
        <v>863</v>
      </c>
      <c r="G188" s="48" t="s">
        <v>864</v>
      </c>
      <c r="H188" s="48"/>
      <c r="I188" s="10"/>
      <c r="J188" s="10"/>
      <c r="K188" s="10"/>
      <c r="L188" s="10"/>
      <c r="M188" s="35"/>
      <c r="N188" s="35" t="s">
        <v>40</v>
      </c>
      <c r="O188" s="35">
        <v>2913.0</v>
      </c>
      <c r="P188" s="35" t="s">
        <v>335</v>
      </c>
      <c r="Q188" s="38" t="s">
        <v>865</v>
      </c>
      <c r="R188" s="35">
        <v>1.0</v>
      </c>
      <c r="S188" s="35" t="s">
        <v>704</v>
      </c>
      <c r="T188" s="35"/>
      <c r="U188" s="35"/>
      <c r="V188" s="35">
        <v>30.0</v>
      </c>
      <c r="W188" s="35" t="s">
        <v>690</v>
      </c>
      <c r="X188" s="35">
        <v>540.0</v>
      </c>
      <c r="Y188" s="35" t="s">
        <v>44</v>
      </c>
      <c r="Z188" s="35" t="s">
        <v>691</v>
      </c>
      <c r="AA188" s="35"/>
      <c r="AB188" s="45" t="s">
        <v>866</v>
      </c>
      <c r="AC188" s="49" t="s">
        <v>867</v>
      </c>
      <c r="AD188" s="39"/>
      <c r="AE188" s="39"/>
      <c r="AF188" s="39"/>
      <c r="AG188" s="18"/>
    </row>
    <row r="189" ht="14.25" customHeight="1">
      <c r="A189" s="34" t="s">
        <v>852</v>
      </c>
      <c r="B189" s="34" t="s">
        <v>852</v>
      </c>
      <c r="C189" s="34"/>
      <c r="D189" s="35"/>
      <c r="E189" s="20"/>
      <c r="F189" s="47" t="s">
        <v>868</v>
      </c>
      <c r="G189" s="48" t="s">
        <v>869</v>
      </c>
      <c r="H189" s="48"/>
      <c r="I189" s="10"/>
      <c r="J189" s="10"/>
      <c r="K189" s="10"/>
      <c r="L189" s="10"/>
      <c r="M189" s="35"/>
      <c r="N189" s="35" t="s">
        <v>40</v>
      </c>
      <c r="O189" s="35">
        <v>2899.0</v>
      </c>
      <c r="P189" s="35" t="s">
        <v>335</v>
      </c>
      <c r="Q189" s="38" t="s">
        <v>870</v>
      </c>
      <c r="R189" s="35">
        <v>1.0</v>
      </c>
      <c r="S189" s="35" t="s">
        <v>704</v>
      </c>
      <c r="T189" s="35"/>
      <c r="U189" s="35"/>
      <c r="V189" s="35">
        <v>30.0</v>
      </c>
      <c r="W189" s="35" t="s">
        <v>690</v>
      </c>
      <c r="X189" s="35">
        <v>540.0</v>
      </c>
      <c r="Y189" s="35" t="s">
        <v>44</v>
      </c>
      <c r="Z189" s="35" t="s">
        <v>691</v>
      </c>
      <c r="AA189" s="35"/>
      <c r="AB189" s="45" t="s">
        <v>871</v>
      </c>
      <c r="AC189" s="49" t="s">
        <v>872</v>
      </c>
      <c r="AD189" s="39"/>
      <c r="AE189" s="39"/>
      <c r="AF189" s="39"/>
      <c r="AG189" s="18"/>
    </row>
    <row r="190" ht="14.25" customHeight="1">
      <c r="A190" s="34" t="s">
        <v>852</v>
      </c>
      <c r="B190" s="34" t="s">
        <v>852</v>
      </c>
      <c r="C190" s="34"/>
      <c r="D190" s="35"/>
      <c r="E190" s="20"/>
      <c r="F190" s="47" t="s">
        <v>873</v>
      </c>
      <c r="G190" s="48" t="s">
        <v>874</v>
      </c>
      <c r="H190" s="48"/>
      <c r="I190" s="10"/>
      <c r="J190" s="10"/>
      <c r="K190" s="10"/>
      <c r="L190" s="10"/>
      <c r="M190" s="35"/>
      <c r="N190" s="35" t="s">
        <v>40</v>
      </c>
      <c r="O190" s="35">
        <v>2913.0</v>
      </c>
      <c r="P190" s="35" t="s">
        <v>335</v>
      </c>
      <c r="Q190" s="38" t="s">
        <v>875</v>
      </c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45" t="s">
        <v>874</v>
      </c>
      <c r="AC190" s="49" t="s">
        <v>876</v>
      </c>
      <c r="AD190" s="39"/>
      <c r="AE190" s="39"/>
      <c r="AF190" s="39"/>
      <c r="AG190" s="18"/>
    </row>
    <row r="191" ht="14.25" customHeight="1">
      <c r="A191" s="34" t="s">
        <v>852</v>
      </c>
      <c r="B191" s="34" t="s">
        <v>852</v>
      </c>
      <c r="C191" s="34"/>
      <c r="D191" s="35"/>
      <c r="E191" s="20"/>
      <c r="F191" s="47" t="s">
        <v>877</v>
      </c>
      <c r="G191" s="48" t="s">
        <v>878</v>
      </c>
      <c r="H191" s="48"/>
      <c r="I191" s="10"/>
      <c r="J191" s="10"/>
      <c r="K191" s="10"/>
      <c r="L191" s="10"/>
      <c r="M191" s="35"/>
      <c r="N191" s="35" t="s">
        <v>40</v>
      </c>
      <c r="O191" s="35">
        <v>2899.0</v>
      </c>
      <c r="P191" s="35" t="s">
        <v>335</v>
      </c>
      <c r="Q191" s="38" t="s">
        <v>879</v>
      </c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45" t="s">
        <v>878</v>
      </c>
      <c r="AC191" s="49" t="s">
        <v>880</v>
      </c>
      <c r="AD191" s="39"/>
      <c r="AE191" s="39"/>
      <c r="AF191" s="39"/>
      <c r="AG191" s="18"/>
    </row>
    <row r="192" ht="14.25" customHeight="1">
      <c r="A192" s="34" t="s">
        <v>852</v>
      </c>
      <c r="B192" s="34" t="s">
        <v>852</v>
      </c>
      <c r="C192" s="34"/>
      <c r="D192" s="35"/>
      <c r="E192" s="20"/>
      <c r="F192" s="47" t="s">
        <v>881</v>
      </c>
      <c r="G192" s="48" t="s">
        <v>882</v>
      </c>
      <c r="H192" s="48"/>
      <c r="I192" s="10"/>
      <c r="J192" s="10"/>
      <c r="K192" s="10"/>
      <c r="L192" s="10"/>
      <c r="M192" s="35"/>
      <c r="N192" s="35" t="s">
        <v>40</v>
      </c>
      <c r="O192" s="35">
        <v>2913.0</v>
      </c>
      <c r="P192" s="35" t="s">
        <v>335</v>
      </c>
      <c r="Q192" s="38" t="s">
        <v>883</v>
      </c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45" t="s">
        <v>882</v>
      </c>
      <c r="AC192" s="49" t="s">
        <v>884</v>
      </c>
      <c r="AD192" s="39"/>
      <c r="AE192" s="39"/>
      <c r="AF192" s="39"/>
      <c r="AG192" s="18"/>
    </row>
    <row r="193" ht="14.25" customHeight="1">
      <c r="A193" s="34" t="s">
        <v>852</v>
      </c>
      <c r="B193" s="34" t="s">
        <v>852</v>
      </c>
      <c r="C193" s="34"/>
      <c r="D193" s="35"/>
      <c r="E193" s="20"/>
      <c r="F193" s="47" t="s">
        <v>885</v>
      </c>
      <c r="G193" s="48" t="s">
        <v>886</v>
      </c>
      <c r="H193" s="48"/>
      <c r="I193" s="10"/>
      <c r="J193" s="10"/>
      <c r="K193" s="10"/>
      <c r="L193" s="10"/>
      <c r="M193" s="35"/>
      <c r="N193" s="35" t="s">
        <v>40</v>
      </c>
      <c r="O193" s="35">
        <v>2899.0</v>
      </c>
      <c r="P193" s="35" t="s">
        <v>335</v>
      </c>
      <c r="Q193" s="38" t="s">
        <v>887</v>
      </c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45" t="s">
        <v>886</v>
      </c>
      <c r="AC193" s="49" t="s">
        <v>888</v>
      </c>
      <c r="AD193" s="39"/>
      <c r="AE193" s="39"/>
      <c r="AF193" s="39"/>
      <c r="AG193" s="18"/>
    </row>
    <row r="194" ht="14.25" customHeight="1">
      <c r="A194" s="9" t="s">
        <v>684</v>
      </c>
      <c r="B194" s="9" t="s">
        <v>889</v>
      </c>
      <c r="C194" s="9"/>
      <c r="D194" s="10"/>
      <c r="E194" s="20"/>
      <c r="F194" s="23" t="s">
        <v>890</v>
      </c>
      <c r="G194" s="24" t="s">
        <v>891</v>
      </c>
      <c r="H194" s="24"/>
      <c r="I194" s="10"/>
      <c r="J194" s="10"/>
      <c r="K194" s="10"/>
      <c r="L194" s="10"/>
      <c r="M194" s="10"/>
      <c r="N194" s="10" t="s">
        <v>40</v>
      </c>
      <c r="O194" s="10">
        <v>33.0</v>
      </c>
      <c r="P194" s="10" t="s">
        <v>335</v>
      </c>
      <c r="Q194" s="10" t="s">
        <v>892</v>
      </c>
      <c r="R194" s="16">
        <v>1.0</v>
      </c>
      <c r="S194" s="16" t="s">
        <v>746</v>
      </c>
      <c r="T194" s="16">
        <v>300.0</v>
      </c>
      <c r="U194" s="16" t="s">
        <v>723</v>
      </c>
      <c r="V194" s="16">
        <v>600.0</v>
      </c>
      <c r="W194" s="16" t="s">
        <v>690</v>
      </c>
      <c r="X194" s="16">
        <v>7200.0</v>
      </c>
      <c r="Y194" s="16" t="s">
        <v>44</v>
      </c>
      <c r="Z194" s="16" t="s">
        <v>893</v>
      </c>
      <c r="AA194" s="10"/>
      <c r="AB194" s="24" t="s">
        <v>891</v>
      </c>
      <c r="AC194" s="17" t="s">
        <v>894</v>
      </c>
      <c r="AD194" s="17"/>
      <c r="AE194" s="17"/>
      <c r="AF194" s="17"/>
      <c r="AG194" s="18"/>
    </row>
    <row r="195" ht="14.25" customHeight="1">
      <c r="A195" s="9" t="s">
        <v>684</v>
      </c>
      <c r="B195" s="9" t="s">
        <v>889</v>
      </c>
      <c r="C195" s="9"/>
      <c r="D195" s="10"/>
      <c r="E195" s="20"/>
      <c r="F195" s="23" t="s">
        <v>895</v>
      </c>
      <c r="G195" s="24" t="s">
        <v>896</v>
      </c>
      <c r="H195" s="24"/>
      <c r="I195" s="10"/>
      <c r="J195" s="10"/>
      <c r="K195" s="10"/>
      <c r="L195" s="10"/>
      <c r="M195" s="10"/>
      <c r="N195" s="10" t="s">
        <v>40</v>
      </c>
      <c r="O195" s="10">
        <v>33.0</v>
      </c>
      <c r="P195" s="10" t="s">
        <v>335</v>
      </c>
      <c r="Q195" s="10" t="s">
        <v>897</v>
      </c>
      <c r="R195" s="16">
        <v>1.0</v>
      </c>
      <c r="S195" s="16" t="s">
        <v>746</v>
      </c>
      <c r="T195" s="16">
        <v>300.0</v>
      </c>
      <c r="U195" s="16" t="s">
        <v>723</v>
      </c>
      <c r="V195" s="16">
        <v>600.0</v>
      </c>
      <c r="W195" s="16" t="s">
        <v>690</v>
      </c>
      <c r="X195" s="16">
        <v>4800.0</v>
      </c>
      <c r="Y195" s="16" t="s">
        <v>44</v>
      </c>
      <c r="Z195" s="16" t="s">
        <v>893</v>
      </c>
      <c r="AA195" s="10"/>
      <c r="AB195" s="24" t="s">
        <v>896</v>
      </c>
      <c r="AC195" s="17" t="s">
        <v>898</v>
      </c>
      <c r="AD195" s="17"/>
      <c r="AE195" s="17"/>
      <c r="AF195" s="17"/>
      <c r="AG195" s="18"/>
    </row>
    <row r="196" ht="14.25" customHeight="1">
      <c r="A196" s="9" t="s">
        <v>684</v>
      </c>
      <c r="B196" s="9" t="s">
        <v>899</v>
      </c>
      <c r="C196" s="9"/>
      <c r="D196" s="10"/>
      <c r="E196" s="10"/>
      <c r="F196" s="23" t="s">
        <v>900</v>
      </c>
      <c r="G196" s="24" t="s">
        <v>901</v>
      </c>
      <c r="H196" s="24"/>
      <c r="I196" s="10"/>
      <c r="J196" s="10"/>
      <c r="K196" s="10"/>
      <c r="L196" s="10"/>
      <c r="M196" s="10"/>
      <c r="N196" s="10" t="s">
        <v>40</v>
      </c>
      <c r="O196" s="10">
        <v>0.6</v>
      </c>
      <c r="P196" s="10" t="s">
        <v>335</v>
      </c>
      <c r="Q196" s="15" t="s">
        <v>902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24" t="s">
        <v>901</v>
      </c>
      <c r="AC196" s="17" t="s">
        <v>903</v>
      </c>
      <c r="AD196" s="17"/>
      <c r="AE196" s="17"/>
      <c r="AF196" s="17"/>
      <c r="AG196" s="18"/>
    </row>
    <row r="197" ht="14.25" customHeight="1">
      <c r="A197" s="9" t="s">
        <v>684</v>
      </c>
      <c r="B197" s="9" t="s">
        <v>899</v>
      </c>
      <c r="C197" s="9"/>
      <c r="D197" s="10"/>
      <c r="E197" s="20"/>
      <c r="F197" s="23" t="s">
        <v>904</v>
      </c>
      <c r="G197" s="24" t="s">
        <v>905</v>
      </c>
      <c r="H197" s="24"/>
      <c r="I197" s="10"/>
      <c r="J197" s="10"/>
      <c r="K197" s="10"/>
      <c r="L197" s="10"/>
      <c r="M197" s="10"/>
      <c r="N197" s="10" t="s">
        <v>40</v>
      </c>
      <c r="O197" s="10">
        <v>0.8</v>
      </c>
      <c r="P197" s="10" t="s">
        <v>335</v>
      </c>
      <c r="Q197" s="10" t="s">
        <v>906</v>
      </c>
      <c r="R197" s="16">
        <v>100.0</v>
      </c>
      <c r="S197" s="16" t="s">
        <v>722</v>
      </c>
      <c r="T197" s="16"/>
      <c r="U197" s="50"/>
      <c r="V197" s="16">
        <v>5000.0</v>
      </c>
      <c r="W197" s="16" t="s">
        <v>698</v>
      </c>
      <c r="X197" s="51">
        <v>60000.0</v>
      </c>
      <c r="Y197" s="16" t="s">
        <v>44</v>
      </c>
      <c r="Z197" s="16" t="s">
        <v>691</v>
      </c>
      <c r="AA197" s="10"/>
      <c r="AB197" s="24" t="s">
        <v>905</v>
      </c>
      <c r="AC197" s="17" t="s">
        <v>907</v>
      </c>
      <c r="AD197" s="17"/>
      <c r="AE197" s="17"/>
      <c r="AF197" s="17"/>
      <c r="AG197" s="18"/>
    </row>
    <row r="198" ht="14.25" customHeight="1">
      <c r="A198" s="9" t="s">
        <v>684</v>
      </c>
      <c r="B198" s="9" t="s">
        <v>899</v>
      </c>
      <c r="C198" s="9"/>
      <c r="D198" s="10"/>
      <c r="E198" s="20"/>
      <c r="F198" s="23" t="s">
        <v>908</v>
      </c>
      <c r="G198" s="24" t="s">
        <v>909</v>
      </c>
      <c r="H198" s="24"/>
      <c r="I198" s="10"/>
      <c r="J198" s="10"/>
      <c r="K198" s="10"/>
      <c r="L198" s="10"/>
      <c r="M198" s="10"/>
      <c r="N198" s="10" t="s">
        <v>40</v>
      </c>
      <c r="O198" s="10">
        <v>66.2</v>
      </c>
      <c r="P198" s="10" t="s">
        <v>335</v>
      </c>
      <c r="Q198" s="10" t="s">
        <v>910</v>
      </c>
      <c r="R198" s="16">
        <v>2.0</v>
      </c>
      <c r="S198" s="16" t="s">
        <v>911</v>
      </c>
      <c r="T198" s="16"/>
      <c r="U198" s="50"/>
      <c r="V198" s="16">
        <v>100.0</v>
      </c>
      <c r="W198" s="16" t="s">
        <v>698</v>
      </c>
      <c r="X198" s="51">
        <v>1200.0</v>
      </c>
      <c r="Y198" s="16" t="s">
        <v>44</v>
      </c>
      <c r="Z198" s="16" t="s">
        <v>691</v>
      </c>
      <c r="AA198" s="10"/>
      <c r="AB198" s="24" t="s">
        <v>909</v>
      </c>
      <c r="AC198" s="17" t="s">
        <v>912</v>
      </c>
      <c r="AD198" s="17"/>
      <c r="AE198" s="17"/>
      <c r="AF198" s="17"/>
      <c r="AG198" s="18"/>
    </row>
    <row r="199" ht="14.25" customHeight="1">
      <c r="A199" s="9" t="s">
        <v>913</v>
      </c>
      <c r="B199" s="9" t="s">
        <v>914</v>
      </c>
      <c r="C199" s="9"/>
      <c r="D199" s="10"/>
      <c r="E199" s="20"/>
      <c r="F199" s="9" t="s">
        <v>915</v>
      </c>
      <c r="G199" s="12" t="s">
        <v>916</v>
      </c>
      <c r="H199" s="12"/>
      <c r="I199" s="10"/>
      <c r="J199" s="10"/>
      <c r="K199" s="10"/>
      <c r="L199" s="10"/>
      <c r="M199" s="10"/>
      <c r="N199" s="10" t="s">
        <v>40</v>
      </c>
      <c r="O199" s="10">
        <v>790.0</v>
      </c>
      <c r="P199" s="10" t="s">
        <v>335</v>
      </c>
      <c r="Q199" s="15" t="s">
        <v>917</v>
      </c>
      <c r="R199" s="16">
        <v>1.0</v>
      </c>
      <c r="S199" s="16" t="s">
        <v>918</v>
      </c>
      <c r="T199" s="16"/>
      <c r="U199" s="16"/>
      <c r="V199" s="16">
        <v>20.0</v>
      </c>
      <c r="W199" s="16" t="s">
        <v>919</v>
      </c>
      <c r="X199" s="16">
        <v>240.0</v>
      </c>
      <c r="Y199" s="16" t="s">
        <v>920</v>
      </c>
      <c r="Z199" s="16" t="s">
        <v>747</v>
      </c>
      <c r="AA199" s="10"/>
      <c r="AB199" s="17" t="s">
        <v>921</v>
      </c>
      <c r="AC199" s="17" t="s">
        <v>922</v>
      </c>
      <c r="AD199" s="17"/>
      <c r="AE199" s="17"/>
      <c r="AF199" s="17"/>
      <c r="AG199" s="18"/>
    </row>
    <row r="200" ht="14.25" customHeight="1">
      <c r="A200" s="9" t="s">
        <v>913</v>
      </c>
      <c r="B200" s="9" t="s">
        <v>914</v>
      </c>
      <c r="C200" s="9"/>
      <c r="D200" s="10"/>
      <c r="E200" s="20"/>
      <c r="F200" s="9" t="s">
        <v>923</v>
      </c>
      <c r="G200" s="12" t="s">
        <v>924</v>
      </c>
      <c r="H200" s="12"/>
      <c r="I200" s="10"/>
      <c r="J200" s="10"/>
      <c r="K200" s="10"/>
      <c r="L200" s="10"/>
      <c r="M200" s="10"/>
      <c r="N200" s="10" t="s">
        <v>40</v>
      </c>
      <c r="O200" s="10">
        <v>800.0</v>
      </c>
      <c r="P200" s="10" t="s">
        <v>335</v>
      </c>
      <c r="Q200" s="10" t="s">
        <v>925</v>
      </c>
      <c r="R200" s="16">
        <v>1.0</v>
      </c>
      <c r="S200" s="16" t="s">
        <v>918</v>
      </c>
      <c r="T200" s="16"/>
      <c r="U200" s="16"/>
      <c r="V200" s="16">
        <v>20.0</v>
      </c>
      <c r="W200" s="16" t="s">
        <v>919</v>
      </c>
      <c r="X200" s="16">
        <v>240.0</v>
      </c>
      <c r="Y200" s="16" t="s">
        <v>920</v>
      </c>
      <c r="Z200" s="16" t="s">
        <v>747</v>
      </c>
      <c r="AA200" s="10"/>
      <c r="AB200" s="17" t="s">
        <v>926</v>
      </c>
      <c r="AC200" s="17" t="s">
        <v>927</v>
      </c>
      <c r="AD200" s="17"/>
      <c r="AE200" s="17"/>
      <c r="AF200" s="17"/>
      <c r="AG200" s="18"/>
    </row>
    <row r="201" ht="14.25" customHeight="1">
      <c r="A201" s="9" t="s">
        <v>913</v>
      </c>
      <c r="B201" s="9" t="s">
        <v>914</v>
      </c>
      <c r="C201" s="9"/>
      <c r="D201" s="10"/>
      <c r="E201" s="20"/>
      <c r="F201" s="9" t="s">
        <v>928</v>
      </c>
      <c r="G201" s="12" t="s">
        <v>929</v>
      </c>
      <c r="H201" s="12"/>
      <c r="I201" s="10"/>
      <c r="J201" s="10"/>
      <c r="K201" s="10"/>
      <c r="L201" s="10"/>
      <c r="M201" s="10"/>
      <c r="N201" s="10" t="s">
        <v>40</v>
      </c>
      <c r="O201" s="10">
        <v>740.0</v>
      </c>
      <c r="P201" s="10" t="s">
        <v>335</v>
      </c>
      <c r="Q201" s="15" t="s">
        <v>930</v>
      </c>
      <c r="R201" s="16">
        <v>1.0</v>
      </c>
      <c r="S201" s="16" t="s">
        <v>918</v>
      </c>
      <c r="T201" s="16"/>
      <c r="U201" s="16"/>
      <c r="V201" s="16">
        <v>20.0</v>
      </c>
      <c r="W201" s="16" t="s">
        <v>931</v>
      </c>
      <c r="X201" s="16">
        <v>240.0</v>
      </c>
      <c r="Y201" s="16" t="s">
        <v>920</v>
      </c>
      <c r="Z201" s="16" t="s">
        <v>932</v>
      </c>
      <c r="AA201" s="10"/>
      <c r="AB201" s="17" t="s">
        <v>933</v>
      </c>
      <c r="AC201" s="17" t="s">
        <v>934</v>
      </c>
      <c r="AD201" s="17"/>
      <c r="AE201" s="17"/>
      <c r="AF201" s="17"/>
      <c r="AG201" s="18"/>
    </row>
    <row r="202" ht="14.25" customHeight="1">
      <c r="A202" s="9" t="s">
        <v>913</v>
      </c>
      <c r="B202" s="9" t="s">
        <v>914</v>
      </c>
      <c r="C202" s="9"/>
      <c r="D202" s="10"/>
      <c r="E202" s="20"/>
      <c r="F202" s="9" t="s">
        <v>935</v>
      </c>
      <c r="G202" s="12" t="s">
        <v>936</v>
      </c>
      <c r="H202" s="12"/>
      <c r="I202" s="10"/>
      <c r="J202" s="10"/>
      <c r="K202" s="10"/>
      <c r="L202" s="10"/>
      <c r="M202" s="10"/>
      <c r="N202" s="10" t="s">
        <v>40</v>
      </c>
      <c r="O202" s="10">
        <v>750.0</v>
      </c>
      <c r="P202" s="10" t="s">
        <v>335</v>
      </c>
      <c r="Q202" s="15" t="s">
        <v>937</v>
      </c>
      <c r="R202" s="16">
        <v>1.0</v>
      </c>
      <c r="S202" s="16" t="s">
        <v>918</v>
      </c>
      <c r="T202" s="16"/>
      <c r="U202" s="16"/>
      <c r="V202" s="16">
        <v>20.0</v>
      </c>
      <c r="W202" s="16" t="s">
        <v>931</v>
      </c>
      <c r="X202" s="16">
        <v>240.0</v>
      </c>
      <c r="Y202" s="16" t="s">
        <v>920</v>
      </c>
      <c r="Z202" s="16" t="s">
        <v>932</v>
      </c>
      <c r="AA202" s="10"/>
      <c r="AB202" s="17" t="s">
        <v>938</v>
      </c>
      <c r="AC202" s="17" t="s">
        <v>939</v>
      </c>
      <c r="AD202" s="17"/>
      <c r="AE202" s="17"/>
      <c r="AF202" s="17"/>
      <c r="AG202" s="18"/>
    </row>
    <row r="203" ht="14.25" customHeight="1">
      <c r="A203" s="9" t="s">
        <v>913</v>
      </c>
      <c r="B203" s="9" t="s">
        <v>914</v>
      </c>
      <c r="C203" s="9"/>
      <c r="D203" s="10"/>
      <c r="E203" s="20"/>
      <c r="F203" s="52" t="s">
        <v>940</v>
      </c>
      <c r="G203" s="9" t="s">
        <v>941</v>
      </c>
      <c r="H203" s="9"/>
      <c r="I203" s="10"/>
      <c r="J203" s="10"/>
      <c r="K203" s="10"/>
      <c r="L203" s="10"/>
      <c r="M203" s="10"/>
      <c r="N203" s="10" t="s">
        <v>40</v>
      </c>
      <c r="O203" s="10">
        <v>900.0</v>
      </c>
      <c r="P203" s="10" t="s">
        <v>335</v>
      </c>
      <c r="Q203" s="10"/>
      <c r="R203" s="16">
        <v>1.0</v>
      </c>
      <c r="S203" s="16" t="s">
        <v>942</v>
      </c>
      <c r="T203" s="16"/>
      <c r="U203" s="16"/>
      <c r="V203" s="16">
        <v>20.0</v>
      </c>
      <c r="W203" s="16" t="s">
        <v>931</v>
      </c>
      <c r="X203" s="16">
        <v>240.0</v>
      </c>
      <c r="Y203" s="16" t="s">
        <v>920</v>
      </c>
      <c r="Z203" s="16" t="s">
        <v>932</v>
      </c>
      <c r="AA203" s="10"/>
      <c r="AB203" s="17"/>
      <c r="AC203" s="17"/>
      <c r="AD203" s="17"/>
      <c r="AE203" s="17"/>
      <c r="AF203" s="17"/>
      <c r="AG203" s="18"/>
    </row>
    <row r="204" ht="14.25" customHeight="1">
      <c r="A204" s="9" t="s">
        <v>913</v>
      </c>
      <c r="B204" s="9" t="s">
        <v>914</v>
      </c>
      <c r="C204" s="9"/>
      <c r="D204" s="10"/>
      <c r="E204" s="20"/>
      <c r="F204" s="52" t="s">
        <v>943</v>
      </c>
      <c r="G204" s="9" t="s">
        <v>941</v>
      </c>
      <c r="H204" s="9"/>
      <c r="I204" s="10"/>
      <c r="J204" s="10"/>
      <c r="K204" s="10"/>
      <c r="L204" s="10"/>
      <c r="M204" s="10"/>
      <c r="N204" s="10" t="s">
        <v>40</v>
      </c>
      <c r="O204" s="10">
        <v>900.0</v>
      </c>
      <c r="P204" s="10" t="s">
        <v>335</v>
      </c>
      <c r="Q204" s="10"/>
      <c r="R204" s="16">
        <v>1.0</v>
      </c>
      <c r="S204" s="16" t="s">
        <v>942</v>
      </c>
      <c r="T204" s="16"/>
      <c r="U204" s="16"/>
      <c r="V204" s="16">
        <v>20.0</v>
      </c>
      <c r="W204" s="16" t="s">
        <v>931</v>
      </c>
      <c r="X204" s="16">
        <v>240.0</v>
      </c>
      <c r="Y204" s="16" t="s">
        <v>920</v>
      </c>
      <c r="Z204" s="16" t="s">
        <v>932</v>
      </c>
      <c r="AA204" s="10"/>
      <c r="AB204" s="17"/>
      <c r="AC204" s="17"/>
      <c r="AD204" s="17"/>
      <c r="AE204" s="17"/>
      <c r="AF204" s="17"/>
      <c r="AG204" s="18"/>
    </row>
    <row r="205" ht="14.25" customHeight="1">
      <c r="A205" s="9" t="s">
        <v>852</v>
      </c>
      <c r="B205" s="9" t="s">
        <v>852</v>
      </c>
      <c r="C205" s="9"/>
      <c r="D205" s="10"/>
      <c r="E205" s="20"/>
      <c r="F205" s="9" t="s">
        <v>944</v>
      </c>
      <c r="G205" s="12" t="s">
        <v>945</v>
      </c>
      <c r="H205" s="12"/>
      <c r="I205" s="10"/>
      <c r="J205" s="10"/>
      <c r="K205" s="10"/>
      <c r="L205" s="10"/>
      <c r="M205" s="10"/>
      <c r="N205" s="10" t="s">
        <v>40</v>
      </c>
      <c r="O205" s="10">
        <v>2.6</v>
      </c>
      <c r="P205" s="10" t="s">
        <v>335</v>
      </c>
      <c r="Q205" s="15" t="s">
        <v>946</v>
      </c>
      <c r="R205" s="16">
        <v>1.0</v>
      </c>
      <c r="S205" s="16" t="s">
        <v>697</v>
      </c>
      <c r="T205" s="16"/>
      <c r="U205" s="16"/>
      <c r="V205" s="16">
        <v>5.0</v>
      </c>
      <c r="W205" s="16" t="s">
        <v>690</v>
      </c>
      <c r="X205" s="16">
        <v>90.0</v>
      </c>
      <c r="Y205" s="16" t="s">
        <v>44</v>
      </c>
      <c r="Z205" s="16" t="s">
        <v>691</v>
      </c>
      <c r="AA205" s="10"/>
      <c r="AB205" s="17" t="s">
        <v>945</v>
      </c>
      <c r="AC205" s="17" t="s">
        <v>947</v>
      </c>
      <c r="AD205" s="17"/>
      <c r="AE205" s="17"/>
      <c r="AF205" s="17"/>
      <c r="AG205" s="18"/>
    </row>
    <row r="206" ht="14.25" customHeight="1">
      <c r="A206" s="9" t="s">
        <v>852</v>
      </c>
      <c r="B206" s="9" t="s">
        <v>852</v>
      </c>
      <c r="C206" s="9"/>
      <c r="D206" s="10"/>
      <c r="E206" s="20"/>
      <c r="F206" s="9" t="s">
        <v>948</v>
      </c>
      <c r="G206" s="12" t="s">
        <v>949</v>
      </c>
      <c r="H206" s="12"/>
      <c r="I206" s="10"/>
      <c r="J206" s="10"/>
      <c r="K206" s="10"/>
      <c r="L206" s="10"/>
      <c r="M206" s="10"/>
      <c r="N206" s="10" t="s">
        <v>40</v>
      </c>
      <c r="O206" s="10">
        <v>0.25</v>
      </c>
      <c r="P206" s="10" t="s">
        <v>335</v>
      </c>
      <c r="Q206" s="15" t="s">
        <v>950</v>
      </c>
      <c r="R206" s="16">
        <v>1.0</v>
      </c>
      <c r="S206" s="16" t="s">
        <v>704</v>
      </c>
      <c r="T206" s="16"/>
      <c r="U206" s="16"/>
      <c r="V206" s="16">
        <v>30.0</v>
      </c>
      <c r="W206" s="16" t="s">
        <v>690</v>
      </c>
      <c r="X206" s="16">
        <v>540.0</v>
      </c>
      <c r="Y206" s="16" t="s">
        <v>44</v>
      </c>
      <c r="Z206" s="16" t="s">
        <v>691</v>
      </c>
      <c r="AA206" s="10"/>
      <c r="AB206" s="17" t="s">
        <v>949</v>
      </c>
      <c r="AC206" s="17" t="s">
        <v>951</v>
      </c>
      <c r="AD206" s="17"/>
      <c r="AE206" s="17"/>
      <c r="AF206" s="17"/>
      <c r="AG206" s="18"/>
    </row>
    <row r="207" ht="14.25" customHeight="1">
      <c r="A207" s="9" t="s">
        <v>852</v>
      </c>
      <c r="B207" s="9" t="s">
        <v>852</v>
      </c>
      <c r="C207" s="9"/>
      <c r="D207" s="10"/>
      <c r="E207" s="20"/>
      <c r="F207" s="9" t="s">
        <v>952</v>
      </c>
      <c r="G207" s="12" t="s">
        <v>953</v>
      </c>
      <c r="H207" s="12"/>
      <c r="I207" s="10"/>
      <c r="J207" s="10"/>
      <c r="K207" s="10"/>
      <c r="L207" s="10"/>
      <c r="M207" s="10"/>
      <c r="N207" s="10" t="s">
        <v>40</v>
      </c>
      <c r="O207" s="10">
        <v>0.2</v>
      </c>
      <c r="P207" s="10" t="s">
        <v>335</v>
      </c>
      <c r="Q207" s="15" t="s">
        <v>954</v>
      </c>
      <c r="R207" s="16">
        <v>1.0</v>
      </c>
      <c r="S207" s="16" t="s">
        <v>704</v>
      </c>
      <c r="T207" s="16"/>
      <c r="U207" s="16"/>
      <c r="V207" s="16">
        <v>30.0</v>
      </c>
      <c r="W207" s="16" t="s">
        <v>690</v>
      </c>
      <c r="X207" s="16">
        <v>540.0</v>
      </c>
      <c r="Y207" s="16" t="s">
        <v>44</v>
      </c>
      <c r="Z207" s="16" t="s">
        <v>691</v>
      </c>
      <c r="AA207" s="10"/>
      <c r="AB207" s="17" t="s">
        <v>953</v>
      </c>
      <c r="AC207" s="17" t="s">
        <v>955</v>
      </c>
      <c r="AD207" s="17"/>
      <c r="AE207" s="17"/>
      <c r="AF207" s="17"/>
      <c r="AG207" s="18"/>
    </row>
    <row r="208" ht="14.25" customHeight="1">
      <c r="A208" s="9" t="s">
        <v>852</v>
      </c>
      <c r="B208" s="9" t="s">
        <v>852</v>
      </c>
      <c r="C208" s="9"/>
      <c r="D208" s="10"/>
      <c r="E208" s="20"/>
      <c r="F208" s="9" t="s">
        <v>956</v>
      </c>
      <c r="G208" s="12" t="s">
        <v>957</v>
      </c>
      <c r="H208" s="12"/>
      <c r="I208" s="10"/>
      <c r="J208" s="10"/>
      <c r="K208" s="10"/>
      <c r="L208" s="10"/>
      <c r="M208" s="10"/>
      <c r="N208" s="10" t="s">
        <v>40</v>
      </c>
      <c r="O208" s="10">
        <v>290.0</v>
      </c>
      <c r="P208" s="10" t="s">
        <v>335</v>
      </c>
      <c r="Q208" s="15" t="s">
        <v>958</v>
      </c>
      <c r="R208" s="16">
        <v>1.0</v>
      </c>
      <c r="S208" s="16" t="s">
        <v>959</v>
      </c>
      <c r="T208" s="16" t="s">
        <v>43</v>
      </c>
      <c r="U208" s="16" t="s">
        <v>43</v>
      </c>
      <c r="V208" s="16">
        <v>25.0</v>
      </c>
      <c r="W208" s="16" t="s">
        <v>960</v>
      </c>
      <c r="X208" s="16">
        <v>400.0</v>
      </c>
      <c r="Y208" s="16" t="s">
        <v>961</v>
      </c>
      <c r="Z208" s="16" t="s">
        <v>962</v>
      </c>
      <c r="AA208" s="10"/>
      <c r="AB208" s="17" t="s">
        <v>963</v>
      </c>
      <c r="AC208" s="17" t="s">
        <v>964</v>
      </c>
      <c r="AD208" s="17"/>
      <c r="AE208" s="17"/>
      <c r="AF208" s="17"/>
      <c r="AG208" s="18"/>
    </row>
    <row r="209" ht="14.25" customHeight="1">
      <c r="A209" s="9" t="s">
        <v>852</v>
      </c>
      <c r="B209" s="9" t="s">
        <v>852</v>
      </c>
      <c r="C209" s="9"/>
      <c r="D209" s="10"/>
      <c r="E209" s="20"/>
      <c r="F209" s="9" t="s">
        <v>965</v>
      </c>
      <c r="G209" s="12" t="s">
        <v>966</v>
      </c>
      <c r="H209" s="12"/>
      <c r="I209" s="10"/>
      <c r="J209" s="10"/>
      <c r="K209" s="10"/>
      <c r="L209" s="10"/>
      <c r="M209" s="10"/>
      <c r="N209" s="10" t="s">
        <v>40</v>
      </c>
      <c r="O209" s="10">
        <v>340.0</v>
      </c>
      <c r="P209" s="10" t="s">
        <v>335</v>
      </c>
      <c r="Q209" s="10" t="s">
        <v>967</v>
      </c>
      <c r="R209" s="16">
        <v>1.0</v>
      </c>
      <c r="S209" s="16" t="s">
        <v>959</v>
      </c>
      <c r="T209" s="16"/>
      <c r="U209" s="16"/>
      <c r="V209" s="16">
        <v>25.0</v>
      </c>
      <c r="W209" s="16" t="s">
        <v>960</v>
      </c>
      <c r="X209" s="16">
        <v>400.0</v>
      </c>
      <c r="Y209" s="16" t="s">
        <v>961</v>
      </c>
      <c r="Z209" s="16" t="s">
        <v>962</v>
      </c>
      <c r="AA209" s="10"/>
      <c r="AB209" s="17" t="s">
        <v>968</v>
      </c>
      <c r="AC209" s="17" t="s">
        <v>969</v>
      </c>
      <c r="AD209" s="17"/>
      <c r="AE209" s="17"/>
      <c r="AF209" s="17"/>
      <c r="AG209" s="18"/>
    </row>
    <row r="210" ht="14.25" customHeight="1">
      <c r="A210" s="9"/>
      <c r="B210" s="9"/>
      <c r="C210" s="9"/>
      <c r="D210" s="10"/>
      <c r="E210" s="20"/>
      <c r="F210" s="53" t="s">
        <v>970</v>
      </c>
      <c r="G210" s="54" t="s">
        <v>971</v>
      </c>
      <c r="H210" s="54"/>
      <c r="I210" s="10"/>
      <c r="J210" s="10"/>
      <c r="K210" s="10"/>
      <c r="L210" s="10"/>
      <c r="M210" s="10"/>
      <c r="N210" s="10" t="s">
        <v>40</v>
      </c>
      <c r="O210" s="10">
        <v>684.0</v>
      </c>
      <c r="P210" s="10" t="s">
        <v>335</v>
      </c>
      <c r="Q210" s="15" t="s">
        <v>972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7" t="s">
        <v>971</v>
      </c>
      <c r="AC210" s="17" t="s">
        <v>973</v>
      </c>
      <c r="AD210" s="17"/>
      <c r="AE210" s="17"/>
      <c r="AF210" s="17"/>
      <c r="AG210" s="18"/>
    </row>
    <row r="211" ht="14.25" customHeight="1">
      <c r="A211" s="9"/>
      <c r="B211" s="9"/>
      <c r="C211" s="9"/>
      <c r="D211" s="10"/>
      <c r="E211" s="20"/>
      <c r="F211" s="53" t="s">
        <v>974</v>
      </c>
      <c r="G211" s="54" t="s">
        <v>975</v>
      </c>
      <c r="H211" s="54"/>
      <c r="I211" s="10"/>
      <c r="J211" s="10"/>
      <c r="K211" s="10"/>
      <c r="L211" s="10"/>
      <c r="M211" s="10"/>
      <c r="N211" s="10" t="s">
        <v>40</v>
      </c>
      <c r="O211" s="10">
        <v>1115.0</v>
      </c>
      <c r="P211" s="10" t="s">
        <v>335</v>
      </c>
      <c r="Q211" s="15" t="s">
        <v>976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7" t="s">
        <v>975</v>
      </c>
      <c r="AC211" s="17" t="s">
        <v>977</v>
      </c>
      <c r="AD211" s="17"/>
      <c r="AE211" s="17"/>
      <c r="AF211" s="17"/>
      <c r="AG211" s="18"/>
    </row>
    <row r="212" ht="14.25" customHeight="1">
      <c r="A212" s="9"/>
      <c r="B212" s="9"/>
      <c r="C212" s="9"/>
      <c r="D212" s="10"/>
      <c r="E212" s="20"/>
      <c r="F212" s="53" t="s">
        <v>978</v>
      </c>
      <c r="G212" s="54" t="s">
        <v>979</v>
      </c>
      <c r="H212" s="54"/>
      <c r="I212" s="10"/>
      <c r="J212" s="10"/>
      <c r="K212" s="10"/>
      <c r="L212" s="10"/>
      <c r="M212" s="10"/>
      <c r="N212" s="10" t="s">
        <v>40</v>
      </c>
      <c r="O212" s="10">
        <v>2900.0</v>
      </c>
      <c r="P212" s="10" t="s">
        <v>335</v>
      </c>
      <c r="Q212" s="15" t="s">
        <v>980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7" t="s">
        <v>979</v>
      </c>
      <c r="AC212" s="17" t="s">
        <v>981</v>
      </c>
      <c r="AD212" s="17"/>
      <c r="AE212" s="17"/>
      <c r="AF212" s="17"/>
      <c r="AG212" s="18"/>
    </row>
    <row r="213" ht="14.25" customHeight="1">
      <c r="A213" s="9"/>
      <c r="B213" s="9"/>
      <c r="C213" s="9"/>
      <c r="D213" s="10"/>
      <c r="E213" s="20"/>
      <c r="F213" s="9" t="s">
        <v>982</v>
      </c>
      <c r="G213" s="12" t="s">
        <v>983</v>
      </c>
      <c r="H213" s="12"/>
      <c r="I213" s="10"/>
      <c r="J213" s="10"/>
      <c r="K213" s="10"/>
      <c r="L213" s="10"/>
      <c r="M213" s="10"/>
      <c r="N213" s="10" t="s">
        <v>40</v>
      </c>
      <c r="O213" s="10">
        <v>184.0</v>
      </c>
      <c r="P213" s="10" t="s">
        <v>335</v>
      </c>
      <c r="Q213" s="15" t="s">
        <v>984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7" t="s">
        <v>983</v>
      </c>
      <c r="AC213" s="17" t="str">
        <f t="shared" ref="AC213:AC241" si="20">XLOOKUP(F213,'[2]PO &amp; SC Dec 2026'!$I:$I,'[2]PO &amp; SC Dec 2026'!$L:$L,0)</f>
        <v>#REF!</v>
      </c>
      <c r="AD213" s="17"/>
      <c r="AE213" s="17"/>
      <c r="AF213" s="17"/>
      <c r="AG213" s="18"/>
    </row>
    <row r="214" ht="14.25" customHeight="1">
      <c r="A214" s="9"/>
      <c r="B214" s="9"/>
      <c r="C214" s="9"/>
      <c r="D214" s="10"/>
      <c r="E214" s="20"/>
      <c r="F214" s="9" t="s">
        <v>985</v>
      </c>
      <c r="G214" s="12" t="s">
        <v>986</v>
      </c>
      <c r="H214" s="12"/>
      <c r="I214" s="10"/>
      <c r="J214" s="10"/>
      <c r="K214" s="10"/>
      <c r="L214" s="10"/>
      <c r="M214" s="10"/>
      <c r="N214" s="10" t="s">
        <v>40</v>
      </c>
      <c r="O214" s="10">
        <v>281.0</v>
      </c>
      <c r="P214" s="10" t="s">
        <v>335</v>
      </c>
      <c r="Q214" s="15" t="s">
        <v>987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7" t="s">
        <v>986</v>
      </c>
      <c r="AC214" s="17" t="str">
        <f t="shared" si="20"/>
        <v>#REF!</v>
      </c>
      <c r="AD214" s="17"/>
      <c r="AE214" s="17"/>
      <c r="AF214" s="17"/>
      <c r="AG214" s="18"/>
    </row>
    <row r="215" ht="14.25" customHeight="1">
      <c r="A215" s="9"/>
      <c r="B215" s="9"/>
      <c r="C215" s="9"/>
      <c r="D215" s="10"/>
      <c r="E215" s="20"/>
      <c r="F215" s="9" t="s">
        <v>988</v>
      </c>
      <c r="G215" s="12" t="s">
        <v>989</v>
      </c>
      <c r="H215" s="12"/>
      <c r="I215" s="10"/>
      <c r="J215" s="10"/>
      <c r="K215" s="10"/>
      <c r="L215" s="10"/>
      <c r="M215" s="10"/>
      <c r="N215" s="10" t="s">
        <v>40</v>
      </c>
      <c r="O215" s="10">
        <v>455.0</v>
      </c>
      <c r="P215" s="10" t="s">
        <v>335</v>
      </c>
      <c r="Q215" s="15" t="s">
        <v>990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7" t="s">
        <v>989</v>
      </c>
      <c r="AC215" s="17" t="str">
        <f t="shared" si="20"/>
        <v>#REF!</v>
      </c>
      <c r="AD215" s="17"/>
      <c r="AE215" s="17"/>
      <c r="AF215" s="17"/>
      <c r="AG215" s="18"/>
    </row>
    <row r="216" ht="14.25" customHeight="1">
      <c r="A216" s="9"/>
      <c r="B216" s="9"/>
      <c r="C216" s="9"/>
      <c r="D216" s="10"/>
      <c r="E216" s="20"/>
      <c r="F216" s="9" t="s">
        <v>991</v>
      </c>
      <c r="G216" s="12" t="s">
        <v>992</v>
      </c>
      <c r="H216" s="12"/>
      <c r="I216" s="10"/>
      <c r="J216" s="10"/>
      <c r="K216" s="10"/>
      <c r="L216" s="10"/>
      <c r="M216" s="10"/>
      <c r="N216" s="10" t="s">
        <v>40</v>
      </c>
      <c r="O216" s="10">
        <v>244.0</v>
      </c>
      <c r="P216" s="10" t="s">
        <v>335</v>
      </c>
      <c r="Q216" s="15" t="s">
        <v>993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7" t="s">
        <v>992</v>
      </c>
      <c r="AC216" s="17" t="str">
        <f t="shared" si="20"/>
        <v>#REF!</v>
      </c>
      <c r="AD216" s="17"/>
      <c r="AE216" s="17"/>
      <c r="AF216" s="17"/>
      <c r="AG216" s="18"/>
    </row>
    <row r="217" ht="14.25" customHeight="1">
      <c r="A217" s="9"/>
      <c r="B217" s="9"/>
      <c r="C217" s="9"/>
      <c r="D217" s="10"/>
      <c r="E217" s="20"/>
      <c r="F217" s="9" t="s">
        <v>994</v>
      </c>
      <c r="G217" s="12" t="s">
        <v>995</v>
      </c>
      <c r="H217" s="12"/>
      <c r="I217" s="10"/>
      <c r="J217" s="10"/>
      <c r="K217" s="10"/>
      <c r="L217" s="10"/>
      <c r="M217" s="10"/>
      <c r="N217" s="10" t="s">
        <v>40</v>
      </c>
      <c r="O217" s="10">
        <v>290.0</v>
      </c>
      <c r="P217" s="10" t="s">
        <v>335</v>
      </c>
      <c r="Q217" s="15" t="s">
        <v>996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7" t="s">
        <v>995</v>
      </c>
      <c r="AC217" s="17" t="str">
        <f t="shared" si="20"/>
        <v>#REF!</v>
      </c>
      <c r="AD217" s="17"/>
      <c r="AE217" s="17"/>
      <c r="AF217" s="17"/>
      <c r="AG217" s="18"/>
    </row>
    <row r="218" ht="14.25" customHeight="1">
      <c r="A218" s="9"/>
      <c r="B218" s="9"/>
      <c r="C218" s="9"/>
      <c r="D218" s="10"/>
      <c r="E218" s="20"/>
      <c r="F218" s="9" t="s">
        <v>997</v>
      </c>
      <c r="G218" s="12" t="s">
        <v>998</v>
      </c>
      <c r="H218" s="12"/>
      <c r="I218" s="10"/>
      <c r="J218" s="10"/>
      <c r="K218" s="10"/>
      <c r="L218" s="10"/>
      <c r="M218" s="10"/>
      <c r="N218" s="10" t="s">
        <v>40</v>
      </c>
      <c r="O218" s="10">
        <v>470.0</v>
      </c>
      <c r="P218" s="10" t="s">
        <v>335</v>
      </c>
      <c r="Q218" s="15" t="s">
        <v>999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7" t="s">
        <v>998</v>
      </c>
      <c r="AC218" s="17" t="str">
        <f t="shared" si="20"/>
        <v>#REF!</v>
      </c>
      <c r="AD218" s="17"/>
      <c r="AE218" s="17"/>
      <c r="AF218" s="17"/>
      <c r="AG218" s="18"/>
    </row>
    <row r="219" ht="14.25" customHeight="1">
      <c r="A219" s="9"/>
      <c r="B219" s="9"/>
      <c r="C219" s="9"/>
      <c r="D219" s="10"/>
      <c r="E219" s="20"/>
      <c r="F219" s="9" t="s">
        <v>1000</v>
      </c>
      <c r="G219" s="12" t="s">
        <v>1001</v>
      </c>
      <c r="H219" s="12"/>
      <c r="I219" s="10"/>
      <c r="J219" s="10"/>
      <c r="K219" s="10"/>
      <c r="L219" s="10"/>
      <c r="M219" s="10"/>
      <c r="N219" s="10" t="s">
        <v>40</v>
      </c>
      <c r="O219" s="10">
        <v>117.0</v>
      </c>
      <c r="P219" s="10" t="s">
        <v>335</v>
      </c>
      <c r="Q219" s="15" t="s">
        <v>1002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7" t="s">
        <v>1001</v>
      </c>
      <c r="AC219" s="17" t="str">
        <f t="shared" si="20"/>
        <v>#REF!</v>
      </c>
      <c r="AD219" s="17"/>
      <c r="AE219" s="17"/>
      <c r="AF219" s="17"/>
      <c r="AG219" s="18"/>
    </row>
    <row r="220" ht="14.25" customHeight="1">
      <c r="A220" s="9"/>
      <c r="B220" s="9"/>
      <c r="C220" s="9"/>
      <c r="D220" s="10"/>
      <c r="E220" s="20"/>
      <c r="F220" s="9" t="s">
        <v>1003</v>
      </c>
      <c r="G220" s="12" t="s">
        <v>1004</v>
      </c>
      <c r="H220" s="12"/>
      <c r="I220" s="10"/>
      <c r="J220" s="10"/>
      <c r="K220" s="10"/>
      <c r="L220" s="10"/>
      <c r="M220" s="10"/>
      <c r="N220" s="10" t="s">
        <v>40</v>
      </c>
      <c r="O220" s="10">
        <v>184.0</v>
      </c>
      <c r="P220" s="10" t="s">
        <v>335</v>
      </c>
      <c r="Q220" s="15" t="s">
        <v>1005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7" t="s">
        <v>1004</v>
      </c>
      <c r="AC220" s="17" t="str">
        <f t="shared" si="20"/>
        <v>#REF!</v>
      </c>
      <c r="AD220" s="17"/>
      <c r="AE220" s="17"/>
      <c r="AF220" s="17"/>
      <c r="AG220" s="18"/>
    </row>
    <row r="221" ht="14.25" customHeight="1">
      <c r="A221" s="9"/>
      <c r="B221" s="9"/>
      <c r="C221" s="9"/>
      <c r="D221" s="10"/>
      <c r="E221" s="20"/>
      <c r="F221" s="9" t="s">
        <v>1006</v>
      </c>
      <c r="G221" s="12" t="s">
        <v>1007</v>
      </c>
      <c r="H221" s="12"/>
      <c r="I221" s="10"/>
      <c r="J221" s="10"/>
      <c r="K221" s="10"/>
      <c r="L221" s="10"/>
      <c r="M221" s="10"/>
      <c r="N221" s="10" t="s">
        <v>40</v>
      </c>
      <c r="O221" s="10">
        <v>281.0</v>
      </c>
      <c r="P221" s="10" t="s">
        <v>335</v>
      </c>
      <c r="Q221" s="15" t="s">
        <v>1008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7" t="s">
        <v>1007</v>
      </c>
      <c r="AC221" s="17" t="str">
        <f t="shared" si="20"/>
        <v>#REF!</v>
      </c>
      <c r="AD221" s="17"/>
      <c r="AE221" s="17"/>
      <c r="AF221" s="17"/>
      <c r="AG221" s="18"/>
    </row>
    <row r="222" ht="14.25" customHeight="1">
      <c r="A222" s="9"/>
      <c r="B222" s="9"/>
      <c r="C222" s="9"/>
      <c r="D222" s="10"/>
      <c r="E222" s="20"/>
      <c r="F222" s="9" t="s">
        <v>1009</v>
      </c>
      <c r="G222" s="12" t="s">
        <v>1010</v>
      </c>
      <c r="H222" s="12"/>
      <c r="I222" s="10"/>
      <c r="J222" s="10"/>
      <c r="K222" s="10"/>
      <c r="L222" s="10"/>
      <c r="M222" s="10"/>
      <c r="N222" s="10" t="s">
        <v>40</v>
      </c>
      <c r="O222" s="10">
        <v>455.0</v>
      </c>
      <c r="P222" s="10" t="s">
        <v>335</v>
      </c>
      <c r="Q222" s="15" t="s">
        <v>1011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7" t="s">
        <v>1010</v>
      </c>
      <c r="AC222" s="17" t="str">
        <f t="shared" si="20"/>
        <v>#REF!</v>
      </c>
      <c r="AD222" s="17"/>
      <c r="AE222" s="17"/>
      <c r="AF222" s="17"/>
      <c r="AG222" s="18"/>
    </row>
    <row r="223" ht="14.25" customHeight="1">
      <c r="A223" s="9"/>
      <c r="B223" s="9"/>
      <c r="C223" s="9"/>
      <c r="D223" s="10"/>
      <c r="E223" s="20"/>
      <c r="F223" s="9" t="s">
        <v>1012</v>
      </c>
      <c r="G223" s="12" t="s">
        <v>1013</v>
      </c>
      <c r="H223" s="12"/>
      <c r="I223" s="10"/>
      <c r="J223" s="10"/>
      <c r="K223" s="10"/>
      <c r="L223" s="10"/>
      <c r="M223" s="10"/>
      <c r="N223" s="10" t="s">
        <v>40</v>
      </c>
      <c r="O223" s="10">
        <v>244.0</v>
      </c>
      <c r="P223" s="10" t="s">
        <v>335</v>
      </c>
      <c r="Q223" s="15" t="s">
        <v>1014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7" t="s">
        <v>1013</v>
      </c>
      <c r="AC223" s="17" t="str">
        <f t="shared" si="20"/>
        <v>#REF!</v>
      </c>
      <c r="AD223" s="17"/>
      <c r="AE223" s="17"/>
      <c r="AF223" s="17"/>
      <c r="AG223" s="18"/>
    </row>
    <row r="224" ht="14.25" customHeight="1">
      <c r="A224" s="9"/>
      <c r="B224" s="9"/>
      <c r="C224" s="9"/>
      <c r="D224" s="10"/>
      <c r="E224" s="20"/>
      <c r="F224" s="9" t="s">
        <v>1015</v>
      </c>
      <c r="G224" s="12" t="s">
        <v>1016</v>
      </c>
      <c r="H224" s="12"/>
      <c r="I224" s="10"/>
      <c r="J224" s="10"/>
      <c r="K224" s="10"/>
      <c r="L224" s="10"/>
      <c r="M224" s="10"/>
      <c r="N224" s="10" t="s">
        <v>40</v>
      </c>
      <c r="O224" s="10">
        <v>290.0</v>
      </c>
      <c r="P224" s="10" t="s">
        <v>335</v>
      </c>
      <c r="Q224" s="15" t="s">
        <v>1017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7" t="s">
        <v>1016</v>
      </c>
      <c r="AC224" s="17" t="str">
        <f t="shared" si="20"/>
        <v>#REF!</v>
      </c>
      <c r="AD224" s="17"/>
      <c r="AE224" s="17"/>
      <c r="AF224" s="17"/>
      <c r="AG224" s="18"/>
    </row>
    <row r="225" ht="14.25" customHeight="1">
      <c r="A225" s="9"/>
      <c r="B225" s="9"/>
      <c r="C225" s="9"/>
      <c r="D225" s="10"/>
      <c r="E225" s="20"/>
      <c r="F225" s="9" t="s">
        <v>1018</v>
      </c>
      <c r="G225" s="12" t="s">
        <v>1019</v>
      </c>
      <c r="H225" s="12"/>
      <c r="I225" s="10"/>
      <c r="J225" s="10"/>
      <c r="K225" s="10"/>
      <c r="L225" s="10"/>
      <c r="M225" s="10"/>
      <c r="N225" s="10" t="s">
        <v>40</v>
      </c>
      <c r="O225" s="10">
        <v>25.4</v>
      </c>
      <c r="P225" s="10" t="s">
        <v>335</v>
      </c>
      <c r="Q225" s="15" t="s">
        <v>1020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7" t="s">
        <v>1019</v>
      </c>
      <c r="AC225" s="17" t="str">
        <f t="shared" si="20"/>
        <v>#REF!</v>
      </c>
      <c r="AD225" s="17"/>
      <c r="AE225" s="17"/>
      <c r="AF225" s="17"/>
      <c r="AG225" s="18"/>
    </row>
    <row r="226" ht="14.25" customHeight="1">
      <c r="A226" s="9"/>
      <c r="B226" s="9"/>
      <c r="C226" s="9"/>
      <c r="D226" s="10"/>
      <c r="E226" s="20"/>
      <c r="F226" s="9" t="s">
        <v>1021</v>
      </c>
      <c r="G226" s="12" t="s">
        <v>1022</v>
      </c>
      <c r="H226" s="12"/>
      <c r="I226" s="10"/>
      <c r="J226" s="10"/>
      <c r="K226" s="10"/>
      <c r="L226" s="10"/>
      <c r="M226" s="10"/>
      <c r="N226" s="10" t="s">
        <v>40</v>
      </c>
      <c r="O226" s="10">
        <v>470.0</v>
      </c>
      <c r="P226" s="10" t="s">
        <v>335</v>
      </c>
      <c r="Q226" s="15" t="s">
        <v>1023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7" t="s">
        <v>1022</v>
      </c>
      <c r="AC226" s="17" t="str">
        <f t="shared" si="20"/>
        <v>#REF!</v>
      </c>
      <c r="AD226" s="17"/>
      <c r="AE226" s="17"/>
      <c r="AF226" s="17"/>
      <c r="AG226" s="18"/>
    </row>
    <row r="227" ht="14.25" customHeight="1">
      <c r="A227" s="9"/>
      <c r="B227" s="9"/>
      <c r="C227" s="9"/>
      <c r="D227" s="10"/>
      <c r="E227" s="20"/>
      <c r="F227" s="9" t="s">
        <v>1024</v>
      </c>
      <c r="G227" s="12" t="s">
        <v>1025</v>
      </c>
      <c r="H227" s="12"/>
      <c r="I227" s="10"/>
      <c r="J227" s="10"/>
      <c r="K227" s="10"/>
      <c r="L227" s="10"/>
      <c r="M227" s="10"/>
      <c r="N227" s="10" t="s">
        <v>40</v>
      </c>
      <c r="O227" s="10">
        <v>54.2</v>
      </c>
      <c r="P227" s="10" t="s">
        <v>335</v>
      </c>
      <c r="Q227" s="15" t="s">
        <v>1026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7" t="s">
        <v>1025</v>
      </c>
      <c r="AC227" s="17" t="str">
        <f t="shared" si="20"/>
        <v>#REF!</v>
      </c>
      <c r="AD227" s="17"/>
      <c r="AE227" s="17"/>
      <c r="AF227" s="17"/>
      <c r="AG227" s="18"/>
    </row>
    <row r="228" ht="14.25" customHeight="1">
      <c r="A228" s="9"/>
      <c r="B228" s="9"/>
      <c r="C228" s="9"/>
      <c r="D228" s="10"/>
      <c r="E228" s="20"/>
      <c r="F228" s="9" t="s">
        <v>1027</v>
      </c>
      <c r="G228" s="12" t="s">
        <v>1028</v>
      </c>
      <c r="H228" s="12"/>
      <c r="I228" s="10"/>
      <c r="J228" s="10"/>
      <c r="K228" s="10"/>
      <c r="L228" s="10"/>
      <c r="M228" s="10"/>
      <c r="N228" s="10" t="s">
        <v>40</v>
      </c>
      <c r="O228" s="10">
        <v>117.0</v>
      </c>
      <c r="P228" s="10" t="s">
        <v>335</v>
      </c>
      <c r="Q228" s="15" t="s">
        <v>1029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7" t="s">
        <v>1028</v>
      </c>
      <c r="AC228" s="17" t="str">
        <f t="shared" si="20"/>
        <v>#REF!</v>
      </c>
      <c r="AD228" s="17"/>
      <c r="AE228" s="17"/>
      <c r="AF228" s="17"/>
      <c r="AG228" s="18"/>
    </row>
    <row r="229" ht="14.25" customHeight="1">
      <c r="A229" s="9"/>
      <c r="B229" s="9"/>
      <c r="C229" s="9"/>
      <c r="D229" s="10"/>
      <c r="E229" s="20"/>
      <c r="F229" s="9" t="s">
        <v>1030</v>
      </c>
      <c r="G229" s="12" t="s">
        <v>1031</v>
      </c>
      <c r="H229" s="12"/>
      <c r="I229" s="10"/>
      <c r="J229" s="10"/>
      <c r="K229" s="10"/>
      <c r="L229" s="10"/>
      <c r="M229" s="10"/>
      <c r="N229" s="10" t="s">
        <v>40</v>
      </c>
      <c r="O229" s="10">
        <v>184.0</v>
      </c>
      <c r="P229" s="10" t="s">
        <v>335</v>
      </c>
      <c r="Q229" s="15" t="s">
        <v>1032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7" t="s">
        <v>1031</v>
      </c>
      <c r="AC229" s="17" t="str">
        <f t="shared" si="20"/>
        <v>#REF!</v>
      </c>
      <c r="AD229" s="17"/>
      <c r="AE229" s="17"/>
      <c r="AF229" s="17"/>
      <c r="AG229" s="18"/>
    </row>
    <row r="230" ht="14.25" customHeight="1">
      <c r="A230" s="9"/>
      <c r="B230" s="9"/>
      <c r="C230" s="9"/>
      <c r="D230" s="10"/>
      <c r="E230" s="20"/>
      <c r="F230" s="9" t="s">
        <v>1033</v>
      </c>
      <c r="G230" s="12" t="s">
        <v>1034</v>
      </c>
      <c r="H230" s="12"/>
      <c r="I230" s="10"/>
      <c r="J230" s="10"/>
      <c r="K230" s="10"/>
      <c r="L230" s="10"/>
      <c r="M230" s="10"/>
      <c r="N230" s="10" t="s">
        <v>40</v>
      </c>
      <c r="O230" s="10">
        <v>281.0</v>
      </c>
      <c r="P230" s="10" t="s">
        <v>335</v>
      </c>
      <c r="Q230" s="15" t="s">
        <v>1035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7" t="s">
        <v>1034</v>
      </c>
      <c r="AC230" s="17" t="str">
        <f t="shared" si="20"/>
        <v>#REF!</v>
      </c>
      <c r="AD230" s="17"/>
      <c r="AE230" s="17"/>
      <c r="AF230" s="17"/>
      <c r="AG230" s="18"/>
    </row>
    <row r="231" ht="14.25" customHeight="1">
      <c r="A231" s="9"/>
      <c r="B231" s="9"/>
      <c r="C231" s="9"/>
      <c r="D231" s="10"/>
      <c r="E231" s="20"/>
      <c r="F231" s="9" t="s">
        <v>1036</v>
      </c>
      <c r="G231" s="12" t="s">
        <v>1037</v>
      </c>
      <c r="H231" s="12"/>
      <c r="I231" s="10"/>
      <c r="J231" s="10"/>
      <c r="K231" s="10"/>
      <c r="L231" s="10"/>
      <c r="M231" s="10"/>
      <c r="N231" s="10" t="s">
        <v>40</v>
      </c>
      <c r="O231" s="10">
        <v>455.0</v>
      </c>
      <c r="P231" s="10" t="s">
        <v>335</v>
      </c>
      <c r="Q231" s="15" t="s">
        <v>1038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7" t="s">
        <v>1037</v>
      </c>
      <c r="AC231" s="17" t="str">
        <f t="shared" si="20"/>
        <v>#REF!</v>
      </c>
      <c r="AD231" s="17"/>
      <c r="AE231" s="17"/>
      <c r="AF231" s="17"/>
      <c r="AG231" s="18"/>
    </row>
    <row r="232" ht="14.25" customHeight="1">
      <c r="A232" s="9"/>
      <c r="B232" s="9"/>
      <c r="C232" s="9"/>
      <c r="D232" s="10"/>
      <c r="E232" s="20"/>
      <c r="F232" s="9" t="s">
        <v>1039</v>
      </c>
      <c r="G232" s="12" t="s">
        <v>1040</v>
      </c>
      <c r="H232" s="12"/>
      <c r="I232" s="10"/>
      <c r="J232" s="10"/>
      <c r="K232" s="10"/>
      <c r="L232" s="10"/>
      <c r="M232" s="10"/>
      <c r="N232" s="10" t="s">
        <v>40</v>
      </c>
      <c r="O232" s="10">
        <v>244.0</v>
      </c>
      <c r="P232" s="10" t="s">
        <v>335</v>
      </c>
      <c r="Q232" s="15" t="s">
        <v>1041</v>
      </c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7" t="s">
        <v>1040</v>
      </c>
      <c r="AC232" s="17" t="str">
        <f t="shared" si="20"/>
        <v>#REF!</v>
      </c>
      <c r="AD232" s="17"/>
      <c r="AE232" s="17"/>
      <c r="AF232" s="17"/>
      <c r="AG232" s="18"/>
    </row>
    <row r="233" ht="14.25" customHeight="1">
      <c r="A233" s="9"/>
      <c r="B233" s="9"/>
      <c r="C233" s="9"/>
      <c r="D233" s="10"/>
      <c r="E233" s="20"/>
      <c r="F233" s="9" t="s">
        <v>1042</v>
      </c>
      <c r="G233" s="12" t="s">
        <v>1043</v>
      </c>
      <c r="H233" s="12"/>
      <c r="I233" s="10"/>
      <c r="J233" s="10"/>
      <c r="K233" s="10"/>
      <c r="L233" s="10"/>
      <c r="M233" s="10"/>
      <c r="N233" s="10" t="s">
        <v>40</v>
      </c>
      <c r="O233" s="10">
        <v>290.0</v>
      </c>
      <c r="P233" s="10" t="s">
        <v>335</v>
      </c>
      <c r="Q233" s="15" t="s">
        <v>1044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7" t="s">
        <v>1043</v>
      </c>
      <c r="AC233" s="17" t="str">
        <f t="shared" si="20"/>
        <v>#REF!</v>
      </c>
      <c r="AD233" s="17"/>
      <c r="AE233" s="17"/>
      <c r="AF233" s="17"/>
      <c r="AG233" s="18"/>
    </row>
    <row r="234" ht="14.25" customHeight="1">
      <c r="A234" s="9"/>
      <c r="B234" s="9"/>
      <c r="C234" s="9"/>
      <c r="D234" s="10"/>
      <c r="E234" s="20"/>
      <c r="F234" s="9" t="s">
        <v>1045</v>
      </c>
      <c r="G234" s="12" t="s">
        <v>1046</v>
      </c>
      <c r="H234" s="12"/>
      <c r="I234" s="10"/>
      <c r="J234" s="10"/>
      <c r="K234" s="10"/>
      <c r="L234" s="10"/>
      <c r="M234" s="10"/>
      <c r="N234" s="10" t="s">
        <v>40</v>
      </c>
      <c r="O234" s="10">
        <v>470.0</v>
      </c>
      <c r="P234" s="10" t="s">
        <v>335</v>
      </c>
      <c r="Q234" s="15" t="s">
        <v>1047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7" t="s">
        <v>1046</v>
      </c>
      <c r="AC234" s="17" t="str">
        <f t="shared" si="20"/>
        <v>#REF!</v>
      </c>
      <c r="AD234" s="17"/>
      <c r="AE234" s="17"/>
      <c r="AF234" s="17"/>
      <c r="AG234" s="18"/>
    </row>
    <row r="235" ht="14.25" customHeight="1">
      <c r="A235" s="9"/>
      <c r="B235" s="9"/>
      <c r="C235" s="9"/>
      <c r="D235" s="10"/>
      <c r="E235" s="20"/>
      <c r="F235" s="9" t="s">
        <v>1048</v>
      </c>
      <c r="G235" s="12" t="s">
        <v>1049</v>
      </c>
      <c r="H235" s="12"/>
      <c r="I235" s="10"/>
      <c r="J235" s="10"/>
      <c r="K235" s="10"/>
      <c r="L235" s="10"/>
      <c r="M235" s="10"/>
      <c r="N235" s="10" t="s">
        <v>40</v>
      </c>
      <c r="O235" s="10">
        <v>54.2</v>
      </c>
      <c r="P235" s="10" t="s">
        <v>335</v>
      </c>
      <c r="Q235" s="15" t="s">
        <v>1050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7" t="s">
        <v>1049</v>
      </c>
      <c r="AC235" s="17" t="str">
        <f t="shared" si="20"/>
        <v>#REF!</v>
      </c>
      <c r="AD235" s="17"/>
      <c r="AE235" s="17"/>
      <c r="AF235" s="17"/>
      <c r="AG235" s="18"/>
    </row>
    <row r="236" ht="14.25" customHeight="1">
      <c r="A236" s="9"/>
      <c r="B236" s="9"/>
      <c r="C236" s="9"/>
      <c r="D236" s="10"/>
      <c r="E236" s="20"/>
      <c r="F236" s="9" t="s">
        <v>1051</v>
      </c>
      <c r="G236" s="12" t="s">
        <v>1052</v>
      </c>
      <c r="H236" s="12"/>
      <c r="I236" s="10"/>
      <c r="J236" s="10"/>
      <c r="K236" s="10"/>
      <c r="L236" s="10"/>
      <c r="M236" s="10"/>
      <c r="N236" s="10" t="s">
        <v>40</v>
      </c>
      <c r="O236" s="10">
        <v>117.0</v>
      </c>
      <c r="P236" s="10" t="s">
        <v>335</v>
      </c>
      <c r="Q236" s="15" t="s">
        <v>1053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7" t="s">
        <v>1052</v>
      </c>
      <c r="AC236" s="17" t="str">
        <f t="shared" si="20"/>
        <v>#REF!</v>
      </c>
      <c r="AD236" s="17"/>
      <c r="AE236" s="17"/>
      <c r="AF236" s="17"/>
      <c r="AG236" s="18"/>
    </row>
    <row r="237" ht="14.25" customHeight="1">
      <c r="A237" s="9"/>
      <c r="B237" s="9"/>
      <c r="C237" s="9"/>
      <c r="D237" s="10"/>
      <c r="E237" s="20"/>
      <c r="F237" s="9" t="s">
        <v>1054</v>
      </c>
      <c r="G237" s="12" t="s">
        <v>1055</v>
      </c>
      <c r="H237" s="12"/>
      <c r="I237" s="10"/>
      <c r="J237" s="10"/>
      <c r="K237" s="10"/>
      <c r="L237" s="10"/>
      <c r="M237" s="10"/>
      <c r="N237" s="10" t="s">
        <v>40</v>
      </c>
      <c r="O237" s="10">
        <v>33.0</v>
      </c>
      <c r="P237" s="10" t="s">
        <v>335</v>
      </c>
      <c r="Q237" s="15" t="s">
        <v>1056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7" t="s">
        <v>1055</v>
      </c>
      <c r="AC237" s="17" t="str">
        <f t="shared" si="20"/>
        <v>#REF!</v>
      </c>
      <c r="AD237" s="17"/>
      <c r="AE237" s="17"/>
      <c r="AF237" s="17"/>
      <c r="AG237" s="18"/>
    </row>
    <row r="238" ht="14.25" customHeight="1">
      <c r="A238" s="9"/>
      <c r="B238" s="9"/>
      <c r="C238" s="9"/>
      <c r="D238" s="10"/>
      <c r="E238" s="20"/>
      <c r="F238" s="9" t="s">
        <v>1057</v>
      </c>
      <c r="G238" s="12" t="s">
        <v>1058</v>
      </c>
      <c r="H238" s="12"/>
      <c r="I238" s="10"/>
      <c r="J238" s="10"/>
      <c r="K238" s="10"/>
      <c r="L238" s="10"/>
      <c r="M238" s="10"/>
      <c r="N238" s="10" t="s">
        <v>40</v>
      </c>
      <c r="O238" s="10">
        <v>33.0</v>
      </c>
      <c r="P238" s="10" t="s">
        <v>335</v>
      </c>
      <c r="Q238" s="15" t="s">
        <v>1059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7" t="s">
        <v>1058</v>
      </c>
      <c r="AC238" s="17" t="str">
        <f t="shared" si="20"/>
        <v>#REF!</v>
      </c>
      <c r="AD238" s="17"/>
      <c r="AE238" s="17"/>
      <c r="AF238" s="17"/>
      <c r="AG238" s="18"/>
    </row>
    <row r="239" ht="14.25" customHeight="1">
      <c r="A239" s="9"/>
      <c r="B239" s="9"/>
      <c r="C239" s="9"/>
      <c r="D239" s="10"/>
      <c r="E239" s="20"/>
      <c r="F239" s="9" t="s">
        <v>1060</v>
      </c>
      <c r="G239" s="12" t="s">
        <v>1061</v>
      </c>
      <c r="H239" s="12"/>
      <c r="I239" s="10"/>
      <c r="J239" s="10"/>
      <c r="K239" s="10"/>
      <c r="L239" s="10"/>
      <c r="M239" s="10"/>
      <c r="N239" s="10" t="s">
        <v>40</v>
      </c>
      <c r="O239" s="10">
        <v>33.0</v>
      </c>
      <c r="P239" s="10" t="s">
        <v>335</v>
      </c>
      <c r="Q239" s="15" t="s">
        <v>1062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7" t="s">
        <v>1061</v>
      </c>
      <c r="AC239" s="17" t="str">
        <f t="shared" si="20"/>
        <v>#REF!</v>
      </c>
      <c r="AD239" s="17"/>
      <c r="AE239" s="17"/>
      <c r="AF239" s="17"/>
      <c r="AG239" s="18"/>
    </row>
    <row r="240" ht="14.25" customHeight="1">
      <c r="A240" s="9"/>
      <c r="B240" s="9"/>
      <c r="C240" s="9"/>
      <c r="D240" s="10"/>
      <c r="E240" s="20"/>
      <c r="F240" s="9" t="s">
        <v>1063</v>
      </c>
      <c r="G240" s="12" t="s">
        <v>1064</v>
      </c>
      <c r="H240" s="12"/>
      <c r="I240" s="10"/>
      <c r="J240" s="10"/>
      <c r="K240" s="10"/>
      <c r="L240" s="10"/>
      <c r="M240" s="10"/>
      <c r="N240" s="10" t="s">
        <v>40</v>
      </c>
      <c r="O240" s="10">
        <v>33.0</v>
      </c>
      <c r="P240" s="10" t="s">
        <v>335</v>
      </c>
      <c r="Q240" s="15" t="s">
        <v>1065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7" t="s">
        <v>1064</v>
      </c>
      <c r="AC240" s="17" t="str">
        <f t="shared" si="20"/>
        <v>#REF!</v>
      </c>
      <c r="AD240" s="17"/>
      <c r="AE240" s="17"/>
      <c r="AF240" s="17"/>
      <c r="AG240" s="18"/>
    </row>
    <row r="241" ht="14.25" customHeight="1">
      <c r="A241" s="9"/>
      <c r="B241" s="9"/>
      <c r="C241" s="9"/>
      <c r="D241" s="10"/>
      <c r="E241" s="20"/>
      <c r="F241" s="9" t="s">
        <v>1066</v>
      </c>
      <c r="G241" s="12" t="s">
        <v>1067</v>
      </c>
      <c r="H241" s="12"/>
      <c r="I241" s="10"/>
      <c r="J241" s="10"/>
      <c r="K241" s="10"/>
      <c r="L241" s="10"/>
      <c r="M241" s="10"/>
      <c r="N241" s="10" t="s">
        <v>40</v>
      </c>
      <c r="O241" s="10">
        <v>3.4</v>
      </c>
      <c r="P241" s="10" t="s">
        <v>335</v>
      </c>
      <c r="Q241" s="15" t="s">
        <v>1068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7" t="s">
        <v>1067</v>
      </c>
      <c r="AC241" s="17" t="str">
        <f t="shared" si="20"/>
        <v>#REF!</v>
      </c>
      <c r="AD241" s="17"/>
      <c r="AE241" s="17"/>
      <c r="AF241" s="17"/>
      <c r="AG241" s="18"/>
    </row>
    <row r="242" ht="14.25" customHeight="1">
      <c r="A242" s="9"/>
      <c r="B242" s="9"/>
      <c r="C242" s="9"/>
      <c r="D242" s="10"/>
      <c r="E242" s="10"/>
      <c r="F242" s="9" t="s">
        <v>1069</v>
      </c>
      <c r="G242" s="12" t="s">
        <v>1070</v>
      </c>
      <c r="H242" s="12"/>
      <c r="I242" s="10"/>
      <c r="J242" s="10"/>
      <c r="K242" s="10"/>
      <c r="L242" s="10"/>
      <c r="M242" s="10"/>
      <c r="N242" s="10" t="s">
        <v>40</v>
      </c>
      <c r="O242" s="10">
        <v>113.0</v>
      </c>
      <c r="P242" s="10" t="s">
        <v>335</v>
      </c>
      <c r="Q242" s="15" t="s">
        <v>1071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7" t="s">
        <v>1070</v>
      </c>
      <c r="AC242" s="17" t="s">
        <v>1072</v>
      </c>
      <c r="AD242" s="17"/>
      <c r="AE242" s="17"/>
      <c r="AF242" s="17"/>
      <c r="AG242" s="18"/>
    </row>
    <row r="243" ht="14.25" customHeight="1">
      <c r="A243" s="9"/>
      <c r="B243" s="9"/>
      <c r="C243" s="9"/>
      <c r="D243" s="10"/>
      <c r="E243" s="10"/>
      <c r="F243" s="9" t="s">
        <v>1073</v>
      </c>
      <c r="G243" s="12" t="s">
        <v>1074</v>
      </c>
      <c r="H243" s="12"/>
      <c r="I243" s="10"/>
      <c r="J243" s="10"/>
      <c r="K243" s="10"/>
      <c r="L243" s="10"/>
      <c r="M243" s="10"/>
      <c r="N243" s="10" t="s">
        <v>40</v>
      </c>
      <c r="O243" s="10">
        <v>113.0</v>
      </c>
      <c r="P243" s="10" t="s">
        <v>335</v>
      </c>
      <c r="Q243" s="15" t="s">
        <v>1075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7" t="s">
        <v>1074</v>
      </c>
      <c r="AC243" s="17" t="s">
        <v>1076</v>
      </c>
      <c r="AD243" s="17"/>
      <c r="AE243" s="17"/>
      <c r="AF243" s="17"/>
      <c r="AG243" s="18"/>
    </row>
    <row r="244" ht="14.25" customHeight="1">
      <c r="A244" s="9"/>
      <c r="B244" s="9"/>
      <c r="C244" s="9"/>
      <c r="D244" s="10"/>
      <c r="E244" s="10"/>
      <c r="F244" s="9" t="s">
        <v>1077</v>
      </c>
      <c r="G244" s="12" t="s">
        <v>1078</v>
      </c>
      <c r="H244" s="12"/>
      <c r="I244" s="10"/>
      <c r="J244" s="10"/>
      <c r="K244" s="10"/>
      <c r="L244" s="10"/>
      <c r="M244" s="10"/>
      <c r="N244" s="10" t="s">
        <v>40</v>
      </c>
      <c r="O244" s="10">
        <v>113.0</v>
      </c>
      <c r="P244" s="10" t="s">
        <v>335</v>
      </c>
      <c r="Q244" s="15" t="s">
        <v>1079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7" t="s">
        <v>1078</v>
      </c>
      <c r="AC244" s="17" t="s">
        <v>1080</v>
      </c>
      <c r="AD244" s="17"/>
      <c r="AE244" s="17"/>
      <c r="AF244" s="17"/>
      <c r="AG244" s="18"/>
    </row>
    <row r="245" ht="14.25" customHeight="1">
      <c r="A245" s="9"/>
      <c r="B245" s="9"/>
      <c r="C245" s="9"/>
      <c r="D245" s="10"/>
      <c r="E245" s="10"/>
      <c r="F245" s="9" t="s">
        <v>1081</v>
      </c>
      <c r="G245" s="12" t="s">
        <v>1082</v>
      </c>
      <c r="H245" s="12"/>
      <c r="I245" s="10"/>
      <c r="J245" s="10"/>
      <c r="K245" s="10"/>
      <c r="L245" s="10"/>
      <c r="M245" s="10"/>
      <c r="N245" s="10" t="s">
        <v>40</v>
      </c>
      <c r="O245" s="10">
        <v>113.0</v>
      </c>
      <c r="P245" s="10" t="s">
        <v>335</v>
      </c>
      <c r="Q245" s="15" t="s">
        <v>1083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7" t="s">
        <v>1082</v>
      </c>
      <c r="AC245" s="17" t="s">
        <v>1084</v>
      </c>
      <c r="AD245" s="17"/>
      <c r="AE245" s="17"/>
      <c r="AF245" s="17"/>
      <c r="AG245" s="18"/>
    </row>
    <row r="246" ht="14.25" customHeight="1">
      <c r="A246" s="9"/>
      <c r="B246" s="9"/>
      <c r="C246" s="9"/>
      <c r="D246" s="10"/>
      <c r="E246" s="10"/>
      <c r="F246" s="9" t="s">
        <v>1085</v>
      </c>
      <c r="G246" s="12" t="s">
        <v>1086</v>
      </c>
      <c r="H246" s="12"/>
      <c r="I246" s="10"/>
      <c r="J246" s="10"/>
      <c r="K246" s="10"/>
      <c r="L246" s="10"/>
      <c r="M246" s="10"/>
      <c r="N246" s="10" t="s">
        <v>40</v>
      </c>
      <c r="O246" s="10">
        <v>131.0</v>
      </c>
      <c r="P246" s="10" t="s">
        <v>335</v>
      </c>
      <c r="Q246" s="15" t="s">
        <v>1087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7" t="s">
        <v>1086</v>
      </c>
      <c r="AC246" s="17" t="s">
        <v>1088</v>
      </c>
      <c r="AD246" s="17"/>
      <c r="AE246" s="17"/>
      <c r="AF246" s="17"/>
      <c r="AG246" s="18"/>
    </row>
    <row r="247" ht="14.25" customHeight="1">
      <c r="A247" s="9"/>
      <c r="B247" s="9"/>
      <c r="C247" s="9"/>
      <c r="D247" s="10"/>
      <c r="E247" s="10"/>
      <c r="F247" s="9" t="s">
        <v>1089</v>
      </c>
      <c r="G247" s="12" t="s">
        <v>1090</v>
      </c>
      <c r="H247" s="12"/>
      <c r="I247" s="10"/>
      <c r="J247" s="10"/>
      <c r="K247" s="10"/>
      <c r="L247" s="10"/>
      <c r="M247" s="10"/>
      <c r="N247" s="10" t="s">
        <v>40</v>
      </c>
      <c r="O247" s="10">
        <v>113.0</v>
      </c>
      <c r="P247" s="10" t="s">
        <v>335</v>
      </c>
      <c r="Q247" s="15" t="s">
        <v>1091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7" t="s">
        <v>1090</v>
      </c>
      <c r="AC247" s="17" t="s">
        <v>1092</v>
      </c>
      <c r="AD247" s="17"/>
      <c r="AE247" s="17"/>
      <c r="AF247" s="17"/>
      <c r="AG247" s="18"/>
    </row>
    <row r="248" ht="14.25" customHeight="1">
      <c r="A248" s="9"/>
      <c r="B248" s="9"/>
      <c r="C248" s="9"/>
      <c r="D248" s="10"/>
      <c r="E248" s="10"/>
      <c r="F248" s="9" t="s">
        <v>1093</v>
      </c>
      <c r="G248" s="12" t="s">
        <v>1094</v>
      </c>
      <c r="H248" s="12"/>
      <c r="I248" s="10"/>
      <c r="J248" s="10"/>
      <c r="K248" s="10"/>
      <c r="L248" s="10"/>
      <c r="M248" s="10"/>
      <c r="N248" s="10" t="s">
        <v>40</v>
      </c>
      <c r="O248" s="10">
        <v>131.0</v>
      </c>
      <c r="P248" s="10" t="s">
        <v>335</v>
      </c>
      <c r="Q248" s="15" t="s">
        <v>1095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7" t="s">
        <v>1094</v>
      </c>
      <c r="AC248" s="17" t="s">
        <v>1096</v>
      </c>
      <c r="AD248" s="17"/>
      <c r="AE248" s="17"/>
      <c r="AF248" s="17"/>
      <c r="AG248" s="18"/>
    </row>
    <row r="249" ht="14.25" customHeight="1">
      <c r="A249" s="9"/>
      <c r="B249" s="9"/>
      <c r="C249" s="9"/>
      <c r="D249" s="10"/>
      <c r="E249" s="10"/>
      <c r="F249" s="9" t="s">
        <v>1097</v>
      </c>
      <c r="G249" s="12" t="s">
        <v>1098</v>
      </c>
      <c r="H249" s="12"/>
      <c r="I249" s="10"/>
      <c r="J249" s="10"/>
      <c r="K249" s="10"/>
      <c r="L249" s="10"/>
      <c r="M249" s="10"/>
      <c r="N249" s="10" t="s">
        <v>40</v>
      </c>
      <c r="O249" s="10">
        <v>131.0</v>
      </c>
      <c r="P249" s="10" t="s">
        <v>335</v>
      </c>
      <c r="Q249" s="15" t="s">
        <v>1099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7" t="s">
        <v>1100</v>
      </c>
      <c r="AC249" s="17" t="s">
        <v>1101</v>
      </c>
      <c r="AD249" s="17"/>
      <c r="AE249" s="17"/>
      <c r="AF249" s="17"/>
      <c r="AG249" s="18"/>
    </row>
    <row r="250" ht="14.25" customHeight="1">
      <c r="A250" s="9"/>
      <c r="B250" s="9"/>
      <c r="C250" s="9"/>
      <c r="D250" s="10"/>
      <c r="E250" s="10"/>
      <c r="F250" s="9" t="s">
        <v>1102</v>
      </c>
      <c r="G250" s="12" t="s">
        <v>1103</v>
      </c>
      <c r="H250" s="12"/>
      <c r="I250" s="10"/>
      <c r="J250" s="10"/>
      <c r="K250" s="10"/>
      <c r="L250" s="10"/>
      <c r="M250" s="10"/>
      <c r="N250" s="10" t="s">
        <v>40</v>
      </c>
      <c r="O250" s="10">
        <v>113.0</v>
      </c>
      <c r="P250" s="10" t="s">
        <v>335</v>
      </c>
      <c r="Q250" s="15" t="s">
        <v>1104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7" t="s">
        <v>1105</v>
      </c>
      <c r="AC250" s="17" t="s">
        <v>1106</v>
      </c>
      <c r="AD250" s="17"/>
      <c r="AE250" s="17"/>
      <c r="AF250" s="17"/>
      <c r="AG250" s="18"/>
    </row>
    <row r="251" ht="14.25" customHeight="1">
      <c r="A251" s="9"/>
      <c r="B251" s="9"/>
      <c r="C251" s="9"/>
      <c r="D251" s="10"/>
      <c r="E251" s="20"/>
      <c r="F251" s="9" t="s">
        <v>1107</v>
      </c>
      <c r="G251" s="12" t="s">
        <v>1108</v>
      </c>
      <c r="H251" s="12"/>
      <c r="I251" s="10"/>
      <c r="J251" s="10"/>
      <c r="K251" s="10"/>
      <c r="L251" s="10"/>
      <c r="M251" s="10"/>
      <c r="N251" s="10" t="s">
        <v>40</v>
      </c>
      <c r="O251" s="10">
        <v>3.4</v>
      </c>
      <c r="P251" s="10" t="s">
        <v>335</v>
      </c>
      <c r="Q251" s="15" t="s">
        <v>1109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7" t="s">
        <v>1108</v>
      </c>
      <c r="AC251" s="17" t="str">
        <f t="shared" ref="AC251:AC253" si="21">XLOOKUP(F251,'[2]PO &amp; SC Dec 2026'!$I:$I,'[2]PO &amp; SC Dec 2026'!$L:$L,0)</f>
        <v>#REF!</v>
      </c>
      <c r="AD251" s="17"/>
      <c r="AE251" s="17"/>
      <c r="AF251" s="17"/>
      <c r="AG251" s="18"/>
    </row>
    <row r="252" ht="14.25" customHeight="1">
      <c r="A252" s="9"/>
      <c r="B252" s="9"/>
      <c r="C252" s="9"/>
      <c r="D252" s="10"/>
      <c r="E252" s="20"/>
      <c r="F252" s="9" t="s">
        <v>1110</v>
      </c>
      <c r="G252" s="12" t="s">
        <v>1111</v>
      </c>
      <c r="H252" s="12"/>
      <c r="I252" s="10"/>
      <c r="J252" s="10"/>
      <c r="K252" s="10"/>
      <c r="L252" s="10"/>
      <c r="M252" s="10"/>
      <c r="N252" s="10" t="s">
        <v>40</v>
      </c>
      <c r="O252" s="10">
        <v>6.2</v>
      </c>
      <c r="P252" s="10" t="s">
        <v>335</v>
      </c>
      <c r="Q252" s="15" t="s">
        <v>1112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7" t="s">
        <v>1111</v>
      </c>
      <c r="AC252" s="17" t="str">
        <f t="shared" si="21"/>
        <v>#REF!</v>
      </c>
      <c r="AD252" s="17"/>
      <c r="AE252" s="17"/>
      <c r="AF252" s="17"/>
      <c r="AG252" s="18"/>
    </row>
    <row r="253" ht="14.25" customHeight="1">
      <c r="A253" s="9"/>
      <c r="B253" s="9"/>
      <c r="C253" s="9"/>
      <c r="D253" s="10"/>
      <c r="E253" s="20"/>
      <c r="F253" s="9" t="s">
        <v>1113</v>
      </c>
      <c r="G253" s="12" t="s">
        <v>1114</v>
      </c>
      <c r="H253" s="12"/>
      <c r="I253" s="10"/>
      <c r="J253" s="10"/>
      <c r="K253" s="10"/>
      <c r="L253" s="10"/>
      <c r="M253" s="10"/>
      <c r="N253" s="10" t="s">
        <v>40</v>
      </c>
      <c r="O253" s="10">
        <v>6.2</v>
      </c>
      <c r="P253" s="10" t="s">
        <v>335</v>
      </c>
      <c r="Q253" s="15" t="s">
        <v>1115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7" t="s">
        <v>1114</v>
      </c>
      <c r="AC253" s="17" t="str">
        <f t="shared" si="21"/>
        <v>#REF!</v>
      </c>
      <c r="AD253" s="17"/>
      <c r="AE253" s="17"/>
      <c r="AF253" s="17"/>
      <c r="AG253" s="18"/>
    </row>
    <row r="254" ht="14.25" customHeight="1">
      <c r="A254" s="9" t="s">
        <v>852</v>
      </c>
      <c r="B254" s="9" t="s">
        <v>852</v>
      </c>
      <c r="C254" s="9"/>
      <c r="D254" s="10"/>
      <c r="E254" s="20"/>
      <c r="F254" s="9" t="s">
        <v>1116</v>
      </c>
      <c r="G254" s="12" t="s">
        <v>1117</v>
      </c>
      <c r="H254" s="12"/>
      <c r="I254" s="10"/>
      <c r="J254" s="10"/>
      <c r="K254" s="10"/>
      <c r="L254" s="10"/>
      <c r="M254" s="10"/>
      <c r="N254" s="10" t="s">
        <v>40</v>
      </c>
      <c r="O254" s="10">
        <v>270.0</v>
      </c>
      <c r="P254" s="10" t="s">
        <v>335</v>
      </c>
      <c r="Q254" s="10" t="s">
        <v>1118</v>
      </c>
      <c r="R254" s="10">
        <v>1.0</v>
      </c>
      <c r="S254" s="10" t="s">
        <v>1119</v>
      </c>
      <c r="T254" s="10" t="s">
        <v>43</v>
      </c>
      <c r="U254" s="10" t="s">
        <v>43</v>
      </c>
      <c r="V254" s="10">
        <v>50.0</v>
      </c>
      <c r="W254" s="10" t="s">
        <v>1120</v>
      </c>
      <c r="X254" s="10">
        <v>1600.0</v>
      </c>
      <c r="Y254" s="55" t="s">
        <v>1121</v>
      </c>
      <c r="Z254" s="10" t="s">
        <v>1122</v>
      </c>
      <c r="AA254" s="10"/>
      <c r="AB254" s="17" t="s">
        <v>1123</v>
      </c>
      <c r="AC254" s="17" t="s">
        <v>1124</v>
      </c>
      <c r="AD254" s="17"/>
      <c r="AE254" s="17"/>
      <c r="AF254" s="17"/>
      <c r="AG254" s="18"/>
    </row>
    <row r="255" ht="14.25" customHeight="1">
      <c r="A255" s="9" t="s">
        <v>852</v>
      </c>
      <c r="B255" s="9" t="s">
        <v>852</v>
      </c>
      <c r="C255" s="9"/>
      <c r="D255" s="10"/>
      <c r="E255" s="20"/>
      <c r="F255" s="9" t="s">
        <v>1125</v>
      </c>
      <c r="G255" s="12" t="s">
        <v>1126</v>
      </c>
      <c r="H255" s="12"/>
      <c r="I255" s="10"/>
      <c r="J255" s="10"/>
      <c r="K255" s="10"/>
      <c r="L255" s="10"/>
      <c r="M255" s="10"/>
      <c r="N255" s="10" t="s">
        <v>40</v>
      </c>
      <c r="O255" s="10">
        <v>1383.0</v>
      </c>
      <c r="P255" s="10" t="s">
        <v>335</v>
      </c>
      <c r="Q255" s="15" t="s">
        <v>1127</v>
      </c>
      <c r="R255" s="10">
        <v>1.0</v>
      </c>
      <c r="S255" s="10" t="s">
        <v>1128</v>
      </c>
      <c r="T255" s="10"/>
      <c r="U255" s="10"/>
      <c r="V255" s="10">
        <v>8.0</v>
      </c>
      <c r="W255" s="10" t="s">
        <v>1129</v>
      </c>
      <c r="X255" s="10">
        <v>128.0</v>
      </c>
      <c r="Y255" s="10" t="s">
        <v>251</v>
      </c>
      <c r="Z255" s="10" t="s">
        <v>1130</v>
      </c>
      <c r="AA255" s="10"/>
      <c r="AB255" s="17" t="s">
        <v>1126</v>
      </c>
      <c r="AC255" s="17" t="s">
        <v>1131</v>
      </c>
      <c r="AD255" s="17"/>
      <c r="AE255" s="17"/>
      <c r="AF255" s="17"/>
      <c r="AG255" s="18"/>
    </row>
    <row r="256" ht="14.25" customHeight="1">
      <c r="A256" s="9" t="s">
        <v>852</v>
      </c>
      <c r="B256" s="9" t="s">
        <v>852</v>
      </c>
      <c r="C256" s="9"/>
      <c r="D256" s="10"/>
      <c r="E256" s="20"/>
      <c r="F256" s="9" t="s">
        <v>1132</v>
      </c>
      <c r="G256" s="12" t="s">
        <v>1133</v>
      </c>
      <c r="H256" s="12"/>
      <c r="I256" s="10"/>
      <c r="J256" s="10"/>
      <c r="K256" s="10"/>
      <c r="L256" s="10"/>
      <c r="M256" s="10"/>
      <c r="N256" s="10" t="s">
        <v>40</v>
      </c>
      <c r="O256" s="10">
        <v>2000.0</v>
      </c>
      <c r="P256" s="10" t="s">
        <v>335</v>
      </c>
      <c r="Q256" s="15" t="s">
        <v>1134</v>
      </c>
      <c r="R256" s="10">
        <v>1.0</v>
      </c>
      <c r="S256" s="10"/>
      <c r="T256" s="10"/>
      <c r="U256" s="10"/>
      <c r="V256" s="10"/>
      <c r="W256" s="10"/>
      <c r="X256" s="10"/>
      <c r="Y256" s="10"/>
      <c r="Z256" s="10"/>
      <c r="AA256" s="10"/>
      <c r="AB256" s="17" t="s">
        <v>1133</v>
      </c>
      <c r="AC256" s="17" t="s">
        <v>1135</v>
      </c>
      <c r="AD256" s="17"/>
      <c r="AE256" s="17"/>
      <c r="AF256" s="17"/>
      <c r="AG256" s="18"/>
    </row>
    <row r="257" ht="14.25" customHeight="1">
      <c r="A257" s="9" t="s">
        <v>852</v>
      </c>
      <c r="B257" s="9" t="s">
        <v>852</v>
      </c>
      <c r="C257" s="9"/>
      <c r="D257" s="10"/>
      <c r="E257" s="20"/>
      <c r="F257" s="9" t="s">
        <v>1136</v>
      </c>
      <c r="G257" s="12" t="s">
        <v>1137</v>
      </c>
      <c r="H257" s="12"/>
      <c r="I257" s="10"/>
      <c r="J257" s="10"/>
      <c r="K257" s="10"/>
      <c r="L257" s="10"/>
      <c r="M257" s="10"/>
      <c r="N257" s="10" t="s">
        <v>40</v>
      </c>
      <c r="O257" s="10">
        <v>450.0</v>
      </c>
      <c r="P257" s="10" t="s">
        <v>335</v>
      </c>
      <c r="Q257" s="10" t="s">
        <v>1138</v>
      </c>
      <c r="R257" s="10">
        <v>1.0</v>
      </c>
      <c r="S257" s="10" t="s">
        <v>1139</v>
      </c>
      <c r="T257" s="15" t="s">
        <v>43</v>
      </c>
      <c r="U257" s="15" t="s">
        <v>43</v>
      </c>
      <c r="V257" s="10">
        <v>20.0</v>
      </c>
      <c r="W257" s="10" t="s">
        <v>1140</v>
      </c>
      <c r="X257" s="10">
        <v>240.0</v>
      </c>
      <c r="Y257" s="10" t="s">
        <v>1141</v>
      </c>
      <c r="Z257" s="10" t="s">
        <v>1142</v>
      </c>
      <c r="AA257" s="10"/>
      <c r="AB257" s="17"/>
      <c r="AC257" s="17"/>
      <c r="AD257" s="17"/>
      <c r="AE257" s="17"/>
      <c r="AF257" s="17"/>
      <c r="AG257" s="18"/>
    </row>
    <row r="258" ht="14.25" customHeight="1">
      <c r="A258" s="9" t="s">
        <v>852</v>
      </c>
      <c r="B258" s="9" t="s">
        <v>852</v>
      </c>
      <c r="C258" s="9"/>
      <c r="D258" s="10"/>
      <c r="E258" s="20"/>
      <c r="F258" s="9" t="s">
        <v>1143</v>
      </c>
      <c r="G258" s="12" t="s">
        <v>1144</v>
      </c>
      <c r="H258" s="12"/>
      <c r="I258" s="10"/>
      <c r="J258" s="10"/>
      <c r="K258" s="10"/>
      <c r="L258" s="10"/>
      <c r="M258" s="10"/>
      <c r="N258" s="10" t="s">
        <v>40</v>
      </c>
      <c r="O258" s="10">
        <v>470.0</v>
      </c>
      <c r="P258" s="10" t="s">
        <v>335</v>
      </c>
      <c r="Q258" s="10" t="s">
        <v>1145</v>
      </c>
      <c r="R258" s="10">
        <v>1.0</v>
      </c>
      <c r="S258" s="10" t="s">
        <v>1139</v>
      </c>
      <c r="T258" s="15" t="s">
        <v>43</v>
      </c>
      <c r="U258" s="15" t="s">
        <v>43</v>
      </c>
      <c r="V258" s="10">
        <v>20.0</v>
      </c>
      <c r="W258" s="10" t="s">
        <v>1140</v>
      </c>
      <c r="X258" s="10">
        <v>240.0</v>
      </c>
      <c r="Y258" s="10" t="s">
        <v>1141</v>
      </c>
      <c r="Z258" s="10" t="s">
        <v>1142</v>
      </c>
      <c r="AA258" s="10"/>
      <c r="AB258" s="17" t="s">
        <v>1146</v>
      </c>
      <c r="AC258" s="17" t="s">
        <v>1147</v>
      </c>
      <c r="AD258" s="17"/>
      <c r="AE258" s="17"/>
      <c r="AF258" s="17"/>
      <c r="AG258" s="18"/>
    </row>
    <row r="259" ht="14.25" customHeight="1">
      <c r="A259" s="9" t="s">
        <v>852</v>
      </c>
      <c r="B259" s="9" t="s">
        <v>852</v>
      </c>
      <c r="C259" s="9"/>
      <c r="D259" s="10"/>
      <c r="E259" s="20"/>
      <c r="F259" s="9" t="s">
        <v>1148</v>
      </c>
      <c r="G259" s="12" t="s">
        <v>1149</v>
      </c>
      <c r="H259" s="12"/>
      <c r="I259" s="10"/>
      <c r="J259" s="10"/>
      <c r="K259" s="10"/>
      <c r="L259" s="10"/>
      <c r="M259" s="10"/>
      <c r="N259" s="10" t="s">
        <v>40</v>
      </c>
      <c r="O259" s="10">
        <v>500.0</v>
      </c>
      <c r="P259" s="10" t="s">
        <v>335</v>
      </c>
      <c r="Q259" s="15" t="s">
        <v>1150</v>
      </c>
      <c r="R259" s="10">
        <v>1.0</v>
      </c>
      <c r="S259" s="10" t="s">
        <v>1139</v>
      </c>
      <c r="T259" s="15" t="s">
        <v>43</v>
      </c>
      <c r="U259" s="15" t="s">
        <v>43</v>
      </c>
      <c r="V259" s="10">
        <v>20.0</v>
      </c>
      <c r="W259" s="10" t="s">
        <v>1140</v>
      </c>
      <c r="X259" s="10">
        <v>240.0</v>
      </c>
      <c r="Y259" s="10" t="s">
        <v>1141</v>
      </c>
      <c r="Z259" s="10" t="s">
        <v>1142</v>
      </c>
      <c r="AA259" s="10"/>
      <c r="AB259" s="17" t="s">
        <v>1146</v>
      </c>
      <c r="AC259" s="17" t="s">
        <v>1147</v>
      </c>
      <c r="AD259" s="17"/>
      <c r="AE259" s="17"/>
      <c r="AF259" s="17"/>
      <c r="AG259" s="18"/>
    </row>
    <row r="260" ht="14.25" customHeight="1">
      <c r="A260" s="9" t="s">
        <v>852</v>
      </c>
      <c r="B260" s="9" t="s">
        <v>852</v>
      </c>
      <c r="C260" s="9"/>
      <c r="D260" s="10"/>
      <c r="E260" s="20"/>
      <c r="F260" s="9" t="s">
        <v>1151</v>
      </c>
      <c r="G260" s="12" t="s">
        <v>1152</v>
      </c>
      <c r="H260" s="12"/>
      <c r="I260" s="10"/>
      <c r="J260" s="10"/>
      <c r="K260" s="10"/>
      <c r="L260" s="10"/>
      <c r="M260" s="10"/>
      <c r="N260" s="10" t="s">
        <v>40</v>
      </c>
      <c r="O260" s="10">
        <v>500.0</v>
      </c>
      <c r="P260" s="10" t="s">
        <v>335</v>
      </c>
      <c r="Q260" s="15" t="s">
        <v>1153</v>
      </c>
      <c r="R260" s="10">
        <v>1.0</v>
      </c>
      <c r="S260" s="10" t="s">
        <v>1139</v>
      </c>
      <c r="T260" s="15" t="s">
        <v>43</v>
      </c>
      <c r="U260" s="15" t="s">
        <v>43</v>
      </c>
      <c r="V260" s="10">
        <v>20.0</v>
      </c>
      <c r="W260" s="10" t="s">
        <v>1140</v>
      </c>
      <c r="X260" s="10">
        <v>240.0</v>
      </c>
      <c r="Y260" s="10" t="s">
        <v>1141</v>
      </c>
      <c r="Z260" s="10" t="s">
        <v>1142</v>
      </c>
      <c r="AA260" s="10"/>
      <c r="AB260" s="17" t="s">
        <v>1146</v>
      </c>
      <c r="AC260" s="17" t="s">
        <v>1147</v>
      </c>
      <c r="AD260" s="17"/>
      <c r="AE260" s="17"/>
      <c r="AF260" s="17"/>
      <c r="AG260" s="18"/>
    </row>
    <row r="261" ht="14.25" customHeight="1">
      <c r="A261" s="9" t="s">
        <v>852</v>
      </c>
      <c r="B261" s="9" t="s">
        <v>852</v>
      </c>
      <c r="C261" s="9"/>
      <c r="D261" s="10"/>
      <c r="E261" s="20"/>
      <c r="F261" s="9" t="s">
        <v>1154</v>
      </c>
      <c r="G261" s="12" t="s">
        <v>1155</v>
      </c>
      <c r="H261" s="12"/>
      <c r="I261" s="10"/>
      <c r="J261" s="10"/>
      <c r="K261" s="10"/>
      <c r="L261" s="10"/>
      <c r="M261" s="10"/>
      <c r="N261" s="10" t="s">
        <v>40</v>
      </c>
      <c r="O261" s="10">
        <v>500.0</v>
      </c>
      <c r="P261" s="10" t="s">
        <v>335</v>
      </c>
      <c r="Q261" s="15" t="s">
        <v>1156</v>
      </c>
      <c r="R261" s="10">
        <v>1.0</v>
      </c>
      <c r="S261" s="10" t="s">
        <v>1139</v>
      </c>
      <c r="T261" s="15" t="s">
        <v>43</v>
      </c>
      <c r="U261" s="15" t="s">
        <v>43</v>
      </c>
      <c r="V261" s="10">
        <v>20.0</v>
      </c>
      <c r="W261" s="10" t="s">
        <v>1140</v>
      </c>
      <c r="X261" s="10">
        <v>240.0</v>
      </c>
      <c r="Y261" s="10" t="s">
        <v>1141</v>
      </c>
      <c r="Z261" s="10" t="s">
        <v>1142</v>
      </c>
      <c r="AA261" s="10"/>
      <c r="AB261" s="17" t="s">
        <v>1146</v>
      </c>
      <c r="AC261" s="17" t="s">
        <v>1147</v>
      </c>
      <c r="AD261" s="17"/>
      <c r="AE261" s="17"/>
      <c r="AF261" s="17"/>
      <c r="AG261" s="18"/>
    </row>
    <row r="262" ht="14.25" customHeight="1">
      <c r="A262" s="9" t="s">
        <v>852</v>
      </c>
      <c r="B262" s="9" t="s">
        <v>852</v>
      </c>
      <c r="C262" s="9"/>
      <c r="D262" s="10"/>
      <c r="E262" s="20"/>
      <c r="F262" s="9" t="s">
        <v>1157</v>
      </c>
      <c r="G262" s="12" t="s">
        <v>1158</v>
      </c>
      <c r="H262" s="12"/>
      <c r="I262" s="10"/>
      <c r="J262" s="10"/>
      <c r="K262" s="10"/>
      <c r="L262" s="10"/>
      <c r="M262" s="10"/>
      <c r="N262" s="10" t="s">
        <v>40</v>
      </c>
      <c r="O262" s="10">
        <v>500.0</v>
      </c>
      <c r="P262" s="10" t="s">
        <v>335</v>
      </c>
      <c r="Q262" s="15" t="s">
        <v>1159</v>
      </c>
      <c r="R262" s="10">
        <v>1.0</v>
      </c>
      <c r="S262" s="10" t="s">
        <v>1139</v>
      </c>
      <c r="T262" s="15" t="s">
        <v>43</v>
      </c>
      <c r="U262" s="15" t="s">
        <v>43</v>
      </c>
      <c r="V262" s="10">
        <v>20.0</v>
      </c>
      <c r="W262" s="10" t="s">
        <v>1140</v>
      </c>
      <c r="X262" s="10">
        <v>240.0</v>
      </c>
      <c r="Y262" s="10" t="s">
        <v>1141</v>
      </c>
      <c r="Z262" s="10" t="s">
        <v>1142</v>
      </c>
      <c r="AA262" s="10"/>
      <c r="AB262" s="17" t="s">
        <v>1160</v>
      </c>
      <c r="AC262" s="17" t="s">
        <v>1161</v>
      </c>
      <c r="AD262" s="17"/>
      <c r="AE262" s="17"/>
      <c r="AF262" s="17"/>
      <c r="AG262" s="18"/>
    </row>
    <row r="263" ht="14.25" customHeight="1">
      <c r="A263" s="9" t="s">
        <v>852</v>
      </c>
      <c r="B263" s="9" t="s">
        <v>852</v>
      </c>
      <c r="C263" s="9"/>
      <c r="D263" s="10"/>
      <c r="E263" s="20"/>
      <c r="F263" s="23" t="s">
        <v>1162</v>
      </c>
      <c r="G263" s="24" t="s">
        <v>1163</v>
      </c>
      <c r="H263" s="24"/>
      <c r="I263" s="10"/>
      <c r="J263" s="10"/>
      <c r="K263" s="10"/>
      <c r="L263" s="10"/>
      <c r="M263" s="10"/>
      <c r="N263" s="10" t="s">
        <v>40</v>
      </c>
      <c r="O263" s="10">
        <v>1100.0</v>
      </c>
      <c r="P263" s="10" t="s">
        <v>335</v>
      </c>
      <c r="Q263" s="10" t="s">
        <v>1164</v>
      </c>
      <c r="R263" s="10">
        <v>1.0</v>
      </c>
      <c r="S263" s="10" t="s">
        <v>1165</v>
      </c>
      <c r="T263" s="56"/>
      <c r="U263" s="56"/>
      <c r="V263" s="57">
        <v>10.0</v>
      </c>
      <c r="W263" s="10" t="s">
        <v>1120</v>
      </c>
      <c r="X263" s="57">
        <v>320.0</v>
      </c>
      <c r="Y263" s="57" t="s">
        <v>1121</v>
      </c>
      <c r="Z263" s="57" t="s">
        <v>1166</v>
      </c>
      <c r="AA263" s="57"/>
      <c r="AB263" s="24" t="s">
        <v>1167</v>
      </c>
      <c r="AC263" s="17" t="s">
        <v>1168</v>
      </c>
      <c r="AD263" s="17"/>
      <c r="AE263" s="17"/>
      <c r="AF263" s="17"/>
      <c r="AG263" s="18"/>
    </row>
    <row r="264" ht="14.25" customHeight="1">
      <c r="A264" s="9" t="s">
        <v>852</v>
      </c>
      <c r="B264" s="9" t="s">
        <v>852</v>
      </c>
      <c r="C264" s="9"/>
      <c r="D264" s="10"/>
      <c r="E264" s="20"/>
      <c r="F264" s="23" t="s">
        <v>1169</v>
      </c>
      <c r="G264" s="24" t="s">
        <v>1170</v>
      </c>
      <c r="H264" s="24"/>
      <c r="I264" s="10"/>
      <c r="J264" s="10"/>
      <c r="K264" s="10"/>
      <c r="L264" s="10"/>
      <c r="M264" s="10"/>
      <c r="N264" s="10" t="s">
        <v>40</v>
      </c>
      <c r="O264" s="10">
        <v>700.0</v>
      </c>
      <c r="P264" s="10" t="s">
        <v>335</v>
      </c>
      <c r="Q264" s="10" t="s">
        <v>1171</v>
      </c>
      <c r="R264" s="10">
        <v>1.0</v>
      </c>
      <c r="S264" s="10" t="s">
        <v>1172</v>
      </c>
      <c r="T264" s="56"/>
      <c r="U264" s="56"/>
      <c r="V264" s="57">
        <v>10.0</v>
      </c>
      <c r="W264" s="10" t="s">
        <v>1173</v>
      </c>
      <c r="X264" s="57">
        <v>240.0</v>
      </c>
      <c r="Y264" s="57" t="s">
        <v>339</v>
      </c>
      <c r="Z264" s="57" t="s">
        <v>1174</v>
      </c>
      <c r="AA264" s="57"/>
      <c r="AB264" s="24" t="s">
        <v>1175</v>
      </c>
      <c r="AC264" s="17" t="s">
        <v>1176</v>
      </c>
      <c r="AD264" s="17"/>
      <c r="AE264" s="17"/>
      <c r="AF264" s="17"/>
      <c r="AG264" s="18"/>
    </row>
    <row r="265" ht="14.25" customHeight="1">
      <c r="A265" s="9" t="s">
        <v>852</v>
      </c>
      <c r="B265" s="9" t="s">
        <v>852</v>
      </c>
      <c r="C265" s="9"/>
      <c r="D265" s="10"/>
      <c r="E265" s="20"/>
      <c r="F265" s="9" t="s">
        <v>1177</v>
      </c>
      <c r="G265" s="12" t="s">
        <v>1178</v>
      </c>
      <c r="H265" s="12"/>
      <c r="I265" s="10"/>
      <c r="J265" s="10"/>
      <c r="K265" s="10"/>
      <c r="L265" s="10"/>
      <c r="M265" s="10"/>
      <c r="N265" s="10" t="s">
        <v>40</v>
      </c>
      <c r="O265" s="10">
        <v>279.2</v>
      </c>
      <c r="P265" s="10" t="s">
        <v>335</v>
      </c>
      <c r="Q265" s="15" t="s">
        <v>1179</v>
      </c>
      <c r="R265" s="10">
        <v>1.0</v>
      </c>
      <c r="S265" s="10" t="s">
        <v>704</v>
      </c>
      <c r="T265" s="10"/>
      <c r="U265" s="10"/>
      <c r="V265" s="10">
        <v>30.0</v>
      </c>
      <c r="W265" s="10" t="s">
        <v>690</v>
      </c>
      <c r="X265" s="10">
        <v>540.0</v>
      </c>
      <c r="Y265" s="10" t="s">
        <v>44</v>
      </c>
      <c r="Z265" s="10" t="s">
        <v>691</v>
      </c>
      <c r="AA265" s="10"/>
      <c r="AB265" s="17" t="str">
        <v>#ERROR!</v>
      </c>
      <c r="AC265" s="17"/>
      <c r="AD265" s="17" t="str">
        <f t="shared" ref="AD265:AD272" si="22">VLOOKUP(F265,'[1]UKN UID-DOP-Marking'!$H$3:$J$394,3,FALSE)</f>
        <v>#REF!</v>
      </c>
      <c r="AE265" s="17"/>
      <c r="AF265" s="17"/>
      <c r="AG265" s="18"/>
    </row>
    <row r="266" ht="14.25" customHeight="1">
      <c r="A266" s="9" t="s">
        <v>852</v>
      </c>
      <c r="B266" s="9" t="s">
        <v>852</v>
      </c>
      <c r="C266" s="9"/>
      <c r="D266" s="10"/>
      <c r="E266" s="20"/>
      <c r="F266" s="9" t="s">
        <v>1180</v>
      </c>
      <c r="G266" s="12" t="s">
        <v>1181</v>
      </c>
      <c r="H266" s="12"/>
      <c r="I266" s="10"/>
      <c r="J266" s="10"/>
      <c r="K266" s="10"/>
      <c r="L266" s="10"/>
      <c r="M266" s="10"/>
      <c r="N266" s="10" t="s">
        <v>40</v>
      </c>
      <c r="O266" s="10">
        <v>279.2</v>
      </c>
      <c r="P266" s="10" t="s">
        <v>335</v>
      </c>
      <c r="Q266" s="15" t="s">
        <v>1182</v>
      </c>
      <c r="R266" s="10">
        <v>1.0</v>
      </c>
      <c r="S266" s="10" t="s">
        <v>704</v>
      </c>
      <c r="T266" s="10"/>
      <c r="U266" s="10"/>
      <c r="V266" s="10">
        <v>30.0</v>
      </c>
      <c r="W266" s="10" t="s">
        <v>690</v>
      </c>
      <c r="X266" s="10">
        <v>540.0</v>
      </c>
      <c r="Y266" s="10" t="s">
        <v>44</v>
      </c>
      <c r="Z266" s="10" t="s">
        <v>691</v>
      </c>
      <c r="AA266" s="10"/>
      <c r="AB266" s="17" t="str">
        <v>#ERROR!</v>
      </c>
      <c r="AC266" s="17"/>
      <c r="AD266" s="17" t="str">
        <f t="shared" si="22"/>
        <v>#REF!</v>
      </c>
      <c r="AE266" s="17"/>
      <c r="AF266" s="17"/>
      <c r="AG266" s="18"/>
    </row>
    <row r="267" ht="14.25" customHeight="1">
      <c r="A267" s="9" t="s">
        <v>852</v>
      </c>
      <c r="B267" s="9" t="s">
        <v>852</v>
      </c>
      <c r="C267" s="9"/>
      <c r="D267" s="10"/>
      <c r="E267" s="20"/>
      <c r="F267" s="9" t="s">
        <v>1183</v>
      </c>
      <c r="G267" s="12" t="s">
        <v>1184</v>
      </c>
      <c r="H267" s="12"/>
      <c r="I267" s="10"/>
      <c r="J267" s="10"/>
      <c r="K267" s="10"/>
      <c r="L267" s="10"/>
      <c r="M267" s="10"/>
      <c r="N267" s="10" t="s">
        <v>40</v>
      </c>
      <c r="O267" s="10">
        <v>312.4</v>
      </c>
      <c r="P267" s="10" t="s">
        <v>335</v>
      </c>
      <c r="Q267" s="15" t="s">
        <v>1185</v>
      </c>
      <c r="R267" s="10">
        <v>1.0</v>
      </c>
      <c r="S267" s="10" t="s">
        <v>704</v>
      </c>
      <c r="T267" s="10"/>
      <c r="U267" s="10"/>
      <c r="V267" s="10">
        <v>30.0</v>
      </c>
      <c r="W267" s="10" t="s">
        <v>690</v>
      </c>
      <c r="X267" s="10">
        <v>540.0</v>
      </c>
      <c r="Y267" s="10" t="s">
        <v>44</v>
      </c>
      <c r="Z267" s="10" t="s">
        <v>691</v>
      </c>
      <c r="AA267" s="10"/>
      <c r="AB267" s="17" t="str">
        <v>#ERROR!</v>
      </c>
      <c r="AC267" s="17"/>
      <c r="AD267" s="17" t="str">
        <f t="shared" si="22"/>
        <v>#REF!</v>
      </c>
      <c r="AE267" s="17"/>
      <c r="AF267" s="17"/>
      <c r="AG267" s="18"/>
    </row>
    <row r="268" ht="14.25" customHeight="1">
      <c r="A268" s="9" t="s">
        <v>852</v>
      </c>
      <c r="B268" s="9" t="s">
        <v>852</v>
      </c>
      <c r="C268" s="9"/>
      <c r="D268" s="10"/>
      <c r="E268" s="20"/>
      <c r="F268" s="9" t="s">
        <v>1186</v>
      </c>
      <c r="G268" s="12" t="s">
        <v>1187</v>
      </c>
      <c r="H268" s="12"/>
      <c r="I268" s="10"/>
      <c r="J268" s="10"/>
      <c r="K268" s="10"/>
      <c r="L268" s="10"/>
      <c r="M268" s="10"/>
      <c r="N268" s="10" t="s">
        <v>40</v>
      </c>
      <c r="O268" s="10">
        <v>312.4</v>
      </c>
      <c r="P268" s="10" t="s">
        <v>335</v>
      </c>
      <c r="Q268" s="15" t="s">
        <v>1188</v>
      </c>
      <c r="R268" s="10">
        <v>1.0</v>
      </c>
      <c r="S268" s="10" t="s">
        <v>704</v>
      </c>
      <c r="T268" s="10"/>
      <c r="U268" s="10"/>
      <c r="V268" s="10">
        <v>30.0</v>
      </c>
      <c r="W268" s="10" t="s">
        <v>690</v>
      </c>
      <c r="X268" s="10">
        <v>540.0</v>
      </c>
      <c r="Y268" s="10" t="s">
        <v>44</v>
      </c>
      <c r="Z268" s="10" t="s">
        <v>691</v>
      </c>
      <c r="AA268" s="10"/>
      <c r="AB268" s="17" t="str">
        <v>#ERROR!</v>
      </c>
      <c r="AC268" s="17"/>
      <c r="AD268" s="17" t="str">
        <f t="shared" si="22"/>
        <v>#REF!</v>
      </c>
      <c r="AE268" s="17"/>
      <c r="AF268" s="17"/>
      <c r="AG268" s="18"/>
    </row>
    <row r="269" ht="14.25" customHeight="1">
      <c r="A269" s="9" t="s">
        <v>852</v>
      </c>
      <c r="B269" s="9" t="s">
        <v>852</v>
      </c>
      <c r="C269" s="9"/>
      <c r="D269" s="10"/>
      <c r="E269" s="20"/>
      <c r="F269" s="9" t="s">
        <v>1189</v>
      </c>
      <c r="G269" s="12" t="s">
        <v>1190</v>
      </c>
      <c r="H269" s="12"/>
      <c r="I269" s="10"/>
      <c r="J269" s="10"/>
      <c r="K269" s="10"/>
      <c r="L269" s="10"/>
      <c r="M269" s="10"/>
      <c r="N269" s="10" t="s">
        <v>40</v>
      </c>
      <c r="O269" s="10">
        <v>307.4</v>
      </c>
      <c r="P269" s="10" t="s">
        <v>335</v>
      </c>
      <c r="Q269" s="15" t="s">
        <v>1191</v>
      </c>
      <c r="R269" s="10">
        <v>1.0</v>
      </c>
      <c r="S269" s="10" t="s">
        <v>704</v>
      </c>
      <c r="T269" s="10"/>
      <c r="U269" s="10"/>
      <c r="V269" s="10">
        <v>30.0</v>
      </c>
      <c r="W269" s="10" t="s">
        <v>690</v>
      </c>
      <c r="X269" s="10">
        <v>540.0</v>
      </c>
      <c r="Y269" s="10" t="s">
        <v>44</v>
      </c>
      <c r="Z269" s="10" t="s">
        <v>691</v>
      </c>
      <c r="AA269" s="10"/>
      <c r="AB269" s="17" t="str">
        <v>#ERROR!</v>
      </c>
      <c r="AC269" s="17"/>
      <c r="AD269" s="17" t="str">
        <f t="shared" si="22"/>
        <v>#REF!</v>
      </c>
      <c r="AE269" s="17"/>
      <c r="AF269" s="17"/>
      <c r="AG269" s="18"/>
    </row>
    <row r="270" ht="14.25" customHeight="1">
      <c r="A270" s="9" t="s">
        <v>852</v>
      </c>
      <c r="B270" s="9" t="s">
        <v>852</v>
      </c>
      <c r="C270" s="9"/>
      <c r="D270" s="10"/>
      <c r="E270" s="20"/>
      <c r="F270" s="9" t="s">
        <v>1192</v>
      </c>
      <c r="G270" s="12" t="s">
        <v>1193</v>
      </c>
      <c r="H270" s="12"/>
      <c r="I270" s="10"/>
      <c r="J270" s="10"/>
      <c r="K270" s="10"/>
      <c r="L270" s="10"/>
      <c r="M270" s="10"/>
      <c r="N270" s="10" t="s">
        <v>40</v>
      </c>
      <c r="O270" s="10">
        <v>307.4</v>
      </c>
      <c r="P270" s="10" t="s">
        <v>335</v>
      </c>
      <c r="Q270" s="15" t="s">
        <v>1194</v>
      </c>
      <c r="R270" s="10">
        <v>1.0</v>
      </c>
      <c r="S270" s="10" t="s">
        <v>704</v>
      </c>
      <c r="T270" s="10"/>
      <c r="U270" s="10"/>
      <c r="V270" s="10">
        <v>30.0</v>
      </c>
      <c r="W270" s="10" t="s">
        <v>690</v>
      </c>
      <c r="X270" s="10">
        <v>540.0</v>
      </c>
      <c r="Y270" s="10" t="s">
        <v>44</v>
      </c>
      <c r="Z270" s="10" t="s">
        <v>691</v>
      </c>
      <c r="AA270" s="10"/>
      <c r="AB270" s="17" t="str">
        <v>#ERROR!</v>
      </c>
      <c r="AC270" s="17"/>
      <c r="AD270" s="17" t="str">
        <f t="shared" si="22"/>
        <v>#REF!</v>
      </c>
      <c r="AE270" s="17"/>
      <c r="AF270" s="17"/>
      <c r="AG270" s="18"/>
    </row>
    <row r="271" ht="14.25" customHeight="1">
      <c r="A271" s="9" t="s">
        <v>852</v>
      </c>
      <c r="B271" s="9" t="s">
        <v>852</v>
      </c>
      <c r="C271" s="9"/>
      <c r="D271" s="10"/>
      <c r="E271" s="20"/>
      <c r="F271" s="9" t="s">
        <v>1195</v>
      </c>
      <c r="G271" s="12" t="s">
        <v>1196</v>
      </c>
      <c r="H271" s="12"/>
      <c r="I271" s="10"/>
      <c r="J271" s="10"/>
      <c r="K271" s="10"/>
      <c r="L271" s="10"/>
      <c r="M271" s="10"/>
      <c r="N271" s="10" t="s">
        <v>40</v>
      </c>
      <c r="O271" s="10">
        <v>383.8</v>
      </c>
      <c r="P271" s="10" t="s">
        <v>335</v>
      </c>
      <c r="Q271" s="15" t="s">
        <v>1197</v>
      </c>
      <c r="R271" s="10">
        <v>1.0</v>
      </c>
      <c r="S271" s="10" t="s">
        <v>704</v>
      </c>
      <c r="T271" s="10"/>
      <c r="U271" s="10"/>
      <c r="V271" s="10">
        <v>30.0</v>
      </c>
      <c r="W271" s="10" t="s">
        <v>690</v>
      </c>
      <c r="X271" s="10">
        <v>540.0</v>
      </c>
      <c r="Y271" s="10" t="s">
        <v>44</v>
      </c>
      <c r="Z271" s="10" t="s">
        <v>691</v>
      </c>
      <c r="AA271" s="10"/>
      <c r="AB271" s="17" t="str">
        <v>#ERROR!</v>
      </c>
      <c r="AC271" s="17"/>
      <c r="AD271" s="17" t="str">
        <f t="shared" si="22"/>
        <v>#REF!</v>
      </c>
      <c r="AE271" s="17"/>
      <c r="AF271" s="17"/>
      <c r="AG271" s="18"/>
    </row>
    <row r="272" ht="14.25" customHeight="1">
      <c r="A272" s="9" t="s">
        <v>852</v>
      </c>
      <c r="B272" s="9" t="s">
        <v>852</v>
      </c>
      <c r="C272" s="9"/>
      <c r="D272" s="10"/>
      <c r="E272" s="20"/>
      <c r="F272" s="9" t="s">
        <v>1198</v>
      </c>
      <c r="G272" s="12" t="s">
        <v>1199</v>
      </c>
      <c r="H272" s="12"/>
      <c r="I272" s="10"/>
      <c r="J272" s="10"/>
      <c r="K272" s="10"/>
      <c r="L272" s="10"/>
      <c r="M272" s="10"/>
      <c r="N272" s="10" t="s">
        <v>40</v>
      </c>
      <c r="O272" s="10">
        <v>383.8</v>
      </c>
      <c r="P272" s="10" t="s">
        <v>335</v>
      </c>
      <c r="Q272" s="15" t="s">
        <v>1200</v>
      </c>
      <c r="R272" s="10">
        <v>1.0</v>
      </c>
      <c r="S272" s="10" t="s">
        <v>704</v>
      </c>
      <c r="T272" s="10"/>
      <c r="U272" s="10"/>
      <c r="V272" s="10">
        <v>30.0</v>
      </c>
      <c r="W272" s="10" t="s">
        <v>690</v>
      </c>
      <c r="X272" s="10">
        <v>540.0</v>
      </c>
      <c r="Y272" s="10" t="s">
        <v>44</v>
      </c>
      <c r="Z272" s="10" t="s">
        <v>691</v>
      </c>
      <c r="AA272" s="10"/>
      <c r="AB272" s="17" t="str">
        <v>#ERROR!</v>
      </c>
      <c r="AC272" s="17"/>
      <c r="AD272" s="17" t="str">
        <f t="shared" si="22"/>
        <v>#REF!</v>
      </c>
      <c r="AE272" s="17"/>
      <c r="AF272" s="17"/>
      <c r="AG272" s="18"/>
    </row>
    <row r="273" ht="14.25" hidden="1" customHeight="1">
      <c r="A273" s="9" t="s">
        <v>1201</v>
      </c>
      <c r="B273" s="9" t="s">
        <v>1202</v>
      </c>
      <c r="C273" s="9"/>
      <c r="D273" s="10"/>
      <c r="E273" s="20"/>
      <c r="F273" s="23" t="s">
        <v>1203</v>
      </c>
      <c r="G273" s="12" t="s">
        <v>1204</v>
      </c>
      <c r="H273" s="12"/>
      <c r="I273" s="10"/>
      <c r="J273" s="10"/>
      <c r="K273" s="10"/>
      <c r="L273" s="10"/>
      <c r="M273" s="10"/>
      <c r="N273" s="10" t="s">
        <v>48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7" t="s">
        <v>1205</v>
      </c>
      <c r="AC273" s="17" t="s">
        <v>1204</v>
      </c>
      <c r="AD273" s="17"/>
      <c r="AE273" s="17"/>
      <c r="AF273" s="17"/>
      <c r="AG273" s="18"/>
    </row>
    <row r="274" ht="14.25" customHeight="1">
      <c r="A274" s="9" t="s">
        <v>1206</v>
      </c>
      <c r="B274" s="9"/>
      <c r="C274" s="9"/>
      <c r="D274" s="10"/>
      <c r="E274" s="20"/>
      <c r="F274" s="23" t="s">
        <v>1207</v>
      </c>
      <c r="G274" s="12" t="s">
        <v>1208</v>
      </c>
      <c r="H274" s="12"/>
      <c r="I274" s="10"/>
      <c r="J274" s="10"/>
      <c r="K274" s="10"/>
      <c r="L274" s="10"/>
      <c r="M274" s="10"/>
      <c r="N274" s="10" t="s">
        <v>40</v>
      </c>
      <c r="O274" s="10">
        <v>15.5</v>
      </c>
      <c r="P274" s="10" t="s">
        <v>1209</v>
      </c>
      <c r="Q274" s="10" t="s">
        <v>1210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7"/>
      <c r="AC274" s="17"/>
      <c r="AD274" s="17"/>
      <c r="AE274" s="17"/>
      <c r="AF274" s="17"/>
      <c r="AG274" s="18"/>
    </row>
    <row r="275" ht="14.25" customHeight="1">
      <c r="A275" s="9" t="s">
        <v>1206</v>
      </c>
      <c r="B275" s="9"/>
      <c r="C275" s="9"/>
      <c r="D275" s="10"/>
      <c r="E275" s="20"/>
      <c r="F275" s="23" t="s">
        <v>1211</v>
      </c>
      <c r="G275" s="12" t="s">
        <v>1212</v>
      </c>
      <c r="H275" s="12"/>
      <c r="I275" s="10"/>
      <c r="J275" s="10"/>
      <c r="K275" s="10"/>
      <c r="L275" s="10"/>
      <c r="M275" s="10"/>
      <c r="N275" s="10" t="s">
        <v>40</v>
      </c>
      <c r="O275" s="10">
        <v>25.6</v>
      </c>
      <c r="P275" s="10" t="s">
        <v>1209</v>
      </c>
      <c r="Q275" s="15" t="s">
        <v>1213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7"/>
      <c r="AC275" s="17"/>
      <c r="AD275" s="17"/>
      <c r="AE275" s="17"/>
      <c r="AF275" s="17"/>
      <c r="AG275" s="18"/>
    </row>
    <row r="276" ht="14.25" customHeight="1">
      <c r="A276" s="9" t="s">
        <v>1206</v>
      </c>
      <c r="B276" s="9"/>
      <c r="C276" s="9"/>
      <c r="D276" s="10"/>
      <c r="E276" s="20"/>
      <c r="F276" s="23" t="s">
        <v>1214</v>
      </c>
      <c r="G276" s="12" t="s">
        <v>1215</v>
      </c>
      <c r="H276" s="12"/>
      <c r="I276" s="10"/>
      <c r="J276" s="10"/>
      <c r="K276" s="10"/>
      <c r="L276" s="10"/>
      <c r="M276" s="10"/>
      <c r="N276" s="10" t="s">
        <v>40</v>
      </c>
      <c r="O276" s="10">
        <v>36.65</v>
      </c>
      <c r="P276" s="10" t="s">
        <v>1209</v>
      </c>
      <c r="Q276" s="15" t="s">
        <v>1216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7"/>
      <c r="AC276" s="17"/>
      <c r="AD276" s="17"/>
      <c r="AE276" s="17"/>
      <c r="AF276" s="17"/>
      <c r="AG276" s="18"/>
    </row>
    <row r="277" ht="14.25" customHeight="1">
      <c r="A277" s="9" t="s">
        <v>1206</v>
      </c>
      <c r="B277" s="9"/>
      <c r="C277" s="9"/>
      <c r="D277" s="10"/>
      <c r="E277" s="20"/>
      <c r="F277" s="23" t="s">
        <v>1217</v>
      </c>
      <c r="G277" s="12" t="s">
        <v>1218</v>
      </c>
      <c r="H277" s="12"/>
      <c r="I277" s="10"/>
      <c r="J277" s="10"/>
      <c r="K277" s="10"/>
      <c r="L277" s="10"/>
      <c r="M277" s="10"/>
      <c r="N277" s="10" t="s">
        <v>40</v>
      </c>
      <c r="O277" s="10">
        <v>68.0</v>
      </c>
      <c r="P277" s="10" t="s">
        <v>1209</v>
      </c>
      <c r="Q277" s="15" t="s">
        <v>1219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7"/>
      <c r="AC277" s="17"/>
      <c r="AD277" s="17"/>
      <c r="AE277" s="17"/>
      <c r="AF277" s="17"/>
      <c r="AG277" s="18"/>
    </row>
    <row r="278" ht="14.25" customHeight="1">
      <c r="A278" s="9" t="s">
        <v>1206</v>
      </c>
      <c r="B278" s="9"/>
      <c r="C278" s="9"/>
      <c r="D278" s="10"/>
      <c r="E278" s="20"/>
      <c r="F278" s="23" t="s">
        <v>1220</v>
      </c>
      <c r="G278" s="12" t="s">
        <v>1221</v>
      </c>
      <c r="H278" s="12"/>
      <c r="I278" s="10"/>
      <c r="J278" s="10"/>
      <c r="K278" s="10"/>
      <c r="L278" s="10"/>
      <c r="M278" s="10"/>
      <c r="N278" s="10" t="s">
        <v>40</v>
      </c>
      <c r="O278" s="10">
        <v>73.0</v>
      </c>
      <c r="P278" s="10" t="s">
        <v>1209</v>
      </c>
      <c r="Q278" s="15" t="s">
        <v>1222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7"/>
      <c r="AC278" s="17"/>
      <c r="AD278" s="17"/>
      <c r="AE278" s="17"/>
      <c r="AF278" s="17"/>
      <c r="AG278" s="18"/>
    </row>
    <row r="279" ht="14.25" customHeight="1">
      <c r="A279" s="9" t="s">
        <v>1206</v>
      </c>
      <c r="B279" s="9"/>
      <c r="C279" s="9"/>
      <c r="D279" s="10"/>
      <c r="E279" s="20"/>
      <c r="F279" s="23" t="s">
        <v>1223</v>
      </c>
      <c r="G279" s="12" t="s">
        <v>1224</v>
      </c>
      <c r="H279" s="12"/>
      <c r="I279" s="10"/>
      <c r="J279" s="10"/>
      <c r="K279" s="10"/>
      <c r="L279" s="10"/>
      <c r="M279" s="10"/>
      <c r="N279" s="10" t="s">
        <v>40</v>
      </c>
      <c r="O279" s="10">
        <v>28.0</v>
      </c>
      <c r="P279" s="10" t="s">
        <v>1209</v>
      </c>
      <c r="Q279" s="15" t="s">
        <v>1225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7"/>
      <c r="AC279" s="17"/>
      <c r="AD279" s="17"/>
      <c r="AE279" s="17"/>
      <c r="AF279" s="17"/>
      <c r="AG279" s="18"/>
    </row>
    <row r="280" ht="14.25" customHeight="1">
      <c r="A280" s="9" t="s">
        <v>1206</v>
      </c>
      <c r="B280" s="9"/>
      <c r="C280" s="9"/>
      <c r="D280" s="10"/>
      <c r="E280" s="20"/>
      <c r="F280" s="23" t="s">
        <v>1226</v>
      </c>
      <c r="G280" s="12" t="s">
        <v>1227</v>
      </c>
      <c r="H280" s="12"/>
      <c r="I280" s="10"/>
      <c r="J280" s="10"/>
      <c r="K280" s="10"/>
      <c r="L280" s="10"/>
      <c r="M280" s="10"/>
      <c r="N280" s="10" t="s">
        <v>40</v>
      </c>
      <c r="O280" s="10">
        <v>0.2</v>
      </c>
      <c r="P280" s="10" t="s">
        <v>1209</v>
      </c>
      <c r="Q280" s="15" t="s">
        <v>1228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7"/>
      <c r="AC280" s="17"/>
      <c r="AD280" s="17"/>
      <c r="AE280" s="17"/>
      <c r="AF280" s="17"/>
      <c r="AG280" s="18"/>
    </row>
    <row r="281" ht="14.25" hidden="1" customHeight="1">
      <c r="A281" s="9" t="s">
        <v>1229</v>
      </c>
      <c r="B281" s="9" t="s">
        <v>1230</v>
      </c>
      <c r="C281" s="9"/>
      <c r="D281" s="10"/>
      <c r="E281" s="20"/>
      <c r="F281" s="23" t="s">
        <v>1231</v>
      </c>
      <c r="G281" s="24" t="s">
        <v>1232</v>
      </c>
      <c r="H281" s="24"/>
      <c r="I281" s="10"/>
      <c r="J281" s="10"/>
      <c r="K281" s="10"/>
      <c r="L281" s="10"/>
      <c r="M281" s="10"/>
      <c r="N281" s="10" t="s">
        <v>48</v>
      </c>
      <c r="O281" s="10">
        <v>55.0</v>
      </c>
      <c r="P281" s="10" t="s">
        <v>1209</v>
      </c>
      <c r="Q281" s="10" t="s">
        <v>1233</v>
      </c>
      <c r="R281" s="10">
        <v>1.0</v>
      </c>
      <c r="S281" s="10"/>
      <c r="T281" s="10"/>
      <c r="U281" s="10"/>
      <c r="V281" s="10"/>
      <c r="W281" s="10"/>
      <c r="X281" s="10"/>
      <c r="Y281" s="10"/>
      <c r="Z281" s="10"/>
      <c r="AA281" s="10"/>
      <c r="AB281" s="24" t="s">
        <v>1234</v>
      </c>
      <c r="AC281" s="17" t="s">
        <v>1235</v>
      </c>
      <c r="AD281" s="17" t="str">
        <f t="shared" ref="AD281:AD295" si="23">VLOOKUP(F281,'[1]UKN UID-DOP-Marking'!$H$3:$J$394,3,FALSE)</f>
        <v>#REF!</v>
      </c>
      <c r="AE281" s="9" t="s">
        <v>1236</v>
      </c>
      <c r="AF281" s="17" t="str">
        <f t="shared" ref="AF281:AF295" si="24">VLOOKUP(F281,'[1]UKN UID-DOP-Marking'!$H$3:$L$394,5,FALSE)</f>
        <v>#REF!</v>
      </c>
      <c r="AG281" s="18"/>
    </row>
    <row r="282" ht="14.25" hidden="1" customHeight="1">
      <c r="A282" s="9" t="s">
        <v>1229</v>
      </c>
      <c r="B282" s="9" t="s">
        <v>1230</v>
      </c>
      <c r="C282" s="9"/>
      <c r="D282" s="10"/>
      <c r="E282" s="20"/>
      <c r="F282" s="23" t="s">
        <v>1237</v>
      </c>
      <c r="G282" s="24" t="s">
        <v>1238</v>
      </c>
      <c r="H282" s="24"/>
      <c r="I282" s="10"/>
      <c r="J282" s="10"/>
      <c r="K282" s="10"/>
      <c r="L282" s="10"/>
      <c r="M282" s="10"/>
      <c r="N282" s="10" t="s">
        <v>48</v>
      </c>
      <c r="O282" s="10">
        <v>55.0</v>
      </c>
      <c r="P282" s="10" t="s">
        <v>1209</v>
      </c>
      <c r="Q282" s="10" t="s">
        <v>1239</v>
      </c>
      <c r="R282" s="10">
        <v>1.0</v>
      </c>
      <c r="S282" s="10"/>
      <c r="T282" s="10"/>
      <c r="U282" s="10"/>
      <c r="V282" s="10"/>
      <c r="W282" s="10"/>
      <c r="X282" s="10"/>
      <c r="Y282" s="10"/>
      <c r="Z282" s="10"/>
      <c r="AA282" s="10"/>
      <c r="AB282" s="24" t="s">
        <v>1240</v>
      </c>
      <c r="AC282" s="17" t="s">
        <v>1241</v>
      </c>
      <c r="AD282" s="17" t="str">
        <f t="shared" si="23"/>
        <v>#REF!</v>
      </c>
      <c r="AE282" s="9" t="s">
        <v>1236</v>
      </c>
      <c r="AF282" s="17" t="str">
        <f t="shared" si="24"/>
        <v>#REF!</v>
      </c>
      <c r="AG282" s="18"/>
    </row>
    <row r="283" ht="14.25" hidden="1" customHeight="1">
      <c r="A283" s="9" t="s">
        <v>1229</v>
      </c>
      <c r="B283" s="9" t="s">
        <v>1230</v>
      </c>
      <c r="C283" s="9"/>
      <c r="D283" s="10"/>
      <c r="E283" s="20"/>
      <c r="F283" s="23" t="s">
        <v>1242</v>
      </c>
      <c r="G283" s="24" t="s">
        <v>1243</v>
      </c>
      <c r="H283" s="24"/>
      <c r="I283" s="10"/>
      <c r="J283" s="10"/>
      <c r="K283" s="10"/>
      <c r="L283" s="10"/>
      <c r="M283" s="10"/>
      <c r="N283" s="10" t="s">
        <v>48</v>
      </c>
      <c r="O283" s="10">
        <v>55.0</v>
      </c>
      <c r="P283" s="10" t="s">
        <v>1209</v>
      </c>
      <c r="Q283" s="10" t="s">
        <v>1244</v>
      </c>
      <c r="R283" s="10">
        <v>1.0</v>
      </c>
      <c r="S283" s="10"/>
      <c r="T283" s="10"/>
      <c r="U283" s="10"/>
      <c r="V283" s="10"/>
      <c r="W283" s="10"/>
      <c r="X283" s="10"/>
      <c r="Y283" s="10"/>
      <c r="Z283" s="10"/>
      <c r="AA283" s="10"/>
      <c r="AB283" s="24" t="s">
        <v>1245</v>
      </c>
      <c r="AC283" s="17" t="s">
        <v>1246</v>
      </c>
      <c r="AD283" s="17" t="str">
        <f t="shared" si="23"/>
        <v>#REF!</v>
      </c>
      <c r="AE283" s="9" t="s">
        <v>1236</v>
      </c>
      <c r="AF283" s="17" t="str">
        <f t="shared" si="24"/>
        <v>#REF!</v>
      </c>
      <c r="AG283" s="18"/>
    </row>
    <row r="284" ht="14.25" hidden="1" customHeight="1">
      <c r="A284" s="9" t="s">
        <v>1229</v>
      </c>
      <c r="B284" s="9" t="s">
        <v>1230</v>
      </c>
      <c r="C284" s="9"/>
      <c r="D284" s="10"/>
      <c r="E284" s="20"/>
      <c r="F284" s="23" t="s">
        <v>1247</v>
      </c>
      <c r="G284" s="24" t="s">
        <v>1248</v>
      </c>
      <c r="H284" s="24"/>
      <c r="I284" s="10"/>
      <c r="J284" s="10"/>
      <c r="K284" s="10"/>
      <c r="L284" s="10"/>
      <c r="M284" s="10"/>
      <c r="N284" s="10" t="s">
        <v>48</v>
      </c>
      <c r="O284" s="10">
        <v>75.0</v>
      </c>
      <c r="P284" s="10" t="s">
        <v>1209</v>
      </c>
      <c r="Q284" s="10" t="s">
        <v>1249</v>
      </c>
      <c r="R284" s="10">
        <v>1.0</v>
      </c>
      <c r="S284" s="10"/>
      <c r="T284" s="10"/>
      <c r="U284" s="10"/>
      <c r="V284" s="10"/>
      <c r="W284" s="10"/>
      <c r="X284" s="10"/>
      <c r="Y284" s="10"/>
      <c r="Z284" s="10"/>
      <c r="AA284" s="10"/>
      <c r="AB284" s="24" t="s">
        <v>1250</v>
      </c>
      <c r="AC284" s="17" t="s">
        <v>1251</v>
      </c>
      <c r="AD284" s="17" t="str">
        <f t="shared" si="23"/>
        <v>#REF!</v>
      </c>
      <c r="AE284" s="9" t="s">
        <v>1236</v>
      </c>
      <c r="AF284" s="17" t="str">
        <f t="shared" si="24"/>
        <v>#REF!</v>
      </c>
      <c r="AG284" s="18"/>
    </row>
    <row r="285" ht="14.25" hidden="1" customHeight="1">
      <c r="A285" s="9" t="s">
        <v>1229</v>
      </c>
      <c r="B285" s="9" t="s">
        <v>1230</v>
      </c>
      <c r="C285" s="9"/>
      <c r="D285" s="10"/>
      <c r="E285" s="20"/>
      <c r="F285" s="23" t="s">
        <v>1252</v>
      </c>
      <c r="G285" s="24" t="s">
        <v>1253</v>
      </c>
      <c r="H285" s="24"/>
      <c r="I285" s="10"/>
      <c r="J285" s="10"/>
      <c r="K285" s="10"/>
      <c r="L285" s="10"/>
      <c r="M285" s="10"/>
      <c r="N285" s="10" t="s">
        <v>48</v>
      </c>
      <c r="O285" s="10">
        <v>55.0</v>
      </c>
      <c r="P285" s="10" t="s">
        <v>1209</v>
      </c>
      <c r="Q285" s="15" t="s">
        <v>1254</v>
      </c>
      <c r="R285" s="10">
        <v>1.0</v>
      </c>
      <c r="S285" s="10"/>
      <c r="T285" s="10"/>
      <c r="U285" s="10"/>
      <c r="V285" s="10"/>
      <c r="W285" s="10"/>
      <c r="X285" s="10"/>
      <c r="Y285" s="10"/>
      <c r="Z285" s="10"/>
      <c r="AA285" s="10"/>
      <c r="AB285" s="24" t="s">
        <v>1255</v>
      </c>
      <c r="AC285" s="17" t="s">
        <v>1256</v>
      </c>
      <c r="AD285" s="17" t="str">
        <f t="shared" si="23"/>
        <v>#REF!</v>
      </c>
      <c r="AE285" s="9" t="s">
        <v>1236</v>
      </c>
      <c r="AF285" s="17" t="str">
        <f t="shared" si="24"/>
        <v>#REF!</v>
      </c>
      <c r="AG285" s="18"/>
    </row>
    <row r="286" ht="14.25" hidden="1" customHeight="1">
      <c r="A286" s="9" t="s">
        <v>1229</v>
      </c>
      <c r="B286" s="9" t="s">
        <v>1230</v>
      </c>
      <c r="C286" s="9"/>
      <c r="D286" s="10"/>
      <c r="E286" s="20"/>
      <c r="F286" s="23" t="s">
        <v>1257</v>
      </c>
      <c r="G286" s="24" t="s">
        <v>1258</v>
      </c>
      <c r="H286" s="24"/>
      <c r="I286" s="10"/>
      <c r="J286" s="10"/>
      <c r="K286" s="10"/>
      <c r="L286" s="10"/>
      <c r="M286" s="10"/>
      <c r="N286" s="10" t="s">
        <v>48</v>
      </c>
      <c r="O286" s="10">
        <v>55.0</v>
      </c>
      <c r="P286" s="10" t="s">
        <v>1209</v>
      </c>
      <c r="Q286" s="10" t="s">
        <v>1259</v>
      </c>
      <c r="R286" s="10">
        <v>1.0</v>
      </c>
      <c r="S286" s="10"/>
      <c r="T286" s="10"/>
      <c r="U286" s="10"/>
      <c r="V286" s="10"/>
      <c r="W286" s="10"/>
      <c r="X286" s="10"/>
      <c r="Y286" s="10"/>
      <c r="Z286" s="10"/>
      <c r="AA286" s="10"/>
      <c r="AB286" s="24" t="s">
        <v>1260</v>
      </c>
      <c r="AC286" s="17" t="s">
        <v>1261</v>
      </c>
      <c r="AD286" s="17" t="str">
        <f t="shared" si="23"/>
        <v>#REF!</v>
      </c>
      <c r="AE286" s="9" t="s">
        <v>1236</v>
      </c>
      <c r="AF286" s="17" t="str">
        <f t="shared" si="24"/>
        <v>#REF!</v>
      </c>
      <c r="AG286" s="18"/>
    </row>
    <row r="287" ht="14.25" hidden="1" customHeight="1">
      <c r="A287" s="9" t="s">
        <v>1229</v>
      </c>
      <c r="B287" s="9" t="s">
        <v>1230</v>
      </c>
      <c r="C287" s="9"/>
      <c r="D287" s="10"/>
      <c r="E287" s="20"/>
      <c r="F287" s="23" t="s">
        <v>1262</v>
      </c>
      <c r="G287" s="24" t="s">
        <v>1263</v>
      </c>
      <c r="H287" s="24"/>
      <c r="I287" s="10"/>
      <c r="J287" s="10"/>
      <c r="K287" s="10"/>
      <c r="L287" s="10"/>
      <c r="M287" s="10"/>
      <c r="N287" s="10" t="s">
        <v>48</v>
      </c>
      <c r="O287" s="10">
        <v>55.0</v>
      </c>
      <c r="P287" s="10" t="s">
        <v>1209</v>
      </c>
      <c r="Q287" s="15" t="s">
        <v>1264</v>
      </c>
      <c r="R287" s="10">
        <v>1.0</v>
      </c>
      <c r="S287" s="10"/>
      <c r="T287" s="10"/>
      <c r="U287" s="10"/>
      <c r="V287" s="10"/>
      <c r="W287" s="10"/>
      <c r="X287" s="10"/>
      <c r="Y287" s="10"/>
      <c r="Z287" s="10"/>
      <c r="AA287" s="10"/>
      <c r="AB287" s="24" t="s">
        <v>1265</v>
      </c>
      <c r="AC287" s="17" t="s">
        <v>1266</v>
      </c>
      <c r="AD287" s="17" t="str">
        <f t="shared" si="23"/>
        <v>#REF!</v>
      </c>
      <c r="AE287" s="9" t="s">
        <v>1236</v>
      </c>
      <c r="AF287" s="17" t="str">
        <f t="shared" si="24"/>
        <v>#REF!</v>
      </c>
      <c r="AG287" s="18"/>
    </row>
    <row r="288" ht="14.25" hidden="1" customHeight="1">
      <c r="A288" s="9" t="s">
        <v>1229</v>
      </c>
      <c r="B288" s="9" t="s">
        <v>1230</v>
      </c>
      <c r="C288" s="9"/>
      <c r="D288" s="10"/>
      <c r="E288" s="20"/>
      <c r="F288" s="23" t="s">
        <v>1267</v>
      </c>
      <c r="G288" s="24" t="s">
        <v>1268</v>
      </c>
      <c r="H288" s="24"/>
      <c r="I288" s="10"/>
      <c r="J288" s="10"/>
      <c r="K288" s="10"/>
      <c r="L288" s="10"/>
      <c r="M288" s="10"/>
      <c r="N288" s="10" t="s">
        <v>48</v>
      </c>
      <c r="O288" s="10">
        <v>75.0</v>
      </c>
      <c r="P288" s="10" t="s">
        <v>1209</v>
      </c>
      <c r="Q288" s="10" t="s">
        <v>1269</v>
      </c>
      <c r="R288" s="10">
        <v>1.0</v>
      </c>
      <c r="S288" s="10"/>
      <c r="T288" s="10"/>
      <c r="U288" s="10"/>
      <c r="V288" s="10"/>
      <c r="W288" s="10"/>
      <c r="X288" s="10"/>
      <c r="Y288" s="10"/>
      <c r="Z288" s="10"/>
      <c r="AA288" s="10"/>
      <c r="AB288" s="24"/>
      <c r="AC288" s="17"/>
      <c r="AD288" s="17" t="str">
        <f t="shared" si="23"/>
        <v>#REF!</v>
      </c>
      <c r="AE288" s="9" t="s">
        <v>1236</v>
      </c>
      <c r="AF288" s="17" t="str">
        <f t="shared" si="24"/>
        <v>#REF!</v>
      </c>
      <c r="AG288" s="18"/>
    </row>
    <row r="289" ht="14.25" hidden="1" customHeight="1">
      <c r="A289" s="9" t="s">
        <v>1229</v>
      </c>
      <c r="B289" s="9" t="s">
        <v>1230</v>
      </c>
      <c r="C289" s="9"/>
      <c r="D289" s="10"/>
      <c r="E289" s="20"/>
      <c r="F289" s="23" t="s">
        <v>1270</v>
      </c>
      <c r="G289" s="24" t="s">
        <v>1271</v>
      </c>
      <c r="H289" s="24"/>
      <c r="I289" s="10"/>
      <c r="J289" s="10"/>
      <c r="K289" s="10"/>
      <c r="L289" s="10"/>
      <c r="M289" s="10"/>
      <c r="N289" s="10" t="s">
        <v>48</v>
      </c>
      <c r="O289" s="10">
        <v>55.0</v>
      </c>
      <c r="P289" s="10" t="s">
        <v>1209</v>
      </c>
      <c r="Q289" s="10" t="s">
        <v>1272</v>
      </c>
      <c r="R289" s="10">
        <v>1.0</v>
      </c>
      <c r="S289" s="10"/>
      <c r="T289" s="10"/>
      <c r="U289" s="10"/>
      <c r="V289" s="10"/>
      <c r="W289" s="10"/>
      <c r="X289" s="10"/>
      <c r="Y289" s="10"/>
      <c r="Z289" s="10"/>
      <c r="AA289" s="10"/>
      <c r="AB289" s="24" t="s">
        <v>1273</v>
      </c>
      <c r="AC289" s="17" t="s">
        <v>1274</v>
      </c>
      <c r="AD289" s="17" t="str">
        <f t="shared" si="23"/>
        <v>#REF!</v>
      </c>
      <c r="AE289" s="9" t="s">
        <v>1236</v>
      </c>
      <c r="AF289" s="17" t="str">
        <f t="shared" si="24"/>
        <v>#REF!</v>
      </c>
      <c r="AG289" s="18"/>
    </row>
    <row r="290" ht="14.25" hidden="1" customHeight="1">
      <c r="A290" s="9" t="s">
        <v>1229</v>
      </c>
      <c r="B290" s="9" t="s">
        <v>1230</v>
      </c>
      <c r="C290" s="9"/>
      <c r="D290" s="10"/>
      <c r="E290" s="20"/>
      <c r="F290" s="23" t="s">
        <v>1275</v>
      </c>
      <c r="G290" s="24" t="s">
        <v>1276</v>
      </c>
      <c r="H290" s="24"/>
      <c r="I290" s="10"/>
      <c r="J290" s="10"/>
      <c r="K290" s="10"/>
      <c r="L290" s="10"/>
      <c r="M290" s="10"/>
      <c r="N290" s="10" t="s">
        <v>48</v>
      </c>
      <c r="O290" s="10">
        <v>55.0</v>
      </c>
      <c r="P290" s="10" t="s">
        <v>1209</v>
      </c>
      <c r="Q290" s="10" t="s">
        <v>1277</v>
      </c>
      <c r="R290" s="10">
        <v>1.0</v>
      </c>
      <c r="S290" s="10"/>
      <c r="T290" s="10"/>
      <c r="U290" s="10"/>
      <c r="V290" s="10"/>
      <c r="W290" s="10"/>
      <c r="X290" s="10"/>
      <c r="Y290" s="10"/>
      <c r="Z290" s="10"/>
      <c r="AA290" s="10"/>
      <c r="AB290" s="24" t="s">
        <v>1278</v>
      </c>
      <c r="AC290" s="17" t="s">
        <v>1279</v>
      </c>
      <c r="AD290" s="17" t="str">
        <f t="shared" si="23"/>
        <v>#REF!</v>
      </c>
      <c r="AE290" s="9" t="s">
        <v>1236</v>
      </c>
      <c r="AF290" s="17" t="str">
        <f t="shared" si="24"/>
        <v>#REF!</v>
      </c>
      <c r="AG290" s="18"/>
    </row>
    <row r="291" ht="14.25" hidden="1" customHeight="1">
      <c r="A291" s="9" t="s">
        <v>1229</v>
      </c>
      <c r="B291" s="9" t="s">
        <v>1230</v>
      </c>
      <c r="C291" s="9"/>
      <c r="D291" s="10"/>
      <c r="E291" s="20"/>
      <c r="F291" s="23" t="s">
        <v>1280</v>
      </c>
      <c r="G291" s="24" t="s">
        <v>1281</v>
      </c>
      <c r="H291" s="24"/>
      <c r="I291" s="10"/>
      <c r="J291" s="10"/>
      <c r="K291" s="10"/>
      <c r="L291" s="10"/>
      <c r="M291" s="10"/>
      <c r="N291" s="10" t="s">
        <v>48</v>
      </c>
      <c r="O291" s="10">
        <v>46.0</v>
      </c>
      <c r="P291" s="10" t="s">
        <v>1209</v>
      </c>
      <c r="Q291" s="15" t="s">
        <v>1282</v>
      </c>
      <c r="R291" s="10">
        <v>1.0</v>
      </c>
      <c r="S291" s="10"/>
      <c r="T291" s="10"/>
      <c r="U291" s="10"/>
      <c r="V291" s="10"/>
      <c r="W291" s="10"/>
      <c r="X291" s="10"/>
      <c r="Y291" s="10"/>
      <c r="Z291" s="10"/>
      <c r="AA291" s="10"/>
      <c r="AB291" s="24" t="s">
        <v>1283</v>
      </c>
      <c r="AC291" s="17" t="s">
        <v>1284</v>
      </c>
      <c r="AD291" s="17" t="str">
        <f t="shared" si="23"/>
        <v>#REF!</v>
      </c>
      <c r="AE291" s="17" t="s">
        <v>1285</v>
      </c>
      <c r="AF291" s="17" t="str">
        <f t="shared" si="24"/>
        <v>#REF!</v>
      </c>
      <c r="AG291" s="18"/>
    </row>
    <row r="292" ht="14.25" hidden="1" customHeight="1">
      <c r="A292" s="9" t="s">
        <v>1229</v>
      </c>
      <c r="B292" s="9" t="s">
        <v>1230</v>
      </c>
      <c r="C292" s="9"/>
      <c r="D292" s="10"/>
      <c r="E292" s="20"/>
      <c r="F292" s="23" t="s">
        <v>1286</v>
      </c>
      <c r="G292" s="24" t="s">
        <v>1287</v>
      </c>
      <c r="H292" s="24"/>
      <c r="I292" s="10"/>
      <c r="J292" s="10"/>
      <c r="K292" s="10"/>
      <c r="L292" s="10"/>
      <c r="M292" s="10"/>
      <c r="N292" s="10" t="s">
        <v>48</v>
      </c>
      <c r="O292" s="10">
        <v>55.0</v>
      </c>
      <c r="P292" s="10" t="s">
        <v>1209</v>
      </c>
      <c r="Q292" s="15" t="s">
        <v>1288</v>
      </c>
      <c r="R292" s="10">
        <v>1.0</v>
      </c>
      <c r="S292" s="10"/>
      <c r="T292" s="10"/>
      <c r="U292" s="10"/>
      <c r="V292" s="10"/>
      <c r="W292" s="10"/>
      <c r="X292" s="10"/>
      <c r="Y292" s="10"/>
      <c r="Z292" s="10"/>
      <c r="AA292" s="10"/>
      <c r="AB292" s="24" t="s">
        <v>1289</v>
      </c>
      <c r="AC292" s="17" t="s">
        <v>1290</v>
      </c>
      <c r="AD292" s="17" t="str">
        <f t="shared" si="23"/>
        <v>#REF!</v>
      </c>
      <c r="AE292" s="17" t="s">
        <v>1285</v>
      </c>
      <c r="AF292" s="17" t="str">
        <f t="shared" si="24"/>
        <v>#REF!</v>
      </c>
      <c r="AG292" s="18"/>
    </row>
    <row r="293" ht="14.25" hidden="1" customHeight="1">
      <c r="A293" s="9" t="s">
        <v>1229</v>
      </c>
      <c r="B293" s="9" t="s">
        <v>1230</v>
      </c>
      <c r="C293" s="9"/>
      <c r="D293" s="10"/>
      <c r="E293" s="20"/>
      <c r="F293" s="23" t="s">
        <v>1291</v>
      </c>
      <c r="G293" s="24" t="s">
        <v>1292</v>
      </c>
      <c r="H293" s="24"/>
      <c r="I293" s="10"/>
      <c r="J293" s="10"/>
      <c r="K293" s="10"/>
      <c r="L293" s="10"/>
      <c r="M293" s="10"/>
      <c r="N293" s="10" t="s">
        <v>48</v>
      </c>
      <c r="O293" s="10">
        <v>75.0</v>
      </c>
      <c r="P293" s="10" t="s">
        <v>1209</v>
      </c>
      <c r="Q293" s="15" t="s">
        <v>1293</v>
      </c>
      <c r="R293" s="10">
        <v>1.0</v>
      </c>
      <c r="S293" s="10"/>
      <c r="T293" s="10"/>
      <c r="U293" s="10"/>
      <c r="V293" s="10"/>
      <c r="W293" s="10"/>
      <c r="X293" s="10"/>
      <c r="Y293" s="10"/>
      <c r="Z293" s="10"/>
      <c r="AA293" s="10"/>
      <c r="AB293" s="24" t="s">
        <v>1294</v>
      </c>
      <c r="AC293" s="17" t="s">
        <v>1295</v>
      </c>
      <c r="AD293" s="17" t="str">
        <f t="shared" si="23"/>
        <v>#REF!</v>
      </c>
      <c r="AE293" s="17" t="s">
        <v>1285</v>
      </c>
      <c r="AF293" s="17" t="str">
        <f t="shared" si="24"/>
        <v>#REF!</v>
      </c>
      <c r="AG293" s="18"/>
    </row>
    <row r="294" ht="14.25" hidden="1" customHeight="1">
      <c r="A294" s="9" t="s">
        <v>1229</v>
      </c>
      <c r="B294" s="9" t="s">
        <v>1230</v>
      </c>
      <c r="C294" s="9"/>
      <c r="D294" s="10"/>
      <c r="E294" s="20"/>
      <c r="F294" s="23" t="s">
        <v>1296</v>
      </c>
      <c r="G294" s="24" t="s">
        <v>1297</v>
      </c>
      <c r="H294" s="24"/>
      <c r="I294" s="10"/>
      <c r="J294" s="10"/>
      <c r="K294" s="10"/>
      <c r="L294" s="10"/>
      <c r="M294" s="10"/>
      <c r="N294" s="10" t="s">
        <v>48</v>
      </c>
      <c r="O294" s="10">
        <v>55.0</v>
      </c>
      <c r="P294" s="10" t="s">
        <v>1209</v>
      </c>
      <c r="Q294" s="15" t="s">
        <v>1298</v>
      </c>
      <c r="R294" s="10">
        <v>1.0</v>
      </c>
      <c r="S294" s="10"/>
      <c r="T294" s="10"/>
      <c r="U294" s="10"/>
      <c r="V294" s="10"/>
      <c r="W294" s="10"/>
      <c r="X294" s="10"/>
      <c r="Y294" s="10"/>
      <c r="Z294" s="10"/>
      <c r="AA294" s="10"/>
      <c r="AB294" s="24" t="s">
        <v>1299</v>
      </c>
      <c r="AC294" s="17" t="s">
        <v>1300</v>
      </c>
      <c r="AD294" s="17" t="str">
        <f t="shared" si="23"/>
        <v>#REF!</v>
      </c>
      <c r="AE294" s="17" t="s">
        <v>1285</v>
      </c>
      <c r="AF294" s="17" t="str">
        <f t="shared" si="24"/>
        <v>#REF!</v>
      </c>
      <c r="AG294" s="18"/>
    </row>
    <row r="295" ht="14.25" hidden="1" customHeight="1">
      <c r="A295" s="9" t="s">
        <v>1229</v>
      </c>
      <c r="B295" s="9" t="s">
        <v>1230</v>
      </c>
      <c r="C295" s="9"/>
      <c r="D295" s="10"/>
      <c r="E295" s="20"/>
      <c r="F295" s="23" t="s">
        <v>1301</v>
      </c>
      <c r="G295" s="24" t="s">
        <v>1302</v>
      </c>
      <c r="H295" s="24"/>
      <c r="I295" s="10"/>
      <c r="J295" s="10"/>
      <c r="K295" s="10"/>
      <c r="L295" s="10"/>
      <c r="M295" s="10"/>
      <c r="N295" s="10" t="s">
        <v>48</v>
      </c>
      <c r="O295" s="10">
        <v>75.0</v>
      </c>
      <c r="P295" s="10" t="s">
        <v>1209</v>
      </c>
      <c r="Q295" s="15" t="s">
        <v>1303</v>
      </c>
      <c r="R295" s="10">
        <v>1.0</v>
      </c>
      <c r="S295" s="10"/>
      <c r="T295" s="10"/>
      <c r="U295" s="10"/>
      <c r="V295" s="10"/>
      <c r="W295" s="10"/>
      <c r="X295" s="10"/>
      <c r="Y295" s="10"/>
      <c r="Z295" s="10"/>
      <c r="AA295" s="10"/>
      <c r="AB295" s="24" t="s">
        <v>1304</v>
      </c>
      <c r="AC295" s="17" t="s">
        <v>1305</v>
      </c>
      <c r="AD295" s="17" t="str">
        <f t="shared" si="23"/>
        <v>#REF!</v>
      </c>
      <c r="AE295" s="17" t="s">
        <v>1285</v>
      </c>
      <c r="AF295" s="17" t="str">
        <f t="shared" si="24"/>
        <v>#REF!</v>
      </c>
      <c r="AG295" s="18"/>
    </row>
    <row r="296" ht="14.25" hidden="1" customHeight="1">
      <c r="A296" s="9" t="s">
        <v>1229</v>
      </c>
      <c r="B296" s="9" t="s">
        <v>1230</v>
      </c>
      <c r="C296" s="9"/>
      <c r="D296" s="10"/>
      <c r="E296" s="20"/>
      <c r="F296" s="23" t="s">
        <v>1306</v>
      </c>
      <c r="G296" s="24" t="s">
        <v>1307</v>
      </c>
      <c r="H296" s="24"/>
      <c r="I296" s="10"/>
      <c r="J296" s="10"/>
      <c r="K296" s="10"/>
      <c r="L296" s="10"/>
      <c r="M296" s="10"/>
      <c r="N296" s="10" t="s">
        <v>48</v>
      </c>
      <c r="O296" s="10">
        <v>46.0</v>
      </c>
      <c r="P296" s="10" t="s">
        <v>1209</v>
      </c>
      <c r="Q296" s="15" t="s">
        <v>1308</v>
      </c>
      <c r="R296" s="10">
        <v>1.0</v>
      </c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24"/>
      <c r="AD296" s="17" t="s">
        <v>1309</v>
      </c>
      <c r="AE296" s="17" t="s">
        <v>1285</v>
      </c>
      <c r="AF296" s="17"/>
      <c r="AG296" s="58"/>
    </row>
    <row r="297" ht="14.25" hidden="1" customHeight="1">
      <c r="A297" s="9" t="s">
        <v>1229</v>
      </c>
      <c r="B297" s="9" t="s">
        <v>1230</v>
      </c>
      <c r="C297" s="9"/>
      <c r="D297" s="10"/>
      <c r="E297" s="20"/>
      <c r="F297" s="23" t="s">
        <v>1310</v>
      </c>
      <c r="G297" s="24" t="s">
        <v>1311</v>
      </c>
      <c r="H297" s="24"/>
      <c r="I297" s="10"/>
      <c r="J297" s="10"/>
      <c r="K297" s="10"/>
      <c r="L297" s="10"/>
      <c r="M297" s="10"/>
      <c r="N297" s="10" t="s">
        <v>48</v>
      </c>
      <c r="O297" s="10">
        <v>55.0</v>
      </c>
      <c r="P297" s="10" t="s">
        <v>1209</v>
      </c>
      <c r="Q297" s="15" t="s">
        <v>1312</v>
      </c>
      <c r="R297" s="10">
        <v>1.0</v>
      </c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24"/>
      <c r="AD297" s="17" t="s">
        <v>1313</v>
      </c>
      <c r="AE297" s="17" t="s">
        <v>1285</v>
      </c>
      <c r="AF297" s="17"/>
      <c r="AG297" s="58"/>
    </row>
    <row r="298" ht="14.25" hidden="1" customHeight="1">
      <c r="A298" s="9" t="s">
        <v>1229</v>
      </c>
      <c r="B298" s="9" t="s">
        <v>1230</v>
      </c>
      <c r="C298" s="9"/>
      <c r="D298" s="10"/>
      <c r="E298" s="20"/>
      <c r="F298" s="23" t="s">
        <v>1314</v>
      </c>
      <c r="G298" s="24" t="s">
        <v>1315</v>
      </c>
      <c r="H298" s="24"/>
      <c r="I298" s="10"/>
      <c r="J298" s="10"/>
      <c r="K298" s="10"/>
      <c r="L298" s="10"/>
      <c r="M298" s="10"/>
      <c r="N298" s="10" t="s">
        <v>48</v>
      </c>
      <c r="O298" s="10">
        <f>75*2</f>
        <v>150</v>
      </c>
      <c r="P298" s="10" t="s">
        <v>1209</v>
      </c>
      <c r="Q298" s="15" t="s">
        <v>1316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7" t="s">
        <v>1317</v>
      </c>
      <c r="AC298" s="24" t="s">
        <v>1318</v>
      </c>
      <c r="AD298" s="17" t="s">
        <v>1319</v>
      </c>
      <c r="AE298" s="17" t="s">
        <v>1285</v>
      </c>
      <c r="AF298" s="17" t="s">
        <v>1320</v>
      </c>
      <c r="AG298" s="58"/>
    </row>
    <row r="299" ht="14.25" hidden="1" customHeight="1">
      <c r="A299" s="9" t="s">
        <v>1229</v>
      </c>
      <c r="B299" s="9" t="s">
        <v>1230</v>
      </c>
      <c r="C299" s="9"/>
      <c r="D299" s="10"/>
      <c r="E299" s="20"/>
      <c r="F299" s="23" t="s">
        <v>1321</v>
      </c>
      <c r="G299" s="24" t="s">
        <v>1322</v>
      </c>
      <c r="H299" s="24"/>
      <c r="I299" s="10"/>
      <c r="J299" s="10"/>
      <c r="K299" s="10"/>
      <c r="L299" s="10"/>
      <c r="M299" s="10"/>
      <c r="N299" s="10" t="s">
        <v>48</v>
      </c>
      <c r="O299" s="10">
        <f>55*2</f>
        <v>110</v>
      </c>
      <c r="P299" s="10" t="s">
        <v>1209</v>
      </c>
      <c r="Q299" s="15" t="s">
        <v>1323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7" t="s">
        <v>1324</v>
      </c>
      <c r="AC299" s="24" t="s">
        <v>1325</v>
      </c>
      <c r="AD299" s="17" t="s">
        <v>1326</v>
      </c>
      <c r="AE299" s="17" t="s">
        <v>1285</v>
      </c>
      <c r="AF299" s="17" t="s">
        <v>1320</v>
      </c>
      <c r="AG299" s="58"/>
    </row>
    <row r="300" ht="14.25" hidden="1" customHeight="1">
      <c r="A300" s="9" t="s">
        <v>1229</v>
      </c>
      <c r="B300" s="9" t="s">
        <v>1230</v>
      </c>
      <c r="C300" s="9"/>
      <c r="D300" s="10"/>
      <c r="E300" s="20"/>
      <c r="F300" s="23" t="s">
        <v>1327</v>
      </c>
      <c r="G300" s="24" t="s">
        <v>1328</v>
      </c>
      <c r="H300" s="24"/>
      <c r="I300" s="10"/>
      <c r="J300" s="10"/>
      <c r="K300" s="10"/>
      <c r="L300" s="10"/>
      <c r="M300" s="10"/>
      <c r="N300" s="10" t="s">
        <v>48</v>
      </c>
      <c r="O300" s="10">
        <f>55*4</f>
        <v>220</v>
      </c>
      <c r="P300" s="10" t="s">
        <v>1209</v>
      </c>
      <c r="Q300" s="15" t="s">
        <v>1329</v>
      </c>
      <c r="R300" s="10">
        <v>1.0</v>
      </c>
      <c r="S300" s="10"/>
      <c r="T300" s="10"/>
      <c r="U300" s="10"/>
      <c r="V300" s="10"/>
      <c r="W300" s="10"/>
      <c r="X300" s="10"/>
      <c r="Y300" s="10"/>
      <c r="Z300" s="10"/>
      <c r="AA300" s="10"/>
      <c r="AB300" s="17" t="s">
        <v>1330</v>
      </c>
      <c r="AC300" s="24" t="s">
        <v>1331</v>
      </c>
      <c r="AD300" s="17" t="s">
        <v>1332</v>
      </c>
      <c r="AE300" s="17" t="s">
        <v>1285</v>
      </c>
      <c r="AF300" s="17" t="s">
        <v>1333</v>
      </c>
      <c r="AG300" s="58"/>
    </row>
    <row r="301" ht="14.25" hidden="1" customHeight="1">
      <c r="A301" s="40" t="s">
        <v>1229</v>
      </c>
      <c r="B301" s="40" t="s">
        <v>1230</v>
      </c>
      <c r="C301" s="40"/>
      <c r="D301" s="41"/>
      <c r="E301" s="41"/>
      <c r="F301" s="59" t="s">
        <v>1334</v>
      </c>
      <c r="G301" s="60" t="s">
        <v>1335</v>
      </c>
      <c r="H301" s="61"/>
      <c r="I301" s="41"/>
      <c r="J301" s="41"/>
      <c r="K301" s="41"/>
      <c r="L301" s="41"/>
      <c r="M301" s="41"/>
      <c r="N301" s="10" t="s">
        <v>48</v>
      </c>
      <c r="O301" s="41">
        <f t="shared" ref="O301:O304" si="25">90*2</f>
        <v>180</v>
      </c>
      <c r="P301" s="10" t="s">
        <v>1209</v>
      </c>
      <c r="Q301" s="43" t="s">
        <v>1336</v>
      </c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4" t="str">
        <f t="shared" ref="AB301:AB304" si="26">XLOOKUP(F301,'[4]PO &amp; SC March 2026'!$J:$J,'[4]PO &amp; SC March 2026'!$L:$L,0)</f>
        <v>#REF!</v>
      </c>
      <c r="AC301" s="61" t="str">
        <f t="shared" ref="AC301:AC304" si="27">XLOOKUP(F301,'[4]PO &amp; SC March 2026'!$J:$J,'[4]PO &amp; SC March 2026'!$M:$M,0)</f>
        <v>#REF!</v>
      </c>
      <c r="AD301" s="44" t="s">
        <v>1337</v>
      </c>
      <c r="AE301" s="44" t="s">
        <v>1338</v>
      </c>
      <c r="AF301" s="44" t="s">
        <v>1339</v>
      </c>
      <c r="AG301" s="62"/>
    </row>
    <row r="302" ht="14.25" hidden="1" customHeight="1">
      <c r="A302" s="40" t="s">
        <v>1229</v>
      </c>
      <c r="B302" s="40" t="s">
        <v>1230</v>
      </c>
      <c r="C302" s="40"/>
      <c r="D302" s="41"/>
      <c r="E302" s="41"/>
      <c r="F302" s="59" t="s">
        <v>1340</v>
      </c>
      <c r="G302" s="61" t="s">
        <v>1341</v>
      </c>
      <c r="H302" s="61"/>
      <c r="I302" s="41"/>
      <c r="J302" s="41"/>
      <c r="K302" s="41"/>
      <c r="L302" s="41"/>
      <c r="M302" s="41"/>
      <c r="N302" s="10" t="s">
        <v>48</v>
      </c>
      <c r="O302" s="41">
        <f t="shared" si="25"/>
        <v>180</v>
      </c>
      <c r="P302" s="10" t="s">
        <v>1209</v>
      </c>
      <c r="Q302" s="43" t="s">
        <v>1342</v>
      </c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4" t="str">
        <f t="shared" si="26"/>
        <v>#REF!</v>
      </c>
      <c r="AC302" s="61" t="str">
        <f t="shared" si="27"/>
        <v>#REF!</v>
      </c>
      <c r="AD302" s="44" t="s">
        <v>1343</v>
      </c>
      <c r="AE302" s="44" t="s">
        <v>1338</v>
      </c>
      <c r="AF302" s="44" t="s">
        <v>1339</v>
      </c>
      <c r="AG302" s="62"/>
    </row>
    <row r="303" ht="14.25" hidden="1" customHeight="1">
      <c r="A303" s="40" t="s">
        <v>1229</v>
      </c>
      <c r="B303" s="40" t="s">
        <v>1230</v>
      </c>
      <c r="C303" s="40"/>
      <c r="D303" s="41"/>
      <c r="E303" s="41"/>
      <c r="F303" s="59" t="s">
        <v>1344</v>
      </c>
      <c r="G303" s="61" t="s">
        <v>1345</v>
      </c>
      <c r="H303" s="61"/>
      <c r="I303" s="41"/>
      <c r="J303" s="41"/>
      <c r="K303" s="41"/>
      <c r="L303" s="41"/>
      <c r="M303" s="41"/>
      <c r="N303" s="10" t="s">
        <v>48</v>
      </c>
      <c r="O303" s="41">
        <f t="shared" si="25"/>
        <v>180</v>
      </c>
      <c r="P303" s="10" t="s">
        <v>1209</v>
      </c>
      <c r="Q303" s="43" t="s">
        <v>1346</v>
      </c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4" t="str">
        <f t="shared" si="26"/>
        <v>#REF!</v>
      </c>
      <c r="AC303" s="61" t="str">
        <f t="shared" si="27"/>
        <v>#REF!</v>
      </c>
      <c r="AD303" s="44" t="s">
        <v>1347</v>
      </c>
      <c r="AE303" s="44" t="s">
        <v>1338</v>
      </c>
      <c r="AF303" s="44" t="s">
        <v>1339</v>
      </c>
      <c r="AG303" s="62"/>
    </row>
    <row r="304" ht="14.25" hidden="1" customHeight="1">
      <c r="A304" s="40" t="s">
        <v>1229</v>
      </c>
      <c r="B304" s="40" t="s">
        <v>1230</v>
      </c>
      <c r="C304" s="40"/>
      <c r="D304" s="41"/>
      <c r="E304" s="41"/>
      <c r="F304" s="59" t="s">
        <v>1348</v>
      </c>
      <c r="G304" s="61" t="s">
        <v>1349</v>
      </c>
      <c r="H304" s="61"/>
      <c r="I304" s="41"/>
      <c r="J304" s="41"/>
      <c r="K304" s="41"/>
      <c r="L304" s="41"/>
      <c r="M304" s="41"/>
      <c r="N304" s="10" t="s">
        <v>48</v>
      </c>
      <c r="O304" s="41">
        <f t="shared" si="25"/>
        <v>180</v>
      </c>
      <c r="P304" s="10" t="s">
        <v>1209</v>
      </c>
      <c r="Q304" s="43" t="s">
        <v>1350</v>
      </c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4" t="str">
        <f t="shared" si="26"/>
        <v>#REF!</v>
      </c>
      <c r="AC304" s="61" t="str">
        <f t="shared" si="27"/>
        <v>#REF!</v>
      </c>
      <c r="AD304" s="44" t="s">
        <v>1351</v>
      </c>
      <c r="AE304" s="44" t="s">
        <v>1338</v>
      </c>
      <c r="AF304" s="44" t="s">
        <v>1339</v>
      </c>
      <c r="AG304" s="62"/>
    </row>
    <row r="305" ht="14.25" hidden="1" customHeight="1">
      <c r="A305" s="40" t="s">
        <v>1229</v>
      </c>
      <c r="B305" s="40" t="s">
        <v>1352</v>
      </c>
      <c r="C305" s="40"/>
      <c r="D305" s="41"/>
      <c r="E305" s="41"/>
      <c r="F305" s="59" t="s">
        <v>1353</v>
      </c>
      <c r="G305" s="60" t="s">
        <v>1354</v>
      </c>
      <c r="H305" s="61"/>
      <c r="I305" s="41"/>
      <c r="J305" s="41"/>
      <c r="K305" s="41"/>
      <c r="L305" s="41"/>
      <c r="M305" s="41"/>
      <c r="N305" s="10" t="s">
        <v>48</v>
      </c>
      <c r="O305" s="63"/>
      <c r="P305" s="10" t="s">
        <v>1209</v>
      </c>
      <c r="Q305" s="43" t="s">
        <v>1355</v>
      </c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4" t="s">
        <v>1356</v>
      </c>
      <c r="AC305" s="61" t="s">
        <v>1357</v>
      </c>
      <c r="AD305" s="44" t="s">
        <v>1358</v>
      </c>
      <c r="AE305" s="44" t="s">
        <v>1359</v>
      </c>
      <c r="AF305" s="44" t="s">
        <v>1360</v>
      </c>
      <c r="AG305" s="62"/>
    </row>
    <row r="306" ht="14.25" hidden="1" customHeight="1">
      <c r="A306" s="9" t="s">
        <v>1229</v>
      </c>
      <c r="B306" s="9" t="s">
        <v>1352</v>
      </c>
      <c r="C306" s="9"/>
      <c r="D306" s="10"/>
      <c r="E306" s="20"/>
      <c r="F306" s="23" t="s">
        <v>1361</v>
      </c>
      <c r="G306" s="24" t="s">
        <v>1362</v>
      </c>
      <c r="H306" s="24"/>
      <c r="I306" s="10"/>
      <c r="J306" s="10"/>
      <c r="K306" s="10"/>
      <c r="L306" s="10"/>
      <c r="M306" s="10"/>
      <c r="N306" s="10" t="s">
        <v>48</v>
      </c>
      <c r="O306" s="10">
        <f>190*2</f>
        <v>380</v>
      </c>
      <c r="P306" s="10" t="s">
        <v>1209</v>
      </c>
      <c r="Q306" s="15" t="s">
        <v>1363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7" t="s">
        <v>1364</v>
      </c>
      <c r="AC306" s="24" t="s">
        <v>1365</v>
      </c>
      <c r="AD306" s="17"/>
      <c r="AE306" s="17"/>
      <c r="AF306" s="17"/>
      <c r="AG306" s="58"/>
    </row>
    <row r="307" ht="14.25" hidden="1" customHeight="1">
      <c r="A307" s="9" t="s">
        <v>1229</v>
      </c>
      <c r="B307" s="9" t="s">
        <v>1352</v>
      </c>
      <c r="C307" s="9"/>
      <c r="D307" s="10"/>
      <c r="E307" s="20"/>
      <c r="F307" s="23" t="s">
        <v>1366</v>
      </c>
      <c r="G307" s="24" t="s">
        <v>1367</v>
      </c>
      <c r="H307" s="24"/>
      <c r="I307" s="10"/>
      <c r="J307" s="10"/>
      <c r="K307" s="10"/>
      <c r="L307" s="10"/>
      <c r="M307" s="10"/>
      <c r="N307" s="10" t="s">
        <v>48</v>
      </c>
      <c r="O307" s="10">
        <f t="shared" ref="O307:O309" si="28">245*2</f>
        <v>490</v>
      </c>
      <c r="P307" s="10" t="s">
        <v>1209</v>
      </c>
      <c r="Q307" s="15" t="s">
        <v>1368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7" t="s">
        <v>1369</v>
      </c>
      <c r="AC307" s="24" t="s">
        <v>1370</v>
      </c>
      <c r="AD307" s="17"/>
      <c r="AE307" s="17"/>
      <c r="AF307" s="17"/>
      <c r="AG307" s="58"/>
    </row>
    <row r="308" ht="14.25" hidden="1" customHeight="1">
      <c r="A308" s="9" t="s">
        <v>1229</v>
      </c>
      <c r="B308" s="9" t="s">
        <v>1352</v>
      </c>
      <c r="C308" s="9"/>
      <c r="D308" s="10"/>
      <c r="E308" s="20"/>
      <c r="F308" s="23" t="s">
        <v>1371</v>
      </c>
      <c r="G308" s="24" t="s">
        <v>1372</v>
      </c>
      <c r="H308" s="24"/>
      <c r="I308" s="10"/>
      <c r="J308" s="10"/>
      <c r="K308" s="10"/>
      <c r="L308" s="10"/>
      <c r="M308" s="10"/>
      <c r="N308" s="10" t="s">
        <v>48</v>
      </c>
      <c r="O308" s="10">
        <f t="shared" si="28"/>
        <v>490</v>
      </c>
      <c r="P308" s="10" t="s">
        <v>1209</v>
      </c>
      <c r="Q308" s="15" t="s">
        <v>1373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7" t="s">
        <v>1374</v>
      </c>
      <c r="AC308" s="24" t="s">
        <v>1375</v>
      </c>
      <c r="AD308" s="17"/>
      <c r="AE308" s="17"/>
      <c r="AF308" s="17"/>
      <c r="AG308" s="58"/>
    </row>
    <row r="309" ht="14.25" hidden="1" customHeight="1">
      <c r="A309" s="9" t="s">
        <v>1229</v>
      </c>
      <c r="B309" s="9" t="s">
        <v>1352</v>
      </c>
      <c r="C309" s="9"/>
      <c r="D309" s="10"/>
      <c r="E309" s="20"/>
      <c r="F309" s="23" t="s">
        <v>1376</v>
      </c>
      <c r="G309" s="24" t="s">
        <v>1377</v>
      </c>
      <c r="H309" s="24"/>
      <c r="I309" s="10"/>
      <c r="J309" s="10"/>
      <c r="K309" s="10"/>
      <c r="L309" s="10"/>
      <c r="M309" s="10"/>
      <c r="N309" s="10" t="s">
        <v>48</v>
      </c>
      <c r="O309" s="10">
        <f t="shared" si="28"/>
        <v>490</v>
      </c>
      <c r="P309" s="10" t="s">
        <v>1209</v>
      </c>
      <c r="Q309" s="15" t="s">
        <v>1378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7" t="s">
        <v>1379</v>
      </c>
      <c r="AC309" s="24" t="s">
        <v>1380</v>
      </c>
      <c r="AD309" s="17"/>
      <c r="AE309" s="17"/>
      <c r="AF309" s="17"/>
      <c r="AG309" s="58"/>
    </row>
    <row r="310" ht="14.25" hidden="1" customHeight="1">
      <c r="A310" s="9" t="s">
        <v>1229</v>
      </c>
      <c r="B310" s="9" t="s">
        <v>1230</v>
      </c>
      <c r="C310" s="9"/>
      <c r="D310" s="10"/>
      <c r="E310" s="20"/>
      <c r="F310" s="23" t="s">
        <v>1381</v>
      </c>
      <c r="G310" s="24"/>
      <c r="H310" s="24"/>
      <c r="I310" s="10"/>
      <c r="J310" s="10"/>
      <c r="K310" s="10"/>
      <c r="L310" s="10"/>
      <c r="M310" s="10"/>
      <c r="N310" s="10" t="s">
        <v>48</v>
      </c>
      <c r="O310" s="10">
        <v>80.0</v>
      </c>
      <c r="P310" s="10" t="s">
        <v>1209</v>
      </c>
      <c r="Q310" s="15" t="s">
        <v>1382</v>
      </c>
      <c r="R310" s="10">
        <v>1.0</v>
      </c>
      <c r="S310" s="10"/>
      <c r="T310" s="10"/>
      <c r="U310" s="10"/>
      <c r="V310" s="10"/>
      <c r="W310" s="10"/>
      <c r="X310" s="10"/>
      <c r="Y310" s="10"/>
      <c r="Z310" s="10"/>
      <c r="AA310" s="10"/>
      <c r="AB310" s="17" t="s">
        <v>1383</v>
      </c>
      <c r="AC310" s="24" t="s">
        <v>1384</v>
      </c>
      <c r="AD310" s="17" t="str">
        <f t="shared" ref="AD310:AD313" si="29">VLOOKUP(F310,'[1]UKN UID-DOP-Marking'!$H$3:$J$394,3,FALSE)</f>
        <v>#REF!</v>
      </c>
      <c r="AE310" s="9" t="s">
        <v>1385</v>
      </c>
      <c r="AF310" s="17"/>
      <c r="AG310" s="58"/>
    </row>
    <row r="311" ht="14.25" hidden="1" customHeight="1">
      <c r="A311" s="9" t="s">
        <v>1229</v>
      </c>
      <c r="B311" s="9" t="s">
        <v>1230</v>
      </c>
      <c r="C311" s="9"/>
      <c r="D311" s="10"/>
      <c r="E311" s="20"/>
      <c r="F311" s="23" t="s">
        <v>1386</v>
      </c>
      <c r="G311" s="24"/>
      <c r="H311" s="24"/>
      <c r="I311" s="10"/>
      <c r="J311" s="10"/>
      <c r="K311" s="10"/>
      <c r="L311" s="10"/>
      <c r="M311" s="10"/>
      <c r="N311" s="10" t="s">
        <v>48</v>
      </c>
      <c r="O311" s="10">
        <v>80.0</v>
      </c>
      <c r="P311" s="10" t="s">
        <v>1209</v>
      </c>
      <c r="Q311" s="15" t="s">
        <v>1387</v>
      </c>
      <c r="R311" s="10">
        <v>1.0</v>
      </c>
      <c r="S311" s="10"/>
      <c r="T311" s="10"/>
      <c r="U311" s="10"/>
      <c r="V311" s="10"/>
      <c r="W311" s="10"/>
      <c r="X311" s="10"/>
      <c r="Y311" s="10"/>
      <c r="Z311" s="10"/>
      <c r="AA311" s="10"/>
      <c r="AB311" s="17" t="s">
        <v>1388</v>
      </c>
      <c r="AC311" s="24" t="s">
        <v>1389</v>
      </c>
      <c r="AD311" s="17" t="str">
        <f t="shared" si="29"/>
        <v>#REF!</v>
      </c>
      <c r="AE311" s="9" t="s">
        <v>1385</v>
      </c>
      <c r="AF311" s="17"/>
      <c r="AG311" s="58"/>
    </row>
    <row r="312" ht="14.25" hidden="1" customHeight="1">
      <c r="A312" s="9" t="s">
        <v>1229</v>
      </c>
      <c r="B312" s="9" t="s">
        <v>1230</v>
      </c>
      <c r="C312" s="9"/>
      <c r="D312" s="10"/>
      <c r="E312" s="20"/>
      <c r="F312" s="23" t="s">
        <v>1390</v>
      </c>
      <c r="G312" s="24"/>
      <c r="H312" s="24"/>
      <c r="I312" s="10"/>
      <c r="J312" s="10"/>
      <c r="K312" s="10"/>
      <c r="L312" s="10"/>
      <c r="M312" s="10"/>
      <c r="N312" s="10" t="s">
        <v>48</v>
      </c>
      <c r="O312" s="10">
        <v>80.0</v>
      </c>
      <c r="P312" s="10" t="s">
        <v>1209</v>
      </c>
      <c r="Q312" s="15" t="s">
        <v>1391</v>
      </c>
      <c r="R312" s="10">
        <v>1.0</v>
      </c>
      <c r="S312" s="10"/>
      <c r="T312" s="10"/>
      <c r="U312" s="10"/>
      <c r="V312" s="10"/>
      <c r="W312" s="10"/>
      <c r="X312" s="10"/>
      <c r="Y312" s="10"/>
      <c r="Z312" s="10"/>
      <c r="AA312" s="10"/>
      <c r="AB312" s="17" t="s">
        <v>1392</v>
      </c>
      <c r="AC312" s="24" t="s">
        <v>1393</v>
      </c>
      <c r="AD312" s="17" t="str">
        <f t="shared" si="29"/>
        <v>#REF!</v>
      </c>
      <c r="AE312" s="9" t="s">
        <v>1385</v>
      </c>
      <c r="AF312" s="17"/>
      <c r="AG312" s="58"/>
    </row>
    <row r="313" ht="14.25" hidden="1" customHeight="1">
      <c r="A313" s="9" t="s">
        <v>1229</v>
      </c>
      <c r="B313" s="9" t="s">
        <v>1230</v>
      </c>
      <c r="C313" s="9"/>
      <c r="D313" s="10"/>
      <c r="E313" s="20"/>
      <c r="F313" s="23" t="s">
        <v>1394</v>
      </c>
      <c r="G313" s="24" t="s">
        <v>1395</v>
      </c>
      <c r="H313" s="24"/>
      <c r="I313" s="10"/>
      <c r="J313" s="10"/>
      <c r="K313" s="10"/>
      <c r="L313" s="10"/>
      <c r="M313" s="10"/>
      <c r="N313" s="10" t="s">
        <v>48</v>
      </c>
      <c r="O313" s="10">
        <v>40.0</v>
      </c>
      <c r="P313" s="10" t="s">
        <v>1209</v>
      </c>
      <c r="Q313" s="15" t="s">
        <v>1396</v>
      </c>
      <c r="R313" s="10">
        <v>1.0</v>
      </c>
      <c r="S313" s="10"/>
      <c r="T313" s="10"/>
      <c r="U313" s="10"/>
      <c r="V313" s="10"/>
      <c r="W313" s="10"/>
      <c r="X313" s="10"/>
      <c r="Y313" s="10"/>
      <c r="Z313" s="10"/>
      <c r="AA313" s="10"/>
      <c r="AB313" s="17" t="s">
        <v>1397</v>
      </c>
      <c r="AC313" s="17" t="s">
        <v>1398</v>
      </c>
      <c r="AD313" s="17" t="str">
        <f t="shared" si="29"/>
        <v>#REF!</v>
      </c>
      <c r="AE313" s="9" t="s">
        <v>1385</v>
      </c>
      <c r="AF313" s="17" t="str">
        <f>VLOOKUP(F313,'[1]UKN UID-DOP-Marking'!$H$3:$L$394,5,FALSE)</f>
        <v>#REF!</v>
      </c>
      <c r="AG313" s="18"/>
    </row>
    <row r="314" ht="14.25" hidden="1" customHeight="1">
      <c r="A314" s="9" t="s">
        <v>1229</v>
      </c>
      <c r="B314" s="9" t="s">
        <v>1230</v>
      </c>
      <c r="C314" s="9"/>
      <c r="D314" s="10"/>
      <c r="E314" s="20"/>
      <c r="F314" s="23" t="s">
        <v>1399</v>
      </c>
      <c r="G314" s="24"/>
      <c r="H314" s="24"/>
      <c r="I314" s="10"/>
      <c r="J314" s="10"/>
      <c r="K314" s="10"/>
      <c r="L314" s="10"/>
      <c r="M314" s="10"/>
      <c r="N314" s="10" t="s">
        <v>48</v>
      </c>
      <c r="O314" s="10">
        <v>120.0</v>
      </c>
      <c r="P314" s="10" t="s">
        <v>1209</v>
      </c>
      <c r="Q314" s="15" t="s">
        <v>1400</v>
      </c>
      <c r="R314" s="10">
        <v>1.0</v>
      </c>
      <c r="S314" s="10"/>
      <c r="T314" s="10"/>
      <c r="U314" s="10"/>
      <c r="V314" s="10"/>
      <c r="W314" s="10"/>
      <c r="X314" s="10"/>
      <c r="Y314" s="10"/>
      <c r="Z314" s="10"/>
      <c r="AA314" s="10"/>
      <c r="AB314" s="17" t="s">
        <v>1401</v>
      </c>
      <c r="AC314" s="17" t="s">
        <v>1398</v>
      </c>
      <c r="AD314" s="17" t="s">
        <v>1402</v>
      </c>
      <c r="AE314" s="9" t="s">
        <v>1385</v>
      </c>
      <c r="AF314" s="17" t="s">
        <v>1403</v>
      </c>
      <c r="AG314" s="18"/>
    </row>
    <row r="315" ht="14.25" hidden="1" customHeight="1">
      <c r="A315" s="9" t="s">
        <v>1229</v>
      </c>
      <c r="B315" s="9" t="s">
        <v>1230</v>
      </c>
      <c r="C315" s="9"/>
      <c r="D315" s="10"/>
      <c r="E315" s="20"/>
      <c r="F315" s="23" t="s">
        <v>1404</v>
      </c>
      <c r="G315" s="24"/>
      <c r="H315" s="24"/>
      <c r="I315" s="10"/>
      <c r="J315" s="10"/>
      <c r="K315" s="10"/>
      <c r="L315" s="10"/>
      <c r="M315" s="10"/>
      <c r="N315" s="10" t="s">
        <v>48</v>
      </c>
      <c r="O315" s="10">
        <v>160.0</v>
      </c>
      <c r="P315" s="10" t="s">
        <v>1209</v>
      </c>
      <c r="Q315" s="15" t="s">
        <v>1405</v>
      </c>
      <c r="R315" s="10">
        <v>1.0</v>
      </c>
      <c r="S315" s="10"/>
      <c r="T315" s="10"/>
      <c r="U315" s="10"/>
      <c r="V315" s="10"/>
      <c r="W315" s="10"/>
      <c r="X315" s="10"/>
      <c r="Y315" s="10"/>
      <c r="Z315" s="10"/>
      <c r="AA315" s="10"/>
      <c r="AB315" s="17" t="s">
        <v>1406</v>
      </c>
      <c r="AC315" s="17" t="s">
        <v>1398</v>
      </c>
      <c r="AD315" s="17" t="s">
        <v>1402</v>
      </c>
      <c r="AE315" s="9" t="s">
        <v>1385</v>
      </c>
      <c r="AF315" s="17" t="s">
        <v>1403</v>
      </c>
      <c r="AG315" s="18"/>
    </row>
    <row r="316" ht="14.25" hidden="1" customHeight="1">
      <c r="A316" s="9" t="s">
        <v>1229</v>
      </c>
      <c r="B316" s="9" t="s">
        <v>1230</v>
      </c>
      <c r="C316" s="9"/>
      <c r="D316" s="10"/>
      <c r="E316" s="20"/>
      <c r="F316" s="23" t="s">
        <v>1407</v>
      </c>
      <c r="G316" s="24" t="s">
        <v>1408</v>
      </c>
      <c r="H316" s="24"/>
      <c r="I316" s="10"/>
      <c r="J316" s="10"/>
      <c r="K316" s="10"/>
      <c r="L316" s="10"/>
      <c r="M316" s="10"/>
      <c r="N316" s="10" t="s">
        <v>48</v>
      </c>
      <c r="O316" s="10">
        <v>40.0</v>
      </c>
      <c r="P316" s="10" t="s">
        <v>1209</v>
      </c>
      <c r="Q316" s="15" t="s">
        <v>1409</v>
      </c>
      <c r="R316" s="10">
        <v>1.0</v>
      </c>
      <c r="S316" s="10"/>
      <c r="T316" s="10"/>
      <c r="U316" s="10"/>
      <c r="V316" s="10"/>
      <c r="W316" s="10"/>
      <c r="X316" s="10"/>
      <c r="Y316" s="10"/>
      <c r="Z316" s="10"/>
      <c r="AA316" s="10"/>
      <c r="AB316" s="17" t="s">
        <v>1410</v>
      </c>
      <c r="AC316" s="17" t="s">
        <v>1411</v>
      </c>
      <c r="AD316" s="17" t="str">
        <f t="shared" ref="AD316:AD317" si="30">VLOOKUP(F316,'[1]UKN UID-DOP-Marking'!$H$3:$J$394,3,FALSE)</f>
        <v>#REF!</v>
      </c>
      <c r="AE316" s="9" t="s">
        <v>1385</v>
      </c>
      <c r="AF316" s="17" t="str">
        <f t="shared" ref="AF316:AF318" si="31">VLOOKUP(F316,'[1]UKN UID-DOP-Marking'!$H$3:$L$394,5,FALSE)</f>
        <v>#REF!</v>
      </c>
      <c r="AG316" s="18"/>
    </row>
    <row r="317" ht="14.25" hidden="1" customHeight="1">
      <c r="A317" s="9" t="s">
        <v>1229</v>
      </c>
      <c r="B317" s="9" t="s">
        <v>1230</v>
      </c>
      <c r="C317" s="9"/>
      <c r="D317" s="10"/>
      <c r="E317" s="20"/>
      <c r="F317" s="23" t="s">
        <v>1412</v>
      </c>
      <c r="G317" s="24" t="s">
        <v>1413</v>
      </c>
      <c r="H317" s="24"/>
      <c r="I317" s="10"/>
      <c r="J317" s="10"/>
      <c r="K317" s="10"/>
      <c r="L317" s="10"/>
      <c r="M317" s="10"/>
      <c r="N317" s="10" t="s">
        <v>48</v>
      </c>
      <c r="O317" s="10">
        <v>70.0</v>
      </c>
      <c r="P317" s="10" t="s">
        <v>1209</v>
      </c>
      <c r="Q317" s="10" t="s">
        <v>1414</v>
      </c>
      <c r="R317" s="10">
        <v>1.0</v>
      </c>
      <c r="S317" s="10"/>
      <c r="T317" s="10"/>
      <c r="U317" s="10"/>
      <c r="V317" s="10"/>
      <c r="W317" s="10"/>
      <c r="X317" s="10"/>
      <c r="Y317" s="10"/>
      <c r="Z317" s="10"/>
      <c r="AA317" s="10"/>
      <c r="AB317" s="24" t="s">
        <v>1415</v>
      </c>
      <c r="AC317" s="17" t="s">
        <v>1416</v>
      </c>
      <c r="AD317" s="17" t="str">
        <f t="shared" si="30"/>
        <v>#REF!</v>
      </c>
      <c r="AE317" s="9" t="s">
        <v>1417</v>
      </c>
      <c r="AF317" s="17" t="str">
        <f t="shared" si="31"/>
        <v>#REF!</v>
      </c>
      <c r="AG317" s="18"/>
    </row>
    <row r="318" ht="14.25" hidden="1" customHeight="1">
      <c r="A318" s="9" t="s">
        <v>1229</v>
      </c>
      <c r="B318" s="9" t="s">
        <v>1230</v>
      </c>
      <c r="C318" s="9"/>
      <c r="D318" s="10"/>
      <c r="E318" s="20"/>
      <c r="F318" s="23" t="s">
        <v>1418</v>
      </c>
      <c r="G318" s="24" t="s">
        <v>1419</v>
      </c>
      <c r="H318" s="24"/>
      <c r="I318" s="10"/>
      <c r="J318" s="10"/>
      <c r="K318" s="10"/>
      <c r="L318" s="10"/>
      <c r="M318" s="10"/>
      <c r="N318" s="10" t="s">
        <v>48</v>
      </c>
      <c r="O318" s="10">
        <v>70.0</v>
      </c>
      <c r="P318" s="10" t="s">
        <v>1209</v>
      </c>
      <c r="Q318" s="15" t="s">
        <v>1420</v>
      </c>
      <c r="R318" s="10">
        <v>1.0</v>
      </c>
      <c r="S318" s="10"/>
      <c r="T318" s="10"/>
      <c r="U318" s="10"/>
      <c r="V318" s="10"/>
      <c r="W318" s="10"/>
      <c r="X318" s="10"/>
      <c r="Y318" s="10"/>
      <c r="Z318" s="10"/>
      <c r="AA318" s="10"/>
      <c r="AB318" s="24" t="s">
        <v>1421</v>
      </c>
      <c r="AC318" s="17" t="s">
        <v>1422</v>
      </c>
      <c r="AD318" s="64" t="s">
        <v>1423</v>
      </c>
      <c r="AE318" s="9" t="s">
        <v>1417</v>
      </c>
      <c r="AF318" s="17" t="str">
        <f t="shared" si="31"/>
        <v>#REF!</v>
      </c>
      <c r="AG318" s="18"/>
    </row>
    <row r="319" ht="14.25" hidden="1" customHeight="1">
      <c r="A319" s="9" t="s">
        <v>1229</v>
      </c>
      <c r="B319" s="9" t="s">
        <v>1230</v>
      </c>
      <c r="C319" s="9"/>
      <c r="D319" s="10"/>
      <c r="E319" s="20"/>
      <c r="F319" s="23" t="s">
        <v>1424</v>
      </c>
      <c r="G319" s="24" t="s">
        <v>1425</v>
      </c>
      <c r="H319" s="24"/>
      <c r="I319" s="10"/>
      <c r="J319" s="10"/>
      <c r="K319" s="10"/>
      <c r="L319" s="10"/>
      <c r="M319" s="10"/>
      <c r="N319" s="10" t="s">
        <v>48</v>
      </c>
      <c r="O319" s="10">
        <v>220.0</v>
      </c>
      <c r="P319" s="10" t="s">
        <v>1209</v>
      </c>
      <c r="Q319" s="15" t="s">
        <v>1426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24" t="s">
        <v>1427</v>
      </c>
      <c r="AC319" s="17" t="s">
        <v>1266</v>
      </c>
      <c r="AD319" s="64" t="s">
        <v>1428</v>
      </c>
      <c r="AE319" s="9" t="s">
        <v>1236</v>
      </c>
      <c r="AF319" s="17"/>
      <c r="AG319" s="58"/>
    </row>
    <row r="320" ht="14.25" hidden="1" customHeight="1">
      <c r="A320" s="9" t="s">
        <v>1229</v>
      </c>
      <c r="B320" s="9" t="s">
        <v>1230</v>
      </c>
      <c r="C320" s="9"/>
      <c r="D320" s="10"/>
      <c r="E320" s="20"/>
      <c r="F320" s="23" t="s">
        <v>1429</v>
      </c>
      <c r="G320" s="24" t="s">
        <v>1430</v>
      </c>
      <c r="H320" s="24"/>
      <c r="I320" s="10"/>
      <c r="J320" s="10"/>
      <c r="K320" s="10"/>
      <c r="L320" s="10"/>
      <c r="M320" s="10"/>
      <c r="N320" s="10" t="s">
        <v>48</v>
      </c>
      <c r="O320" s="10">
        <v>300.0</v>
      </c>
      <c r="P320" s="10" t="s">
        <v>1209</v>
      </c>
      <c r="Q320" s="15" t="s">
        <v>1431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24" t="s">
        <v>1432</v>
      </c>
      <c r="AC320" s="17" t="s">
        <v>1433</v>
      </c>
      <c r="AD320" s="64" t="s">
        <v>1434</v>
      </c>
      <c r="AE320" s="9" t="s">
        <v>1236</v>
      </c>
      <c r="AF320" s="17"/>
      <c r="AG320" s="58"/>
    </row>
    <row r="321" ht="14.25" hidden="1" customHeight="1">
      <c r="A321" s="9" t="s">
        <v>1229</v>
      </c>
      <c r="B321" s="9" t="s">
        <v>1352</v>
      </c>
      <c r="C321" s="9"/>
      <c r="D321" s="10"/>
      <c r="E321" s="20"/>
      <c r="F321" s="23" t="s">
        <v>1435</v>
      </c>
      <c r="G321" s="24" t="s">
        <v>1436</v>
      </c>
      <c r="H321" s="24"/>
      <c r="I321" s="10"/>
      <c r="J321" s="10"/>
      <c r="K321" s="10"/>
      <c r="L321" s="10"/>
      <c r="M321" s="10"/>
      <c r="N321" s="10" t="s">
        <v>48</v>
      </c>
      <c r="O321" s="10">
        <v>700.0</v>
      </c>
      <c r="P321" s="10" t="s">
        <v>1209</v>
      </c>
      <c r="Q321" s="15" t="s">
        <v>1437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24" t="s">
        <v>1438</v>
      </c>
      <c r="AC321" s="17" t="s">
        <v>1439</v>
      </c>
      <c r="AD321" s="64" t="s">
        <v>1440</v>
      </c>
      <c r="AE321" s="9" t="s">
        <v>1441</v>
      </c>
      <c r="AF321" s="17"/>
      <c r="AG321" s="58"/>
    </row>
    <row r="322" ht="14.25" hidden="1" customHeight="1">
      <c r="A322" s="9" t="s">
        <v>1229</v>
      </c>
      <c r="B322" s="9" t="s">
        <v>1230</v>
      </c>
      <c r="C322" s="9"/>
      <c r="D322" s="10"/>
      <c r="E322" s="20"/>
      <c r="F322" s="23" t="s">
        <v>1442</v>
      </c>
      <c r="G322" s="24" t="s">
        <v>1443</v>
      </c>
      <c r="H322" s="24"/>
      <c r="I322" s="10"/>
      <c r="J322" s="10"/>
      <c r="K322" s="10"/>
      <c r="L322" s="10"/>
      <c r="M322" s="10"/>
      <c r="N322" s="10" t="s">
        <v>48</v>
      </c>
      <c r="O322" s="10">
        <v>160.0</v>
      </c>
      <c r="P322" s="10" t="s">
        <v>1209</v>
      </c>
      <c r="Q322" s="15" t="s">
        <v>1444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24" t="s">
        <v>1445</v>
      </c>
      <c r="AC322" s="17" t="s">
        <v>1446</v>
      </c>
      <c r="AD322" s="64" t="s">
        <v>1447</v>
      </c>
      <c r="AE322" s="9" t="s">
        <v>1385</v>
      </c>
      <c r="AF322" s="17"/>
      <c r="AG322" s="58"/>
    </row>
    <row r="323" ht="14.25" hidden="1" customHeight="1">
      <c r="A323" s="9" t="s">
        <v>1229</v>
      </c>
      <c r="B323" s="9" t="s">
        <v>1352</v>
      </c>
      <c r="C323" s="9"/>
      <c r="D323" s="10"/>
      <c r="E323" s="20"/>
      <c r="F323" s="23" t="s">
        <v>1448</v>
      </c>
      <c r="G323" s="24" t="s">
        <v>1449</v>
      </c>
      <c r="H323" s="24"/>
      <c r="I323" s="10"/>
      <c r="J323" s="10"/>
      <c r="K323" s="10"/>
      <c r="L323" s="10"/>
      <c r="M323" s="10"/>
      <c r="N323" s="10" t="s">
        <v>48</v>
      </c>
      <c r="O323" s="10">
        <v>700.0</v>
      </c>
      <c r="P323" s="10" t="s">
        <v>1209</v>
      </c>
      <c r="Q323" s="15" t="s">
        <v>1450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24" t="s">
        <v>1451</v>
      </c>
      <c r="AC323" s="17" t="s">
        <v>1452</v>
      </c>
      <c r="AD323" s="64" t="s">
        <v>1453</v>
      </c>
      <c r="AE323" s="9" t="s">
        <v>1441</v>
      </c>
      <c r="AF323" s="17"/>
      <c r="AG323" s="58"/>
    </row>
    <row r="324" ht="14.25" hidden="1" customHeight="1">
      <c r="A324" s="9" t="s">
        <v>1229</v>
      </c>
      <c r="B324" s="9" t="s">
        <v>1230</v>
      </c>
      <c r="C324" s="9"/>
      <c r="D324" s="10"/>
      <c r="E324" s="20"/>
      <c r="F324" s="23" t="s">
        <v>1454</v>
      </c>
      <c r="G324" s="24" t="s">
        <v>1455</v>
      </c>
      <c r="H324" s="24"/>
      <c r="I324" s="10"/>
      <c r="J324" s="10"/>
      <c r="K324" s="10"/>
      <c r="L324" s="10"/>
      <c r="M324" s="10"/>
      <c r="N324" s="10" t="s">
        <v>48</v>
      </c>
      <c r="O324" s="10">
        <v>220.0</v>
      </c>
      <c r="P324" s="10" t="s">
        <v>1209</v>
      </c>
      <c r="Q324" s="15" t="s">
        <v>1456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24" t="s">
        <v>1278</v>
      </c>
      <c r="AC324" s="17" t="s">
        <v>1457</v>
      </c>
      <c r="AD324" s="64" t="s">
        <v>1458</v>
      </c>
      <c r="AE324" s="9" t="s">
        <v>1236</v>
      </c>
      <c r="AF324" s="17"/>
      <c r="AG324" s="58"/>
    </row>
    <row r="325" ht="14.25" hidden="1" customHeight="1">
      <c r="A325" s="9" t="s">
        <v>1229</v>
      </c>
      <c r="B325" s="9" t="s">
        <v>1230</v>
      </c>
      <c r="C325" s="9"/>
      <c r="D325" s="10"/>
      <c r="E325" s="20"/>
      <c r="F325" s="23" t="s">
        <v>1459</v>
      </c>
      <c r="G325" s="24" t="s">
        <v>1460</v>
      </c>
      <c r="H325" s="24"/>
      <c r="I325" s="10"/>
      <c r="J325" s="10"/>
      <c r="K325" s="10"/>
      <c r="L325" s="10"/>
      <c r="M325" s="10"/>
      <c r="N325" s="10" t="s">
        <v>48</v>
      </c>
      <c r="O325" s="10">
        <v>280.0</v>
      </c>
      <c r="P325" s="10" t="s">
        <v>1209</v>
      </c>
      <c r="Q325" s="15" t="s">
        <v>1461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24" t="s">
        <v>1415</v>
      </c>
      <c r="AC325" s="17" t="s">
        <v>1416</v>
      </c>
      <c r="AD325" s="64" t="s">
        <v>1423</v>
      </c>
      <c r="AE325" s="9" t="s">
        <v>1417</v>
      </c>
      <c r="AF325" s="17"/>
      <c r="AG325" s="58"/>
    </row>
    <row r="326" ht="14.25" hidden="1" customHeight="1">
      <c r="A326" s="9" t="s">
        <v>1229</v>
      </c>
      <c r="B326" s="9" t="s">
        <v>1352</v>
      </c>
      <c r="C326" s="9"/>
      <c r="D326" s="10"/>
      <c r="E326" s="20"/>
      <c r="F326" s="23" t="s">
        <v>1462</v>
      </c>
      <c r="G326" s="24" t="s">
        <v>1463</v>
      </c>
      <c r="H326" s="24"/>
      <c r="I326" s="10"/>
      <c r="J326" s="10"/>
      <c r="K326" s="10"/>
      <c r="L326" s="10"/>
      <c r="M326" s="10"/>
      <c r="N326" s="10" t="s">
        <v>48</v>
      </c>
      <c r="O326" s="10">
        <v>560.0</v>
      </c>
      <c r="P326" s="10" t="s">
        <v>1209</v>
      </c>
      <c r="Q326" s="15" t="s">
        <v>1464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24" t="s">
        <v>1465</v>
      </c>
      <c r="AC326" s="17" t="s">
        <v>1466</v>
      </c>
      <c r="AD326" s="64" t="s">
        <v>1467</v>
      </c>
      <c r="AE326" s="9" t="s">
        <v>1468</v>
      </c>
      <c r="AF326" s="17"/>
      <c r="AG326" s="58"/>
    </row>
    <row r="327" ht="14.25" hidden="1" customHeight="1">
      <c r="A327" s="9" t="s">
        <v>1229</v>
      </c>
      <c r="B327" s="9" t="s">
        <v>1352</v>
      </c>
      <c r="C327" s="9"/>
      <c r="D327" s="10"/>
      <c r="E327" s="20"/>
      <c r="F327" s="23" t="s">
        <v>1469</v>
      </c>
      <c r="G327" s="24" t="s">
        <v>1470</v>
      </c>
      <c r="H327" s="24"/>
      <c r="I327" s="10"/>
      <c r="J327" s="10"/>
      <c r="K327" s="10"/>
      <c r="L327" s="10"/>
      <c r="M327" s="10"/>
      <c r="N327" s="10" t="s">
        <v>48</v>
      </c>
      <c r="O327" s="10">
        <v>700.0</v>
      </c>
      <c r="P327" s="10" t="s">
        <v>1209</v>
      </c>
      <c r="Q327" s="15" t="s">
        <v>1471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24" t="s">
        <v>1472</v>
      </c>
      <c r="AC327" s="17" t="s">
        <v>1473</v>
      </c>
      <c r="AD327" s="64" t="s">
        <v>1474</v>
      </c>
      <c r="AE327" s="9" t="s">
        <v>1441</v>
      </c>
      <c r="AF327" s="17"/>
      <c r="AG327" s="58"/>
    </row>
    <row r="328" ht="14.25" hidden="1" customHeight="1">
      <c r="A328" s="9" t="s">
        <v>1229</v>
      </c>
      <c r="B328" s="9" t="s">
        <v>1352</v>
      </c>
      <c r="C328" s="9"/>
      <c r="D328" s="10"/>
      <c r="E328" s="20"/>
      <c r="F328" s="23" t="s">
        <v>1475</v>
      </c>
      <c r="G328" s="12" t="s">
        <v>1476</v>
      </c>
      <c r="H328" s="12"/>
      <c r="I328" s="10"/>
      <c r="J328" s="10" t="s">
        <v>1477</v>
      </c>
      <c r="K328" s="10"/>
      <c r="L328" s="10"/>
      <c r="M328" s="10"/>
      <c r="N328" s="10" t="s">
        <v>48</v>
      </c>
      <c r="O328" s="10">
        <v>180.0</v>
      </c>
      <c r="P328" s="10" t="s">
        <v>1209</v>
      </c>
      <c r="Q328" s="10" t="s">
        <v>1478</v>
      </c>
      <c r="R328" s="10">
        <v>1.0</v>
      </c>
      <c r="S328" s="10"/>
      <c r="T328" s="10"/>
      <c r="U328" s="10"/>
      <c r="V328" s="10"/>
      <c r="W328" s="10"/>
      <c r="X328" s="10"/>
      <c r="Y328" s="10"/>
      <c r="Z328" s="10"/>
      <c r="AA328" s="10"/>
      <c r="AB328" s="17" t="s">
        <v>1479</v>
      </c>
      <c r="AC328" s="17" t="s">
        <v>1480</v>
      </c>
      <c r="AD328" s="17" t="str">
        <f t="shared" ref="AD328:AD336" si="32">VLOOKUP(F328,'[1]UKN UID-DOP-Marking'!$H$3:$J$394,3,FALSE)</f>
        <v>#REF!</v>
      </c>
      <c r="AE328" s="17" t="str">
        <f t="shared" ref="AE328:AE335" si="33">VLOOKUP(F328,'[1]UKN UID-DOP-Marking'!$H$3:$K$185,4,FALSE)</f>
        <v>#REF!</v>
      </c>
      <c r="AF328" s="17" t="str">
        <f t="shared" ref="AF328:AF342" si="34">VLOOKUP(F328,'[1]UKN UID-DOP-Marking'!$H$3:$L$394,5,FALSE)</f>
        <v>#REF!</v>
      </c>
      <c r="AG328" s="18"/>
    </row>
    <row r="329" ht="14.25" hidden="1" customHeight="1">
      <c r="A329" s="9" t="s">
        <v>1229</v>
      </c>
      <c r="B329" s="9" t="s">
        <v>1352</v>
      </c>
      <c r="C329" s="9"/>
      <c r="D329" s="10"/>
      <c r="E329" s="20"/>
      <c r="F329" s="23" t="s">
        <v>1481</v>
      </c>
      <c r="G329" s="12" t="s">
        <v>1482</v>
      </c>
      <c r="H329" s="12"/>
      <c r="I329" s="10"/>
      <c r="J329" s="10" t="s">
        <v>1477</v>
      </c>
      <c r="K329" s="10"/>
      <c r="L329" s="10"/>
      <c r="M329" s="10"/>
      <c r="N329" s="10" t="s">
        <v>48</v>
      </c>
      <c r="O329" s="10">
        <v>180.0</v>
      </c>
      <c r="P329" s="10" t="s">
        <v>1209</v>
      </c>
      <c r="Q329" s="10" t="s">
        <v>1483</v>
      </c>
      <c r="R329" s="10">
        <v>1.0</v>
      </c>
      <c r="S329" s="10"/>
      <c r="T329" s="10"/>
      <c r="U329" s="10"/>
      <c r="V329" s="10"/>
      <c r="W329" s="10"/>
      <c r="X329" s="10"/>
      <c r="Y329" s="10"/>
      <c r="Z329" s="10"/>
      <c r="AA329" s="10"/>
      <c r="AB329" s="17" t="s">
        <v>1479</v>
      </c>
      <c r="AC329" s="17" t="s">
        <v>1480</v>
      </c>
      <c r="AD329" s="17" t="str">
        <f t="shared" si="32"/>
        <v>#REF!</v>
      </c>
      <c r="AE329" s="17" t="str">
        <f t="shared" si="33"/>
        <v>#REF!</v>
      </c>
      <c r="AF329" s="17" t="str">
        <f t="shared" si="34"/>
        <v>#REF!</v>
      </c>
      <c r="AG329" s="18"/>
    </row>
    <row r="330" ht="14.25" hidden="1" customHeight="1">
      <c r="A330" s="9" t="s">
        <v>1229</v>
      </c>
      <c r="B330" s="9" t="s">
        <v>1352</v>
      </c>
      <c r="C330" s="9"/>
      <c r="D330" s="10"/>
      <c r="E330" s="20"/>
      <c r="F330" s="23" t="s">
        <v>1484</v>
      </c>
      <c r="G330" s="24" t="s">
        <v>1485</v>
      </c>
      <c r="H330" s="24"/>
      <c r="I330" s="10"/>
      <c r="J330" s="10" t="s">
        <v>1486</v>
      </c>
      <c r="K330" s="10"/>
      <c r="L330" s="10"/>
      <c r="M330" s="10"/>
      <c r="N330" s="10" t="s">
        <v>48</v>
      </c>
      <c r="O330" s="10">
        <v>170.0</v>
      </c>
      <c r="P330" s="10" t="s">
        <v>1209</v>
      </c>
      <c r="Q330" s="15" t="s">
        <v>1487</v>
      </c>
      <c r="R330" s="10">
        <v>1.0</v>
      </c>
      <c r="S330" s="10"/>
      <c r="T330" s="10"/>
      <c r="U330" s="10"/>
      <c r="V330" s="10"/>
      <c r="W330" s="10"/>
      <c r="X330" s="10"/>
      <c r="Y330" s="10"/>
      <c r="Z330" s="10"/>
      <c r="AA330" s="10"/>
      <c r="AB330" s="24"/>
      <c r="AC330" s="17"/>
      <c r="AD330" s="17" t="str">
        <f t="shared" si="32"/>
        <v>#REF!</v>
      </c>
      <c r="AE330" s="17" t="str">
        <f t="shared" si="33"/>
        <v>#REF!</v>
      </c>
      <c r="AF330" s="17" t="str">
        <f t="shared" si="34"/>
        <v>#REF!</v>
      </c>
      <c r="AG330" s="18"/>
    </row>
    <row r="331" ht="14.25" hidden="1" customHeight="1">
      <c r="A331" s="9" t="s">
        <v>1229</v>
      </c>
      <c r="B331" s="9" t="s">
        <v>1352</v>
      </c>
      <c r="C331" s="9"/>
      <c r="D331" s="10"/>
      <c r="E331" s="20"/>
      <c r="F331" s="23" t="s">
        <v>1488</v>
      </c>
      <c r="G331" s="24" t="s">
        <v>1489</v>
      </c>
      <c r="H331" s="24"/>
      <c r="I331" s="10"/>
      <c r="J331" s="10" t="s">
        <v>1486</v>
      </c>
      <c r="K331" s="10"/>
      <c r="L331" s="10"/>
      <c r="M331" s="10"/>
      <c r="N331" s="10" t="s">
        <v>48</v>
      </c>
      <c r="O331" s="10">
        <v>260.0</v>
      </c>
      <c r="P331" s="10" t="s">
        <v>1209</v>
      </c>
      <c r="Q331" s="15" t="s">
        <v>1490</v>
      </c>
      <c r="R331" s="10">
        <v>1.0</v>
      </c>
      <c r="S331" s="10"/>
      <c r="T331" s="10"/>
      <c r="U331" s="10"/>
      <c r="V331" s="10"/>
      <c r="W331" s="10"/>
      <c r="X331" s="10"/>
      <c r="Y331" s="10"/>
      <c r="Z331" s="10"/>
      <c r="AA331" s="10"/>
      <c r="AB331" s="24"/>
      <c r="AC331" s="17"/>
      <c r="AD331" s="17" t="str">
        <f t="shared" si="32"/>
        <v>#REF!</v>
      </c>
      <c r="AE331" s="17" t="str">
        <f t="shared" si="33"/>
        <v>#REF!</v>
      </c>
      <c r="AF331" s="17" t="str">
        <f t="shared" si="34"/>
        <v>#REF!</v>
      </c>
      <c r="AG331" s="18"/>
    </row>
    <row r="332" ht="14.25" hidden="1" customHeight="1">
      <c r="A332" s="9" t="s">
        <v>1229</v>
      </c>
      <c r="B332" s="9" t="s">
        <v>1352</v>
      </c>
      <c r="C332" s="9"/>
      <c r="D332" s="10"/>
      <c r="E332" s="20"/>
      <c r="F332" s="23" t="s">
        <v>1488</v>
      </c>
      <c r="G332" s="24" t="s">
        <v>1491</v>
      </c>
      <c r="H332" s="24"/>
      <c r="I332" s="10"/>
      <c r="J332" s="10" t="s">
        <v>1486</v>
      </c>
      <c r="K332" s="10"/>
      <c r="L332" s="10"/>
      <c r="M332" s="10"/>
      <c r="N332" s="10" t="s">
        <v>48</v>
      </c>
      <c r="O332" s="10">
        <v>420.0</v>
      </c>
      <c r="P332" s="10" t="s">
        <v>1209</v>
      </c>
      <c r="Q332" s="15" t="s">
        <v>1492</v>
      </c>
      <c r="R332" s="10">
        <v>1.0</v>
      </c>
      <c r="S332" s="10"/>
      <c r="T332" s="10"/>
      <c r="U332" s="10"/>
      <c r="V332" s="10"/>
      <c r="W332" s="10"/>
      <c r="X332" s="10"/>
      <c r="Y332" s="10"/>
      <c r="Z332" s="10"/>
      <c r="AA332" s="10"/>
      <c r="AB332" s="24"/>
      <c r="AC332" s="17"/>
      <c r="AD332" s="17" t="str">
        <f t="shared" si="32"/>
        <v>#REF!</v>
      </c>
      <c r="AE332" s="17" t="str">
        <f t="shared" si="33"/>
        <v>#REF!</v>
      </c>
      <c r="AF332" s="17" t="str">
        <f t="shared" si="34"/>
        <v>#REF!</v>
      </c>
      <c r="AG332" s="18"/>
    </row>
    <row r="333" ht="14.25" hidden="1" customHeight="1">
      <c r="A333" s="9" t="s">
        <v>1229</v>
      </c>
      <c r="B333" s="9" t="s">
        <v>1352</v>
      </c>
      <c r="C333" s="9"/>
      <c r="D333" s="10"/>
      <c r="E333" s="20"/>
      <c r="F333" s="23" t="s">
        <v>1493</v>
      </c>
      <c r="G333" s="24" t="s">
        <v>1494</v>
      </c>
      <c r="H333" s="24"/>
      <c r="I333" s="10"/>
      <c r="J333" s="10" t="s">
        <v>1486</v>
      </c>
      <c r="K333" s="10"/>
      <c r="L333" s="10"/>
      <c r="M333" s="10"/>
      <c r="N333" s="10" t="s">
        <v>48</v>
      </c>
      <c r="O333" s="10">
        <v>260.0</v>
      </c>
      <c r="P333" s="10" t="s">
        <v>1209</v>
      </c>
      <c r="Q333" s="15" t="s">
        <v>1495</v>
      </c>
      <c r="R333" s="10">
        <v>1.0</v>
      </c>
      <c r="S333" s="10"/>
      <c r="T333" s="10"/>
      <c r="U333" s="10"/>
      <c r="V333" s="10"/>
      <c r="W333" s="10"/>
      <c r="X333" s="10"/>
      <c r="Y333" s="10"/>
      <c r="Z333" s="10"/>
      <c r="AA333" s="10"/>
      <c r="AB333" s="24"/>
      <c r="AC333" s="17"/>
      <c r="AD333" s="17" t="str">
        <f t="shared" si="32"/>
        <v>#REF!</v>
      </c>
      <c r="AE333" s="17" t="str">
        <f t="shared" si="33"/>
        <v>#REF!</v>
      </c>
      <c r="AF333" s="17" t="str">
        <f t="shared" si="34"/>
        <v>#REF!</v>
      </c>
      <c r="AG333" s="18"/>
    </row>
    <row r="334" ht="14.25" hidden="1" customHeight="1">
      <c r="A334" s="9" t="s">
        <v>1229</v>
      </c>
      <c r="B334" s="9" t="s">
        <v>1230</v>
      </c>
      <c r="C334" s="9"/>
      <c r="D334" s="10"/>
      <c r="E334" s="20"/>
      <c r="F334" s="23" t="s">
        <v>1496</v>
      </c>
      <c r="G334" s="12" t="s">
        <v>1497</v>
      </c>
      <c r="H334" s="12"/>
      <c r="I334" s="10"/>
      <c r="J334" s="10" t="s">
        <v>1477</v>
      </c>
      <c r="K334" s="10"/>
      <c r="L334" s="10"/>
      <c r="M334" s="10"/>
      <c r="N334" s="10" t="s">
        <v>48</v>
      </c>
      <c r="O334" s="10">
        <v>90.0</v>
      </c>
      <c r="P334" s="10" t="s">
        <v>1209</v>
      </c>
      <c r="Q334" s="10" t="s">
        <v>1498</v>
      </c>
      <c r="R334" s="10">
        <v>1.0</v>
      </c>
      <c r="S334" s="10"/>
      <c r="T334" s="10"/>
      <c r="U334" s="10"/>
      <c r="V334" s="10"/>
      <c r="W334" s="10"/>
      <c r="X334" s="10"/>
      <c r="Y334" s="10"/>
      <c r="Z334" s="10"/>
      <c r="AA334" s="10"/>
      <c r="AB334" s="17" t="s">
        <v>1499</v>
      </c>
      <c r="AC334" s="17" t="s">
        <v>1500</v>
      </c>
      <c r="AD334" s="17" t="str">
        <f t="shared" si="32"/>
        <v>#REF!</v>
      </c>
      <c r="AE334" s="17" t="str">
        <f t="shared" si="33"/>
        <v>#REF!</v>
      </c>
      <c r="AF334" s="17" t="str">
        <f t="shared" si="34"/>
        <v>#REF!</v>
      </c>
      <c r="AG334" s="18"/>
    </row>
    <row r="335" ht="14.25" hidden="1" customHeight="1">
      <c r="A335" s="9" t="s">
        <v>1229</v>
      </c>
      <c r="B335" s="9" t="s">
        <v>1230</v>
      </c>
      <c r="C335" s="9"/>
      <c r="D335" s="10"/>
      <c r="E335" s="20"/>
      <c r="F335" s="23" t="s">
        <v>1501</v>
      </c>
      <c r="G335" s="12" t="s">
        <v>1502</v>
      </c>
      <c r="H335" s="12"/>
      <c r="I335" s="10"/>
      <c r="J335" s="10" t="s">
        <v>1486</v>
      </c>
      <c r="K335" s="10"/>
      <c r="L335" s="10"/>
      <c r="M335" s="10"/>
      <c r="N335" s="10" t="s">
        <v>48</v>
      </c>
      <c r="O335" s="10">
        <v>70.0</v>
      </c>
      <c r="P335" s="10" t="s">
        <v>1209</v>
      </c>
      <c r="Q335" s="10" t="s">
        <v>1503</v>
      </c>
      <c r="R335" s="10">
        <v>1.0</v>
      </c>
      <c r="S335" s="10"/>
      <c r="T335" s="10"/>
      <c r="U335" s="10"/>
      <c r="V335" s="10"/>
      <c r="W335" s="10"/>
      <c r="X335" s="10"/>
      <c r="Y335" s="10"/>
      <c r="Z335" s="10"/>
      <c r="AA335" s="10"/>
      <c r="AB335" s="17" t="s">
        <v>1504</v>
      </c>
      <c r="AC335" s="17" t="s">
        <v>1505</v>
      </c>
      <c r="AD335" s="17" t="str">
        <f t="shared" si="32"/>
        <v>#REF!</v>
      </c>
      <c r="AE335" s="17" t="str">
        <f t="shared" si="33"/>
        <v>#REF!</v>
      </c>
      <c r="AF335" s="17" t="str">
        <f t="shared" si="34"/>
        <v>#REF!</v>
      </c>
      <c r="AG335" s="18"/>
    </row>
    <row r="336" ht="14.25" hidden="1" customHeight="1">
      <c r="A336" s="9" t="s">
        <v>1229</v>
      </c>
      <c r="B336" s="9" t="s">
        <v>1230</v>
      </c>
      <c r="C336" s="9"/>
      <c r="D336" s="10"/>
      <c r="E336" s="20"/>
      <c r="F336" s="23" t="s">
        <v>1506</v>
      </c>
      <c r="G336" s="12" t="s">
        <v>1507</v>
      </c>
      <c r="H336" s="12"/>
      <c r="I336" s="10"/>
      <c r="J336" s="10" t="s">
        <v>1508</v>
      </c>
      <c r="K336" s="10"/>
      <c r="L336" s="10"/>
      <c r="M336" s="10"/>
      <c r="N336" s="10" t="s">
        <v>48</v>
      </c>
      <c r="O336" s="10">
        <v>46.0</v>
      </c>
      <c r="P336" s="10" t="s">
        <v>1209</v>
      </c>
      <c r="Q336" s="10" t="s">
        <v>1509</v>
      </c>
      <c r="R336" s="10">
        <v>1.0</v>
      </c>
      <c r="S336" s="10"/>
      <c r="T336" s="10"/>
      <c r="U336" s="10"/>
      <c r="V336" s="10"/>
      <c r="W336" s="10"/>
      <c r="X336" s="10"/>
      <c r="Y336" s="10"/>
      <c r="Z336" s="10"/>
      <c r="AA336" s="10"/>
      <c r="AB336" s="17" t="s">
        <v>1510</v>
      </c>
      <c r="AC336" s="17" t="s">
        <v>1511</v>
      </c>
      <c r="AD336" s="17" t="str">
        <f t="shared" si="32"/>
        <v>#REF!</v>
      </c>
      <c r="AE336" s="9" t="s">
        <v>1236</v>
      </c>
      <c r="AF336" s="17" t="str">
        <f t="shared" si="34"/>
        <v>#REF!</v>
      </c>
      <c r="AG336" s="18"/>
    </row>
    <row r="337" ht="14.25" hidden="1" customHeight="1">
      <c r="A337" s="9" t="s">
        <v>1512</v>
      </c>
      <c r="B337" s="9" t="s">
        <v>1513</v>
      </c>
      <c r="C337" s="9"/>
      <c r="D337" s="10"/>
      <c r="E337" s="20"/>
      <c r="F337" s="23" t="s">
        <v>1514</v>
      </c>
      <c r="G337" s="12"/>
      <c r="H337" s="12"/>
      <c r="I337" s="10"/>
      <c r="J337" s="10" t="s">
        <v>1515</v>
      </c>
      <c r="K337" s="10"/>
      <c r="L337" s="10"/>
      <c r="M337" s="10"/>
      <c r="N337" s="10" t="s">
        <v>48</v>
      </c>
      <c r="O337" s="10">
        <v>248.0</v>
      </c>
      <c r="P337" s="10" t="s">
        <v>1209</v>
      </c>
      <c r="Q337" s="15" t="s">
        <v>1516</v>
      </c>
      <c r="R337" s="10">
        <v>1.0</v>
      </c>
      <c r="S337" s="10"/>
      <c r="T337" s="10"/>
      <c r="U337" s="10"/>
      <c r="V337" s="10"/>
      <c r="W337" s="10"/>
      <c r="X337" s="10"/>
      <c r="Y337" s="10"/>
      <c r="Z337" s="10"/>
      <c r="AA337" s="10"/>
      <c r="AB337" s="17" t="s">
        <v>1517</v>
      </c>
      <c r="AC337" s="17" t="s">
        <v>1518</v>
      </c>
      <c r="AD337" s="17" t="s">
        <v>1519</v>
      </c>
      <c r="AE337" s="17" t="s">
        <v>1520</v>
      </c>
      <c r="AF337" s="17" t="str">
        <f t="shared" si="34"/>
        <v>#REF!</v>
      </c>
      <c r="AG337" s="18"/>
    </row>
    <row r="338" ht="14.25" hidden="1" customHeight="1">
      <c r="A338" s="9" t="s">
        <v>1512</v>
      </c>
      <c r="B338" s="9" t="s">
        <v>1513</v>
      </c>
      <c r="C338" s="9"/>
      <c r="D338" s="10"/>
      <c r="E338" s="20"/>
      <c r="F338" s="23" t="s">
        <v>1521</v>
      </c>
      <c r="G338" s="12"/>
      <c r="H338" s="12"/>
      <c r="I338" s="10"/>
      <c r="J338" s="10" t="s">
        <v>1515</v>
      </c>
      <c r="K338" s="10"/>
      <c r="L338" s="10"/>
      <c r="M338" s="10"/>
      <c r="N338" s="10" t="s">
        <v>48</v>
      </c>
      <c r="O338" s="10">
        <v>322.0</v>
      </c>
      <c r="P338" s="10" t="s">
        <v>1209</v>
      </c>
      <c r="Q338" s="15" t="s">
        <v>1522</v>
      </c>
      <c r="R338" s="10">
        <v>1.0</v>
      </c>
      <c r="S338" s="10"/>
      <c r="T338" s="10"/>
      <c r="U338" s="10"/>
      <c r="V338" s="10"/>
      <c r="W338" s="10"/>
      <c r="X338" s="10"/>
      <c r="Y338" s="10"/>
      <c r="Z338" s="10"/>
      <c r="AA338" s="10"/>
      <c r="AB338" s="17" t="s">
        <v>1517</v>
      </c>
      <c r="AC338" s="17" t="s">
        <v>1518</v>
      </c>
      <c r="AD338" s="17" t="s">
        <v>1523</v>
      </c>
      <c r="AE338" s="17" t="s">
        <v>1520</v>
      </c>
      <c r="AF338" s="17" t="str">
        <f t="shared" si="34"/>
        <v>#REF!</v>
      </c>
      <c r="AG338" s="18"/>
    </row>
    <row r="339" ht="14.25" hidden="1" customHeight="1">
      <c r="A339" s="9" t="s">
        <v>1512</v>
      </c>
      <c r="B339" s="9" t="s">
        <v>1513</v>
      </c>
      <c r="C339" s="9"/>
      <c r="D339" s="10"/>
      <c r="E339" s="20"/>
      <c r="F339" s="23" t="s">
        <v>1524</v>
      </c>
      <c r="G339" s="12"/>
      <c r="H339" s="12"/>
      <c r="I339" s="10"/>
      <c r="J339" s="10" t="s">
        <v>1515</v>
      </c>
      <c r="K339" s="10"/>
      <c r="L339" s="10"/>
      <c r="M339" s="10"/>
      <c r="N339" s="10" t="s">
        <v>48</v>
      </c>
      <c r="O339" s="10">
        <v>437.0</v>
      </c>
      <c r="P339" s="10" t="s">
        <v>1209</v>
      </c>
      <c r="Q339" s="15" t="s">
        <v>1525</v>
      </c>
      <c r="R339" s="10">
        <v>1.0</v>
      </c>
      <c r="S339" s="10"/>
      <c r="T339" s="10"/>
      <c r="U339" s="10"/>
      <c r="V339" s="10"/>
      <c r="W339" s="10"/>
      <c r="X339" s="10"/>
      <c r="Y339" s="10"/>
      <c r="Z339" s="10"/>
      <c r="AA339" s="10"/>
      <c r="AB339" s="17" t="s">
        <v>1517</v>
      </c>
      <c r="AC339" s="17" t="s">
        <v>1518</v>
      </c>
      <c r="AD339" s="17" t="s">
        <v>1526</v>
      </c>
      <c r="AE339" s="17" t="s">
        <v>1520</v>
      </c>
      <c r="AF339" s="17" t="str">
        <f t="shared" si="34"/>
        <v>#REF!</v>
      </c>
      <c r="AG339" s="18"/>
    </row>
    <row r="340" ht="14.25" hidden="1" customHeight="1">
      <c r="A340" s="9" t="s">
        <v>1512</v>
      </c>
      <c r="B340" s="9" t="s">
        <v>1513</v>
      </c>
      <c r="C340" s="9"/>
      <c r="D340" s="10"/>
      <c r="E340" s="20"/>
      <c r="F340" s="23" t="s">
        <v>1527</v>
      </c>
      <c r="G340" s="12"/>
      <c r="H340" s="12"/>
      <c r="I340" s="10"/>
      <c r="J340" s="10" t="s">
        <v>1515</v>
      </c>
      <c r="K340" s="10"/>
      <c r="L340" s="10"/>
      <c r="M340" s="10"/>
      <c r="N340" s="10" t="s">
        <v>48</v>
      </c>
      <c r="O340" s="10">
        <v>517.0</v>
      </c>
      <c r="P340" s="10" t="s">
        <v>1209</v>
      </c>
      <c r="Q340" s="15" t="s">
        <v>1528</v>
      </c>
      <c r="R340" s="10">
        <v>1.0</v>
      </c>
      <c r="S340" s="10"/>
      <c r="T340" s="10"/>
      <c r="U340" s="10"/>
      <c r="V340" s="10"/>
      <c r="W340" s="10"/>
      <c r="X340" s="10"/>
      <c r="Y340" s="10"/>
      <c r="Z340" s="10"/>
      <c r="AA340" s="10"/>
      <c r="AB340" s="17" t="s">
        <v>1517</v>
      </c>
      <c r="AC340" s="17" t="s">
        <v>1518</v>
      </c>
      <c r="AD340" s="17" t="s">
        <v>1529</v>
      </c>
      <c r="AE340" s="17" t="s">
        <v>1520</v>
      </c>
      <c r="AF340" s="17" t="str">
        <f t="shared" si="34"/>
        <v>#REF!</v>
      </c>
      <c r="AG340" s="18"/>
    </row>
    <row r="341" ht="14.25" hidden="1" customHeight="1">
      <c r="A341" s="9" t="s">
        <v>1512</v>
      </c>
      <c r="B341" s="9" t="s">
        <v>1513</v>
      </c>
      <c r="C341" s="9"/>
      <c r="D341" s="10"/>
      <c r="E341" s="20"/>
      <c r="F341" s="23" t="s">
        <v>1530</v>
      </c>
      <c r="G341" s="12"/>
      <c r="H341" s="12"/>
      <c r="I341" s="10"/>
      <c r="J341" s="10" t="s">
        <v>1515</v>
      </c>
      <c r="K341" s="10"/>
      <c r="L341" s="10"/>
      <c r="M341" s="10"/>
      <c r="N341" s="10" t="s">
        <v>48</v>
      </c>
      <c r="O341" s="10">
        <v>626.0</v>
      </c>
      <c r="P341" s="10" t="s">
        <v>1209</v>
      </c>
      <c r="Q341" s="15" t="s">
        <v>1531</v>
      </c>
      <c r="R341" s="10">
        <v>1.0</v>
      </c>
      <c r="S341" s="10"/>
      <c r="T341" s="10"/>
      <c r="U341" s="10"/>
      <c r="V341" s="10"/>
      <c r="W341" s="10"/>
      <c r="X341" s="10"/>
      <c r="Y341" s="10"/>
      <c r="Z341" s="10"/>
      <c r="AA341" s="10"/>
      <c r="AB341" s="17" t="s">
        <v>1517</v>
      </c>
      <c r="AC341" s="17" t="s">
        <v>1518</v>
      </c>
      <c r="AD341" s="17" t="s">
        <v>1532</v>
      </c>
      <c r="AE341" s="17" t="s">
        <v>1520</v>
      </c>
      <c r="AF341" s="17" t="str">
        <f t="shared" si="34"/>
        <v>#REF!</v>
      </c>
      <c r="AG341" s="18"/>
    </row>
    <row r="342" ht="14.25" hidden="1" customHeight="1">
      <c r="A342" s="9" t="s">
        <v>1512</v>
      </c>
      <c r="B342" s="9" t="s">
        <v>1513</v>
      </c>
      <c r="C342" s="9"/>
      <c r="D342" s="10"/>
      <c r="E342" s="20"/>
      <c r="F342" s="23" t="s">
        <v>1533</v>
      </c>
      <c r="G342" s="12"/>
      <c r="H342" s="12"/>
      <c r="I342" s="10"/>
      <c r="J342" s="10" t="s">
        <v>1515</v>
      </c>
      <c r="K342" s="10"/>
      <c r="L342" s="10"/>
      <c r="M342" s="10"/>
      <c r="N342" s="10" t="s">
        <v>48</v>
      </c>
      <c r="O342" s="10">
        <v>1058.0</v>
      </c>
      <c r="P342" s="10" t="s">
        <v>1209</v>
      </c>
      <c r="Q342" s="15" t="s">
        <v>1534</v>
      </c>
      <c r="R342" s="16">
        <v>1.0</v>
      </c>
      <c r="S342" s="16"/>
      <c r="T342" s="16"/>
      <c r="U342" s="16"/>
      <c r="V342" s="16"/>
      <c r="W342" s="16"/>
      <c r="X342" s="16"/>
      <c r="Y342" s="16"/>
      <c r="Z342" s="16"/>
      <c r="AA342" s="10"/>
      <c r="AB342" s="17" t="s">
        <v>1517</v>
      </c>
      <c r="AC342" s="17" t="s">
        <v>1518</v>
      </c>
      <c r="AD342" s="17" t="s">
        <v>1535</v>
      </c>
      <c r="AE342" s="17" t="s">
        <v>1520</v>
      </c>
      <c r="AF342" s="17" t="str">
        <f t="shared" si="34"/>
        <v>#REF!</v>
      </c>
      <c r="AG342" s="18"/>
    </row>
    <row r="343" ht="14.25" hidden="1" customHeight="1">
      <c r="A343" s="9" t="s">
        <v>1512</v>
      </c>
      <c r="B343" s="9" t="s">
        <v>1513</v>
      </c>
      <c r="C343" s="9"/>
      <c r="D343" s="10"/>
      <c r="E343" s="20"/>
      <c r="F343" s="23" t="s">
        <v>1536</v>
      </c>
      <c r="G343" s="12"/>
      <c r="H343" s="12"/>
      <c r="I343" s="10"/>
      <c r="J343" s="10" t="s">
        <v>1515</v>
      </c>
      <c r="K343" s="10"/>
      <c r="L343" s="10"/>
      <c r="M343" s="10"/>
      <c r="N343" s="10" t="s">
        <v>48</v>
      </c>
      <c r="O343" s="10">
        <v>180.0</v>
      </c>
      <c r="P343" s="10" t="s">
        <v>1209</v>
      </c>
      <c r="Q343" s="15" t="s">
        <v>1537</v>
      </c>
      <c r="R343" s="16">
        <v>1.0</v>
      </c>
      <c r="S343" s="16"/>
      <c r="T343" s="16"/>
      <c r="U343" s="16"/>
      <c r="V343" s="16"/>
      <c r="W343" s="16"/>
      <c r="X343" s="16"/>
      <c r="Y343" s="16"/>
      <c r="Z343" s="16"/>
      <c r="AA343" s="10"/>
      <c r="AB343" s="17" t="s">
        <v>1538</v>
      </c>
      <c r="AC343" s="17" t="s">
        <v>1539</v>
      </c>
      <c r="AD343" s="17" t="s">
        <v>1540</v>
      </c>
      <c r="AE343" s="17" t="s">
        <v>1520</v>
      </c>
      <c r="AF343" s="17" t="s">
        <v>1541</v>
      </c>
      <c r="AG343" s="18"/>
    </row>
    <row r="344" ht="14.25" hidden="1" customHeight="1">
      <c r="A344" s="9" t="s">
        <v>1201</v>
      </c>
      <c r="B344" s="9" t="s">
        <v>1542</v>
      </c>
      <c r="C344" s="9"/>
      <c r="D344" s="10"/>
      <c r="E344" s="20"/>
      <c r="F344" s="23" t="s">
        <v>1543</v>
      </c>
      <c r="G344" s="65" t="s">
        <v>1544</v>
      </c>
      <c r="H344" s="65"/>
      <c r="I344" s="10"/>
      <c r="J344" s="10"/>
      <c r="K344" s="10"/>
      <c r="L344" s="10"/>
      <c r="M344" s="10"/>
      <c r="N344" s="10"/>
      <c r="O344" s="10">
        <v>19.0</v>
      </c>
      <c r="P344" s="10" t="s">
        <v>1209</v>
      </c>
      <c r="Q344" s="10" t="s">
        <v>1545</v>
      </c>
      <c r="R344" s="16">
        <v>1.0</v>
      </c>
      <c r="S344" s="16"/>
      <c r="T344" s="16"/>
      <c r="U344" s="16"/>
      <c r="V344" s="16"/>
      <c r="W344" s="16"/>
      <c r="X344" s="16"/>
      <c r="Y344" s="16"/>
      <c r="Z344" s="16"/>
      <c r="AA344" s="10"/>
      <c r="AB344" s="65" t="s">
        <v>1544</v>
      </c>
      <c r="AC344" s="65" t="s">
        <v>1546</v>
      </c>
      <c r="AD344" s="17"/>
      <c r="AE344" s="17"/>
      <c r="AF344" s="17"/>
      <c r="AG344" s="18"/>
    </row>
    <row r="345" ht="14.25" hidden="1" customHeight="1">
      <c r="A345" s="9" t="s">
        <v>1201</v>
      </c>
      <c r="B345" s="9" t="s">
        <v>1542</v>
      </c>
      <c r="C345" s="9"/>
      <c r="D345" s="10"/>
      <c r="E345" s="20"/>
      <c r="F345" s="23" t="s">
        <v>1547</v>
      </c>
      <c r="G345" s="65" t="s">
        <v>1548</v>
      </c>
      <c r="H345" s="65"/>
      <c r="I345" s="10"/>
      <c r="J345" s="10"/>
      <c r="K345" s="10"/>
      <c r="L345" s="10"/>
      <c r="M345" s="10"/>
      <c r="N345" s="10"/>
      <c r="O345" s="10">
        <v>22.0</v>
      </c>
      <c r="P345" s="10" t="s">
        <v>1209</v>
      </c>
      <c r="Q345" s="10" t="s">
        <v>1549</v>
      </c>
      <c r="R345" s="16">
        <v>1.0</v>
      </c>
      <c r="S345" s="16"/>
      <c r="T345" s="16"/>
      <c r="U345" s="16"/>
      <c r="V345" s="16"/>
      <c r="W345" s="16"/>
      <c r="X345" s="16"/>
      <c r="Y345" s="16"/>
      <c r="Z345" s="16"/>
      <c r="AA345" s="10"/>
      <c r="AB345" s="65" t="s">
        <v>1548</v>
      </c>
      <c r="AC345" s="65" t="s">
        <v>1550</v>
      </c>
      <c r="AD345" s="17"/>
      <c r="AE345" s="17"/>
      <c r="AF345" s="17"/>
      <c r="AG345" s="18"/>
    </row>
    <row r="346" ht="14.25" hidden="1" customHeight="1">
      <c r="A346" s="9" t="s">
        <v>1201</v>
      </c>
      <c r="B346" s="9" t="s">
        <v>1542</v>
      </c>
      <c r="C346" s="9"/>
      <c r="D346" s="10"/>
      <c r="E346" s="20"/>
      <c r="F346" s="23" t="s">
        <v>1551</v>
      </c>
      <c r="G346" s="65" t="s">
        <v>1552</v>
      </c>
      <c r="H346" s="65"/>
      <c r="I346" s="10"/>
      <c r="J346" s="10"/>
      <c r="K346" s="10"/>
      <c r="L346" s="10"/>
      <c r="M346" s="10"/>
      <c r="N346" s="10"/>
      <c r="O346" s="10">
        <v>26.0</v>
      </c>
      <c r="P346" s="10" t="s">
        <v>1209</v>
      </c>
      <c r="Q346" s="10" t="s">
        <v>1553</v>
      </c>
      <c r="R346" s="16">
        <v>1.0</v>
      </c>
      <c r="S346" s="16"/>
      <c r="T346" s="16"/>
      <c r="U346" s="16"/>
      <c r="V346" s="16"/>
      <c r="W346" s="16"/>
      <c r="X346" s="16"/>
      <c r="Y346" s="16"/>
      <c r="Z346" s="16"/>
      <c r="AA346" s="10"/>
      <c r="AB346" s="65" t="s">
        <v>1552</v>
      </c>
      <c r="AC346" s="65" t="s">
        <v>1554</v>
      </c>
      <c r="AD346" s="17"/>
      <c r="AE346" s="17"/>
      <c r="AF346" s="17"/>
      <c r="AG346" s="18"/>
    </row>
    <row r="347" ht="14.25" hidden="1" customHeight="1">
      <c r="A347" s="9" t="s">
        <v>1201</v>
      </c>
      <c r="B347" s="9" t="s">
        <v>1542</v>
      </c>
      <c r="C347" s="9"/>
      <c r="D347" s="10"/>
      <c r="E347" s="20"/>
      <c r="F347" s="23" t="s">
        <v>1555</v>
      </c>
      <c r="G347" s="65" t="s">
        <v>1556</v>
      </c>
      <c r="H347" s="65"/>
      <c r="I347" s="10"/>
      <c r="J347" s="10"/>
      <c r="K347" s="10"/>
      <c r="L347" s="10"/>
      <c r="M347" s="10"/>
      <c r="N347" s="10"/>
      <c r="O347" s="10">
        <v>30.0</v>
      </c>
      <c r="P347" s="10" t="s">
        <v>1209</v>
      </c>
      <c r="Q347" s="10" t="s">
        <v>1557</v>
      </c>
      <c r="R347" s="16">
        <v>1.0</v>
      </c>
      <c r="S347" s="16"/>
      <c r="T347" s="16"/>
      <c r="U347" s="16"/>
      <c r="V347" s="16"/>
      <c r="W347" s="16"/>
      <c r="X347" s="16"/>
      <c r="Y347" s="16"/>
      <c r="Z347" s="16"/>
      <c r="AA347" s="10"/>
      <c r="AB347" s="65" t="s">
        <v>1556</v>
      </c>
      <c r="AC347" s="65" t="s">
        <v>1558</v>
      </c>
      <c r="AD347" s="17"/>
      <c r="AE347" s="17"/>
      <c r="AF347" s="17"/>
      <c r="AG347" s="18"/>
    </row>
    <row r="348" ht="14.25" hidden="1" customHeight="1">
      <c r="A348" s="9" t="s">
        <v>1201</v>
      </c>
      <c r="B348" s="9" t="s">
        <v>1542</v>
      </c>
      <c r="C348" s="9"/>
      <c r="D348" s="10"/>
      <c r="E348" s="20"/>
      <c r="F348" s="23" t="s">
        <v>1559</v>
      </c>
      <c r="G348" s="65" t="s">
        <v>1560</v>
      </c>
      <c r="H348" s="65"/>
      <c r="I348" s="10"/>
      <c r="J348" s="10"/>
      <c r="K348" s="10"/>
      <c r="L348" s="10"/>
      <c r="M348" s="10"/>
      <c r="N348" s="10"/>
      <c r="O348" s="10">
        <v>34.0</v>
      </c>
      <c r="P348" s="10" t="s">
        <v>1209</v>
      </c>
      <c r="Q348" s="10" t="s">
        <v>1561</v>
      </c>
      <c r="R348" s="16">
        <v>1.0</v>
      </c>
      <c r="S348" s="16"/>
      <c r="T348" s="16"/>
      <c r="U348" s="16"/>
      <c r="V348" s="16"/>
      <c r="W348" s="16"/>
      <c r="X348" s="16"/>
      <c r="Y348" s="16"/>
      <c r="Z348" s="16"/>
      <c r="AA348" s="10"/>
      <c r="AB348" s="65" t="s">
        <v>1560</v>
      </c>
      <c r="AC348" s="65" t="s">
        <v>1562</v>
      </c>
      <c r="AD348" s="17"/>
      <c r="AE348" s="17"/>
      <c r="AF348" s="17"/>
      <c r="AG348" s="18"/>
    </row>
    <row r="349" ht="14.25" hidden="1" customHeight="1">
      <c r="A349" s="9" t="s">
        <v>1201</v>
      </c>
      <c r="B349" s="9" t="s">
        <v>1542</v>
      </c>
      <c r="C349" s="9"/>
      <c r="D349" s="10"/>
      <c r="E349" s="20"/>
      <c r="F349" s="23" t="s">
        <v>1563</v>
      </c>
      <c r="G349" s="65" t="s">
        <v>1564</v>
      </c>
      <c r="H349" s="65"/>
      <c r="I349" s="10"/>
      <c r="J349" s="10"/>
      <c r="K349" s="10"/>
      <c r="L349" s="10"/>
      <c r="M349" s="10"/>
      <c r="N349" s="10"/>
      <c r="O349" s="10">
        <v>39.5</v>
      </c>
      <c r="P349" s="10" t="s">
        <v>1209</v>
      </c>
      <c r="Q349" s="10" t="s">
        <v>1565</v>
      </c>
      <c r="R349" s="16">
        <v>1.0</v>
      </c>
      <c r="S349" s="16"/>
      <c r="T349" s="16"/>
      <c r="U349" s="16"/>
      <c r="V349" s="16"/>
      <c r="W349" s="16"/>
      <c r="X349" s="16"/>
      <c r="Y349" s="16"/>
      <c r="Z349" s="16"/>
      <c r="AA349" s="10"/>
      <c r="AB349" s="65" t="s">
        <v>1564</v>
      </c>
      <c r="AC349" s="65" t="s">
        <v>1566</v>
      </c>
      <c r="AD349" s="17"/>
      <c r="AE349" s="17"/>
      <c r="AF349" s="17"/>
      <c r="AG349" s="18"/>
    </row>
    <row r="350" ht="14.25" hidden="1" customHeight="1">
      <c r="A350" s="9" t="s">
        <v>1201</v>
      </c>
      <c r="B350" s="9" t="s">
        <v>1542</v>
      </c>
      <c r="C350" s="9"/>
      <c r="D350" s="10"/>
      <c r="E350" s="20"/>
      <c r="F350" s="23" t="s">
        <v>1567</v>
      </c>
      <c r="G350" s="65" t="s">
        <v>1568</v>
      </c>
      <c r="H350" s="65"/>
      <c r="I350" s="10"/>
      <c r="J350" s="10"/>
      <c r="K350" s="10"/>
      <c r="L350" s="10"/>
      <c r="M350" s="10"/>
      <c r="N350" s="10"/>
      <c r="O350" s="10">
        <v>15.0</v>
      </c>
      <c r="P350" s="10" t="s">
        <v>1209</v>
      </c>
      <c r="Q350" s="10" t="s">
        <v>1569</v>
      </c>
      <c r="R350" s="16">
        <v>1.0</v>
      </c>
      <c r="S350" s="16"/>
      <c r="T350" s="16"/>
      <c r="U350" s="16"/>
      <c r="V350" s="16"/>
      <c r="W350" s="16"/>
      <c r="X350" s="16"/>
      <c r="Y350" s="16"/>
      <c r="Z350" s="16"/>
      <c r="AA350" s="10"/>
      <c r="AB350" s="65" t="s">
        <v>1568</v>
      </c>
      <c r="AC350" s="65" t="s">
        <v>1570</v>
      </c>
      <c r="AD350" s="17"/>
      <c r="AE350" s="17"/>
      <c r="AF350" s="17"/>
      <c r="AG350" s="18"/>
    </row>
    <row r="351" ht="14.25" hidden="1" customHeight="1">
      <c r="A351" s="9" t="s">
        <v>1201</v>
      </c>
      <c r="B351" s="9" t="s">
        <v>1542</v>
      </c>
      <c r="C351" s="9"/>
      <c r="D351" s="10"/>
      <c r="E351" s="20"/>
      <c r="F351" s="23" t="s">
        <v>1571</v>
      </c>
      <c r="G351" s="65" t="s">
        <v>1572</v>
      </c>
      <c r="H351" s="65"/>
      <c r="I351" s="10"/>
      <c r="J351" s="10"/>
      <c r="K351" s="10"/>
      <c r="L351" s="10"/>
      <c r="M351" s="10"/>
      <c r="N351" s="10"/>
      <c r="O351" s="10">
        <v>19.0</v>
      </c>
      <c r="P351" s="10" t="s">
        <v>1209</v>
      </c>
      <c r="Q351" s="10" t="s">
        <v>1573</v>
      </c>
      <c r="R351" s="16">
        <v>1.0</v>
      </c>
      <c r="S351" s="16"/>
      <c r="T351" s="16"/>
      <c r="U351" s="16"/>
      <c r="V351" s="16"/>
      <c r="W351" s="16"/>
      <c r="X351" s="16"/>
      <c r="Y351" s="16"/>
      <c r="Z351" s="16"/>
      <c r="AA351" s="10"/>
      <c r="AB351" s="65" t="s">
        <v>1572</v>
      </c>
      <c r="AC351" s="65" t="s">
        <v>1574</v>
      </c>
      <c r="AD351" s="17"/>
      <c r="AE351" s="17"/>
      <c r="AF351" s="17"/>
      <c r="AG351" s="18"/>
    </row>
    <row r="352" ht="14.25" hidden="1" customHeight="1">
      <c r="A352" s="9" t="s">
        <v>1201</v>
      </c>
      <c r="B352" s="9" t="s">
        <v>1542</v>
      </c>
      <c r="C352" s="9"/>
      <c r="D352" s="10"/>
      <c r="E352" s="20"/>
      <c r="F352" s="23" t="s">
        <v>1575</v>
      </c>
      <c r="G352" s="65" t="s">
        <v>1576</v>
      </c>
      <c r="H352" s="65"/>
      <c r="I352" s="10"/>
      <c r="J352" s="10"/>
      <c r="K352" s="10"/>
      <c r="L352" s="10"/>
      <c r="M352" s="10"/>
      <c r="N352" s="10"/>
      <c r="O352" s="10">
        <v>22.5</v>
      </c>
      <c r="P352" s="10" t="s">
        <v>1209</v>
      </c>
      <c r="Q352" s="10" t="s">
        <v>1577</v>
      </c>
      <c r="R352" s="16">
        <v>1.0</v>
      </c>
      <c r="S352" s="16"/>
      <c r="T352" s="16"/>
      <c r="U352" s="16"/>
      <c r="V352" s="16"/>
      <c r="W352" s="16"/>
      <c r="X352" s="16"/>
      <c r="Y352" s="16"/>
      <c r="Z352" s="16"/>
      <c r="AA352" s="10"/>
      <c r="AB352" s="65" t="s">
        <v>1576</v>
      </c>
      <c r="AC352" s="65" t="s">
        <v>1578</v>
      </c>
      <c r="AD352" s="17"/>
      <c r="AE352" s="17"/>
      <c r="AF352" s="17"/>
      <c r="AG352" s="18"/>
    </row>
    <row r="353" ht="14.25" hidden="1" customHeight="1">
      <c r="A353" s="9" t="s">
        <v>1201</v>
      </c>
      <c r="B353" s="9" t="s">
        <v>1542</v>
      </c>
      <c r="C353" s="9"/>
      <c r="D353" s="10"/>
      <c r="E353" s="20"/>
      <c r="F353" s="23" t="s">
        <v>1579</v>
      </c>
      <c r="G353" s="65" t="s">
        <v>1580</v>
      </c>
      <c r="H353" s="65"/>
      <c r="I353" s="10"/>
      <c r="J353" s="10"/>
      <c r="K353" s="10"/>
      <c r="L353" s="10"/>
      <c r="M353" s="10"/>
      <c r="N353" s="10"/>
      <c r="O353" s="10">
        <v>25.8</v>
      </c>
      <c r="P353" s="10" t="s">
        <v>1209</v>
      </c>
      <c r="Q353" s="10" t="s">
        <v>1581</v>
      </c>
      <c r="R353" s="16">
        <v>1.0</v>
      </c>
      <c r="S353" s="16"/>
      <c r="T353" s="16"/>
      <c r="U353" s="16"/>
      <c r="V353" s="16"/>
      <c r="W353" s="16"/>
      <c r="X353" s="16"/>
      <c r="Y353" s="16"/>
      <c r="Z353" s="16"/>
      <c r="AA353" s="10"/>
      <c r="AB353" s="65" t="s">
        <v>1580</v>
      </c>
      <c r="AC353" s="65" t="s">
        <v>1582</v>
      </c>
      <c r="AD353" s="17"/>
      <c r="AE353" s="17"/>
      <c r="AF353" s="17"/>
      <c r="AG353" s="18"/>
    </row>
    <row r="354" ht="14.25" hidden="1" customHeight="1">
      <c r="A354" s="9" t="s">
        <v>1201</v>
      </c>
      <c r="B354" s="9" t="s">
        <v>1542</v>
      </c>
      <c r="C354" s="9"/>
      <c r="D354" s="10"/>
      <c r="E354" s="20"/>
      <c r="F354" s="23" t="s">
        <v>1583</v>
      </c>
      <c r="G354" s="65" t="s">
        <v>1584</v>
      </c>
      <c r="H354" s="65"/>
      <c r="I354" s="10"/>
      <c r="J354" s="10"/>
      <c r="K354" s="10"/>
      <c r="L354" s="10"/>
      <c r="M354" s="10"/>
      <c r="N354" s="10"/>
      <c r="O354" s="10">
        <v>31.5</v>
      </c>
      <c r="P354" s="10" t="s">
        <v>1209</v>
      </c>
      <c r="Q354" s="10" t="s">
        <v>1585</v>
      </c>
      <c r="R354" s="16">
        <v>1.0</v>
      </c>
      <c r="S354" s="16"/>
      <c r="T354" s="16"/>
      <c r="U354" s="16"/>
      <c r="V354" s="16"/>
      <c r="W354" s="16"/>
      <c r="X354" s="16"/>
      <c r="Y354" s="16"/>
      <c r="Z354" s="16"/>
      <c r="AA354" s="10"/>
      <c r="AB354" s="65" t="s">
        <v>1584</v>
      </c>
      <c r="AC354" s="65" t="s">
        <v>1586</v>
      </c>
      <c r="AD354" s="17"/>
      <c r="AE354" s="17"/>
      <c r="AF354" s="17"/>
      <c r="AG354" s="18"/>
    </row>
    <row r="355" ht="14.25" hidden="1" customHeight="1">
      <c r="A355" s="9" t="s">
        <v>1201</v>
      </c>
      <c r="B355" s="9" t="s">
        <v>1542</v>
      </c>
      <c r="C355" s="9"/>
      <c r="D355" s="10"/>
      <c r="E355" s="20"/>
      <c r="F355" s="23" t="s">
        <v>1587</v>
      </c>
      <c r="G355" s="65" t="s">
        <v>1588</v>
      </c>
      <c r="H355" s="65"/>
      <c r="I355" s="10"/>
      <c r="J355" s="10"/>
      <c r="K355" s="10"/>
      <c r="L355" s="10"/>
      <c r="M355" s="10"/>
      <c r="N355" s="10"/>
      <c r="O355" s="10">
        <v>35.0</v>
      </c>
      <c r="P355" s="10" t="s">
        <v>1209</v>
      </c>
      <c r="Q355" s="10" t="s">
        <v>1589</v>
      </c>
      <c r="R355" s="16">
        <v>1.0</v>
      </c>
      <c r="S355" s="16"/>
      <c r="T355" s="16"/>
      <c r="U355" s="16"/>
      <c r="V355" s="16"/>
      <c r="W355" s="16"/>
      <c r="X355" s="16"/>
      <c r="Y355" s="16"/>
      <c r="Z355" s="16"/>
      <c r="AA355" s="10"/>
      <c r="AB355" s="65" t="s">
        <v>1588</v>
      </c>
      <c r="AC355" s="65" t="s">
        <v>1590</v>
      </c>
      <c r="AD355" s="17"/>
      <c r="AE355" s="17"/>
      <c r="AF355" s="17"/>
      <c r="AG355" s="18"/>
    </row>
    <row r="356" ht="14.25" hidden="1" customHeight="1">
      <c r="A356" s="9" t="s">
        <v>1201</v>
      </c>
      <c r="B356" s="9" t="s">
        <v>1591</v>
      </c>
      <c r="C356" s="9"/>
      <c r="D356" s="10"/>
      <c r="E356" s="20"/>
      <c r="F356" s="23" t="s">
        <v>1592</v>
      </c>
      <c r="G356" s="65" t="s">
        <v>1593</v>
      </c>
      <c r="H356" s="65"/>
      <c r="I356" s="10"/>
      <c r="J356" s="10"/>
      <c r="K356" s="10"/>
      <c r="L356" s="10"/>
      <c r="M356" s="10"/>
      <c r="N356" s="10" t="s">
        <v>48</v>
      </c>
      <c r="O356" s="66">
        <v>114.0</v>
      </c>
      <c r="P356" s="10" t="s">
        <v>1209</v>
      </c>
      <c r="Q356" s="10" t="s">
        <v>1594</v>
      </c>
      <c r="R356" s="16">
        <v>1.0</v>
      </c>
      <c r="S356" s="16"/>
      <c r="T356" s="16"/>
      <c r="U356" s="16"/>
      <c r="V356" s="16"/>
      <c r="W356" s="16"/>
      <c r="X356" s="16"/>
      <c r="Y356" s="16"/>
      <c r="Z356" s="16"/>
      <c r="AA356" s="10"/>
      <c r="AB356" s="65" t="s">
        <v>1593</v>
      </c>
      <c r="AC356" s="65"/>
      <c r="AD356" s="17"/>
      <c r="AE356" s="17"/>
      <c r="AF356" s="17"/>
      <c r="AG356" s="18"/>
    </row>
    <row r="357" ht="14.25" hidden="1" customHeight="1">
      <c r="A357" s="34" t="s">
        <v>1201</v>
      </c>
      <c r="B357" s="34" t="s">
        <v>1591</v>
      </c>
      <c r="C357" s="34"/>
      <c r="D357" s="35"/>
      <c r="E357" s="20"/>
      <c r="F357" s="67" t="s">
        <v>1595</v>
      </c>
      <c r="G357" s="68" t="s">
        <v>1596</v>
      </c>
      <c r="H357" s="68"/>
      <c r="I357" s="10"/>
      <c r="J357" s="10"/>
      <c r="K357" s="10"/>
      <c r="L357" s="10"/>
      <c r="M357" s="35"/>
      <c r="N357" s="35" t="s">
        <v>48</v>
      </c>
      <c r="O357" s="35">
        <v>114.0</v>
      </c>
      <c r="P357" s="35" t="s">
        <v>1209</v>
      </c>
      <c r="Q357" s="35" t="s">
        <v>1597</v>
      </c>
      <c r="R357" s="35">
        <v>1.0</v>
      </c>
      <c r="S357" s="35"/>
      <c r="T357" s="35"/>
      <c r="U357" s="35"/>
      <c r="V357" s="35"/>
      <c r="W357" s="35"/>
      <c r="X357" s="35"/>
      <c r="Y357" s="35"/>
      <c r="Z357" s="35"/>
      <c r="AA357" s="35"/>
      <c r="AB357" s="68" t="s">
        <v>1596</v>
      </c>
      <c r="AC357" s="39" t="s">
        <v>1598</v>
      </c>
      <c r="AD357" s="39"/>
      <c r="AE357" s="39"/>
      <c r="AF357" s="39"/>
      <c r="AG357" s="18"/>
    </row>
    <row r="358" ht="14.25" hidden="1" customHeight="1">
      <c r="A358" s="34" t="s">
        <v>1201</v>
      </c>
      <c r="B358" s="34" t="s">
        <v>1591</v>
      </c>
      <c r="C358" s="34"/>
      <c r="D358" s="35"/>
      <c r="E358" s="20"/>
      <c r="F358" s="67" t="s">
        <v>1599</v>
      </c>
      <c r="G358" s="68" t="s">
        <v>1600</v>
      </c>
      <c r="H358" s="68"/>
      <c r="I358" s="10"/>
      <c r="J358" s="10"/>
      <c r="K358" s="10"/>
      <c r="L358" s="10"/>
      <c r="M358" s="35"/>
      <c r="N358" s="35" t="s">
        <v>48</v>
      </c>
      <c r="O358" s="35">
        <v>95.0</v>
      </c>
      <c r="P358" s="35" t="s">
        <v>1209</v>
      </c>
      <c r="Q358" s="35" t="s">
        <v>1601</v>
      </c>
      <c r="R358" s="35">
        <v>1.0</v>
      </c>
      <c r="S358" s="35"/>
      <c r="T358" s="35"/>
      <c r="U358" s="35"/>
      <c r="V358" s="35"/>
      <c r="W358" s="35"/>
      <c r="X358" s="35"/>
      <c r="Y358" s="35"/>
      <c r="Z358" s="35"/>
      <c r="AA358" s="35"/>
      <c r="AB358" s="68" t="s">
        <v>1600</v>
      </c>
      <c r="AC358" s="39" t="s">
        <v>1602</v>
      </c>
      <c r="AD358" s="39"/>
      <c r="AE358" s="39"/>
      <c r="AF358" s="39"/>
      <c r="AG358" s="18"/>
    </row>
    <row r="359" ht="14.25" hidden="1" customHeight="1">
      <c r="A359" s="34" t="s">
        <v>1201</v>
      </c>
      <c r="B359" s="34" t="s">
        <v>1591</v>
      </c>
      <c r="C359" s="34"/>
      <c r="D359" s="35"/>
      <c r="E359" s="20"/>
      <c r="F359" s="67" t="s">
        <v>1603</v>
      </c>
      <c r="G359" s="68" t="s">
        <v>1604</v>
      </c>
      <c r="H359" s="68"/>
      <c r="I359" s="10"/>
      <c r="J359" s="10"/>
      <c r="K359" s="10"/>
      <c r="L359" s="10"/>
      <c r="M359" s="35"/>
      <c r="N359" s="35" t="s">
        <v>48</v>
      </c>
      <c r="O359" s="35">
        <v>92.0</v>
      </c>
      <c r="P359" s="35" t="s">
        <v>1209</v>
      </c>
      <c r="Q359" s="35" t="s">
        <v>1605</v>
      </c>
      <c r="R359" s="35">
        <v>1.0</v>
      </c>
      <c r="S359" s="35"/>
      <c r="T359" s="35"/>
      <c r="U359" s="35"/>
      <c r="V359" s="35"/>
      <c r="W359" s="35"/>
      <c r="X359" s="35"/>
      <c r="Y359" s="35"/>
      <c r="Z359" s="35"/>
      <c r="AA359" s="35"/>
      <c r="AB359" s="68" t="s">
        <v>1604</v>
      </c>
      <c r="AC359" s="39" t="s">
        <v>1606</v>
      </c>
      <c r="AD359" s="39"/>
      <c r="AE359" s="39"/>
      <c r="AF359" s="39"/>
      <c r="AG359" s="18"/>
    </row>
    <row r="360" ht="14.25" hidden="1" customHeight="1">
      <c r="A360" s="34" t="s">
        <v>1201</v>
      </c>
      <c r="B360" s="34" t="s">
        <v>1591</v>
      </c>
      <c r="C360" s="34"/>
      <c r="D360" s="35"/>
      <c r="E360" s="20"/>
      <c r="F360" s="67" t="s">
        <v>1607</v>
      </c>
      <c r="G360" s="68" t="s">
        <v>1608</v>
      </c>
      <c r="H360" s="68"/>
      <c r="I360" s="10"/>
      <c r="J360" s="10"/>
      <c r="K360" s="10"/>
      <c r="L360" s="10"/>
      <c r="M360" s="35"/>
      <c r="N360" s="35" t="s">
        <v>48</v>
      </c>
      <c r="O360" s="35">
        <v>73.5</v>
      </c>
      <c r="P360" s="35" t="s">
        <v>1209</v>
      </c>
      <c r="Q360" s="35" t="s">
        <v>1609</v>
      </c>
      <c r="R360" s="35">
        <v>1.0</v>
      </c>
      <c r="S360" s="35"/>
      <c r="T360" s="35"/>
      <c r="U360" s="35"/>
      <c r="V360" s="35"/>
      <c r="W360" s="35"/>
      <c r="X360" s="35"/>
      <c r="Y360" s="35"/>
      <c r="Z360" s="35"/>
      <c r="AA360" s="35"/>
      <c r="AB360" s="68" t="s">
        <v>1608</v>
      </c>
      <c r="AC360" s="39" t="s">
        <v>1610</v>
      </c>
      <c r="AD360" s="39"/>
      <c r="AE360" s="39"/>
      <c r="AF360" s="39"/>
      <c r="AG360" s="18"/>
    </row>
    <row r="361" ht="14.25" hidden="1" customHeight="1">
      <c r="A361" s="34" t="s">
        <v>1201</v>
      </c>
      <c r="B361" s="34" t="s">
        <v>1611</v>
      </c>
      <c r="C361" s="34"/>
      <c r="D361" s="35"/>
      <c r="E361" s="20"/>
      <c r="F361" s="67" t="s">
        <v>1612</v>
      </c>
      <c r="G361" s="68" t="s">
        <v>1613</v>
      </c>
      <c r="H361" s="68"/>
      <c r="I361" s="10"/>
      <c r="J361" s="10"/>
      <c r="K361" s="10"/>
      <c r="L361" s="10"/>
      <c r="M361" s="35"/>
      <c r="N361" s="35" t="s">
        <v>48</v>
      </c>
      <c r="O361" s="35">
        <v>95.0</v>
      </c>
      <c r="P361" s="35" t="s">
        <v>1209</v>
      </c>
      <c r="Q361" s="35" t="s">
        <v>1614</v>
      </c>
      <c r="R361" s="35">
        <v>1.0</v>
      </c>
      <c r="S361" s="35"/>
      <c r="T361" s="35"/>
      <c r="U361" s="35"/>
      <c r="V361" s="35"/>
      <c r="W361" s="35"/>
      <c r="X361" s="35"/>
      <c r="Y361" s="35"/>
      <c r="Z361" s="35"/>
      <c r="AA361" s="35"/>
      <c r="AB361" s="68" t="s">
        <v>1613</v>
      </c>
      <c r="AC361" s="39" t="s">
        <v>1615</v>
      </c>
      <c r="AD361" s="39"/>
      <c r="AE361" s="39"/>
      <c r="AF361" s="39"/>
      <c r="AG361" s="18"/>
    </row>
    <row r="362" ht="14.25" hidden="1" customHeight="1">
      <c r="A362" s="34" t="s">
        <v>1201</v>
      </c>
      <c r="B362" s="34" t="s">
        <v>1591</v>
      </c>
      <c r="C362" s="34"/>
      <c r="D362" s="35"/>
      <c r="E362" s="20"/>
      <c r="F362" s="67" t="s">
        <v>1616</v>
      </c>
      <c r="G362" s="68" t="s">
        <v>1617</v>
      </c>
      <c r="H362" s="68"/>
      <c r="I362" s="10"/>
      <c r="J362" s="10"/>
      <c r="K362" s="10"/>
      <c r="L362" s="10"/>
      <c r="M362" s="35"/>
      <c r="N362" s="35" t="s">
        <v>48</v>
      </c>
      <c r="O362" s="35">
        <v>95.0</v>
      </c>
      <c r="P362" s="35" t="s">
        <v>1209</v>
      </c>
      <c r="Q362" s="35" t="s">
        <v>1618</v>
      </c>
      <c r="R362" s="35">
        <v>1.0</v>
      </c>
      <c r="S362" s="35"/>
      <c r="T362" s="35"/>
      <c r="U362" s="35"/>
      <c r="V362" s="35"/>
      <c r="W362" s="35"/>
      <c r="X362" s="35"/>
      <c r="Y362" s="35"/>
      <c r="Z362" s="35"/>
      <c r="AA362" s="35"/>
      <c r="AB362" s="68" t="s">
        <v>1617</v>
      </c>
      <c r="AC362" s="39" t="s">
        <v>1619</v>
      </c>
      <c r="AD362" s="39"/>
      <c r="AE362" s="39"/>
      <c r="AF362" s="39"/>
      <c r="AG362" s="18"/>
    </row>
    <row r="363" ht="14.25" hidden="1" customHeight="1">
      <c r="A363" s="34" t="s">
        <v>1201</v>
      </c>
      <c r="B363" s="34" t="s">
        <v>1611</v>
      </c>
      <c r="C363" s="34"/>
      <c r="D363" s="35"/>
      <c r="E363" s="20"/>
      <c r="F363" s="67" t="s">
        <v>1620</v>
      </c>
      <c r="G363" s="68" t="s">
        <v>1621</v>
      </c>
      <c r="H363" s="68"/>
      <c r="I363" s="10"/>
      <c r="J363" s="10"/>
      <c r="K363" s="10"/>
      <c r="L363" s="10"/>
      <c r="M363" s="35"/>
      <c r="N363" s="35" t="s">
        <v>48</v>
      </c>
      <c r="O363" s="35">
        <v>114.0</v>
      </c>
      <c r="P363" s="35" t="s">
        <v>1209</v>
      </c>
      <c r="Q363" s="35" t="s">
        <v>1622</v>
      </c>
      <c r="R363" s="35">
        <v>1.0</v>
      </c>
      <c r="S363" s="35"/>
      <c r="T363" s="35"/>
      <c r="U363" s="35"/>
      <c r="V363" s="35"/>
      <c r="W363" s="35"/>
      <c r="X363" s="35"/>
      <c r="Y363" s="35"/>
      <c r="Z363" s="35"/>
      <c r="AA363" s="35"/>
      <c r="AB363" s="68" t="s">
        <v>1623</v>
      </c>
      <c r="AC363" s="39" t="s">
        <v>1624</v>
      </c>
      <c r="AD363" s="39"/>
      <c r="AE363" s="39"/>
      <c r="AF363" s="39"/>
      <c r="AG363" s="18"/>
    </row>
    <row r="364" ht="14.25" hidden="1" customHeight="1">
      <c r="A364" s="34" t="s">
        <v>1201</v>
      </c>
      <c r="B364" s="34" t="s">
        <v>1611</v>
      </c>
      <c r="C364" s="34"/>
      <c r="D364" s="35"/>
      <c r="E364" s="20"/>
      <c r="F364" s="67" t="s">
        <v>1625</v>
      </c>
      <c r="G364" s="68" t="s">
        <v>1626</v>
      </c>
      <c r="H364" s="68"/>
      <c r="I364" s="10"/>
      <c r="J364" s="10"/>
      <c r="K364" s="10"/>
      <c r="L364" s="10"/>
      <c r="M364" s="35"/>
      <c r="N364" s="35" t="s">
        <v>48</v>
      </c>
      <c r="O364" s="35">
        <v>95.0</v>
      </c>
      <c r="P364" s="35" t="s">
        <v>1209</v>
      </c>
      <c r="Q364" s="35" t="s">
        <v>1627</v>
      </c>
      <c r="R364" s="35">
        <v>1.0</v>
      </c>
      <c r="S364" s="35"/>
      <c r="T364" s="35"/>
      <c r="U364" s="35"/>
      <c r="V364" s="35"/>
      <c r="W364" s="35"/>
      <c r="X364" s="35"/>
      <c r="Y364" s="35"/>
      <c r="Z364" s="35"/>
      <c r="AA364" s="35"/>
      <c r="AB364" s="68" t="s">
        <v>1626</v>
      </c>
      <c r="AC364" s="39" t="s">
        <v>1628</v>
      </c>
      <c r="AD364" s="39"/>
      <c r="AE364" s="39"/>
      <c r="AF364" s="39"/>
      <c r="AG364" s="18"/>
    </row>
    <row r="365" ht="14.25" hidden="1" customHeight="1">
      <c r="A365" s="34" t="s">
        <v>1201</v>
      </c>
      <c r="B365" s="34" t="s">
        <v>1629</v>
      </c>
      <c r="C365" s="34"/>
      <c r="D365" s="35"/>
      <c r="E365" s="20"/>
      <c r="F365" s="67" t="s">
        <v>1630</v>
      </c>
      <c r="G365" s="68" t="s">
        <v>1631</v>
      </c>
      <c r="H365" s="68"/>
      <c r="I365" s="10"/>
      <c r="J365" s="10"/>
      <c r="K365" s="10"/>
      <c r="L365" s="10"/>
      <c r="M365" s="35"/>
      <c r="N365" s="35" t="s">
        <v>48</v>
      </c>
      <c r="O365" s="35">
        <v>20.0</v>
      </c>
      <c r="P365" s="35" t="s">
        <v>1209</v>
      </c>
      <c r="Q365" s="35" t="s">
        <v>1632</v>
      </c>
      <c r="R365" s="35">
        <v>1.0</v>
      </c>
      <c r="S365" s="35"/>
      <c r="T365" s="35"/>
      <c r="U365" s="35"/>
      <c r="V365" s="35"/>
      <c r="W365" s="35"/>
      <c r="X365" s="35"/>
      <c r="Y365" s="35"/>
      <c r="Z365" s="35"/>
      <c r="AA365" s="35"/>
      <c r="AB365" s="68" t="s">
        <v>1631</v>
      </c>
      <c r="AC365" s="39" t="s">
        <v>1633</v>
      </c>
      <c r="AD365" s="39"/>
      <c r="AE365" s="39"/>
      <c r="AF365" s="39"/>
      <c r="AG365" s="18"/>
    </row>
    <row r="366" ht="14.25" hidden="1" customHeight="1">
      <c r="A366" s="34"/>
      <c r="B366" s="34"/>
      <c r="C366" s="34"/>
      <c r="D366" s="35"/>
      <c r="E366" s="20"/>
      <c r="F366" s="67" t="s">
        <v>1634</v>
      </c>
      <c r="G366" s="68" t="s">
        <v>1635</v>
      </c>
      <c r="H366" s="68"/>
      <c r="I366" s="10"/>
      <c r="J366" s="10"/>
      <c r="K366" s="10"/>
      <c r="L366" s="10"/>
      <c r="M366" s="35"/>
      <c r="N366" s="35" t="s">
        <v>48</v>
      </c>
      <c r="O366" s="35">
        <v>55.5</v>
      </c>
      <c r="P366" s="35" t="s">
        <v>1209</v>
      </c>
      <c r="Q366" s="35" t="s">
        <v>1636</v>
      </c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68" t="s">
        <v>1635</v>
      </c>
      <c r="AC366" s="39" t="s">
        <v>1637</v>
      </c>
      <c r="AD366" s="39"/>
      <c r="AE366" s="39"/>
      <c r="AF366" s="39"/>
      <c r="AG366" s="18"/>
    </row>
    <row r="367" ht="14.25" hidden="1" customHeight="1">
      <c r="A367" s="34" t="s">
        <v>1201</v>
      </c>
      <c r="B367" s="34" t="s">
        <v>1638</v>
      </c>
      <c r="C367" s="34"/>
      <c r="D367" s="35"/>
      <c r="E367" s="20"/>
      <c r="F367" s="67" t="s">
        <v>1639</v>
      </c>
      <c r="G367" s="68" t="s">
        <v>1640</v>
      </c>
      <c r="H367" s="68"/>
      <c r="I367" s="10"/>
      <c r="J367" s="10"/>
      <c r="K367" s="10"/>
      <c r="L367" s="10"/>
      <c r="M367" s="35"/>
      <c r="N367" s="35" t="s">
        <v>48</v>
      </c>
      <c r="O367" s="35">
        <v>33.0</v>
      </c>
      <c r="P367" s="35" t="s">
        <v>1209</v>
      </c>
      <c r="Q367" s="35" t="s">
        <v>1641</v>
      </c>
      <c r="R367" s="35">
        <v>1.0</v>
      </c>
      <c r="S367" s="35"/>
      <c r="T367" s="35"/>
      <c r="U367" s="35"/>
      <c r="V367" s="35"/>
      <c r="W367" s="35"/>
      <c r="X367" s="35"/>
      <c r="Y367" s="35"/>
      <c r="Z367" s="35"/>
      <c r="AA367" s="35"/>
      <c r="AB367" s="68" t="s">
        <v>1640</v>
      </c>
      <c r="AC367" s="39" t="s">
        <v>1642</v>
      </c>
      <c r="AD367" s="39"/>
      <c r="AE367" s="39"/>
      <c r="AF367" s="39"/>
      <c r="AG367" s="18"/>
    </row>
    <row r="368" ht="14.25" hidden="1" customHeight="1">
      <c r="A368" s="34" t="s">
        <v>1201</v>
      </c>
      <c r="B368" s="34" t="s">
        <v>1638</v>
      </c>
      <c r="C368" s="34"/>
      <c r="D368" s="35"/>
      <c r="E368" s="20"/>
      <c r="F368" s="67" t="s">
        <v>1643</v>
      </c>
      <c r="G368" s="68" t="s">
        <v>1644</v>
      </c>
      <c r="H368" s="68"/>
      <c r="I368" s="10"/>
      <c r="J368" s="10"/>
      <c r="K368" s="10"/>
      <c r="L368" s="10"/>
      <c r="M368" s="35"/>
      <c r="N368" s="35" t="s">
        <v>48</v>
      </c>
      <c r="O368" s="35">
        <v>36.0</v>
      </c>
      <c r="P368" s="35" t="s">
        <v>1209</v>
      </c>
      <c r="Q368" s="35" t="s">
        <v>1645</v>
      </c>
      <c r="R368" s="35">
        <v>1.0</v>
      </c>
      <c r="S368" s="35"/>
      <c r="T368" s="35"/>
      <c r="U368" s="35"/>
      <c r="V368" s="35"/>
      <c r="W368" s="35"/>
      <c r="X368" s="35"/>
      <c r="Y368" s="35"/>
      <c r="Z368" s="35"/>
      <c r="AA368" s="35"/>
      <c r="AB368" s="68" t="s">
        <v>1644</v>
      </c>
      <c r="AC368" s="39" t="s">
        <v>1646</v>
      </c>
      <c r="AD368" s="39"/>
      <c r="AE368" s="39"/>
      <c r="AF368" s="39"/>
      <c r="AG368" s="18"/>
    </row>
    <row r="369" ht="14.25" hidden="1" customHeight="1">
      <c r="A369" s="34" t="s">
        <v>1201</v>
      </c>
      <c r="B369" s="34" t="s">
        <v>1638</v>
      </c>
      <c r="C369" s="34"/>
      <c r="D369" s="35"/>
      <c r="E369" s="20"/>
      <c r="F369" s="36" t="s">
        <v>1647</v>
      </c>
      <c r="G369" s="68" t="s">
        <v>1648</v>
      </c>
      <c r="H369" s="68"/>
      <c r="I369" s="10"/>
      <c r="J369" s="10"/>
      <c r="K369" s="10"/>
      <c r="L369" s="10"/>
      <c r="M369" s="35"/>
      <c r="N369" s="35" t="s">
        <v>48</v>
      </c>
      <c r="O369" s="35">
        <v>36.0</v>
      </c>
      <c r="P369" s="35" t="s">
        <v>1209</v>
      </c>
      <c r="Q369" s="35" t="s">
        <v>1649</v>
      </c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68" t="s">
        <v>1648</v>
      </c>
      <c r="AC369" s="68" t="s">
        <v>1650</v>
      </c>
      <c r="AD369" s="39"/>
      <c r="AE369" s="39"/>
      <c r="AF369" s="39"/>
      <c r="AG369" s="18"/>
    </row>
    <row r="370" ht="14.25" hidden="1" customHeight="1">
      <c r="A370" s="34" t="s">
        <v>1201</v>
      </c>
      <c r="B370" s="34" t="s">
        <v>1638</v>
      </c>
      <c r="C370" s="34"/>
      <c r="D370" s="35"/>
      <c r="E370" s="20"/>
      <c r="F370" s="36" t="s">
        <v>1651</v>
      </c>
      <c r="G370" s="68" t="s">
        <v>1652</v>
      </c>
      <c r="H370" s="68"/>
      <c r="I370" s="10"/>
      <c r="J370" s="10"/>
      <c r="K370" s="10"/>
      <c r="L370" s="10"/>
      <c r="M370" s="35"/>
      <c r="N370" s="35" t="s">
        <v>48</v>
      </c>
      <c r="O370" s="35">
        <v>41.0</v>
      </c>
      <c r="P370" s="35" t="s">
        <v>1209</v>
      </c>
      <c r="Q370" s="35" t="s">
        <v>1653</v>
      </c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68" t="s">
        <v>1652</v>
      </c>
      <c r="AC370" s="68" t="s">
        <v>1654</v>
      </c>
      <c r="AD370" s="39"/>
      <c r="AE370" s="39"/>
      <c r="AF370" s="39"/>
      <c r="AG370" s="18"/>
    </row>
    <row r="371" ht="14.25" hidden="1" customHeight="1">
      <c r="A371" s="34" t="s">
        <v>1201</v>
      </c>
      <c r="B371" s="34" t="s">
        <v>1638</v>
      </c>
      <c r="C371" s="34"/>
      <c r="D371" s="35"/>
      <c r="E371" s="20"/>
      <c r="F371" s="36" t="s">
        <v>1655</v>
      </c>
      <c r="G371" s="68" t="s">
        <v>1656</v>
      </c>
      <c r="H371" s="68"/>
      <c r="I371" s="10"/>
      <c r="J371" s="10"/>
      <c r="K371" s="10"/>
      <c r="L371" s="10"/>
      <c r="M371" s="35"/>
      <c r="N371" s="35" t="s">
        <v>48</v>
      </c>
      <c r="O371" s="35">
        <v>54.0</v>
      </c>
      <c r="P371" s="35" t="s">
        <v>1209</v>
      </c>
      <c r="Q371" s="35" t="s">
        <v>1657</v>
      </c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68" t="s">
        <v>1656</v>
      </c>
      <c r="AC371" s="68" t="s">
        <v>1658</v>
      </c>
      <c r="AD371" s="39"/>
      <c r="AE371" s="39"/>
      <c r="AF371" s="39"/>
      <c r="AG371" s="18"/>
    </row>
    <row r="372" ht="14.25" hidden="1" customHeight="1">
      <c r="A372" s="34"/>
      <c r="B372" s="34"/>
      <c r="C372" s="34"/>
      <c r="D372" s="35"/>
      <c r="E372" s="20"/>
      <c r="F372" s="67" t="s">
        <v>1659</v>
      </c>
      <c r="G372" s="68" t="s">
        <v>1660</v>
      </c>
      <c r="H372" s="68"/>
      <c r="I372" s="10"/>
      <c r="J372" s="10"/>
      <c r="K372" s="10"/>
      <c r="L372" s="10"/>
      <c r="M372" s="35"/>
      <c r="N372" s="35" t="s">
        <v>48</v>
      </c>
      <c r="O372" s="35">
        <v>147.0</v>
      </c>
      <c r="P372" s="35" t="s">
        <v>1209</v>
      </c>
      <c r="Q372" s="38" t="s">
        <v>1661</v>
      </c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68" t="s">
        <v>1660</v>
      </c>
      <c r="AC372" s="39" t="s">
        <v>1662</v>
      </c>
      <c r="AD372" s="39"/>
      <c r="AE372" s="39"/>
      <c r="AF372" s="39"/>
      <c r="AG372" s="18"/>
    </row>
    <row r="373" ht="14.25" hidden="1" customHeight="1">
      <c r="A373" s="34" t="s">
        <v>1663</v>
      </c>
      <c r="B373" s="34" t="s">
        <v>1664</v>
      </c>
      <c r="C373" s="34"/>
      <c r="D373" s="35"/>
      <c r="E373" s="20"/>
      <c r="F373" s="36" t="s">
        <v>1665</v>
      </c>
      <c r="G373" s="68" t="s">
        <v>1666</v>
      </c>
      <c r="H373" s="68"/>
      <c r="I373" s="10"/>
      <c r="J373" s="10"/>
      <c r="K373" s="10"/>
      <c r="L373" s="10"/>
      <c r="M373" s="35"/>
      <c r="N373" s="35" t="s">
        <v>48</v>
      </c>
      <c r="O373" s="35">
        <v>12.0</v>
      </c>
      <c r="P373" s="35" t="s">
        <v>1209</v>
      </c>
      <c r="Q373" s="35" t="s">
        <v>1667</v>
      </c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68" t="s">
        <v>1666</v>
      </c>
      <c r="AC373" s="68" t="s">
        <v>1668</v>
      </c>
      <c r="AD373" s="39"/>
      <c r="AE373" s="39"/>
      <c r="AF373" s="39"/>
      <c r="AG373" s="18"/>
    </row>
    <row r="374" ht="14.25" hidden="1" customHeight="1">
      <c r="A374" s="34" t="s">
        <v>1663</v>
      </c>
      <c r="B374" s="34" t="s">
        <v>1664</v>
      </c>
      <c r="C374" s="34"/>
      <c r="D374" s="35"/>
      <c r="E374" s="20"/>
      <c r="F374" s="36" t="s">
        <v>1669</v>
      </c>
      <c r="G374" s="68" t="s">
        <v>1670</v>
      </c>
      <c r="H374" s="68"/>
      <c r="I374" s="10"/>
      <c r="J374" s="10"/>
      <c r="K374" s="10"/>
      <c r="L374" s="10"/>
      <c r="M374" s="35"/>
      <c r="N374" s="35" t="s">
        <v>48</v>
      </c>
      <c r="O374" s="35" t="s">
        <v>1671</v>
      </c>
      <c r="P374" s="35" t="s">
        <v>1209</v>
      </c>
      <c r="Q374" s="35" t="s">
        <v>1672</v>
      </c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68" t="s">
        <v>1670</v>
      </c>
      <c r="AC374" s="68" t="s">
        <v>1673</v>
      </c>
      <c r="AD374" s="39"/>
      <c r="AE374" s="39"/>
      <c r="AF374" s="39"/>
      <c r="AG374" s="18"/>
    </row>
    <row r="375" ht="14.25" hidden="1" customHeight="1">
      <c r="A375" s="34" t="s">
        <v>1663</v>
      </c>
      <c r="B375" s="34" t="s">
        <v>1664</v>
      </c>
      <c r="C375" s="34"/>
      <c r="D375" s="35"/>
      <c r="E375" s="20"/>
      <c r="F375" s="36" t="s">
        <v>1674</v>
      </c>
      <c r="G375" s="68" t="s">
        <v>1675</v>
      </c>
      <c r="H375" s="68"/>
      <c r="I375" s="10"/>
      <c r="J375" s="10"/>
      <c r="K375" s="10"/>
      <c r="L375" s="10"/>
      <c r="M375" s="35"/>
      <c r="N375" s="35" t="s">
        <v>48</v>
      </c>
      <c r="O375" s="35" t="s">
        <v>1676</v>
      </c>
      <c r="P375" s="35" t="s">
        <v>1209</v>
      </c>
      <c r="Q375" s="35" t="s">
        <v>1677</v>
      </c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68" t="s">
        <v>1675</v>
      </c>
      <c r="AC375" s="68" t="s">
        <v>1678</v>
      </c>
      <c r="AD375" s="39"/>
      <c r="AE375" s="39"/>
      <c r="AF375" s="39"/>
      <c r="AG375" s="18"/>
    </row>
    <row r="376" ht="14.25" hidden="1" customHeight="1">
      <c r="A376" s="9" t="s">
        <v>1663</v>
      </c>
      <c r="B376" s="9" t="s">
        <v>1679</v>
      </c>
      <c r="C376" s="9"/>
      <c r="D376" s="10"/>
      <c r="E376" s="20"/>
      <c r="F376" s="23" t="s">
        <v>1680</v>
      </c>
      <c r="G376" s="65" t="s">
        <v>1681</v>
      </c>
      <c r="H376" s="65"/>
      <c r="I376" s="10"/>
      <c r="J376" s="10"/>
      <c r="K376" s="10"/>
      <c r="L376" s="10"/>
      <c r="M376" s="10"/>
      <c r="N376" s="10" t="s">
        <v>48</v>
      </c>
      <c r="O376" s="10">
        <v>114.0</v>
      </c>
      <c r="P376" s="10" t="s">
        <v>1209</v>
      </c>
      <c r="Q376" s="10" t="s">
        <v>1682</v>
      </c>
      <c r="R376" s="16">
        <v>1.0</v>
      </c>
      <c r="S376" s="16"/>
      <c r="T376" s="16"/>
      <c r="U376" s="16"/>
      <c r="V376" s="16"/>
      <c r="W376" s="16"/>
      <c r="X376" s="16"/>
      <c r="Y376" s="16"/>
      <c r="Z376" s="16"/>
      <c r="AA376" s="10"/>
      <c r="AB376" s="65" t="s">
        <v>1681</v>
      </c>
      <c r="AC376" s="65"/>
      <c r="AD376" s="17"/>
      <c r="AE376" s="17"/>
      <c r="AF376" s="17"/>
      <c r="AG376" s="18"/>
    </row>
    <row r="377" ht="14.25" hidden="1" customHeight="1">
      <c r="A377" s="9" t="s">
        <v>1663</v>
      </c>
      <c r="B377" s="9" t="s">
        <v>1679</v>
      </c>
      <c r="C377" s="9"/>
      <c r="D377" s="10"/>
      <c r="E377" s="20"/>
      <c r="F377" s="23" t="s">
        <v>1683</v>
      </c>
      <c r="G377" s="65" t="s">
        <v>1684</v>
      </c>
      <c r="H377" s="65"/>
      <c r="I377" s="10"/>
      <c r="J377" s="10"/>
      <c r="K377" s="10"/>
      <c r="L377" s="10"/>
      <c r="M377" s="10"/>
      <c r="N377" s="10" t="s">
        <v>48</v>
      </c>
      <c r="O377" s="10">
        <v>14.44</v>
      </c>
      <c r="P377" s="10" t="s">
        <v>1209</v>
      </c>
      <c r="Q377" s="10">
        <v>4.897108885228E12</v>
      </c>
      <c r="R377" s="16">
        <v>1.0</v>
      </c>
      <c r="S377" s="16"/>
      <c r="T377" s="16"/>
      <c r="U377" s="16"/>
      <c r="V377" s="16"/>
      <c r="W377" s="16"/>
      <c r="X377" s="16"/>
      <c r="Y377" s="16"/>
      <c r="Z377" s="16"/>
      <c r="AA377" s="10"/>
      <c r="AB377" s="65" t="s">
        <v>1684</v>
      </c>
      <c r="AC377" s="65"/>
      <c r="AD377" s="17"/>
      <c r="AE377" s="17"/>
      <c r="AF377" s="17"/>
      <c r="AG377" s="18"/>
    </row>
    <row r="378" ht="14.25" hidden="1" customHeight="1">
      <c r="A378" s="9" t="s">
        <v>1685</v>
      </c>
      <c r="B378" s="9" t="s">
        <v>1686</v>
      </c>
      <c r="C378" s="9"/>
      <c r="D378" s="10"/>
      <c r="E378" s="20"/>
      <c r="F378" s="23" t="s">
        <v>1687</v>
      </c>
      <c r="G378" s="65" t="s">
        <v>1688</v>
      </c>
      <c r="H378" s="65"/>
      <c r="I378" s="10"/>
      <c r="J378" s="10"/>
      <c r="K378" s="10"/>
      <c r="L378" s="10"/>
      <c r="M378" s="10">
        <v>64.9</v>
      </c>
      <c r="N378" s="10" t="s">
        <v>1689</v>
      </c>
      <c r="O378" s="10">
        <f>273/2</f>
        <v>136.5</v>
      </c>
      <c r="P378" s="10" t="s">
        <v>1209</v>
      </c>
      <c r="Q378" s="15" t="s">
        <v>1690</v>
      </c>
      <c r="R378" s="16"/>
      <c r="S378" s="16"/>
      <c r="T378" s="16"/>
      <c r="U378" s="16"/>
      <c r="V378" s="16"/>
      <c r="W378" s="16"/>
      <c r="X378" s="16">
        <v>2.0</v>
      </c>
      <c r="Y378" s="16"/>
      <c r="Z378" s="16" t="s">
        <v>1691</v>
      </c>
      <c r="AA378" s="10"/>
      <c r="AB378" s="65" t="s">
        <v>1692</v>
      </c>
      <c r="AC378" s="65" t="s">
        <v>1693</v>
      </c>
      <c r="AD378" s="17" t="s">
        <v>1694</v>
      </c>
      <c r="AE378" s="17" t="s">
        <v>1695</v>
      </c>
      <c r="AF378" s="17" t="s">
        <v>1696</v>
      </c>
      <c r="AG378" s="18"/>
    </row>
    <row r="379" ht="14.25" hidden="1" customHeight="1">
      <c r="A379" s="9" t="s">
        <v>1685</v>
      </c>
      <c r="B379" s="9" t="s">
        <v>1686</v>
      </c>
      <c r="C379" s="9"/>
      <c r="D379" s="10"/>
      <c r="E379" s="20"/>
      <c r="F379" s="23" t="s">
        <v>1697</v>
      </c>
      <c r="G379" s="65" t="s">
        <v>1698</v>
      </c>
      <c r="H379" s="65"/>
      <c r="I379" s="10"/>
      <c r="J379" s="10"/>
      <c r="K379" s="10"/>
      <c r="L379" s="10"/>
      <c r="M379" s="10">
        <v>130.3</v>
      </c>
      <c r="N379" s="10" t="s">
        <v>1689</v>
      </c>
      <c r="O379" s="10">
        <f>443/2</f>
        <v>221.5</v>
      </c>
      <c r="P379" s="10" t="s">
        <v>1209</v>
      </c>
      <c r="Q379" s="15" t="s">
        <v>1699</v>
      </c>
      <c r="R379" s="16"/>
      <c r="S379" s="16"/>
      <c r="T379" s="16"/>
      <c r="U379" s="16"/>
      <c r="V379" s="16"/>
      <c r="W379" s="16"/>
      <c r="X379" s="16">
        <v>1.0</v>
      </c>
      <c r="Y379" s="16"/>
      <c r="Z379" s="16" t="s">
        <v>1700</v>
      </c>
      <c r="AA379" s="10"/>
      <c r="AB379" s="65" t="s">
        <v>1701</v>
      </c>
      <c r="AC379" s="65" t="s">
        <v>1702</v>
      </c>
      <c r="AD379" s="17" t="s">
        <v>1703</v>
      </c>
      <c r="AE379" s="17" t="s">
        <v>1695</v>
      </c>
      <c r="AF379" s="17" t="s">
        <v>1704</v>
      </c>
      <c r="AG379" s="18"/>
    </row>
    <row r="380" ht="14.25" hidden="1" customHeight="1">
      <c r="A380" s="9" t="s">
        <v>1685</v>
      </c>
      <c r="B380" s="9" t="s">
        <v>1686</v>
      </c>
      <c r="C380" s="9"/>
      <c r="D380" s="10"/>
      <c r="E380" s="20"/>
      <c r="F380" s="23" t="s">
        <v>1705</v>
      </c>
      <c r="G380" s="65" t="s">
        <v>1706</v>
      </c>
      <c r="H380" s="65"/>
      <c r="I380" s="10"/>
      <c r="J380" s="10"/>
      <c r="K380" s="10"/>
      <c r="L380" s="10"/>
      <c r="M380" s="10">
        <v>22.3</v>
      </c>
      <c r="N380" s="10" t="s">
        <v>1689</v>
      </c>
      <c r="O380" s="10">
        <f>141/2</f>
        <v>70.5</v>
      </c>
      <c r="P380" s="10" t="s">
        <v>1209</v>
      </c>
      <c r="Q380" s="15" t="s">
        <v>1707</v>
      </c>
      <c r="R380" s="16"/>
      <c r="S380" s="16"/>
      <c r="T380" s="16"/>
      <c r="U380" s="16"/>
      <c r="V380" s="16"/>
      <c r="W380" s="16"/>
      <c r="X380" s="16">
        <v>4.0</v>
      </c>
      <c r="Y380" s="16"/>
      <c r="Z380" s="16" t="s">
        <v>282</v>
      </c>
      <c r="AA380" s="10"/>
      <c r="AB380" s="65" t="s">
        <v>1708</v>
      </c>
      <c r="AC380" s="65" t="s">
        <v>1709</v>
      </c>
      <c r="AD380" s="17" t="s">
        <v>1710</v>
      </c>
      <c r="AE380" s="17" t="s">
        <v>1695</v>
      </c>
      <c r="AF380" s="17" t="s">
        <v>1711</v>
      </c>
      <c r="AG380" s="18"/>
    </row>
    <row r="381" ht="14.25" hidden="1" customHeight="1">
      <c r="A381" s="9" t="s">
        <v>1685</v>
      </c>
      <c r="B381" s="9" t="s">
        <v>1686</v>
      </c>
      <c r="C381" s="9"/>
      <c r="D381" s="10"/>
      <c r="E381" s="20"/>
      <c r="F381" s="23" t="s">
        <v>1712</v>
      </c>
      <c r="G381" s="65" t="s">
        <v>1713</v>
      </c>
      <c r="H381" s="65"/>
      <c r="I381" s="10"/>
      <c r="J381" s="10"/>
      <c r="K381" s="10"/>
      <c r="L381" s="10"/>
      <c r="M381" s="10"/>
      <c r="N381" s="10" t="s">
        <v>1689</v>
      </c>
      <c r="O381" s="10">
        <f>221/2</f>
        <v>110.5</v>
      </c>
      <c r="P381" s="10" t="s">
        <v>1209</v>
      </c>
      <c r="Q381" s="15" t="s">
        <v>1714</v>
      </c>
      <c r="R381" s="16"/>
      <c r="S381" s="16"/>
      <c r="T381" s="16"/>
      <c r="U381" s="16"/>
      <c r="V381" s="16"/>
      <c r="W381" s="16"/>
      <c r="X381" s="16"/>
      <c r="Y381" s="16"/>
      <c r="Z381" s="16"/>
      <c r="AA381" s="10"/>
      <c r="AB381" s="65" t="s">
        <v>1715</v>
      </c>
      <c r="AC381" s="65" t="s">
        <v>1716</v>
      </c>
      <c r="AD381" s="17" t="s">
        <v>1717</v>
      </c>
      <c r="AE381" s="17" t="s">
        <v>1695</v>
      </c>
      <c r="AF381" s="17"/>
      <c r="AG381" s="18"/>
    </row>
    <row r="382" ht="14.25" hidden="1" customHeight="1">
      <c r="A382" s="40" t="s">
        <v>1685</v>
      </c>
      <c r="B382" s="40" t="s">
        <v>1686</v>
      </c>
      <c r="C382" s="40"/>
      <c r="D382" s="41"/>
      <c r="E382" s="20"/>
      <c r="F382" s="59" t="s">
        <v>1718</v>
      </c>
      <c r="G382" s="69" t="s">
        <v>1719</v>
      </c>
      <c r="H382" s="69"/>
      <c r="I382" s="10"/>
      <c r="J382" s="10"/>
      <c r="K382" s="10"/>
      <c r="L382" s="10"/>
      <c r="M382" s="41"/>
      <c r="N382" s="10" t="s">
        <v>1689</v>
      </c>
      <c r="O382" s="41">
        <v>1251.1</v>
      </c>
      <c r="P382" s="10" t="s">
        <v>1209</v>
      </c>
      <c r="Q382" s="43" t="s">
        <v>1720</v>
      </c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65" t="s">
        <v>1721</v>
      </c>
      <c r="AC382" s="65" t="s">
        <v>1722</v>
      </c>
      <c r="AD382" s="44" t="s">
        <v>1723</v>
      </c>
      <c r="AE382" s="44" t="s">
        <v>1695</v>
      </c>
      <c r="AF382" s="44"/>
      <c r="AG382" s="18"/>
    </row>
    <row r="383" ht="14.25" hidden="1" customHeight="1">
      <c r="A383" s="40" t="s">
        <v>1685</v>
      </c>
      <c r="B383" s="40" t="s">
        <v>1686</v>
      </c>
      <c r="C383" s="40"/>
      <c r="D383" s="41"/>
      <c r="E383" s="20"/>
      <c r="F383" s="59" t="s">
        <v>1724</v>
      </c>
      <c r="G383" s="69" t="s">
        <v>1725</v>
      </c>
      <c r="H383" s="69"/>
      <c r="I383" s="10"/>
      <c r="J383" s="10"/>
      <c r="K383" s="10"/>
      <c r="L383" s="10"/>
      <c r="M383" s="41"/>
      <c r="N383" s="10" t="s">
        <v>1689</v>
      </c>
      <c r="O383" s="41">
        <v>642.2</v>
      </c>
      <c r="P383" s="10" t="s">
        <v>1209</v>
      </c>
      <c r="Q383" s="43" t="s">
        <v>1726</v>
      </c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65" t="s">
        <v>1727</v>
      </c>
      <c r="AC383" s="65" t="s">
        <v>1728</v>
      </c>
      <c r="AD383" s="44" t="s">
        <v>1729</v>
      </c>
      <c r="AE383" s="44" t="s">
        <v>1695</v>
      </c>
      <c r="AF383" s="44"/>
      <c r="AG383" s="18"/>
    </row>
    <row r="384" ht="14.25" hidden="1" customHeight="1">
      <c r="A384" s="40" t="s">
        <v>1685</v>
      </c>
      <c r="B384" s="40" t="s">
        <v>1686</v>
      </c>
      <c r="C384" s="40"/>
      <c r="D384" s="41"/>
      <c r="E384" s="20"/>
      <c r="F384" s="59" t="s">
        <v>1730</v>
      </c>
      <c r="G384" s="69" t="s">
        <v>1731</v>
      </c>
      <c r="H384" s="69"/>
      <c r="I384" s="10"/>
      <c r="J384" s="10"/>
      <c r="K384" s="10"/>
      <c r="L384" s="10"/>
      <c r="M384" s="41"/>
      <c r="N384" s="10" t="s">
        <v>1689</v>
      </c>
      <c r="O384" s="41">
        <v>1190.4</v>
      </c>
      <c r="P384" s="10" t="s">
        <v>1209</v>
      </c>
      <c r="Q384" s="43" t="s">
        <v>1732</v>
      </c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65" t="s">
        <v>1733</v>
      </c>
      <c r="AC384" s="65" t="s">
        <v>1734</v>
      </c>
      <c r="AD384" s="44" t="s">
        <v>1735</v>
      </c>
      <c r="AE384" s="44" t="s">
        <v>1695</v>
      </c>
      <c r="AF384" s="44"/>
      <c r="AG384" s="18"/>
    </row>
    <row r="385" ht="14.25" customHeight="1">
      <c r="A385" s="9"/>
      <c r="B385" s="9"/>
      <c r="C385" s="9"/>
      <c r="D385" s="10"/>
      <c r="E385" s="20"/>
      <c r="F385" s="23"/>
      <c r="G385" s="65"/>
      <c r="H385" s="65"/>
      <c r="I385" s="10"/>
      <c r="J385" s="10"/>
      <c r="K385" s="10"/>
      <c r="L385" s="10"/>
      <c r="M385" s="10"/>
      <c r="N385" s="10"/>
      <c r="O385" s="10"/>
      <c r="P385" s="10" t="s">
        <v>1209</v>
      </c>
      <c r="Q385" s="10"/>
      <c r="R385" s="16"/>
      <c r="S385" s="16"/>
      <c r="T385" s="16"/>
      <c r="U385" s="16"/>
      <c r="V385" s="16"/>
      <c r="W385" s="16"/>
      <c r="X385" s="16"/>
      <c r="Y385" s="16"/>
      <c r="Z385" s="16"/>
      <c r="AA385" s="10"/>
      <c r="AB385" s="65"/>
      <c r="AC385" s="65"/>
      <c r="AD385" s="17"/>
      <c r="AE385" s="17"/>
      <c r="AF385" s="17"/>
      <c r="AG385" s="18"/>
    </row>
    <row r="386" ht="14.25" customHeight="1">
      <c r="A386" s="34"/>
      <c r="B386" s="34"/>
      <c r="C386" s="34"/>
      <c r="D386" s="35"/>
      <c r="E386" s="20"/>
      <c r="F386" s="36" t="s">
        <v>1736</v>
      </c>
      <c r="G386" s="70" t="s">
        <v>1737</v>
      </c>
      <c r="H386" s="70"/>
      <c r="I386" s="10"/>
      <c r="J386" s="10"/>
      <c r="K386" s="10"/>
      <c r="L386" s="10"/>
      <c r="M386" s="35"/>
      <c r="N386" s="35" t="s">
        <v>1689</v>
      </c>
      <c r="O386" s="35">
        <v>132.0</v>
      </c>
      <c r="P386" s="10" t="s">
        <v>1209</v>
      </c>
      <c r="Q386" s="38" t="s">
        <v>1738</v>
      </c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68" t="s">
        <v>1737</v>
      </c>
      <c r="AC386" s="68" t="s">
        <v>1739</v>
      </c>
      <c r="AD386" s="39"/>
      <c r="AE386" s="39"/>
      <c r="AF386" s="39"/>
      <c r="AG386" s="18"/>
    </row>
    <row r="387" ht="14.25" customHeight="1">
      <c r="A387" s="34" t="s">
        <v>1201</v>
      </c>
      <c r="B387" s="34" t="s">
        <v>1611</v>
      </c>
      <c r="C387" s="34"/>
      <c r="D387" s="35"/>
      <c r="E387" s="20"/>
      <c r="F387" s="36" t="s">
        <v>1740</v>
      </c>
      <c r="G387" s="68" t="s">
        <v>1741</v>
      </c>
      <c r="H387" s="68"/>
      <c r="I387" s="10"/>
      <c r="J387" s="10"/>
      <c r="K387" s="10"/>
      <c r="L387" s="10"/>
      <c r="M387" s="35"/>
      <c r="N387" s="35" t="s">
        <v>1689</v>
      </c>
      <c r="O387" s="35">
        <v>105.0</v>
      </c>
      <c r="P387" s="35" t="s">
        <v>1209</v>
      </c>
      <c r="Q387" s="35" t="s">
        <v>1742</v>
      </c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68" t="str">
        <f t="array" ref="AB387:AC387">VLOOKUP(F387,'[5]PO &amp; SC Dec 2026'!$I$14:$L$1067,{3,4},FALSE)</f>
        <v>#REF!</v>
      </c>
      <c r="AC387" s="68" t="e">
        <v>#REF!</v>
      </c>
      <c r="AD387" s="39"/>
      <c r="AE387" s="39"/>
      <c r="AF387" s="39"/>
      <c r="AG387" s="18"/>
    </row>
    <row r="388" ht="14.25" customHeight="1">
      <c r="A388" s="34" t="s">
        <v>1201</v>
      </c>
      <c r="B388" s="34" t="s">
        <v>1611</v>
      </c>
      <c r="C388" s="34"/>
      <c r="D388" s="35"/>
      <c r="E388" s="20"/>
      <c r="F388" s="36" t="s">
        <v>1743</v>
      </c>
      <c r="G388" s="68" t="s">
        <v>1744</v>
      </c>
      <c r="H388" s="68"/>
      <c r="I388" s="10"/>
      <c r="J388" s="10"/>
      <c r="K388" s="10"/>
      <c r="L388" s="10"/>
      <c r="M388" s="35"/>
      <c r="N388" s="35" t="s">
        <v>1689</v>
      </c>
      <c r="O388" s="35">
        <v>77.0</v>
      </c>
      <c r="P388" s="35" t="s">
        <v>1209</v>
      </c>
      <c r="Q388" s="35" t="s">
        <v>1745</v>
      </c>
      <c r="R388" s="35" t="s">
        <v>1746</v>
      </c>
      <c r="S388" s="35"/>
      <c r="T388" s="35"/>
      <c r="U388" s="35"/>
      <c r="V388" s="35"/>
      <c r="W388" s="35"/>
      <c r="X388" s="35"/>
      <c r="Y388" s="35"/>
      <c r="Z388" s="35"/>
      <c r="AA388" s="35"/>
      <c r="AB388" s="68" t="str">
        <f t="array" ref="AB388:AC388">VLOOKUP(F388,'[5]PO &amp; SC Dec 2026'!$I$14:$L$1067,{3,4},FALSE)</f>
        <v>#REF!</v>
      </c>
      <c r="AC388" s="68" t="e">
        <v>#REF!</v>
      </c>
      <c r="AD388" s="39"/>
      <c r="AE388" s="39"/>
      <c r="AF388" s="39"/>
      <c r="AG388" s="18"/>
    </row>
    <row r="389" ht="14.25" customHeight="1">
      <c r="A389" s="34" t="s">
        <v>1201</v>
      </c>
      <c r="B389" s="34" t="s">
        <v>1611</v>
      </c>
      <c r="C389" s="34"/>
      <c r="D389" s="35"/>
      <c r="E389" s="20"/>
      <c r="F389" s="36" t="s">
        <v>1747</v>
      </c>
      <c r="G389" s="68" t="s">
        <v>1748</v>
      </c>
      <c r="H389" s="68"/>
      <c r="I389" s="10"/>
      <c r="J389" s="10"/>
      <c r="K389" s="10"/>
      <c r="L389" s="10"/>
      <c r="M389" s="35"/>
      <c r="N389" s="35" t="s">
        <v>1689</v>
      </c>
      <c r="O389" s="35">
        <v>117.0</v>
      </c>
      <c r="P389" s="35" t="s">
        <v>1209</v>
      </c>
      <c r="Q389" s="35" t="s">
        <v>1749</v>
      </c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68" t="str">
        <f t="array" ref="AB389:AC389">VLOOKUP(F389,'[5]PO &amp; SC Dec 2026'!$I$14:$L$1067,{3,4},FALSE)</f>
        <v>#REF!</v>
      </c>
      <c r="AC389" s="68" t="e">
        <v>#REF!</v>
      </c>
      <c r="AD389" s="39"/>
      <c r="AE389" s="39"/>
      <c r="AF389" s="39"/>
      <c r="AG389" s="18"/>
    </row>
    <row r="390" ht="14.25" customHeight="1">
      <c r="A390" s="34" t="s">
        <v>1201</v>
      </c>
      <c r="B390" s="34" t="s">
        <v>1611</v>
      </c>
      <c r="C390" s="34"/>
      <c r="D390" s="35"/>
      <c r="E390" s="20"/>
      <c r="F390" s="36" t="s">
        <v>1750</v>
      </c>
      <c r="G390" s="68" t="s">
        <v>1751</v>
      </c>
      <c r="H390" s="68"/>
      <c r="I390" s="10"/>
      <c r="J390" s="10"/>
      <c r="K390" s="10"/>
      <c r="L390" s="10"/>
      <c r="M390" s="35"/>
      <c r="N390" s="35" t="s">
        <v>1689</v>
      </c>
      <c r="O390" s="35">
        <v>83.0</v>
      </c>
      <c r="P390" s="35" t="s">
        <v>1209</v>
      </c>
      <c r="Q390" s="35" t="s">
        <v>1752</v>
      </c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68" t="str">
        <f t="array" ref="AB390:AC390">VLOOKUP(F390,'[5]PO &amp; SC Dec 2026'!$I$14:$L$1067,{3,4},FALSE)</f>
        <v>#REF!</v>
      </c>
      <c r="AC390" s="68" t="e">
        <v>#REF!</v>
      </c>
      <c r="AD390" s="39"/>
      <c r="AE390" s="39"/>
      <c r="AF390" s="39"/>
      <c r="AG390" s="18"/>
    </row>
    <row r="391" ht="14.25" customHeight="1">
      <c r="A391" s="34"/>
      <c r="B391" s="34"/>
      <c r="C391" s="34"/>
      <c r="D391" s="35"/>
      <c r="E391" s="20"/>
      <c r="F391" s="36" t="s">
        <v>1753</v>
      </c>
      <c r="G391" s="68" t="s">
        <v>1754</v>
      </c>
      <c r="H391" s="68"/>
      <c r="I391" s="10"/>
      <c r="J391" s="10"/>
      <c r="K391" s="10"/>
      <c r="L391" s="10"/>
      <c r="M391" s="35"/>
      <c r="N391" s="35" t="s">
        <v>1689</v>
      </c>
      <c r="O391" s="35">
        <v>20.0</v>
      </c>
      <c r="P391" s="35" t="s">
        <v>1209</v>
      </c>
      <c r="Q391" s="35" t="s">
        <v>1755</v>
      </c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68" t="str">
        <f t="array" ref="AB391:AC391">VLOOKUP(F391,'[5]PO &amp; SC Dec 2026'!$I$14:$L$1067,{3,4},FALSE)</f>
        <v>#REF!</v>
      </c>
      <c r="AC391" s="68" t="e">
        <v>#REF!</v>
      </c>
      <c r="AD391" s="39"/>
      <c r="AE391" s="39"/>
      <c r="AF391" s="39"/>
      <c r="AG391" s="18"/>
    </row>
    <row r="392" ht="14.25" customHeight="1">
      <c r="A392" s="34"/>
      <c r="B392" s="34"/>
      <c r="C392" s="34"/>
      <c r="D392" s="35"/>
      <c r="E392" s="20"/>
      <c r="F392" s="36" t="s">
        <v>1756</v>
      </c>
      <c r="G392" s="68" t="s">
        <v>1757</v>
      </c>
      <c r="H392" s="68"/>
      <c r="I392" s="10"/>
      <c r="J392" s="10"/>
      <c r="K392" s="10"/>
      <c r="L392" s="10"/>
      <c r="M392" s="35"/>
      <c r="N392" s="35" t="s">
        <v>1689</v>
      </c>
      <c r="O392" s="35">
        <v>20.0</v>
      </c>
      <c r="P392" s="35" t="s">
        <v>1209</v>
      </c>
      <c r="Q392" s="35" t="s">
        <v>1758</v>
      </c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68" t="str">
        <f t="array" ref="AB392:AC392">VLOOKUP(F392,'[5]PO &amp; SC Dec 2026'!$I$14:$L$1067,{3,4},FALSE)</f>
        <v>#REF!</v>
      </c>
      <c r="AC392" s="68" t="e">
        <v>#REF!</v>
      </c>
      <c r="AD392" s="39"/>
      <c r="AE392" s="39"/>
      <c r="AF392" s="39"/>
      <c r="AG392" s="18"/>
    </row>
    <row r="393" ht="14.25" customHeight="1">
      <c r="A393" s="34"/>
      <c r="B393" s="34"/>
      <c r="C393" s="34"/>
      <c r="D393" s="35"/>
      <c r="E393" s="20"/>
      <c r="F393" s="36" t="s">
        <v>1759</v>
      </c>
      <c r="G393" s="68" t="s">
        <v>1760</v>
      </c>
      <c r="H393" s="68"/>
      <c r="I393" s="10"/>
      <c r="J393" s="10"/>
      <c r="K393" s="10"/>
      <c r="L393" s="10"/>
      <c r="M393" s="35"/>
      <c r="N393" s="35" t="s">
        <v>1689</v>
      </c>
      <c r="O393" s="35">
        <v>4.0</v>
      </c>
      <c r="P393" s="35" t="s">
        <v>1209</v>
      </c>
      <c r="Q393" s="35" t="s">
        <v>1761</v>
      </c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68" t="str">
        <f t="array" ref="AB393:AC393">VLOOKUP(F393,'[5]PO &amp; SC Dec 2026'!$I$14:$L$1067,{3,4},FALSE)</f>
        <v>#REF!</v>
      </c>
      <c r="AC393" s="68" t="e">
        <v>#REF!</v>
      </c>
      <c r="AD393" s="39"/>
      <c r="AE393" s="39"/>
      <c r="AF393" s="39"/>
      <c r="AG393" s="18"/>
    </row>
    <row r="394" ht="14.25" customHeight="1">
      <c r="A394" s="34"/>
      <c r="B394" s="34"/>
      <c r="C394" s="34"/>
      <c r="D394" s="35"/>
      <c r="E394" s="20"/>
      <c r="F394" s="36" t="s">
        <v>1762</v>
      </c>
      <c r="G394" s="68" t="s">
        <v>1763</v>
      </c>
      <c r="H394" s="68"/>
      <c r="I394" s="10"/>
      <c r="J394" s="10"/>
      <c r="K394" s="10"/>
      <c r="L394" s="10"/>
      <c r="M394" s="35"/>
      <c r="N394" s="35" t="s">
        <v>1689</v>
      </c>
      <c r="O394" s="35">
        <v>5.0</v>
      </c>
      <c r="P394" s="35" t="s">
        <v>1209</v>
      </c>
      <c r="Q394" s="35" t="s">
        <v>1764</v>
      </c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68" t="str">
        <f t="array" ref="AB394:AC394">VLOOKUP(F394,'[5]PO &amp; SC Dec 2026'!$I$14:$L$1067,{3,4},FALSE)</f>
        <v>#REF!</v>
      </c>
      <c r="AC394" s="68" t="e">
        <v>#REF!</v>
      </c>
      <c r="AD394" s="39"/>
      <c r="AE394" s="39"/>
      <c r="AF394" s="39"/>
      <c r="AG394" s="18"/>
    </row>
    <row r="395" ht="14.25" customHeight="1">
      <c r="A395" s="34"/>
      <c r="B395" s="34"/>
      <c r="C395" s="34"/>
      <c r="D395" s="35"/>
      <c r="E395" s="20"/>
      <c r="F395" s="36" t="s">
        <v>1765</v>
      </c>
      <c r="G395" s="68" t="s">
        <v>1766</v>
      </c>
      <c r="H395" s="68"/>
      <c r="I395" s="10"/>
      <c r="J395" s="10"/>
      <c r="K395" s="10"/>
      <c r="L395" s="10"/>
      <c r="M395" s="35"/>
      <c r="N395" s="35" t="s">
        <v>1689</v>
      </c>
      <c r="O395" s="35">
        <v>20.0</v>
      </c>
      <c r="P395" s="35" t="s">
        <v>1209</v>
      </c>
      <c r="Q395" s="35" t="s">
        <v>1767</v>
      </c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68" t="str">
        <f t="array" ref="AB395:AC395">VLOOKUP(F395,'[5]PO &amp; SC Dec 2026'!$I$14:$L$1067,{3,4},FALSE)</f>
        <v>#REF!</v>
      </c>
      <c r="AC395" s="68" t="e">
        <v>#REF!</v>
      </c>
      <c r="AD395" s="39"/>
      <c r="AE395" s="39"/>
      <c r="AF395" s="39"/>
      <c r="AG395" s="18"/>
    </row>
    <row r="396" ht="14.25" customHeight="1">
      <c r="A396" s="34"/>
      <c r="B396" s="34"/>
      <c r="C396" s="34"/>
      <c r="D396" s="35"/>
      <c r="E396" s="20"/>
      <c r="F396" s="36" t="s">
        <v>1768</v>
      </c>
      <c r="G396" s="68" t="s">
        <v>1769</v>
      </c>
      <c r="H396" s="68"/>
      <c r="I396" s="10"/>
      <c r="J396" s="10"/>
      <c r="K396" s="10"/>
      <c r="L396" s="10"/>
      <c r="M396" s="35"/>
      <c r="N396" s="35" t="s">
        <v>1689</v>
      </c>
      <c r="O396" s="35">
        <v>7.0</v>
      </c>
      <c r="P396" s="35" t="s">
        <v>1209</v>
      </c>
      <c r="Q396" s="35" t="s">
        <v>1770</v>
      </c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68" t="str">
        <f t="array" ref="AB396:AC396">VLOOKUP(F396,'[5]PO &amp; SC Dec 2026'!$I$14:$L$1067,{3,4},FALSE)</f>
        <v>#REF!</v>
      </c>
      <c r="AC396" s="68" t="e">
        <v>#REF!</v>
      </c>
      <c r="AD396" s="39"/>
      <c r="AE396" s="39"/>
      <c r="AF396" s="39"/>
      <c r="AG396" s="18"/>
    </row>
    <row r="397" ht="14.25" customHeight="1">
      <c r="A397" s="34"/>
      <c r="B397" s="34"/>
      <c r="C397" s="34"/>
      <c r="D397" s="35"/>
      <c r="E397" s="20"/>
      <c r="F397" s="36" t="s">
        <v>1771</v>
      </c>
      <c r="G397" s="68" t="s">
        <v>1772</v>
      </c>
      <c r="H397" s="68"/>
      <c r="I397" s="10"/>
      <c r="J397" s="10"/>
      <c r="K397" s="10"/>
      <c r="L397" s="10"/>
      <c r="M397" s="35"/>
      <c r="N397" s="35" t="s">
        <v>1689</v>
      </c>
      <c r="O397" s="35">
        <v>6.0</v>
      </c>
      <c r="P397" s="35" t="s">
        <v>1209</v>
      </c>
      <c r="Q397" s="35" t="s">
        <v>1773</v>
      </c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68" t="str">
        <f t="array" ref="AB397:AC397">VLOOKUP(F397,'[5]PO &amp; SC Dec 2026'!$I$14:$L$1067,{3,4},FALSE)</f>
        <v>#REF!</v>
      </c>
      <c r="AC397" s="68" t="e">
        <v>#REF!</v>
      </c>
      <c r="AD397" s="39"/>
      <c r="AE397" s="39"/>
      <c r="AF397" s="39"/>
      <c r="AG397" s="18"/>
    </row>
    <row r="398" ht="14.25" customHeight="1">
      <c r="A398" s="34" t="s">
        <v>1201</v>
      </c>
      <c r="B398" s="34" t="s">
        <v>1611</v>
      </c>
      <c r="C398" s="34"/>
      <c r="D398" s="35"/>
      <c r="E398" s="20"/>
      <c r="F398" s="36" t="s">
        <v>1774</v>
      </c>
      <c r="G398" s="68" t="s">
        <v>1775</v>
      </c>
      <c r="H398" s="68"/>
      <c r="I398" s="10"/>
      <c r="J398" s="10"/>
      <c r="K398" s="10"/>
      <c r="L398" s="10"/>
      <c r="M398" s="35"/>
      <c r="N398" s="35" t="s">
        <v>1689</v>
      </c>
      <c r="O398" s="35">
        <v>117.0</v>
      </c>
      <c r="P398" s="35" t="s">
        <v>1209</v>
      </c>
      <c r="Q398" s="35" t="s">
        <v>1776</v>
      </c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68" t="str">
        <f t="array" ref="AB398:AC398">VLOOKUP(F398,'[5]PO &amp; SC Dec 2026'!$I$14:$L$1067,{3,4},FALSE)</f>
        <v>#REF!</v>
      </c>
      <c r="AC398" s="68" t="e">
        <v>#REF!</v>
      </c>
      <c r="AD398" s="39"/>
      <c r="AE398" s="39"/>
      <c r="AF398" s="39"/>
      <c r="AG398" s="18"/>
    </row>
    <row r="399" ht="14.25" customHeight="1">
      <c r="A399" s="40" t="s">
        <v>1201</v>
      </c>
      <c r="B399" s="40" t="s">
        <v>1611</v>
      </c>
      <c r="C399" s="40"/>
      <c r="D399" s="41"/>
      <c r="E399" s="20"/>
      <c r="F399" s="59" t="s">
        <v>1777</v>
      </c>
      <c r="G399" s="69" t="s">
        <v>1778</v>
      </c>
      <c r="H399" s="69"/>
      <c r="I399" s="10"/>
      <c r="J399" s="10"/>
      <c r="K399" s="10"/>
      <c r="L399" s="10"/>
      <c r="M399" s="41"/>
      <c r="N399" s="41" t="s">
        <v>1689</v>
      </c>
      <c r="O399" s="41">
        <v>117.0</v>
      </c>
      <c r="P399" s="41" t="s">
        <v>1209</v>
      </c>
      <c r="Q399" s="41" t="s">
        <v>1779</v>
      </c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69" t="str">
        <f t="array" ref="AB399:AC399">VLOOKUP(F399,'[5]PO &amp; SC Dec 2026'!$I$14:$L$1067,{3,4},FALSE)</f>
        <v>#REF!</v>
      </c>
      <c r="AC399" s="69" t="e">
        <v>#REF!</v>
      </c>
      <c r="AD399" s="44"/>
      <c r="AE399" s="44"/>
      <c r="AF399" s="44"/>
      <c r="AG399" s="18"/>
    </row>
    <row r="400" ht="14.25" customHeight="1">
      <c r="A400" s="34"/>
      <c r="B400" s="34"/>
      <c r="C400" s="34"/>
      <c r="D400" s="35"/>
      <c r="E400" s="20"/>
      <c r="F400" s="36" t="s">
        <v>1780</v>
      </c>
      <c r="G400" s="68" t="s">
        <v>1781</v>
      </c>
      <c r="H400" s="68"/>
      <c r="I400" s="10"/>
      <c r="J400" s="10"/>
      <c r="K400" s="10"/>
      <c r="L400" s="10"/>
      <c r="M400" s="35"/>
      <c r="N400" s="35" t="s">
        <v>1689</v>
      </c>
      <c r="O400" s="35">
        <v>12.2</v>
      </c>
      <c r="P400" s="35" t="s">
        <v>1209</v>
      </c>
      <c r="Q400" s="35" t="s">
        <v>1782</v>
      </c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68" t="str">
        <f t="array" ref="AB400:AC400">VLOOKUP(F400,'[5]PO &amp; SC Dec 2026'!$I$14:$L$1067,{3,4},FALSE)</f>
        <v>#REF!</v>
      </c>
      <c r="AC400" s="68" t="e">
        <v>#REF!</v>
      </c>
      <c r="AD400" s="39"/>
      <c r="AE400" s="39"/>
      <c r="AF400" s="39"/>
      <c r="AG400" s="18"/>
    </row>
    <row r="401" ht="14.25" customHeight="1">
      <c r="A401" s="34"/>
      <c r="B401" s="34"/>
      <c r="C401" s="34"/>
      <c r="D401" s="35"/>
      <c r="E401" s="20"/>
      <c r="F401" s="36" t="s">
        <v>1783</v>
      </c>
      <c r="G401" s="68" t="s">
        <v>1784</v>
      </c>
      <c r="H401" s="68"/>
      <c r="I401" s="10"/>
      <c r="J401" s="10"/>
      <c r="K401" s="10"/>
      <c r="L401" s="10"/>
      <c r="M401" s="35"/>
      <c r="N401" s="35" t="s">
        <v>1689</v>
      </c>
      <c r="O401" s="35">
        <v>12.2</v>
      </c>
      <c r="P401" s="35" t="s">
        <v>1209</v>
      </c>
      <c r="Q401" s="35" t="s">
        <v>1785</v>
      </c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68" t="str">
        <f t="array" ref="AB401:AC401">VLOOKUP(F401,'[5]PO &amp; SC Dec 2026'!$I$14:$L$1067,{3,4},FALSE)</f>
        <v>#REF!</v>
      </c>
      <c r="AC401" s="68" t="e">
        <v>#REF!</v>
      </c>
      <c r="AD401" s="39"/>
      <c r="AE401" s="39"/>
      <c r="AF401" s="39"/>
      <c r="AG401" s="18"/>
    </row>
    <row r="402" ht="14.25" customHeight="1">
      <c r="A402" s="34"/>
      <c r="B402" s="34"/>
      <c r="C402" s="34"/>
      <c r="D402" s="35"/>
      <c r="E402" s="20"/>
      <c r="F402" s="36" t="s">
        <v>1786</v>
      </c>
      <c r="G402" s="68" t="s">
        <v>1787</v>
      </c>
      <c r="H402" s="68"/>
      <c r="I402" s="10"/>
      <c r="J402" s="10"/>
      <c r="K402" s="10"/>
      <c r="L402" s="10"/>
      <c r="M402" s="35"/>
      <c r="N402" s="35" t="s">
        <v>1689</v>
      </c>
      <c r="O402" s="35">
        <v>14.4</v>
      </c>
      <c r="P402" s="35" t="s">
        <v>1209</v>
      </c>
      <c r="Q402" s="35" t="s">
        <v>1788</v>
      </c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68" t="str">
        <f t="array" ref="AB402:AC402">VLOOKUP(F402,'[5]PO &amp; SC Dec 2026'!$I$14:$L$1067,{3,4},FALSE)</f>
        <v>#REF!</v>
      </c>
      <c r="AC402" s="68" t="e">
        <v>#REF!</v>
      </c>
      <c r="AD402" s="39"/>
      <c r="AE402" s="39"/>
      <c r="AF402" s="39"/>
      <c r="AG402" s="18"/>
    </row>
    <row r="403" ht="14.25" customHeight="1">
      <c r="A403" s="34"/>
      <c r="B403" s="34"/>
      <c r="C403" s="34"/>
      <c r="D403" s="35"/>
      <c r="E403" s="20"/>
      <c r="F403" s="36" t="s">
        <v>1789</v>
      </c>
      <c r="G403" s="68" t="s">
        <v>1790</v>
      </c>
      <c r="H403" s="68"/>
      <c r="I403" s="10"/>
      <c r="J403" s="10"/>
      <c r="K403" s="10"/>
      <c r="L403" s="10"/>
      <c r="M403" s="35"/>
      <c r="N403" s="35" t="s">
        <v>1689</v>
      </c>
      <c r="O403" s="35">
        <v>11.4</v>
      </c>
      <c r="P403" s="35" t="s">
        <v>1209</v>
      </c>
      <c r="Q403" s="35" t="s">
        <v>1791</v>
      </c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68" t="str">
        <f t="array" ref="AB403:AC403">VLOOKUP(F403,'[5]PO &amp; SC Dec 2026'!$I$14:$L$1067,{3,4},FALSE)</f>
        <v>#REF!</v>
      </c>
      <c r="AC403" s="68" t="e">
        <v>#REF!</v>
      </c>
      <c r="AD403" s="39"/>
      <c r="AE403" s="39"/>
      <c r="AF403" s="39"/>
      <c r="AG403" s="18"/>
    </row>
    <row r="404" ht="14.25" customHeight="1">
      <c r="A404" s="34"/>
      <c r="B404" s="34"/>
      <c r="C404" s="34"/>
      <c r="D404" s="35"/>
      <c r="E404" s="20"/>
      <c r="F404" s="36" t="s">
        <v>1792</v>
      </c>
      <c r="G404" s="68" t="s">
        <v>1793</v>
      </c>
      <c r="H404" s="68"/>
      <c r="I404" s="10"/>
      <c r="J404" s="10"/>
      <c r="K404" s="10"/>
      <c r="L404" s="10"/>
      <c r="M404" s="35"/>
      <c r="N404" s="35" t="s">
        <v>1689</v>
      </c>
      <c r="O404" s="35">
        <v>11.4</v>
      </c>
      <c r="P404" s="35" t="s">
        <v>1209</v>
      </c>
      <c r="Q404" s="35" t="s">
        <v>1794</v>
      </c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68" t="str">
        <f t="array" ref="AB404:AC404">VLOOKUP(F404,'[5]PO &amp; SC Dec 2026'!$I$14:$L$1067,{3,4},FALSE)</f>
        <v>#REF!</v>
      </c>
      <c r="AC404" s="68" t="e">
        <v>#REF!</v>
      </c>
      <c r="AD404" s="39"/>
      <c r="AE404" s="39"/>
      <c r="AF404" s="39"/>
      <c r="AG404" s="18"/>
    </row>
    <row r="405" ht="14.25" customHeight="1">
      <c r="A405" s="34"/>
      <c r="B405" s="34"/>
      <c r="C405" s="34"/>
      <c r="D405" s="35"/>
      <c r="E405" s="20"/>
      <c r="F405" s="36" t="s">
        <v>1795</v>
      </c>
      <c r="G405" s="68" t="s">
        <v>1796</v>
      </c>
      <c r="H405" s="68"/>
      <c r="I405" s="10"/>
      <c r="J405" s="10"/>
      <c r="K405" s="10"/>
      <c r="L405" s="10"/>
      <c r="M405" s="35"/>
      <c r="N405" s="35" t="s">
        <v>1689</v>
      </c>
      <c r="O405" s="35">
        <v>2.44</v>
      </c>
      <c r="P405" s="35" t="s">
        <v>1209</v>
      </c>
      <c r="Q405" s="35" t="s">
        <v>1797</v>
      </c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68" t="str">
        <f t="array" ref="AB405:AC405">VLOOKUP(F405,'[5]PO &amp; SC Dec 2026'!$I$14:$L$1067,{3,4},FALSE)</f>
        <v>#REF!</v>
      </c>
      <c r="AC405" s="68" t="e">
        <v>#REF!</v>
      </c>
      <c r="AD405" s="39"/>
      <c r="AE405" s="39"/>
      <c r="AF405" s="39"/>
      <c r="AG405" s="18"/>
    </row>
    <row r="406" ht="14.25" customHeight="1">
      <c r="A406" s="34"/>
      <c r="B406" s="34"/>
      <c r="C406" s="34"/>
      <c r="D406" s="35"/>
      <c r="E406" s="20"/>
      <c r="F406" s="36" t="s">
        <v>1798</v>
      </c>
      <c r="G406" s="68" t="s">
        <v>1799</v>
      </c>
      <c r="H406" s="68"/>
      <c r="I406" s="10"/>
      <c r="J406" s="10"/>
      <c r="K406" s="10"/>
      <c r="L406" s="10"/>
      <c r="M406" s="35"/>
      <c r="N406" s="35" t="s">
        <v>1689</v>
      </c>
      <c r="O406" s="35">
        <v>3.69</v>
      </c>
      <c r="P406" s="35" t="s">
        <v>1209</v>
      </c>
      <c r="Q406" s="35" t="s">
        <v>1800</v>
      </c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68" t="str">
        <f t="array" ref="AB406:AC406">VLOOKUP(F406,'[5]PO &amp; SC Dec 2026'!$I$14:$L$1067,{3,4},FALSE)</f>
        <v>#REF!</v>
      </c>
      <c r="AC406" s="68" t="e">
        <v>#REF!</v>
      </c>
      <c r="AD406" s="39"/>
      <c r="AE406" s="39"/>
      <c r="AF406" s="39"/>
      <c r="AG406" s="18"/>
    </row>
    <row r="407" ht="14.25" customHeight="1">
      <c r="A407" s="34"/>
      <c r="B407" s="34"/>
      <c r="C407" s="34"/>
      <c r="D407" s="35"/>
      <c r="E407" s="20"/>
      <c r="F407" s="36" t="s">
        <v>1801</v>
      </c>
      <c r="G407" s="68" t="s">
        <v>1802</v>
      </c>
      <c r="H407" s="68"/>
      <c r="I407" s="10"/>
      <c r="J407" s="10"/>
      <c r="K407" s="10"/>
      <c r="L407" s="10"/>
      <c r="M407" s="35"/>
      <c r="N407" s="35" t="s">
        <v>1689</v>
      </c>
      <c r="O407" s="35">
        <v>1.57</v>
      </c>
      <c r="P407" s="35" t="s">
        <v>1209</v>
      </c>
      <c r="Q407" s="35" t="s">
        <v>1803</v>
      </c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68" t="str">
        <f t="array" ref="AB407:AC407">VLOOKUP(F407,'[5]PO &amp; SC Dec 2026'!$I$14:$L$1067,{3,4},FALSE)</f>
        <v>#REF!</v>
      </c>
      <c r="AC407" s="68" t="e">
        <v>#REF!</v>
      </c>
      <c r="AD407" s="39"/>
      <c r="AE407" s="39"/>
      <c r="AF407" s="39"/>
      <c r="AG407" s="18"/>
    </row>
    <row r="408" ht="14.25" customHeight="1">
      <c r="A408" s="34"/>
      <c r="B408" s="34"/>
      <c r="C408" s="34"/>
      <c r="D408" s="35"/>
      <c r="E408" s="20"/>
      <c r="F408" s="36" t="s">
        <v>1804</v>
      </c>
      <c r="G408" s="68" t="s">
        <v>1805</v>
      </c>
      <c r="H408" s="68"/>
      <c r="I408" s="10"/>
      <c r="J408" s="10"/>
      <c r="K408" s="10"/>
      <c r="L408" s="10"/>
      <c r="M408" s="35"/>
      <c r="N408" s="35" t="s">
        <v>1689</v>
      </c>
      <c r="O408" s="35">
        <v>7.38</v>
      </c>
      <c r="P408" s="35" t="s">
        <v>1209</v>
      </c>
      <c r="Q408" s="35" t="s">
        <v>1806</v>
      </c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68" t="str">
        <f t="array" ref="AB408:AC408">VLOOKUP(F408,'[5]PO &amp; SC Dec 2026'!$I$14:$L$1067,{3,4},FALSE)</f>
        <v>#REF!</v>
      </c>
      <c r="AC408" s="68" t="e">
        <v>#REF!</v>
      </c>
      <c r="AD408" s="39"/>
      <c r="AE408" s="39"/>
      <c r="AF408" s="39"/>
      <c r="AG408" s="18"/>
    </row>
    <row r="409" ht="14.25" customHeight="1">
      <c r="A409" s="34"/>
      <c r="B409" s="34"/>
      <c r="C409" s="34"/>
      <c r="D409" s="35"/>
      <c r="E409" s="20"/>
      <c r="F409" s="36" t="s">
        <v>1807</v>
      </c>
      <c r="G409" s="68" t="s">
        <v>1808</v>
      </c>
      <c r="H409" s="68"/>
      <c r="I409" s="10"/>
      <c r="J409" s="10"/>
      <c r="K409" s="10"/>
      <c r="L409" s="10"/>
      <c r="M409" s="35"/>
      <c r="N409" s="35" t="s">
        <v>1689</v>
      </c>
      <c r="O409" s="35">
        <v>0.085</v>
      </c>
      <c r="P409" s="35" t="s">
        <v>1209</v>
      </c>
      <c r="Q409" s="35" t="s">
        <v>1809</v>
      </c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68" t="str">
        <f t="array" ref="AB409:AC409">VLOOKUP(F409,'[5]PO &amp; SC Dec 2026'!$I$14:$L$1067,{3,4},FALSE)</f>
        <v>#REF!</v>
      </c>
      <c r="AC409" s="68" t="e">
        <v>#REF!</v>
      </c>
      <c r="AD409" s="39"/>
      <c r="AE409" s="39"/>
      <c r="AF409" s="39"/>
      <c r="AG409" s="18"/>
    </row>
    <row r="410" ht="14.25" customHeight="1">
      <c r="A410" s="34"/>
      <c r="B410" s="34"/>
      <c r="C410" s="34"/>
      <c r="D410" s="35"/>
      <c r="E410" s="20"/>
      <c r="F410" s="36" t="s">
        <v>1810</v>
      </c>
      <c r="G410" s="68" t="s">
        <v>1811</v>
      </c>
      <c r="H410" s="68"/>
      <c r="I410" s="10"/>
      <c r="J410" s="10"/>
      <c r="K410" s="10"/>
      <c r="L410" s="10"/>
      <c r="M410" s="35"/>
      <c r="N410" s="35" t="s">
        <v>1689</v>
      </c>
      <c r="O410" s="35">
        <v>0.122</v>
      </c>
      <c r="P410" s="35" t="s">
        <v>1209</v>
      </c>
      <c r="Q410" s="35" t="s">
        <v>1812</v>
      </c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68" t="str">
        <f t="array" ref="AB410:AC410">VLOOKUP(F410,'[5]PO &amp; SC Dec 2026'!$I$14:$L$1067,{3,4},FALSE)</f>
        <v>#REF!</v>
      </c>
      <c r="AC410" s="68" t="e">
        <v>#REF!</v>
      </c>
      <c r="AD410" s="39"/>
      <c r="AE410" s="39"/>
      <c r="AF410" s="39"/>
      <c r="AG410" s="18"/>
    </row>
    <row r="411" ht="14.25" customHeight="1">
      <c r="A411" s="9"/>
      <c r="B411" s="9"/>
      <c r="C411" s="9"/>
      <c r="D411" s="10"/>
      <c r="E411" s="20"/>
      <c r="F411" s="23"/>
      <c r="G411" s="65"/>
      <c r="H411" s="65"/>
      <c r="I411" s="10"/>
      <c r="J411" s="10"/>
      <c r="K411" s="10"/>
      <c r="L411" s="10"/>
      <c r="M411" s="10"/>
      <c r="N411" s="10"/>
      <c r="O411" s="10"/>
      <c r="P411" s="10"/>
      <c r="Q411" s="10"/>
      <c r="R411" s="16"/>
      <c r="S411" s="16"/>
      <c r="T411" s="16"/>
      <c r="U411" s="16"/>
      <c r="V411" s="16"/>
      <c r="W411" s="16"/>
      <c r="X411" s="16"/>
      <c r="Y411" s="16"/>
      <c r="Z411" s="16"/>
      <c r="AA411" s="10"/>
      <c r="AB411" s="65"/>
      <c r="AC411" s="65"/>
      <c r="AD411" s="17"/>
      <c r="AE411" s="17"/>
      <c r="AF411" s="17"/>
      <c r="AG411" s="18"/>
    </row>
    <row r="412" ht="14.25" customHeight="1">
      <c r="A412" s="71" t="s">
        <v>1813</v>
      </c>
      <c r="B412" s="71" t="s">
        <v>1814</v>
      </c>
      <c r="C412" s="71"/>
      <c r="D412" s="72"/>
      <c r="E412" s="72"/>
      <c r="F412" s="73" t="s">
        <v>1815</v>
      </c>
      <c r="G412" s="74" t="s">
        <v>1816</v>
      </c>
      <c r="H412" s="74"/>
      <c r="I412" s="72"/>
      <c r="J412" s="72"/>
      <c r="K412" s="72"/>
      <c r="L412" s="72"/>
      <c r="M412" s="72"/>
      <c r="N412" s="72" t="s">
        <v>1817</v>
      </c>
      <c r="O412" s="72">
        <v>5.8</v>
      </c>
      <c r="P412" s="72" t="s">
        <v>1209</v>
      </c>
      <c r="Q412" s="75" t="s">
        <v>1818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4" t="s">
        <v>1819</v>
      </c>
      <c r="AC412" s="74" t="s">
        <v>1820</v>
      </c>
      <c r="AD412" s="76"/>
      <c r="AE412" s="76"/>
      <c r="AF412" s="76"/>
      <c r="AG412" s="18"/>
    </row>
    <row r="413" ht="14.25" customHeight="1">
      <c r="A413" s="71" t="s">
        <v>1813</v>
      </c>
      <c r="B413" s="71" t="s">
        <v>1814</v>
      </c>
      <c r="C413" s="71"/>
      <c r="D413" s="72"/>
      <c r="E413" s="72"/>
      <c r="F413" s="73" t="s">
        <v>1821</v>
      </c>
      <c r="G413" s="74" t="s">
        <v>1822</v>
      </c>
      <c r="H413" s="74"/>
      <c r="I413" s="72"/>
      <c r="J413" s="72"/>
      <c r="K413" s="72"/>
      <c r="L413" s="72"/>
      <c r="M413" s="72"/>
      <c r="N413" s="72" t="s">
        <v>1817</v>
      </c>
      <c r="O413" s="72">
        <v>0.12</v>
      </c>
      <c r="P413" s="72" t="s">
        <v>1209</v>
      </c>
      <c r="Q413" s="75" t="s">
        <v>1823</v>
      </c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4" t="s">
        <v>1824</v>
      </c>
      <c r="AC413" s="74" t="s">
        <v>1825</v>
      </c>
      <c r="AD413" s="76"/>
      <c r="AE413" s="76"/>
      <c r="AF413" s="76"/>
      <c r="AG413" s="18"/>
    </row>
    <row r="414" ht="14.25" customHeight="1">
      <c r="A414" s="71" t="s">
        <v>1813</v>
      </c>
      <c r="B414" s="71" t="s">
        <v>1814</v>
      </c>
      <c r="C414" s="71"/>
      <c r="D414" s="72"/>
      <c r="E414" s="72"/>
      <c r="F414" s="73" t="s">
        <v>1826</v>
      </c>
      <c r="G414" s="74" t="s">
        <v>1827</v>
      </c>
      <c r="H414" s="74"/>
      <c r="I414" s="72"/>
      <c r="J414" s="72"/>
      <c r="K414" s="72"/>
      <c r="L414" s="72"/>
      <c r="M414" s="72"/>
      <c r="N414" s="72" t="s">
        <v>1817</v>
      </c>
      <c r="O414" s="72">
        <v>0.12</v>
      </c>
      <c r="P414" s="72" t="s">
        <v>1209</v>
      </c>
      <c r="Q414" s="75" t="s">
        <v>1828</v>
      </c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4" t="s">
        <v>1829</v>
      </c>
      <c r="AC414" s="74" t="s">
        <v>1830</v>
      </c>
      <c r="AD414" s="76"/>
      <c r="AE414" s="76"/>
      <c r="AF414" s="76"/>
      <c r="AG414" s="18"/>
    </row>
    <row r="415" ht="14.25" customHeight="1">
      <c r="A415" s="71" t="s">
        <v>1813</v>
      </c>
      <c r="B415" s="71" t="s">
        <v>1814</v>
      </c>
      <c r="C415" s="71"/>
      <c r="D415" s="72"/>
      <c r="E415" s="72"/>
      <c r="F415" s="73" t="s">
        <v>1831</v>
      </c>
      <c r="G415" s="74" t="s">
        <v>1832</v>
      </c>
      <c r="H415" s="74"/>
      <c r="I415" s="72"/>
      <c r="J415" s="72"/>
      <c r="K415" s="72"/>
      <c r="L415" s="72"/>
      <c r="M415" s="72"/>
      <c r="N415" s="72" t="s">
        <v>1817</v>
      </c>
      <c r="O415" s="72">
        <v>0.2</v>
      </c>
      <c r="P415" s="72" t="s">
        <v>1209</v>
      </c>
      <c r="Q415" s="75" t="s">
        <v>1833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4" t="s">
        <v>1834</v>
      </c>
      <c r="AC415" s="74" t="s">
        <v>1835</v>
      </c>
      <c r="AD415" s="76"/>
      <c r="AE415" s="76"/>
      <c r="AF415" s="76"/>
      <c r="AG415" s="18"/>
    </row>
    <row r="416" ht="14.25" customHeight="1">
      <c r="A416" s="77"/>
      <c r="B416" s="77"/>
      <c r="C416" s="77"/>
      <c r="D416" s="18"/>
      <c r="E416" s="18"/>
      <c r="F416" s="77"/>
      <c r="G416" s="78"/>
      <c r="H416" s="7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58"/>
      <c r="AC416" s="58"/>
      <c r="AD416" s="58"/>
      <c r="AE416" s="58"/>
      <c r="AF416" s="58"/>
      <c r="AG416" s="18"/>
    </row>
    <row r="417" ht="14.25" customHeight="1">
      <c r="A417" s="77"/>
      <c r="B417" s="77"/>
      <c r="C417" s="77"/>
      <c r="D417" s="18"/>
      <c r="E417" s="18"/>
      <c r="F417" s="77"/>
      <c r="G417" s="78"/>
      <c r="H417" s="7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58"/>
      <c r="AC417" s="58"/>
      <c r="AD417" s="58"/>
      <c r="AE417" s="58"/>
      <c r="AF417" s="58"/>
      <c r="AG417" s="18"/>
    </row>
    <row r="418" ht="14.25" customHeight="1">
      <c r="A418" s="77"/>
      <c r="B418" s="77"/>
      <c r="C418" s="77"/>
      <c r="D418" s="18"/>
      <c r="E418" s="18"/>
      <c r="F418" s="77"/>
      <c r="G418" s="78"/>
      <c r="H418" s="7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58"/>
      <c r="AC418" s="58"/>
      <c r="AD418" s="58"/>
      <c r="AE418" s="58"/>
      <c r="AF418" s="58"/>
      <c r="AG418" s="18"/>
    </row>
    <row r="419" ht="14.25" customHeight="1">
      <c r="A419" s="77"/>
      <c r="B419" s="77"/>
      <c r="C419" s="77"/>
      <c r="D419" s="18"/>
      <c r="E419" s="18"/>
      <c r="F419" s="77"/>
      <c r="G419" s="78"/>
      <c r="H419" s="7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58"/>
      <c r="AC419" s="58"/>
      <c r="AD419" s="58"/>
      <c r="AE419" s="58"/>
      <c r="AF419" s="58"/>
      <c r="AG419" s="18"/>
    </row>
    <row r="420" ht="14.25" customHeight="1">
      <c r="A420" s="77"/>
      <c r="B420" s="77"/>
      <c r="C420" s="77"/>
      <c r="D420" s="18"/>
      <c r="E420" s="18"/>
      <c r="F420" s="77"/>
      <c r="G420" s="78"/>
      <c r="H420" s="7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58"/>
      <c r="AC420" s="58"/>
      <c r="AD420" s="58"/>
      <c r="AE420" s="58"/>
      <c r="AF420" s="58"/>
      <c r="AG420" s="18"/>
    </row>
    <row r="421" ht="14.25" customHeight="1">
      <c r="A421" s="77"/>
      <c r="B421" s="77"/>
      <c r="C421" s="77"/>
      <c r="D421" s="18"/>
      <c r="E421" s="18"/>
      <c r="F421" s="77"/>
      <c r="G421" s="78"/>
      <c r="H421" s="7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58"/>
      <c r="AC421" s="58"/>
      <c r="AD421" s="58"/>
      <c r="AE421" s="58"/>
      <c r="AF421" s="58"/>
      <c r="AG421" s="18"/>
    </row>
    <row r="422" ht="14.25" customHeight="1">
      <c r="A422" s="77"/>
      <c r="B422" s="77"/>
      <c r="C422" s="77"/>
      <c r="D422" s="18"/>
      <c r="E422" s="18"/>
      <c r="F422" s="77"/>
      <c r="G422" s="78"/>
      <c r="H422" s="7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58"/>
      <c r="AC422" s="58"/>
      <c r="AD422" s="58"/>
      <c r="AE422" s="58"/>
      <c r="AF422" s="58"/>
      <c r="AG422" s="18"/>
    </row>
    <row r="423" ht="14.25" customHeight="1">
      <c r="A423" s="77"/>
      <c r="B423" s="77"/>
      <c r="C423" s="77"/>
      <c r="D423" s="18"/>
      <c r="E423" s="18"/>
      <c r="F423" s="77"/>
      <c r="G423" s="78"/>
      <c r="H423" s="7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58"/>
      <c r="AC423" s="58"/>
      <c r="AD423" s="58"/>
      <c r="AE423" s="58"/>
      <c r="AF423" s="58"/>
      <c r="AG423" s="18"/>
    </row>
    <row r="424" ht="14.25" customHeight="1">
      <c r="A424" s="77"/>
      <c r="B424" s="77"/>
      <c r="C424" s="77"/>
      <c r="D424" s="18"/>
      <c r="E424" s="18"/>
      <c r="F424" s="77"/>
      <c r="G424" s="78"/>
      <c r="H424" s="7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58"/>
      <c r="AC424" s="58"/>
      <c r="AD424" s="58"/>
      <c r="AE424" s="58"/>
      <c r="AF424" s="58"/>
      <c r="AG424" s="18"/>
    </row>
    <row r="425" ht="14.25" customHeight="1">
      <c r="A425" s="77"/>
      <c r="B425" s="77"/>
      <c r="C425" s="77"/>
      <c r="D425" s="18"/>
      <c r="E425" s="18"/>
      <c r="F425" s="77"/>
      <c r="G425" s="78"/>
      <c r="H425" s="7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58"/>
      <c r="AC425" s="58"/>
      <c r="AD425" s="58"/>
      <c r="AE425" s="58"/>
      <c r="AF425" s="58"/>
      <c r="AG425" s="18"/>
    </row>
    <row r="426" ht="14.25" customHeight="1">
      <c r="A426" s="77"/>
      <c r="B426" s="77"/>
      <c r="C426" s="77"/>
      <c r="D426" s="18"/>
      <c r="E426" s="18"/>
      <c r="F426" s="77"/>
      <c r="G426" s="78"/>
      <c r="H426" s="7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58"/>
      <c r="AC426" s="58"/>
      <c r="AD426" s="58"/>
      <c r="AE426" s="58"/>
      <c r="AF426" s="58"/>
      <c r="AG426" s="18"/>
    </row>
    <row r="427" ht="14.25" customHeight="1">
      <c r="A427" s="77"/>
      <c r="B427" s="77"/>
      <c r="C427" s="77"/>
      <c r="D427" s="18"/>
      <c r="E427" s="18"/>
      <c r="F427" s="77"/>
      <c r="G427" s="78"/>
      <c r="H427" s="7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58"/>
      <c r="AC427" s="58"/>
      <c r="AD427" s="58"/>
      <c r="AE427" s="58"/>
      <c r="AF427" s="58"/>
      <c r="AG427" s="18"/>
    </row>
    <row r="428" ht="14.25" customHeight="1">
      <c r="A428" s="77"/>
      <c r="B428" s="77"/>
      <c r="C428" s="77"/>
      <c r="D428" s="18"/>
      <c r="E428" s="18"/>
      <c r="F428" s="77"/>
      <c r="G428" s="78"/>
      <c r="H428" s="7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58"/>
      <c r="AC428" s="58"/>
      <c r="AD428" s="58"/>
      <c r="AE428" s="58"/>
      <c r="AF428" s="58"/>
      <c r="AG428" s="18"/>
    </row>
    <row r="429" ht="14.25" customHeight="1">
      <c r="A429" s="77"/>
      <c r="B429" s="77"/>
      <c r="C429" s="77"/>
      <c r="D429" s="18"/>
      <c r="E429" s="18"/>
      <c r="F429" s="77"/>
      <c r="G429" s="78"/>
      <c r="H429" s="7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58"/>
      <c r="AC429" s="58"/>
      <c r="AD429" s="58"/>
      <c r="AE429" s="58"/>
      <c r="AF429" s="58"/>
      <c r="AG429" s="18"/>
    </row>
    <row r="430" ht="14.25" customHeight="1">
      <c r="A430" s="77"/>
      <c r="B430" s="77"/>
      <c r="C430" s="77"/>
      <c r="D430" s="18"/>
      <c r="E430" s="18"/>
      <c r="F430" s="77"/>
      <c r="G430" s="78"/>
      <c r="H430" s="7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58"/>
      <c r="AC430" s="58"/>
      <c r="AD430" s="58"/>
      <c r="AE430" s="58"/>
      <c r="AF430" s="58"/>
      <c r="AG430" s="18"/>
    </row>
    <row r="431" ht="14.25" customHeight="1">
      <c r="A431" s="77"/>
      <c r="B431" s="77"/>
      <c r="C431" s="77"/>
      <c r="D431" s="18"/>
      <c r="E431" s="18"/>
      <c r="F431" s="77"/>
      <c r="G431" s="78"/>
      <c r="H431" s="7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58"/>
      <c r="AC431" s="58"/>
      <c r="AD431" s="58"/>
      <c r="AE431" s="58"/>
      <c r="AF431" s="58"/>
      <c r="AG431" s="18"/>
    </row>
    <row r="432" ht="14.25" customHeight="1">
      <c r="A432" s="77"/>
      <c r="B432" s="77"/>
      <c r="C432" s="77"/>
      <c r="D432" s="18"/>
      <c r="E432" s="18"/>
      <c r="F432" s="77"/>
      <c r="G432" s="78"/>
      <c r="H432" s="7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58"/>
      <c r="AC432" s="58"/>
      <c r="AD432" s="58"/>
      <c r="AE432" s="58"/>
      <c r="AF432" s="58"/>
      <c r="AG432" s="18"/>
    </row>
    <row r="433" ht="14.25" customHeight="1">
      <c r="A433" s="77"/>
      <c r="B433" s="77"/>
      <c r="C433" s="77"/>
      <c r="D433" s="18"/>
      <c r="E433" s="18"/>
      <c r="F433" s="77"/>
      <c r="G433" s="78"/>
      <c r="H433" s="7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58"/>
      <c r="AC433" s="58"/>
      <c r="AD433" s="58"/>
      <c r="AE433" s="58"/>
      <c r="AF433" s="58"/>
      <c r="AG433" s="18"/>
    </row>
    <row r="434" ht="14.25" customHeight="1">
      <c r="A434" s="77"/>
      <c r="B434" s="77"/>
      <c r="C434" s="77"/>
      <c r="D434" s="18"/>
      <c r="E434" s="18"/>
      <c r="F434" s="77"/>
      <c r="G434" s="78"/>
      <c r="H434" s="7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58"/>
      <c r="AC434" s="58"/>
      <c r="AD434" s="58"/>
      <c r="AE434" s="58"/>
      <c r="AF434" s="58"/>
      <c r="AG434" s="18"/>
    </row>
    <row r="435" ht="14.25" customHeight="1">
      <c r="A435" s="77"/>
      <c r="B435" s="77"/>
      <c r="C435" s="77"/>
      <c r="D435" s="18"/>
      <c r="E435" s="18"/>
      <c r="F435" s="77"/>
      <c r="G435" s="78"/>
      <c r="H435" s="7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58"/>
      <c r="AC435" s="58"/>
      <c r="AD435" s="58"/>
      <c r="AE435" s="58"/>
      <c r="AF435" s="58"/>
      <c r="AG435" s="18"/>
    </row>
    <row r="436" ht="14.25" customHeight="1">
      <c r="A436" s="77"/>
      <c r="B436" s="77"/>
      <c r="C436" s="77"/>
      <c r="D436" s="18"/>
      <c r="E436" s="18"/>
      <c r="F436" s="77"/>
      <c r="G436" s="78"/>
      <c r="H436" s="7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58"/>
      <c r="AC436" s="58"/>
      <c r="AD436" s="58"/>
      <c r="AE436" s="58"/>
      <c r="AF436" s="58"/>
      <c r="AG436" s="18"/>
    </row>
    <row r="437" ht="14.25" customHeight="1">
      <c r="A437" s="77"/>
      <c r="B437" s="77"/>
      <c r="C437" s="77"/>
      <c r="D437" s="18"/>
      <c r="E437" s="18"/>
      <c r="F437" s="77"/>
      <c r="G437" s="78"/>
      <c r="H437" s="7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58"/>
      <c r="AC437" s="58"/>
      <c r="AD437" s="58"/>
      <c r="AE437" s="58"/>
      <c r="AF437" s="58"/>
      <c r="AG437" s="18"/>
    </row>
    <row r="438" ht="14.25" customHeight="1">
      <c r="A438" s="77"/>
      <c r="B438" s="77"/>
      <c r="C438" s="77"/>
      <c r="D438" s="18"/>
      <c r="E438" s="18"/>
      <c r="F438" s="77"/>
      <c r="G438" s="78"/>
      <c r="H438" s="7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58"/>
      <c r="AC438" s="58"/>
      <c r="AD438" s="58"/>
      <c r="AE438" s="58"/>
      <c r="AF438" s="58"/>
      <c r="AG438" s="18"/>
    </row>
    <row r="439" ht="14.25" customHeight="1">
      <c r="A439" s="77"/>
      <c r="B439" s="77"/>
      <c r="C439" s="77"/>
      <c r="D439" s="18"/>
      <c r="E439" s="18"/>
      <c r="F439" s="77"/>
      <c r="G439" s="78"/>
      <c r="H439" s="7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58"/>
      <c r="AC439" s="58"/>
      <c r="AD439" s="58"/>
      <c r="AE439" s="58"/>
      <c r="AF439" s="58"/>
      <c r="AG439" s="18"/>
    </row>
    <row r="440" ht="14.25" customHeight="1">
      <c r="A440" s="77"/>
      <c r="B440" s="77"/>
      <c r="C440" s="77"/>
      <c r="D440" s="18"/>
      <c r="E440" s="18"/>
      <c r="F440" s="77"/>
      <c r="G440" s="78"/>
      <c r="H440" s="7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58"/>
      <c r="AC440" s="58"/>
      <c r="AD440" s="58"/>
      <c r="AE440" s="58"/>
      <c r="AF440" s="58"/>
      <c r="AG440" s="18"/>
    </row>
    <row r="441" ht="14.25" customHeight="1">
      <c r="A441" s="77"/>
      <c r="B441" s="77"/>
      <c r="C441" s="77"/>
      <c r="D441" s="18"/>
      <c r="E441" s="18"/>
      <c r="F441" s="77"/>
      <c r="G441" s="78"/>
      <c r="H441" s="7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58"/>
      <c r="AC441" s="58"/>
      <c r="AD441" s="58"/>
      <c r="AE441" s="58"/>
      <c r="AF441" s="58"/>
      <c r="AG441" s="18"/>
    </row>
    <row r="442" ht="14.25" customHeight="1">
      <c r="A442" s="77"/>
      <c r="B442" s="77"/>
      <c r="C442" s="77"/>
      <c r="D442" s="18"/>
      <c r="E442" s="18"/>
      <c r="F442" s="77"/>
      <c r="G442" s="78"/>
      <c r="H442" s="7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58"/>
      <c r="AC442" s="58"/>
      <c r="AD442" s="58"/>
      <c r="AE442" s="58"/>
      <c r="AF442" s="58"/>
      <c r="AG442" s="18"/>
    </row>
    <row r="443" ht="14.25" customHeight="1">
      <c r="A443" s="77"/>
      <c r="B443" s="77"/>
      <c r="C443" s="77"/>
      <c r="D443" s="18"/>
      <c r="E443" s="18"/>
      <c r="F443" s="77"/>
      <c r="G443" s="78"/>
      <c r="H443" s="7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58"/>
      <c r="AC443" s="58"/>
      <c r="AD443" s="58"/>
      <c r="AE443" s="58"/>
      <c r="AF443" s="58"/>
      <c r="AG443" s="18"/>
    </row>
    <row r="444" ht="14.25" customHeight="1">
      <c r="A444" s="77"/>
      <c r="B444" s="77"/>
      <c r="C444" s="77"/>
      <c r="D444" s="18"/>
      <c r="E444" s="18"/>
      <c r="F444" s="77"/>
      <c r="G444" s="78"/>
      <c r="H444" s="7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58"/>
      <c r="AC444" s="58"/>
      <c r="AD444" s="58"/>
      <c r="AE444" s="58"/>
      <c r="AF444" s="58"/>
      <c r="AG444" s="18"/>
    </row>
    <row r="445" ht="14.25" customHeight="1">
      <c r="A445" s="77"/>
      <c r="B445" s="77"/>
      <c r="C445" s="77"/>
      <c r="D445" s="18"/>
      <c r="E445" s="18"/>
      <c r="F445" s="77"/>
      <c r="G445" s="78"/>
      <c r="H445" s="7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58"/>
      <c r="AC445" s="58"/>
      <c r="AD445" s="58"/>
      <c r="AE445" s="58"/>
      <c r="AF445" s="58"/>
      <c r="AG445" s="18"/>
    </row>
    <row r="446" ht="14.25" customHeight="1">
      <c r="A446" s="77"/>
      <c r="B446" s="77"/>
      <c r="C446" s="77"/>
      <c r="D446" s="18"/>
      <c r="E446" s="18"/>
      <c r="F446" s="77"/>
      <c r="G446" s="78"/>
      <c r="H446" s="7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58"/>
      <c r="AC446" s="58"/>
      <c r="AD446" s="58"/>
      <c r="AE446" s="58"/>
      <c r="AF446" s="58"/>
      <c r="AG446" s="18"/>
    </row>
    <row r="447" ht="14.25" customHeight="1">
      <c r="A447" s="77"/>
      <c r="B447" s="77"/>
      <c r="C447" s="77"/>
      <c r="D447" s="18"/>
      <c r="E447" s="18"/>
      <c r="F447" s="77"/>
      <c r="G447" s="78"/>
      <c r="H447" s="7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58"/>
      <c r="AC447" s="58"/>
      <c r="AD447" s="58"/>
      <c r="AE447" s="58"/>
      <c r="AF447" s="58"/>
      <c r="AG447" s="18"/>
    </row>
    <row r="448" ht="14.25" customHeight="1">
      <c r="A448" s="77"/>
      <c r="B448" s="77"/>
      <c r="C448" s="77"/>
      <c r="D448" s="18"/>
      <c r="E448" s="18"/>
      <c r="F448" s="77"/>
      <c r="G448" s="78"/>
      <c r="H448" s="7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58"/>
      <c r="AC448" s="58"/>
      <c r="AD448" s="58"/>
      <c r="AE448" s="58"/>
      <c r="AF448" s="58"/>
      <c r="AG448" s="18"/>
    </row>
    <row r="449" ht="14.25" customHeight="1">
      <c r="A449" s="77"/>
      <c r="B449" s="77"/>
      <c r="C449" s="77"/>
      <c r="D449" s="18"/>
      <c r="E449" s="18"/>
      <c r="F449" s="77"/>
      <c r="G449" s="78"/>
      <c r="H449" s="7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58"/>
      <c r="AC449" s="58"/>
      <c r="AD449" s="58"/>
      <c r="AE449" s="58"/>
      <c r="AF449" s="58"/>
      <c r="AG449" s="18"/>
    </row>
    <row r="450" ht="14.25" customHeight="1">
      <c r="A450" s="77"/>
      <c r="B450" s="77"/>
      <c r="C450" s="77"/>
      <c r="D450" s="18"/>
      <c r="E450" s="18"/>
      <c r="F450" s="77"/>
      <c r="G450" s="78"/>
      <c r="H450" s="7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58"/>
      <c r="AC450" s="58"/>
      <c r="AD450" s="58"/>
      <c r="AE450" s="58"/>
      <c r="AF450" s="58"/>
      <c r="AG450" s="18"/>
    </row>
    <row r="451" ht="14.25" customHeight="1">
      <c r="A451" s="77"/>
      <c r="B451" s="77"/>
      <c r="C451" s="77"/>
      <c r="D451" s="18"/>
      <c r="E451" s="18"/>
      <c r="F451" s="77"/>
      <c r="G451" s="78"/>
      <c r="H451" s="7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58"/>
      <c r="AC451" s="58"/>
      <c r="AD451" s="58"/>
      <c r="AE451" s="58"/>
      <c r="AF451" s="58"/>
      <c r="AG451" s="18"/>
    </row>
    <row r="452" ht="14.25" customHeight="1">
      <c r="A452" s="77"/>
      <c r="B452" s="77"/>
      <c r="C452" s="77"/>
      <c r="D452" s="18"/>
      <c r="E452" s="18"/>
      <c r="F452" s="77"/>
      <c r="G452" s="78"/>
      <c r="H452" s="7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58"/>
      <c r="AC452" s="58"/>
      <c r="AD452" s="58"/>
      <c r="AE452" s="58"/>
      <c r="AF452" s="58"/>
      <c r="AG452" s="18"/>
    </row>
    <row r="453" ht="14.25" customHeight="1">
      <c r="A453" s="77"/>
      <c r="B453" s="77"/>
      <c r="C453" s="77"/>
      <c r="D453" s="18"/>
      <c r="E453" s="18"/>
      <c r="F453" s="77"/>
      <c r="G453" s="78"/>
      <c r="H453" s="7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58"/>
      <c r="AC453" s="58"/>
      <c r="AD453" s="58"/>
      <c r="AE453" s="58"/>
      <c r="AF453" s="58"/>
      <c r="AG453" s="18"/>
    </row>
    <row r="454" ht="14.25" customHeight="1">
      <c r="A454" s="77"/>
      <c r="B454" s="77"/>
      <c r="C454" s="77"/>
      <c r="D454" s="18"/>
      <c r="E454" s="18"/>
      <c r="F454" s="77"/>
      <c r="G454" s="78"/>
      <c r="H454" s="7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58"/>
      <c r="AC454" s="58"/>
      <c r="AD454" s="58"/>
      <c r="AE454" s="58"/>
      <c r="AF454" s="58"/>
      <c r="AG454" s="18"/>
    </row>
    <row r="455" ht="14.25" customHeight="1">
      <c r="A455" s="77"/>
      <c r="B455" s="77"/>
      <c r="C455" s="77"/>
      <c r="D455" s="18"/>
      <c r="E455" s="18"/>
      <c r="F455" s="77"/>
      <c r="G455" s="78"/>
      <c r="H455" s="7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58"/>
      <c r="AC455" s="58"/>
      <c r="AD455" s="58"/>
      <c r="AE455" s="58"/>
      <c r="AF455" s="58"/>
      <c r="AG455" s="18"/>
    </row>
    <row r="456" ht="14.25" customHeight="1">
      <c r="A456" s="77"/>
      <c r="B456" s="77"/>
      <c r="C456" s="77"/>
      <c r="D456" s="18"/>
      <c r="E456" s="18"/>
      <c r="F456" s="77"/>
      <c r="G456" s="78"/>
      <c r="H456" s="7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58"/>
      <c r="AC456" s="58"/>
      <c r="AD456" s="58"/>
      <c r="AE456" s="58"/>
      <c r="AF456" s="58"/>
      <c r="AG456" s="18"/>
    </row>
    <row r="457" ht="14.25" customHeight="1">
      <c r="A457" s="77"/>
      <c r="B457" s="77"/>
      <c r="C457" s="77"/>
      <c r="D457" s="18"/>
      <c r="E457" s="18"/>
      <c r="F457" s="77"/>
      <c r="G457" s="78"/>
      <c r="H457" s="7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58"/>
      <c r="AC457" s="58"/>
      <c r="AD457" s="58"/>
      <c r="AE457" s="58"/>
      <c r="AF457" s="58"/>
      <c r="AG457" s="18"/>
    </row>
    <row r="458" ht="14.25" customHeight="1">
      <c r="A458" s="77"/>
      <c r="B458" s="77"/>
      <c r="C458" s="77"/>
      <c r="D458" s="18"/>
      <c r="E458" s="18"/>
      <c r="F458" s="77"/>
      <c r="G458" s="78"/>
      <c r="H458" s="7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58"/>
      <c r="AC458" s="58"/>
      <c r="AD458" s="58"/>
      <c r="AE458" s="58"/>
      <c r="AF458" s="58"/>
      <c r="AG458" s="18"/>
    </row>
    <row r="459" ht="14.25" customHeight="1">
      <c r="A459" s="77"/>
      <c r="B459" s="77"/>
      <c r="C459" s="77"/>
      <c r="D459" s="18"/>
      <c r="E459" s="18"/>
      <c r="F459" s="77"/>
      <c r="G459" s="78"/>
      <c r="H459" s="7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58"/>
      <c r="AC459" s="58"/>
      <c r="AD459" s="58"/>
      <c r="AE459" s="58"/>
      <c r="AF459" s="58"/>
      <c r="AG459" s="18"/>
    </row>
    <row r="460" ht="14.25" customHeight="1">
      <c r="A460" s="77"/>
      <c r="B460" s="77"/>
      <c r="C460" s="77"/>
      <c r="D460" s="18"/>
      <c r="E460" s="18"/>
      <c r="F460" s="77"/>
      <c r="G460" s="78"/>
      <c r="H460" s="7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58"/>
      <c r="AC460" s="58"/>
      <c r="AD460" s="58"/>
      <c r="AE460" s="58"/>
      <c r="AF460" s="58"/>
      <c r="AG460" s="18"/>
    </row>
    <row r="461" ht="14.25" customHeight="1">
      <c r="A461" s="77"/>
      <c r="B461" s="77"/>
      <c r="C461" s="77"/>
      <c r="D461" s="18"/>
      <c r="E461" s="18"/>
      <c r="F461" s="77"/>
      <c r="G461" s="78"/>
      <c r="H461" s="7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58"/>
      <c r="AC461" s="58"/>
      <c r="AD461" s="58"/>
      <c r="AE461" s="58"/>
      <c r="AF461" s="58"/>
      <c r="AG461" s="18"/>
    </row>
    <row r="462" ht="14.25" customHeight="1">
      <c r="A462" s="77"/>
      <c r="B462" s="77"/>
      <c r="C462" s="77"/>
      <c r="D462" s="18"/>
      <c r="E462" s="18"/>
      <c r="F462" s="77"/>
      <c r="G462" s="78"/>
      <c r="H462" s="7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58"/>
      <c r="AC462" s="58"/>
      <c r="AD462" s="58"/>
      <c r="AE462" s="58"/>
      <c r="AF462" s="58"/>
      <c r="AG462" s="18"/>
    </row>
    <row r="463" ht="14.25" customHeight="1">
      <c r="A463" s="77"/>
      <c r="B463" s="77"/>
      <c r="C463" s="77"/>
      <c r="D463" s="18"/>
      <c r="E463" s="18"/>
      <c r="F463" s="77"/>
      <c r="G463" s="78"/>
      <c r="H463" s="7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58"/>
      <c r="AC463" s="58"/>
      <c r="AD463" s="58"/>
      <c r="AE463" s="58"/>
      <c r="AF463" s="58"/>
      <c r="AG463" s="18"/>
    </row>
    <row r="464" ht="14.25" customHeight="1">
      <c r="A464" s="77"/>
      <c r="B464" s="77"/>
      <c r="C464" s="77"/>
      <c r="D464" s="18"/>
      <c r="E464" s="18"/>
      <c r="F464" s="77"/>
      <c r="G464" s="78"/>
      <c r="H464" s="7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58"/>
      <c r="AC464" s="58"/>
      <c r="AD464" s="58"/>
      <c r="AE464" s="58"/>
      <c r="AF464" s="58"/>
      <c r="AG464" s="18"/>
    </row>
    <row r="465" ht="14.25" customHeight="1">
      <c r="A465" s="77"/>
      <c r="B465" s="77"/>
      <c r="C465" s="77"/>
      <c r="D465" s="18"/>
      <c r="E465" s="18"/>
      <c r="F465" s="77"/>
      <c r="G465" s="78"/>
      <c r="H465" s="7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58"/>
      <c r="AC465" s="58"/>
      <c r="AD465" s="58"/>
      <c r="AE465" s="58"/>
      <c r="AF465" s="58"/>
      <c r="AG465" s="18"/>
    </row>
    <row r="466" ht="14.25" customHeight="1">
      <c r="A466" s="77"/>
      <c r="B466" s="77"/>
      <c r="C466" s="77"/>
      <c r="D466" s="18"/>
      <c r="E466" s="18"/>
      <c r="F466" s="77"/>
      <c r="G466" s="78"/>
      <c r="H466" s="7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58"/>
      <c r="AC466" s="58"/>
      <c r="AD466" s="58"/>
      <c r="AE466" s="58"/>
      <c r="AF466" s="58"/>
      <c r="AG466" s="18"/>
    </row>
    <row r="467" ht="14.25" customHeight="1">
      <c r="A467" s="77"/>
      <c r="B467" s="77"/>
      <c r="C467" s="77"/>
      <c r="D467" s="18"/>
      <c r="E467" s="18"/>
      <c r="F467" s="77"/>
      <c r="G467" s="78"/>
      <c r="H467" s="7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58"/>
      <c r="AC467" s="58"/>
      <c r="AD467" s="58"/>
      <c r="AE467" s="58"/>
      <c r="AF467" s="58"/>
      <c r="AG467" s="18"/>
    </row>
    <row r="468" ht="14.25" customHeight="1">
      <c r="A468" s="77"/>
      <c r="B468" s="77"/>
      <c r="C468" s="77"/>
      <c r="D468" s="18"/>
      <c r="E468" s="18"/>
      <c r="F468" s="77"/>
      <c r="G468" s="78"/>
      <c r="H468" s="7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58"/>
      <c r="AC468" s="58"/>
      <c r="AD468" s="58"/>
      <c r="AE468" s="58"/>
      <c r="AF468" s="58"/>
      <c r="AG468" s="18"/>
    </row>
    <row r="469" ht="14.25" customHeight="1">
      <c r="A469" s="77"/>
      <c r="B469" s="77"/>
      <c r="C469" s="77"/>
      <c r="D469" s="18"/>
      <c r="E469" s="18"/>
      <c r="F469" s="77"/>
      <c r="G469" s="78"/>
      <c r="H469" s="7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58"/>
      <c r="AC469" s="58"/>
      <c r="AD469" s="58"/>
      <c r="AE469" s="58"/>
      <c r="AF469" s="58"/>
      <c r="AG469" s="18"/>
    </row>
    <row r="470" ht="14.25" customHeight="1">
      <c r="A470" s="77"/>
      <c r="B470" s="77"/>
      <c r="C470" s="77"/>
      <c r="D470" s="18"/>
      <c r="E470" s="18"/>
      <c r="F470" s="77"/>
      <c r="G470" s="78"/>
      <c r="H470" s="7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58"/>
      <c r="AC470" s="58"/>
      <c r="AD470" s="58"/>
      <c r="AE470" s="58"/>
      <c r="AF470" s="58"/>
      <c r="AG470" s="18"/>
    </row>
    <row r="471" ht="14.25" customHeight="1">
      <c r="A471" s="77"/>
      <c r="B471" s="77"/>
      <c r="C471" s="77"/>
      <c r="D471" s="18"/>
      <c r="E471" s="18"/>
      <c r="F471" s="77"/>
      <c r="G471" s="78"/>
      <c r="H471" s="7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58"/>
      <c r="AC471" s="58"/>
      <c r="AD471" s="58"/>
      <c r="AE471" s="58"/>
      <c r="AF471" s="58"/>
      <c r="AG471" s="18"/>
    </row>
    <row r="472" ht="14.25" customHeight="1">
      <c r="A472" s="77"/>
      <c r="B472" s="77"/>
      <c r="C472" s="77"/>
      <c r="D472" s="18"/>
      <c r="E472" s="18"/>
      <c r="F472" s="77"/>
      <c r="G472" s="78"/>
      <c r="H472" s="7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58"/>
      <c r="AC472" s="58"/>
      <c r="AD472" s="58"/>
      <c r="AE472" s="58"/>
      <c r="AF472" s="58"/>
      <c r="AG472" s="18"/>
    </row>
    <row r="473" ht="14.25" customHeight="1">
      <c r="A473" s="77"/>
      <c r="B473" s="77"/>
      <c r="C473" s="77"/>
      <c r="D473" s="18"/>
      <c r="E473" s="18"/>
      <c r="F473" s="77"/>
      <c r="G473" s="78"/>
      <c r="H473" s="7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58"/>
      <c r="AC473" s="58"/>
      <c r="AD473" s="58"/>
      <c r="AE473" s="58"/>
      <c r="AF473" s="58"/>
      <c r="AG473" s="18"/>
    </row>
    <row r="474" ht="14.25" customHeight="1">
      <c r="A474" s="77"/>
      <c r="B474" s="77"/>
      <c r="C474" s="77"/>
      <c r="D474" s="18"/>
      <c r="E474" s="18"/>
      <c r="F474" s="77"/>
      <c r="G474" s="78"/>
      <c r="H474" s="7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58"/>
      <c r="AC474" s="58"/>
      <c r="AD474" s="58"/>
      <c r="AE474" s="58"/>
      <c r="AF474" s="58"/>
      <c r="AG474" s="18"/>
    </row>
    <row r="475" ht="14.25" customHeight="1">
      <c r="A475" s="77"/>
      <c r="B475" s="77"/>
      <c r="C475" s="77"/>
      <c r="D475" s="18"/>
      <c r="E475" s="18"/>
      <c r="F475" s="77"/>
      <c r="G475" s="78"/>
      <c r="H475" s="7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58"/>
      <c r="AC475" s="58"/>
      <c r="AD475" s="58"/>
      <c r="AE475" s="58"/>
      <c r="AF475" s="58"/>
      <c r="AG475" s="18"/>
    </row>
    <row r="476" ht="14.25" customHeight="1">
      <c r="A476" s="77"/>
      <c r="B476" s="77"/>
      <c r="C476" s="77"/>
      <c r="D476" s="18"/>
      <c r="E476" s="18"/>
      <c r="F476" s="77"/>
      <c r="G476" s="78"/>
      <c r="H476" s="7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58"/>
      <c r="AC476" s="58"/>
      <c r="AD476" s="58"/>
      <c r="AE476" s="58"/>
      <c r="AF476" s="58"/>
      <c r="AG476" s="18"/>
    </row>
    <row r="477" ht="14.25" customHeight="1">
      <c r="A477" s="77"/>
      <c r="B477" s="77"/>
      <c r="C477" s="77"/>
      <c r="D477" s="18"/>
      <c r="E477" s="18"/>
      <c r="F477" s="77"/>
      <c r="G477" s="78"/>
      <c r="H477" s="7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58"/>
      <c r="AC477" s="58"/>
      <c r="AD477" s="58"/>
      <c r="AE477" s="58"/>
      <c r="AF477" s="58"/>
      <c r="AG477" s="18"/>
    </row>
    <row r="478" ht="14.25" customHeight="1">
      <c r="A478" s="77"/>
      <c r="B478" s="77"/>
      <c r="C478" s="77"/>
      <c r="D478" s="18"/>
      <c r="E478" s="18"/>
      <c r="F478" s="77"/>
      <c r="G478" s="78"/>
      <c r="H478" s="7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58"/>
      <c r="AC478" s="58"/>
      <c r="AD478" s="58"/>
      <c r="AE478" s="58"/>
      <c r="AF478" s="58"/>
      <c r="AG478" s="18"/>
    </row>
    <row r="479" ht="14.25" customHeight="1">
      <c r="A479" s="77"/>
      <c r="B479" s="77"/>
      <c r="C479" s="77"/>
      <c r="D479" s="18"/>
      <c r="E479" s="18"/>
      <c r="F479" s="77"/>
      <c r="G479" s="78"/>
      <c r="H479" s="7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58"/>
      <c r="AC479" s="58"/>
      <c r="AD479" s="58"/>
      <c r="AE479" s="58"/>
      <c r="AF479" s="58"/>
      <c r="AG479" s="18"/>
    </row>
    <row r="480" ht="14.25" customHeight="1">
      <c r="A480" s="77"/>
      <c r="B480" s="77"/>
      <c r="C480" s="77"/>
      <c r="D480" s="18"/>
      <c r="E480" s="18"/>
      <c r="F480" s="77"/>
      <c r="G480" s="78"/>
      <c r="H480" s="7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58"/>
      <c r="AC480" s="58"/>
      <c r="AD480" s="58"/>
      <c r="AE480" s="58"/>
      <c r="AF480" s="58"/>
      <c r="AG480" s="18"/>
    </row>
    <row r="481" ht="14.25" customHeight="1">
      <c r="A481" s="77"/>
      <c r="B481" s="77"/>
      <c r="C481" s="77"/>
      <c r="D481" s="18"/>
      <c r="E481" s="18"/>
      <c r="F481" s="77"/>
      <c r="G481" s="78"/>
      <c r="H481" s="7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58"/>
      <c r="AC481" s="58"/>
      <c r="AD481" s="58"/>
      <c r="AE481" s="58"/>
      <c r="AF481" s="58"/>
      <c r="AG481" s="18"/>
    </row>
    <row r="482" ht="14.25" customHeight="1">
      <c r="A482" s="77"/>
      <c r="B482" s="77"/>
      <c r="C482" s="77"/>
      <c r="D482" s="18"/>
      <c r="E482" s="18"/>
      <c r="F482" s="77"/>
      <c r="G482" s="78"/>
      <c r="H482" s="7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58"/>
      <c r="AC482" s="58"/>
      <c r="AD482" s="58"/>
      <c r="AE482" s="58"/>
      <c r="AF482" s="58"/>
      <c r="AG482" s="18"/>
    </row>
    <row r="483" ht="14.25" customHeight="1">
      <c r="A483" s="77"/>
      <c r="B483" s="77"/>
      <c r="C483" s="77"/>
      <c r="D483" s="18"/>
      <c r="E483" s="18"/>
      <c r="F483" s="77"/>
      <c r="G483" s="78"/>
      <c r="H483" s="7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58"/>
      <c r="AC483" s="58"/>
      <c r="AD483" s="58"/>
      <c r="AE483" s="58"/>
      <c r="AF483" s="58"/>
      <c r="AG483" s="18"/>
    </row>
    <row r="484" ht="14.25" customHeight="1">
      <c r="A484" s="77"/>
      <c r="B484" s="77"/>
      <c r="C484" s="77"/>
      <c r="D484" s="18"/>
      <c r="E484" s="18"/>
      <c r="F484" s="77"/>
      <c r="G484" s="78"/>
      <c r="H484" s="7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58"/>
      <c r="AC484" s="58"/>
      <c r="AD484" s="58"/>
      <c r="AE484" s="58"/>
      <c r="AF484" s="58"/>
      <c r="AG484" s="18"/>
    </row>
    <row r="485" ht="14.25" customHeight="1">
      <c r="A485" s="77"/>
      <c r="B485" s="77"/>
      <c r="C485" s="77"/>
      <c r="D485" s="18"/>
      <c r="E485" s="18"/>
      <c r="F485" s="77"/>
      <c r="G485" s="78"/>
      <c r="H485" s="7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58"/>
      <c r="AC485" s="58"/>
      <c r="AD485" s="58"/>
      <c r="AE485" s="58"/>
      <c r="AF485" s="58"/>
      <c r="AG485" s="18"/>
    </row>
    <row r="486" ht="14.25" customHeight="1">
      <c r="A486" s="77"/>
      <c r="B486" s="77"/>
      <c r="C486" s="77"/>
      <c r="D486" s="18"/>
      <c r="E486" s="18"/>
      <c r="F486" s="77"/>
      <c r="G486" s="78"/>
      <c r="H486" s="7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58"/>
      <c r="AC486" s="58"/>
      <c r="AD486" s="58"/>
      <c r="AE486" s="58"/>
      <c r="AF486" s="58"/>
      <c r="AG486" s="18"/>
    </row>
    <row r="487" ht="14.25" customHeight="1">
      <c r="A487" s="77"/>
      <c r="B487" s="77"/>
      <c r="C487" s="77"/>
      <c r="D487" s="18"/>
      <c r="E487" s="18"/>
      <c r="F487" s="77"/>
      <c r="G487" s="78"/>
      <c r="H487" s="7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58"/>
      <c r="AC487" s="58"/>
      <c r="AD487" s="58"/>
      <c r="AE487" s="58"/>
      <c r="AF487" s="58"/>
      <c r="AG487" s="18"/>
    </row>
    <row r="488" ht="14.25" customHeight="1">
      <c r="A488" s="77"/>
      <c r="B488" s="77"/>
      <c r="C488" s="77"/>
      <c r="D488" s="18"/>
      <c r="E488" s="18"/>
      <c r="F488" s="77"/>
      <c r="G488" s="78"/>
      <c r="H488" s="7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58"/>
      <c r="AC488" s="58"/>
      <c r="AD488" s="58"/>
      <c r="AE488" s="58"/>
      <c r="AF488" s="58"/>
      <c r="AG488" s="18"/>
    </row>
    <row r="489" ht="14.25" customHeight="1">
      <c r="A489" s="77"/>
      <c r="B489" s="77"/>
      <c r="C489" s="77"/>
      <c r="D489" s="18"/>
      <c r="E489" s="18"/>
      <c r="F489" s="77"/>
      <c r="G489" s="78"/>
      <c r="H489" s="7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58"/>
      <c r="AC489" s="58"/>
      <c r="AD489" s="58"/>
      <c r="AE489" s="58"/>
      <c r="AF489" s="58"/>
      <c r="AG489" s="18"/>
    </row>
    <row r="490" ht="14.25" customHeight="1">
      <c r="A490" s="77"/>
      <c r="B490" s="77"/>
      <c r="C490" s="77"/>
      <c r="D490" s="18"/>
      <c r="E490" s="18"/>
      <c r="F490" s="77"/>
      <c r="G490" s="78"/>
      <c r="H490" s="7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58"/>
      <c r="AC490" s="58"/>
      <c r="AD490" s="58"/>
      <c r="AE490" s="58"/>
      <c r="AF490" s="58"/>
      <c r="AG490" s="18"/>
    </row>
    <row r="491" ht="14.25" customHeight="1">
      <c r="A491" s="77"/>
      <c r="B491" s="77"/>
      <c r="C491" s="77"/>
      <c r="D491" s="18"/>
      <c r="E491" s="18"/>
      <c r="F491" s="77"/>
      <c r="G491" s="78"/>
      <c r="H491" s="7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58"/>
      <c r="AC491" s="58"/>
      <c r="AD491" s="58"/>
      <c r="AE491" s="58"/>
      <c r="AF491" s="58"/>
      <c r="AG491" s="18"/>
    </row>
    <row r="492" ht="14.25" customHeight="1">
      <c r="A492" s="77"/>
      <c r="B492" s="77"/>
      <c r="C492" s="77"/>
      <c r="D492" s="18"/>
      <c r="E492" s="18"/>
      <c r="F492" s="77"/>
      <c r="G492" s="78"/>
      <c r="H492" s="7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58"/>
      <c r="AC492" s="58"/>
      <c r="AD492" s="58"/>
      <c r="AE492" s="58"/>
      <c r="AF492" s="58"/>
      <c r="AG492" s="18"/>
    </row>
    <row r="493" ht="14.25" customHeight="1">
      <c r="A493" s="77"/>
      <c r="B493" s="77"/>
      <c r="C493" s="77"/>
      <c r="D493" s="18"/>
      <c r="E493" s="18"/>
      <c r="F493" s="77"/>
      <c r="G493" s="78"/>
      <c r="H493" s="7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58"/>
      <c r="AC493" s="58"/>
      <c r="AD493" s="58"/>
      <c r="AE493" s="58"/>
      <c r="AF493" s="58"/>
      <c r="AG493" s="18"/>
    </row>
    <row r="494" ht="14.25" customHeight="1">
      <c r="A494" s="77"/>
      <c r="B494" s="77"/>
      <c r="C494" s="77"/>
      <c r="D494" s="18"/>
      <c r="E494" s="18"/>
      <c r="F494" s="77"/>
      <c r="G494" s="78"/>
      <c r="H494" s="7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58"/>
      <c r="AC494" s="58"/>
      <c r="AD494" s="58"/>
      <c r="AE494" s="58"/>
      <c r="AF494" s="58"/>
      <c r="AG494" s="18"/>
    </row>
    <row r="495" ht="14.25" customHeight="1">
      <c r="A495" s="77"/>
      <c r="B495" s="77"/>
      <c r="C495" s="77"/>
      <c r="D495" s="18"/>
      <c r="E495" s="18"/>
      <c r="F495" s="77"/>
      <c r="G495" s="78"/>
      <c r="H495" s="7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58"/>
      <c r="AC495" s="58"/>
      <c r="AD495" s="58"/>
      <c r="AE495" s="58"/>
      <c r="AF495" s="58"/>
      <c r="AG495" s="18"/>
    </row>
    <row r="496" ht="14.25" customHeight="1">
      <c r="A496" s="77"/>
      <c r="B496" s="77"/>
      <c r="C496" s="77"/>
      <c r="D496" s="18"/>
      <c r="E496" s="18"/>
      <c r="F496" s="77"/>
      <c r="G496" s="78"/>
      <c r="H496" s="7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58"/>
      <c r="AC496" s="58"/>
      <c r="AD496" s="58"/>
      <c r="AE496" s="58"/>
      <c r="AF496" s="58"/>
      <c r="AG496" s="18"/>
    </row>
    <row r="497" ht="14.25" customHeight="1">
      <c r="A497" s="77"/>
      <c r="B497" s="77"/>
      <c r="C497" s="77"/>
      <c r="D497" s="18"/>
      <c r="E497" s="18"/>
      <c r="F497" s="77"/>
      <c r="G497" s="78"/>
      <c r="H497" s="7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58"/>
      <c r="AC497" s="58"/>
      <c r="AD497" s="58"/>
      <c r="AE497" s="58"/>
      <c r="AF497" s="58"/>
      <c r="AG497" s="18"/>
    </row>
    <row r="498" ht="14.25" customHeight="1">
      <c r="A498" s="77"/>
      <c r="B498" s="77"/>
      <c r="C498" s="77"/>
      <c r="D498" s="18"/>
      <c r="E498" s="18"/>
      <c r="F498" s="77"/>
      <c r="G498" s="78"/>
      <c r="H498" s="7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58"/>
      <c r="AC498" s="58"/>
      <c r="AD498" s="58"/>
      <c r="AE498" s="58"/>
      <c r="AF498" s="58"/>
      <c r="AG498" s="18"/>
    </row>
    <row r="499" ht="14.25" customHeight="1">
      <c r="A499" s="77"/>
      <c r="B499" s="77"/>
      <c r="C499" s="77"/>
      <c r="D499" s="18"/>
      <c r="E499" s="18"/>
      <c r="F499" s="77"/>
      <c r="G499" s="78"/>
      <c r="H499" s="7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58"/>
      <c r="AC499" s="58"/>
      <c r="AD499" s="58"/>
      <c r="AE499" s="58"/>
      <c r="AF499" s="58"/>
      <c r="AG499" s="18"/>
    </row>
    <row r="500" ht="14.25" customHeight="1">
      <c r="A500" s="77"/>
      <c r="B500" s="77"/>
      <c r="C500" s="77"/>
      <c r="D500" s="18"/>
      <c r="E500" s="18"/>
      <c r="F500" s="77"/>
      <c r="G500" s="78"/>
      <c r="H500" s="7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58"/>
      <c r="AC500" s="58"/>
      <c r="AD500" s="58"/>
      <c r="AE500" s="58"/>
      <c r="AF500" s="58"/>
      <c r="AG500" s="18"/>
    </row>
    <row r="501" ht="14.25" customHeight="1">
      <c r="A501" s="77"/>
      <c r="B501" s="77"/>
      <c r="C501" s="77"/>
      <c r="D501" s="18"/>
      <c r="E501" s="18"/>
      <c r="F501" s="77"/>
      <c r="G501" s="78"/>
      <c r="H501" s="7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58"/>
      <c r="AC501" s="58"/>
      <c r="AD501" s="58"/>
      <c r="AE501" s="58"/>
      <c r="AF501" s="58"/>
      <c r="AG501" s="18"/>
    </row>
    <row r="502" ht="14.25" customHeight="1">
      <c r="A502" s="77"/>
      <c r="B502" s="77"/>
      <c r="C502" s="77"/>
      <c r="D502" s="18"/>
      <c r="E502" s="18"/>
      <c r="F502" s="77"/>
      <c r="G502" s="78"/>
      <c r="H502" s="7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58"/>
      <c r="AC502" s="58"/>
      <c r="AD502" s="58"/>
      <c r="AE502" s="58"/>
      <c r="AF502" s="58"/>
      <c r="AG502" s="18"/>
    </row>
    <row r="503" ht="14.25" customHeight="1">
      <c r="A503" s="77"/>
      <c r="B503" s="77"/>
      <c r="C503" s="77"/>
      <c r="D503" s="18"/>
      <c r="E503" s="18"/>
      <c r="F503" s="77"/>
      <c r="G503" s="78"/>
      <c r="H503" s="7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58"/>
      <c r="AC503" s="58"/>
      <c r="AD503" s="58"/>
      <c r="AE503" s="58"/>
      <c r="AF503" s="58"/>
      <c r="AG503" s="18"/>
    </row>
    <row r="504" ht="14.25" customHeight="1">
      <c r="A504" s="77"/>
      <c r="B504" s="77"/>
      <c r="C504" s="77"/>
      <c r="D504" s="18"/>
      <c r="E504" s="18"/>
      <c r="F504" s="77"/>
      <c r="G504" s="78"/>
      <c r="H504" s="7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58"/>
      <c r="AC504" s="58"/>
      <c r="AD504" s="58"/>
      <c r="AE504" s="58"/>
      <c r="AF504" s="58"/>
      <c r="AG504" s="18"/>
    </row>
    <row r="505" ht="14.25" customHeight="1">
      <c r="A505" s="77"/>
      <c r="B505" s="77"/>
      <c r="C505" s="77"/>
      <c r="D505" s="18"/>
      <c r="E505" s="18"/>
      <c r="F505" s="77"/>
      <c r="G505" s="78"/>
      <c r="H505" s="7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58"/>
      <c r="AC505" s="58"/>
      <c r="AD505" s="58"/>
      <c r="AE505" s="58"/>
      <c r="AF505" s="58"/>
      <c r="AG505" s="18"/>
    </row>
    <row r="506" ht="14.25" customHeight="1">
      <c r="A506" s="77"/>
      <c r="B506" s="77"/>
      <c r="C506" s="77"/>
      <c r="D506" s="18"/>
      <c r="E506" s="18"/>
      <c r="F506" s="77"/>
      <c r="G506" s="78"/>
      <c r="H506" s="7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58"/>
      <c r="AC506" s="58"/>
      <c r="AD506" s="58"/>
      <c r="AE506" s="58"/>
      <c r="AF506" s="58"/>
      <c r="AG506" s="18"/>
    </row>
    <row r="507" ht="14.25" customHeight="1">
      <c r="A507" s="77"/>
      <c r="B507" s="77"/>
      <c r="C507" s="77"/>
      <c r="D507" s="18"/>
      <c r="E507" s="18"/>
      <c r="F507" s="77"/>
      <c r="G507" s="78"/>
      <c r="H507" s="7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58"/>
      <c r="AC507" s="58"/>
      <c r="AD507" s="58"/>
      <c r="AE507" s="58"/>
      <c r="AF507" s="58"/>
      <c r="AG507" s="18"/>
    </row>
    <row r="508" ht="14.25" customHeight="1">
      <c r="A508" s="77"/>
      <c r="B508" s="77"/>
      <c r="C508" s="77"/>
      <c r="D508" s="18"/>
      <c r="E508" s="18"/>
      <c r="F508" s="77"/>
      <c r="G508" s="78"/>
      <c r="H508" s="7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58"/>
      <c r="AC508" s="58"/>
      <c r="AD508" s="58"/>
      <c r="AE508" s="58"/>
      <c r="AF508" s="58"/>
      <c r="AG508" s="18"/>
    </row>
    <row r="509" ht="14.25" customHeight="1">
      <c r="A509" s="77"/>
      <c r="B509" s="77"/>
      <c r="C509" s="77"/>
      <c r="D509" s="18"/>
      <c r="E509" s="18"/>
      <c r="F509" s="77"/>
      <c r="G509" s="78"/>
      <c r="H509" s="7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58"/>
      <c r="AC509" s="58"/>
      <c r="AD509" s="58"/>
      <c r="AE509" s="58"/>
      <c r="AF509" s="58"/>
      <c r="AG509" s="18"/>
    </row>
    <row r="510" ht="14.25" customHeight="1">
      <c r="A510" s="77"/>
      <c r="B510" s="77"/>
      <c r="C510" s="77"/>
      <c r="D510" s="18"/>
      <c r="E510" s="18"/>
      <c r="F510" s="77"/>
      <c r="G510" s="78"/>
      <c r="H510" s="7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58"/>
      <c r="AC510" s="58"/>
      <c r="AD510" s="58"/>
      <c r="AE510" s="58"/>
      <c r="AF510" s="58"/>
      <c r="AG510" s="18"/>
    </row>
    <row r="511" ht="14.25" customHeight="1">
      <c r="A511" s="77"/>
      <c r="B511" s="77"/>
      <c r="C511" s="77"/>
      <c r="D511" s="18"/>
      <c r="E511" s="18"/>
      <c r="F511" s="77"/>
      <c r="G511" s="78"/>
      <c r="H511" s="7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58"/>
      <c r="AC511" s="58"/>
      <c r="AD511" s="58"/>
      <c r="AE511" s="58"/>
      <c r="AF511" s="58"/>
      <c r="AG511" s="18"/>
    </row>
    <row r="512" ht="14.25" customHeight="1">
      <c r="A512" s="77"/>
      <c r="B512" s="77"/>
      <c r="C512" s="77"/>
      <c r="D512" s="18"/>
      <c r="E512" s="18"/>
      <c r="F512" s="77"/>
      <c r="G512" s="78"/>
      <c r="H512" s="7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58"/>
      <c r="AC512" s="58"/>
      <c r="AD512" s="58"/>
      <c r="AE512" s="58"/>
      <c r="AF512" s="58"/>
      <c r="AG512" s="18"/>
    </row>
    <row r="513" ht="14.25" customHeight="1">
      <c r="A513" s="77"/>
      <c r="B513" s="77"/>
      <c r="C513" s="77"/>
      <c r="D513" s="18"/>
      <c r="E513" s="18"/>
      <c r="F513" s="77"/>
      <c r="G513" s="78"/>
      <c r="H513" s="7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58"/>
      <c r="AC513" s="58"/>
      <c r="AD513" s="58"/>
      <c r="AE513" s="58"/>
      <c r="AF513" s="58"/>
      <c r="AG513" s="18"/>
    </row>
    <row r="514" ht="14.25" customHeight="1">
      <c r="A514" s="77"/>
      <c r="B514" s="77"/>
      <c r="C514" s="77"/>
      <c r="D514" s="18"/>
      <c r="E514" s="18"/>
      <c r="F514" s="77"/>
      <c r="G514" s="78"/>
      <c r="H514" s="7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58"/>
      <c r="AC514" s="58"/>
      <c r="AD514" s="58"/>
      <c r="AE514" s="58"/>
      <c r="AF514" s="58"/>
      <c r="AG514" s="18"/>
    </row>
    <row r="515" ht="14.25" customHeight="1">
      <c r="A515" s="77"/>
      <c r="B515" s="77"/>
      <c r="C515" s="77"/>
      <c r="D515" s="18"/>
      <c r="E515" s="18"/>
      <c r="F515" s="77"/>
      <c r="G515" s="78"/>
      <c r="H515" s="7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58"/>
      <c r="AC515" s="58"/>
      <c r="AD515" s="58"/>
      <c r="AE515" s="58"/>
      <c r="AF515" s="58"/>
      <c r="AG515" s="18"/>
    </row>
    <row r="516" ht="14.25" customHeight="1">
      <c r="A516" s="77"/>
      <c r="B516" s="77"/>
      <c r="C516" s="77"/>
      <c r="D516" s="18"/>
      <c r="E516" s="18"/>
      <c r="F516" s="77"/>
      <c r="G516" s="78"/>
      <c r="H516" s="7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58"/>
      <c r="AC516" s="58"/>
      <c r="AD516" s="58"/>
      <c r="AE516" s="58"/>
      <c r="AF516" s="58"/>
      <c r="AG516" s="18"/>
    </row>
    <row r="517" ht="14.25" customHeight="1">
      <c r="A517" s="77"/>
      <c r="B517" s="77"/>
      <c r="C517" s="77"/>
      <c r="D517" s="18"/>
      <c r="E517" s="18"/>
      <c r="F517" s="77"/>
      <c r="G517" s="78"/>
      <c r="H517" s="7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58"/>
      <c r="AC517" s="58"/>
      <c r="AD517" s="58"/>
      <c r="AE517" s="58"/>
      <c r="AF517" s="58"/>
      <c r="AG517" s="18"/>
    </row>
    <row r="518" ht="14.25" customHeight="1">
      <c r="A518" s="77"/>
      <c r="B518" s="77"/>
      <c r="C518" s="77"/>
      <c r="D518" s="18"/>
      <c r="E518" s="18"/>
      <c r="F518" s="77"/>
      <c r="G518" s="78"/>
      <c r="H518" s="7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58"/>
      <c r="AC518" s="58"/>
      <c r="AD518" s="58"/>
      <c r="AE518" s="58"/>
      <c r="AF518" s="58"/>
      <c r="AG518" s="18"/>
    </row>
    <row r="519" ht="14.25" customHeight="1">
      <c r="A519" s="77"/>
      <c r="B519" s="77"/>
      <c r="C519" s="77"/>
      <c r="D519" s="18"/>
      <c r="E519" s="18"/>
      <c r="F519" s="77"/>
      <c r="G519" s="78"/>
      <c r="H519" s="7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58"/>
      <c r="AC519" s="58"/>
      <c r="AD519" s="58"/>
      <c r="AE519" s="58"/>
      <c r="AF519" s="58"/>
      <c r="AG519" s="18"/>
    </row>
    <row r="520" ht="14.25" customHeight="1">
      <c r="A520" s="77"/>
      <c r="B520" s="77"/>
      <c r="C520" s="77"/>
      <c r="D520" s="18"/>
      <c r="E520" s="18"/>
      <c r="F520" s="77"/>
      <c r="G520" s="78"/>
      <c r="H520" s="7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58"/>
      <c r="AC520" s="58"/>
      <c r="AD520" s="58"/>
      <c r="AE520" s="58"/>
      <c r="AF520" s="58"/>
      <c r="AG520" s="18"/>
    </row>
    <row r="521" ht="14.25" customHeight="1">
      <c r="A521" s="77"/>
      <c r="B521" s="77"/>
      <c r="C521" s="77"/>
      <c r="D521" s="18"/>
      <c r="E521" s="18"/>
      <c r="F521" s="77"/>
      <c r="G521" s="78"/>
      <c r="H521" s="7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58"/>
      <c r="AC521" s="58"/>
      <c r="AD521" s="58"/>
      <c r="AE521" s="58"/>
      <c r="AF521" s="58"/>
      <c r="AG521" s="18"/>
    </row>
    <row r="522" ht="14.25" customHeight="1">
      <c r="A522" s="77"/>
      <c r="B522" s="77"/>
      <c r="C522" s="77"/>
      <c r="D522" s="18"/>
      <c r="E522" s="18"/>
      <c r="F522" s="77"/>
      <c r="G522" s="78"/>
      <c r="H522" s="7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58"/>
      <c r="AC522" s="58"/>
      <c r="AD522" s="58"/>
      <c r="AE522" s="58"/>
      <c r="AF522" s="58"/>
      <c r="AG522" s="18"/>
    </row>
    <row r="523" ht="14.25" customHeight="1">
      <c r="A523" s="77"/>
      <c r="B523" s="77"/>
      <c r="C523" s="77"/>
      <c r="D523" s="18"/>
      <c r="E523" s="18"/>
      <c r="F523" s="77"/>
      <c r="G523" s="78"/>
      <c r="H523" s="7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58"/>
      <c r="AC523" s="58"/>
      <c r="AD523" s="58"/>
      <c r="AE523" s="58"/>
      <c r="AF523" s="58"/>
      <c r="AG523" s="18"/>
    </row>
    <row r="524" ht="14.25" customHeight="1">
      <c r="A524" s="77"/>
      <c r="B524" s="77"/>
      <c r="C524" s="77"/>
      <c r="D524" s="18"/>
      <c r="E524" s="18"/>
      <c r="F524" s="77"/>
      <c r="G524" s="78"/>
      <c r="H524" s="7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58"/>
      <c r="AC524" s="58"/>
      <c r="AD524" s="58"/>
      <c r="AE524" s="58"/>
      <c r="AF524" s="58"/>
      <c r="AG524" s="18"/>
    </row>
    <row r="525" ht="14.25" customHeight="1">
      <c r="A525" s="77"/>
      <c r="B525" s="77"/>
      <c r="C525" s="77"/>
      <c r="D525" s="18"/>
      <c r="E525" s="18"/>
      <c r="F525" s="77"/>
      <c r="G525" s="78"/>
      <c r="H525" s="7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58"/>
      <c r="AC525" s="58"/>
      <c r="AD525" s="58"/>
      <c r="AE525" s="58"/>
      <c r="AF525" s="58"/>
      <c r="AG525" s="18"/>
    </row>
    <row r="526" ht="14.25" customHeight="1">
      <c r="A526" s="77"/>
      <c r="B526" s="77"/>
      <c r="C526" s="77"/>
      <c r="D526" s="18"/>
      <c r="E526" s="18"/>
      <c r="F526" s="77"/>
      <c r="G526" s="78"/>
      <c r="H526" s="7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58"/>
      <c r="AC526" s="58"/>
      <c r="AD526" s="58"/>
      <c r="AE526" s="58"/>
      <c r="AF526" s="58"/>
      <c r="AG526" s="18"/>
    </row>
    <row r="527" ht="14.25" customHeight="1">
      <c r="A527" s="77"/>
      <c r="B527" s="77"/>
      <c r="C527" s="77"/>
      <c r="D527" s="18"/>
      <c r="E527" s="18"/>
      <c r="F527" s="77"/>
      <c r="G527" s="78"/>
      <c r="H527" s="7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58"/>
      <c r="AC527" s="58"/>
      <c r="AD527" s="58"/>
      <c r="AE527" s="58"/>
      <c r="AF527" s="58"/>
      <c r="AG527" s="18"/>
    </row>
    <row r="528" ht="14.25" customHeight="1">
      <c r="A528" s="77"/>
      <c r="B528" s="77"/>
      <c r="C528" s="77"/>
      <c r="D528" s="18"/>
      <c r="E528" s="18"/>
      <c r="F528" s="77"/>
      <c r="G528" s="78"/>
      <c r="H528" s="7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58"/>
      <c r="AC528" s="58"/>
      <c r="AD528" s="58"/>
      <c r="AE528" s="58"/>
      <c r="AF528" s="58"/>
      <c r="AG528" s="18"/>
    </row>
    <row r="529" ht="14.25" customHeight="1">
      <c r="A529" s="77"/>
      <c r="B529" s="77"/>
      <c r="C529" s="77"/>
      <c r="D529" s="18"/>
      <c r="E529" s="18"/>
      <c r="F529" s="77"/>
      <c r="G529" s="78"/>
      <c r="H529" s="7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58"/>
      <c r="AC529" s="58"/>
      <c r="AD529" s="58"/>
      <c r="AE529" s="58"/>
      <c r="AF529" s="58"/>
      <c r="AG529" s="18"/>
    </row>
    <row r="530" ht="14.25" customHeight="1">
      <c r="A530" s="77"/>
      <c r="B530" s="77"/>
      <c r="C530" s="77"/>
      <c r="D530" s="18"/>
      <c r="E530" s="18"/>
      <c r="F530" s="77"/>
      <c r="G530" s="78"/>
      <c r="H530" s="7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58"/>
      <c r="AC530" s="58"/>
      <c r="AD530" s="58"/>
      <c r="AE530" s="58"/>
      <c r="AF530" s="58"/>
      <c r="AG530" s="18"/>
    </row>
    <row r="531" ht="14.25" customHeight="1">
      <c r="A531" s="77"/>
      <c r="B531" s="77"/>
      <c r="C531" s="77"/>
      <c r="D531" s="18"/>
      <c r="E531" s="18"/>
      <c r="F531" s="77"/>
      <c r="G531" s="78"/>
      <c r="H531" s="7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58"/>
      <c r="AC531" s="58"/>
      <c r="AD531" s="58"/>
      <c r="AE531" s="58"/>
      <c r="AF531" s="58"/>
      <c r="AG531" s="18"/>
    </row>
    <row r="532" ht="14.25" customHeight="1">
      <c r="A532" s="77"/>
      <c r="B532" s="77"/>
      <c r="C532" s="77"/>
      <c r="D532" s="18"/>
      <c r="E532" s="18"/>
      <c r="F532" s="77"/>
      <c r="G532" s="78"/>
      <c r="H532" s="7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58"/>
      <c r="AC532" s="58"/>
      <c r="AD532" s="58"/>
      <c r="AE532" s="58"/>
      <c r="AF532" s="58"/>
      <c r="AG532" s="18"/>
    </row>
    <row r="533" ht="14.25" customHeight="1">
      <c r="A533" s="77"/>
      <c r="B533" s="77"/>
      <c r="C533" s="77"/>
      <c r="D533" s="18"/>
      <c r="E533" s="18"/>
      <c r="F533" s="77"/>
      <c r="G533" s="78"/>
      <c r="H533" s="7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58"/>
      <c r="AC533" s="58"/>
      <c r="AD533" s="58"/>
      <c r="AE533" s="58"/>
      <c r="AF533" s="58"/>
      <c r="AG533" s="18"/>
    </row>
    <row r="534" ht="14.25" customHeight="1">
      <c r="A534" s="77"/>
      <c r="B534" s="77"/>
      <c r="C534" s="77"/>
      <c r="D534" s="18"/>
      <c r="E534" s="18"/>
      <c r="F534" s="77"/>
      <c r="G534" s="78"/>
      <c r="H534" s="7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58"/>
      <c r="AC534" s="58"/>
      <c r="AD534" s="58"/>
      <c r="AE534" s="58"/>
      <c r="AF534" s="58"/>
      <c r="AG534" s="18"/>
    </row>
    <row r="535" ht="14.25" customHeight="1">
      <c r="A535" s="77"/>
      <c r="B535" s="77"/>
      <c r="C535" s="77"/>
      <c r="D535" s="18"/>
      <c r="E535" s="18"/>
      <c r="F535" s="77"/>
      <c r="G535" s="78"/>
      <c r="H535" s="7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58"/>
      <c r="AC535" s="58"/>
      <c r="AD535" s="58"/>
      <c r="AE535" s="58"/>
      <c r="AF535" s="58"/>
      <c r="AG535" s="18"/>
    </row>
    <row r="536" ht="14.25" customHeight="1">
      <c r="A536" s="77"/>
      <c r="B536" s="77"/>
      <c r="C536" s="77"/>
      <c r="D536" s="18"/>
      <c r="E536" s="18"/>
      <c r="F536" s="77"/>
      <c r="G536" s="78"/>
      <c r="H536" s="7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58"/>
      <c r="AC536" s="58"/>
      <c r="AD536" s="58"/>
      <c r="AE536" s="58"/>
      <c r="AF536" s="58"/>
      <c r="AG536" s="18"/>
    </row>
    <row r="537" ht="14.25" customHeight="1">
      <c r="A537" s="77"/>
      <c r="B537" s="77"/>
      <c r="C537" s="77"/>
      <c r="D537" s="18"/>
      <c r="E537" s="18"/>
      <c r="F537" s="77"/>
      <c r="G537" s="78"/>
      <c r="H537" s="7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58"/>
      <c r="AC537" s="58"/>
      <c r="AD537" s="58"/>
      <c r="AE537" s="58"/>
      <c r="AF537" s="58"/>
      <c r="AG537" s="18"/>
    </row>
    <row r="538" ht="14.25" customHeight="1">
      <c r="A538" s="77"/>
      <c r="B538" s="77"/>
      <c r="C538" s="77"/>
      <c r="D538" s="18"/>
      <c r="E538" s="18"/>
      <c r="F538" s="77"/>
      <c r="G538" s="78"/>
      <c r="H538" s="7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58"/>
      <c r="AC538" s="58"/>
      <c r="AD538" s="58"/>
      <c r="AE538" s="58"/>
      <c r="AF538" s="58"/>
      <c r="AG538" s="18"/>
    </row>
    <row r="539" ht="14.25" customHeight="1">
      <c r="A539" s="77"/>
      <c r="B539" s="77"/>
      <c r="C539" s="77"/>
      <c r="D539" s="18"/>
      <c r="E539" s="18"/>
      <c r="F539" s="77"/>
      <c r="G539" s="78"/>
      <c r="H539" s="7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58"/>
      <c r="AC539" s="58"/>
      <c r="AD539" s="58"/>
      <c r="AE539" s="58"/>
      <c r="AF539" s="58"/>
      <c r="AG539" s="18"/>
    </row>
    <row r="540" ht="14.25" customHeight="1">
      <c r="A540" s="77"/>
      <c r="B540" s="77"/>
      <c r="C540" s="77"/>
      <c r="D540" s="18"/>
      <c r="E540" s="18"/>
      <c r="F540" s="77"/>
      <c r="G540" s="78"/>
      <c r="H540" s="7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58"/>
      <c r="AC540" s="58"/>
      <c r="AD540" s="58"/>
      <c r="AE540" s="58"/>
      <c r="AF540" s="58"/>
      <c r="AG540" s="18"/>
    </row>
    <row r="541" ht="14.25" customHeight="1">
      <c r="A541" s="77"/>
      <c r="B541" s="77"/>
      <c r="C541" s="77"/>
      <c r="D541" s="18"/>
      <c r="E541" s="18"/>
      <c r="F541" s="77"/>
      <c r="G541" s="78"/>
      <c r="H541" s="7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58"/>
      <c r="AC541" s="58"/>
      <c r="AD541" s="58"/>
      <c r="AE541" s="58"/>
      <c r="AF541" s="58"/>
      <c r="AG541" s="18"/>
    </row>
    <row r="542" ht="14.25" customHeight="1">
      <c r="A542" s="77"/>
      <c r="B542" s="77"/>
      <c r="C542" s="77"/>
      <c r="D542" s="18"/>
      <c r="E542" s="18"/>
      <c r="F542" s="77"/>
      <c r="G542" s="78"/>
      <c r="H542" s="7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58"/>
      <c r="AC542" s="58"/>
      <c r="AD542" s="58"/>
      <c r="AE542" s="58"/>
      <c r="AF542" s="58"/>
      <c r="AG542" s="18"/>
    </row>
    <row r="543" ht="14.25" customHeight="1">
      <c r="A543" s="77"/>
      <c r="B543" s="77"/>
      <c r="C543" s="77"/>
      <c r="D543" s="18"/>
      <c r="E543" s="18"/>
      <c r="F543" s="77"/>
      <c r="G543" s="78"/>
      <c r="H543" s="7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58"/>
      <c r="AC543" s="58"/>
      <c r="AD543" s="58"/>
      <c r="AE543" s="58"/>
      <c r="AF543" s="58"/>
      <c r="AG543" s="18"/>
    </row>
    <row r="544" ht="14.25" customHeight="1">
      <c r="A544" s="77"/>
      <c r="B544" s="77"/>
      <c r="C544" s="77"/>
      <c r="D544" s="18"/>
      <c r="E544" s="18"/>
      <c r="F544" s="77"/>
      <c r="G544" s="78"/>
      <c r="H544" s="7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58"/>
      <c r="AC544" s="58"/>
      <c r="AD544" s="58"/>
      <c r="AE544" s="58"/>
      <c r="AF544" s="58"/>
      <c r="AG544" s="18"/>
    </row>
    <row r="545" ht="14.25" customHeight="1">
      <c r="A545" s="77"/>
      <c r="B545" s="77"/>
      <c r="C545" s="77"/>
      <c r="D545" s="18"/>
      <c r="E545" s="18"/>
      <c r="F545" s="77"/>
      <c r="G545" s="78"/>
      <c r="H545" s="7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58"/>
      <c r="AC545" s="58"/>
      <c r="AD545" s="58"/>
      <c r="AE545" s="58"/>
      <c r="AF545" s="58"/>
      <c r="AG545" s="18"/>
    </row>
    <row r="546" ht="14.25" customHeight="1">
      <c r="A546" s="77"/>
      <c r="B546" s="77"/>
      <c r="C546" s="77"/>
      <c r="D546" s="18"/>
      <c r="E546" s="18"/>
      <c r="F546" s="77"/>
      <c r="G546" s="78"/>
      <c r="H546" s="7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58"/>
      <c r="AC546" s="58"/>
      <c r="AD546" s="58"/>
      <c r="AE546" s="58"/>
      <c r="AF546" s="58"/>
      <c r="AG546" s="18"/>
    </row>
    <row r="547" ht="14.25" customHeight="1">
      <c r="A547" s="77"/>
      <c r="B547" s="77"/>
      <c r="C547" s="77"/>
      <c r="D547" s="18"/>
      <c r="E547" s="18"/>
      <c r="F547" s="77"/>
      <c r="G547" s="78"/>
      <c r="H547" s="7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58"/>
      <c r="AC547" s="58"/>
      <c r="AD547" s="58"/>
      <c r="AE547" s="58"/>
      <c r="AF547" s="58"/>
      <c r="AG547" s="18"/>
    </row>
    <row r="548" ht="14.25" customHeight="1">
      <c r="A548" s="77"/>
      <c r="B548" s="77"/>
      <c r="C548" s="77"/>
      <c r="D548" s="18"/>
      <c r="E548" s="18"/>
      <c r="F548" s="77"/>
      <c r="G548" s="78"/>
      <c r="H548" s="7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58"/>
      <c r="AC548" s="58"/>
      <c r="AD548" s="58"/>
      <c r="AE548" s="58"/>
      <c r="AF548" s="58"/>
      <c r="AG548" s="18"/>
    </row>
    <row r="549" ht="14.25" customHeight="1">
      <c r="A549" s="77"/>
      <c r="B549" s="77"/>
      <c r="C549" s="77"/>
      <c r="D549" s="18"/>
      <c r="E549" s="18"/>
      <c r="F549" s="77"/>
      <c r="G549" s="78"/>
      <c r="H549" s="7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58"/>
      <c r="AC549" s="58"/>
      <c r="AD549" s="58"/>
      <c r="AE549" s="58"/>
      <c r="AF549" s="58"/>
      <c r="AG549" s="18"/>
    </row>
    <row r="550" ht="14.25" customHeight="1">
      <c r="A550" s="77"/>
      <c r="B550" s="77"/>
      <c r="C550" s="77"/>
      <c r="D550" s="18"/>
      <c r="E550" s="18"/>
      <c r="F550" s="77"/>
      <c r="G550" s="78"/>
      <c r="H550" s="7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58"/>
      <c r="AC550" s="58"/>
      <c r="AD550" s="58"/>
      <c r="AE550" s="58"/>
      <c r="AF550" s="58"/>
      <c r="AG550" s="18"/>
    </row>
    <row r="551" ht="14.25" customHeight="1">
      <c r="A551" s="77"/>
      <c r="B551" s="77"/>
      <c r="C551" s="77"/>
      <c r="D551" s="18"/>
      <c r="E551" s="18"/>
      <c r="F551" s="77"/>
      <c r="G551" s="78"/>
      <c r="H551" s="7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58"/>
      <c r="AC551" s="58"/>
      <c r="AD551" s="58"/>
      <c r="AE551" s="58"/>
      <c r="AF551" s="58"/>
      <c r="AG551" s="18"/>
    </row>
    <row r="552" ht="14.25" customHeight="1">
      <c r="A552" s="77"/>
      <c r="B552" s="77"/>
      <c r="C552" s="77"/>
      <c r="D552" s="18"/>
      <c r="E552" s="18"/>
      <c r="F552" s="77"/>
      <c r="G552" s="78"/>
      <c r="H552" s="7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58"/>
      <c r="AC552" s="58"/>
      <c r="AD552" s="58"/>
      <c r="AE552" s="58"/>
      <c r="AF552" s="58"/>
      <c r="AG552" s="18"/>
    </row>
    <row r="553" ht="14.25" customHeight="1">
      <c r="A553" s="77"/>
      <c r="B553" s="77"/>
      <c r="C553" s="77"/>
      <c r="D553" s="18"/>
      <c r="E553" s="18"/>
      <c r="F553" s="77"/>
      <c r="G553" s="78"/>
      <c r="H553" s="7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58"/>
      <c r="AC553" s="58"/>
      <c r="AD553" s="58"/>
      <c r="AE553" s="58"/>
      <c r="AF553" s="58"/>
      <c r="AG553" s="18"/>
    </row>
    <row r="554" ht="14.25" customHeight="1">
      <c r="A554" s="77"/>
      <c r="B554" s="77"/>
      <c r="C554" s="77"/>
      <c r="D554" s="18"/>
      <c r="E554" s="18"/>
      <c r="F554" s="77"/>
      <c r="G554" s="78"/>
      <c r="H554" s="7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58"/>
      <c r="AC554" s="58"/>
      <c r="AD554" s="58"/>
      <c r="AE554" s="58"/>
      <c r="AF554" s="58"/>
      <c r="AG554" s="18"/>
    </row>
    <row r="555" ht="14.25" customHeight="1">
      <c r="A555" s="77"/>
      <c r="B555" s="77"/>
      <c r="C555" s="77"/>
      <c r="D555" s="18"/>
      <c r="E555" s="18"/>
      <c r="F555" s="77"/>
      <c r="G555" s="78"/>
      <c r="H555" s="7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58"/>
      <c r="AC555" s="58"/>
      <c r="AD555" s="58"/>
      <c r="AE555" s="58"/>
      <c r="AF555" s="58"/>
      <c r="AG555" s="18"/>
    </row>
    <row r="556" ht="14.25" customHeight="1">
      <c r="A556" s="77"/>
      <c r="B556" s="77"/>
      <c r="C556" s="77"/>
      <c r="D556" s="18"/>
      <c r="E556" s="18"/>
      <c r="F556" s="77"/>
      <c r="G556" s="78"/>
      <c r="H556" s="7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58"/>
      <c r="AC556" s="58"/>
      <c r="AD556" s="58"/>
      <c r="AE556" s="58"/>
      <c r="AF556" s="58"/>
      <c r="AG556" s="18"/>
    </row>
    <row r="557" ht="14.25" customHeight="1">
      <c r="A557" s="77"/>
      <c r="B557" s="77"/>
      <c r="C557" s="77"/>
      <c r="D557" s="18"/>
      <c r="E557" s="18"/>
      <c r="F557" s="77"/>
      <c r="G557" s="78"/>
      <c r="H557" s="7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58"/>
      <c r="AC557" s="58"/>
      <c r="AD557" s="58"/>
      <c r="AE557" s="58"/>
      <c r="AF557" s="58"/>
      <c r="AG557" s="18"/>
    </row>
    <row r="558" ht="14.25" customHeight="1">
      <c r="A558" s="77"/>
      <c r="B558" s="77"/>
      <c r="C558" s="77"/>
      <c r="D558" s="18"/>
      <c r="E558" s="18"/>
      <c r="F558" s="77"/>
      <c r="G558" s="78"/>
      <c r="H558" s="7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58"/>
      <c r="AC558" s="58"/>
      <c r="AD558" s="58"/>
      <c r="AE558" s="58"/>
      <c r="AF558" s="58"/>
      <c r="AG558" s="18"/>
    </row>
    <row r="559" ht="14.25" customHeight="1">
      <c r="A559" s="77"/>
      <c r="B559" s="77"/>
      <c r="C559" s="77"/>
      <c r="D559" s="18"/>
      <c r="E559" s="18"/>
      <c r="F559" s="77"/>
      <c r="G559" s="78"/>
      <c r="H559" s="7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58"/>
      <c r="AC559" s="58"/>
      <c r="AD559" s="58"/>
      <c r="AE559" s="58"/>
      <c r="AF559" s="58"/>
      <c r="AG559" s="18"/>
    </row>
    <row r="560" ht="14.25" customHeight="1">
      <c r="A560" s="77"/>
      <c r="B560" s="77"/>
      <c r="C560" s="77"/>
      <c r="D560" s="18"/>
      <c r="E560" s="18"/>
      <c r="F560" s="77"/>
      <c r="G560" s="78"/>
      <c r="H560" s="7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58"/>
      <c r="AC560" s="58"/>
      <c r="AD560" s="58"/>
      <c r="AE560" s="58"/>
      <c r="AF560" s="58"/>
      <c r="AG560" s="18"/>
    </row>
    <row r="561" ht="14.25" customHeight="1">
      <c r="A561" s="77"/>
      <c r="B561" s="77"/>
      <c r="C561" s="77"/>
      <c r="D561" s="18"/>
      <c r="E561" s="18"/>
      <c r="F561" s="77"/>
      <c r="G561" s="78"/>
      <c r="H561" s="7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58"/>
      <c r="AC561" s="58"/>
      <c r="AD561" s="58"/>
      <c r="AE561" s="58"/>
      <c r="AF561" s="58"/>
      <c r="AG561" s="18"/>
    </row>
    <row r="562" ht="14.25" customHeight="1">
      <c r="A562" s="77"/>
      <c r="B562" s="77"/>
      <c r="C562" s="77"/>
      <c r="D562" s="18"/>
      <c r="E562" s="18"/>
      <c r="F562" s="77"/>
      <c r="G562" s="78"/>
      <c r="H562" s="7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58"/>
      <c r="AC562" s="58"/>
      <c r="AD562" s="58"/>
      <c r="AE562" s="58"/>
      <c r="AF562" s="58"/>
      <c r="AG562" s="18"/>
    </row>
    <row r="563" ht="14.25" customHeight="1">
      <c r="A563" s="77"/>
      <c r="B563" s="77"/>
      <c r="C563" s="77"/>
      <c r="D563" s="18"/>
      <c r="E563" s="18"/>
      <c r="F563" s="77"/>
      <c r="G563" s="78"/>
      <c r="H563" s="7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58"/>
      <c r="AC563" s="58"/>
      <c r="AD563" s="58"/>
      <c r="AE563" s="58"/>
      <c r="AF563" s="58"/>
      <c r="AG563" s="18"/>
    </row>
    <row r="564" ht="14.25" customHeight="1">
      <c r="A564" s="77"/>
      <c r="B564" s="77"/>
      <c r="C564" s="77"/>
      <c r="D564" s="18"/>
      <c r="E564" s="18"/>
      <c r="F564" s="77"/>
      <c r="G564" s="78"/>
      <c r="H564" s="7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58"/>
      <c r="AC564" s="58"/>
      <c r="AD564" s="58"/>
      <c r="AE564" s="58"/>
      <c r="AF564" s="58"/>
      <c r="AG564" s="18"/>
    </row>
    <row r="565" ht="14.25" customHeight="1">
      <c r="A565" s="77"/>
      <c r="B565" s="77"/>
      <c r="C565" s="77"/>
      <c r="D565" s="18"/>
      <c r="E565" s="18"/>
      <c r="F565" s="77"/>
      <c r="G565" s="78"/>
      <c r="H565" s="7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58"/>
      <c r="AC565" s="58"/>
      <c r="AD565" s="58"/>
      <c r="AE565" s="58"/>
      <c r="AF565" s="58"/>
      <c r="AG565" s="18"/>
    </row>
    <row r="566" ht="14.25" customHeight="1">
      <c r="A566" s="77"/>
      <c r="B566" s="77"/>
      <c r="C566" s="77"/>
      <c r="D566" s="18"/>
      <c r="E566" s="18"/>
      <c r="F566" s="77"/>
      <c r="G566" s="78"/>
      <c r="H566" s="7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58"/>
      <c r="AC566" s="58"/>
      <c r="AD566" s="58"/>
      <c r="AE566" s="58"/>
      <c r="AF566" s="58"/>
      <c r="AG566" s="18"/>
    </row>
    <row r="567" ht="14.25" customHeight="1">
      <c r="A567" s="77"/>
      <c r="B567" s="77"/>
      <c r="C567" s="77"/>
      <c r="D567" s="18"/>
      <c r="E567" s="18"/>
      <c r="F567" s="77"/>
      <c r="G567" s="78"/>
      <c r="H567" s="7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58"/>
      <c r="AC567" s="58"/>
      <c r="AD567" s="58"/>
      <c r="AE567" s="58"/>
      <c r="AF567" s="58"/>
      <c r="AG567" s="18"/>
    </row>
    <row r="568" ht="14.25" customHeight="1">
      <c r="A568" s="77"/>
      <c r="B568" s="77"/>
      <c r="C568" s="77"/>
      <c r="D568" s="18"/>
      <c r="E568" s="18"/>
      <c r="F568" s="77"/>
      <c r="G568" s="78"/>
      <c r="H568" s="7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58"/>
      <c r="AC568" s="58"/>
      <c r="AD568" s="58"/>
      <c r="AE568" s="58"/>
      <c r="AF568" s="58"/>
      <c r="AG568" s="18"/>
    </row>
    <row r="569" ht="14.25" customHeight="1">
      <c r="A569" s="77"/>
      <c r="B569" s="77"/>
      <c r="C569" s="77"/>
      <c r="D569" s="18"/>
      <c r="E569" s="18"/>
      <c r="F569" s="77"/>
      <c r="G569" s="78"/>
      <c r="H569" s="7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58"/>
      <c r="AC569" s="58"/>
      <c r="AD569" s="58"/>
      <c r="AE569" s="58"/>
      <c r="AF569" s="58"/>
      <c r="AG569" s="18"/>
    </row>
    <row r="570" ht="14.25" customHeight="1">
      <c r="A570" s="77"/>
      <c r="B570" s="77"/>
      <c r="C570" s="77"/>
      <c r="D570" s="18"/>
      <c r="E570" s="18"/>
      <c r="F570" s="77"/>
      <c r="G570" s="78"/>
      <c r="H570" s="7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58"/>
      <c r="AC570" s="58"/>
      <c r="AD570" s="58"/>
      <c r="AE570" s="58"/>
      <c r="AF570" s="58"/>
      <c r="AG570" s="18"/>
    </row>
    <row r="571" ht="14.25" customHeight="1">
      <c r="A571" s="77"/>
      <c r="B571" s="77"/>
      <c r="C571" s="77"/>
      <c r="D571" s="18"/>
      <c r="E571" s="18"/>
      <c r="F571" s="77"/>
      <c r="G571" s="78"/>
      <c r="H571" s="7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58"/>
      <c r="AC571" s="58"/>
      <c r="AD571" s="58"/>
      <c r="AE571" s="58"/>
      <c r="AF571" s="58"/>
      <c r="AG571" s="18"/>
    </row>
    <row r="572" ht="14.25" customHeight="1">
      <c r="A572" s="77"/>
      <c r="B572" s="77"/>
      <c r="C572" s="77"/>
      <c r="D572" s="18"/>
      <c r="E572" s="18"/>
      <c r="F572" s="77"/>
      <c r="G572" s="78"/>
      <c r="H572" s="7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58"/>
      <c r="AC572" s="58"/>
      <c r="AD572" s="58"/>
      <c r="AE572" s="58"/>
      <c r="AF572" s="58"/>
      <c r="AG572" s="18"/>
    </row>
    <row r="573" ht="14.25" customHeight="1">
      <c r="A573" s="77"/>
      <c r="B573" s="77"/>
      <c r="C573" s="77"/>
      <c r="D573" s="18"/>
      <c r="E573" s="18"/>
      <c r="F573" s="77"/>
      <c r="G573" s="78"/>
      <c r="H573" s="7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58"/>
      <c r="AC573" s="58"/>
      <c r="AD573" s="58"/>
      <c r="AE573" s="58"/>
      <c r="AF573" s="58"/>
      <c r="AG573" s="18"/>
    </row>
    <row r="574" ht="14.25" customHeight="1">
      <c r="A574" s="77"/>
      <c r="B574" s="77"/>
      <c r="C574" s="77"/>
      <c r="D574" s="18"/>
      <c r="E574" s="18"/>
      <c r="F574" s="77"/>
      <c r="G574" s="78"/>
      <c r="H574" s="7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58"/>
      <c r="AC574" s="58"/>
      <c r="AD574" s="58"/>
      <c r="AE574" s="58"/>
      <c r="AF574" s="58"/>
      <c r="AG574" s="18"/>
    </row>
    <row r="575" ht="14.25" customHeight="1">
      <c r="A575" s="77"/>
      <c r="B575" s="77"/>
      <c r="C575" s="77"/>
      <c r="D575" s="18"/>
      <c r="E575" s="18"/>
      <c r="F575" s="77"/>
      <c r="G575" s="78"/>
      <c r="H575" s="7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58"/>
      <c r="AC575" s="58"/>
      <c r="AD575" s="58"/>
      <c r="AE575" s="58"/>
      <c r="AF575" s="58"/>
      <c r="AG575" s="18"/>
    </row>
    <row r="576" ht="14.25" customHeight="1">
      <c r="A576" s="77"/>
      <c r="B576" s="77"/>
      <c r="C576" s="77"/>
      <c r="D576" s="18"/>
      <c r="E576" s="18"/>
      <c r="F576" s="77"/>
      <c r="G576" s="78"/>
      <c r="H576" s="7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58"/>
      <c r="AC576" s="58"/>
      <c r="AD576" s="58"/>
      <c r="AE576" s="58"/>
      <c r="AF576" s="58"/>
      <c r="AG576" s="18"/>
    </row>
    <row r="577" ht="14.25" customHeight="1">
      <c r="A577" s="77"/>
      <c r="B577" s="77"/>
      <c r="C577" s="77"/>
      <c r="D577" s="18"/>
      <c r="E577" s="18"/>
      <c r="F577" s="77"/>
      <c r="G577" s="78"/>
      <c r="H577" s="7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58"/>
      <c r="AC577" s="58"/>
      <c r="AD577" s="58"/>
      <c r="AE577" s="58"/>
      <c r="AF577" s="58"/>
      <c r="AG577" s="18"/>
    </row>
    <row r="578" ht="14.25" customHeight="1">
      <c r="A578" s="77"/>
      <c r="B578" s="77"/>
      <c r="C578" s="77"/>
      <c r="D578" s="18"/>
      <c r="E578" s="18"/>
      <c r="F578" s="77"/>
      <c r="G578" s="78"/>
      <c r="H578" s="7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58"/>
      <c r="AC578" s="58"/>
      <c r="AD578" s="58"/>
      <c r="AE578" s="58"/>
      <c r="AF578" s="58"/>
      <c r="AG578" s="18"/>
    </row>
    <row r="579" ht="14.25" customHeight="1">
      <c r="A579" s="77"/>
      <c r="B579" s="77"/>
      <c r="C579" s="77"/>
      <c r="D579" s="18"/>
      <c r="E579" s="18"/>
      <c r="F579" s="77"/>
      <c r="G579" s="78"/>
      <c r="H579" s="7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58"/>
      <c r="AC579" s="58"/>
      <c r="AD579" s="58"/>
      <c r="AE579" s="58"/>
      <c r="AF579" s="58"/>
      <c r="AG579" s="18"/>
    </row>
    <row r="580" ht="14.25" customHeight="1">
      <c r="A580" s="77"/>
      <c r="B580" s="77"/>
      <c r="C580" s="77"/>
      <c r="D580" s="18"/>
      <c r="E580" s="18"/>
      <c r="F580" s="77"/>
      <c r="G580" s="78"/>
      <c r="H580" s="7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58"/>
      <c r="AC580" s="58"/>
      <c r="AD580" s="58"/>
      <c r="AE580" s="58"/>
      <c r="AF580" s="58"/>
      <c r="AG580" s="18"/>
    </row>
    <row r="581" ht="14.25" customHeight="1">
      <c r="A581" s="77"/>
      <c r="B581" s="77"/>
      <c r="C581" s="77"/>
      <c r="D581" s="18"/>
      <c r="E581" s="18"/>
      <c r="F581" s="77"/>
      <c r="G581" s="78"/>
      <c r="H581" s="7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58"/>
      <c r="AC581" s="58"/>
      <c r="AD581" s="58"/>
      <c r="AE581" s="58"/>
      <c r="AF581" s="58"/>
      <c r="AG581" s="18"/>
    </row>
    <row r="582" ht="14.25" customHeight="1">
      <c r="A582" s="77"/>
      <c r="B582" s="77"/>
      <c r="C582" s="77"/>
      <c r="D582" s="18"/>
      <c r="E582" s="18"/>
      <c r="F582" s="77"/>
      <c r="G582" s="78"/>
      <c r="H582" s="7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58"/>
      <c r="AC582" s="58"/>
      <c r="AD582" s="58"/>
      <c r="AE582" s="58"/>
      <c r="AF582" s="58"/>
      <c r="AG582" s="18"/>
    </row>
    <row r="583" ht="14.25" customHeight="1">
      <c r="A583" s="77"/>
      <c r="B583" s="77"/>
      <c r="C583" s="77"/>
      <c r="D583" s="18"/>
      <c r="E583" s="18"/>
      <c r="F583" s="77"/>
      <c r="G583" s="78"/>
      <c r="H583" s="7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58"/>
      <c r="AC583" s="58"/>
      <c r="AD583" s="58"/>
      <c r="AE583" s="58"/>
      <c r="AF583" s="58"/>
      <c r="AG583" s="18"/>
    </row>
    <row r="584" ht="14.25" customHeight="1">
      <c r="A584" s="77"/>
      <c r="B584" s="77"/>
      <c r="C584" s="77"/>
      <c r="D584" s="18"/>
      <c r="E584" s="18"/>
      <c r="F584" s="77"/>
      <c r="G584" s="78"/>
      <c r="H584" s="7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58"/>
      <c r="AC584" s="58"/>
      <c r="AD584" s="58"/>
      <c r="AE584" s="58"/>
      <c r="AF584" s="58"/>
      <c r="AG584" s="18"/>
    </row>
    <row r="585" ht="14.25" customHeight="1">
      <c r="A585" s="77"/>
      <c r="B585" s="77"/>
      <c r="C585" s="77"/>
      <c r="D585" s="18"/>
      <c r="E585" s="18"/>
      <c r="F585" s="77"/>
      <c r="G585" s="78"/>
      <c r="H585" s="7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58"/>
      <c r="AC585" s="58"/>
      <c r="AD585" s="58"/>
      <c r="AE585" s="58"/>
      <c r="AF585" s="58"/>
      <c r="AG585" s="18"/>
    </row>
    <row r="586" ht="14.25" customHeight="1">
      <c r="A586" s="77"/>
      <c r="B586" s="77"/>
      <c r="C586" s="77"/>
      <c r="D586" s="18"/>
      <c r="E586" s="18"/>
      <c r="F586" s="77"/>
      <c r="G586" s="78"/>
      <c r="H586" s="7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58"/>
      <c r="AC586" s="58"/>
      <c r="AD586" s="58"/>
      <c r="AE586" s="58"/>
      <c r="AF586" s="58"/>
      <c r="AG586" s="18"/>
    </row>
    <row r="587" ht="14.25" customHeight="1">
      <c r="A587" s="77"/>
      <c r="B587" s="77"/>
      <c r="C587" s="77"/>
      <c r="D587" s="18"/>
      <c r="E587" s="18"/>
      <c r="F587" s="77"/>
      <c r="G587" s="78"/>
      <c r="H587" s="7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58"/>
      <c r="AC587" s="58"/>
      <c r="AD587" s="58"/>
      <c r="AE587" s="58"/>
      <c r="AF587" s="58"/>
      <c r="AG587" s="18"/>
    </row>
    <row r="588" ht="14.25" customHeight="1">
      <c r="A588" s="77"/>
      <c r="B588" s="77"/>
      <c r="C588" s="77"/>
      <c r="D588" s="18"/>
      <c r="E588" s="18"/>
      <c r="F588" s="77"/>
      <c r="G588" s="78"/>
      <c r="H588" s="7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58"/>
      <c r="AC588" s="58"/>
      <c r="AD588" s="58"/>
      <c r="AE588" s="58"/>
      <c r="AF588" s="58"/>
      <c r="AG588" s="18"/>
    </row>
    <row r="589" ht="14.25" customHeight="1">
      <c r="A589" s="77"/>
      <c r="B589" s="77"/>
      <c r="C589" s="77"/>
      <c r="D589" s="18"/>
      <c r="E589" s="18"/>
      <c r="F589" s="77"/>
      <c r="G589" s="78"/>
      <c r="H589" s="7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58"/>
      <c r="AC589" s="58"/>
      <c r="AD589" s="58"/>
      <c r="AE589" s="58"/>
      <c r="AF589" s="58"/>
      <c r="AG589" s="18"/>
    </row>
    <row r="590" ht="14.25" customHeight="1">
      <c r="A590" s="77"/>
      <c r="B590" s="77"/>
      <c r="C590" s="77"/>
      <c r="D590" s="18"/>
      <c r="E590" s="18"/>
      <c r="F590" s="77"/>
      <c r="G590" s="78"/>
      <c r="H590" s="7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58"/>
      <c r="AC590" s="58"/>
      <c r="AD590" s="58"/>
      <c r="AE590" s="58"/>
      <c r="AF590" s="58"/>
      <c r="AG590" s="18"/>
    </row>
    <row r="591" ht="14.25" customHeight="1">
      <c r="A591" s="77"/>
      <c r="B591" s="77"/>
      <c r="C591" s="77"/>
      <c r="D591" s="18"/>
      <c r="E591" s="18"/>
      <c r="F591" s="77"/>
      <c r="G591" s="78"/>
      <c r="H591" s="7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58"/>
      <c r="AC591" s="58"/>
      <c r="AD591" s="58"/>
      <c r="AE591" s="58"/>
      <c r="AF591" s="58"/>
      <c r="AG591" s="18"/>
    </row>
    <row r="592" ht="14.25" customHeight="1">
      <c r="A592" s="77"/>
      <c r="B592" s="77"/>
      <c r="C592" s="77"/>
      <c r="D592" s="18"/>
      <c r="E592" s="18"/>
      <c r="F592" s="77"/>
      <c r="G592" s="78"/>
      <c r="H592" s="7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58"/>
      <c r="AC592" s="58"/>
      <c r="AD592" s="58"/>
      <c r="AE592" s="58"/>
      <c r="AF592" s="58"/>
      <c r="AG592" s="18"/>
    </row>
    <row r="593" ht="14.25" customHeight="1">
      <c r="A593" s="77"/>
      <c r="B593" s="77"/>
      <c r="C593" s="77"/>
      <c r="D593" s="18"/>
      <c r="E593" s="18"/>
      <c r="F593" s="77"/>
      <c r="G593" s="78"/>
      <c r="H593" s="7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58"/>
      <c r="AC593" s="58"/>
      <c r="AD593" s="58"/>
      <c r="AE593" s="58"/>
      <c r="AF593" s="58"/>
      <c r="AG593" s="18"/>
    </row>
    <row r="594" ht="14.25" customHeight="1">
      <c r="A594" s="77"/>
      <c r="B594" s="77"/>
      <c r="C594" s="77"/>
      <c r="D594" s="18"/>
      <c r="E594" s="18"/>
      <c r="F594" s="77"/>
      <c r="G594" s="78"/>
      <c r="H594" s="7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58"/>
      <c r="AC594" s="58"/>
      <c r="AD594" s="58"/>
      <c r="AE594" s="58"/>
      <c r="AF594" s="58"/>
      <c r="AG594" s="18"/>
    </row>
    <row r="595" ht="14.25" customHeight="1">
      <c r="A595" s="77"/>
      <c r="B595" s="77"/>
      <c r="C595" s="77"/>
      <c r="D595" s="18"/>
      <c r="E595" s="18"/>
      <c r="F595" s="77"/>
      <c r="G595" s="78"/>
      <c r="H595" s="7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58"/>
      <c r="AC595" s="58"/>
      <c r="AD595" s="58"/>
      <c r="AE595" s="58"/>
      <c r="AF595" s="58"/>
      <c r="AG595" s="18"/>
    </row>
    <row r="596" ht="14.25" customHeight="1">
      <c r="A596" s="77"/>
      <c r="B596" s="77"/>
      <c r="C596" s="77"/>
      <c r="D596" s="18"/>
      <c r="E596" s="18"/>
      <c r="F596" s="77"/>
      <c r="G596" s="78"/>
      <c r="H596" s="7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58"/>
      <c r="AC596" s="58"/>
      <c r="AD596" s="58"/>
      <c r="AE596" s="58"/>
      <c r="AF596" s="58"/>
      <c r="AG596" s="18"/>
    </row>
    <row r="597" ht="14.25" customHeight="1">
      <c r="A597" s="77"/>
      <c r="B597" s="77"/>
      <c r="C597" s="77"/>
      <c r="D597" s="18"/>
      <c r="E597" s="18"/>
      <c r="F597" s="77"/>
      <c r="G597" s="78"/>
      <c r="H597" s="7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58"/>
      <c r="AC597" s="58"/>
      <c r="AD597" s="58"/>
      <c r="AE597" s="58"/>
      <c r="AF597" s="58"/>
      <c r="AG597" s="18"/>
    </row>
    <row r="598" ht="14.25" customHeight="1">
      <c r="A598" s="77"/>
      <c r="B598" s="77"/>
      <c r="C598" s="77"/>
      <c r="D598" s="18"/>
      <c r="E598" s="18"/>
      <c r="F598" s="77"/>
      <c r="G598" s="78"/>
      <c r="H598" s="7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58"/>
      <c r="AC598" s="58"/>
      <c r="AD598" s="58"/>
      <c r="AE598" s="58"/>
      <c r="AF598" s="58"/>
      <c r="AG598" s="18"/>
    </row>
    <row r="599" ht="14.25" customHeight="1">
      <c r="A599" s="77"/>
      <c r="B599" s="77"/>
      <c r="C599" s="77"/>
      <c r="D599" s="18"/>
      <c r="E599" s="18"/>
      <c r="F599" s="77"/>
      <c r="G599" s="78"/>
      <c r="H599" s="7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58"/>
      <c r="AC599" s="58"/>
      <c r="AD599" s="58"/>
      <c r="AE599" s="58"/>
      <c r="AF599" s="58"/>
      <c r="AG599" s="18"/>
    </row>
    <row r="600" ht="14.25" customHeight="1">
      <c r="A600" s="77"/>
      <c r="B600" s="77"/>
      <c r="C600" s="77"/>
      <c r="D600" s="18"/>
      <c r="E600" s="18"/>
      <c r="F600" s="77"/>
      <c r="G600" s="78"/>
      <c r="H600" s="7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58"/>
      <c r="AC600" s="58"/>
      <c r="AD600" s="58"/>
      <c r="AE600" s="58"/>
      <c r="AF600" s="58"/>
      <c r="AG600" s="18"/>
    </row>
    <row r="601" ht="14.25" customHeight="1">
      <c r="A601" s="77"/>
      <c r="B601" s="77"/>
      <c r="C601" s="77"/>
      <c r="D601" s="18"/>
      <c r="E601" s="18"/>
      <c r="F601" s="77"/>
      <c r="G601" s="78"/>
      <c r="H601" s="7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58"/>
      <c r="AC601" s="58"/>
      <c r="AD601" s="58"/>
      <c r="AE601" s="58"/>
      <c r="AF601" s="58"/>
      <c r="AG601" s="18"/>
    </row>
    <row r="602" ht="14.25" customHeight="1">
      <c r="A602" s="77"/>
      <c r="B602" s="77"/>
      <c r="C602" s="77"/>
      <c r="D602" s="18"/>
      <c r="E602" s="18"/>
      <c r="F602" s="77"/>
      <c r="G602" s="78"/>
      <c r="H602" s="7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58"/>
      <c r="AC602" s="58"/>
      <c r="AD602" s="58"/>
      <c r="AE602" s="58"/>
      <c r="AF602" s="58"/>
      <c r="AG602" s="18"/>
    </row>
    <row r="603" ht="14.25" customHeight="1">
      <c r="A603" s="77"/>
      <c r="B603" s="77"/>
      <c r="C603" s="77"/>
      <c r="D603" s="18"/>
      <c r="E603" s="18"/>
      <c r="F603" s="77"/>
      <c r="G603" s="78"/>
      <c r="H603" s="7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58"/>
      <c r="AC603" s="58"/>
      <c r="AD603" s="58"/>
      <c r="AE603" s="58"/>
      <c r="AF603" s="58"/>
      <c r="AG603" s="18"/>
    </row>
    <row r="604" ht="14.25" customHeight="1">
      <c r="A604" s="77"/>
      <c r="B604" s="77"/>
      <c r="C604" s="77"/>
      <c r="D604" s="18"/>
      <c r="E604" s="18"/>
      <c r="F604" s="77"/>
      <c r="G604" s="78"/>
      <c r="H604" s="7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58"/>
      <c r="AC604" s="58"/>
      <c r="AD604" s="58"/>
      <c r="AE604" s="58"/>
      <c r="AF604" s="58"/>
      <c r="AG604" s="18"/>
    </row>
    <row r="605" ht="14.25" customHeight="1">
      <c r="A605" s="77"/>
      <c r="B605" s="77"/>
      <c r="C605" s="77"/>
      <c r="D605" s="18"/>
      <c r="E605" s="18"/>
      <c r="F605" s="77"/>
      <c r="G605" s="78"/>
      <c r="H605" s="7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58"/>
      <c r="AC605" s="58"/>
      <c r="AD605" s="58"/>
      <c r="AE605" s="58"/>
      <c r="AF605" s="58"/>
      <c r="AG605" s="18"/>
    </row>
    <row r="606" ht="14.25" customHeight="1">
      <c r="A606" s="77"/>
      <c r="B606" s="77"/>
      <c r="C606" s="77"/>
      <c r="D606" s="18"/>
      <c r="E606" s="18"/>
      <c r="F606" s="77"/>
      <c r="G606" s="78"/>
      <c r="H606" s="7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58"/>
      <c r="AC606" s="58"/>
      <c r="AD606" s="58"/>
      <c r="AE606" s="58"/>
      <c r="AF606" s="58"/>
      <c r="AG606" s="18"/>
    </row>
    <row r="607" ht="14.25" customHeight="1">
      <c r="A607" s="77"/>
      <c r="B607" s="77"/>
      <c r="C607" s="77"/>
      <c r="D607" s="18"/>
      <c r="E607" s="18"/>
      <c r="F607" s="77"/>
      <c r="G607" s="78"/>
      <c r="H607" s="7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58"/>
      <c r="AC607" s="58"/>
      <c r="AD607" s="58"/>
      <c r="AE607" s="58"/>
      <c r="AF607" s="58"/>
      <c r="AG607" s="18"/>
    </row>
    <row r="608" ht="14.25" customHeight="1">
      <c r="A608" s="77"/>
      <c r="B608" s="77"/>
      <c r="C608" s="77"/>
      <c r="D608" s="18"/>
      <c r="E608" s="18"/>
      <c r="F608" s="77"/>
      <c r="G608" s="78"/>
      <c r="H608" s="7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58"/>
      <c r="AC608" s="58"/>
      <c r="AD608" s="58"/>
      <c r="AE608" s="58"/>
      <c r="AF608" s="58"/>
      <c r="AG608" s="18"/>
    </row>
    <row r="609" ht="14.25" customHeight="1">
      <c r="A609" s="77"/>
      <c r="B609" s="77"/>
      <c r="C609" s="77"/>
      <c r="D609" s="18"/>
      <c r="E609" s="18"/>
      <c r="F609" s="77"/>
      <c r="G609" s="78"/>
      <c r="H609" s="7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58"/>
      <c r="AC609" s="58"/>
      <c r="AD609" s="58"/>
      <c r="AE609" s="58"/>
      <c r="AF609" s="58"/>
      <c r="AG609" s="18"/>
    </row>
    <row r="610" ht="14.25" customHeight="1">
      <c r="A610" s="77"/>
      <c r="B610" s="77"/>
      <c r="C610" s="77"/>
      <c r="D610" s="18"/>
      <c r="E610" s="18"/>
      <c r="F610" s="77"/>
      <c r="G610" s="78"/>
      <c r="H610" s="7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58"/>
      <c r="AC610" s="58"/>
      <c r="AD610" s="58"/>
      <c r="AE610" s="58"/>
      <c r="AF610" s="58"/>
      <c r="AG610" s="18"/>
    </row>
    <row r="611" ht="14.25" customHeight="1">
      <c r="A611" s="77"/>
      <c r="B611" s="77"/>
      <c r="C611" s="77"/>
      <c r="D611" s="18"/>
      <c r="E611" s="18"/>
      <c r="F611" s="77"/>
      <c r="G611" s="78"/>
      <c r="H611" s="7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58"/>
      <c r="AC611" s="58"/>
      <c r="AD611" s="58"/>
      <c r="AE611" s="58"/>
      <c r="AF611" s="58"/>
      <c r="AG611" s="18"/>
    </row>
    <row r="612" ht="14.25" customHeight="1">
      <c r="A612" s="77"/>
      <c r="B612" s="77"/>
      <c r="C612" s="77"/>
      <c r="D612" s="18"/>
      <c r="E612" s="18"/>
      <c r="F612" s="77"/>
      <c r="G612" s="78"/>
      <c r="H612" s="7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58"/>
      <c r="AC612" s="58"/>
      <c r="AD612" s="58"/>
      <c r="AE612" s="58"/>
      <c r="AF612" s="58"/>
      <c r="AG612" s="18"/>
    </row>
    <row r="613" ht="14.25" customHeight="1">
      <c r="A613" s="77"/>
      <c r="B613" s="77"/>
      <c r="C613" s="77"/>
      <c r="D613" s="18"/>
      <c r="E613" s="18"/>
      <c r="F613" s="77"/>
      <c r="G613" s="78"/>
      <c r="H613" s="7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58"/>
      <c r="AC613" s="58"/>
      <c r="AD613" s="58"/>
      <c r="AE613" s="58"/>
      <c r="AF613" s="58"/>
      <c r="AG613" s="18"/>
    </row>
    <row r="614" ht="14.25" customHeight="1">
      <c r="A614" s="77"/>
      <c r="B614" s="77"/>
      <c r="C614" s="77"/>
      <c r="D614" s="18"/>
      <c r="E614" s="18"/>
      <c r="F614" s="77"/>
      <c r="G614" s="78"/>
      <c r="H614" s="7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58"/>
      <c r="AC614" s="58"/>
      <c r="AD614" s="58"/>
      <c r="AE614" s="58"/>
      <c r="AF614" s="58"/>
      <c r="AG614" s="18"/>
    </row>
    <row r="615" ht="14.25" customHeight="1">
      <c r="A615" s="77"/>
      <c r="B615" s="77"/>
      <c r="C615" s="77"/>
      <c r="D615" s="18"/>
      <c r="E615" s="18"/>
      <c r="F615" s="77"/>
      <c r="G615" s="78"/>
      <c r="H615" s="7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58"/>
      <c r="AC615" s="58"/>
      <c r="AD615" s="58"/>
      <c r="AE615" s="58"/>
      <c r="AF615" s="58"/>
      <c r="AG615" s="18"/>
    </row>
    <row r="616" ht="14.25" customHeight="1">
      <c r="A616" s="77"/>
      <c r="B616" s="77"/>
      <c r="C616" s="77"/>
      <c r="D616" s="18"/>
      <c r="E616" s="18"/>
      <c r="F616" s="77"/>
      <c r="G616" s="78"/>
      <c r="H616" s="7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58"/>
      <c r="AC616" s="58"/>
      <c r="AD616" s="58"/>
      <c r="AE616" s="58"/>
      <c r="AF616" s="58"/>
      <c r="AG616" s="18"/>
    </row>
    <row r="617" ht="14.25" customHeight="1">
      <c r="A617" s="77"/>
      <c r="B617" s="77"/>
      <c r="C617" s="77"/>
      <c r="D617" s="18"/>
      <c r="E617" s="18"/>
      <c r="F617" s="77"/>
      <c r="G617" s="78"/>
      <c r="H617" s="7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58"/>
      <c r="AC617" s="58"/>
      <c r="AD617" s="58"/>
      <c r="AE617" s="58"/>
      <c r="AF617" s="58"/>
      <c r="AG617" s="18"/>
    </row>
    <row r="618" ht="14.25" customHeight="1">
      <c r="A618" s="77"/>
      <c r="B618" s="77"/>
      <c r="C618" s="77"/>
      <c r="D618" s="18"/>
      <c r="E618" s="18"/>
      <c r="F618" s="77"/>
      <c r="G618" s="78"/>
      <c r="H618" s="7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58"/>
      <c r="AC618" s="58"/>
      <c r="AD618" s="58"/>
      <c r="AE618" s="58"/>
      <c r="AF618" s="58"/>
      <c r="AG618" s="18"/>
    </row>
    <row r="619" ht="14.25" customHeight="1">
      <c r="A619" s="77"/>
      <c r="B619" s="77"/>
      <c r="C619" s="77"/>
      <c r="D619" s="18"/>
      <c r="E619" s="18"/>
      <c r="F619" s="77"/>
      <c r="G619" s="78"/>
      <c r="H619" s="7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58"/>
      <c r="AC619" s="58"/>
      <c r="AD619" s="58"/>
      <c r="AE619" s="58"/>
      <c r="AF619" s="58"/>
      <c r="AG619" s="18"/>
    </row>
    <row r="620" ht="14.25" customHeight="1">
      <c r="A620" s="77"/>
      <c r="B620" s="77"/>
      <c r="C620" s="77"/>
      <c r="D620" s="18"/>
      <c r="E620" s="18"/>
      <c r="F620" s="77"/>
      <c r="G620" s="78"/>
      <c r="H620" s="7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58"/>
      <c r="AC620" s="58"/>
      <c r="AD620" s="58"/>
      <c r="AE620" s="58"/>
      <c r="AF620" s="58"/>
      <c r="AG620" s="18"/>
    </row>
    <row r="621" ht="14.25" customHeight="1">
      <c r="A621" s="77"/>
      <c r="B621" s="77"/>
      <c r="C621" s="77"/>
      <c r="D621" s="18"/>
      <c r="E621" s="18"/>
      <c r="F621" s="77"/>
      <c r="G621" s="78"/>
      <c r="H621" s="7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58"/>
      <c r="AC621" s="58"/>
      <c r="AD621" s="58"/>
      <c r="AE621" s="58"/>
      <c r="AF621" s="58"/>
      <c r="AG621" s="18"/>
    </row>
    <row r="622" ht="14.25" customHeight="1">
      <c r="A622" s="77"/>
      <c r="B622" s="77"/>
      <c r="C622" s="77"/>
      <c r="D622" s="18"/>
      <c r="E622" s="18"/>
      <c r="F622" s="77"/>
      <c r="G622" s="78"/>
      <c r="H622" s="7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58"/>
      <c r="AC622" s="58"/>
      <c r="AD622" s="58"/>
      <c r="AE622" s="58"/>
      <c r="AF622" s="58"/>
      <c r="AG622" s="18"/>
    </row>
    <row r="623" ht="14.25" customHeight="1">
      <c r="A623" s="77"/>
      <c r="B623" s="77"/>
      <c r="C623" s="77"/>
      <c r="D623" s="18"/>
      <c r="E623" s="18"/>
      <c r="F623" s="77"/>
      <c r="G623" s="78"/>
      <c r="H623" s="7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58"/>
      <c r="AC623" s="58"/>
      <c r="AD623" s="58"/>
      <c r="AE623" s="58"/>
      <c r="AF623" s="58"/>
      <c r="AG623" s="18"/>
    </row>
    <row r="624" ht="14.25" customHeight="1">
      <c r="A624" s="77"/>
      <c r="B624" s="77"/>
      <c r="C624" s="77"/>
      <c r="D624" s="18"/>
      <c r="E624" s="18"/>
      <c r="F624" s="77"/>
      <c r="G624" s="78"/>
      <c r="H624" s="7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58"/>
      <c r="AC624" s="58"/>
      <c r="AD624" s="58"/>
      <c r="AE624" s="58"/>
      <c r="AF624" s="58"/>
      <c r="AG624" s="18"/>
    </row>
    <row r="625" ht="14.25" customHeight="1">
      <c r="A625" s="77"/>
      <c r="B625" s="77"/>
      <c r="C625" s="77"/>
      <c r="D625" s="18"/>
      <c r="E625" s="18"/>
      <c r="F625" s="77"/>
      <c r="G625" s="78"/>
      <c r="H625" s="7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58"/>
      <c r="AC625" s="58"/>
      <c r="AD625" s="58"/>
      <c r="AE625" s="58"/>
      <c r="AF625" s="58"/>
      <c r="AG625" s="18"/>
    </row>
    <row r="626" ht="14.25" customHeight="1">
      <c r="A626" s="77"/>
      <c r="B626" s="77"/>
      <c r="C626" s="77"/>
      <c r="D626" s="18"/>
      <c r="E626" s="18"/>
      <c r="F626" s="77"/>
      <c r="G626" s="78"/>
      <c r="H626" s="7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58"/>
      <c r="AC626" s="58"/>
      <c r="AD626" s="58"/>
      <c r="AE626" s="58"/>
      <c r="AF626" s="58"/>
      <c r="AG626" s="18"/>
    </row>
    <row r="627" ht="14.25" customHeight="1">
      <c r="A627" s="77"/>
      <c r="B627" s="77"/>
      <c r="C627" s="77"/>
      <c r="D627" s="18"/>
      <c r="E627" s="18"/>
      <c r="F627" s="77"/>
      <c r="G627" s="78"/>
      <c r="H627" s="7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58"/>
      <c r="AC627" s="58"/>
      <c r="AD627" s="58"/>
      <c r="AE627" s="58"/>
      <c r="AF627" s="58"/>
      <c r="AG627" s="18"/>
    </row>
    <row r="628" ht="14.25" customHeight="1">
      <c r="A628" s="77"/>
      <c r="B628" s="77"/>
      <c r="C628" s="77"/>
      <c r="D628" s="18"/>
      <c r="E628" s="18"/>
      <c r="F628" s="77"/>
      <c r="G628" s="78"/>
      <c r="H628" s="7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58"/>
      <c r="AC628" s="58"/>
      <c r="AD628" s="58"/>
      <c r="AE628" s="58"/>
      <c r="AF628" s="58"/>
      <c r="AG628" s="18"/>
    </row>
    <row r="629" ht="14.25" customHeight="1">
      <c r="A629" s="77"/>
      <c r="B629" s="77"/>
      <c r="C629" s="77"/>
      <c r="D629" s="18"/>
      <c r="E629" s="18"/>
      <c r="F629" s="77"/>
      <c r="G629" s="78"/>
      <c r="H629" s="7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58"/>
      <c r="AC629" s="58"/>
      <c r="AD629" s="58"/>
      <c r="AE629" s="58"/>
      <c r="AF629" s="58"/>
      <c r="AG629" s="18"/>
    </row>
    <row r="630" ht="14.25" customHeight="1">
      <c r="A630" s="77"/>
      <c r="B630" s="77"/>
      <c r="C630" s="77"/>
      <c r="D630" s="18"/>
      <c r="E630" s="18"/>
      <c r="F630" s="77"/>
      <c r="G630" s="78"/>
      <c r="H630" s="7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58"/>
      <c r="AC630" s="58"/>
      <c r="AD630" s="58"/>
      <c r="AE630" s="58"/>
      <c r="AF630" s="58"/>
      <c r="AG630" s="18"/>
    </row>
    <row r="631" ht="14.25" customHeight="1">
      <c r="A631" s="77"/>
      <c r="B631" s="77"/>
      <c r="C631" s="77"/>
      <c r="D631" s="18"/>
      <c r="E631" s="18"/>
      <c r="F631" s="77"/>
      <c r="G631" s="78"/>
      <c r="H631" s="7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58"/>
      <c r="AC631" s="58"/>
      <c r="AD631" s="58"/>
      <c r="AE631" s="58"/>
      <c r="AF631" s="58"/>
      <c r="AG631" s="18"/>
    </row>
    <row r="632" ht="14.25" customHeight="1">
      <c r="A632" s="77"/>
      <c r="B632" s="77"/>
      <c r="C632" s="77"/>
      <c r="D632" s="18"/>
      <c r="E632" s="18"/>
      <c r="F632" s="77"/>
      <c r="G632" s="78"/>
      <c r="H632" s="7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58"/>
      <c r="AC632" s="58"/>
      <c r="AD632" s="58"/>
      <c r="AE632" s="58"/>
      <c r="AF632" s="58"/>
      <c r="AG632" s="18"/>
    </row>
    <row r="633" ht="14.25" customHeight="1">
      <c r="A633" s="77"/>
      <c r="B633" s="77"/>
      <c r="C633" s="77"/>
      <c r="D633" s="18"/>
      <c r="E633" s="18"/>
      <c r="F633" s="77"/>
      <c r="G633" s="78"/>
      <c r="H633" s="7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58"/>
      <c r="AC633" s="58"/>
      <c r="AD633" s="58"/>
      <c r="AE633" s="58"/>
      <c r="AF633" s="58"/>
      <c r="AG633" s="18"/>
    </row>
    <row r="634" ht="14.25" customHeight="1">
      <c r="A634" s="77"/>
      <c r="B634" s="77"/>
      <c r="C634" s="77"/>
      <c r="D634" s="18"/>
      <c r="E634" s="18"/>
      <c r="F634" s="77"/>
      <c r="G634" s="78"/>
      <c r="H634" s="7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58"/>
      <c r="AC634" s="58"/>
      <c r="AD634" s="58"/>
      <c r="AE634" s="58"/>
      <c r="AF634" s="58"/>
      <c r="AG634" s="18"/>
    </row>
    <row r="635" ht="14.25" customHeight="1">
      <c r="A635" s="77"/>
      <c r="B635" s="77"/>
      <c r="C635" s="77"/>
      <c r="D635" s="18"/>
      <c r="E635" s="18"/>
      <c r="F635" s="77"/>
      <c r="G635" s="78"/>
      <c r="H635" s="7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58"/>
      <c r="AC635" s="58"/>
      <c r="AD635" s="58"/>
      <c r="AE635" s="58"/>
      <c r="AF635" s="58"/>
      <c r="AG635" s="18"/>
    </row>
    <row r="636" ht="14.25" customHeight="1">
      <c r="A636" s="77"/>
      <c r="B636" s="77"/>
      <c r="C636" s="77"/>
      <c r="D636" s="18"/>
      <c r="E636" s="18"/>
      <c r="F636" s="77"/>
      <c r="G636" s="78"/>
      <c r="H636" s="7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58"/>
      <c r="AC636" s="58"/>
      <c r="AD636" s="58"/>
      <c r="AE636" s="58"/>
      <c r="AF636" s="58"/>
      <c r="AG636" s="18"/>
    </row>
    <row r="637" ht="14.25" customHeight="1">
      <c r="A637" s="77"/>
      <c r="B637" s="77"/>
      <c r="C637" s="77"/>
      <c r="D637" s="18"/>
      <c r="E637" s="18"/>
      <c r="F637" s="77"/>
      <c r="G637" s="78"/>
      <c r="H637" s="7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58"/>
      <c r="AC637" s="58"/>
      <c r="AD637" s="58"/>
      <c r="AE637" s="58"/>
      <c r="AF637" s="58"/>
      <c r="AG637" s="18"/>
    </row>
    <row r="638" ht="14.25" customHeight="1">
      <c r="A638" s="77"/>
      <c r="B638" s="77"/>
      <c r="C638" s="77"/>
      <c r="D638" s="18"/>
      <c r="E638" s="18"/>
      <c r="F638" s="77"/>
      <c r="G638" s="78"/>
      <c r="H638" s="7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58"/>
      <c r="AC638" s="58"/>
      <c r="AD638" s="58"/>
      <c r="AE638" s="58"/>
      <c r="AF638" s="58"/>
      <c r="AG638" s="18"/>
    </row>
    <row r="639" ht="14.25" customHeight="1">
      <c r="A639" s="77"/>
      <c r="B639" s="77"/>
      <c r="C639" s="77"/>
      <c r="D639" s="18"/>
      <c r="E639" s="18"/>
      <c r="F639" s="77"/>
      <c r="G639" s="78"/>
      <c r="H639" s="7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58"/>
      <c r="AC639" s="58"/>
      <c r="AD639" s="58"/>
      <c r="AE639" s="58"/>
      <c r="AF639" s="58"/>
      <c r="AG639" s="18"/>
    </row>
    <row r="640" ht="14.25" customHeight="1">
      <c r="A640" s="77"/>
      <c r="B640" s="77"/>
      <c r="C640" s="77"/>
      <c r="D640" s="18"/>
      <c r="E640" s="18"/>
      <c r="F640" s="77"/>
      <c r="G640" s="78"/>
      <c r="H640" s="7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58"/>
      <c r="AC640" s="58"/>
      <c r="AD640" s="58"/>
      <c r="AE640" s="58"/>
      <c r="AF640" s="58"/>
      <c r="AG640" s="18"/>
    </row>
    <row r="641" ht="14.25" customHeight="1">
      <c r="A641" s="77"/>
      <c r="B641" s="77"/>
      <c r="C641" s="77"/>
      <c r="D641" s="18"/>
      <c r="E641" s="18"/>
      <c r="F641" s="77"/>
      <c r="G641" s="78"/>
      <c r="H641" s="7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58"/>
      <c r="AC641" s="58"/>
      <c r="AD641" s="58"/>
      <c r="AE641" s="58"/>
      <c r="AF641" s="58"/>
      <c r="AG641" s="18"/>
    </row>
    <row r="642" ht="14.25" customHeight="1">
      <c r="A642" s="77"/>
      <c r="B642" s="77"/>
      <c r="C642" s="77"/>
      <c r="D642" s="18"/>
      <c r="E642" s="18"/>
      <c r="F642" s="77"/>
      <c r="G642" s="78"/>
      <c r="H642" s="7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58"/>
      <c r="AC642" s="58"/>
      <c r="AD642" s="58"/>
      <c r="AE642" s="58"/>
      <c r="AF642" s="58"/>
      <c r="AG642" s="18"/>
    </row>
    <row r="643" ht="14.25" customHeight="1">
      <c r="A643" s="77"/>
      <c r="B643" s="77"/>
      <c r="C643" s="77"/>
      <c r="D643" s="18"/>
      <c r="E643" s="18"/>
      <c r="F643" s="77"/>
      <c r="G643" s="78"/>
      <c r="H643" s="7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58"/>
      <c r="AC643" s="58"/>
      <c r="AD643" s="58"/>
      <c r="AE643" s="58"/>
      <c r="AF643" s="58"/>
      <c r="AG643" s="18"/>
    </row>
    <row r="644" ht="14.25" customHeight="1">
      <c r="A644" s="77"/>
      <c r="B644" s="77"/>
      <c r="C644" s="77"/>
      <c r="D644" s="18"/>
      <c r="E644" s="18"/>
      <c r="F644" s="77"/>
      <c r="G644" s="78"/>
      <c r="H644" s="7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58"/>
      <c r="AC644" s="58"/>
      <c r="AD644" s="58"/>
      <c r="AE644" s="58"/>
      <c r="AF644" s="58"/>
      <c r="AG644" s="18"/>
    </row>
    <row r="645" ht="14.25" customHeight="1">
      <c r="A645" s="77"/>
      <c r="B645" s="77"/>
      <c r="C645" s="77"/>
      <c r="D645" s="18"/>
      <c r="E645" s="18"/>
      <c r="F645" s="77"/>
      <c r="G645" s="78"/>
      <c r="H645" s="7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58"/>
      <c r="AC645" s="58"/>
      <c r="AD645" s="58"/>
      <c r="AE645" s="58"/>
      <c r="AF645" s="58"/>
      <c r="AG645" s="18"/>
    </row>
    <row r="646" ht="14.25" customHeight="1">
      <c r="A646" s="77"/>
      <c r="B646" s="77"/>
      <c r="C646" s="77"/>
      <c r="D646" s="18"/>
      <c r="E646" s="18"/>
      <c r="F646" s="77"/>
      <c r="G646" s="78"/>
      <c r="H646" s="7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58"/>
      <c r="AC646" s="58"/>
      <c r="AD646" s="58"/>
      <c r="AE646" s="58"/>
      <c r="AF646" s="58"/>
      <c r="AG646" s="18"/>
    </row>
    <row r="647" ht="14.25" customHeight="1">
      <c r="A647" s="77"/>
      <c r="B647" s="77"/>
      <c r="C647" s="77"/>
      <c r="D647" s="18"/>
      <c r="E647" s="18"/>
      <c r="F647" s="77"/>
      <c r="G647" s="78"/>
      <c r="H647" s="7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58"/>
      <c r="AC647" s="58"/>
      <c r="AD647" s="58"/>
      <c r="AE647" s="58"/>
      <c r="AF647" s="58"/>
      <c r="AG647" s="18"/>
    </row>
    <row r="648" ht="14.25" customHeight="1">
      <c r="A648" s="77"/>
      <c r="B648" s="77"/>
      <c r="C648" s="77"/>
      <c r="D648" s="18"/>
      <c r="E648" s="18"/>
      <c r="F648" s="77"/>
      <c r="G648" s="78"/>
      <c r="H648" s="7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58"/>
      <c r="AC648" s="58"/>
      <c r="AD648" s="58"/>
      <c r="AE648" s="58"/>
      <c r="AF648" s="58"/>
      <c r="AG648" s="18"/>
    </row>
    <row r="649" ht="14.25" customHeight="1">
      <c r="A649" s="77"/>
      <c r="B649" s="77"/>
      <c r="C649" s="77"/>
      <c r="D649" s="18"/>
      <c r="E649" s="18"/>
      <c r="F649" s="77"/>
      <c r="G649" s="78"/>
      <c r="H649" s="7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58"/>
      <c r="AC649" s="58"/>
      <c r="AD649" s="58"/>
      <c r="AE649" s="58"/>
      <c r="AF649" s="58"/>
      <c r="AG649" s="18"/>
    </row>
    <row r="650" ht="14.25" customHeight="1">
      <c r="A650" s="77"/>
      <c r="B650" s="77"/>
      <c r="C650" s="77"/>
      <c r="D650" s="18"/>
      <c r="E650" s="18"/>
      <c r="F650" s="77"/>
      <c r="G650" s="78"/>
      <c r="H650" s="7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58"/>
      <c r="AC650" s="58"/>
      <c r="AD650" s="58"/>
      <c r="AE650" s="58"/>
      <c r="AF650" s="58"/>
      <c r="AG650" s="18"/>
    </row>
    <row r="651" ht="14.25" customHeight="1">
      <c r="A651" s="77"/>
      <c r="B651" s="77"/>
      <c r="C651" s="77"/>
      <c r="D651" s="18"/>
      <c r="E651" s="18"/>
      <c r="F651" s="77"/>
      <c r="G651" s="78"/>
      <c r="H651" s="7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58"/>
      <c r="AC651" s="58"/>
      <c r="AD651" s="58"/>
      <c r="AE651" s="58"/>
      <c r="AF651" s="58"/>
      <c r="AG651" s="18"/>
    </row>
    <row r="652" ht="14.25" customHeight="1">
      <c r="A652" s="77"/>
      <c r="B652" s="77"/>
      <c r="C652" s="77"/>
      <c r="D652" s="18"/>
      <c r="E652" s="18"/>
      <c r="F652" s="77"/>
      <c r="G652" s="78"/>
      <c r="H652" s="7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58"/>
      <c r="AC652" s="58"/>
      <c r="AD652" s="58"/>
      <c r="AE652" s="58"/>
      <c r="AF652" s="58"/>
      <c r="AG652" s="18"/>
    </row>
    <row r="653" ht="14.25" customHeight="1">
      <c r="A653" s="77"/>
      <c r="B653" s="77"/>
      <c r="C653" s="77"/>
      <c r="D653" s="18"/>
      <c r="E653" s="18"/>
      <c r="F653" s="77"/>
      <c r="G653" s="78"/>
      <c r="H653" s="7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58"/>
      <c r="AC653" s="58"/>
      <c r="AD653" s="58"/>
      <c r="AE653" s="58"/>
      <c r="AF653" s="58"/>
      <c r="AG653" s="18"/>
    </row>
    <row r="654" ht="14.25" customHeight="1">
      <c r="A654" s="77"/>
      <c r="B654" s="77"/>
      <c r="C654" s="77"/>
      <c r="D654" s="18"/>
      <c r="E654" s="18"/>
      <c r="F654" s="77"/>
      <c r="G654" s="78"/>
      <c r="H654" s="7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58"/>
      <c r="AC654" s="58"/>
      <c r="AD654" s="58"/>
      <c r="AE654" s="58"/>
      <c r="AF654" s="58"/>
      <c r="AG654" s="18"/>
    </row>
    <row r="655" ht="14.25" customHeight="1">
      <c r="A655" s="77"/>
      <c r="B655" s="77"/>
      <c r="C655" s="77"/>
      <c r="D655" s="18"/>
      <c r="E655" s="18"/>
      <c r="F655" s="77"/>
      <c r="G655" s="78"/>
      <c r="H655" s="7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58"/>
      <c r="AC655" s="58"/>
      <c r="AD655" s="58"/>
      <c r="AE655" s="58"/>
      <c r="AF655" s="58"/>
      <c r="AG655" s="18"/>
    </row>
    <row r="656" ht="14.25" customHeight="1">
      <c r="A656" s="77"/>
      <c r="B656" s="77"/>
      <c r="C656" s="77"/>
      <c r="D656" s="18"/>
      <c r="E656" s="18"/>
      <c r="F656" s="77"/>
      <c r="G656" s="78"/>
      <c r="H656" s="7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58"/>
      <c r="AC656" s="58"/>
      <c r="AD656" s="58"/>
      <c r="AE656" s="58"/>
      <c r="AF656" s="58"/>
      <c r="AG656" s="18"/>
    </row>
    <row r="657" ht="14.25" customHeight="1">
      <c r="A657" s="77"/>
      <c r="B657" s="77"/>
      <c r="C657" s="77"/>
      <c r="D657" s="18"/>
      <c r="E657" s="18"/>
      <c r="F657" s="77"/>
      <c r="G657" s="78"/>
      <c r="H657" s="7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58"/>
      <c r="AC657" s="58"/>
      <c r="AD657" s="58"/>
      <c r="AE657" s="58"/>
      <c r="AF657" s="58"/>
      <c r="AG657" s="18"/>
    </row>
    <row r="658" ht="14.25" customHeight="1">
      <c r="A658" s="77"/>
      <c r="B658" s="77"/>
      <c r="C658" s="77"/>
      <c r="D658" s="18"/>
      <c r="E658" s="18"/>
      <c r="F658" s="77"/>
      <c r="G658" s="78"/>
      <c r="H658" s="7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58"/>
      <c r="AC658" s="58"/>
      <c r="AD658" s="58"/>
      <c r="AE658" s="58"/>
      <c r="AF658" s="58"/>
      <c r="AG658" s="18"/>
    </row>
    <row r="659" ht="14.25" customHeight="1">
      <c r="A659" s="77"/>
      <c r="B659" s="77"/>
      <c r="C659" s="77"/>
      <c r="D659" s="18"/>
      <c r="E659" s="18"/>
      <c r="F659" s="77"/>
      <c r="G659" s="78"/>
      <c r="H659" s="7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58"/>
      <c r="AC659" s="58"/>
      <c r="AD659" s="58"/>
      <c r="AE659" s="58"/>
      <c r="AF659" s="58"/>
      <c r="AG659" s="18"/>
    </row>
    <row r="660" ht="14.25" customHeight="1">
      <c r="A660" s="77"/>
      <c r="B660" s="77"/>
      <c r="C660" s="77"/>
      <c r="D660" s="18"/>
      <c r="E660" s="18"/>
      <c r="F660" s="77"/>
      <c r="G660" s="78"/>
      <c r="H660" s="7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58"/>
      <c r="AC660" s="58"/>
      <c r="AD660" s="58"/>
      <c r="AE660" s="58"/>
      <c r="AF660" s="58"/>
      <c r="AG660" s="18"/>
    </row>
    <row r="661" ht="14.25" customHeight="1">
      <c r="A661" s="77"/>
      <c r="B661" s="77"/>
      <c r="C661" s="77"/>
      <c r="D661" s="18"/>
      <c r="E661" s="18"/>
      <c r="F661" s="77"/>
      <c r="G661" s="78"/>
      <c r="H661" s="7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58"/>
      <c r="AC661" s="58"/>
      <c r="AD661" s="58"/>
      <c r="AE661" s="58"/>
      <c r="AF661" s="58"/>
      <c r="AG661" s="18"/>
    </row>
    <row r="662" ht="14.25" customHeight="1">
      <c r="A662" s="77"/>
      <c r="B662" s="77"/>
      <c r="C662" s="77"/>
      <c r="D662" s="18"/>
      <c r="E662" s="18"/>
      <c r="F662" s="77"/>
      <c r="G662" s="78"/>
      <c r="H662" s="7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58"/>
      <c r="AC662" s="58"/>
      <c r="AD662" s="58"/>
      <c r="AE662" s="58"/>
      <c r="AF662" s="58"/>
      <c r="AG662" s="18"/>
    </row>
    <row r="663" ht="14.25" customHeight="1">
      <c r="A663" s="77"/>
      <c r="B663" s="77"/>
      <c r="C663" s="77"/>
      <c r="D663" s="18"/>
      <c r="E663" s="18"/>
      <c r="F663" s="77"/>
      <c r="G663" s="78"/>
      <c r="H663" s="7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58"/>
      <c r="AC663" s="58"/>
      <c r="AD663" s="58"/>
      <c r="AE663" s="58"/>
      <c r="AF663" s="58"/>
      <c r="AG663" s="18"/>
    </row>
    <row r="664" ht="14.25" customHeight="1">
      <c r="A664" s="77"/>
      <c r="B664" s="77"/>
      <c r="C664" s="77"/>
      <c r="D664" s="18"/>
      <c r="E664" s="18"/>
      <c r="F664" s="77"/>
      <c r="G664" s="78"/>
      <c r="H664" s="7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58"/>
      <c r="AC664" s="58"/>
      <c r="AD664" s="58"/>
      <c r="AE664" s="58"/>
      <c r="AF664" s="58"/>
      <c r="AG664" s="18"/>
    </row>
    <row r="665" ht="14.25" customHeight="1">
      <c r="A665" s="77"/>
      <c r="B665" s="77"/>
      <c r="C665" s="77"/>
      <c r="D665" s="18"/>
      <c r="E665" s="18"/>
      <c r="F665" s="77"/>
      <c r="G665" s="78"/>
      <c r="H665" s="7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58"/>
      <c r="AC665" s="58"/>
      <c r="AD665" s="58"/>
      <c r="AE665" s="58"/>
      <c r="AF665" s="58"/>
      <c r="AG665" s="18"/>
    </row>
    <row r="666" ht="14.25" customHeight="1">
      <c r="A666" s="77"/>
      <c r="B666" s="77"/>
      <c r="C666" s="77"/>
      <c r="D666" s="18"/>
      <c r="E666" s="18"/>
      <c r="F666" s="77"/>
      <c r="G666" s="78"/>
      <c r="H666" s="7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58"/>
      <c r="AC666" s="58"/>
      <c r="AD666" s="58"/>
      <c r="AE666" s="58"/>
      <c r="AF666" s="58"/>
      <c r="AG666" s="18"/>
    </row>
    <row r="667" ht="14.25" customHeight="1">
      <c r="A667" s="77"/>
      <c r="B667" s="77"/>
      <c r="C667" s="77"/>
      <c r="D667" s="18"/>
      <c r="E667" s="18"/>
      <c r="F667" s="77"/>
      <c r="G667" s="78"/>
      <c r="H667" s="7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58"/>
      <c r="AC667" s="58"/>
      <c r="AD667" s="58"/>
      <c r="AE667" s="58"/>
      <c r="AF667" s="58"/>
      <c r="AG667" s="18"/>
    </row>
    <row r="668" ht="14.25" customHeight="1">
      <c r="A668" s="77"/>
      <c r="B668" s="77"/>
      <c r="C668" s="77"/>
      <c r="D668" s="18"/>
      <c r="E668" s="18"/>
      <c r="F668" s="77"/>
      <c r="G668" s="78"/>
      <c r="H668" s="7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58"/>
      <c r="AC668" s="58"/>
      <c r="AD668" s="58"/>
      <c r="AE668" s="58"/>
      <c r="AF668" s="58"/>
      <c r="AG668" s="18"/>
    </row>
    <row r="669" ht="14.25" customHeight="1">
      <c r="A669" s="77"/>
      <c r="B669" s="77"/>
      <c r="C669" s="77"/>
      <c r="D669" s="18"/>
      <c r="E669" s="18"/>
      <c r="F669" s="77"/>
      <c r="G669" s="78"/>
      <c r="H669" s="7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58"/>
      <c r="AC669" s="58"/>
      <c r="AD669" s="58"/>
      <c r="AE669" s="58"/>
      <c r="AF669" s="58"/>
      <c r="AG669" s="18"/>
    </row>
    <row r="670" ht="14.25" customHeight="1">
      <c r="A670" s="77"/>
      <c r="B670" s="77"/>
      <c r="C670" s="77"/>
      <c r="D670" s="18"/>
      <c r="E670" s="18"/>
      <c r="F670" s="77"/>
      <c r="G670" s="78"/>
      <c r="H670" s="7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58"/>
      <c r="AC670" s="58"/>
      <c r="AD670" s="58"/>
      <c r="AE670" s="58"/>
      <c r="AF670" s="58"/>
      <c r="AG670" s="18"/>
    </row>
    <row r="671" ht="14.25" customHeight="1">
      <c r="A671" s="77"/>
      <c r="B671" s="77"/>
      <c r="C671" s="77"/>
      <c r="D671" s="18"/>
      <c r="E671" s="18"/>
      <c r="F671" s="77"/>
      <c r="G671" s="78"/>
      <c r="H671" s="7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58"/>
      <c r="AC671" s="58"/>
      <c r="AD671" s="58"/>
      <c r="AE671" s="58"/>
      <c r="AF671" s="58"/>
      <c r="AG671" s="18"/>
    </row>
    <row r="672" ht="14.25" customHeight="1">
      <c r="A672" s="77"/>
      <c r="B672" s="77"/>
      <c r="C672" s="77"/>
      <c r="D672" s="18"/>
      <c r="E672" s="18"/>
      <c r="F672" s="77"/>
      <c r="G672" s="78"/>
      <c r="H672" s="7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58"/>
      <c r="AC672" s="58"/>
      <c r="AD672" s="58"/>
      <c r="AE672" s="58"/>
      <c r="AF672" s="58"/>
      <c r="AG672" s="18"/>
    </row>
    <row r="673" ht="14.25" customHeight="1">
      <c r="A673" s="77"/>
      <c r="B673" s="77"/>
      <c r="C673" s="77"/>
      <c r="D673" s="18"/>
      <c r="E673" s="18"/>
      <c r="F673" s="77"/>
      <c r="G673" s="78"/>
      <c r="H673" s="7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58"/>
      <c r="AC673" s="58"/>
      <c r="AD673" s="58"/>
      <c r="AE673" s="58"/>
      <c r="AF673" s="58"/>
      <c r="AG673" s="18"/>
    </row>
    <row r="674" ht="14.25" customHeight="1">
      <c r="A674" s="77"/>
      <c r="B674" s="77"/>
      <c r="C674" s="77"/>
      <c r="D674" s="18"/>
      <c r="E674" s="18"/>
      <c r="F674" s="77"/>
      <c r="G674" s="78"/>
      <c r="H674" s="7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58"/>
      <c r="AC674" s="58"/>
      <c r="AD674" s="58"/>
      <c r="AE674" s="58"/>
      <c r="AF674" s="58"/>
      <c r="AG674" s="18"/>
    </row>
    <row r="675" ht="14.25" customHeight="1">
      <c r="A675" s="77"/>
      <c r="B675" s="77"/>
      <c r="C675" s="77"/>
      <c r="D675" s="18"/>
      <c r="E675" s="18"/>
      <c r="F675" s="77"/>
      <c r="G675" s="78"/>
      <c r="H675" s="7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58"/>
      <c r="AC675" s="58"/>
      <c r="AD675" s="58"/>
      <c r="AE675" s="58"/>
      <c r="AF675" s="58"/>
      <c r="AG675" s="18"/>
    </row>
    <row r="676" ht="14.25" customHeight="1">
      <c r="A676" s="77"/>
      <c r="B676" s="77"/>
      <c r="C676" s="77"/>
      <c r="D676" s="18"/>
      <c r="E676" s="18"/>
      <c r="F676" s="77"/>
      <c r="G676" s="78"/>
      <c r="H676" s="7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58"/>
      <c r="AC676" s="58"/>
      <c r="AD676" s="58"/>
      <c r="AE676" s="58"/>
      <c r="AF676" s="58"/>
      <c r="AG676" s="18"/>
    </row>
    <row r="677" ht="14.25" customHeight="1">
      <c r="A677" s="77"/>
      <c r="B677" s="77"/>
      <c r="C677" s="77"/>
      <c r="D677" s="18"/>
      <c r="E677" s="18"/>
      <c r="F677" s="77"/>
      <c r="G677" s="78"/>
      <c r="H677" s="7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58"/>
      <c r="AC677" s="58"/>
      <c r="AD677" s="58"/>
      <c r="AE677" s="58"/>
      <c r="AF677" s="58"/>
      <c r="AG677" s="18"/>
    </row>
    <row r="678" ht="14.25" customHeight="1">
      <c r="A678" s="77"/>
      <c r="B678" s="77"/>
      <c r="C678" s="77"/>
      <c r="D678" s="18"/>
      <c r="E678" s="18"/>
      <c r="F678" s="77"/>
      <c r="G678" s="78"/>
      <c r="H678" s="7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58"/>
      <c r="AC678" s="58"/>
      <c r="AD678" s="58"/>
      <c r="AE678" s="58"/>
      <c r="AF678" s="58"/>
      <c r="AG678" s="18"/>
    </row>
    <row r="679" ht="14.25" customHeight="1">
      <c r="A679" s="77"/>
      <c r="B679" s="77"/>
      <c r="C679" s="77"/>
      <c r="D679" s="18"/>
      <c r="E679" s="18"/>
      <c r="F679" s="77"/>
      <c r="G679" s="78"/>
      <c r="H679" s="7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58"/>
      <c r="AC679" s="58"/>
      <c r="AD679" s="58"/>
      <c r="AE679" s="58"/>
      <c r="AF679" s="58"/>
      <c r="AG679" s="18"/>
    </row>
    <row r="680" ht="14.25" customHeight="1">
      <c r="A680" s="77"/>
      <c r="B680" s="77"/>
      <c r="C680" s="77"/>
      <c r="D680" s="18"/>
      <c r="E680" s="18"/>
      <c r="F680" s="77"/>
      <c r="G680" s="78"/>
      <c r="H680" s="7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58"/>
      <c r="AC680" s="58"/>
      <c r="AD680" s="58"/>
      <c r="AE680" s="58"/>
      <c r="AF680" s="58"/>
      <c r="AG680" s="18"/>
    </row>
    <row r="681" ht="14.25" customHeight="1">
      <c r="A681" s="77"/>
      <c r="B681" s="77"/>
      <c r="C681" s="77"/>
      <c r="D681" s="18"/>
      <c r="E681" s="18"/>
      <c r="F681" s="77"/>
      <c r="G681" s="78"/>
      <c r="H681" s="7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58"/>
      <c r="AC681" s="58"/>
      <c r="AD681" s="58"/>
      <c r="AE681" s="58"/>
      <c r="AF681" s="58"/>
      <c r="AG681" s="18"/>
    </row>
    <row r="682" ht="14.25" customHeight="1">
      <c r="A682" s="77"/>
      <c r="B682" s="77"/>
      <c r="C682" s="77"/>
      <c r="D682" s="18"/>
      <c r="E682" s="18"/>
      <c r="F682" s="77"/>
      <c r="G682" s="78"/>
      <c r="H682" s="7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58"/>
      <c r="AC682" s="58"/>
      <c r="AD682" s="58"/>
      <c r="AE682" s="58"/>
      <c r="AF682" s="58"/>
      <c r="AG682" s="18"/>
    </row>
    <row r="683" ht="14.25" customHeight="1">
      <c r="A683" s="77"/>
      <c r="B683" s="77"/>
      <c r="C683" s="77"/>
      <c r="D683" s="18"/>
      <c r="E683" s="18"/>
      <c r="F683" s="77"/>
      <c r="G683" s="78"/>
      <c r="H683" s="7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58"/>
      <c r="AC683" s="58"/>
      <c r="AD683" s="58"/>
      <c r="AE683" s="58"/>
      <c r="AF683" s="58"/>
      <c r="AG683" s="18"/>
    </row>
    <row r="684" ht="14.25" customHeight="1">
      <c r="A684" s="77"/>
      <c r="B684" s="77"/>
      <c r="C684" s="77"/>
      <c r="D684" s="18"/>
      <c r="E684" s="18"/>
      <c r="F684" s="77"/>
      <c r="G684" s="78"/>
      <c r="H684" s="7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58"/>
      <c r="AC684" s="58"/>
      <c r="AD684" s="58"/>
      <c r="AE684" s="58"/>
      <c r="AF684" s="58"/>
      <c r="AG684" s="18"/>
    </row>
    <row r="685" ht="14.25" customHeight="1">
      <c r="A685" s="77"/>
      <c r="B685" s="77"/>
      <c r="C685" s="77"/>
      <c r="D685" s="18"/>
      <c r="E685" s="18"/>
      <c r="F685" s="77"/>
      <c r="G685" s="78"/>
      <c r="H685" s="7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58"/>
      <c r="AC685" s="58"/>
      <c r="AD685" s="58"/>
      <c r="AE685" s="58"/>
      <c r="AF685" s="58"/>
      <c r="AG685" s="18"/>
    </row>
    <row r="686" ht="14.25" customHeight="1">
      <c r="A686" s="77"/>
      <c r="B686" s="77"/>
      <c r="C686" s="77"/>
      <c r="D686" s="18"/>
      <c r="E686" s="18"/>
      <c r="F686" s="77"/>
      <c r="G686" s="78"/>
      <c r="H686" s="7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58"/>
      <c r="AC686" s="58"/>
      <c r="AD686" s="58"/>
      <c r="AE686" s="58"/>
      <c r="AF686" s="58"/>
      <c r="AG686" s="18"/>
    </row>
    <row r="687" ht="14.25" customHeight="1">
      <c r="A687" s="77"/>
      <c r="B687" s="77"/>
      <c r="C687" s="77"/>
      <c r="D687" s="18"/>
      <c r="E687" s="18"/>
      <c r="F687" s="77"/>
      <c r="G687" s="78"/>
      <c r="H687" s="7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58"/>
      <c r="AC687" s="58"/>
      <c r="AD687" s="58"/>
      <c r="AE687" s="58"/>
      <c r="AF687" s="58"/>
      <c r="AG687" s="18"/>
    </row>
    <row r="688" ht="14.25" customHeight="1">
      <c r="A688" s="77"/>
      <c r="B688" s="77"/>
      <c r="C688" s="77"/>
      <c r="D688" s="18"/>
      <c r="E688" s="18"/>
      <c r="F688" s="77"/>
      <c r="G688" s="78"/>
      <c r="H688" s="7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58"/>
      <c r="AC688" s="58"/>
      <c r="AD688" s="58"/>
      <c r="AE688" s="58"/>
      <c r="AF688" s="58"/>
      <c r="AG688" s="18"/>
    </row>
    <row r="689" ht="14.25" customHeight="1">
      <c r="A689" s="77"/>
      <c r="B689" s="77"/>
      <c r="C689" s="77"/>
      <c r="D689" s="18"/>
      <c r="E689" s="18"/>
      <c r="F689" s="77"/>
      <c r="G689" s="78"/>
      <c r="H689" s="7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58"/>
      <c r="AC689" s="58"/>
      <c r="AD689" s="58"/>
      <c r="AE689" s="58"/>
      <c r="AF689" s="58"/>
      <c r="AG689" s="18"/>
    </row>
    <row r="690" ht="14.25" customHeight="1">
      <c r="A690" s="77"/>
      <c r="B690" s="77"/>
      <c r="C690" s="77"/>
      <c r="D690" s="18"/>
      <c r="E690" s="18"/>
      <c r="F690" s="77"/>
      <c r="G690" s="78"/>
      <c r="H690" s="7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58"/>
      <c r="AC690" s="58"/>
      <c r="AD690" s="58"/>
      <c r="AE690" s="58"/>
      <c r="AF690" s="58"/>
      <c r="AG690" s="18"/>
    </row>
    <row r="691" ht="14.25" customHeight="1">
      <c r="A691" s="77"/>
      <c r="B691" s="77"/>
      <c r="C691" s="77"/>
      <c r="D691" s="18"/>
      <c r="E691" s="18"/>
      <c r="F691" s="77"/>
      <c r="G691" s="78"/>
      <c r="H691" s="7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58"/>
      <c r="AC691" s="58"/>
      <c r="AD691" s="58"/>
      <c r="AE691" s="58"/>
      <c r="AF691" s="58"/>
      <c r="AG691" s="18"/>
    </row>
    <row r="692" ht="14.25" customHeight="1">
      <c r="A692" s="77"/>
      <c r="B692" s="77"/>
      <c r="C692" s="77"/>
      <c r="D692" s="18"/>
      <c r="E692" s="18"/>
      <c r="F692" s="77"/>
      <c r="G692" s="78"/>
      <c r="H692" s="7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58"/>
      <c r="AC692" s="58"/>
      <c r="AD692" s="58"/>
      <c r="AE692" s="58"/>
      <c r="AF692" s="58"/>
      <c r="AG692" s="18"/>
    </row>
    <row r="693" ht="14.25" customHeight="1">
      <c r="A693" s="77"/>
      <c r="B693" s="77"/>
      <c r="C693" s="77"/>
      <c r="D693" s="18"/>
      <c r="E693" s="18"/>
      <c r="F693" s="77"/>
      <c r="G693" s="78"/>
      <c r="H693" s="7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58"/>
      <c r="AC693" s="58"/>
      <c r="AD693" s="58"/>
      <c r="AE693" s="58"/>
      <c r="AF693" s="58"/>
      <c r="AG693" s="18"/>
    </row>
    <row r="694" ht="14.25" customHeight="1">
      <c r="A694" s="77"/>
      <c r="B694" s="77"/>
      <c r="C694" s="77"/>
      <c r="D694" s="18"/>
      <c r="E694" s="18"/>
      <c r="F694" s="77"/>
      <c r="G694" s="78"/>
      <c r="H694" s="7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58"/>
      <c r="AC694" s="58"/>
      <c r="AD694" s="58"/>
      <c r="AE694" s="58"/>
      <c r="AF694" s="58"/>
      <c r="AG694" s="18"/>
    </row>
    <row r="695" ht="14.25" customHeight="1">
      <c r="A695" s="77"/>
      <c r="B695" s="77"/>
      <c r="C695" s="77"/>
      <c r="D695" s="18"/>
      <c r="E695" s="18"/>
      <c r="F695" s="77"/>
      <c r="G695" s="78"/>
      <c r="H695" s="7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58"/>
      <c r="AC695" s="58"/>
      <c r="AD695" s="58"/>
      <c r="AE695" s="58"/>
      <c r="AF695" s="58"/>
      <c r="AG695" s="18"/>
    </row>
    <row r="696" ht="14.25" customHeight="1">
      <c r="A696" s="77"/>
      <c r="B696" s="77"/>
      <c r="C696" s="77"/>
      <c r="D696" s="18"/>
      <c r="E696" s="18"/>
      <c r="F696" s="77"/>
      <c r="G696" s="78"/>
      <c r="H696" s="7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58"/>
      <c r="AC696" s="58"/>
      <c r="AD696" s="58"/>
      <c r="AE696" s="58"/>
      <c r="AF696" s="58"/>
      <c r="AG696" s="18"/>
    </row>
    <row r="697" ht="14.25" customHeight="1">
      <c r="A697" s="77"/>
      <c r="B697" s="77"/>
      <c r="C697" s="77"/>
      <c r="D697" s="18"/>
      <c r="E697" s="18"/>
      <c r="F697" s="77"/>
      <c r="G697" s="78"/>
      <c r="H697" s="7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58"/>
      <c r="AC697" s="58"/>
      <c r="AD697" s="58"/>
      <c r="AE697" s="58"/>
      <c r="AF697" s="58"/>
      <c r="AG697" s="18"/>
    </row>
    <row r="698" ht="14.25" customHeight="1">
      <c r="A698" s="77"/>
      <c r="B698" s="77"/>
      <c r="C698" s="77"/>
      <c r="D698" s="18"/>
      <c r="E698" s="18"/>
      <c r="F698" s="77"/>
      <c r="G698" s="78"/>
      <c r="H698" s="7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58"/>
      <c r="AC698" s="58"/>
      <c r="AD698" s="58"/>
      <c r="AE698" s="58"/>
      <c r="AF698" s="58"/>
      <c r="AG698" s="18"/>
    </row>
    <row r="699" ht="14.25" customHeight="1">
      <c r="A699" s="77"/>
      <c r="B699" s="77"/>
      <c r="C699" s="77"/>
      <c r="D699" s="18"/>
      <c r="E699" s="18"/>
      <c r="F699" s="77"/>
      <c r="G699" s="78"/>
      <c r="H699" s="7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58"/>
      <c r="AC699" s="58"/>
      <c r="AD699" s="58"/>
      <c r="AE699" s="58"/>
      <c r="AF699" s="58"/>
      <c r="AG699" s="18"/>
    </row>
    <row r="700" ht="14.25" customHeight="1">
      <c r="A700" s="77"/>
      <c r="B700" s="77"/>
      <c r="C700" s="77"/>
      <c r="D700" s="18"/>
      <c r="E700" s="18"/>
      <c r="F700" s="77"/>
      <c r="G700" s="78"/>
      <c r="H700" s="7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58"/>
      <c r="AC700" s="58"/>
      <c r="AD700" s="58"/>
      <c r="AE700" s="58"/>
      <c r="AF700" s="58"/>
      <c r="AG700" s="18"/>
    </row>
    <row r="701" ht="14.25" customHeight="1">
      <c r="A701" s="77"/>
      <c r="B701" s="77"/>
      <c r="C701" s="77"/>
      <c r="D701" s="18"/>
      <c r="E701" s="18"/>
      <c r="F701" s="77"/>
      <c r="G701" s="78"/>
      <c r="H701" s="7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58"/>
      <c r="AC701" s="58"/>
      <c r="AD701" s="58"/>
      <c r="AE701" s="58"/>
      <c r="AF701" s="58"/>
      <c r="AG701" s="18"/>
    </row>
    <row r="702" ht="14.25" customHeight="1">
      <c r="A702" s="77"/>
      <c r="B702" s="77"/>
      <c r="C702" s="77"/>
      <c r="D702" s="18"/>
      <c r="E702" s="18"/>
      <c r="F702" s="77"/>
      <c r="G702" s="78"/>
      <c r="H702" s="7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58"/>
      <c r="AC702" s="58"/>
      <c r="AD702" s="58"/>
      <c r="AE702" s="58"/>
      <c r="AF702" s="58"/>
      <c r="AG702" s="18"/>
    </row>
    <row r="703" ht="14.25" customHeight="1">
      <c r="A703" s="77"/>
      <c r="B703" s="77"/>
      <c r="C703" s="77"/>
      <c r="D703" s="18"/>
      <c r="E703" s="18"/>
      <c r="F703" s="77"/>
      <c r="G703" s="78"/>
      <c r="H703" s="7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58"/>
      <c r="AC703" s="58"/>
      <c r="AD703" s="58"/>
      <c r="AE703" s="58"/>
      <c r="AF703" s="58"/>
      <c r="AG703" s="18"/>
    </row>
    <row r="704" ht="14.25" customHeight="1">
      <c r="A704" s="77"/>
      <c r="B704" s="77"/>
      <c r="C704" s="77"/>
      <c r="D704" s="18"/>
      <c r="E704" s="18"/>
      <c r="F704" s="77"/>
      <c r="G704" s="78"/>
      <c r="H704" s="7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58"/>
      <c r="AC704" s="58"/>
      <c r="AD704" s="58"/>
      <c r="AE704" s="58"/>
      <c r="AF704" s="58"/>
      <c r="AG704" s="18"/>
    </row>
    <row r="705" ht="14.25" customHeight="1">
      <c r="A705" s="77"/>
      <c r="B705" s="77"/>
      <c r="C705" s="77"/>
      <c r="D705" s="18"/>
      <c r="E705" s="18"/>
      <c r="F705" s="77"/>
      <c r="G705" s="78"/>
      <c r="H705" s="7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58"/>
      <c r="AC705" s="58"/>
      <c r="AD705" s="58"/>
      <c r="AE705" s="58"/>
      <c r="AF705" s="58"/>
      <c r="AG705" s="18"/>
    </row>
    <row r="706" ht="14.25" customHeight="1">
      <c r="A706" s="77"/>
      <c r="B706" s="77"/>
      <c r="C706" s="77"/>
      <c r="D706" s="18"/>
      <c r="E706" s="18"/>
      <c r="F706" s="77"/>
      <c r="G706" s="78"/>
      <c r="H706" s="7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58"/>
      <c r="AC706" s="58"/>
      <c r="AD706" s="58"/>
      <c r="AE706" s="58"/>
      <c r="AF706" s="58"/>
      <c r="AG706" s="18"/>
    </row>
    <row r="707" ht="14.25" customHeight="1">
      <c r="A707" s="77"/>
      <c r="B707" s="77"/>
      <c r="C707" s="77"/>
      <c r="D707" s="18"/>
      <c r="E707" s="18"/>
      <c r="F707" s="77"/>
      <c r="G707" s="78"/>
      <c r="H707" s="7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58"/>
      <c r="AC707" s="58"/>
      <c r="AD707" s="58"/>
      <c r="AE707" s="58"/>
      <c r="AF707" s="58"/>
      <c r="AG707" s="18"/>
    </row>
    <row r="708" ht="14.25" customHeight="1">
      <c r="A708" s="77"/>
      <c r="B708" s="77"/>
      <c r="C708" s="77"/>
      <c r="D708" s="18"/>
      <c r="E708" s="18"/>
      <c r="F708" s="77"/>
      <c r="G708" s="78"/>
      <c r="H708" s="7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58"/>
      <c r="AC708" s="58"/>
      <c r="AD708" s="58"/>
      <c r="AE708" s="58"/>
      <c r="AF708" s="58"/>
      <c r="AG708" s="18"/>
    </row>
    <row r="709" ht="14.25" customHeight="1">
      <c r="A709" s="77"/>
      <c r="B709" s="77"/>
      <c r="C709" s="77"/>
      <c r="D709" s="18"/>
      <c r="E709" s="18"/>
      <c r="F709" s="77"/>
      <c r="G709" s="78"/>
      <c r="H709" s="7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58"/>
      <c r="AC709" s="58"/>
      <c r="AD709" s="58"/>
      <c r="AE709" s="58"/>
      <c r="AF709" s="58"/>
      <c r="AG709" s="18"/>
    </row>
    <row r="710" ht="14.25" customHeight="1">
      <c r="A710" s="77"/>
      <c r="B710" s="77"/>
      <c r="C710" s="77"/>
      <c r="D710" s="18"/>
      <c r="E710" s="18"/>
      <c r="F710" s="77"/>
      <c r="G710" s="78"/>
      <c r="H710" s="7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58"/>
      <c r="AC710" s="58"/>
      <c r="AD710" s="58"/>
      <c r="AE710" s="58"/>
      <c r="AF710" s="58"/>
      <c r="AG710" s="18"/>
    </row>
    <row r="711" ht="14.25" customHeight="1">
      <c r="A711" s="77"/>
      <c r="B711" s="77"/>
      <c r="C711" s="77"/>
      <c r="D711" s="18"/>
      <c r="E711" s="18"/>
      <c r="F711" s="77"/>
      <c r="G711" s="78"/>
      <c r="H711" s="7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58"/>
      <c r="AC711" s="58"/>
      <c r="AD711" s="58"/>
      <c r="AE711" s="58"/>
      <c r="AF711" s="58"/>
      <c r="AG711" s="18"/>
    </row>
    <row r="712" ht="14.25" customHeight="1">
      <c r="A712" s="77"/>
      <c r="B712" s="77"/>
      <c r="C712" s="77"/>
      <c r="D712" s="18"/>
      <c r="E712" s="18"/>
      <c r="F712" s="77"/>
      <c r="G712" s="78"/>
      <c r="H712" s="7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58"/>
      <c r="AC712" s="58"/>
      <c r="AD712" s="58"/>
      <c r="AE712" s="58"/>
      <c r="AF712" s="58"/>
      <c r="AG712" s="18"/>
    </row>
    <row r="713" ht="14.25" customHeight="1">
      <c r="A713" s="77"/>
      <c r="B713" s="77"/>
      <c r="C713" s="77"/>
      <c r="D713" s="18"/>
      <c r="E713" s="18"/>
      <c r="F713" s="77"/>
      <c r="G713" s="78"/>
      <c r="H713" s="7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58"/>
      <c r="AC713" s="58"/>
      <c r="AD713" s="58"/>
      <c r="AE713" s="58"/>
      <c r="AF713" s="58"/>
      <c r="AG713" s="18"/>
    </row>
    <row r="714" ht="14.25" customHeight="1">
      <c r="A714" s="77"/>
      <c r="B714" s="77"/>
      <c r="C714" s="77"/>
      <c r="D714" s="18"/>
      <c r="E714" s="18"/>
      <c r="F714" s="77"/>
      <c r="G714" s="78"/>
      <c r="H714" s="7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58"/>
      <c r="AC714" s="58"/>
      <c r="AD714" s="58"/>
      <c r="AE714" s="58"/>
      <c r="AF714" s="58"/>
      <c r="AG714" s="18"/>
    </row>
    <row r="715" ht="14.25" customHeight="1">
      <c r="A715" s="77"/>
      <c r="B715" s="77"/>
      <c r="C715" s="77"/>
      <c r="D715" s="18"/>
      <c r="E715" s="18"/>
      <c r="F715" s="77"/>
      <c r="G715" s="78"/>
      <c r="H715" s="7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58"/>
      <c r="AC715" s="58"/>
      <c r="AD715" s="58"/>
      <c r="AE715" s="58"/>
      <c r="AF715" s="58"/>
      <c r="AG715" s="18"/>
    </row>
    <row r="716" ht="14.25" customHeight="1">
      <c r="A716" s="77"/>
      <c r="B716" s="77"/>
      <c r="C716" s="77"/>
      <c r="D716" s="18"/>
      <c r="E716" s="18"/>
      <c r="F716" s="77"/>
      <c r="G716" s="78"/>
      <c r="H716" s="7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58"/>
      <c r="AC716" s="58"/>
      <c r="AD716" s="58"/>
      <c r="AE716" s="58"/>
      <c r="AF716" s="58"/>
      <c r="AG716" s="18"/>
    </row>
    <row r="717" ht="14.25" customHeight="1">
      <c r="A717" s="77"/>
      <c r="B717" s="77"/>
      <c r="C717" s="77"/>
      <c r="D717" s="18"/>
      <c r="E717" s="18"/>
      <c r="F717" s="77"/>
      <c r="G717" s="78"/>
      <c r="H717" s="7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58"/>
      <c r="AC717" s="58"/>
      <c r="AD717" s="58"/>
      <c r="AE717" s="58"/>
      <c r="AF717" s="58"/>
      <c r="AG717" s="18"/>
    </row>
    <row r="718" ht="14.25" customHeight="1">
      <c r="A718" s="77"/>
      <c r="B718" s="77"/>
      <c r="C718" s="77"/>
      <c r="D718" s="18"/>
      <c r="E718" s="18"/>
      <c r="F718" s="77"/>
      <c r="G718" s="78"/>
      <c r="H718" s="7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58"/>
      <c r="AC718" s="58"/>
      <c r="AD718" s="58"/>
      <c r="AE718" s="58"/>
      <c r="AF718" s="58"/>
      <c r="AG718" s="18"/>
    </row>
    <row r="719" ht="14.25" customHeight="1">
      <c r="A719" s="77"/>
      <c r="B719" s="77"/>
      <c r="C719" s="77"/>
      <c r="D719" s="18"/>
      <c r="E719" s="18"/>
      <c r="F719" s="77"/>
      <c r="G719" s="78"/>
      <c r="H719" s="7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58"/>
      <c r="AC719" s="58"/>
      <c r="AD719" s="58"/>
      <c r="AE719" s="58"/>
      <c r="AF719" s="58"/>
      <c r="AG719" s="18"/>
    </row>
    <row r="720" ht="14.25" customHeight="1">
      <c r="A720" s="77"/>
      <c r="B720" s="77"/>
      <c r="C720" s="77"/>
      <c r="D720" s="18"/>
      <c r="E720" s="18"/>
      <c r="F720" s="77"/>
      <c r="G720" s="78"/>
      <c r="H720" s="7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58"/>
      <c r="AC720" s="58"/>
      <c r="AD720" s="58"/>
      <c r="AE720" s="58"/>
      <c r="AF720" s="58"/>
      <c r="AG720" s="18"/>
    </row>
    <row r="721" ht="14.25" customHeight="1">
      <c r="A721" s="77"/>
      <c r="B721" s="77"/>
      <c r="C721" s="77"/>
      <c r="D721" s="18"/>
      <c r="E721" s="18"/>
      <c r="F721" s="77"/>
      <c r="G721" s="78"/>
      <c r="H721" s="7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58"/>
      <c r="AC721" s="58"/>
      <c r="AD721" s="58"/>
      <c r="AE721" s="58"/>
      <c r="AF721" s="58"/>
      <c r="AG721" s="18"/>
    </row>
    <row r="722" ht="14.25" customHeight="1">
      <c r="A722" s="77"/>
      <c r="B722" s="77"/>
      <c r="C722" s="77"/>
      <c r="D722" s="18"/>
      <c r="E722" s="18"/>
      <c r="F722" s="77"/>
      <c r="G722" s="78"/>
      <c r="H722" s="7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58"/>
      <c r="AC722" s="58"/>
      <c r="AD722" s="58"/>
      <c r="AE722" s="58"/>
      <c r="AF722" s="58"/>
      <c r="AG722" s="18"/>
    </row>
    <row r="723" ht="14.25" customHeight="1">
      <c r="A723" s="77"/>
      <c r="B723" s="77"/>
      <c r="C723" s="77"/>
      <c r="D723" s="18"/>
      <c r="E723" s="18"/>
      <c r="F723" s="77"/>
      <c r="G723" s="78"/>
      <c r="H723" s="7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58"/>
      <c r="AC723" s="58"/>
      <c r="AD723" s="58"/>
      <c r="AE723" s="58"/>
      <c r="AF723" s="58"/>
      <c r="AG723" s="18"/>
    </row>
    <row r="724" ht="14.25" customHeight="1">
      <c r="A724" s="77"/>
      <c r="B724" s="77"/>
      <c r="C724" s="77"/>
      <c r="D724" s="18"/>
      <c r="E724" s="18"/>
      <c r="F724" s="77"/>
      <c r="G724" s="78"/>
      <c r="H724" s="7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58"/>
      <c r="AC724" s="58"/>
      <c r="AD724" s="58"/>
      <c r="AE724" s="58"/>
      <c r="AF724" s="58"/>
      <c r="AG724" s="18"/>
    </row>
    <row r="725" ht="14.25" customHeight="1">
      <c r="A725" s="77"/>
      <c r="B725" s="77"/>
      <c r="C725" s="77"/>
      <c r="D725" s="18"/>
      <c r="E725" s="18"/>
      <c r="F725" s="77"/>
      <c r="G725" s="78"/>
      <c r="H725" s="7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58"/>
      <c r="AC725" s="58"/>
      <c r="AD725" s="58"/>
      <c r="AE725" s="58"/>
      <c r="AF725" s="58"/>
      <c r="AG725" s="18"/>
    </row>
    <row r="726" ht="14.25" customHeight="1">
      <c r="A726" s="77"/>
      <c r="B726" s="77"/>
      <c r="C726" s="77"/>
      <c r="D726" s="18"/>
      <c r="E726" s="18"/>
      <c r="F726" s="77"/>
      <c r="G726" s="78"/>
      <c r="H726" s="7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58"/>
      <c r="AC726" s="58"/>
      <c r="AD726" s="58"/>
      <c r="AE726" s="58"/>
      <c r="AF726" s="58"/>
      <c r="AG726" s="18"/>
    </row>
    <row r="727" ht="14.25" customHeight="1">
      <c r="A727" s="77"/>
      <c r="B727" s="77"/>
      <c r="C727" s="77"/>
      <c r="D727" s="18"/>
      <c r="E727" s="18"/>
      <c r="F727" s="77"/>
      <c r="G727" s="78"/>
      <c r="H727" s="7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58"/>
      <c r="AC727" s="58"/>
      <c r="AD727" s="58"/>
      <c r="AE727" s="58"/>
      <c r="AF727" s="58"/>
      <c r="AG727" s="18"/>
    </row>
    <row r="728" ht="14.25" customHeight="1">
      <c r="A728" s="77"/>
      <c r="B728" s="77"/>
      <c r="C728" s="77"/>
      <c r="D728" s="18"/>
      <c r="E728" s="18"/>
      <c r="F728" s="77"/>
      <c r="G728" s="78"/>
      <c r="H728" s="7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58"/>
      <c r="AC728" s="58"/>
      <c r="AD728" s="58"/>
      <c r="AE728" s="58"/>
      <c r="AF728" s="58"/>
      <c r="AG728" s="18"/>
    </row>
    <row r="729" ht="14.25" customHeight="1">
      <c r="A729" s="77"/>
      <c r="B729" s="77"/>
      <c r="C729" s="77"/>
      <c r="D729" s="18"/>
      <c r="E729" s="18"/>
      <c r="F729" s="77"/>
      <c r="G729" s="78"/>
      <c r="H729" s="7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58"/>
      <c r="AC729" s="58"/>
      <c r="AD729" s="58"/>
      <c r="AE729" s="58"/>
      <c r="AF729" s="58"/>
      <c r="AG729" s="18"/>
    </row>
    <row r="730" ht="14.25" customHeight="1">
      <c r="A730" s="77"/>
      <c r="B730" s="77"/>
      <c r="C730" s="77"/>
      <c r="D730" s="18"/>
      <c r="E730" s="18"/>
      <c r="F730" s="77"/>
      <c r="G730" s="78"/>
      <c r="H730" s="7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58"/>
      <c r="AC730" s="58"/>
      <c r="AD730" s="58"/>
      <c r="AE730" s="58"/>
      <c r="AF730" s="58"/>
      <c r="AG730" s="18"/>
    </row>
    <row r="731" ht="14.25" customHeight="1">
      <c r="A731" s="77"/>
      <c r="B731" s="77"/>
      <c r="C731" s="77"/>
      <c r="D731" s="18"/>
      <c r="E731" s="18"/>
      <c r="F731" s="77"/>
      <c r="G731" s="78"/>
      <c r="H731" s="7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58"/>
      <c r="AC731" s="58"/>
      <c r="AD731" s="58"/>
      <c r="AE731" s="58"/>
      <c r="AF731" s="58"/>
      <c r="AG731" s="18"/>
    </row>
    <row r="732" ht="14.25" customHeight="1">
      <c r="A732" s="77"/>
      <c r="B732" s="77"/>
      <c r="C732" s="77"/>
      <c r="D732" s="18"/>
      <c r="E732" s="18"/>
      <c r="F732" s="77"/>
      <c r="G732" s="78"/>
      <c r="H732" s="7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58"/>
      <c r="AC732" s="58"/>
      <c r="AD732" s="58"/>
      <c r="AE732" s="58"/>
      <c r="AF732" s="58"/>
      <c r="AG732" s="18"/>
    </row>
    <row r="733" ht="14.25" customHeight="1">
      <c r="A733" s="77"/>
      <c r="B733" s="77"/>
      <c r="C733" s="77"/>
      <c r="D733" s="18"/>
      <c r="E733" s="18"/>
      <c r="F733" s="77"/>
      <c r="G733" s="78"/>
      <c r="H733" s="7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58"/>
      <c r="AC733" s="58"/>
      <c r="AD733" s="58"/>
      <c r="AE733" s="58"/>
      <c r="AF733" s="58"/>
      <c r="AG733" s="18"/>
    </row>
    <row r="734" ht="14.25" customHeight="1">
      <c r="A734" s="77"/>
      <c r="B734" s="77"/>
      <c r="C734" s="77"/>
      <c r="D734" s="18"/>
      <c r="E734" s="18"/>
      <c r="F734" s="77"/>
      <c r="G734" s="78"/>
      <c r="H734" s="7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58"/>
      <c r="AC734" s="58"/>
      <c r="AD734" s="58"/>
      <c r="AE734" s="58"/>
      <c r="AF734" s="58"/>
      <c r="AG734" s="18"/>
    </row>
    <row r="735" ht="14.25" customHeight="1">
      <c r="A735" s="77"/>
      <c r="B735" s="77"/>
      <c r="C735" s="77"/>
      <c r="D735" s="18"/>
      <c r="E735" s="18"/>
      <c r="F735" s="77"/>
      <c r="G735" s="78"/>
      <c r="H735" s="7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58"/>
      <c r="AC735" s="58"/>
      <c r="AD735" s="58"/>
      <c r="AE735" s="58"/>
      <c r="AF735" s="58"/>
      <c r="AG735" s="18"/>
    </row>
    <row r="736" ht="14.25" customHeight="1">
      <c r="A736" s="77"/>
      <c r="B736" s="77"/>
      <c r="C736" s="77"/>
      <c r="D736" s="18"/>
      <c r="E736" s="18"/>
      <c r="F736" s="77"/>
      <c r="G736" s="78"/>
      <c r="H736" s="7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58"/>
      <c r="AC736" s="58"/>
      <c r="AD736" s="58"/>
      <c r="AE736" s="58"/>
      <c r="AF736" s="58"/>
      <c r="AG736" s="18"/>
    </row>
    <row r="737" ht="14.25" customHeight="1">
      <c r="A737" s="77"/>
      <c r="B737" s="77"/>
      <c r="C737" s="77"/>
      <c r="D737" s="18"/>
      <c r="E737" s="18"/>
      <c r="F737" s="77"/>
      <c r="G737" s="78"/>
      <c r="H737" s="7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58"/>
      <c r="AC737" s="58"/>
      <c r="AD737" s="58"/>
      <c r="AE737" s="58"/>
      <c r="AF737" s="58"/>
      <c r="AG737" s="18"/>
    </row>
    <row r="738" ht="14.25" customHeight="1">
      <c r="A738" s="77"/>
      <c r="B738" s="77"/>
      <c r="C738" s="77"/>
      <c r="D738" s="18"/>
      <c r="E738" s="18"/>
      <c r="F738" s="77"/>
      <c r="G738" s="78"/>
      <c r="H738" s="7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58"/>
      <c r="AC738" s="58"/>
      <c r="AD738" s="58"/>
      <c r="AE738" s="58"/>
      <c r="AF738" s="58"/>
      <c r="AG738" s="18"/>
    </row>
    <row r="739" ht="14.25" customHeight="1">
      <c r="A739" s="77"/>
      <c r="B739" s="77"/>
      <c r="C739" s="77"/>
      <c r="D739" s="18"/>
      <c r="E739" s="18"/>
      <c r="F739" s="77"/>
      <c r="G739" s="78"/>
      <c r="H739" s="7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58"/>
      <c r="AC739" s="58"/>
      <c r="AD739" s="58"/>
      <c r="AE739" s="58"/>
      <c r="AF739" s="58"/>
      <c r="AG739" s="18"/>
    </row>
    <row r="740" ht="14.25" customHeight="1">
      <c r="A740" s="77"/>
      <c r="B740" s="77"/>
      <c r="C740" s="77"/>
      <c r="D740" s="18"/>
      <c r="E740" s="18"/>
      <c r="F740" s="77"/>
      <c r="G740" s="78"/>
      <c r="H740" s="7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58"/>
      <c r="AC740" s="58"/>
      <c r="AD740" s="58"/>
      <c r="AE740" s="58"/>
      <c r="AF740" s="58"/>
      <c r="AG740" s="18"/>
    </row>
    <row r="741" ht="14.25" customHeight="1">
      <c r="A741" s="77"/>
      <c r="B741" s="77"/>
      <c r="C741" s="77"/>
      <c r="D741" s="18"/>
      <c r="E741" s="18"/>
      <c r="F741" s="77"/>
      <c r="G741" s="78"/>
      <c r="H741" s="7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58"/>
      <c r="AC741" s="58"/>
      <c r="AD741" s="58"/>
      <c r="AE741" s="58"/>
      <c r="AF741" s="58"/>
      <c r="AG741" s="18"/>
    </row>
    <row r="742" ht="14.25" customHeight="1">
      <c r="A742" s="77"/>
      <c r="B742" s="77"/>
      <c r="C742" s="77"/>
      <c r="D742" s="18"/>
      <c r="E742" s="18"/>
      <c r="F742" s="77"/>
      <c r="G742" s="78"/>
      <c r="H742" s="7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58"/>
      <c r="AC742" s="58"/>
      <c r="AD742" s="58"/>
      <c r="AE742" s="58"/>
      <c r="AF742" s="58"/>
      <c r="AG742" s="18"/>
    </row>
    <row r="743" ht="14.25" customHeight="1">
      <c r="A743" s="77"/>
      <c r="B743" s="77"/>
      <c r="C743" s="77"/>
      <c r="D743" s="18"/>
      <c r="E743" s="18"/>
      <c r="F743" s="77"/>
      <c r="G743" s="78"/>
      <c r="H743" s="7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58"/>
      <c r="AC743" s="58"/>
      <c r="AD743" s="58"/>
      <c r="AE743" s="58"/>
      <c r="AF743" s="58"/>
      <c r="AG743" s="18"/>
    </row>
    <row r="744" ht="14.25" customHeight="1">
      <c r="A744" s="77"/>
      <c r="B744" s="77"/>
      <c r="C744" s="77"/>
      <c r="D744" s="18"/>
      <c r="E744" s="18"/>
      <c r="F744" s="77"/>
      <c r="G744" s="78"/>
      <c r="H744" s="7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58"/>
      <c r="AC744" s="58"/>
      <c r="AD744" s="58"/>
      <c r="AE744" s="58"/>
      <c r="AF744" s="58"/>
      <c r="AG744" s="18"/>
    </row>
    <row r="745" ht="14.25" customHeight="1">
      <c r="A745" s="77"/>
      <c r="B745" s="77"/>
      <c r="C745" s="77"/>
      <c r="D745" s="18"/>
      <c r="E745" s="18"/>
      <c r="F745" s="77"/>
      <c r="G745" s="78"/>
      <c r="H745" s="7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58"/>
      <c r="AC745" s="58"/>
      <c r="AD745" s="58"/>
      <c r="AE745" s="58"/>
      <c r="AF745" s="58"/>
      <c r="AG745" s="18"/>
    </row>
    <row r="746" ht="14.25" customHeight="1">
      <c r="A746" s="77"/>
      <c r="B746" s="77"/>
      <c r="C746" s="77"/>
      <c r="D746" s="18"/>
      <c r="E746" s="18"/>
      <c r="F746" s="77"/>
      <c r="G746" s="78"/>
      <c r="H746" s="7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58"/>
      <c r="AC746" s="58"/>
      <c r="AD746" s="58"/>
      <c r="AE746" s="58"/>
      <c r="AF746" s="58"/>
      <c r="AG746" s="18"/>
    </row>
    <row r="747" ht="14.25" customHeight="1">
      <c r="A747" s="77"/>
      <c r="B747" s="77"/>
      <c r="C747" s="77"/>
      <c r="D747" s="18"/>
      <c r="E747" s="18"/>
      <c r="F747" s="77"/>
      <c r="G747" s="78"/>
      <c r="H747" s="7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58"/>
      <c r="AC747" s="58"/>
      <c r="AD747" s="58"/>
      <c r="AE747" s="58"/>
      <c r="AF747" s="58"/>
      <c r="AG747" s="18"/>
    </row>
    <row r="748" ht="14.25" customHeight="1">
      <c r="A748" s="77"/>
      <c r="B748" s="77"/>
      <c r="C748" s="77"/>
      <c r="D748" s="18"/>
      <c r="E748" s="18"/>
      <c r="F748" s="77"/>
      <c r="G748" s="78"/>
      <c r="H748" s="7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58"/>
      <c r="AC748" s="58"/>
      <c r="AD748" s="58"/>
      <c r="AE748" s="58"/>
      <c r="AF748" s="58"/>
      <c r="AG748" s="18"/>
    </row>
    <row r="749" ht="14.25" customHeight="1">
      <c r="A749" s="77"/>
      <c r="B749" s="77"/>
      <c r="C749" s="77"/>
      <c r="D749" s="18"/>
      <c r="E749" s="18"/>
      <c r="F749" s="77"/>
      <c r="G749" s="78"/>
      <c r="H749" s="7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58"/>
      <c r="AC749" s="58"/>
      <c r="AD749" s="58"/>
      <c r="AE749" s="58"/>
      <c r="AF749" s="58"/>
      <c r="AG749" s="18"/>
    </row>
    <row r="750" ht="14.25" customHeight="1">
      <c r="A750" s="77"/>
      <c r="B750" s="77"/>
      <c r="C750" s="77"/>
      <c r="D750" s="18"/>
      <c r="E750" s="18"/>
      <c r="F750" s="77"/>
      <c r="G750" s="78"/>
      <c r="H750" s="7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58"/>
      <c r="AC750" s="58"/>
      <c r="AD750" s="58"/>
      <c r="AE750" s="58"/>
      <c r="AF750" s="58"/>
      <c r="AG750" s="18"/>
    </row>
    <row r="751" ht="14.25" customHeight="1">
      <c r="A751" s="77"/>
      <c r="B751" s="77"/>
      <c r="C751" s="77"/>
      <c r="D751" s="18"/>
      <c r="E751" s="18"/>
      <c r="F751" s="77"/>
      <c r="G751" s="78"/>
      <c r="H751" s="7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58"/>
      <c r="AC751" s="58"/>
      <c r="AD751" s="58"/>
      <c r="AE751" s="58"/>
      <c r="AF751" s="58"/>
      <c r="AG751" s="18"/>
    </row>
    <row r="752" ht="14.25" customHeight="1">
      <c r="A752" s="77"/>
      <c r="B752" s="77"/>
      <c r="C752" s="77"/>
      <c r="D752" s="18"/>
      <c r="E752" s="18"/>
      <c r="F752" s="77"/>
      <c r="G752" s="78"/>
      <c r="H752" s="7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58"/>
      <c r="AC752" s="58"/>
      <c r="AD752" s="58"/>
      <c r="AE752" s="58"/>
      <c r="AF752" s="58"/>
      <c r="AG752" s="18"/>
    </row>
    <row r="753" ht="14.25" customHeight="1">
      <c r="A753" s="77"/>
      <c r="B753" s="77"/>
      <c r="C753" s="77"/>
      <c r="D753" s="18"/>
      <c r="E753" s="18"/>
      <c r="F753" s="77"/>
      <c r="G753" s="78"/>
      <c r="H753" s="7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58"/>
      <c r="AC753" s="58"/>
      <c r="AD753" s="58"/>
      <c r="AE753" s="58"/>
      <c r="AF753" s="58"/>
      <c r="AG753" s="18"/>
    </row>
    <row r="754" ht="14.25" customHeight="1">
      <c r="A754" s="77"/>
      <c r="B754" s="77"/>
      <c r="C754" s="77"/>
      <c r="D754" s="18"/>
      <c r="E754" s="18"/>
      <c r="F754" s="77"/>
      <c r="G754" s="78"/>
      <c r="H754" s="7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58"/>
      <c r="AC754" s="58"/>
      <c r="AD754" s="58"/>
      <c r="AE754" s="58"/>
      <c r="AF754" s="58"/>
      <c r="AG754" s="18"/>
    </row>
    <row r="755" ht="14.25" customHeight="1">
      <c r="A755" s="77"/>
      <c r="B755" s="77"/>
      <c r="C755" s="77"/>
      <c r="D755" s="18"/>
      <c r="E755" s="18"/>
      <c r="F755" s="77"/>
      <c r="G755" s="78"/>
      <c r="H755" s="7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58"/>
      <c r="AC755" s="58"/>
      <c r="AD755" s="58"/>
      <c r="AE755" s="58"/>
      <c r="AF755" s="58"/>
      <c r="AG755" s="18"/>
    </row>
    <row r="756" ht="14.25" customHeight="1">
      <c r="A756" s="77"/>
      <c r="B756" s="77"/>
      <c r="C756" s="77"/>
      <c r="D756" s="18"/>
      <c r="E756" s="18"/>
      <c r="F756" s="77"/>
      <c r="G756" s="78"/>
      <c r="H756" s="7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58"/>
      <c r="AC756" s="58"/>
      <c r="AD756" s="58"/>
      <c r="AE756" s="58"/>
      <c r="AF756" s="58"/>
      <c r="AG756" s="18"/>
    </row>
    <row r="757" ht="14.25" customHeight="1">
      <c r="A757" s="77"/>
      <c r="B757" s="77"/>
      <c r="C757" s="77"/>
      <c r="D757" s="18"/>
      <c r="E757" s="18"/>
      <c r="F757" s="77"/>
      <c r="G757" s="78"/>
      <c r="H757" s="7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58"/>
      <c r="AC757" s="58"/>
      <c r="AD757" s="58"/>
      <c r="AE757" s="58"/>
      <c r="AF757" s="58"/>
      <c r="AG757" s="18"/>
    </row>
    <row r="758" ht="14.25" customHeight="1">
      <c r="A758" s="77"/>
      <c r="B758" s="77"/>
      <c r="C758" s="77"/>
      <c r="D758" s="18"/>
      <c r="E758" s="18"/>
      <c r="F758" s="77"/>
      <c r="G758" s="78"/>
      <c r="H758" s="7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58"/>
      <c r="AC758" s="58"/>
      <c r="AD758" s="58"/>
      <c r="AE758" s="58"/>
      <c r="AF758" s="58"/>
      <c r="AG758" s="18"/>
    </row>
    <row r="759" ht="14.25" customHeight="1">
      <c r="A759" s="77"/>
      <c r="B759" s="77"/>
      <c r="C759" s="77"/>
      <c r="D759" s="18"/>
      <c r="E759" s="18"/>
      <c r="F759" s="77"/>
      <c r="G759" s="78"/>
      <c r="H759" s="7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58"/>
      <c r="AC759" s="58"/>
      <c r="AD759" s="58"/>
      <c r="AE759" s="58"/>
      <c r="AF759" s="58"/>
      <c r="AG759" s="18"/>
    </row>
    <row r="760" ht="14.25" customHeight="1">
      <c r="A760" s="77"/>
      <c r="B760" s="77"/>
      <c r="C760" s="77"/>
      <c r="D760" s="18"/>
      <c r="E760" s="18"/>
      <c r="F760" s="77"/>
      <c r="G760" s="78"/>
      <c r="H760" s="7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58"/>
      <c r="AC760" s="58"/>
      <c r="AD760" s="58"/>
      <c r="AE760" s="58"/>
      <c r="AF760" s="58"/>
      <c r="AG760" s="18"/>
    </row>
    <row r="761" ht="14.25" customHeight="1">
      <c r="A761" s="77"/>
      <c r="B761" s="77"/>
      <c r="C761" s="77"/>
      <c r="D761" s="18"/>
      <c r="E761" s="18"/>
      <c r="F761" s="77"/>
      <c r="G761" s="78"/>
      <c r="H761" s="7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58"/>
      <c r="AC761" s="58"/>
      <c r="AD761" s="58"/>
      <c r="AE761" s="58"/>
      <c r="AF761" s="58"/>
      <c r="AG761" s="18"/>
    </row>
    <row r="762" ht="14.25" customHeight="1">
      <c r="A762" s="77"/>
      <c r="B762" s="77"/>
      <c r="C762" s="77"/>
      <c r="D762" s="18"/>
      <c r="E762" s="18"/>
      <c r="F762" s="77"/>
      <c r="G762" s="78"/>
      <c r="H762" s="7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58"/>
      <c r="AC762" s="58"/>
      <c r="AD762" s="58"/>
      <c r="AE762" s="58"/>
      <c r="AF762" s="58"/>
      <c r="AG762" s="18"/>
    </row>
    <row r="763" ht="14.25" customHeight="1">
      <c r="A763" s="77"/>
      <c r="B763" s="77"/>
      <c r="C763" s="77"/>
      <c r="D763" s="18"/>
      <c r="E763" s="18"/>
      <c r="F763" s="77"/>
      <c r="G763" s="78"/>
      <c r="H763" s="7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58"/>
      <c r="AC763" s="58"/>
      <c r="AD763" s="58"/>
      <c r="AE763" s="58"/>
      <c r="AF763" s="58"/>
      <c r="AG763" s="18"/>
    </row>
    <row r="764" ht="14.25" customHeight="1">
      <c r="A764" s="77"/>
      <c r="B764" s="77"/>
      <c r="C764" s="77"/>
      <c r="D764" s="18"/>
      <c r="E764" s="18"/>
      <c r="F764" s="77"/>
      <c r="G764" s="78"/>
      <c r="H764" s="7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58"/>
      <c r="AC764" s="58"/>
      <c r="AD764" s="58"/>
      <c r="AE764" s="58"/>
      <c r="AF764" s="58"/>
      <c r="AG764" s="18"/>
    </row>
    <row r="765" ht="14.25" customHeight="1">
      <c r="A765" s="77"/>
      <c r="B765" s="77"/>
      <c r="C765" s="77"/>
      <c r="D765" s="18"/>
      <c r="E765" s="18"/>
      <c r="F765" s="77"/>
      <c r="G765" s="78"/>
      <c r="H765" s="7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58"/>
      <c r="AC765" s="58"/>
      <c r="AD765" s="58"/>
      <c r="AE765" s="58"/>
      <c r="AF765" s="58"/>
      <c r="AG765" s="18"/>
    </row>
    <row r="766" ht="14.25" customHeight="1">
      <c r="A766" s="77"/>
      <c r="B766" s="77"/>
      <c r="C766" s="77"/>
      <c r="D766" s="18"/>
      <c r="E766" s="18"/>
      <c r="F766" s="77"/>
      <c r="G766" s="78"/>
      <c r="H766" s="7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58"/>
      <c r="AC766" s="58"/>
      <c r="AD766" s="58"/>
      <c r="AE766" s="58"/>
      <c r="AF766" s="58"/>
      <c r="AG766" s="18"/>
    </row>
    <row r="767" ht="14.25" customHeight="1">
      <c r="A767" s="77"/>
      <c r="B767" s="77"/>
      <c r="C767" s="77"/>
      <c r="D767" s="18"/>
      <c r="E767" s="18"/>
      <c r="F767" s="77"/>
      <c r="G767" s="78"/>
      <c r="H767" s="7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58"/>
      <c r="AC767" s="58"/>
      <c r="AD767" s="58"/>
      <c r="AE767" s="58"/>
      <c r="AF767" s="58"/>
      <c r="AG767" s="18"/>
    </row>
    <row r="768" ht="14.25" customHeight="1">
      <c r="A768" s="77"/>
      <c r="B768" s="77"/>
      <c r="C768" s="77"/>
      <c r="D768" s="18"/>
      <c r="E768" s="18"/>
      <c r="F768" s="77"/>
      <c r="G768" s="78"/>
      <c r="H768" s="7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58"/>
      <c r="AC768" s="58"/>
      <c r="AD768" s="58"/>
      <c r="AE768" s="58"/>
      <c r="AF768" s="58"/>
      <c r="AG768" s="18"/>
    </row>
    <row r="769" ht="14.25" customHeight="1">
      <c r="A769" s="77"/>
      <c r="B769" s="77"/>
      <c r="C769" s="77"/>
      <c r="D769" s="18"/>
      <c r="E769" s="18"/>
      <c r="F769" s="77"/>
      <c r="G769" s="78"/>
      <c r="H769" s="7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58"/>
      <c r="AC769" s="58"/>
      <c r="AD769" s="58"/>
      <c r="AE769" s="58"/>
      <c r="AF769" s="58"/>
      <c r="AG769" s="18"/>
    </row>
    <row r="770" ht="14.25" customHeight="1">
      <c r="A770" s="77"/>
      <c r="B770" s="77"/>
      <c r="C770" s="77"/>
      <c r="D770" s="18"/>
      <c r="E770" s="18"/>
      <c r="F770" s="77"/>
      <c r="G770" s="78"/>
      <c r="H770" s="7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58"/>
      <c r="AC770" s="58"/>
      <c r="AD770" s="58"/>
      <c r="AE770" s="58"/>
      <c r="AF770" s="58"/>
      <c r="AG770" s="18"/>
    </row>
    <row r="771" ht="14.25" customHeight="1">
      <c r="A771" s="77"/>
      <c r="B771" s="77"/>
      <c r="C771" s="77"/>
      <c r="D771" s="18"/>
      <c r="E771" s="18"/>
      <c r="F771" s="77"/>
      <c r="G771" s="78"/>
      <c r="H771" s="7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58"/>
      <c r="AC771" s="58"/>
      <c r="AD771" s="58"/>
      <c r="AE771" s="58"/>
      <c r="AF771" s="58"/>
      <c r="AG771" s="18"/>
    </row>
    <row r="772" ht="14.25" customHeight="1">
      <c r="A772" s="77"/>
      <c r="B772" s="77"/>
      <c r="C772" s="77"/>
      <c r="D772" s="18"/>
      <c r="E772" s="18"/>
      <c r="F772" s="77"/>
      <c r="G772" s="78"/>
      <c r="H772" s="7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58"/>
      <c r="AC772" s="58"/>
      <c r="AD772" s="58"/>
      <c r="AE772" s="58"/>
      <c r="AF772" s="58"/>
      <c r="AG772" s="18"/>
    </row>
    <row r="773" ht="14.25" customHeight="1">
      <c r="A773" s="77"/>
      <c r="B773" s="77"/>
      <c r="C773" s="77"/>
      <c r="D773" s="18"/>
      <c r="E773" s="18"/>
      <c r="F773" s="77"/>
      <c r="G773" s="78"/>
      <c r="H773" s="7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58"/>
      <c r="AC773" s="58"/>
      <c r="AD773" s="58"/>
      <c r="AE773" s="58"/>
      <c r="AF773" s="58"/>
      <c r="AG773" s="18"/>
    </row>
    <row r="774" ht="14.25" customHeight="1">
      <c r="A774" s="77"/>
      <c r="B774" s="77"/>
      <c r="C774" s="77"/>
      <c r="D774" s="18"/>
      <c r="E774" s="18"/>
      <c r="F774" s="77"/>
      <c r="G774" s="78"/>
      <c r="H774" s="7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58"/>
      <c r="AC774" s="58"/>
      <c r="AD774" s="58"/>
      <c r="AE774" s="58"/>
      <c r="AF774" s="58"/>
      <c r="AG774" s="18"/>
    </row>
    <row r="775" ht="14.25" customHeight="1">
      <c r="A775" s="77"/>
      <c r="B775" s="77"/>
      <c r="C775" s="77"/>
      <c r="D775" s="18"/>
      <c r="E775" s="18"/>
      <c r="F775" s="77"/>
      <c r="G775" s="78"/>
      <c r="H775" s="7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58"/>
      <c r="AC775" s="58"/>
      <c r="AD775" s="58"/>
      <c r="AE775" s="58"/>
      <c r="AF775" s="58"/>
      <c r="AG775" s="18"/>
    </row>
    <row r="776" ht="14.25" customHeight="1">
      <c r="A776" s="77"/>
      <c r="B776" s="77"/>
      <c r="C776" s="77"/>
      <c r="D776" s="18"/>
      <c r="E776" s="18"/>
      <c r="F776" s="77"/>
      <c r="G776" s="78"/>
      <c r="H776" s="7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58"/>
      <c r="AC776" s="58"/>
      <c r="AD776" s="58"/>
      <c r="AE776" s="58"/>
      <c r="AF776" s="58"/>
      <c r="AG776" s="18"/>
    </row>
    <row r="777" ht="14.25" customHeight="1">
      <c r="A777" s="77"/>
      <c r="B777" s="77"/>
      <c r="C777" s="77"/>
      <c r="D777" s="18"/>
      <c r="E777" s="18"/>
      <c r="F777" s="77"/>
      <c r="G777" s="78"/>
      <c r="H777" s="7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58"/>
      <c r="AC777" s="58"/>
      <c r="AD777" s="58"/>
      <c r="AE777" s="58"/>
      <c r="AF777" s="58"/>
      <c r="AG777" s="18"/>
    </row>
    <row r="778" ht="14.25" customHeight="1">
      <c r="A778" s="77"/>
      <c r="B778" s="77"/>
      <c r="C778" s="77"/>
      <c r="D778" s="18"/>
      <c r="E778" s="18"/>
      <c r="F778" s="77"/>
      <c r="G778" s="78"/>
      <c r="H778" s="7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58"/>
      <c r="AC778" s="58"/>
      <c r="AD778" s="58"/>
      <c r="AE778" s="58"/>
      <c r="AF778" s="58"/>
      <c r="AG778" s="18"/>
    </row>
    <row r="779" ht="14.25" customHeight="1">
      <c r="A779" s="77"/>
      <c r="B779" s="77"/>
      <c r="C779" s="77"/>
      <c r="D779" s="18"/>
      <c r="E779" s="18"/>
      <c r="F779" s="77"/>
      <c r="G779" s="78"/>
      <c r="H779" s="7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58"/>
      <c r="AC779" s="58"/>
      <c r="AD779" s="58"/>
      <c r="AE779" s="58"/>
      <c r="AF779" s="58"/>
      <c r="AG779" s="18"/>
    </row>
    <row r="780" ht="14.25" customHeight="1">
      <c r="A780" s="77"/>
      <c r="B780" s="77"/>
      <c r="C780" s="77"/>
      <c r="D780" s="18"/>
      <c r="E780" s="18"/>
      <c r="F780" s="77"/>
      <c r="G780" s="78"/>
      <c r="H780" s="7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58"/>
      <c r="AC780" s="58"/>
      <c r="AD780" s="58"/>
      <c r="AE780" s="58"/>
      <c r="AF780" s="58"/>
      <c r="AG780" s="18"/>
    </row>
    <row r="781" ht="14.25" customHeight="1">
      <c r="A781" s="77"/>
      <c r="B781" s="77"/>
      <c r="C781" s="77"/>
      <c r="D781" s="18"/>
      <c r="E781" s="18"/>
      <c r="F781" s="77"/>
      <c r="G781" s="78"/>
      <c r="H781" s="7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58"/>
      <c r="AC781" s="58"/>
      <c r="AD781" s="58"/>
      <c r="AE781" s="58"/>
      <c r="AF781" s="58"/>
      <c r="AG781" s="18"/>
    </row>
    <row r="782" ht="14.25" customHeight="1">
      <c r="A782" s="77"/>
      <c r="B782" s="77"/>
      <c r="C782" s="77"/>
      <c r="D782" s="18"/>
      <c r="E782" s="18"/>
      <c r="F782" s="77"/>
      <c r="G782" s="78"/>
      <c r="H782" s="7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58"/>
      <c r="AC782" s="58"/>
      <c r="AD782" s="58"/>
      <c r="AE782" s="58"/>
      <c r="AF782" s="58"/>
      <c r="AG782" s="18"/>
    </row>
    <row r="783" ht="14.25" customHeight="1">
      <c r="A783" s="77"/>
      <c r="B783" s="77"/>
      <c r="C783" s="77"/>
      <c r="D783" s="18"/>
      <c r="E783" s="18"/>
      <c r="F783" s="77"/>
      <c r="G783" s="78"/>
      <c r="H783" s="7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58"/>
      <c r="AC783" s="58"/>
      <c r="AD783" s="58"/>
      <c r="AE783" s="58"/>
      <c r="AF783" s="58"/>
      <c r="AG783" s="18"/>
    </row>
    <row r="784" ht="14.25" customHeight="1">
      <c r="A784" s="77"/>
      <c r="B784" s="77"/>
      <c r="C784" s="77"/>
      <c r="D784" s="18"/>
      <c r="E784" s="18"/>
      <c r="F784" s="77"/>
      <c r="G784" s="78"/>
      <c r="H784" s="7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58"/>
      <c r="AC784" s="58"/>
      <c r="AD784" s="58"/>
      <c r="AE784" s="58"/>
      <c r="AF784" s="58"/>
      <c r="AG784" s="18"/>
    </row>
    <row r="785" ht="14.25" customHeight="1">
      <c r="A785" s="77"/>
      <c r="B785" s="77"/>
      <c r="C785" s="77"/>
      <c r="D785" s="18"/>
      <c r="E785" s="18"/>
      <c r="F785" s="77"/>
      <c r="G785" s="78"/>
      <c r="H785" s="7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58"/>
      <c r="AC785" s="58"/>
      <c r="AD785" s="58"/>
      <c r="AE785" s="58"/>
      <c r="AF785" s="58"/>
      <c r="AG785" s="18"/>
    </row>
    <row r="786" ht="14.25" customHeight="1">
      <c r="A786" s="77"/>
      <c r="B786" s="77"/>
      <c r="C786" s="77"/>
      <c r="D786" s="18"/>
      <c r="E786" s="18"/>
      <c r="F786" s="77"/>
      <c r="G786" s="78"/>
      <c r="H786" s="7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58"/>
      <c r="AC786" s="58"/>
      <c r="AD786" s="58"/>
      <c r="AE786" s="58"/>
      <c r="AF786" s="58"/>
      <c r="AG786" s="18"/>
    </row>
    <row r="787" ht="14.25" customHeight="1">
      <c r="A787" s="77"/>
      <c r="B787" s="77"/>
      <c r="C787" s="77"/>
      <c r="D787" s="18"/>
      <c r="E787" s="18"/>
      <c r="F787" s="77"/>
      <c r="G787" s="78"/>
      <c r="H787" s="7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58"/>
      <c r="AC787" s="58"/>
      <c r="AD787" s="58"/>
      <c r="AE787" s="58"/>
      <c r="AF787" s="58"/>
      <c r="AG787" s="18"/>
    </row>
    <row r="788" ht="14.25" customHeight="1">
      <c r="A788" s="77"/>
      <c r="B788" s="77"/>
      <c r="C788" s="77"/>
      <c r="D788" s="18"/>
      <c r="E788" s="18"/>
      <c r="F788" s="77"/>
      <c r="G788" s="78"/>
      <c r="H788" s="7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58"/>
      <c r="AC788" s="58"/>
      <c r="AD788" s="58"/>
      <c r="AE788" s="58"/>
      <c r="AF788" s="58"/>
      <c r="AG788" s="18"/>
    </row>
    <row r="789" ht="14.25" customHeight="1">
      <c r="A789" s="77"/>
      <c r="B789" s="77"/>
      <c r="C789" s="77"/>
      <c r="D789" s="18"/>
      <c r="E789" s="18"/>
      <c r="F789" s="77"/>
      <c r="G789" s="78"/>
      <c r="H789" s="7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58"/>
      <c r="AC789" s="58"/>
      <c r="AD789" s="58"/>
      <c r="AE789" s="58"/>
      <c r="AF789" s="58"/>
      <c r="AG789" s="18"/>
    </row>
    <row r="790" ht="14.25" customHeight="1">
      <c r="A790" s="77"/>
      <c r="B790" s="77"/>
      <c r="C790" s="77"/>
      <c r="D790" s="18"/>
      <c r="E790" s="18"/>
      <c r="F790" s="77"/>
      <c r="G790" s="78"/>
      <c r="H790" s="7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58"/>
      <c r="AC790" s="58"/>
      <c r="AD790" s="58"/>
      <c r="AE790" s="58"/>
      <c r="AF790" s="58"/>
      <c r="AG790" s="18"/>
    </row>
    <row r="791" ht="14.25" customHeight="1">
      <c r="A791" s="77"/>
      <c r="B791" s="77"/>
      <c r="C791" s="77"/>
      <c r="D791" s="18"/>
      <c r="E791" s="18"/>
      <c r="F791" s="77"/>
      <c r="G791" s="78"/>
      <c r="H791" s="7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58"/>
      <c r="AC791" s="58"/>
      <c r="AD791" s="58"/>
      <c r="AE791" s="58"/>
      <c r="AF791" s="58"/>
      <c r="AG791" s="18"/>
    </row>
    <row r="792" ht="14.25" customHeight="1">
      <c r="A792" s="77"/>
      <c r="B792" s="77"/>
      <c r="C792" s="77"/>
      <c r="D792" s="18"/>
      <c r="E792" s="18"/>
      <c r="F792" s="77"/>
      <c r="G792" s="78"/>
      <c r="H792" s="7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58"/>
      <c r="AC792" s="58"/>
      <c r="AD792" s="58"/>
      <c r="AE792" s="58"/>
      <c r="AF792" s="58"/>
      <c r="AG792" s="18"/>
    </row>
    <row r="793" ht="14.25" customHeight="1">
      <c r="A793" s="77"/>
      <c r="B793" s="77"/>
      <c r="C793" s="77"/>
      <c r="D793" s="18"/>
      <c r="E793" s="18"/>
      <c r="F793" s="77"/>
      <c r="G793" s="78"/>
      <c r="H793" s="7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58"/>
      <c r="AC793" s="58"/>
      <c r="AD793" s="58"/>
      <c r="AE793" s="58"/>
      <c r="AF793" s="58"/>
      <c r="AG793" s="18"/>
    </row>
    <row r="794" ht="14.25" customHeight="1">
      <c r="A794" s="77"/>
      <c r="B794" s="77"/>
      <c r="C794" s="77"/>
      <c r="D794" s="18"/>
      <c r="E794" s="18"/>
      <c r="F794" s="77"/>
      <c r="G794" s="78"/>
      <c r="H794" s="7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58"/>
      <c r="AC794" s="58"/>
      <c r="AD794" s="58"/>
      <c r="AE794" s="58"/>
      <c r="AF794" s="58"/>
      <c r="AG794" s="18"/>
    </row>
    <row r="795" ht="14.25" customHeight="1">
      <c r="A795" s="77"/>
      <c r="B795" s="77"/>
      <c r="C795" s="77"/>
      <c r="D795" s="18"/>
      <c r="E795" s="18"/>
      <c r="F795" s="77"/>
      <c r="G795" s="78"/>
      <c r="H795" s="7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58"/>
      <c r="AC795" s="58"/>
      <c r="AD795" s="58"/>
      <c r="AE795" s="58"/>
      <c r="AF795" s="58"/>
      <c r="AG795" s="18"/>
    </row>
    <row r="796" ht="14.25" customHeight="1">
      <c r="A796" s="77"/>
      <c r="B796" s="77"/>
      <c r="C796" s="77"/>
      <c r="D796" s="18"/>
      <c r="E796" s="18"/>
      <c r="F796" s="77"/>
      <c r="G796" s="78"/>
      <c r="H796" s="7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58"/>
      <c r="AC796" s="58"/>
      <c r="AD796" s="58"/>
      <c r="AE796" s="58"/>
      <c r="AF796" s="58"/>
      <c r="AG796" s="18"/>
    </row>
    <row r="797" ht="14.25" customHeight="1">
      <c r="A797" s="77"/>
      <c r="B797" s="77"/>
      <c r="C797" s="77"/>
      <c r="D797" s="18"/>
      <c r="E797" s="18"/>
      <c r="F797" s="77"/>
      <c r="G797" s="78"/>
      <c r="H797" s="7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58"/>
      <c r="AC797" s="58"/>
      <c r="AD797" s="58"/>
      <c r="AE797" s="58"/>
      <c r="AF797" s="58"/>
      <c r="AG797" s="18"/>
    </row>
    <row r="798" ht="14.25" customHeight="1">
      <c r="A798" s="77"/>
      <c r="B798" s="77"/>
      <c r="C798" s="77"/>
      <c r="D798" s="18"/>
      <c r="E798" s="18"/>
      <c r="F798" s="77"/>
      <c r="G798" s="78"/>
      <c r="H798" s="7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58"/>
      <c r="AC798" s="58"/>
      <c r="AD798" s="58"/>
      <c r="AE798" s="58"/>
      <c r="AF798" s="58"/>
      <c r="AG798" s="18"/>
    </row>
    <row r="799" ht="14.25" customHeight="1">
      <c r="A799" s="77"/>
      <c r="B799" s="77"/>
      <c r="C799" s="77"/>
      <c r="D799" s="18"/>
      <c r="E799" s="18"/>
      <c r="F799" s="77"/>
      <c r="G799" s="78"/>
      <c r="H799" s="7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58"/>
      <c r="AC799" s="58"/>
      <c r="AD799" s="58"/>
      <c r="AE799" s="58"/>
      <c r="AF799" s="58"/>
      <c r="AG799" s="18"/>
    </row>
    <row r="800" ht="14.25" customHeight="1">
      <c r="A800" s="77"/>
      <c r="B800" s="77"/>
      <c r="C800" s="77"/>
      <c r="D800" s="18"/>
      <c r="E800" s="18"/>
      <c r="F800" s="77"/>
      <c r="G800" s="78"/>
      <c r="H800" s="7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58"/>
      <c r="AC800" s="58"/>
      <c r="AD800" s="58"/>
      <c r="AE800" s="58"/>
      <c r="AF800" s="58"/>
      <c r="AG800" s="18"/>
    </row>
    <row r="801" ht="14.25" customHeight="1">
      <c r="A801" s="77"/>
      <c r="B801" s="77"/>
      <c r="C801" s="77"/>
      <c r="D801" s="18"/>
      <c r="E801" s="18"/>
      <c r="F801" s="77"/>
      <c r="G801" s="78"/>
      <c r="H801" s="7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58"/>
      <c r="AC801" s="58"/>
      <c r="AD801" s="58"/>
      <c r="AE801" s="58"/>
      <c r="AF801" s="58"/>
      <c r="AG801" s="18"/>
    </row>
    <row r="802" ht="14.25" customHeight="1">
      <c r="A802" s="77"/>
      <c r="B802" s="77"/>
      <c r="C802" s="77"/>
      <c r="D802" s="18"/>
      <c r="E802" s="18"/>
      <c r="F802" s="77"/>
      <c r="G802" s="78"/>
      <c r="H802" s="7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58"/>
      <c r="AC802" s="58"/>
      <c r="AD802" s="58"/>
      <c r="AE802" s="58"/>
      <c r="AF802" s="58"/>
      <c r="AG802" s="18"/>
    </row>
    <row r="803" ht="14.25" customHeight="1">
      <c r="A803" s="77"/>
      <c r="B803" s="77"/>
      <c r="C803" s="77"/>
      <c r="D803" s="18"/>
      <c r="E803" s="18"/>
      <c r="F803" s="77"/>
      <c r="G803" s="78"/>
      <c r="H803" s="7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58"/>
      <c r="AC803" s="58"/>
      <c r="AD803" s="58"/>
      <c r="AE803" s="58"/>
      <c r="AF803" s="58"/>
      <c r="AG803" s="18"/>
    </row>
    <row r="804" ht="14.25" customHeight="1">
      <c r="A804" s="77"/>
      <c r="B804" s="77"/>
      <c r="C804" s="77"/>
      <c r="D804" s="18"/>
      <c r="E804" s="18"/>
      <c r="F804" s="77"/>
      <c r="G804" s="78"/>
      <c r="H804" s="7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58"/>
      <c r="AC804" s="58"/>
      <c r="AD804" s="58"/>
      <c r="AE804" s="58"/>
      <c r="AF804" s="58"/>
      <c r="AG804" s="18"/>
    </row>
    <row r="805" ht="14.25" customHeight="1">
      <c r="A805" s="77"/>
      <c r="B805" s="77"/>
      <c r="C805" s="77"/>
      <c r="D805" s="18"/>
      <c r="E805" s="18"/>
      <c r="F805" s="77"/>
      <c r="G805" s="78"/>
      <c r="H805" s="7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58"/>
      <c r="AC805" s="58"/>
      <c r="AD805" s="58"/>
      <c r="AE805" s="58"/>
      <c r="AF805" s="58"/>
      <c r="AG805" s="18"/>
    </row>
    <row r="806" ht="14.25" customHeight="1">
      <c r="A806" s="77"/>
      <c r="B806" s="77"/>
      <c r="C806" s="77"/>
      <c r="D806" s="18"/>
      <c r="E806" s="18"/>
      <c r="F806" s="77"/>
      <c r="G806" s="78"/>
      <c r="H806" s="7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58"/>
      <c r="AC806" s="58"/>
      <c r="AD806" s="58"/>
      <c r="AE806" s="58"/>
      <c r="AF806" s="58"/>
      <c r="AG806" s="18"/>
    </row>
    <row r="807" ht="14.25" customHeight="1">
      <c r="A807" s="77"/>
      <c r="B807" s="77"/>
      <c r="C807" s="77"/>
      <c r="D807" s="18"/>
      <c r="E807" s="18"/>
      <c r="F807" s="77"/>
      <c r="G807" s="78"/>
      <c r="H807" s="7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58"/>
      <c r="AC807" s="58"/>
      <c r="AD807" s="58"/>
      <c r="AE807" s="58"/>
      <c r="AF807" s="58"/>
      <c r="AG807" s="18"/>
    </row>
    <row r="808" ht="14.25" customHeight="1">
      <c r="A808" s="77"/>
      <c r="B808" s="77"/>
      <c r="C808" s="77"/>
      <c r="D808" s="18"/>
      <c r="E808" s="18"/>
      <c r="F808" s="77"/>
      <c r="G808" s="78"/>
      <c r="H808" s="7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58"/>
      <c r="AC808" s="58"/>
      <c r="AD808" s="58"/>
      <c r="AE808" s="58"/>
      <c r="AF808" s="58"/>
      <c r="AG808" s="18"/>
    </row>
    <row r="809" ht="14.25" customHeight="1">
      <c r="A809" s="77"/>
      <c r="B809" s="77"/>
      <c r="C809" s="77"/>
      <c r="D809" s="18"/>
      <c r="E809" s="18"/>
      <c r="F809" s="77"/>
      <c r="G809" s="78"/>
      <c r="H809" s="7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58"/>
      <c r="AC809" s="58"/>
      <c r="AD809" s="58"/>
      <c r="AE809" s="58"/>
      <c r="AF809" s="58"/>
      <c r="AG809" s="18"/>
    </row>
    <row r="810" ht="14.25" customHeight="1">
      <c r="A810" s="77"/>
      <c r="B810" s="77"/>
      <c r="C810" s="77"/>
      <c r="D810" s="18"/>
      <c r="E810" s="18"/>
      <c r="F810" s="77"/>
      <c r="G810" s="78"/>
      <c r="H810" s="7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58"/>
      <c r="AC810" s="58"/>
      <c r="AD810" s="58"/>
      <c r="AE810" s="58"/>
      <c r="AF810" s="58"/>
      <c r="AG810" s="18"/>
    </row>
    <row r="811" ht="14.25" customHeight="1">
      <c r="A811" s="77"/>
      <c r="B811" s="77"/>
      <c r="C811" s="77"/>
      <c r="D811" s="18"/>
      <c r="E811" s="18"/>
      <c r="F811" s="77"/>
      <c r="G811" s="78"/>
      <c r="H811" s="7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58"/>
      <c r="AC811" s="58"/>
      <c r="AD811" s="58"/>
      <c r="AE811" s="58"/>
      <c r="AF811" s="58"/>
      <c r="AG811" s="18"/>
    </row>
    <row r="812" ht="14.25" customHeight="1">
      <c r="A812" s="77"/>
      <c r="B812" s="77"/>
      <c r="C812" s="77"/>
      <c r="D812" s="18"/>
      <c r="E812" s="18"/>
      <c r="F812" s="77"/>
      <c r="G812" s="78"/>
      <c r="H812" s="7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58"/>
      <c r="AC812" s="58"/>
      <c r="AD812" s="58"/>
      <c r="AE812" s="58"/>
      <c r="AF812" s="58"/>
      <c r="AG812" s="18"/>
    </row>
    <row r="813" ht="14.25" customHeight="1">
      <c r="A813" s="77"/>
      <c r="B813" s="77"/>
      <c r="C813" s="77"/>
      <c r="D813" s="18"/>
      <c r="E813" s="18"/>
      <c r="F813" s="77"/>
      <c r="G813" s="78"/>
      <c r="H813" s="7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58"/>
      <c r="AC813" s="58"/>
      <c r="AD813" s="58"/>
      <c r="AE813" s="58"/>
      <c r="AF813" s="58"/>
      <c r="AG813" s="18"/>
    </row>
    <row r="814" ht="14.25" customHeight="1">
      <c r="A814" s="77"/>
      <c r="B814" s="77"/>
      <c r="C814" s="77"/>
      <c r="D814" s="18"/>
      <c r="E814" s="18"/>
      <c r="F814" s="77"/>
      <c r="G814" s="78"/>
      <c r="H814" s="7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58"/>
      <c r="AC814" s="58"/>
      <c r="AD814" s="58"/>
      <c r="AE814" s="58"/>
      <c r="AF814" s="58"/>
      <c r="AG814" s="18"/>
    </row>
    <row r="815" ht="14.25" customHeight="1">
      <c r="A815" s="77"/>
      <c r="B815" s="77"/>
      <c r="C815" s="77"/>
      <c r="D815" s="18"/>
      <c r="E815" s="18"/>
      <c r="F815" s="77"/>
      <c r="G815" s="78"/>
      <c r="H815" s="7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58"/>
      <c r="AC815" s="58"/>
      <c r="AD815" s="58"/>
      <c r="AE815" s="58"/>
      <c r="AF815" s="58"/>
      <c r="AG815" s="18"/>
    </row>
    <row r="816" ht="14.25" customHeight="1">
      <c r="A816" s="77"/>
      <c r="B816" s="77"/>
      <c r="C816" s="77"/>
      <c r="D816" s="18"/>
      <c r="E816" s="18"/>
      <c r="F816" s="77"/>
      <c r="G816" s="78"/>
      <c r="H816" s="7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58"/>
      <c r="AC816" s="58"/>
      <c r="AD816" s="58"/>
      <c r="AE816" s="58"/>
      <c r="AF816" s="58"/>
      <c r="AG816" s="18"/>
    </row>
    <row r="817" ht="14.25" customHeight="1">
      <c r="A817" s="77"/>
      <c r="B817" s="77"/>
      <c r="C817" s="77"/>
      <c r="D817" s="18"/>
      <c r="E817" s="18"/>
      <c r="F817" s="77"/>
      <c r="G817" s="78"/>
      <c r="H817" s="7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58"/>
      <c r="AC817" s="58"/>
      <c r="AD817" s="58"/>
      <c r="AE817" s="58"/>
      <c r="AF817" s="58"/>
      <c r="AG817" s="18"/>
    </row>
    <row r="818" ht="14.25" customHeight="1">
      <c r="A818" s="77"/>
      <c r="B818" s="77"/>
      <c r="C818" s="77"/>
      <c r="D818" s="18"/>
      <c r="E818" s="18"/>
      <c r="F818" s="77"/>
      <c r="G818" s="78"/>
      <c r="H818" s="7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58"/>
      <c r="AC818" s="58"/>
      <c r="AD818" s="58"/>
      <c r="AE818" s="58"/>
      <c r="AF818" s="58"/>
      <c r="AG818" s="18"/>
    </row>
    <row r="819" ht="14.25" customHeight="1">
      <c r="A819" s="77"/>
      <c r="B819" s="77"/>
      <c r="C819" s="77"/>
      <c r="D819" s="18"/>
      <c r="E819" s="18"/>
      <c r="F819" s="77"/>
      <c r="G819" s="78"/>
      <c r="H819" s="7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58"/>
      <c r="AC819" s="58"/>
      <c r="AD819" s="58"/>
      <c r="AE819" s="58"/>
      <c r="AF819" s="58"/>
      <c r="AG819" s="18"/>
    </row>
    <row r="820" ht="14.25" customHeight="1">
      <c r="A820" s="77"/>
      <c r="B820" s="77"/>
      <c r="C820" s="77"/>
      <c r="D820" s="18"/>
      <c r="E820" s="18"/>
      <c r="F820" s="77"/>
      <c r="G820" s="78"/>
      <c r="H820" s="7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58"/>
      <c r="AC820" s="58"/>
      <c r="AD820" s="58"/>
      <c r="AE820" s="58"/>
      <c r="AF820" s="58"/>
      <c r="AG820" s="18"/>
    </row>
    <row r="821" ht="14.25" customHeight="1">
      <c r="A821" s="77"/>
      <c r="B821" s="77"/>
      <c r="C821" s="77"/>
      <c r="D821" s="18"/>
      <c r="E821" s="18"/>
      <c r="F821" s="77"/>
      <c r="G821" s="78"/>
      <c r="H821" s="7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58"/>
      <c r="AC821" s="58"/>
      <c r="AD821" s="58"/>
      <c r="AE821" s="58"/>
      <c r="AF821" s="58"/>
      <c r="AG821" s="18"/>
    </row>
    <row r="822" ht="14.25" customHeight="1">
      <c r="A822" s="77"/>
      <c r="B822" s="77"/>
      <c r="C822" s="77"/>
      <c r="D822" s="18"/>
      <c r="E822" s="18"/>
      <c r="F822" s="77"/>
      <c r="G822" s="78"/>
      <c r="H822" s="7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58"/>
      <c r="AC822" s="58"/>
      <c r="AD822" s="58"/>
      <c r="AE822" s="58"/>
      <c r="AF822" s="58"/>
      <c r="AG822" s="18"/>
    </row>
    <row r="823" ht="14.25" customHeight="1">
      <c r="A823" s="77"/>
      <c r="B823" s="77"/>
      <c r="C823" s="77"/>
      <c r="D823" s="18"/>
      <c r="E823" s="18"/>
      <c r="F823" s="77"/>
      <c r="G823" s="78"/>
      <c r="H823" s="7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58"/>
      <c r="AC823" s="58"/>
      <c r="AD823" s="58"/>
      <c r="AE823" s="58"/>
      <c r="AF823" s="58"/>
      <c r="AG823" s="18"/>
    </row>
    <row r="824" ht="14.25" customHeight="1">
      <c r="A824" s="77"/>
      <c r="B824" s="77"/>
      <c r="C824" s="77"/>
      <c r="D824" s="18"/>
      <c r="E824" s="18"/>
      <c r="F824" s="77"/>
      <c r="G824" s="78"/>
      <c r="H824" s="7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58"/>
      <c r="AC824" s="58"/>
      <c r="AD824" s="58"/>
      <c r="AE824" s="58"/>
      <c r="AF824" s="58"/>
      <c r="AG824" s="18"/>
    </row>
    <row r="825" ht="14.25" customHeight="1">
      <c r="A825" s="77"/>
      <c r="B825" s="77"/>
      <c r="C825" s="77"/>
      <c r="D825" s="18"/>
      <c r="E825" s="18"/>
      <c r="F825" s="77"/>
      <c r="G825" s="78"/>
      <c r="H825" s="7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58"/>
      <c r="AC825" s="58"/>
      <c r="AD825" s="58"/>
      <c r="AE825" s="58"/>
      <c r="AF825" s="58"/>
      <c r="AG825" s="18"/>
    </row>
    <row r="826" ht="14.25" customHeight="1">
      <c r="A826" s="77"/>
      <c r="B826" s="77"/>
      <c r="C826" s="77"/>
      <c r="D826" s="18"/>
      <c r="E826" s="18"/>
      <c r="F826" s="77"/>
      <c r="G826" s="78"/>
      <c r="H826" s="7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58"/>
      <c r="AC826" s="58"/>
      <c r="AD826" s="58"/>
      <c r="AE826" s="58"/>
      <c r="AF826" s="58"/>
      <c r="AG826" s="18"/>
    </row>
    <row r="827" ht="14.25" customHeight="1">
      <c r="A827" s="77"/>
      <c r="B827" s="77"/>
      <c r="C827" s="77"/>
      <c r="D827" s="18"/>
      <c r="E827" s="18"/>
      <c r="F827" s="77"/>
      <c r="G827" s="78"/>
      <c r="H827" s="7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58"/>
      <c r="AC827" s="58"/>
      <c r="AD827" s="58"/>
      <c r="AE827" s="58"/>
      <c r="AF827" s="58"/>
      <c r="AG827" s="18"/>
    </row>
    <row r="828" ht="14.25" customHeight="1">
      <c r="A828" s="77"/>
      <c r="B828" s="77"/>
      <c r="C828" s="77"/>
      <c r="D828" s="18"/>
      <c r="E828" s="18"/>
      <c r="F828" s="77"/>
      <c r="G828" s="78"/>
      <c r="H828" s="7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58"/>
      <c r="AC828" s="58"/>
      <c r="AD828" s="58"/>
      <c r="AE828" s="58"/>
      <c r="AF828" s="58"/>
      <c r="AG828" s="18"/>
    </row>
    <row r="829" ht="14.25" customHeight="1">
      <c r="A829" s="77"/>
      <c r="B829" s="77"/>
      <c r="C829" s="77"/>
      <c r="D829" s="18"/>
      <c r="E829" s="18"/>
      <c r="F829" s="77"/>
      <c r="G829" s="78"/>
      <c r="H829" s="7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58"/>
      <c r="AC829" s="58"/>
      <c r="AD829" s="58"/>
      <c r="AE829" s="58"/>
      <c r="AF829" s="58"/>
      <c r="AG829" s="18"/>
    </row>
    <row r="830" ht="14.25" customHeight="1">
      <c r="A830" s="77"/>
      <c r="B830" s="77"/>
      <c r="C830" s="77"/>
      <c r="D830" s="18"/>
      <c r="E830" s="18"/>
      <c r="F830" s="77"/>
      <c r="G830" s="78"/>
      <c r="H830" s="7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58"/>
      <c r="AC830" s="58"/>
      <c r="AD830" s="58"/>
      <c r="AE830" s="58"/>
      <c r="AF830" s="58"/>
      <c r="AG830" s="18"/>
    </row>
    <row r="831" ht="14.25" customHeight="1">
      <c r="A831" s="77"/>
      <c r="B831" s="77"/>
      <c r="C831" s="77"/>
      <c r="D831" s="18"/>
      <c r="E831" s="18"/>
      <c r="F831" s="77"/>
      <c r="G831" s="78"/>
      <c r="H831" s="7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58"/>
      <c r="AC831" s="58"/>
      <c r="AD831" s="58"/>
      <c r="AE831" s="58"/>
      <c r="AF831" s="58"/>
      <c r="AG831" s="18"/>
    </row>
    <row r="832" ht="14.25" customHeight="1">
      <c r="A832" s="77"/>
      <c r="B832" s="77"/>
      <c r="C832" s="77"/>
      <c r="D832" s="18"/>
      <c r="E832" s="18"/>
      <c r="F832" s="77"/>
      <c r="G832" s="78"/>
      <c r="H832" s="7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58"/>
      <c r="AC832" s="58"/>
      <c r="AD832" s="58"/>
      <c r="AE832" s="58"/>
      <c r="AF832" s="58"/>
      <c r="AG832" s="18"/>
    </row>
    <row r="833" ht="14.25" customHeight="1">
      <c r="A833" s="77"/>
      <c r="B833" s="77"/>
      <c r="C833" s="77"/>
      <c r="D833" s="18"/>
      <c r="E833" s="18"/>
      <c r="F833" s="77"/>
      <c r="G833" s="78"/>
      <c r="H833" s="7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58"/>
      <c r="AC833" s="58"/>
      <c r="AD833" s="58"/>
      <c r="AE833" s="58"/>
      <c r="AF833" s="58"/>
      <c r="AG833" s="18"/>
    </row>
    <row r="834" ht="14.25" customHeight="1">
      <c r="A834" s="77"/>
      <c r="B834" s="77"/>
      <c r="C834" s="77"/>
      <c r="D834" s="18"/>
      <c r="E834" s="18"/>
      <c r="F834" s="77"/>
      <c r="G834" s="78"/>
      <c r="H834" s="7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58"/>
      <c r="AC834" s="58"/>
      <c r="AD834" s="58"/>
      <c r="AE834" s="58"/>
      <c r="AF834" s="58"/>
      <c r="AG834" s="18"/>
    </row>
    <row r="835" ht="14.25" customHeight="1">
      <c r="A835" s="77"/>
      <c r="B835" s="77"/>
      <c r="C835" s="77"/>
      <c r="D835" s="18"/>
      <c r="E835" s="18"/>
      <c r="F835" s="77"/>
      <c r="G835" s="78"/>
      <c r="H835" s="7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58"/>
      <c r="AC835" s="58"/>
      <c r="AD835" s="58"/>
      <c r="AE835" s="58"/>
      <c r="AF835" s="58"/>
      <c r="AG835" s="18"/>
    </row>
    <row r="836" ht="14.25" customHeight="1">
      <c r="A836" s="77"/>
      <c r="B836" s="77"/>
      <c r="C836" s="77"/>
      <c r="D836" s="18"/>
      <c r="E836" s="18"/>
      <c r="F836" s="77"/>
      <c r="G836" s="78"/>
      <c r="H836" s="7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58"/>
      <c r="AC836" s="58"/>
      <c r="AD836" s="58"/>
      <c r="AE836" s="58"/>
      <c r="AF836" s="58"/>
      <c r="AG836" s="18"/>
    </row>
    <row r="837" ht="14.25" customHeight="1">
      <c r="A837" s="77"/>
      <c r="B837" s="77"/>
      <c r="C837" s="77"/>
      <c r="D837" s="18"/>
      <c r="E837" s="18"/>
      <c r="F837" s="77"/>
      <c r="G837" s="78"/>
      <c r="H837" s="7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58"/>
      <c r="AC837" s="58"/>
      <c r="AD837" s="58"/>
      <c r="AE837" s="58"/>
      <c r="AF837" s="58"/>
      <c r="AG837" s="18"/>
    </row>
    <row r="838" ht="14.25" customHeight="1">
      <c r="A838" s="77"/>
      <c r="B838" s="77"/>
      <c r="C838" s="77"/>
      <c r="D838" s="18"/>
      <c r="E838" s="18"/>
      <c r="F838" s="77"/>
      <c r="G838" s="78"/>
      <c r="H838" s="7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58"/>
      <c r="AC838" s="58"/>
      <c r="AD838" s="58"/>
      <c r="AE838" s="58"/>
      <c r="AF838" s="58"/>
      <c r="AG838" s="18"/>
    </row>
    <row r="839" ht="14.25" customHeight="1">
      <c r="A839" s="77"/>
      <c r="B839" s="77"/>
      <c r="C839" s="77"/>
      <c r="D839" s="18"/>
      <c r="E839" s="18"/>
      <c r="F839" s="77"/>
      <c r="G839" s="78"/>
      <c r="H839" s="7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58"/>
      <c r="AC839" s="58"/>
      <c r="AD839" s="58"/>
      <c r="AE839" s="58"/>
      <c r="AF839" s="58"/>
      <c r="AG839" s="18"/>
    </row>
    <row r="840" ht="14.25" customHeight="1">
      <c r="A840" s="77"/>
      <c r="B840" s="77"/>
      <c r="C840" s="77"/>
      <c r="D840" s="18"/>
      <c r="E840" s="18"/>
      <c r="F840" s="77"/>
      <c r="G840" s="78"/>
      <c r="H840" s="7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58"/>
      <c r="AC840" s="58"/>
      <c r="AD840" s="58"/>
      <c r="AE840" s="58"/>
      <c r="AF840" s="58"/>
      <c r="AG840" s="18"/>
    </row>
    <row r="841" ht="14.25" customHeight="1">
      <c r="A841" s="77"/>
      <c r="B841" s="77"/>
      <c r="C841" s="77"/>
      <c r="D841" s="18"/>
      <c r="E841" s="18"/>
      <c r="F841" s="77"/>
      <c r="G841" s="78"/>
      <c r="H841" s="7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58"/>
      <c r="AC841" s="58"/>
      <c r="AD841" s="58"/>
      <c r="AE841" s="58"/>
      <c r="AF841" s="58"/>
      <c r="AG841" s="18"/>
    </row>
    <row r="842" ht="14.25" customHeight="1">
      <c r="A842" s="77"/>
      <c r="B842" s="77"/>
      <c r="C842" s="77"/>
      <c r="D842" s="18"/>
      <c r="E842" s="18"/>
      <c r="F842" s="77"/>
      <c r="G842" s="78"/>
      <c r="H842" s="7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58"/>
      <c r="AC842" s="58"/>
      <c r="AD842" s="58"/>
      <c r="AE842" s="58"/>
      <c r="AF842" s="58"/>
      <c r="AG842" s="18"/>
    </row>
    <row r="843" ht="14.25" customHeight="1">
      <c r="A843" s="77"/>
      <c r="B843" s="77"/>
      <c r="C843" s="77"/>
      <c r="D843" s="18"/>
      <c r="E843" s="18"/>
      <c r="F843" s="77"/>
      <c r="G843" s="78"/>
      <c r="H843" s="7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58"/>
      <c r="AC843" s="58"/>
      <c r="AD843" s="58"/>
      <c r="AE843" s="58"/>
      <c r="AF843" s="58"/>
      <c r="AG843" s="18"/>
    </row>
    <row r="844" ht="14.25" customHeight="1">
      <c r="A844" s="77"/>
      <c r="B844" s="77"/>
      <c r="C844" s="77"/>
      <c r="D844" s="18"/>
      <c r="E844" s="18"/>
      <c r="F844" s="77"/>
      <c r="G844" s="78"/>
      <c r="H844" s="7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58"/>
      <c r="AC844" s="58"/>
      <c r="AD844" s="58"/>
      <c r="AE844" s="58"/>
      <c r="AF844" s="58"/>
      <c r="AG844" s="18"/>
    </row>
    <row r="845" ht="14.25" customHeight="1">
      <c r="A845" s="77"/>
      <c r="B845" s="77"/>
      <c r="C845" s="77"/>
      <c r="D845" s="18"/>
      <c r="E845" s="18"/>
      <c r="F845" s="77"/>
      <c r="G845" s="78"/>
      <c r="H845" s="7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58"/>
      <c r="AC845" s="58"/>
      <c r="AD845" s="58"/>
      <c r="AE845" s="58"/>
      <c r="AF845" s="58"/>
      <c r="AG845" s="18"/>
    </row>
    <row r="846" ht="14.25" customHeight="1">
      <c r="A846" s="77"/>
      <c r="B846" s="77"/>
      <c r="C846" s="77"/>
      <c r="D846" s="18"/>
      <c r="E846" s="18"/>
      <c r="F846" s="77"/>
      <c r="G846" s="78"/>
      <c r="H846" s="7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58"/>
      <c r="AC846" s="58"/>
      <c r="AD846" s="58"/>
      <c r="AE846" s="58"/>
      <c r="AF846" s="58"/>
      <c r="AG846" s="18"/>
    </row>
    <row r="847" ht="14.25" customHeight="1">
      <c r="A847" s="77"/>
      <c r="B847" s="77"/>
      <c r="C847" s="77"/>
      <c r="D847" s="18"/>
      <c r="E847" s="18"/>
      <c r="F847" s="77"/>
      <c r="G847" s="78"/>
      <c r="H847" s="7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58"/>
      <c r="AC847" s="58"/>
      <c r="AD847" s="58"/>
      <c r="AE847" s="58"/>
      <c r="AF847" s="58"/>
      <c r="AG847" s="18"/>
    </row>
    <row r="848" ht="14.25" customHeight="1">
      <c r="A848" s="77"/>
      <c r="B848" s="77"/>
      <c r="C848" s="77"/>
      <c r="D848" s="18"/>
      <c r="E848" s="18"/>
      <c r="F848" s="77"/>
      <c r="G848" s="78"/>
      <c r="H848" s="7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58"/>
      <c r="AC848" s="58"/>
      <c r="AD848" s="58"/>
      <c r="AE848" s="58"/>
      <c r="AF848" s="58"/>
      <c r="AG848" s="18"/>
    </row>
    <row r="849" ht="14.25" customHeight="1">
      <c r="A849" s="77"/>
      <c r="B849" s="77"/>
      <c r="C849" s="77"/>
      <c r="D849" s="18"/>
      <c r="E849" s="18"/>
      <c r="F849" s="77"/>
      <c r="G849" s="78"/>
      <c r="H849" s="7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58"/>
      <c r="AC849" s="58"/>
      <c r="AD849" s="58"/>
      <c r="AE849" s="58"/>
      <c r="AF849" s="58"/>
      <c r="AG849" s="18"/>
    </row>
    <row r="850" ht="14.25" customHeight="1">
      <c r="A850" s="77"/>
      <c r="B850" s="77"/>
      <c r="C850" s="77"/>
      <c r="D850" s="18"/>
      <c r="E850" s="18"/>
      <c r="F850" s="77"/>
      <c r="G850" s="78"/>
      <c r="H850" s="7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58"/>
      <c r="AC850" s="58"/>
      <c r="AD850" s="58"/>
      <c r="AE850" s="58"/>
      <c r="AF850" s="58"/>
      <c r="AG850" s="18"/>
    </row>
    <row r="851" ht="14.25" customHeight="1">
      <c r="A851" s="77"/>
      <c r="B851" s="77"/>
      <c r="C851" s="77"/>
      <c r="D851" s="18"/>
      <c r="E851" s="18"/>
      <c r="F851" s="77"/>
      <c r="G851" s="78"/>
      <c r="H851" s="7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58"/>
      <c r="AC851" s="58"/>
      <c r="AD851" s="58"/>
      <c r="AE851" s="58"/>
      <c r="AF851" s="58"/>
      <c r="AG851" s="18"/>
    </row>
    <row r="852" ht="14.25" customHeight="1">
      <c r="A852" s="77"/>
      <c r="B852" s="77"/>
      <c r="C852" s="77"/>
      <c r="D852" s="18"/>
      <c r="E852" s="18"/>
      <c r="F852" s="77"/>
      <c r="G852" s="78"/>
      <c r="H852" s="7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58"/>
      <c r="AC852" s="58"/>
      <c r="AD852" s="58"/>
      <c r="AE852" s="58"/>
      <c r="AF852" s="58"/>
      <c r="AG852" s="18"/>
    </row>
    <row r="853" ht="14.25" customHeight="1">
      <c r="A853" s="77"/>
      <c r="B853" s="77"/>
      <c r="C853" s="77"/>
      <c r="D853" s="18"/>
      <c r="E853" s="18"/>
      <c r="F853" s="77"/>
      <c r="G853" s="78"/>
      <c r="H853" s="7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58"/>
      <c r="AC853" s="58"/>
      <c r="AD853" s="58"/>
      <c r="AE853" s="58"/>
      <c r="AF853" s="58"/>
      <c r="AG853" s="18"/>
    </row>
    <row r="854" ht="14.25" customHeight="1">
      <c r="A854" s="77"/>
      <c r="B854" s="77"/>
      <c r="C854" s="77"/>
      <c r="D854" s="18"/>
      <c r="E854" s="18"/>
      <c r="F854" s="77"/>
      <c r="G854" s="78"/>
      <c r="H854" s="7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58"/>
      <c r="AC854" s="58"/>
      <c r="AD854" s="58"/>
      <c r="AE854" s="58"/>
      <c r="AF854" s="58"/>
      <c r="AG854" s="18"/>
    </row>
    <row r="855" ht="14.25" customHeight="1">
      <c r="A855" s="77"/>
      <c r="B855" s="77"/>
      <c r="C855" s="77"/>
      <c r="D855" s="18"/>
      <c r="E855" s="18"/>
      <c r="F855" s="77"/>
      <c r="G855" s="78"/>
      <c r="H855" s="7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58"/>
      <c r="AC855" s="58"/>
      <c r="AD855" s="58"/>
      <c r="AE855" s="58"/>
      <c r="AF855" s="58"/>
      <c r="AG855" s="18"/>
    </row>
    <row r="856" ht="14.25" customHeight="1">
      <c r="A856" s="77"/>
      <c r="B856" s="77"/>
      <c r="C856" s="77"/>
      <c r="D856" s="18"/>
      <c r="E856" s="18"/>
      <c r="F856" s="77"/>
      <c r="G856" s="78"/>
      <c r="H856" s="7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58"/>
      <c r="AC856" s="58"/>
      <c r="AD856" s="58"/>
      <c r="AE856" s="58"/>
      <c r="AF856" s="58"/>
      <c r="AG856" s="18"/>
    </row>
    <row r="857" ht="14.25" customHeight="1">
      <c r="A857" s="77"/>
      <c r="B857" s="77"/>
      <c r="C857" s="77"/>
      <c r="D857" s="18"/>
      <c r="E857" s="18"/>
      <c r="F857" s="77"/>
      <c r="G857" s="78"/>
      <c r="H857" s="7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58"/>
      <c r="AC857" s="58"/>
      <c r="AD857" s="58"/>
      <c r="AE857" s="58"/>
      <c r="AF857" s="58"/>
      <c r="AG857" s="18"/>
    </row>
    <row r="858" ht="14.25" customHeight="1">
      <c r="A858" s="77"/>
      <c r="B858" s="77"/>
      <c r="C858" s="77"/>
      <c r="D858" s="18"/>
      <c r="E858" s="18"/>
      <c r="F858" s="77"/>
      <c r="G858" s="78"/>
      <c r="H858" s="7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58"/>
      <c r="AC858" s="58"/>
      <c r="AD858" s="58"/>
      <c r="AE858" s="58"/>
      <c r="AF858" s="58"/>
      <c r="AG858" s="18"/>
    </row>
    <row r="859" ht="14.25" customHeight="1">
      <c r="A859" s="77"/>
      <c r="B859" s="77"/>
      <c r="C859" s="77"/>
      <c r="D859" s="18"/>
      <c r="E859" s="18"/>
      <c r="F859" s="77"/>
      <c r="G859" s="78"/>
      <c r="H859" s="7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58"/>
      <c r="AC859" s="58"/>
      <c r="AD859" s="58"/>
      <c r="AE859" s="58"/>
      <c r="AF859" s="58"/>
      <c r="AG859" s="18"/>
    </row>
    <row r="860" ht="14.25" customHeight="1">
      <c r="A860" s="77"/>
      <c r="B860" s="77"/>
      <c r="C860" s="77"/>
      <c r="D860" s="18"/>
      <c r="E860" s="18"/>
      <c r="F860" s="77"/>
      <c r="G860" s="78"/>
      <c r="H860" s="7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58"/>
      <c r="AC860" s="58"/>
      <c r="AD860" s="58"/>
      <c r="AE860" s="58"/>
      <c r="AF860" s="58"/>
      <c r="AG860" s="18"/>
    </row>
    <row r="861" ht="14.25" customHeight="1">
      <c r="A861" s="77"/>
      <c r="B861" s="77"/>
      <c r="C861" s="77"/>
      <c r="D861" s="18"/>
      <c r="E861" s="18"/>
      <c r="F861" s="77"/>
      <c r="G861" s="78"/>
      <c r="H861" s="7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58"/>
      <c r="AC861" s="58"/>
      <c r="AD861" s="58"/>
      <c r="AE861" s="58"/>
      <c r="AF861" s="58"/>
      <c r="AG861" s="18"/>
    </row>
    <row r="862" ht="14.25" customHeight="1">
      <c r="A862" s="77"/>
      <c r="B862" s="77"/>
      <c r="C862" s="77"/>
      <c r="D862" s="18"/>
      <c r="E862" s="18"/>
      <c r="F862" s="77"/>
      <c r="G862" s="78"/>
      <c r="H862" s="7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58"/>
      <c r="AC862" s="58"/>
      <c r="AD862" s="58"/>
      <c r="AE862" s="58"/>
      <c r="AF862" s="58"/>
      <c r="AG862" s="18"/>
    </row>
    <row r="863" ht="14.25" customHeight="1">
      <c r="A863" s="77"/>
      <c r="B863" s="77"/>
      <c r="C863" s="77"/>
      <c r="D863" s="18"/>
      <c r="E863" s="18"/>
      <c r="F863" s="77"/>
      <c r="G863" s="78"/>
      <c r="H863" s="7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58"/>
      <c r="AC863" s="58"/>
      <c r="AD863" s="58"/>
      <c r="AE863" s="58"/>
      <c r="AF863" s="58"/>
      <c r="AG863" s="18"/>
    </row>
    <row r="864" ht="14.25" customHeight="1">
      <c r="A864" s="77"/>
      <c r="B864" s="77"/>
      <c r="C864" s="77"/>
      <c r="D864" s="18"/>
      <c r="E864" s="18"/>
      <c r="F864" s="77"/>
      <c r="G864" s="78"/>
      <c r="H864" s="7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58"/>
      <c r="AC864" s="58"/>
      <c r="AD864" s="58"/>
      <c r="AE864" s="58"/>
      <c r="AF864" s="58"/>
      <c r="AG864" s="18"/>
    </row>
    <row r="865" ht="14.25" customHeight="1">
      <c r="A865" s="77"/>
      <c r="B865" s="77"/>
      <c r="C865" s="77"/>
      <c r="D865" s="18"/>
      <c r="E865" s="18"/>
      <c r="F865" s="77"/>
      <c r="G865" s="78"/>
      <c r="H865" s="7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58"/>
      <c r="AC865" s="58"/>
      <c r="AD865" s="58"/>
      <c r="AE865" s="58"/>
      <c r="AF865" s="58"/>
      <c r="AG865" s="18"/>
    </row>
    <row r="866" ht="14.25" customHeight="1">
      <c r="A866" s="77"/>
      <c r="B866" s="77"/>
      <c r="C866" s="77"/>
      <c r="D866" s="18"/>
      <c r="E866" s="18"/>
      <c r="F866" s="77"/>
      <c r="G866" s="78"/>
      <c r="H866" s="7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58"/>
      <c r="AC866" s="58"/>
      <c r="AD866" s="58"/>
      <c r="AE866" s="58"/>
      <c r="AF866" s="58"/>
      <c r="AG866" s="18"/>
    </row>
    <row r="867" ht="14.25" customHeight="1">
      <c r="A867" s="77"/>
      <c r="B867" s="77"/>
      <c r="C867" s="77"/>
      <c r="D867" s="18"/>
      <c r="E867" s="18"/>
      <c r="F867" s="77"/>
      <c r="G867" s="78"/>
      <c r="H867" s="7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58"/>
      <c r="AC867" s="58"/>
      <c r="AD867" s="58"/>
      <c r="AE867" s="58"/>
      <c r="AF867" s="58"/>
      <c r="AG867" s="18"/>
    </row>
    <row r="868" ht="14.25" customHeight="1">
      <c r="A868" s="77"/>
      <c r="B868" s="77"/>
      <c r="C868" s="77"/>
      <c r="D868" s="18"/>
      <c r="E868" s="18"/>
      <c r="F868" s="77"/>
      <c r="G868" s="78"/>
      <c r="H868" s="7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58"/>
      <c r="AC868" s="58"/>
      <c r="AD868" s="58"/>
      <c r="AE868" s="58"/>
      <c r="AF868" s="58"/>
      <c r="AG868" s="18"/>
    </row>
    <row r="869" ht="14.25" customHeight="1">
      <c r="A869" s="77"/>
      <c r="B869" s="77"/>
      <c r="C869" s="77"/>
      <c r="D869" s="18"/>
      <c r="E869" s="18"/>
      <c r="F869" s="77"/>
      <c r="G869" s="78"/>
      <c r="H869" s="7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58"/>
      <c r="AC869" s="58"/>
      <c r="AD869" s="58"/>
      <c r="AE869" s="58"/>
      <c r="AF869" s="58"/>
      <c r="AG869" s="18"/>
    </row>
    <row r="870" ht="14.25" customHeight="1">
      <c r="A870" s="77"/>
      <c r="B870" s="77"/>
      <c r="C870" s="77"/>
      <c r="D870" s="18"/>
      <c r="E870" s="18"/>
      <c r="F870" s="77"/>
      <c r="G870" s="78"/>
      <c r="H870" s="7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58"/>
      <c r="AC870" s="58"/>
      <c r="AD870" s="58"/>
      <c r="AE870" s="58"/>
      <c r="AF870" s="58"/>
      <c r="AG870" s="18"/>
    </row>
    <row r="871" ht="14.25" customHeight="1">
      <c r="A871" s="77"/>
      <c r="B871" s="77"/>
      <c r="C871" s="77"/>
      <c r="D871" s="18"/>
      <c r="E871" s="18"/>
      <c r="F871" s="77"/>
      <c r="G871" s="78"/>
      <c r="H871" s="7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58"/>
      <c r="AC871" s="58"/>
      <c r="AD871" s="58"/>
      <c r="AE871" s="58"/>
      <c r="AF871" s="58"/>
      <c r="AG871" s="18"/>
    </row>
    <row r="872" ht="14.25" customHeight="1">
      <c r="A872" s="77"/>
      <c r="B872" s="77"/>
      <c r="C872" s="77"/>
      <c r="D872" s="18"/>
      <c r="E872" s="18"/>
      <c r="F872" s="77"/>
      <c r="G872" s="78"/>
      <c r="H872" s="7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58"/>
      <c r="AC872" s="58"/>
      <c r="AD872" s="58"/>
      <c r="AE872" s="58"/>
      <c r="AF872" s="58"/>
      <c r="AG872" s="18"/>
    </row>
    <row r="873" ht="14.25" customHeight="1">
      <c r="A873" s="77"/>
      <c r="B873" s="77"/>
      <c r="C873" s="77"/>
      <c r="D873" s="18"/>
      <c r="E873" s="18"/>
      <c r="F873" s="77"/>
      <c r="G873" s="78"/>
      <c r="H873" s="7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58"/>
      <c r="AC873" s="58"/>
      <c r="AD873" s="58"/>
      <c r="AE873" s="58"/>
      <c r="AF873" s="58"/>
      <c r="AG873" s="18"/>
    </row>
    <row r="874" ht="14.25" customHeight="1">
      <c r="A874" s="77"/>
      <c r="B874" s="77"/>
      <c r="C874" s="77"/>
      <c r="D874" s="18"/>
      <c r="E874" s="18"/>
      <c r="F874" s="77"/>
      <c r="G874" s="78"/>
      <c r="H874" s="7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58"/>
      <c r="AC874" s="58"/>
      <c r="AD874" s="58"/>
      <c r="AE874" s="58"/>
      <c r="AF874" s="58"/>
      <c r="AG874" s="18"/>
    </row>
    <row r="875" ht="14.25" customHeight="1">
      <c r="A875" s="77"/>
      <c r="B875" s="77"/>
      <c r="C875" s="77"/>
      <c r="D875" s="18"/>
      <c r="E875" s="18"/>
      <c r="F875" s="77"/>
      <c r="G875" s="78"/>
      <c r="H875" s="7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58"/>
      <c r="AC875" s="58"/>
      <c r="AD875" s="58"/>
      <c r="AE875" s="58"/>
      <c r="AF875" s="58"/>
      <c r="AG875" s="18"/>
    </row>
    <row r="876" ht="14.25" customHeight="1">
      <c r="A876" s="77"/>
      <c r="B876" s="77"/>
      <c r="C876" s="77"/>
      <c r="D876" s="18"/>
      <c r="E876" s="18"/>
      <c r="F876" s="77"/>
      <c r="G876" s="78"/>
      <c r="H876" s="7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58"/>
      <c r="AC876" s="58"/>
      <c r="AD876" s="58"/>
      <c r="AE876" s="58"/>
      <c r="AF876" s="58"/>
      <c r="AG876" s="18"/>
    </row>
    <row r="877" ht="14.25" customHeight="1">
      <c r="A877" s="77"/>
      <c r="B877" s="77"/>
      <c r="C877" s="77"/>
      <c r="D877" s="18"/>
      <c r="E877" s="18"/>
      <c r="F877" s="77"/>
      <c r="G877" s="78"/>
      <c r="H877" s="7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58"/>
      <c r="AC877" s="58"/>
      <c r="AD877" s="58"/>
      <c r="AE877" s="58"/>
      <c r="AF877" s="58"/>
      <c r="AG877" s="18"/>
    </row>
    <row r="878" ht="14.25" customHeight="1">
      <c r="A878" s="77"/>
      <c r="B878" s="77"/>
      <c r="C878" s="77"/>
      <c r="D878" s="18"/>
      <c r="E878" s="18"/>
      <c r="F878" s="77"/>
      <c r="G878" s="78"/>
      <c r="H878" s="7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58"/>
      <c r="AC878" s="58"/>
      <c r="AD878" s="58"/>
      <c r="AE878" s="58"/>
      <c r="AF878" s="58"/>
      <c r="AG878" s="18"/>
    </row>
    <row r="879" ht="14.25" customHeight="1">
      <c r="A879" s="77"/>
      <c r="B879" s="77"/>
      <c r="C879" s="77"/>
      <c r="D879" s="18"/>
      <c r="E879" s="18"/>
      <c r="F879" s="77"/>
      <c r="G879" s="78"/>
      <c r="H879" s="7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58"/>
      <c r="AC879" s="58"/>
      <c r="AD879" s="58"/>
      <c r="AE879" s="58"/>
      <c r="AF879" s="58"/>
      <c r="AG879" s="18"/>
    </row>
    <row r="880" ht="14.25" customHeight="1">
      <c r="A880" s="77"/>
      <c r="B880" s="77"/>
      <c r="C880" s="77"/>
      <c r="D880" s="18"/>
      <c r="E880" s="18"/>
      <c r="F880" s="77"/>
      <c r="G880" s="78"/>
      <c r="H880" s="7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58"/>
      <c r="AC880" s="58"/>
      <c r="AD880" s="58"/>
      <c r="AE880" s="58"/>
      <c r="AF880" s="58"/>
      <c r="AG880" s="18"/>
    </row>
    <row r="881" ht="14.25" customHeight="1">
      <c r="A881" s="77"/>
      <c r="B881" s="77"/>
      <c r="C881" s="77"/>
      <c r="D881" s="18"/>
      <c r="E881" s="18"/>
      <c r="F881" s="77"/>
      <c r="G881" s="78"/>
      <c r="H881" s="7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58"/>
      <c r="AC881" s="58"/>
      <c r="AD881" s="58"/>
      <c r="AE881" s="58"/>
      <c r="AF881" s="58"/>
      <c r="AG881" s="18"/>
    </row>
    <row r="882" ht="14.25" customHeight="1">
      <c r="A882" s="77"/>
      <c r="B882" s="77"/>
      <c r="C882" s="77"/>
      <c r="D882" s="18"/>
      <c r="E882" s="18"/>
      <c r="F882" s="77"/>
      <c r="G882" s="78"/>
      <c r="H882" s="7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58"/>
      <c r="AC882" s="58"/>
      <c r="AD882" s="58"/>
      <c r="AE882" s="58"/>
      <c r="AF882" s="58"/>
      <c r="AG882" s="18"/>
    </row>
    <row r="883" ht="14.25" customHeight="1">
      <c r="A883" s="77"/>
      <c r="B883" s="77"/>
      <c r="C883" s="77"/>
      <c r="D883" s="18"/>
      <c r="E883" s="18"/>
      <c r="F883" s="77"/>
      <c r="G883" s="78"/>
      <c r="H883" s="7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58"/>
      <c r="AC883" s="58"/>
      <c r="AD883" s="58"/>
      <c r="AE883" s="58"/>
      <c r="AF883" s="58"/>
      <c r="AG883" s="18"/>
    </row>
    <row r="884" ht="14.25" customHeight="1">
      <c r="A884" s="77"/>
      <c r="B884" s="77"/>
      <c r="C884" s="77"/>
      <c r="D884" s="18"/>
      <c r="E884" s="18"/>
      <c r="F884" s="77"/>
      <c r="G884" s="78"/>
      <c r="H884" s="7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58"/>
      <c r="AC884" s="58"/>
      <c r="AD884" s="58"/>
      <c r="AE884" s="58"/>
      <c r="AF884" s="58"/>
      <c r="AG884" s="18"/>
    </row>
    <row r="885" ht="14.25" customHeight="1">
      <c r="A885" s="77"/>
      <c r="B885" s="77"/>
      <c r="C885" s="77"/>
      <c r="D885" s="18"/>
      <c r="E885" s="18"/>
      <c r="F885" s="77"/>
      <c r="G885" s="78"/>
      <c r="H885" s="7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58"/>
      <c r="AC885" s="58"/>
      <c r="AD885" s="58"/>
      <c r="AE885" s="58"/>
      <c r="AF885" s="58"/>
      <c r="AG885" s="18"/>
    </row>
    <row r="886" ht="14.25" customHeight="1">
      <c r="A886" s="77"/>
      <c r="B886" s="77"/>
      <c r="C886" s="77"/>
      <c r="D886" s="18"/>
      <c r="E886" s="18"/>
      <c r="F886" s="77"/>
      <c r="G886" s="78"/>
      <c r="H886" s="7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58"/>
      <c r="AC886" s="58"/>
      <c r="AD886" s="58"/>
      <c r="AE886" s="58"/>
      <c r="AF886" s="58"/>
      <c r="AG886" s="18"/>
    </row>
    <row r="887" ht="14.25" customHeight="1">
      <c r="A887" s="77"/>
      <c r="B887" s="77"/>
      <c r="C887" s="77"/>
      <c r="D887" s="18"/>
      <c r="E887" s="18"/>
      <c r="F887" s="77"/>
      <c r="G887" s="78"/>
      <c r="H887" s="7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58"/>
      <c r="AC887" s="58"/>
      <c r="AD887" s="58"/>
      <c r="AE887" s="58"/>
      <c r="AF887" s="58"/>
      <c r="AG887" s="18"/>
    </row>
    <row r="888" ht="14.25" customHeight="1">
      <c r="A888" s="77"/>
      <c r="B888" s="77"/>
      <c r="C888" s="77"/>
      <c r="D888" s="18"/>
      <c r="E888" s="18"/>
      <c r="F888" s="77"/>
      <c r="G888" s="78"/>
      <c r="H888" s="7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58"/>
      <c r="AC888" s="58"/>
      <c r="AD888" s="58"/>
      <c r="AE888" s="58"/>
      <c r="AF888" s="58"/>
      <c r="AG888" s="18"/>
    </row>
    <row r="889" ht="14.25" customHeight="1">
      <c r="A889" s="77"/>
      <c r="B889" s="77"/>
      <c r="C889" s="77"/>
      <c r="D889" s="18"/>
      <c r="E889" s="18"/>
      <c r="F889" s="77"/>
      <c r="G889" s="78"/>
      <c r="H889" s="7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58"/>
      <c r="AC889" s="58"/>
      <c r="AD889" s="58"/>
      <c r="AE889" s="58"/>
      <c r="AF889" s="58"/>
      <c r="AG889" s="18"/>
    </row>
    <row r="890" ht="14.25" customHeight="1">
      <c r="A890" s="77"/>
      <c r="B890" s="77"/>
      <c r="C890" s="77"/>
      <c r="D890" s="18"/>
      <c r="E890" s="18"/>
      <c r="F890" s="77"/>
      <c r="G890" s="78"/>
      <c r="H890" s="7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58"/>
      <c r="AC890" s="58"/>
      <c r="AD890" s="58"/>
      <c r="AE890" s="58"/>
      <c r="AF890" s="58"/>
      <c r="AG890" s="18"/>
    </row>
    <row r="891" ht="14.25" customHeight="1">
      <c r="A891" s="77"/>
      <c r="B891" s="77"/>
      <c r="C891" s="77"/>
      <c r="D891" s="18"/>
      <c r="E891" s="18"/>
      <c r="F891" s="77"/>
      <c r="G891" s="78"/>
      <c r="H891" s="7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58"/>
      <c r="AC891" s="58"/>
      <c r="AD891" s="58"/>
      <c r="AE891" s="58"/>
      <c r="AF891" s="58"/>
      <c r="AG891" s="18"/>
    </row>
    <row r="892" ht="14.25" customHeight="1">
      <c r="A892" s="77"/>
      <c r="B892" s="77"/>
      <c r="C892" s="77"/>
      <c r="D892" s="18"/>
      <c r="E892" s="18"/>
      <c r="F892" s="77"/>
      <c r="G892" s="78"/>
      <c r="H892" s="7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58"/>
      <c r="AC892" s="58"/>
      <c r="AD892" s="58"/>
      <c r="AE892" s="58"/>
      <c r="AF892" s="58"/>
      <c r="AG892" s="18"/>
    </row>
    <row r="893" ht="14.25" customHeight="1">
      <c r="A893" s="77"/>
      <c r="B893" s="77"/>
      <c r="C893" s="77"/>
      <c r="D893" s="18"/>
      <c r="E893" s="18"/>
      <c r="F893" s="77"/>
      <c r="G893" s="78"/>
      <c r="H893" s="7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58"/>
      <c r="AC893" s="58"/>
      <c r="AD893" s="58"/>
      <c r="AE893" s="58"/>
      <c r="AF893" s="58"/>
      <c r="AG893" s="18"/>
    </row>
    <row r="894" ht="14.25" customHeight="1">
      <c r="A894" s="77"/>
      <c r="B894" s="77"/>
      <c r="C894" s="77"/>
      <c r="D894" s="18"/>
      <c r="E894" s="18"/>
      <c r="F894" s="77"/>
      <c r="G894" s="78"/>
      <c r="H894" s="7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58"/>
      <c r="AC894" s="58"/>
      <c r="AD894" s="58"/>
      <c r="AE894" s="58"/>
      <c r="AF894" s="58"/>
      <c r="AG894" s="18"/>
    </row>
    <row r="895" ht="14.25" customHeight="1">
      <c r="A895" s="77"/>
      <c r="B895" s="77"/>
      <c r="C895" s="77"/>
      <c r="D895" s="18"/>
      <c r="E895" s="18"/>
      <c r="F895" s="77"/>
      <c r="G895" s="78"/>
      <c r="H895" s="7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58"/>
      <c r="AC895" s="58"/>
      <c r="AD895" s="58"/>
      <c r="AE895" s="58"/>
      <c r="AF895" s="58"/>
      <c r="AG895" s="18"/>
    </row>
    <row r="896" ht="14.25" customHeight="1">
      <c r="A896" s="77"/>
      <c r="B896" s="77"/>
      <c r="C896" s="77"/>
      <c r="D896" s="18"/>
      <c r="E896" s="18"/>
      <c r="F896" s="77"/>
      <c r="G896" s="78"/>
      <c r="H896" s="7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58"/>
      <c r="AC896" s="58"/>
      <c r="AD896" s="58"/>
      <c r="AE896" s="58"/>
      <c r="AF896" s="58"/>
      <c r="AG896" s="18"/>
    </row>
    <row r="897" ht="14.25" customHeight="1">
      <c r="A897" s="77"/>
      <c r="B897" s="77"/>
      <c r="C897" s="77"/>
      <c r="D897" s="18"/>
      <c r="E897" s="18"/>
      <c r="F897" s="77"/>
      <c r="G897" s="78"/>
      <c r="H897" s="7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58"/>
      <c r="AC897" s="58"/>
      <c r="AD897" s="58"/>
      <c r="AE897" s="58"/>
      <c r="AF897" s="58"/>
      <c r="AG897" s="18"/>
    </row>
    <row r="898" ht="14.25" customHeight="1">
      <c r="A898" s="77"/>
      <c r="B898" s="77"/>
      <c r="C898" s="77"/>
      <c r="D898" s="18"/>
      <c r="E898" s="18"/>
      <c r="F898" s="77"/>
      <c r="G898" s="78"/>
      <c r="H898" s="7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58"/>
      <c r="AC898" s="58"/>
      <c r="AD898" s="58"/>
      <c r="AE898" s="58"/>
      <c r="AF898" s="58"/>
      <c r="AG898" s="18"/>
    </row>
    <row r="899" ht="14.25" customHeight="1">
      <c r="A899" s="77"/>
      <c r="B899" s="77"/>
      <c r="C899" s="77"/>
      <c r="D899" s="18"/>
      <c r="E899" s="18"/>
      <c r="F899" s="77"/>
      <c r="G899" s="78"/>
      <c r="H899" s="7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58"/>
      <c r="AC899" s="58"/>
      <c r="AD899" s="58"/>
      <c r="AE899" s="58"/>
      <c r="AF899" s="58"/>
      <c r="AG899" s="18"/>
    </row>
    <row r="900" ht="14.25" customHeight="1">
      <c r="A900" s="77"/>
      <c r="B900" s="77"/>
      <c r="C900" s="77"/>
      <c r="D900" s="18"/>
      <c r="E900" s="18"/>
      <c r="F900" s="77"/>
      <c r="G900" s="78"/>
      <c r="H900" s="7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58"/>
      <c r="AC900" s="58"/>
      <c r="AD900" s="58"/>
      <c r="AE900" s="58"/>
      <c r="AF900" s="58"/>
      <c r="AG900" s="18"/>
    </row>
    <row r="901" ht="14.25" customHeight="1">
      <c r="A901" s="77"/>
      <c r="B901" s="77"/>
      <c r="C901" s="77"/>
      <c r="D901" s="18"/>
      <c r="E901" s="18"/>
      <c r="F901" s="77"/>
      <c r="G901" s="78"/>
      <c r="H901" s="7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58"/>
      <c r="AC901" s="58"/>
      <c r="AD901" s="58"/>
      <c r="AE901" s="58"/>
      <c r="AF901" s="58"/>
      <c r="AG901" s="18"/>
    </row>
    <row r="902" ht="14.25" customHeight="1">
      <c r="A902" s="77"/>
      <c r="B902" s="77"/>
      <c r="C902" s="77"/>
      <c r="D902" s="18"/>
      <c r="E902" s="18"/>
      <c r="F902" s="77"/>
      <c r="G902" s="78"/>
      <c r="H902" s="7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58"/>
      <c r="AC902" s="58"/>
      <c r="AD902" s="58"/>
      <c r="AE902" s="58"/>
      <c r="AF902" s="58"/>
      <c r="AG902" s="18"/>
    </row>
    <row r="903" ht="14.25" customHeight="1">
      <c r="A903" s="77"/>
      <c r="B903" s="77"/>
      <c r="C903" s="77"/>
      <c r="D903" s="18"/>
      <c r="E903" s="18"/>
      <c r="F903" s="77"/>
      <c r="G903" s="78"/>
      <c r="H903" s="7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58"/>
      <c r="AC903" s="58"/>
      <c r="AD903" s="58"/>
      <c r="AE903" s="58"/>
      <c r="AF903" s="58"/>
      <c r="AG903" s="18"/>
    </row>
    <row r="904" ht="14.25" customHeight="1">
      <c r="A904" s="77"/>
      <c r="B904" s="77"/>
      <c r="C904" s="77"/>
      <c r="D904" s="18"/>
      <c r="E904" s="18"/>
      <c r="F904" s="77"/>
      <c r="G904" s="78"/>
      <c r="H904" s="7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58"/>
      <c r="AC904" s="58"/>
      <c r="AD904" s="58"/>
      <c r="AE904" s="58"/>
      <c r="AF904" s="58"/>
      <c r="AG904" s="18"/>
    </row>
    <row r="905" ht="14.25" customHeight="1">
      <c r="A905" s="77"/>
      <c r="B905" s="77"/>
      <c r="C905" s="77"/>
      <c r="D905" s="18"/>
      <c r="E905" s="18"/>
      <c r="F905" s="77"/>
      <c r="G905" s="78"/>
      <c r="H905" s="7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58"/>
      <c r="AC905" s="58"/>
      <c r="AD905" s="58"/>
      <c r="AE905" s="58"/>
      <c r="AF905" s="58"/>
      <c r="AG905" s="18"/>
    </row>
    <row r="906" ht="14.25" customHeight="1">
      <c r="A906" s="77"/>
      <c r="B906" s="77"/>
      <c r="C906" s="77"/>
      <c r="D906" s="18"/>
      <c r="E906" s="18"/>
      <c r="F906" s="77"/>
      <c r="G906" s="78"/>
      <c r="H906" s="7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58"/>
      <c r="AC906" s="58"/>
      <c r="AD906" s="58"/>
      <c r="AE906" s="58"/>
      <c r="AF906" s="58"/>
      <c r="AG906" s="18"/>
    </row>
    <row r="907" ht="14.25" customHeight="1">
      <c r="A907" s="77"/>
      <c r="B907" s="77"/>
      <c r="C907" s="77"/>
      <c r="D907" s="18"/>
      <c r="E907" s="18"/>
      <c r="F907" s="77"/>
      <c r="G907" s="78"/>
      <c r="H907" s="7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58"/>
      <c r="AC907" s="58"/>
      <c r="AD907" s="58"/>
      <c r="AE907" s="58"/>
      <c r="AF907" s="58"/>
      <c r="AG907" s="18"/>
    </row>
    <row r="908" ht="14.25" customHeight="1">
      <c r="A908" s="77"/>
      <c r="B908" s="77"/>
      <c r="C908" s="77"/>
      <c r="D908" s="18"/>
      <c r="E908" s="18"/>
      <c r="F908" s="77"/>
      <c r="G908" s="78"/>
      <c r="H908" s="7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58"/>
      <c r="AC908" s="58"/>
      <c r="AD908" s="58"/>
      <c r="AE908" s="58"/>
      <c r="AF908" s="58"/>
      <c r="AG908" s="18"/>
    </row>
    <row r="909" ht="14.25" customHeight="1">
      <c r="A909" s="77"/>
      <c r="B909" s="77"/>
      <c r="C909" s="77"/>
      <c r="D909" s="18"/>
      <c r="E909" s="18"/>
      <c r="F909" s="77"/>
      <c r="G909" s="78"/>
      <c r="H909" s="7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58"/>
      <c r="AC909" s="58"/>
      <c r="AD909" s="58"/>
      <c r="AE909" s="58"/>
      <c r="AF909" s="58"/>
      <c r="AG909" s="18"/>
    </row>
    <row r="910" ht="14.25" customHeight="1">
      <c r="A910" s="77"/>
      <c r="B910" s="77"/>
      <c r="C910" s="77"/>
      <c r="D910" s="18"/>
      <c r="E910" s="18"/>
      <c r="F910" s="77"/>
      <c r="G910" s="78"/>
      <c r="H910" s="7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58"/>
      <c r="AC910" s="58"/>
      <c r="AD910" s="58"/>
      <c r="AE910" s="58"/>
      <c r="AF910" s="58"/>
      <c r="AG910" s="18"/>
    </row>
    <row r="911" ht="14.25" customHeight="1">
      <c r="A911" s="77"/>
      <c r="B911" s="77"/>
      <c r="C911" s="77"/>
      <c r="D911" s="18"/>
      <c r="E911" s="18"/>
      <c r="F911" s="77"/>
      <c r="G911" s="78"/>
      <c r="H911" s="7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58"/>
      <c r="AC911" s="58"/>
      <c r="AD911" s="58"/>
      <c r="AE911" s="58"/>
      <c r="AF911" s="58"/>
      <c r="AG911" s="18"/>
    </row>
    <row r="912" ht="14.25" customHeight="1">
      <c r="A912" s="77"/>
      <c r="B912" s="77"/>
      <c r="C912" s="77"/>
      <c r="D912" s="18"/>
      <c r="E912" s="18"/>
      <c r="F912" s="77"/>
      <c r="G912" s="78"/>
      <c r="H912" s="7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58"/>
      <c r="AC912" s="58"/>
      <c r="AD912" s="58"/>
      <c r="AE912" s="58"/>
      <c r="AF912" s="58"/>
      <c r="AG912" s="18"/>
    </row>
    <row r="913" ht="14.25" customHeight="1">
      <c r="A913" s="77"/>
      <c r="B913" s="77"/>
      <c r="C913" s="77"/>
      <c r="D913" s="18"/>
      <c r="E913" s="18"/>
      <c r="F913" s="77"/>
      <c r="G913" s="78"/>
      <c r="H913" s="7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58"/>
      <c r="AC913" s="58"/>
      <c r="AD913" s="58"/>
      <c r="AE913" s="58"/>
      <c r="AF913" s="58"/>
      <c r="AG913" s="18"/>
    </row>
    <row r="914" ht="14.25" customHeight="1">
      <c r="A914" s="77"/>
      <c r="B914" s="77"/>
      <c r="C914" s="77"/>
      <c r="D914" s="18"/>
      <c r="E914" s="18"/>
      <c r="F914" s="77"/>
      <c r="G914" s="78"/>
      <c r="H914" s="7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58"/>
      <c r="AC914" s="58"/>
      <c r="AD914" s="58"/>
      <c r="AE914" s="58"/>
      <c r="AF914" s="58"/>
      <c r="AG914" s="18"/>
    </row>
    <row r="915" ht="14.25" customHeight="1">
      <c r="A915" s="77"/>
      <c r="B915" s="77"/>
      <c r="C915" s="77"/>
      <c r="D915" s="18"/>
      <c r="E915" s="18"/>
      <c r="F915" s="77"/>
      <c r="G915" s="78"/>
      <c r="H915" s="7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58"/>
      <c r="AC915" s="58"/>
      <c r="AD915" s="58"/>
      <c r="AE915" s="58"/>
      <c r="AF915" s="58"/>
      <c r="AG915" s="18"/>
    </row>
    <row r="916" ht="14.25" customHeight="1">
      <c r="A916" s="77"/>
      <c r="B916" s="77"/>
      <c r="C916" s="77"/>
      <c r="D916" s="18"/>
      <c r="E916" s="18"/>
      <c r="F916" s="77"/>
      <c r="G916" s="78"/>
      <c r="H916" s="7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58"/>
      <c r="AC916" s="58"/>
      <c r="AD916" s="58"/>
      <c r="AE916" s="58"/>
      <c r="AF916" s="58"/>
      <c r="AG916" s="18"/>
    </row>
    <row r="917" ht="14.25" customHeight="1">
      <c r="A917" s="77"/>
      <c r="B917" s="77"/>
      <c r="C917" s="77"/>
      <c r="D917" s="18"/>
      <c r="E917" s="18"/>
      <c r="F917" s="77"/>
      <c r="G917" s="78"/>
      <c r="H917" s="7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58"/>
      <c r="AC917" s="58"/>
      <c r="AD917" s="58"/>
      <c r="AE917" s="58"/>
      <c r="AF917" s="58"/>
      <c r="AG917" s="18"/>
    </row>
    <row r="918" ht="14.25" customHeight="1">
      <c r="A918" s="77"/>
      <c r="B918" s="77"/>
      <c r="C918" s="77"/>
      <c r="D918" s="18"/>
      <c r="E918" s="18"/>
      <c r="F918" s="77"/>
      <c r="G918" s="78"/>
      <c r="H918" s="7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58"/>
      <c r="AC918" s="58"/>
      <c r="AD918" s="58"/>
      <c r="AE918" s="58"/>
      <c r="AF918" s="58"/>
      <c r="AG918" s="18"/>
    </row>
    <row r="919" ht="14.25" customHeight="1">
      <c r="A919" s="77"/>
      <c r="B919" s="77"/>
      <c r="C919" s="77"/>
      <c r="D919" s="18"/>
      <c r="E919" s="18"/>
      <c r="F919" s="77"/>
      <c r="G919" s="78"/>
      <c r="H919" s="7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58"/>
      <c r="AC919" s="58"/>
      <c r="AD919" s="58"/>
      <c r="AE919" s="58"/>
      <c r="AF919" s="58"/>
      <c r="AG919" s="18"/>
    </row>
    <row r="920" ht="14.25" customHeight="1">
      <c r="A920" s="77"/>
      <c r="B920" s="77"/>
      <c r="C920" s="77"/>
      <c r="D920" s="18"/>
      <c r="E920" s="18"/>
      <c r="F920" s="77"/>
      <c r="G920" s="78"/>
      <c r="H920" s="7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58"/>
      <c r="AC920" s="58"/>
      <c r="AD920" s="58"/>
      <c r="AE920" s="58"/>
      <c r="AF920" s="58"/>
      <c r="AG920" s="18"/>
    </row>
    <row r="921" ht="14.25" customHeight="1">
      <c r="A921" s="77"/>
      <c r="B921" s="77"/>
      <c r="C921" s="77"/>
      <c r="D921" s="18"/>
      <c r="E921" s="18"/>
      <c r="F921" s="77"/>
      <c r="G921" s="78"/>
      <c r="H921" s="7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58"/>
      <c r="AC921" s="58"/>
      <c r="AD921" s="58"/>
      <c r="AE921" s="58"/>
      <c r="AF921" s="58"/>
      <c r="AG921" s="18"/>
    </row>
    <row r="922" ht="14.25" customHeight="1">
      <c r="A922" s="77"/>
      <c r="B922" s="77"/>
      <c r="C922" s="77"/>
      <c r="D922" s="18"/>
      <c r="E922" s="18"/>
      <c r="F922" s="77"/>
      <c r="G922" s="78"/>
      <c r="H922" s="7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58"/>
      <c r="AC922" s="58"/>
      <c r="AD922" s="58"/>
      <c r="AE922" s="58"/>
      <c r="AF922" s="58"/>
      <c r="AG922" s="18"/>
    </row>
    <row r="923" ht="14.25" customHeight="1">
      <c r="A923" s="77"/>
      <c r="B923" s="77"/>
      <c r="C923" s="77"/>
      <c r="D923" s="18"/>
      <c r="E923" s="18"/>
      <c r="F923" s="77"/>
      <c r="G923" s="78"/>
      <c r="H923" s="7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58"/>
      <c r="AC923" s="58"/>
      <c r="AD923" s="58"/>
      <c r="AE923" s="58"/>
      <c r="AF923" s="58"/>
      <c r="AG923" s="18"/>
    </row>
    <row r="924" ht="14.25" customHeight="1">
      <c r="A924" s="77"/>
      <c r="B924" s="77"/>
      <c r="C924" s="77"/>
      <c r="D924" s="18"/>
      <c r="E924" s="18"/>
      <c r="F924" s="77"/>
      <c r="G924" s="78"/>
      <c r="H924" s="7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58"/>
      <c r="AC924" s="58"/>
      <c r="AD924" s="58"/>
      <c r="AE924" s="58"/>
      <c r="AF924" s="58"/>
      <c r="AG924" s="18"/>
    </row>
    <row r="925" ht="14.25" customHeight="1">
      <c r="A925" s="77"/>
      <c r="B925" s="77"/>
      <c r="C925" s="77"/>
      <c r="D925" s="18"/>
      <c r="E925" s="18"/>
      <c r="F925" s="77"/>
      <c r="G925" s="78"/>
      <c r="H925" s="7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58"/>
      <c r="AC925" s="58"/>
      <c r="AD925" s="58"/>
      <c r="AE925" s="58"/>
      <c r="AF925" s="58"/>
      <c r="AG925" s="18"/>
    </row>
    <row r="926" ht="14.25" customHeight="1">
      <c r="A926" s="77"/>
      <c r="B926" s="77"/>
      <c r="C926" s="77"/>
      <c r="D926" s="18"/>
      <c r="E926" s="18"/>
      <c r="F926" s="77"/>
      <c r="G926" s="78"/>
      <c r="H926" s="7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58"/>
      <c r="AC926" s="58"/>
      <c r="AD926" s="58"/>
      <c r="AE926" s="58"/>
      <c r="AF926" s="58"/>
      <c r="AG926" s="18"/>
    </row>
    <row r="927" ht="14.25" customHeight="1">
      <c r="A927" s="77"/>
      <c r="B927" s="77"/>
      <c r="C927" s="77"/>
      <c r="D927" s="18"/>
      <c r="E927" s="18"/>
      <c r="F927" s="77"/>
      <c r="G927" s="78"/>
      <c r="H927" s="7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58"/>
      <c r="AC927" s="58"/>
      <c r="AD927" s="58"/>
      <c r="AE927" s="58"/>
      <c r="AF927" s="58"/>
      <c r="AG927" s="18"/>
    </row>
    <row r="928" ht="14.25" customHeight="1">
      <c r="A928" s="77"/>
      <c r="B928" s="77"/>
      <c r="C928" s="77"/>
      <c r="D928" s="18"/>
      <c r="E928" s="18"/>
      <c r="F928" s="77"/>
      <c r="G928" s="78"/>
      <c r="H928" s="7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58"/>
      <c r="AC928" s="58"/>
      <c r="AD928" s="58"/>
      <c r="AE928" s="58"/>
      <c r="AF928" s="58"/>
      <c r="AG928" s="18"/>
    </row>
    <row r="929" ht="14.25" customHeight="1">
      <c r="A929" s="77"/>
      <c r="B929" s="77"/>
      <c r="C929" s="77"/>
      <c r="D929" s="18"/>
      <c r="E929" s="18"/>
      <c r="F929" s="77"/>
      <c r="G929" s="78"/>
      <c r="H929" s="7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58"/>
      <c r="AC929" s="58"/>
      <c r="AD929" s="58"/>
      <c r="AE929" s="58"/>
      <c r="AF929" s="58"/>
      <c r="AG929" s="18"/>
    </row>
    <row r="930" ht="14.25" customHeight="1">
      <c r="A930" s="77"/>
      <c r="B930" s="77"/>
      <c r="C930" s="77"/>
      <c r="D930" s="18"/>
      <c r="E930" s="18"/>
      <c r="F930" s="77"/>
      <c r="G930" s="78"/>
      <c r="H930" s="7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58"/>
      <c r="AC930" s="58"/>
      <c r="AD930" s="58"/>
      <c r="AE930" s="58"/>
      <c r="AF930" s="58"/>
      <c r="AG930" s="18"/>
    </row>
    <row r="931" ht="14.25" customHeight="1">
      <c r="A931" s="77"/>
      <c r="B931" s="77"/>
      <c r="C931" s="77"/>
      <c r="D931" s="18"/>
      <c r="E931" s="18"/>
      <c r="F931" s="77"/>
      <c r="G931" s="78"/>
      <c r="H931" s="7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58"/>
      <c r="AC931" s="58"/>
      <c r="AD931" s="58"/>
      <c r="AE931" s="58"/>
      <c r="AF931" s="58"/>
      <c r="AG931" s="18"/>
    </row>
    <row r="932" ht="14.25" customHeight="1">
      <c r="A932" s="77"/>
      <c r="B932" s="77"/>
      <c r="C932" s="77"/>
      <c r="D932" s="18"/>
      <c r="E932" s="18"/>
      <c r="F932" s="77"/>
      <c r="G932" s="78"/>
      <c r="H932" s="7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58"/>
      <c r="AC932" s="58"/>
      <c r="AD932" s="58"/>
      <c r="AE932" s="58"/>
      <c r="AF932" s="58"/>
      <c r="AG932" s="18"/>
    </row>
    <row r="933" ht="14.25" customHeight="1">
      <c r="A933" s="77"/>
      <c r="B933" s="77"/>
      <c r="C933" s="77"/>
      <c r="D933" s="18"/>
      <c r="E933" s="18"/>
      <c r="F933" s="77"/>
      <c r="G933" s="78"/>
      <c r="H933" s="7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58"/>
      <c r="AC933" s="58"/>
      <c r="AD933" s="58"/>
      <c r="AE933" s="58"/>
      <c r="AF933" s="58"/>
      <c r="AG933" s="18"/>
    </row>
    <row r="934" ht="14.25" customHeight="1">
      <c r="A934" s="77"/>
      <c r="B934" s="77"/>
      <c r="C934" s="77"/>
      <c r="D934" s="18"/>
      <c r="E934" s="18"/>
      <c r="F934" s="77"/>
      <c r="G934" s="78"/>
      <c r="H934" s="7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58"/>
      <c r="AC934" s="58"/>
      <c r="AD934" s="58"/>
      <c r="AE934" s="58"/>
      <c r="AF934" s="58"/>
      <c r="AG934" s="18"/>
    </row>
    <row r="935" ht="14.25" customHeight="1">
      <c r="A935" s="77"/>
      <c r="B935" s="77"/>
      <c r="C935" s="77"/>
      <c r="D935" s="18"/>
      <c r="E935" s="18"/>
      <c r="F935" s="77"/>
      <c r="G935" s="78"/>
      <c r="H935" s="7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58"/>
      <c r="AC935" s="58"/>
      <c r="AD935" s="58"/>
      <c r="AE935" s="58"/>
      <c r="AF935" s="58"/>
      <c r="AG935" s="18"/>
    </row>
    <row r="936" ht="14.25" customHeight="1">
      <c r="A936" s="77"/>
      <c r="B936" s="77"/>
      <c r="C936" s="77"/>
      <c r="D936" s="18"/>
      <c r="E936" s="18"/>
      <c r="F936" s="77"/>
      <c r="G936" s="78"/>
      <c r="H936" s="7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58"/>
      <c r="AC936" s="58"/>
      <c r="AD936" s="58"/>
      <c r="AE936" s="58"/>
      <c r="AF936" s="58"/>
      <c r="AG936" s="18"/>
    </row>
    <row r="937" ht="14.25" customHeight="1">
      <c r="A937" s="77"/>
      <c r="B937" s="77"/>
      <c r="C937" s="77"/>
      <c r="D937" s="18"/>
      <c r="E937" s="18"/>
      <c r="F937" s="77"/>
      <c r="G937" s="78"/>
      <c r="H937" s="7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58"/>
      <c r="AC937" s="58"/>
      <c r="AD937" s="58"/>
      <c r="AE937" s="58"/>
      <c r="AF937" s="58"/>
      <c r="AG937" s="18"/>
    </row>
    <row r="938" ht="14.25" customHeight="1">
      <c r="A938" s="77"/>
      <c r="B938" s="77"/>
      <c r="C938" s="77"/>
      <c r="D938" s="18"/>
      <c r="E938" s="18"/>
      <c r="F938" s="77"/>
      <c r="G938" s="78"/>
      <c r="H938" s="7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58"/>
      <c r="AC938" s="58"/>
      <c r="AD938" s="58"/>
      <c r="AE938" s="58"/>
      <c r="AF938" s="58"/>
      <c r="AG938" s="18"/>
    </row>
    <row r="939" ht="14.25" customHeight="1">
      <c r="A939" s="77"/>
      <c r="B939" s="77"/>
      <c r="C939" s="77"/>
      <c r="D939" s="18"/>
      <c r="E939" s="18"/>
      <c r="F939" s="77"/>
      <c r="G939" s="78"/>
      <c r="H939" s="7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58"/>
      <c r="AC939" s="58"/>
      <c r="AD939" s="58"/>
      <c r="AE939" s="58"/>
      <c r="AF939" s="58"/>
      <c r="AG939" s="18"/>
    </row>
    <row r="940" ht="14.25" customHeight="1">
      <c r="A940" s="77"/>
      <c r="B940" s="77"/>
      <c r="C940" s="77"/>
      <c r="D940" s="18"/>
      <c r="E940" s="18"/>
      <c r="F940" s="77"/>
      <c r="G940" s="78"/>
      <c r="H940" s="7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58"/>
      <c r="AC940" s="58"/>
      <c r="AD940" s="58"/>
      <c r="AE940" s="58"/>
      <c r="AF940" s="58"/>
      <c r="AG940" s="18"/>
    </row>
    <row r="941" ht="14.25" customHeight="1">
      <c r="A941" s="77"/>
      <c r="B941" s="77"/>
      <c r="C941" s="77"/>
      <c r="D941" s="18"/>
      <c r="E941" s="18"/>
      <c r="F941" s="77"/>
      <c r="G941" s="78"/>
      <c r="H941" s="7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58"/>
      <c r="AC941" s="58"/>
      <c r="AD941" s="58"/>
      <c r="AE941" s="58"/>
      <c r="AF941" s="58"/>
      <c r="AG941" s="18"/>
    </row>
    <row r="942" ht="14.25" customHeight="1">
      <c r="A942" s="77"/>
      <c r="B942" s="77"/>
      <c r="C942" s="77"/>
      <c r="D942" s="18"/>
      <c r="E942" s="18"/>
      <c r="F942" s="77"/>
      <c r="G942" s="78"/>
      <c r="H942" s="7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58"/>
      <c r="AC942" s="58"/>
      <c r="AD942" s="58"/>
      <c r="AE942" s="58"/>
      <c r="AF942" s="58"/>
      <c r="AG942" s="18"/>
    </row>
    <row r="943" ht="14.25" customHeight="1">
      <c r="A943" s="77"/>
      <c r="B943" s="77"/>
      <c r="C943" s="77"/>
      <c r="D943" s="18"/>
      <c r="E943" s="18"/>
      <c r="F943" s="77"/>
      <c r="G943" s="78"/>
      <c r="H943" s="7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58"/>
      <c r="AC943" s="58"/>
      <c r="AD943" s="58"/>
      <c r="AE943" s="58"/>
      <c r="AF943" s="58"/>
      <c r="AG943" s="18"/>
    </row>
    <row r="944" ht="14.25" customHeight="1">
      <c r="A944" s="77"/>
      <c r="B944" s="77"/>
      <c r="C944" s="77"/>
      <c r="D944" s="18"/>
      <c r="E944" s="18"/>
      <c r="F944" s="77"/>
      <c r="G944" s="78"/>
      <c r="H944" s="7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58"/>
      <c r="AC944" s="58"/>
      <c r="AD944" s="58"/>
      <c r="AE944" s="58"/>
      <c r="AF944" s="58"/>
      <c r="AG944" s="18"/>
    </row>
    <row r="945" ht="14.25" customHeight="1">
      <c r="A945" s="77"/>
      <c r="B945" s="77"/>
      <c r="C945" s="77"/>
      <c r="D945" s="18"/>
      <c r="E945" s="18"/>
      <c r="F945" s="77"/>
      <c r="G945" s="78"/>
      <c r="H945" s="7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58"/>
      <c r="AC945" s="58"/>
      <c r="AD945" s="58"/>
      <c r="AE945" s="58"/>
      <c r="AF945" s="58"/>
      <c r="AG945" s="18"/>
    </row>
    <row r="946" ht="14.25" customHeight="1">
      <c r="A946" s="77"/>
      <c r="B946" s="77"/>
      <c r="C946" s="77"/>
      <c r="D946" s="18"/>
      <c r="E946" s="18"/>
      <c r="F946" s="77"/>
      <c r="G946" s="78"/>
      <c r="H946" s="7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58"/>
      <c r="AC946" s="58"/>
      <c r="AD946" s="58"/>
      <c r="AE946" s="58"/>
      <c r="AF946" s="58"/>
      <c r="AG946" s="18"/>
    </row>
    <row r="947" ht="14.25" customHeight="1">
      <c r="A947" s="77"/>
      <c r="B947" s="77"/>
      <c r="C947" s="77"/>
      <c r="D947" s="18"/>
      <c r="E947" s="18"/>
      <c r="F947" s="77"/>
      <c r="G947" s="78"/>
      <c r="H947" s="7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58"/>
      <c r="AC947" s="58"/>
      <c r="AD947" s="58"/>
      <c r="AE947" s="58"/>
      <c r="AF947" s="58"/>
      <c r="AG947" s="18"/>
    </row>
    <row r="948" ht="14.25" customHeight="1">
      <c r="A948" s="77"/>
      <c r="B948" s="77"/>
      <c r="C948" s="77"/>
      <c r="D948" s="18"/>
      <c r="E948" s="18"/>
      <c r="F948" s="77"/>
      <c r="G948" s="78"/>
      <c r="H948" s="7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58"/>
      <c r="AC948" s="58"/>
      <c r="AD948" s="58"/>
      <c r="AE948" s="58"/>
      <c r="AF948" s="58"/>
      <c r="AG948" s="18"/>
    </row>
    <row r="949" ht="14.25" customHeight="1">
      <c r="A949" s="77"/>
      <c r="B949" s="77"/>
      <c r="C949" s="77"/>
      <c r="D949" s="18"/>
      <c r="E949" s="18"/>
      <c r="F949" s="77"/>
      <c r="G949" s="78"/>
      <c r="H949" s="7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58"/>
      <c r="AC949" s="58"/>
      <c r="AD949" s="58"/>
      <c r="AE949" s="58"/>
      <c r="AF949" s="58"/>
      <c r="AG949" s="18"/>
    </row>
    <row r="950" ht="14.25" customHeight="1">
      <c r="A950" s="77"/>
      <c r="B950" s="77"/>
      <c r="C950" s="77"/>
      <c r="D950" s="18"/>
      <c r="E950" s="18"/>
      <c r="F950" s="77"/>
      <c r="G950" s="78"/>
      <c r="H950" s="7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58"/>
      <c r="AC950" s="58"/>
      <c r="AD950" s="58"/>
      <c r="AE950" s="58"/>
      <c r="AF950" s="58"/>
      <c r="AG950" s="18"/>
    </row>
    <row r="951" ht="14.25" customHeight="1">
      <c r="A951" s="77"/>
      <c r="B951" s="77"/>
      <c r="C951" s="77"/>
      <c r="D951" s="18"/>
      <c r="E951" s="18"/>
      <c r="F951" s="77"/>
      <c r="G951" s="78"/>
      <c r="H951" s="7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58"/>
      <c r="AC951" s="58"/>
      <c r="AD951" s="58"/>
      <c r="AE951" s="58"/>
      <c r="AF951" s="58"/>
      <c r="AG951" s="18"/>
    </row>
    <row r="952" ht="14.25" customHeight="1">
      <c r="A952" s="77"/>
      <c r="B952" s="77"/>
      <c r="C952" s="77"/>
      <c r="D952" s="18"/>
      <c r="E952" s="18"/>
      <c r="F952" s="77"/>
      <c r="G952" s="78"/>
      <c r="H952" s="7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58"/>
      <c r="AC952" s="58"/>
      <c r="AD952" s="58"/>
      <c r="AE952" s="58"/>
      <c r="AF952" s="58"/>
      <c r="AG952" s="18"/>
    </row>
    <row r="953" ht="14.25" customHeight="1">
      <c r="A953" s="77"/>
      <c r="B953" s="77"/>
      <c r="C953" s="77"/>
      <c r="D953" s="18"/>
      <c r="E953" s="18"/>
      <c r="F953" s="77"/>
      <c r="G953" s="78"/>
      <c r="H953" s="7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58"/>
      <c r="AC953" s="58"/>
      <c r="AD953" s="58"/>
      <c r="AE953" s="58"/>
      <c r="AF953" s="58"/>
      <c r="AG953" s="18"/>
    </row>
    <row r="954" ht="14.25" customHeight="1">
      <c r="A954" s="77"/>
      <c r="B954" s="77"/>
      <c r="C954" s="77"/>
      <c r="D954" s="18"/>
      <c r="E954" s="18"/>
      <c r="F954" s="77"/>
      <c r="G954" s="78"/>
      <c r="H954" s="7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58"/>
      <c r="AC954" s="58"/>
      <c r="AD954" s="58"/>
      <c r="AE954" s="58"/>
      <c r="AF954" s="58"/>
      <c r="AG954" s="18"/>
    </row>
    <row r="955" ht="14.25" customHeight="1">
      <c r="A955" s="77"/>
      <c r="B955" s="77"/>
      <c r="C955" s="77"/>
      <c r="D955" s="18"/>
      <c r="E955" s="18"/>
      <c r="F955" s="77"/>
      <c r="G955" s="78"/>
      <c r="H955" s="7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58"/>
      <c r="AC955" s="58"/>
      <c r="AD955" s="58"/>
      <c r="AE955" s="58"/>
      <c r="AF955" s="58"/>
      <c r="AG955" s="18"/>
    </row>
    <row r="956" ht="14.25" customHeight="1">
      <c r="A956" s="77"/>
      <c r="B956" s="77"/>
      <c r="C956" s="77"/>
      <c r="D956" s="18"/>
      <c r="E956" s="18"/>
      <c r="F956" s="77"/>
      <c r="G956" s="78"/>
      <c r="H956" s="7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58"/>
      <c r="AC956" s="58"/>
      <c r="AD956" s="58"/>
      <c r="AE956" s="58"/>
      <c r="AF956" s="58"/>
      <c r="AG956" s="18"/>
    </row>
    <row r="957" ht="14.25" customHeight="1">
      <c r="A957" s="77"/>
      <c r="B957" s="77"/>
      <c r="C957" s="77"/>
      <c r="D957" s="18"/>
      <c r="E957" s="18"/>
      <c r="F957" s="77"/>
      <c r="G957" s="78"/>
      <c r="H957" s="7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58"/>
      <c r="AC957" s="58"/>
      <c r="AD957" s="58"/>
      <c r="AE957" s="58"/>
      <c r="AF957" s="58"/>
      <c r="AG957" s="18"/>
    </row>
    <row r="958" ht="14.25" customHeight="1">
      <c r="A958" s="77"/>
      <c r="B958" s="77"/>
      <c r="C958" s="77"/>
      <c r="D958" s="18"/>
      <c r="E958" s="18"/>
      <c r="F958" s="77"/>
      <c r="G958" s="78"/>
      <c r="H958" s="7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58"/>
      <c r="AC958" s="58"/>
      <c r="AD958" s="58"/>
      <c r="AE958" s="58"/>
      <c r="AF958" s="58"/>
      <c r="AG958" s="18"/>
    </row>
    <row r="959" ht="14.25" customHeight="1">
      <c r="A959" s="77"/>
      <c r="B959" s="77"/>
      <c r="C959" s="77"/>
      <c r="D959" s="18"/>
      <c r="E959" s="18"/>
      <c r="F959" s="77"/>
      <c r="G959" s="78"/>
      <c r="H959" s="7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58"/>
      <c r="AC959" s="58"/>
      <c r="AD959" s="58"/>
      <c r="AE959" s="58"/>
      <c r="AF959" s="58"/>
      <c r="AG959" s="18"/>
    </row>
    <row r="960" ht="14.25" customHeight="1">
      <c r="A960" s="77"/>
      <c r="B960" s="77"/>
      <c r="C960" s="77"/>
      <c r="D960" s="18"/>
      <c r="E960" s="18"/>
      <c r="F960" s="77"/>
      <c r="G960" s="78"/>
      <c r="H960" s="7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58"/>
      <c r="AC960" s="58"/>
      <c r="AD960" s="58"/>
      <c r="AE960" s="58"/>
      <c r="AF960" s="58"/>
      <c r="AG960" s="18"/>
    </row>
    <row r="961" ht="14.25" customHeight="1">
      <c r="A961" s="77"/>
      <c r="B961" s="77"/>
      <c r="C961" s="77"/>
      <c r="D961" s="18"/>
      <c r="E961" s="18"/>
      <c r="F961" s="77"/>
      <c r="G961" s="78"/>
      <c r="H961" s="7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58"/>
      <c r="AC961" s="58"/>
      <c r="AD961" s="58"/>
      <c r="AE961" s="58"/>
      <c r="AF961" s="58"/>
      <c r="AG961" s="18"/>
    </row>
    <row r="962" ht="14.25" customHeight="1">
      <c r="A962" s="77"/>
      <c r="B962" s="77"/>
      <c r="C962" s="77"/>
      <c r="D962" s="18"/>
      <c r="E962" s="18"/>
      <c r="F962" s="77"/>
      <c r="G962" s="78"/>
      <c r="H962" s="7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58"/>
      <c r="AC962" s="58"/>
      <c r="AD962" s="58"/>
      <c r="AE962" s="58"/>
      <c r="AF962" s="58"/>
      <c r="AG962" s="18"/>
    </row>
    <row r="963" ht="14.25" customHeight="1">
      <c r="A963" s="77"/>
      <c r="B963" s="77"/>
      <c r="C963" s="77"/>
      <c r="D963" s="18"/>
      <c r="E963" s="18"/>
      <c r="F963" s="77"/>
      <c r="G963" s="78"/>
      <c r="H963" s="7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58"/>
      <c r="AC963" s="58"/>
      <c r="AD963" s="58"/>
      <c r="AE963" s="58"/>
      <c r="AF963" s="58"/>
      <c r="AG963" s="18"/>
    </row>
    <row r="964" ht="14.25" customHeight="1">
      <c r="A964" s="77"/>
      <c r="B964" s="77"/>
      <c r="C964" s="77"/>
      <c r="D964" s="18"/>
      <c r="E964" s="18"/>
      <c r="F964" s="77"/>
      <c r="G964" s="78"/>
      <c r="H964" s="7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58"/>
      <c r="AC964" s="58"/>
      <c r="AD964" s="58"/>
      <c r="AE964" s="58"/>
      <c r="AF964" s="58"/>
      <c r="AG964" s="18"/>
    </row>
    <row r="965" ht="14.25" customHeight="1">
      <c r="A965" s="77"/>
      <c r="B965" s="77"/>
      <c r="C965" s="77"/>
      <c r="D965" s="18"/>
      <c r="E965" s="18"/>
      <c r="F965" s="77"/>
      <c r="G965" s="78"/>
      <c r="H965" s="7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58"/>
      <c r="AC965" s="58"/>
      <c r="AD965" s="58"/>
      <c r="AE965" s="58"/>
      <c r="AF965" s="58"/>
      <c r="AG965" s="18"/>
    </row>
    <row r="966" ht="14.25" customHeight="1">
      <c r="A966" s="77"/>
      <c r="B966" s="77"/>
      <c r="C966" s="77"/>
      <c r="D966" s="18"/>
      <c r="E966" s="18"/>
      <c r="F966" s="77"/>
      <c r="G966" s="78"/>
      <c r="H966" s="7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58"/>
      <c r="AC966" s="58"/>
      <c r="AD966" s="58"/>
      <c r="AE966" s="58"/>
      <c r="AF966" s="58"/>
      <c r="AG966" s="18"/>
    </row>
    <row r="967" ht="14.25" customHeight="1">
      <c r="A967" s="77"/>
      <c r="B967" s="77"/>
      <c r="C967" s="77"/>
      <c r="D967" s="18"/>
      <c r="E967" s="18"/>
      <c r="F967" s="77"/>
      <c r="G967" s="78"/>
      <c r="H967" s="7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58"/>
      <c r="AC967" s="58"/>
      <c r="AD967" s="58"/>
      <c r="AE967" s="58"/>
      <c r="AF967" s="58"/>
      <c r="AG967" s="18"/>
    </row>
    <row r="968" ht="14.25" customHeight="1">
      <c r="A968" s="77"/>
      <c r="B968" s="77"/>
      <c r="C968" s="77"/>
      <c r="D968" s="18"/>
      <c r="E968" s="18"/>
      <c r="F968" s="77"/>
      <c r="G968" s="78"/>
      <c r="H968" s="7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58"/>
      <c r="AC968" s="58"/>
      <c r="AD968" s="58"/>
      <c r="AE968" s="58"/>
      <c r="AF968" s="58"/>
      <c r="AG968" s="18"/>
    </row>
    <row r="969" ht="14.25" customHeight="1">
      <c r="A969" s="77"/>
      <c r="B969" s="77"/>
      <c r="C969" s="77"/>
      <c r="D969" s="18"/>
      <c r="E969" s="18"/>
      <c r="F969" s="77"/>
      <c r="G969" s="78"/>
      <c r="H969" s="7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58"/>
      <c r="AC969" s="58"/>
      <c r="AD969" s="58"/>
      <c r="AE969" s="58"/>
      <c r="AF969" s="58"/>
      <c r="AG969" s="18"/>
    </row>
    <row r="970" ht="14.25" customHeight="1">
      <c r="A970" s="77"/>
      <c r="B970" s="77"/>
      <c r="C970" s="77"/>
      <c r="D970" s="18"/>
      <c r="E970" s="18"/>
      <c r="F970" s="77"/>
      <c r="G970" s="78"/>
      <c r="H970" s="7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58"/>
      <c r="AC970" s="58"/>
      <c r="AD970" s="58"/>
      <c r="AE970" s="58"/>
      <c r="AF970" s="58"/>
      <c r="AG970" s="18"/>
    </row>
    <row r="971" ht="14.25" customHeight="1">
      <c r="A971" s="77"/>
      <c r="B971" s="77"/>
      <c r="C971" s="77"/>
      <c r="D971" s="18"/>
      <c r="E971" s="18"/>
      <c r="F971" s="77"/>
      <c r="G971" s="78"/>
      <c r="H971" s="7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58"/>
      <c r="AC971" s="58"/>
      <c r="AD971" s="58"/>
      <c r="AE971" s="58"/>
      <c r="AF971" s="58"/>
      <c r="AG971" s="18"/>
    </row>
    <row r="972" ht="14.25" customHeight="1">
      <c r="A972" s="77"/>
      <c r="B972" s="77"/>
      <c r="C972" s="77"/>
      <c r="D972" s="18"/>
      <c r="E972" s="18"/>
      <c r="F972" s="77"/>
      <c r="G972" s="78"/>
      <c r="H972" s="7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58"/>
      <c r="AC972" s="58"/>
      <c r="AD972" s="58"/>
      <c r="AE972" s="58"/>
      <c r="AF972" s="58"/>
      <c r="AG972" s="18"/>
    </row>
    <row r="973" ht="14.25" customHeight="1">
      <c r="A973" s="77"/>
      <c r="B973" s="77"/>
      <c r="C973" s="77"/>
      <c r="D973" s="18"/>
      <c r="E973" s="18"/>
      <c r="F973" s="77"/>
      <c r="G973" s="78"/>
      <c r="H973" s="7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58"/>
      <c r="AC973" s="58"/>
      <c r="AD973" s="58"/>
      <c r="AE973" s="58"/>
      <c r="AF973" s="58"/>
      <c r="AG973" s="18"/>
    </row>
    <row r="974" ht="14.25" customHeight="1">
      <c r="A974" s="77"/>
      <c r="B974" s="77"/>
      <c r="C974" s="77"/>
      <c r="D974" s="18"/>
      <c r="E974" s="18"/>
      <c r="F974" s="77"/>
      <c r="G974" s="78"/>
      <c r="H974" s="7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58"/>
      <c r="AC974" s="58"/>
      <c r="AD974" s="58"/>
      <c r="AE974" s="58"/>
      <c r="AF974" s="58"/>
      <c r="AG974" s="18"/>
    </row>
    <row r="975" ht="14.25" customHeight="1">
      <c r="A975" s="77"/>
      <c r="B975" s="77"/>
      <c r="C975" s="77"/>
      <c r="D975" s="18"/>
      <c r="E975" s="18"/>
      <c r="F975" s="77"/>
      <c r="G975" s="78"/>
      <c r="H975" s="7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58"/>
      <c r="AC975" s="58"/>
      <c r="AD975" s="58"/>
      <c r="AE975" s="58"/>
      <c r="AF975" s="58"/>
      <c r="AG975" s="18"/>
    </row>
    <row r="976" ht="14.25" customHeight="1">
      <c r="A976" s="77"/>
      <c r="B976" s="77"/>
      <c r="C976" s="77"/>
      <c r="D976" s="18"/>
      <c r="E976" s="18"/>
      <c r="F976" s="77"/>
      <c r="G976" s="78"/>
      <c r="H976" s="7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58"/>
      <c r="AC976" s="58"/>
      <c r="AD976" s="58"/>
      <c r="AE976" s="58"/>
      <c r="AF976" s="58"/>
      <c r="AG976" s="18"/>
    </row>
    <row r="977" ht="14.25" customHeight="1">
      <c r="A977" s="77"/>
      <c r="B977" s="77"/>
      <c r="C977" s="77"/>
      <c r="D977" s="18"/>
      <c r="E977" s="18"/>
      <c r="F977" s="77"/>
      <c r="G977" s="78"/>
      <c r="H977" s="7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58"/>
      <c r="AC977" s="58"/>
      <c r="AD977" s="58"/>
      <c r="AE977" s="58"/>
      <c r="AF977" s="58"/>
      <c r="AG977" s="18"/>
    </row>
    <row r="978" ht="14.25" customHeight="1">
      <c r="A978" s="77"/>
      <c r="B978" s="77"/>
      <c r="C978" s="77"/>
      <c r="D978" s="18"/>
      <c r="E978" s="18"/>
      <c r="F978" s="77"/>
      <c r="G978" s="78"/>
      <c r="H978" s="7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58"/>
      <c r="AC978" s="58"/>
      <c r="AD978" s="58"/>
      <c r="AE978" s="58"/>
      <c r="AF978" s="58"/>
      <c r="AG978" s="18"/>
    </row>
    <row r="979" ht="14.25" customHeight="1">
      <c r="A979" s="77"/>
      <c r="B979" s="77"/>
      <c r="C979" s="77"/>
      <c r="D979" s="18"/>
      <c r="E979" s="18"/>
      <c r="F979" s="77"/>
      <c r="G979" s="78"/>
      <c r="H979" s="7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58"/>
      <c r="AC979" s="58"/>
      <c r="AD979" s="58"/>
      <c r="AE979" s="58"/>
      <c r="AF979" s="58"/>
      <c r="AG979" s="18"/>
    </row>
    <row r="980" ht="14.25" customHeight="1">
      <c r="A980" s="77"/>
      <c r="B980" s="77"/>
      <c r="C980" s="77"/>
      <c r="D980" s="18"/>
      <c r="E980" s="18"/>
      <c r="F980" s="77"/>
      <c r="G980" s="78"/>
      <c r="H980" s="7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58"/>
      <c r="AC980" s="58"/>
      <c r="AD980" s="58"/>
      <c r="AE980" s="58"/>
      <c r="AF980" s="58"/>
      <c r="AG980" s="18"/>
    </row>
    <row r="981" ht="14.25" customHeight="1">
      <c r="A981" s="77"/>
      <c r="B981" s="77"/>
      <c r="C981" s="77"/>
      <c r="D981" s="18"/>
      <c r="E981" s="18"/>
      <c r="F981" s="77"/>
      <c r="G981" s="78"/>
      <c r="H981" s="7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58"/>
      <c r="AC981" s="58"/>
      <c r="AD981" s="58"/>
      <c r="AE981" s="58"/>
      <c r="AF981" s="58"/>
      <c r="AG981" s="18"/>
    </row>
    <row r="982" ht="14.25" customHeight="1">
      <c r="A982" s="77"/>
      <c r="B982" s="77"/>
      <c r="C982" s="77"/>
      <c r="D982" s="18"/>
      <c r="E982" s="18"/>
      <c r="F982" s="77"/>
      <c r="G982" s="78"/>
      <c r="H982" s="7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58"/>
      <c r="AC982" s="58"/>
      <c r="AD982" s="58"/>
      <c r="AE982" s="58"/>
      <c r="AF982" s="58"/>
      <c r="AG982" s="18"/>
    </row>
    <row r="983" ht="14.25" customHeight="1">
      <c r="A983" s="77"/>
      <c r="B983" s="77"/>
      <c r="C983" s="77"/>
      <c r="D983" s="18"/>
      <c r="E983" s="18"/>
      <c r="F983" s="77"/>
      <c r="G983" s="78"/>
      <c r="H983" s="7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58"/>
      <c r="AC983" s="58"/>
      <c r="AD983" s="58"/>
      <c r="AE983" s="58"/>
      <c r="AF983" s="58"/>
      <c r="AG983" s="18"/>
    </row>
    <row r="984" ht="14.25" customHeight="1">
      <c r="A984" s="77"/>
      <c r="B984" s="77"/>
      <c r="C984" s="77"/>
      <c r="D984" s="18"/>
      <c r="E984" s="18"/>
      <c r="F984" s="77"/>
      <c r="G984" s="78"/>
      <c r="H984" s="7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58"/>
      <c r="AC984" s="58"/>
      <c r="AD984" s="58"/>
      <c r="AE984" s="58"/>
      <c r="AF984" s="58"/>
      <c r="AG984" s="18"/>
    </row>
    <row r="985" ht="14.25" customHeight="1">
      <c r="A985" s="77"/>
      <c r="B985" s="77"/>
      <c r="C985" s="77"/>
      <c r="D985" s="18"/>
      <c r="E985" s="18"/>
      <c r="F985" s="77"/>
      <c r="G985" s="78"/>
      <c r="H985" s="7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58"/>
      <c r="AC985" s="58"/>
      <c r="AD985" s="58"/>
      <c r="AE985" s="58"/>
      <c r="AF985" s="58"/>
      <c r="AG985" s="18"/>
    </row>
    <row r="986" ht="14.25" customHeight="1">
      <c r="A986" s="77"/>
      <c r="B986" s="77"/>
      <c r="C986" s="77"/>
      <c r="D986" s="18"/>
      <c r="E986" s="18"/>
      <c r="F986" s="77"/>
      <c r="G986" s="78"/>
      <c r="H986" s="7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58"/>
      <c r="AC986" s="58"/>
      <c r="AD986" s="58"/>
      <c r="AE986" s="58"/>
      <c r="AF986" s="58"/>
      <c r="AG986" s="18"/>
    </row>
    <row r="987" ht="14.25" customHeight="1">
      <c r="A987" s="77"/>
      <c r="B987" s="77"/>
      <c r="C987" s="77"/>
      <c r="D987" s="18"/>
      <c r="E987" s="18"/>
      <c r="F987" s="77"/>
      <c r="G987" s="78"/>
      <c r="H987" s="7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58"/>
      <c r="AC987" s="58"/>
      <c r="AD987" s="58"/>
      <c r="AE987" s="58"/>
      <c r="AF987" s="58"/>
      <c r="AG987" s="18"/>
    </row>
    <row r="988" ht="14.25" customHeight="1">
      <c r="A988" s="77"/>
      <c r="B988" s="77"/>
      <c r="C988" s="77"/>
      <c r="D988" s="18"/>
      <c r="E988" s="18"/>
      <c r="F988" s="77"/>
      <c r="G988" s="78"/>
      <c r="H988" s="7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58"/>
      <c r="AC988" s="58"/>
      <c r="AD988" s="58"/>
      <c r="AE988" s="58"/>
      <c r="AF988" s="58"/>
      <c r="AG988" s="18"/>
    </row>
    <row r="989" ht="14.25" customHeight="1">
      <c r="A989" s="77"/>
      <c r="B989" s="77"/>
      <c r="C989" s="77"/>
      <c r="D989" s="18"/>
      <c r="E989" s="18"/>
      <c r="F989" s="77"/>
      <c r="G989" s="78"/>
      <c r="H989" s="7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58"/>
      <c r="AC989" s="58"/>
      <c r="AD989" s="58"/>
      <c r="AE989" s="58"/>
      <c r="AF989" s="58"/>
      <c r="AG989" s="18"/>
    </row>
    <row r="990" ht="14.25" customHeight="1">
      <c r="A990" s="77"/>
      <c r="B990" s="77"/>
      <c r="C990" s="77"/>
      <c r="D990" s="18"/>
      <c r="E990" s="18"/>
      <c r="F990" s="77"/>
      <c r="G990" s="78"/>
      <c r="H990" s="7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58"/>
      <c r="AC990" s="58"/>
      <c r="AD990" s="58"/>
      <c r="AE990" s="58"/>
      <c r="AF990" s="58"/>
      <c r="AG990" s="18"/>
    </row>
    <row r="991" ht="14.25" customHeight="1">
      <c r="A991" s="77"/>
      <c r="B991" s="77"/>
      <c r="C991" s="77"/>
      <c r="D991" s="18"/>
      <c r="E991" s="18"/>
      <c r="F991" s="77"/>
      <c r="G991" s="78"/>
      <c r="H991" s="7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58"/>
      <c r="AC991" s="58"/>
      <c r="AD991" s="58"/>
      <c r="AE991" s="58"/>
      <c r="AF991" s="58"/>
      <c r="AG991" s="18"/>
    </row>
    <row r="992" ht="14.25" customHeight="1">
      <c r="A992" s="77"/>
      <c r="B992" s="77"/>
      <c r="C992" s="77"/>
      <c r="D992" s="18"/>
      <c r="E992" s="18"/>
      <c r="F992" s="77"/>
      <c r="G992" s="78"/>
      <c r="H992" s="7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58"/>
      <c r="AC992" s="58"/>
      <c r="AD992" s="58"/>
      <c r="AE992" s="58"/>
      <c r="AF992" s="58"/>
      <c r="AG992" s="18"/>
    </row>
    <row r="993" ht="14.25" customHeight="1">
      <c r="A993" s="77"/>
      <c r="B993" s="77"/>
      <c r="C993" s="77"/>
      <c r="D993" s="18"/>
      <c r="E993" s="18"/>
      <c r="F993" s="77"/>
      <c r="G993" s="78"/>
      <c r="H993" s="7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58"/>
      <c r="AC993" s="58"/>
      <c r="AD993" s="58"/>
      <c r="AE993" s="58"/>
      <c r="AF993" s="58"/>
      <c r="AG993" s="18"/>
    </row>
    <row r="994" ht="14.25" customHeight="1">
      <c r="A994" s="77"/>
      <c r="B994" s="77"/>
      <c r="C994" s="77"/>
      <c r="D994" s="18"/>
      <c r="E994" s="18"/>
      <c r="F994" s="77"/>
      <c r="G994" s="78"/>
      <c r="H994" s="7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58"/>
      <c r="AC994" s="58"/>
      <c r="AD994" s="58"/>
      <c r="AE994" s="58"/>
      <c r="AF994" s="58"/>
      <c r="AG994" s="18"/>
    </row>
    <row r="995" ht="14.25" customHeight="1">
      <c r="A995" s="77"/>
      <c r="B995" s="77"/>
      <c r="C995" s="77"/>
      <c r="D995" s="18"/>
      <c r="E995" s="18"/>
      <c r="F995" s="77"/>
      <c r="G995" s="78"/>
      <c r="H995" s="7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58"/>
      <c r="AC995" s="58"/>
      <c r="AD995" s="58"/>
      <c r="AE995" s="58"/>
      <c r="AF995" s="58"/>
      <c r="AG995" s="18"/>
    </row>
    <row r="996" ht="14.25" customHeight="1">
      <c r="A996" s="77"/>
      <c r="B996" s="77"/>
      <c r="C996" s="77"/>
      <c r="D996" s="18"/>
      <c r="E996" s="18"/>
      <c r="F996" s="77"/>
      <c r="G996" s="78"/>
      <c r="H996" s="7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58"/>
      <c r="AC996" s="58"/>
      <c r="AD996" s="58"/>
      <c r="AE996" s="58"/>
      <c r="AF996" s="58"/>
      <c r="AG996" s="18"/>
    </row>
    <row r="997" ht="14.25" customHeight="1">
      <c r="A997" s="77"/>
      <c r="B997" s="77"/>
      <c r="C997" s="77"/>
      <c r="D997" s="18"/>
      <c r="E997" s="18"/>
      <c r="F997" s="77"/>
      <c r="G997" s="78"/>
      <c r="H997" s="7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58"/>
      <c r="AC997" s="58"/>
      <c r="AD997" s="58"/>
      <c r="AE997" s="58"/>
      <c r="AF997" s="58"/>
      <c r="AG997" s="18"/>
    </row>
    <row r="998" ht="14.25" customHeight="1">
      <c r="A998" s="77"/>
      <c r="B998" s="77"/>
      <c r="C998" s="77"/>
      <c r="D998" s="18"/>
      <c r="E998" s="18"/>
      <c r="F998" s="77"/>
      <c r="G998" s="78"/>
      <c r="H998" s="7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58"/>
      <c r="AC998" s="58"/>
      <c r="AD998" s="58"/>
      <c r="AE998" s="58"/>
      <c r="AF998" s="58"/>
      <c r="AG998" s="18"/>
    </row>
    <row r="999" ht="14.25" customHeight="1">
      <c r="A999" s="77"/>
      <c r="B999" s="77"/>
      <c r="C999" s="77"/>
      <c r="D999" s="18"/>
      <c r="E999" s="18"/>
      <c r="F999" s="77"/>
      <c r="G999" s="78"/>
      <c r="H999" s="7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58"/>
      <c r="AC999" s="58"/>
      <c r="AD999" s="58"/>
      <c r="AE999" s="58"/>
      <c r="AF999" s="58"/>
      <c r="AG999" s="18"/>
    </row>
    <row r="1000" ht="14.25" customHeight="1">
      <c r="A1000" s="77"/>
      <c r="B1000" s="77"/>
      <c r="C1000" s="77"/>
      <c r="D1000" s="18"/>
      <c r="E1000" s="18"/>
      <c r="F1000" s="77"/>
      <c r="G1000" s="78"/>
      <c r="H1000" s="7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58"/>
      <c r="AC1000" s="58"/>
      <c r="AD1000" s="58"/>
      <c r="AE1000" s="58"/>
      <c r="AF1000" s="58"/>
      <c r="AG1000" s="18"/>
    </row>
  </sheetData>
  <autoFilter ref="$A$1:$AF$384">
    <filterColumn colId="13">
      <filters>
        <filter val="China"/>
      </filters>
    </filterColumn>
  </autoFilter>
  <dataValidations>
    <dataValidation type="custom" allowBlank="1" showInputMessage="1" showErrorMessage="1" promptTitle="Global Trade Item Number (GTIN)" prompt="Support GTIN-12, GTIN-13, GTIN-14 format._x000a__x000a_1. For new - auto generate: leave this field empty_x000a__x000a_2. For new - manual input: provide the whole GTIN with adding a &quot;C&quot; at the end of the last digit (check digit)_x000a__x000a_3. For updat" sqref="Q199:Q264 Q281:Q284 Q286:Q295 Q313:Q337">
      <formula1>AND(GTE(LEN(Q199),MIN((12),(14))),LTE(LEN(Q199),MAX((12),(14))))</formula1>
    </dataValidation>
    <dataValidation type="decimal" operator="greaterThan" allowBlank="1" showInputMessage="1" showErrorMessage="1" prompt="Product Net Content - (2 decimal places)_x000a__x000a_If the related product does not have product net content, you may input &quot;1&quot; and &quot;Each&quot; for the unit." sqref="O186:O193 O199:O272 O282 O328:O337">
      <formula1>0.0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9.43"/>
    <col customWidth="1" min="3" max="3" width="5.14"/>
    <col customWidth="1" min="4" max="4" width="5.43"/>
    <col customWidth="1" min="5" max="5" width="17.43"/>
    <col customWidth="1" min="6" max="6" width="35.0"/>
    <col customWidth="1" min="7" max="7" width="4.43"/>
    <col customWidth="1" min="8" max="8" width="9.43"/>
    <col customWidth="1" min="9" max="9" width="7.14"/>
    <col customWidth="1" min="10" max="10" width="20.43"/>
    <col customWidth="1" min="11" max="11" width="25.43"/>
    <col customWidth="1" min="12" max="12" width="27.43"/>
    <col customWidth="1" min="13" max="13" width="12.43"/>
    <col customWidth="1" min="14" max="14" width="26.14"/>
    <col customWidth="1" min="15" max="16" width="17.43"/>
    <col customWidth="1" min="17" max="17" width="18.43"/>
    <col customWidth="1" min="18" max="18" width="19.43"/>
    <col customWidth="1" min="19" max="19" width="9.43"/>
    <col customWidth="1" min="20" max="20" width="16.43"/>
    <col customWidth="1" min="21" max="21" width="11.43"/>
    <col customWidth="1" min="22" max="22" width="8.71"/>
    <col customWidth="1" min="23" max="24" width="33.43"/>
    <col customWidth="1" min="25" max="25" width="17.14"/>
    <col customWidth="1" min="26" max="26" width="18.43"/>
    <col customWidth="1" min="27" max="27" width="7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5</v>
      </c>
      <c r="F1" s="3" t="s">
        <v>6</v>
      </c>
      <c r="G1" s="2" t="s">
        <v>1836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/>
      <c r="W1" s="5" t="s">
        <v>26</v>
      </c>
      <c r="X1" s="5" t="s">
        <v>27</v>
      </c>
      <c r="Y1" s="79" t="s">
        <v>28</v>
      </c>
      <c r="Z1" s="79" t="s">
        <v>29</v>
      </c>
      <c r="AA1" s="80" t="s">
        <v>30</v>
      </c>
    </row>
    <row r="2">
      <c r="A2" s="9" t="s">
        <v>1685</v>
      </c>
      <c r="B2" s="9" t="s">
        <v>1837</v>
      </c>
      <c r="C2" s="9"/>
      <c r="D2" s="10"/>
      <c r="E2" s="23" t="s">
        <v>1838</v>
      </c>
      <c r="F2" s="65" t="s">
        <v>1839</v>
      </c>
      <c r="G2" s="10"/>
      <c r="H2" s="10"/>
      <c r="I2" s="10" t="s">
        <v>1689</v>
      </c>
      <c r="J2" s="10">
        <f>39/2</f>
        <v>19.5</v>
      </c>
      <c r="K2" s="10" t="s">
        <v>1209</v>
      </c>
      <c r="L2" s="10" t="s">
        <v>1840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65" t="s">
        <v>1841</v>
      </c>
      <c r="X2" s="65" t="s">
        <v>1842</v>
      </c>
      <c r="Y2" s="17" t="s">
        <v>1843</v>
      </c>
      <c r="Z2" s="17" t="s">
        <v>1844</v>
      </c>
      <c r="AA2" s="17"/>
    </row>
    <row r="3">
      <c r="A3" s="9" t="s">
        <v>1845</v>
      </c>
      <c r="B3" s="9" t="s">
        <v>1845</v>
      </c>
      <c r="C3" s="9"/>
      <c r="D3" s="10"/>
      <c r="E3" s="23" t="s">
        <v>1846</v>
      </c>
      <c r="F3" s="65" t="s">
        <v>1847</v>
      </c>
      <c r="G3" s="10"/>
      <c r="H3" s="10"/>
      <c r="I3" s="10" t="s">
        <v>1689</v>
      </c>
      <c r="J3" s="10">
        <f>57/2</f>
        <v>28.5</v>
      </c>
      <c r="K3" s="10" t="s">
        <v>1209</v>
      </c>
      <c r="L3" s="15" t="s">
        <v>1848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65" t="s">
        <v>1849</v>
      </c>
      <c r="X3" s="65" t="s">
        <v>1850</v>
      </c>
      <c r="Y3" s="17" t="s">
        <v>1851</v>
      </c>
      <c r="Z3" s="17" t="s">
        <v>1852</v>
      </c>
      <c r="AA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3.43"/>
    <col customWidth="1" min="2" max="2" width="29.43"/>
    <col customWidth="1" min="3" max="3" width="10.43"/>
    <col customWidth="1" min="4" max="4" width="8.0"/>
    <col customWidth="1" min="5" max="5" width="23.43"/>
    <col customWidth="1" min="6" max="6" width="32.43"/>
    <col customWidth="1" min="7" max="7" width="12.43"/>
    <col customWidth="1" min="8" max="8" width="11.43"/>
    <col customWidth="1" min="9" max="9" width="15.43"/>
    <col customWidth="1" min="10" max="10" width="35.43"/>
    <col customWidth="1" min="11" max="11" width="28.0"/>
    <col customWidth="1" min="12" max="12" width="33.43"/>
    <col customWidth="1" min="13" max="13" width="35.43"/>
    <col customWidth="1" min="14" max="14" width="17.43"/>
    <col customWidth="1" min="15" max="15" width="28.14"/>
    <col customWidth="1" min="16" max="16" width="24.0"/>
    <col customWidth="1" min="17" max="17" width="24.43"/>
    <col customWidth="1" min="18" max="19" width="25.43"/>
    <col customWidth="1" min="20" max="20" width="15.43"/>
    <col customWidth="1" min="21" max="21" width="17.43"/>
    <col customWidth="1" min="22" max="22" width="1.43"/>
    <col customWidth="1" min="23" max="23" width="75.43"/>
    <col customWidth="1" min="24" max="24" width="85.0"/>
    <col customWidth="1" min="25" max="26" width="9.14"/>
  </cols>
  <sheetData>
    <row r="1" ht="14.25" customHeight="1">
      <c r="A1" s="81" t="s">
        <v>0</v>
      </c>
      <c r="B1" s="81" t="s">
        <v>1</v>
      </c>
      <c r="C1" s="82" t="s">
        <v>2</v>
      </c>
      <c r="D1" s="82" t="s">
        <v>3</v>
      </c>
      <c r="E1" s="81" t="s">
        <v>5</v>
      </c>
      <c r="F1" s="83" t="s">
        <v>6</v>
      </c>
      <c r="G1" s="82" t="s">
        <v>1836</v>
      </c>
      <c r="H1" s="82" t="s">
        <v>13</v>
      </c>
      <c r="I1" s="82" t="s">
        <v>12</v>
      </c>
      <c r="J1" s="82" t="s">
        <v>1853</v>
      </c>
      <c r="K1" s="82" t="s">
        <v>14</v>
      </c>
      <c r="L1" s="82" t="s">
        <v>15</v>
      </c>
      <c r="M1" s="82" t="s">
        <v>16</v>
      </c>
      <c r="N1" s="82" t="s">
        <v>17</v>
      </c>
      <c r="O1" s="82" t="s">
        <v>1854</v>
      </c>
      <c r="P1" s="82" t="s">
        <v>19</v>
      </c>
      <c r="Q1" s="82" t="s">
        <v>1855</v>
      </c>
      <c r="R1" s="82" t="s">
        <v>21</v>
      </c>
      <c r="S1" s="82" t="s">
        <v>1856</v>
      </c>
      <c r="T1" s="82" t="s">
        <v>23</v>
      </c>
      <c r="U1" s="82" t="s">
        <v>25</v>
      </c>
      <c r="V1" s="84"/>
      <c r="W1" s="81" t="s">
        <v>26</v>
      </c>
      <c r="X1" s="81" t="s">
        <v>27</v>
      </c>
      <c r="Y1" s="85"/>
      <c r="Z1" s="84"/>
    </row>
    <row r="2" ht="14.25" customHeight="1">
      <c r="A2" s="86" t="s">
        <v>31</v>
      </c>
      <c r="B2" s="86" t="s">
        <v>290</v>
      </c>
      <c r="C2" s="66" t="s">
        <v>167</v>
      </c>
      <c r="D2" s="66" t="s">
        <v>291</v>
      </c>
      <c r="E2" s="86" t="s">
        <v>292</v>
      </c>
      <c r="F2" s="87" t="s">
        <v>1857</v>
      </c>
      <c r="G2" s="66" t="s">
        <v>1508</v>
      </c>
      <c r="H2" s="66" t="s">
        <v>40</v>
      </c>
      <c r="I2" s="66">
        <v>22.0</v>
      </c>
      <c r="J2" s="66" t="s">
        <v>1858</v>
      </c>
      <c r="K2" s="66">
        <v>56.0</v>
      </c>
      <c r="L2" s="66" t="s">
        <v>41</v>
      </c>
      <c r="M2" s="88" t="s">
        <v>295</v>
      </c>
      <c r="N2" s="66" t="s">
        <v>43</v>
      </c>
      <c r="O2" s="66" t="s">
        <v>43</v>
      </c>
      <c r="P2" s="66" t="s">
        <v>43</v>
      </c>
      <c r="Q2" s="66" t="s">
        <v>43</v>
      </c>
      <c r="R2" s="66" t="s">
        <v>43</v>
      </c>
      <c r="S2" s="66" t="s">
        <v>43</v>
      </c>
      <c r="T2" s="66">
        <v>8.0</v>
      </c>
      <c r="U2" s="66"/>
      <c r="V2" s="89"/>
      <c r="W2" s="90"/>
      <c r="X2" s="90"/>
      <c r="Y2" s="17" t="s">
        <v>1859</v>
      </c>
      <c r="Z2" s="89"/>
    </row>
    <row r="3" ht="14.25" customHeight="1">
      <c r="A3" s="86" t="s">
        <v>31</v>
      </c>
      <c r="B3" s="86" t="s">
        <v>290</v>
      </c>
      <c r="C3" s="66" t="s">
        <v>167</v>
      </c>
      <c r="D3" s="66" t="s">
        <v>291</v>
      </c>
      <c r="E3" s="86" t="s">
        <v>297</v>
      </c>
      <c r="F3" s="87" t="s">
        <v>1860</v>
      </c>
      <c r="G3" s="66" t="s">
        <v>1508</v>
      </c>
      <c r="H3" s="66" t="s">
        <v>40</v>
      </c>
      <c r="I3" s="66">
        <v>22.0</v>
      </c>
      <c r="J3" s="66" t="s">
        <v>1861</v>
      </c>
      <c r="K3" s="66">
        <v>56.0</v>
      </c>
      <c r="L3" s="66" t="s">
        <v>41</v>
      </c>
      <c r="M3" s="88" t="s">
        <v>299</v>
      </c>
      <c r="N3" s="66" t="s">
        <v>43</v>
      </c>
      <c r="O3" s="66" t="s">
        <v>43</v>
      </c>
      <c r="P3" s="66" t="s">
        <v>43</v>
      </c>
      <c r="Q3" s="66" t="s">
        <v>43</v>
      </c>
      <c r="R3" s="66" t="s">
        <v>43</v>
      </c>
      <c r="S3" s="66" t="s">
        <v>43</v>
      </c>
      <c r="T3" s="66">
        <v>8.0</v>
      </c>
      <c r="U3" s="66"/>
      <c r="V3" s="89"/>
      <c r="W3" s="90"/>
      <c r="X3" s="90"/>
      <c r="Y3" s="17" t="s">
        <v>1859</v>
      </c>
      <c r="Z3" s="89"/>
    </row>
    <row r="4" ht="14.25" customHeight="1">
      <c r="A4" s="86" t="s">
        <v>31</v>
      </c>
      <c r="B4" s="86" t="s">
        <v>290</v>
      </c>
      <c r="C4" s="66" t="s">
        <v>167</v>
      </c>
      <c r="D4" s="66" t="s">
        <v>291</v>
      </c>
      <c r="E4" s="86" t="s">
        <v>1862</v>
      </c>
      <c r="F4" s="87" t="s">
        <v>1857</v>
      </c>
      <c r="G4" s="66" t="s">
        <v>1863</v>
      </c>
      <c r="H4" s="66" t="s">
        <v>48</v>
      </c>
      <c r="I4" s="66"/>
      <c r="J4" s="66" t="s">
        <v>1858</v>
      </c>
      <c r="K4" s="66"/>
      <c r="L4" s="66" t="s">
        <v>41</v>
      </c>
      <c r="M4" s="88" t="s">
        <v>1864</v>
      </c>
      <c r="N4" s="66" t="s">
        <v>43</v>
      </c>
      <c r="O4" s="66" t="s">
        <v>43</v>
      </c>
      <c r="P4" s="66" t="s">
        <v>43</v>
      </c>
      <c r="Q4" s="66" t="s">
        <v>43</v>
      </c>
      <c r="R4" s="66" t="s">
        <v>43</v>
      </c>
      <c r="S4" s="66" t="s">
        <v>43</v>
      </c>
      <c r="T4" s="66">
        <v>6.0</v>
      </c>
      <c r="U4" s="66"/>
      <c r="V4" s="89"/>
      <c r="W4" s="90"/>
      <c r="X4" s="90"/>
      <c r="Y4" s="17" t="s">
        <v>1865</v>
      </c>
      <c r="Z4" s="89"/>
    </row>
    <row r="5" ht="14.25" customHeight="1">
      <c r="A5" s="86" t="s">
        <v>31</v>
      </c>
      <c r="B5" s="86" t="s">
        <v>290</v>
      </c>
      <c r="C5" s="66" t="s">
        <v>167</v>
      </c>
      <c r="D5" s="66" t="s">
        <v>291</v>
      </c>
      <c r="E5" s="86" t="s">
        <v>1866</v>
      </c>
      <c r="F5" s="87" t="s">
        <v>1860</v>
      </c>
      <c r="G5" s="66" t="s">
        <v>1863</v>
      </c>
      <c r="H5" s="66" t="s">
        <v>48</v>
      </c>
      <c r="I5" s="66"/>
      <c r="J5" s="66" t="s">
        <v>1861</v>
      </c>
      <c r="K5" s="66"/>
      <c r="L5" s="66" t="s">
        <v>41</v>
      </c>
      <c r="M5" s="88" t="s">
        <v>1867</v>
      </c>
      <c r="N5" s="66" t="s">
        <v>43</v>
      </c>
      <c r="O5" s="66" t="s">
        <v>43</v>
      </c>
      <c r="P5" s="66" t="s">
        <v>43</v>
      </c>
      <c r="Q5" s="66" t="s">
        <v>43</v>
      </c>
      <c r="R5" s="66" t="s">
        <v>43</v>
      </c>
      <c r="S5" s="66" t="s">
        <v>43</v>
      </c>
      <c r="T5" s="66">
        <v>4.0</v>
      </c>
      <c r="U5" s="66"/>
      <c r="V5" s="89"/>
      <c r="W5" s="90"/>
      <c r="X5" s="90"/>
      <c r="Y5" s="17" t="s">
        <v>1865</v>
      </c>
      <c r="Z5" s="89"/>
    </row>
    <row r="6" ht="14.25" customHeight="1">
      <c r="A6" s="86"/>
      <c r="B6" s="86"/>
      <c r="C6" s="66"/>
      <c r="D6" s="66"/>
      <c r="E6" s="86"/>
      <c r="F6" s="87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89"/>
      <c r="W6" s="90"/>
      <c r="X6" s="90"/>
      <c r="Y6" s="89"/>
      <c r="Z6" s="89"/>
    </row>
    <row r="7" ht="14.25" customHeight="1">
      <c r="A7" s="86"/>
      <c r="B7" s="86"/>
      <c r="C7" s="66"/>
      <c r="D7" s="66"/>
      <c r="E7" s="86"/>
      <c r="F7" s="87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89"/>
      <c r="W7" s="90"/>
      <c r="X7" s="90"/>
      <c r="Y7" s="89"/>
      <c r="Z7" s="89"/>
    </row>
    <row r="8" ht="14.25" customHeight="1">
      <c r="A8" s="86"/>
      <c r="B8" s="86"/>
      <c r="C8" s="66"/>
      <c r="D8" s="66"/>
      <c r="E8" s="86"/>
      <c r="F8" s="87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89"/>
      <c r="W8" s="90"/>
      <c r="X8" s="90"/>
      <c r="Y8" s="89"/>
      <c r="Z8" s="89"/>
    </row>
    <row r="9" ht="14.25" customHeight="1">
      <c r="A9" s="86"/>
      <c r="B9" s="86"/>
      <c r="C9" s="66"/>
      <c r="D9" s="66"/>
      <c r="E9" s="86"/>
      <c r="F9" s="87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89"/>
      <c r="W9" s="90"/>
      <c r="X9" s="90"/>
      <c r="Y9" s="89"/>
      <c r="Z9" s="89"/>
    </row>
    <row r="10" ht="14.25" customHeight="1">
      <c r="A10" s="86"/>
      <c r="B10" s="86"/>
      <c r="C10" s="66"/>
      <c r="D10" s="66"/>
      <c r="E10" s="86"/>
      <c r="F10" s="87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89"/>
      <c r="W10" s="90"/>
      <c r="X10" s="90"/>
      <c r="Y10" s="89"/>
      <c r="Z10" s="89"/>
    </row>
    <row r="11" ht="14.25" customHeight="1">
      <c r="A11" s="86"/>
      <c r="B11" s="86"/>
      <c r="C11" s="66"/>
      <c r="D11" s="66"/>
      <c r="E11" s="86"/>
      <c r="F11" s="87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89"/>
      <c r="W11" s="90"/>
      <c r="X11" s="90"/>
      <c r="Y11" s="89"/>
      <c r="Z11" s="89"/>
    </row>
    <row r="12" ht="14.25" customHeight="1">
      <c r="A12" s="86"/>
      <c r="B12" s="86"/>
      <c r="C12" s="66"/>
      <c r="D12" s="66"/>
      <c r="E12" s="86"/>
      <c r="F12" s="87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89"/>
      <c r="W12" s="90"/>
      <c r="X12" s="90"/>
      <c r="Y12" s="89"/>
      <c r="Z12" s="89"/>
    </row>
    <row r="13" ht="14.25" customHeight="1">
      <c r="A13" s="86"/>
      <c r="B13" s="86"/>
      <c r="C13" s="66"/>
      <c r="D13" s="66"/>
      <c r="E13" s="86"/>
      <c r="F13" s="87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89"/>
      <c r="W13" s="90"/>
      <c r="X13" s="90"/>
      <c r="Y13" s="89"/>
      <c r="Z13" s="89"/>
    </row>
    <row r="14" ht="14.25" customHeight="1">
      <c r="A14" s="86"/>
      <c r="B14" s="86"/>
      <c r="C14" s="66"/>
      <c r="D14" s="66"/>
      <c r="E14" s="86"/>
      <c r="F14" s="87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89"/>
      <c r="W14" s="90"/>
      <c r="X14" s="90"/>
      <c r="Y14" s="89"/>
      <c r="Z14" s="89"/>
    </row>
    <row r="15" ht="14.25" customHeight="1">
      <c r="A15" s="86"/>
      <c r="B15" s="86"/>
      <c r="C15" s="66"/>
      <c r="D15" s="66"/>
      <c r="E15" s="86"/>
      <c r="F15" s="87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89"/>
      <c r="W15" s="90"/>
      <c r="X15" s="90"/>
      <c r="Y15" s="89"/>
      <c r="Z15" s="89"/>
    </row>
    <row r="16" ht="14.25" customHeight="1">
      <c r="A16" s="86"/>
      <c r="B16" s="86"/>
      <c r="C16" s="66"/>
      <c r="D16" s="66"/>
      <c r="E16" s="86"/>
      <c r="F16" s="87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89"/>
      <c r="W16" s="90"/>
      <c r="X16" s="90"/>
      <c r="Y16" s="89"/>
      <c r="Z16" s="89"/>
    </row>
    <row r="17" ht="14.25" customHeight="1">
      <c r="A17" s="86"/>
      <c r="B17" s="86"/>
      <c r="C17" s="66"/>
      <c r="D17" s="66"/>
      <c r="E17" s="86"/>
      <c r="F17" s="87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89"/>
      <c r="W17" s="86"/>
      <c r="X17" s="86"/>
      <c r="Y17" s="91"/>
      <c r="Z17" s="89"/>
    </row>
    <row r="18" ht="14.25" customHeight="1">
      <c r="A18" s="86"/>
      <c r="B18" s="86"/>
      <c r="C18" s="66"/>
      <c r="D18" s="66"/>
      <c r="E18" s="86"/>
      <c r="F18" s="87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89"/>
      <c r="W18" s="86"/>
      <c r="X18" s="86"/>
      <c r="Y18" s="89"/>
      <c r="Z18" s="89"/>
    </row>
    <row r="19" ht="14.25" customHeight="1">
      <c r="A19" s="86"/>
      <c r="B19" s="86"/>
      <c r="C19" s="66"/>
      <c r="D19" s="66"/>
      <c r="E19" s="86"/>
      <c r="F19" s="87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89"/>
      <c r="W19" s="86"/>
      <c r="X19" s="86"/>
      <c r="Y19" s="89"/>
      <c r="Z19" s="89"/>
    </row>
    <row r="20" ht="14.25" customHeight="1">
      <c r="A20" s="86"/>
      <c r="B20" s="86"/>
      <c r="C20" s="66"/>
      <c r="D20" s="66"/>
      <c r="E20" s="86"/>
      <c r="F20" s="87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89"/>
      <c r="W20" s="86"/>
      <c r="X20" s="86"/>
      <c r="Y20" s="89"/>
      <c r="Z20" s="89"/>
    </row>
    <row r="21" ht="14.25" customHeight="1">
      <c r="A21" s="86"/>
      <c r="B21" s="86"/>
      <c r="C21" s="66"/>
      <c r="D21" s="66"/>
      <c r="E21" s="86"/>
      <c r="F21" s="87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89"/>
      <c r="W21" s="86"/>
      <c r="X21" s="86"/>
      <c r="Y21" s="89"/>
      <c r="Z21" s="89"/>
    </row>
    <row r="22" ht="14.25" customHeight="1">
      <c r="A22" s="86"/>
      <c r="B22" s="86"/>
      <c r="C22" s="66"/>
      <c r="D22" s="66"/>
      <c r="E22" s="86"/>
      <c r="F22" s="87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89"/>
      <c r="W22" s="86"/>
      <c r="X22" s="86"/>
      <c r="Y22" s="89"/>
      <c r="Z22" s="89"/>
    </row>
    <row r="23" ht="14.25" customHeight="1">
      <c r="A23" s="86"/>
      <c r="B23" s="86"/>
      <c r="C23" s="66"/>
      <c r="D23" s="66"/>
      <c r="E23" s="86"/>
      <c r="F23" s="87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89"/>
      <c r="W23" s="86"/>
      <c r="X23" s="86"/>
      <c r="Y23" s="89"/>
      <c r="Z23" s="89"/>
    </row>
    <row r="24" ht="14.25" customHeight="1">
      <c r="A24" s="86"/>
      <c r="B24" s="86"/>
      <c r="C24" s="66"/>
      <c r="D24" s="66"/>
      <c r="E24" s="86"/>
      <c r="F24" s="87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89"/>
      <c r="W24" s="86"/>
      <c r="X24" s="86"/>
      <c r="Y24" s="89"/>
      <c r="Z24" s="89"/>
    </row>
    <row r="25" ht="14.25" customHeight="1">
      <c r="A25" s="86"/>
      <c r="B25" s="86"/>
      <c r="C25" s="66"/>
      <c r="D25" s="66"/>
      <c r="E25" s="92"/>
      <c r="F25" s="93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89"/>
      <c r="W25" s="86"/>
      <c r="X25" s="86"/>
      <c r="Y25" s="89"/>
      <c r="Z25" s="89"/>
    </row>
    <row r="26" ht="14.25" customHeight="1">
      <c r="A26" s="86"/>
      <c r="B26" s="86"/>
      <c r="C26" s="66"/>
      <c r="D26" s="66"/>
      <c r="E26" s="86"/>
      <c r="F26" s="87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89"/>
      <c r="W26" s="86"/>
      <c r="X26" s="86"/>
      <c r="Y26" s="89"/>
      <c r="Z26" s="89"/>
    </row>
    <row r="27" ht="14.25" customHeight="1">
      <c r="A27" s="86"/>
      <c r="B27" s="86"/>
      <c r="C27" s="66"/>
      <c r="D27" s="66"/>
      <c r="E27" s="86"/>
      <c r="F27" s="87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89"/>
      <c r="W27" s="86"/>
      <c r="X27" s="86"/>
      <c r="Y27" s="89"/>
      <c r="Z27" s="89"/>
    </row>
    <row r="28" ht="14.25" customHeight="1">
      <c r="A28" s="53"/>
      <c r="B28" s="53"/>
      <c r="C28" s="53"/>
      <c r="D28" s="94"/>
      <c r="E28" s="95"/>
      <c r="F28" s="5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6"/>
      <c r="W28" s="97"/>
      <c r="X28" s="97"/>
      <c r="Y28" s="96"/>
      <c r="Z28" s="96"/>
    </row>
    <row r="29" ht="14.25" customHeight="1">
      <c r="A29" s="86"/>
      <c r="B29" s="86"/>
      <c r="C29" s="66"/>
      <c r="D29" s="66"/>
      <c r="E29" s="86"/>
      <c r="F29" s="87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89"/>
      <c r="W29" s="86"/>
      <c r="X29" s="86"/>
      <c r="Y29" s="89"/>
      <c r="Z29" s="89"/>
    </row>
    <row r="30" ht="14.25" customHeight="1">
      <c r="A30" s="86"/>
      <c r="B30" s="86"/>
      <c r="C30" s="66"/>
      <c r="D30" s="66"/>
      <c r="E30" s="86"/>
      <c r="F30" s="87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89"/>
      <c r="W30" s="86"/>
      <c r="X30" s="86"/>
      <c r="Y30" s="89"/>
      <c r="Z30" s="89"/>
    </row>
    <row r="31" ht="14.25" customHeight="1">
      <c r="A31" s="86"/>
      <c r="B31" s="86"/>
      <c r="C31" s="66"/>
      <c r="D31" s="66"/>
      <c r="E31" s="92"/>
      <c r="F31" s="93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89"/>
      <c r="W31" s="92"/>
      <c r="X31" s="92"/>
      <c r="Y31" s="89"/>
      <c r="Z31" s="89"/>
    </row>
    <row r="32" ht="14.25" customHeight="1">
      <c r="A32" s="56"/>
      <c r="B32" s="56"/>
      <c r="C32" s="56"/>
      <c r="D32" s="66"/>
      <c r="E32" s="86"/>
      <c r="F32" s="87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89"/>
      <c r="W32" s="86"/>
      <c r="X32" s="86"/>
      <c r="Y32" s="89"/>
      <c r="Z32" s="89"/>
    </row>
    <row r="33" ht="14.25" customHeight="1">
      <c r="A33" s="56"/>
      <c r="B33" s="56"/>
      <c r="C33" s="66"/>
      <c r="D33" s="66"/>
      <c r="E33" s="86"/>
      <c r="F33" s="87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89"/>
      <c r="W33" s="86"/>
      <c r="X33" s="86"/>
      <c r="Y33" s="89"/>
      <c r="Z33" s="89"/>
    </row>
    <row r="34" ht="14.25" customHeight="1">
      <c r="A34" s="86"/>
      <c r="B34" s="86"/>
      <c r="C34" s="66"/>
      <c r="D34" s="66"/>
      <c r="E34" s="86"/>
      <c r="F34" s="87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89"/>
      <c r="W34" s="90"/>
      <c r="X34" s="90"/>
      <c r="Y34" s="89"/>
      <c r="Z34" s="89"/>
    </row>
    <row r="35" ht="14.25" customHeight="1">
      <c r="A35" s="86"/>
      <c r="B35" s="86"/>
      <c r="C35" s="66"/>
      <c r="D35" s="66"/>
      <c r="E35" s="86"/>
      <c r="F35" s="87"/>
      <c r="G35" s="66"/>
      <c r="H35" s="66"/>
      <c r="I35" s="66"/>
      <c r="J35" s="66"/>
      <c r="K35" s="66"/>
      <c r="L35" s="66"/>
      <c r="M35" s="66"/>
      <c r="N35" s="66"/>
      <c r="O35" s="66"/>
      <c r="P35" s="98"/>
      <c r="Q35" s="98"/>
      <c r="R35" s="98"/>
      <c r="S35" s="98"/>
      <c r="T35" s="66"/>
      <c r="U35" s="66"/>
      <c r="V35" s="89"/>
      <c r="W35" s="90"/>
      <c r="X35" s="90"/>
      <c r="Y35" s="89"/>
      <c r="Z35" s="89"/>
    </row>
    <row r="36" ht="14.25" customHeight="1">
      <c r="A36" s="86"/>
      <c r="B36" s="86"/>
      <c r="C36" s="66"/>
      <c r="D36" s="66"/>
      <c r="E36" s="86"/>
      <c r="F36" s="87"/>
      <c r="G36" s="66"/>
      <c r="H36" s="66"/>
      <c r="I36" s="66"/>
      <c r="J36" s="66"/>
      <c r="K36" s="66"/>
      <c r="L36" s="66"/>
      <c r="M36" s="66"/>
      <c r="N36" s="66"/>
      <c r="O36" s="66"/>
      <c r="P36" s="98"/>
      <c r="Q36" s="98"/>
      <c r="R36" s="98"/>
      <c r="S36" s="98"/>
      <c r="T36" s="66"/>
      <c r="U36" s="66"/>
      <c r="V36" s="89"/>
      <c r="W36" s="90"/>
      <c r="X36" s="90"/>
      <c r="Y36" s="89"/>
      <c r="Z36" s="89"/>
    </row>
    <row r="37" ht="14.25" customHeight="1">
      <c r="A37" s="86"/>
      <c r="B37" s="86"/>
      <c r="C37" s="66"/>
      <c r="D37" s="66"/>
      <c r="E37" s="86"/>
      <c r="F37" s="87"/>
      <c r="G37" s="66"/>
      <c r="H37" s="66"/>
      <c r="I37" s="66"/>
      <c r="J37" s="66"/>
      <c r="K37" s="66"/>
      <c r="L37" s="66"/>
      <c r="M37" s="66"/>
      <c r="N37" s="66"/>
      <c r="O37" s="66"/>
      <c r="P37" s="98"/>
      <c r="Q37" s="98"/>
      <c r="R37" s="98"/>
      <c r="S37" s="98"/>
      <c r="T37" s="66"/>
      <c r="U37" s="66"/>
      <c r="V37" s="89"/>
      <c r="W37" s="90"/>
      <c r="X37" s="90"/>
      <c r="Y37" s="89"/>
      <c r="Z37" s="89"/>
    </row>
    <row r="38" ht="14.25" customHeight="1">
      <c r="A38" s="86"/>
      <c r="B38" s="86"/>
      <c r="C38" s="66"/>
      <c r="D38" s="66"/>
      <c r="E38" s="86"/>
      <c r="F38" s="87"/>
      <c r="G38" s="66"/>
      <c r="H38" s="66"/>
      <c r="I38" s="66"/>
      <c r="J38" s="66"/>
      <c r="K38" s="66"/>
      <c r="L38" s="66"/>
      <c r="M38" s="66"/>
      <c r="N38" s="66"/>
      <c r="O38" s="66"/>
      <c r="P38" s="98"/>
      <c r="Q38" s="98"/>
      <c r="R38" s="98"/>
      <c r="S38" s="98"/>
      <c r="T38" s="66"/>
      <c r="U38" s="66"/>
      <c r="V38" s="89"/>
      <c r="W38" s="90"/>
      <c r="X38" s="90"/>
      <c r="Y38" s="89"/>
      <c r="Z38" s="89"/>
    </row>
    <row r="39" ht="14.25" customHeight="1">
      <c r="A39" s="86"/>
      <c r="B39" s="86"/>
      <c r="C39" s="66"/>
      <c r="D39" s="66"/>
      <c r="E39" s="86"/>
      <c r="F39" s="87"/>
      <c r="G39" s="66"/>
      <c r="H39" s="66"/>
      <c r="I39" s="66"/>
      <c r="J39" s="66"/>
      <c r="K39" s="66"/>
      <c r="L39" s="66"/>
      <c r="M39" s="66"/>
      <c r="N39" s="66"/>
      <c r="O39" s="66"/>
      <c r="P39" s="98"/>
      <c r="Q39" s="98"/>
      <c r="R39" s="99"/>
      <c r="S39" s="98"/>
      <c r="T39" s="66"/>
      <c r="U39" s="66"/>
      <c r="V39" s="89"/>
      <c r="W39" s="90"/>
      <c r="X39" s="90"/>
      <c r="Y39" s="89"/>
      <c r="Z39" s="89"/>
    </row>
    <row r="40" ht="14.25" customHeight="1">
      <c r="A40" s="86"/>
      <c r="B40" s="86"/>
      <c r="C40" s="66"/>
      <c r="D40" s="66"/>
      <c r="E40" s="86"/>
      <c r="F40" s="87"/>
      <c r="G40" s="66"/>
      <c r="H40" s="66"/>
      <c r="I40" s="66"/>
      <c r="J40" s="66"/>
      <c r="K40" s="66"/>
      <c r="L40" s="66"/>
      <c r="M40" s="66"/>
      <c r="N40" s="66"/>
      <c r="O40" s="66"/>
      <c r="P40" s="98"/>
      <c r="Q40" s="98"/>
      <c r="R40" s="99"/>
      <c r="S40" s="98"/>
      <c r="T40" s="66"/>
      <c r="U40" s="66"/>
      <c r="V40" s="89"/>
      <c r="W40" s="90"/>
      <c r="X40" s="90"/>
      <c r="Y40" s="89"/>
      <c r="Z40" s="89"/>
    </row>
    <row r="41" ht="14.25" customHeight="1">
      <c r="A41" s="86"/>
      <c r="B41" s="86"/>
      <c r="C41" s="66"/>
      <c r="D41" s="66"/>
      <c r="E41" s="86"/>
      <c r="F41" s="87"/>
      <c r="G41" s="66"/>
      <c r="H41" s="66"/>
      <c r="I41" s="66"/>
      <c r="J41" s="66"/>
      <c r="K41" s="66"/>
      <c r="L41" s="66"/>
      <c r="M41" s="66"/>
      <c r="N41" s="66"/>
      <c r="O41" s="66"/>
      <c r="P41" s="98"/>
      <c r="Q41" s="98"/>
      <c r="R41" s="98"/>
      <c r="S41" s="98"/>
      <c r="T41" s="66"/>
      <c r="U41" s="66"/>
      <c r="V41" s="89"/>
      <c r="W41" s="90"/>
      <c r="X41" s="90"/>
      <c r="Y41" s="89"/>
      <c r="Z41" s="89"/>
    </row>
    <row r="42" ht="14.25" customHeight="1">
      <c r="A42" s="86"/>
      <c r="B42" s="86"/>
      <c r="C42" s="66"/>
      <c r="D42" s="66"/>
      <c r="E42" s="86"/>
      <c r="F42" s="87"/>
      <c r="G42" s="66"/>
      <c r="H42" s="66"/>
      <c r="I42" s="66"/>
      <c r="J42" s="66"/>
      <c r="K42" s="66"/>
      <c r="L42" s="66"/>
      <c r="M42" s="66"/>
      <c r="N42" s="66"/>
      <c r="O42" s="66"/>
      <c r="P42" s="98"/>
      <c r="Q42" s="98"/>
      <c r="R42" s="98"/>
      <c r="S42" s="98"/>
      <c r="T42" s="66"/>
      <c r="U42" s="66"/>
      <c r="V42" s="89"/>
      <c r="W42" s="90"/>
      <c r="X42" s="90"/>
      <c r="Y42" s="89"/>
      <c r="Z42" s="89"/>
    </row>
    <row r="43" ht="14.25" customHeight="1">
      <c r="A43" s="86"/>
      <c r="B43" s="86"/>
      <c r="C43" s="66"/>
      <c r="D43" s="66"/>
      <c r="E43" s="86"/>
      <c r="F43" s="87"/>
      <c r="G43" s="66"/>
      <c r="H43" s="66"/>
      <c r="I43" s="66"/>
      <c r="J43" s="66"/>
      <c r="K43" s="66"/>
      <c r="L43" s="66"/>
      <c r="M43" s="66"/>
      <c r="N43" s="66"/>
      <c r="O43" s="66"/>
      <c r="P43" s="98"/>
      <c r="Q43" s="98"/>
      <c r="R43" s="98"/>
      <c r="S43" s="98"/>
      <c r="T43" s="66"/>
      <c r="U43" s="66"/>
      <c r="V43" s="89"/>
      <c r="W43" s="90"/>
      <c r="X43" s="90"/>
      <c r="Y43" s="89"/>
      <c r="Z43" s="89"/>
    </row>
    <row r="44" ht="14.25" customHeight="1">
      <c r="A44" s="86"/>
      <c r="B44" s="86"/>
      <c r="C44" s="66"/>
      <c r="D44" s="66"/>
      <c r="E44" s="86"/>
      <c r="F44" s="87"/>
      <c r="G44" s="66"/>
      <c r="H44" s="66"/>
      <c r="I44" s="66"/>
      <c r="J44" s="66"/>
      <c r="K44" s="66"/>
      <c r="L44" s="66"/>
      <c r="M44" s="66"/>
      <c r="N44" s="66"/>
      <c r="O44" s="66"/>
      <c r="P44" s="98"/>
      <c r="Q44" s="98"/>
      <c r="R44" s="98"/>
      <c r="S44" s="98"/>
      <c r="T44" s="66"/>
      <c r="U44" s="66"/>
      <c r="V44" s="89"/>
      <c r="W44" s="90"/>
      <c r="X44" s="90"/>
      <c r="Y44" s="89"/>
      <c r="Z44" s="89"/>
    </row>
    <row r="45" ht="14.25" customHeight="1">
      <c r="A45" s="86"/>
      <c r="B45" s="86"/>
      <c r="C45" s="66"/>
      <c r="D45" s="66"/>
      <c r="E45" s="86"/>
      <c r="F45" s="87"/>
      <c r="G45" s="66"/>
      <c r="H45" s="66"/>
      <c r="I45" s="66"/>
      <c r="J45" s="66"/>
      <c r="K45" s="66"/>
      <c r="L45" s="66"/>
      <c r="M45" s="66"/>
      <c r="N45" s="66"/>
      <c r="O45" s="66"/>
      <c r="P45" s="98"/>
      <c r="Q45" s="98"/>
      <c r="R45" s="98"/>
      <c r="S45" s="98"/>
      <c r="T45" s="66"/>
      <c r="U45" s="66"/>
      <c r="V45" s="89"/>
      <c r="W45" s="90"/>
      <c r="X45" s="90"/>
      <c r="Y45" s="89"/>
      <c r="Z45" s="89"/>
    </row>
    <row r="46" ht="14.25" customHeight="1">
      <c r="A46" s="86"/>
      <c r="B46" s="86"/>
      <c r="C46" s="66"/>
      <c r="D46" s="66"/>
      <c r="E46" s="86"/>
      <c r="F46" s="87"/>
      <c r="G46" s="66"/>
      <c r="H46" s="66"/>
      <c r="I46" s="66"/>
      <c r="J46" s="66"/>
      <c r="K46" s="66"/>
      <c r="L46" s="66"/>
      <c r="M46" s="66"/>
      <c r="N46" s="66"/>
      <c r="O46" s="66"/>
      <c r="P46" s="98"/>
      <c r="Q46" s="98"/>
      <c r="R46" s="99"/>
      <c r="S46" s="98"/>
      <c r="T46" s="66"/>
      <c r="U46" s="66"/>
      <c r="V46" s="89"/>
      <c r="W46" s="90"/>
      <c r="X46" s="90"/>
      <c r="Y46" s="89"/>
      <c r="Z46" s="89"/>
    </row>
    <row r="47" ht="14.25" customHeight="1">
      <c r="A47" s="86"/>
      <c r="B47" s="86"/>
      <c r="C47" s="66"/>
      <c r="D47" s="66"/>
      <c r="E47" s="86"/>
      <c r="F47" s="87"/>
      <c r="G47" s="66"/>
      <c r="H47" s="66"/>
      <c r="I47" s="66"/>
      <c r="J47" s="66"/>
      <c r="K47" s="66"/>
      <c r="L47" s="66"/>
      <c r="M47" s="66"/>
      <c r="N47" s="66"/>
      <c r="O47" s="66"/>
      <c r="P47" s="98"/>
      <c r="Q47" s="98"/>
      <c r="R47" s="99"/>
      <c r="S47" s="98"/>
      <c r="T47" s="66"/>
      <c r="U47" s="66"/>
      <c r="V47" s="89"/>
      <c r="W47" s="90"/>
      <c r="X47" s="90"/>
      <c r="Y47" s="89"/>
      <c r="Z47" s="89"/>
    </row>
    <row r="48" ht="14.25" customHeight="1">
      <c r="A48" s="86"/>
      <c r="B48" s="86"/>
      <c r="C48" s="66"/>
      <c r="D48" s="66"/>
      <c r="E48" s="86"/>
      <c r="F48" s="87"/>
      <c r="G48" s="66"/>
      <c r="H48" s="66"/>
      <c r="I48" s="66"/>
      <c r="J48" s="66"/>
      <c r="K48" s="66"/>
      <c r="L48" s="66"/>
      <c r="M48" s="66"/>
      <c r="N48" s="66"/>
      <c r="O48" s="66"/>
      <c r="P48" s="98"/>
      <c r="Q48" s="98"/>
      <c r="R48" s="98"/>
      <c r="S48" s="98"/>
      <c r="T48" s="66"/>
      <c r="U48" s="66"/>
      <c r="V48" s="89"/>
      <c r="W48" s="90"/>
      <c r="X48" s="90"/>
      <c r="Y48" s="89"/>
      <c r="Z48" s="89"/>
    </row>
    <row r="49" ht="14.25" customHeight="1">
      <c r="A49" s="86"/>
      <c r="B49" s="86"/>
      <c r="C49" s="66"/>
      <c r="D49" s="66"/>
      <c r="E49" s="86"/>
      <c r="F49" s="87"/>
      <c r="G49" s="66"/>
      <c r="H49" s="66"/>
      <c r="I49" s="66"/>
      <c r="J49" s="66"/>
      <c r="K49" s="66"/>
      <c r="L49" s="66"/>
      <c r="M49" s="66"/>
      <c r="N49" s="66"/>
      <c r="O49" s="66"/>
      <c r="P49" s="98"/>
      <c r="Q49" s="98"/>
      <c r="R49" s="98"/>
      <c r="S49" s="98"/>
      <c r="T49" s="66"/>
      <c r="U49" s="66"/>
      <c r="V49" s="89"/>
      <c r="W49" s="90"/>
      <c r="X49" s="90"/>
      <c r="Y49" s="89"/>
      <c r="Z49" s="89"/>
    </row>
    <row r="50" ht="14.25" customHeight="1">
      <c r="A50" s="86"/>
      <c r="B50" s="86"/>
      <c r="C50" s="66"/>
      <c r="D50" s="66"/>
      <c r="E50" s="86"/>
      <c r="F50" s="87"/>
      <c r="G50" s="66"/>
      <c r="H50" s="66"/>
      <c r="I50" s="66"/>
      <c r="J50" s="66"/>
      <c r="K50" s="66"/>
      <c r="L50" s="66"/>
      <c r="M50" s="66"/>
      <c r="N50" s="66"/>
      <c r="O50" s="66"/>
      <c r="P50" s="98"/>
      <c r="Q50" s="98"/>
      <c r="R50" s="98"/>
      <c r="S50" s="98"/>
      <c r="T50" s="66"/>
      <c r="U50" s="66"/>
      <c r="V50" s="89"/>
      <c r="W50" s="90"/>
      <c r="X50" s="90"/>
      <c r="Y50" s="89"/>
      <c r="Z50" s="89"/>
    </row>
    <row r="51" ht="14.25" customHeight="1">
      <c r="A51" s="86"/>
      <c r="B51" s="86"/>
      <c r="C51" s="66"/>
      <c r="D51" s="66"/>
      <c r="E51" s="86"/>
      <c r="F51" s="87"/>
      <c r="G51" s="66"/>
      <c r="H51" s="66"/>
      <c r="I51" s="66"/>
      <c r="J51" s="66"/>
      <c r="K51" s="66"/>
      <c r="L51" s="66"/>
      <c r="M51" s="66"/>
      <c r="N51" s="66"/>
      <c r="O51" s="66"/>
      <c r="P51" s="98"/>
      <c r="Q51" s="98"/>
      <c r="R51" s="98"/>
      <c r="S51" s="98"/>
      <c r="T51" s="66"/>
      <c r="U51" s="66"/>
      <c r="V51" s="89"/>
      <c r="W51" s="90"/>
      <c r="X51" s="90"/>
      <c r="Y51" s="89"/>
      <c r="Z51" s="89"/>
    </row>
    <row r="52" ht="14.25" customHeight="1">
      <c r="A52" s="86"/>
      <c r="B52" s="86"/>
      <c r="C52" s="66"/>
      <c r="D52" s="66"/>
      <c r="E52" s="86"/>
      <c r="F52" s="87"/>
      <c r="G52" s="66"/>
      <c r="H52" s="66"/>
      <c r="I52" s="66"/>
      <c r="J52" s="66"/>
      <c r="K52" s="66"/>
      <c r="L52" s="66"/>
      <c r="M52" s="66"/>
      <c r="N52" s="66"/>
      <c r="O52" s="66"/>
      <c r="P52" s="98"/>
      <c r="Q52" s="98"/>
      <c r="R52" s="98"/>
      <c r="S52" s="98"/>
      <c r="T52" s="66"/>
      <c r="U52" s="66"/>
      <c r="V52" s="89"/>
      <c r="W52" s="90"/>
      <c r="X52" s="90"/>
      <c r="Y52" s="89"/>
      <c r="Z52" s="89"/>
    </row>
    <row r="53" ht="14.25" customHeight="1">
      <c r="A53" s="86"/>
      <c r="B53" s="86"/>
      <c r="C53" s="66"/>
      <c r="D53" s="66"/>
      <c r="E53" s="86"/>
      <c r="F53" s="87"/>
      <c r="G53" s="66"/>
      <c r="H53" s="66"/>
      <c r="I53" s="66"/>
      <c r="J53" s="66"/>
      <c r="K53" s="66"/>
      <c r="L53" s="66"/>
      <c r="M53" s="66"/>
      <c r="N53" s="66"/>
      <c r="O53" s="66"/>
      <c r="P53" s="98"/>
      <c r="Q53" s="98"/>
      <c r="R53" s="99"/>
      <c r="S53" s="98"/>
      <c r="T53" s="66"/>
      <c r="U53" s="66"/>
      <c r="V53" s="89"/>
      <c r="W53" s="90"/>
      <c r="X53" s="90"/>
      <c r="Y53" s="89"/>
      <c r="Z53" s="89"/>
    </row>
    <row r="54" ht="14.25" customHeight="1">
      <c r="A54" s="86"/>
      <c r="B54" s="86"/>
      <c r="C54" s="66"/>
      <c r="D54" s="66"/>
      <c r="E54" s="86"/>
      <c r="F54" s="87"/>
      <c r="G54" s="66"/>
      <c r="H54" s="66"/>
      <c r="I54" s="66"/>
      <c r="J54" s="66"/>
      <c r="K54" s="66"/>
      <c r="L54" s="66"/>
      <c r="M54" s="66"/>
      <c r="N54" s="66"/>
      <c r="O54" s="66"/>
      <c r="P54" s="98"/>
      <c r="Q54" s="98"/>
      <c r="R54" s="99"/>
      <c r="S54" s="98"/>
      <c r="T54" s="66"/>
      <c r="U54" s="66"/>
      <c r="V54" s="89"/>
      <c r="W54" s="90"/>
      <c r="X54" s="90"/>
      <c r="Y54" s="89"/>
      <c r="Z54" s="89"/>
    </row>
    <row r="55" ht="14.25" customHeight="1">
      <c r="A55" s="86"/>
      <c r="B55" s="86"/>
      <c r="C55" s="66"/>
      <c r="D55" s="66"/>
      <c r="E55" s="86"/>
      <c r="F55" s="87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89"/>
      <c r="W55" s="90"/>
      <c r="X55" s="90"/>
      <c r="Y55" s="89"/>
      <c r="Z55" s="89"/>
    </row>
    <row r="56" ht="14.25" customHeight="1">
      <c r="A56" s="86"/>
      <c r="B56" s="86"/>
      <c r="C56" s="66"/>
      <c r="D56" s="66"/>
      <c r="E56" s="86"/>
      <c r="F56" s="87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89"/>
      <c r="W56" s="90"/>
      <c r="X56" s="90"/>
      <c r="Y56" s="89"/>
      <c r="Z56" s="89"/>
    </row>
    <row r="57" ht="14.25" customHeight="1">
      <c r="A57" s="86"/>
      <c r="B57" s="86"/>
      <c r="C57" s="66"/>
      <c r="D57" s="66"/>
      <c r="E57" s="86"/>
      <c r="F57" s="87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89"/>
      <c r="W57" s="90"/>
      <c r="X57" s="90"/>
      <c r="Y57" s="89"/>
      <c r="Z57" s="89"/>
    </row>
    <row r="58" ht="14.25" customHeight="1">
      <c r="A58" s="86"/>
      <c r="B58" s="86"/>
      <c r="C58" s="66"/>
      <c r="D58" s="66"/>
      <c r="E58" s="86"/>
      <c r="F58" s="87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89"/>
      <c r="W58" s="90"/>
      <c r="X58" s="90"/>
      <c r="Y58" s="89"/>
      <c r="Z58" s="89"/>
    </row>
    <row r="59" ht="14.25" customHeight="1">
      <c r="A59" s="100"/>
      <c r="B59" s="100"/>
      <c r="C59" s="55"/>
      <c r="D59" s="55"/>
      <c r="E59" s="100"/>
      <c r="F59" s="93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101"/>
      <c r="W59" s="90"/>
      <c r="X59" s="90"/>
      <c r="Y59" s="101"/>
      <c r="Z59" s="101"/>
    </row>
    <row r="60" ht="14.25" customHeight="1">
      <c r="A60" s="100"/>
      <c r="B60" s="100"/>
      <c r="C60" s="55"/>
      <c r="D60" s="55"/>
      <c r="E60" s="100"/>
      <c r="F60" s="93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101"/>
      <c r="W60" s="90"/>
      <c r="X60" s="90"/>
      <c r="Y60" s="101"/>
      <c r="Z60" s="101"/>
    </row>
    <row r="61" ht="14.25" customHeight="1">
      <c r="A61" s="86"/>
      <c r="B61" s="86"/>
      <c r="C61" s="66"/>
      <c r="D61" s="66"/>
      <c r="E61" s="86"/>
      <c r="F61" s="87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89"/>
      <c r="W61" s="90"/>
      <c r="X61" s="90"/>
      <c r="Y61" s="89"/>
      <c r="Z61" s="89"/>
    </row>
    <row r="62" ht="14.25" customHeight="1">
      <c r="A62" s="86"/>
      <c r="B62" s="86"/>
      <c r="C62" s="66"/>
      <c r="D62" s="66"/>
      <c r="E62" s="86"/>
      <c r="F62" s="87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89"/>
      <c r="W62" s="90"/>
      <c r="X62" s="90"/>
      <c r="Y62" s="89"/>
      <c r="Z62" s="89"/>
    </row>
    <row r="63" ht="14.25" customHeight="1">
      <c r="A63" s="86"/>
      <c r="B63" s="86"/>
      <c r="C63" s="66"/>
      <c r="D63" s="66"/>
      <c r="E63" s="86"/>
      <c r="F63" s="87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89"/>
      <c r="W63" s="90"/>
      <c r="X63" s="90"/>
      <c r="Y63" s="89"/>
      <c r="Z63" s="89"/>
    </row>
    <row r="64" ht="14.25" customHeight="1">
      <c r="A64" s="86"/>
      <c r="B64" s="86"/>
      <c r="C64" s="66"/>
      <c r="D64" s="66"/>
      <c r="E64" s="86"/>
      <c r="F64" s="87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89"/>
      <c r="W64" s="90"/>
      <c r="X64" s="90"/>
      <c r="Y64" s="89"/>
      <c r="Z64" s="89"/>
    </row>
    <row r="65" ht="14.25" customHeight="1">
      <c r="A65" s="86"/>
      <c r="B65" s="86"/>
      <c r="C65" s="66"/>
      <c r="D65" s="66"/>
      <c r="E65" s="86"/>
      <c r="F65" s="87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89"/>
      <c r="W65" s="90"/>
      <c r="X65" s="90"/>
      <c r="Y65" s="89"/>
      <c r="Z65" s="89"/>
    </row>
    <row r="66" ht="14.25" customHeight="1">
      <c r="A66" s="86"/>
      <c r="B66" s="86"/>
      <c r="C66" s="66"/>
      <c r="D66" s="66"/>
      <c r="E66" s="86"/>
      <c r="F66" s="87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89"/>
      <c r="W66" s="90"/>
      <c r="X66" s="90"/>
      <c r="Y66" s="89"/>
      <c r="Z66" s="89"/>
    </row>
    <row r="67" ht="14.25" customHeight="1">
      <c r="A67" s="86"/>
      <c r="B67" s="86"/>
      <c r="C67" s="66"/>
      <c r="D67" s="66"/>
      <c r="E67" s="86"/>
      <c r="F67" s="87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89"/>
      <c r="W67" s="90"/>
      <c r="X67" s="90"/>
      <c r="Y67" s="89"/>
      <c r="Z67" s="89"/>
    </row>
    <row r="68" ht="14.25" customHeight="1">
      <c r="A68" s="86"/>
      <c r="B68" s="86"/>
      <c r="C68" s="66"/>
      <c r="D68" s="66"/>
      <c r="E68" s="86"/>
      <c r="F68" s="87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89"/>
      <c r="W68" s="90"/>
      <c r="X68" s="90"/>
      <c r="Y68" s="89"/>
      <c r="Z68" s="89"/>
    </row>
    <row r="69" ht="14.25" customHeight="1">
      <c r="A69" s="86"/>
      <c r="B69" s="86"/>
      <c r="C69" s="66"/>
      <c r="D69" s="66"/>
      <c r="E69" s="86"/>
      <c r="F69" s="87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89"/>
      <c r="W69" s="90"/>
      <c r="X69" s="90"/>
      <c r="Y69" s="89"/>
      <c r="Z69" s="89"/>
    </row>
    <row r="70" ht="14.25" customHeight="1">
      <c r="A70" s="86"/>
      <c r="B70" s="86"/>
      <c r="C70" s="66"/>
      <c r="D70" s="66"/>
      <c r="E70" s="86"/>
      <c r="F70" s="87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89"/>
      <c r="W70" s="90"/>
      <c r="X70" s="90"/>
      <c r="Y70" s="89"/>
      <c r="Z70" s="89"/>
    </row>
    <row r="71" ht="14.25" customHeight="1">
      <c r="A71" s="86"/>
      <c r="B71" s="86"/>
      <c r="C71" s="66"/>
      <c r="D71" s="66"/>
      <c r="E71" s="86"/>
      <c r="F71" s="87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89"/>
      <c r="W71" s="90"/>
      <c r="X71" s="90"/>
      <c r="Y71" s="89"/>
      <c r="Z71" s="89"/>
    </row>
    <row r="72" ht="14.25" customHeight="1">
      <c r="A72" s="86"/>
      <c r="B72" s="86"/>
      <c r="C72" s="66"/>
      <c r="D72" s="66"/>
      <c r="E72" s="86"/>
      <c r="F72" s="87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89"/>
      <c r="W72" s="90"/>
      <c r="X72" s="90"/>
      <c r="Y72" s="89"/>
      <c r="Z72" s="89"/>
    </row>
    <row r="73" ht="14.25" customHeight="1">
      <c r="A73" s="86"/>
      <c r="B73" s="86"/>
      <c r="C73" s="66"/>
      <c r="D73" s="66"/>
      <c r="E73" s="86"/>
      <c r="F73" s="87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89"/>
      <c r="W73" s="90"/>
      <c r="X73" s="90"/>
      <c r="Y73" s="89"/>
      <c r="Z73" s="89"/>
    </row>
    <row r="74" ht="14.25" customHeight="1">
      <c r="A74" s="86"/>
      <c r="B74" s="86"/>
      <c r="C74" s="66"/>
      <c r="D74" s="66"/>
      <c r="E74" s="86"/>
      <c r="F74" s="87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89"/>
      <c r="W74" s="90"/>
      <c r="X74" s="90"/>
      <c r="Y74" s="89"/>
      <c r="Z74" s="89"/>
    </row>
    <row r="75" ht="14.25" customHeight="1">
      <c r="A75" s="86"/>
      <c r="B75" s="86"/>
      <c r="C75" s="66"/>
      <c r="D75" s="66"/>
      <c r="E75" s="86"/>
      <c r="F75" s="87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89"/>
      <c r="W75" s="90"/>
      <c r="X75" s="90"/>
      <c r="Y75" s="89"/>
      <c r="Z75" s="89"/>
    </row>
    <row r="76" ht="14.25" customHeight="1">
      <c r="A76" s="86"/>
      <c r="B76" s="86"/>
      <c r="C76" s="66"/>
      <c r="D76" s="66"/>
      <c r="E76" s="86"/>
      <c r="F76" s="87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89"/>
      <c r="W76" s="90"/>
      <c r="X76" s="90"/>
      <c r="Y76" s="89"/>
      <c r="Z76" s="89"/>
    </row>
    <row r="77" ht="14.25" customHeight="1">
      <c r="A77" s="86"/>
      <c r="B77" s="86"/>
      <c r="C77" s="66"/>
      <c r="D77" s="66"/>
      <c r="E77" s="86"/>
      <c r="F77" s="87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89"/>
      <c r="W77" s="90"/>
      <c r="X77" s="90"/>
      <c r="Y77" s="89"/>
      <c r="Z77" s="89"/>
    </row>
    <row r="78" ht="14.25" customHeight="1">
      <c r="A78" s="91"/>
      <c r="B78" s="91"/>
      <c r="C78" s="89"/>
      <c r="D78" s="89"/>
      <c r="E78" s="91"/>
      <c r="F78" s="102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103"/>
      <c r="X78" s="103"/>
      <c r="Y78" s="89"/>
      <c r="Z78" s="89"/>
    </row>
    <row r="79" ht="14.25" customHeight="1">
      <c r="A79" s="91"/>
      <c r="B79" s="91"/>
      <c r="C79" s="89"/>
      <c r="D79" s="89"/>
      <c r="E79" s="91"/>
      <c r="F79" s="102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104"/>
      <c r="X79" s="104"/>
      <c r="Y79" s="89"/>
      <c r="Z79" s="89"/>
    </row>
    <row r="80" ht="14.25" customHeight="1">
      <c r="A80" s="91"/>
      <c r="B80" s="91"/>
      <c r="C80" s="89"/>
      <c r="D80" s="89"/>
      <c r="E80" s="91"/>
      <c r="F80" s="102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104"/>
      <c r="X80" s="104"/>
      <c r="Y80" s="89"/>
      <c r="Z80" s="89"/>
    </row>
    <row r="81" ht="14.25" customHeight="1">
      <c r="A81" s="91"/>
      <c r="B81" s="91"/>
      <c r="C81" s="89"/>
      <c r="D81" s="89"/>
      <c r="E81" s="91"/>
      <c r="F81" s="102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104"/>
      <c r="X81" s="104"/>
      <c r="Y81" s="89"/>
      <c r="Z81" s="89"/>
    </row>
    <row r="82" ht="14.25" customHeight="1">
      <c r="A82" s="91"/>
      <c r="B82" s="91"/>
      <c r="C82" s="89"/>
      <c r="D82" s="89"/>
      <c r="E82" s="91"/>
      <c r="F82" s="102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04"/>
      <c r="X82" s="104"/>
      <c r="Y82" s="89"/>
      <c r="Z82" s="89"/>
    </row>
    <row r="83" ht="14.25" customHeight="1">
      <c r="A83" s="91"/>
      <c r="B83" s="91"/>
      <c r="C83" s="89"/>
      <c r="D83" s="89"/>
      <c r="E83" s="91"/>
      <c r="F83" s="102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103"/>
      <c r="X83" s="103"/>
      <c r="Y83" s="89"/>
      <c r="Z83" s="89"/>
    </row>
    <row r="84" ht="14.25" customHeight="1">
      <c r="A84" s="91"/>
      <c r="B84" s="91"/>
      <c r="C84" s="89"/>
      <c r="D84" s="89"/>
      <c r="E84" s="91"/>
      <c r="F84" s="102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103"/>
      <c r="X84" s="103"/>
      <c r="Y84" s="89"/>
      <c r="Z84" s="89"/>
    </row>
    <row r="85" ht="14.25" customHeight="1">
      <c r="A85" s="91"/>
      <c r="B85" s="91"/>
      <c r="C85" s="89"/>
      <c r="D85" s="89"/>
      <c r="E85" s="91"/>
      <c r="F85" s="102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103"/>
      <c r="X85" s="103"/>
      <c r="Y85" s="89"/>
      <c r="Z85" s="89"/>
    </row>
    <row r="86" ht="14.25" customHeight="1">
      <c r="A86" s="91"/>
      <c r="B86" s="91"/>
      <c r="C86" s="89"/>
      <c r="D86" s="89"/>
      <c r="E86" s="91"/>
      <c r="F86" s="102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103"/>
      <c r="X86" s="103"/>
      <c r="Y86" s="89"/>
      <c r="Z86" s="89"/>
    </row>
    <row r="87" ht="14.25" customHeight="1">
      <c r="A87" s="91"/>
      <c r="B87" s="91"/>
      <c r="C87" s="89"/>
      <c r="D87" s="89"/>
      <c r="E87" s="91"/>
      <c r="F87" s="102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103"/>
      <c r="X87" s="103"/>
      <c r="Y87" s="89"/>
      <c r="Z87" s="89"/>
    </row>
    <row r="88" ht="14.25" customHeight="1">
      <c r="A88" s="91"/>
      <c r="B88" s="91"/>
      <c r="C88" s="89"/>
      <c r="D88" s="89"/>
      <c r="E88" s="91"/>
      <c r="F88" s="102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103"/>
      <c r="X88" s="103"/>
      <c r="Y88" s="89"/>
      <c r="Z88" s="89"/>
    </row>
    <row r="89" ht="14.25" customHeight="1">
      <c r="A89" s="91"/>
      <c r="B89" s="91"/>
      <c r="C89" s="89"/>
      <c r="D89" s="89"/>
      <c r="E89" s="91"/>
      <c r="F89" s="102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103"/>
      <c r="X89" s="103"/>
      <c r="Y89" s="89"/>
      <c r="Z89" s="89"/>
    </row>
    <row r="90" ht="14.25" customHeight="1">
      <c r="A90" s="91"/>
      <c r="B90" s="91"/>
      <c r="C90" s="89"/>
      <c r="D90" s="89"/>
      <c r="E90" s="91"/>
      <c r="F90" s="102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103"/>
      <c r="X90" s="103"/>
      <c r="Y90" s="89"/>
      <c r="Z90" s="89"/>
    </row>
    <row r="91" ht="14.25" customHeight="1">
      <c r="A91" s="91"/>
      <c r="B91" s="91"/>
      <c r="C91" s="89"/>
      <c r="D91" s="89"/>
      <c r="E91" s="91"/>
      <c r="F91" s="102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103"/>
      <c r="X91" s="103"/>
      <c r="Y91" s="89"/>
      <c r="Z91" s="89"/>
    </row>
    <row r="92" ht="14.25" customHeight="1">
      <c r="A92" s="91"/>
      <c r="B92" s="91"/>
      <c r="C92" s="89"/>
      <c r="D92" s="89"/>
      <c r="E92" s="91"/>
      <c r="F92" s="102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103"/>
      <c r="X92" s="103"/>
      <c r="Y92" s="89"/>
      <c r="Z92" s="89"/>
    </row>
    <row r="93" ht="14.25" customHeight="1">
      <c r="A93" s="91"/>
      <c r="B93" s="91"/>
      <c r="C93" s="89"/>
      <c r="D93" s="89"/>
      <c r="E93" s="91"/>
      <c r="F93" s="102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103"/>
      <c r="X93" s="103"/>
      <c r="Y93" s="89"/>
      <c r="Z93" s="89"/>
    </row>
    <row r="94" ht="14.25" customHeight="1">
      <c r="A94" s="91"/>
      <c r="B94" s="91"/>
      <c r="C94" s="89"/>
      <c r="D94" s="89"/>
      <c r="E94" s="91"/>
      <c r="F94" s="102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103"/>
      <c r="X94" s="103"/>
      <c r="Y94" s="89"/>
      <c r="Z94" s="89"/>
    </row>
    <row r="95" ht="14.25" customHeight="1">
      <c r="A95" s="91"/>
      <c r="B95" s="91"/>
      <c r="C95" s="89"/>
      <c r="D95" s="89"/>
      <c r="E95" s="91"/>
      <c r="F95" s="102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103"/>
      <c r="X95" s="103"/>
      <c r="Y95" s="89"/>
      <c r="Z95" s="89"/>
    </row>
    <row r="96" ht="14.25" customHeight="1">
      <c r="A96" s="91"/>
      <c r="B96" s="91"/>
      <c r="C96" s="89"/>
      <c r="D96" s="89"/>
      <c r="E96" s="91"/>
      <c r="F96" s="102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103"/>
      <c r="X96" s="103"/>
      <c r="Y96" s="89"/>
      <c r="Z96" s="89"/>
    </row>
    <row r="97" ht="14.25" customHeight="1">
      <c r="A97" s="91"/>
      <c r="B97" s="91"/>
      <c r="C97" s="89"/>
      <c r="D97" s="89"/>
      <c r="E97" s="91"/>
      <c r="F97" s="102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103"/>
      <c r="X97" s="103"/>
      <c r="Y97" s="89"/>
      <c r="Z97" s="89"/>
    </row>
    <row r="98" ht="14.25" customHeight="1">
      <c r="A98" s="91"/>
      <c r="B98" s="91"/>
      <c r="C98" s="89"/>
      <c r="D98" s="89"/>
      <c r="E98" s="91"/>
      <c r="F98" s="102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103"/>
      <c r="X98" s="103"/>
      <c r="Y98" s="89"/>
      <c r="Z98" s="89"/>
    </row>
    <row r="99" ht="14.25" customHeight="1">
      <c r="A99" s="91"/>
      <c r="B99" s="91"/>
      <c r="C99" s="89"/>
      <c r="D99" s="89"/>
      <c r="E99" s="91"/>
      <c r="F99" s="102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103"/>
      <c r="X99" s="103"/>
      <c r="Y99" s="89"/>
      <c r="Z99" s="89"/>
    </row>
    <row r="100" ht="14.25" customHeight="1">
      <c r="A100" s="91"/>
      <c r="B100" s="91"/>
      <c r="C100" s="89"/>
      <c r="D100" s="89"/>
      <c r="E100" s="91"/>
      <c r="F100" s="102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103"/>
      <c r="X100" s="103"/>
      <c r="Y100" s="89"/>
      <c r="Z100" s="89"/>
    </row>
    <row r="101" ht="14.25" customHeight="1">
      <c r="A101" s="91"/>
      <c r="B101" s="91"/>
      <c r="C101" s="89"/>
      <c r="D101" s="89"/>
      <c r="E101" s="91"/>
      <c r="F101" s="102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103"/>
      <c r="X101" s="103"/>
      <c r="Y101" s="89"/>
      <c r="Z101" s="89"/>
    </row>
    <row r="102" ht="14.25" customHeight="1">
      <c r="A102" s="91"/>
      <c r="B102" s="91"/>
      <c r="C102" s="89"/>
      <c r="D102" s="89"/>
      <c r="E102" s="91"/>
      <c r="F102" s="102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103"/>
      <c r="X102" s="103"/>
      <c r="Y102" s="89"/>
      <c r="Z102" s="89"/>
    </row>
    <row r="103" ht="14.25" customHeight="1">
      <c r="A103" s="91"/>
      <c r="B103" s="91"/>
      <c r="C103" s="89"/>
      <c r="D103" s="89"/>
      <c r="E103" s="91"/>
      <c r="F103" s="102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103"/>
      <c r="X103" s="103"/>
      <c r="Y103" s="89"/>
      <c r="Z103" s="89"/>
    </row>
    <row r="104" ht="14.25" customHeight="1">
      <c r="A104" s="91"/>
      <c r="B104" s="91"/>
      <c r="C104" s="89"/>
      <c r="D104" s="89"/>
      <c r="E104" s="91"/>
      <c r="F104" s="102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103"/>
      <c r="X104" s="103"/>
      <c r="Y104" s="89"/>
      <c r="Z104" s="89"/>
    </row>
    <row r="105" ht="14.25" customHeight="1">
      <c r="A105" s="91"/>
      <c r="B105" s="91"/>
      <c r="C105" s="89"/>
      <c r="D105" s="89"/>
      <c r="E105" s="91"/>
      <c r="F105" s="102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103"/>
      <c r="X105" s="103"/>
      <c r="Y105" s="89"/>
      <c r="Z105" s="89"/>
    </row>
    <row r="106" ht="14.25" customHeight="1">
      <c r="A106" s="91"/>
      <c r="B106" s="91"/>
      <c r="C106" s="89"/>
      <c r="D106" s="89"/>
      <c r="E106" s="91"/>
      <c r="F106" s="102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103"/>
      <c r="X106" s="103"/>
      <c r="Y106" s="89"/>
      <c r="Z106" s="89"/>
    </row>
    <row r="107" ht="14.25" customHeight="1">
      <c r="A107" s="91"/>
      <c r="B107" s="91"/>
      <c r="C107" s="89"/>
      <c r="D107" s="89"/>
      <c r="E107" s="91"/>
      <c r="F107" s="102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103"/>
      <c r="X107" s="103"/>
      <c r="Y107" s="89"/>
      <c r="Z107" s="89"/>
    </row>
    <row r="108" ht="14.25" customHeight="1">
      <c r="A108" s="91"/>
      <c r="B108" s="91"/>
      <c r="C108" s="89"/>
      <c r="D108" s="89"/>
      <c r="E108" s="91"/>
      <c r="F108" s="102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103"/>
      <c r="X108" s="103"/>
      <c r="Y108" s="89"/>
      <c r="Z108" s="89"/>
    </row>
    <row r="109" ht="14.25" customHeight="1">
      <c r="A109" s="91"/>
      <c r="B109" s="91"/>
      <c r="C109" s="89"/>
      <c r="D109" s="89"/>
      <c r="E109" s="91"/>
      <c r="F109" s="102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103"/>
      <c r="X109" s="103"/>
      <c r="Y109" s="89"/>
      <c r="Z109" s="89"/>
    </row>
    <row r="110" ht="14.25" customHeight="1">
      <c r="A110" s="91"/>
      <c r="B110" s="91"/>
      <c r="C110" s="89"/>
      <c r="D110" s="89"/>
      <c r="E110" s="91"/>
      <c r="F110" s="102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103"/>
      <c r="X110" s="103"/>
      <c r="Y110" s="89"/>
      <c r="Z110" s="89"/>
    </row>
    <row r="111" ht="14.25" customHeight="1">
      <c r="A111" s="91"/>
      <c r="B111" s="91"/>
      <c r="C111" s="89"/>
      <c r="D111" s="89"/>
      <c r="E111" s="91"/>
      <c r="F111" s="102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103"/>
      <c r="X111" s="103"/>
      <c r="Y111" s="89"/>
      <c r="Z111" s="89"/>
    </row>
    <row r="112" ht="14.25" customHeight="1">
      <c r="A112" s="91"/>
      <c r="B112" s="91"/>
      <c r="C112" s="89"/>
      <c r="D112" s="89"/>
      <c r="E112" s="91"/>
      <c r="F112" s="102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103"/>
      <c r="X112" s="103"/>
      <c r="Y112" s="89"/>
      <c r="Z112" s="89"/>
    </row>
    <row r="113" ht="14.25" customHeight="1">
      <c r="A113" s="91"/>
      <c r="B113" s="91"/>
      <c r="C113" s="89"/>
      <c r="D113" s="89"/>
      <c r="E113" s="91"/>
      <c r="F113" s="102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103"/>
      <c r="X113" s="103"/>
      <c r="Y113" s="89"/>
      <c r="Z113" s="89"/>
    </row>
    <row r="114" ht="14.25" customHeight="1">
      <c r="A114" s="91"/>
      <c r="B114" s="91"/>
      <c r="C114" s="89"/>
      <c r="D114" s="89"/>
      <c r="E114" s="91"/>
      <c r="F114" s="102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103"/>
      <c r="X114" s="103"/>
      <c r="Y114" s="89"/>
      <c r="Z114" s="89"/>
    </row>
    <row r="115" ht="14.25" customHeight="1">
      <c r="A115" s="91"/>
      <c r="B115" s="91"/>
      <c r="C115" s="89"/>
      <c r="D115" s="89"/>
      <c r="E115" s="91"/>
      <c r="F115" s="102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103"/>
      <c r="X115" s="103"/>
      <c r="Y115" s="89"/>
      <c r="Z115" s="89"/>
    </row>
    <row r="116" ht="14.25" customHeight="1">
      <c r="A116" s="91"/>
      <c r="B116" s="91"/>
      <c r="C116" s="89"/>
      <c r="D116" s="89"/>
      <c r="E116" s="91"/>
      <c r="F116" s="102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103"/>
      <c r="X116" s="103"/>
      <c r="Y116" s="89"/>
      <c r="Z116" s="89"/>
    </row>
    <row r="117" ht="14.25" customHeight="1">
      <c r="A117" s="91"/>
      <c r="B117" s="91"/>
      <c r="C117" s="89"/>
      <c r="D117" s="89"/>
      <c r="E117" s="91"/>
      <c r="F117" s="102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103"/>
      <c r="X117" s="103"/>
      <c r="Y117" s="89"/>
      <c r="Z117" s="89"/>
    </row>
    <row r="118" ht="14.25" customHeight="1">
      <c r="A118" s="91"/>
      <c r="B118" s="91"/>
      <c r="C118" s="89"/>
      <c r="D118" s="89"/>
      <c r="E118" s="91"/>
      <c r="F118" s="102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103"/>
      <c r="X118" s="103"/>
      <c r="Y118" s="89"/>
      <c r="Z118" s="89"/>
    </row>
    <row r="119" ht="14.25" customHeight="1">
      <c r="A119" s="91"/>
      <c r="B119" s="91"/>
      <c r="C119" s="89"/>
      <c r="D119" s="89"/>
      <c r="E119" s="91"/>
      <c r="F119" s="102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103"/>
      <c r="X119" s="103"/>
      <c r="Y119" s="89"/>
      <c r="Z119" s="89"/>
    </row>
    <row r="120" ht="14.25" customHeight="1">
      <c r="A120" s="91"/>
      <c r="B120" s="91"/>
      <c r="C120" s="89"/>
      <c r="D120" s="89"/>
      <c r="E120" s="91"/>
      <c r="F120" s="102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103"/>
      <c r="X120" s="103"/>
      <c r="Y120" s="89"/>
      <c r="Z120" s="89"/>
    </row>
    <row r="121" ht="14.25" customHeight="1">
      <c r="A121" s="91"/>
      <c r="B121" s="91"/>
      <c r="C121" s="89"/>
      <c r="D121" s="89"/>
      <c r="E121" s="91"/>
      <c r="F121" s="102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103"/>
      <c r="X121" s="103"/>
      <c r="Y121" s="89"/>
      <c r="Z121" s="89"/>
    </row>
    <row r="122" ht="14.25" customHeight="1">
      <c r="A122" s="91"/>
      <c r="B122" s="91"/>
      <c r="C122" s="89"/>
      <c r="D122" s="89"/>
      <c r="E122" s="91"/>
      <c r="F122" s="102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103"/>
      <c r="X122" s="103"/>
      <c r="Y122" s="89"/>
      <c r="Z122" s="89"/>
    </row>
    <row r="123" ht="14.25" customHeight="1">
      <c r="A123" s="91"/>
      <c r="B123" s="91"/>
      <c r="C123" s="89"/>
      <c r="D123" s="89"/>
      <c r="E123" s="91"/>
      <c r="F123" s="102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103"/>
      <c r="X123" s="103"/>
      <c r="Y123" s="89"/>
      <c r="Z123" s="89"/>
    </row>
    <row r="124" ht="14.25" customHeight="1">
      <c r="A124" s="91"/>
      <c r="B124" s="91"/>
      <c r="C124" s="89"/>
      <c r="D124" s="89"/>
      <c r="E124" s="91"/>
      <c r="F124" s="102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103"/>
      <c r="X124" s="103"/>
      <c r="Y124" s="89"/>
      <c r="Z124" s="89"/>
    </row>
    <row r="125" ht="14.25" customHeight="1">
      <c r="A125" s="91"/>
      <c r="B125" s="91"/>
      <c r="C125" s="89"/>
      <c r="D125" s="89"/>
      <c r="E125" s="91"/>
      <c r="F125" s="102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103"/>
      <c r="X125" s="103"/>
      <c r="Y125" s="89"/>
      <c r="Z125" s="89"/>
    </row>
    <row r="126" ht="14.25" customHeight="1">
      <c r="A126" s="91"/>
      <c r="B126" s="91"/>
      <c r="C126" s="89"/>
      <c r="D126" s="89"/>
      <c r="E126" s="91"/>
      <c r="F126" s="102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103"/>
      <c r="X126" s="103"/>
      <c r="Y126" s="89"/>
      <c r="Z126" s="89"/>
    </row>
    <row r="127" ht="14.25" customHeight="1">
      <c r="A127" s="91"/>
      <c r="B127" s="91"/>
      <c r="C127" s="89"/>
      <c r="D127" s="89"/>
      <c r="E127" s="91"/>
      <c r="F127" s="102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103"/>
      <c r="X127" s="103"/>
      <c r="Y127" s="89"/>
      <c r="Z127" s="89"/>
    </row>
    <row r="128" ht="14.25" customHeight="1">
      <c r="A128" s="91"/>
      <c r="B128" s="91"/>
      <c r="C128" s="89"/>
      <c r="D128" s="89"/>
      <c r="E128" s="91"/>
      <c r="F128" s="102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103"/>
      <c r="X128" s="103"/>
      <c r="Y128" s="89"/>
      <c r="Z128" s="89"/>
    </row>
    <row r="129" ht="14.25" customHeight="1">
      <c r="A129" s="91"/>
      <c r="B129" s="91"/>
      <c r="C129" s="89"/>
      <c r="D129" s="89"/>
      <c r="E129" s="91"/>
      <c r="F129" s="102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103"/>
      <c r="X129" s="103"/>
      <c r="Y129" s="89"/>
      <c r="Z129" s="89"/>
    </row>
    <row r="130" ht="14.25" customHeight="1">
      <c r="A130" s="91"/>
      <c r="B130" s="91"/>
      <c r="C130" s="89"/>
      <c r="D130" s="89"/>
      <c r="E130" s="91"/>
      <c r="F130" s="102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103"/>
      <c r="X130" s="103"/>
      <c r="Y130" s="89"/>
      <c r="Z130" s="89"/>
    </row>
    <row r="131" ht="14.25" customHeight="1">
      <c r="A131" s="91"/>
      <c r="B131" s="91"/>
      <c r="C131" s="89"/>
      <c r="D131" s="89"/>
      <c r="E131" s="91"/>
      <c r="F131" s="102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103"/>
      <c r="X131" s="103"/>
      <c r="Y131" s="89"/>
      <c r="Z131" s="89"/>
    </row>
    <row r="132" ht="14.25" customHeight="1">
      <c r="A132" s="91"/>
      <c r="B132" s="91"/>
      <c r="C132" s="89"/>
      <c r="D132" s="89"/>
      <c r="E132" s="91"/>
      <c r="F132" s="102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103"/>
      <c r="X132" s="103"/>
      <c r="Y132" s="89"/>
      <c r="Z132" s="89"/>
    </row>
    <row r="133" ht="14.25" customHeight="1">
      <c r="A133" s="91"/>
      <c r="B133" s="91"/>
      <c r="C133" s="89"/>
      <c r="D133" s="89"/>
      <c r="E133" s="91"/>
      <c r="F133" s="102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103"/>
      <c r="X133" s="103"/>
      <c r="Y133" s="89"/>
      <c r="Z133" s="89"/>
    </row>
    <row r="134" ht="14.25" customHeight="1">
      <c r="A134" s="91"/>
      <c r="B134" s="91"/>
      <c r="C134" s="89"/>
      <c r="D134" s="89"/>
      <c r="E134" s="91"/>
      <c r="F134" s="102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103"/>
      <c r="X134" s="103"/>
      <c r="Y134" s="89"/>
      <c r="Z134" s="89"/>
    </row>
    <row r="135" ht="14.25" customHeight="1">
      <c r="A135" s="91"/>
      <c r="B135" s="91"/>
      <c r="C135" s="89"/>
      <c r="D135" s="89"/>
      <c r="E135" s="91"/>
      <c r="F135" s="102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103"/>
      <c r="X135" s="103"/>
      <c r="Y135" s="89"/>
      <c r="Z135" s="89"/>
    </row>
    <row r="136" ht="14.25" customHeight="1">
      <c r="A136" s="91"/>
      <c r="B136" s="91"/>
      <c r="C136" s="89"/>
      <c r="D136" s="89"/>
      <c r="E136" s="91"/>
      <c r="F136" s="102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103"/>
      <c r="X136" s="103"/>
      <c r="Y136" s="89"/>
      <c r="Z136" s="89"/>
    </row>
    <row r="137" ht="14.25" customHeight="1">
      <c r="A137" s="91"/>
      <c r="B137" s="91"/>
      <c r="C137" s="89"/>
      <c r="D137" s="89"/>
      <c r="E137" s="91"/>
      <c r="F137" s="102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103"/>
      <c r="X137" s="103"/>
      <c r="Y137" s="89"/>
      <c r="Z137" s="89"/>
    </row>
    <row r="138" ht="14.25" customHeight="1">
      <c r="A138" s="91"/>
      <c r="B138" s="91"/>
      <c r="C138" s="89"/>
      <c r="D138" s="89"/>
      <c r="E138" s="91"/>
      <c r="F138" s="102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103"/>
      <c r="X138" s="103"/>
      <c r="Y138" s="89"/>
      <c r="Z138" s="89"/>
    </row>
    <row r="139" ht="14.25" customHeight="1">
      <c r="A139" s="91"/>
      <c r="B139" s="91"/>
      <c r="C139" s="89"/>
      <c r="D139" s="89"/>
      <c r="E139" s="91"/>
      <c r="F139" s="102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103"/>
      <c r="X139" s="103"/>
      <c r="Y139" s="89"/>
      <c r="Z139" s="89"/>
    </row>
    <row r="140" ht="14.25" customHeight="1">
      <c r="A140" s="91"/>
      <c r="B140" s="91"/>
      <c r="C140" s="89"/>
      <c r="D140" s="89"/>
      <c r="E140" s="91"/>
      <c r="F140" s="102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103"/>
      <c r="X140" s="103"/>
      <c r="Y140" s="89"/>
      <c r="Z140" s="89"/>
    </row>
    <row r="141" ht="14.25" customHeight="1">
      <c r="A141" s="91"/>
      <c r="B141" s="91"/>
      <c r="C141" s="89"/>
      <c r="D141" s="89"/>
      <c r="E141" s="91"/>
      <c r="F141" s="102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103"/>
      <c r="X141" s="103"/>
      <c r="Y141" s="89"/>
      <c r="Z141" s="89"/>
    </row>
    <row r="142" ht="14.25" customHeight="1">
      <c r="A142" s="91"/>
      <c r="B142" s="91"/>
      <c r="C142" s="89"/>
      <c r="D142" s="89"/>
      <c r="E142" s="91"/>
      <c r="F142" s="102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103"/>
      <c r="X142" s="103"/>
      <c r="Y142" s="89"/>
      <c r="Z142" s="89"/>
    </row>
    <row r="143" ht="14.25" customHeight="1">
      <c r="A143" s="91"/>
      <c r="B143" s="91"/>
      <c r="C143" s="89"/>
      <c r="D143" s="89"/>
      <c r="E143" s="91"/>
      <c r="F143" s="102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103"/>
      <c r="X143" s="103"/>
      <c r="Y143" s="89"/>
      <c r="Z143" s="89"/>
    </row>
    <row r="144" ht="14.25" customHeight="1">
      <c r="A144" s="91"/>
      <c r="B144" s="91"/>
      <c r="C144" s="89"/>
      <c r="D144" s="89"/>
      <c r="E144" s="91"/>
      <c r="F144" s="102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103"/>
      <c r="X144" s="103"/>
      <c r="Y144" s="89"/>
      <c r="Z144" s="89"/>
    </row>
    <row r="145" ht="14.25" customHeight="1">
      <c r="A145" s="91"/>
      <c r="B145" s="91"/>
      <c r="C145" s="89"/>
      <c r="D145" s="89"/>
      <c r="E145" s="91"/>
      <c r="F145" s="102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103"/>
      <c r="X145" s="103"/>
      <c r="Y145" s="89"/>
      <c r="Z145" s="89"/>
    </row>
    <row r="146" ht="14.25" customHeight="1">
      <c r="A146" s="91"/>
      <c r="B146" s="91"/>
      <c r="C146" s="89"/>
      <c r="D146" s="89"/>
      <c r="E146" s="91"/>
      <c r="F146" s="102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103"/>
      <c r="X146" s="103"/>
      <c r="Y146" s="89"/>
      <c r="Z146" s="89"/>
    </row>
    <row r="147" ht="14.25" customHeight="1">
      <c r="A147" s="91"/>
      <c r="B147" s="91"/>
      <c r="C147" s="89"/>
      <c r="D147" s="89"/>
      <c r="E147" s="91"/>
      <c r="F147" s="102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103"/>
      <c r="X147" s="103"/>
      <c r="Y147" s="89"/>
      <c r="Z147" s="89"/>
    </row>
    <row r="148" ht="14.25" customHeight="1">
      <c r="A148" s="91"/>
      <c r="B148" s="91"/>
      <c r="C148" s="89"/>
      <c r="D148" s="89"/>
      <c r="E148" s="91"/>
      <c r="F148" s="102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103"/>
      <c r="X148" s="103"/>
      <c r="Y148" s="89"/>
      <c r="Z148" s="89"/>
    </row>
    <row r="149" ht="14.25" customHeight="1">
      <c r="A149" s="91"/>
      <c r="B149" s="91"/>
      <c r="C149" s="89"/>
      <c r="D149" s="89"/>
      <c r="E149" s="91"/>
      <c r="F149" s="102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103"/>
      <c r="X149" s="103"/>
      <c r="Y149" s="89"/>
      <c r="Z149" s="89"/>
    </row>
    <row r="150" ht="14.25" customHeight="1">
      <c r="A150" s="91"/>
      <c r="B150" s="91"/>
      <c r="C150" s="89"/>
      <c r="D150" s="89"/>
      <c r="E150" s="91"/>
      <c r="F150" s="102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103"/>
      <c r="X150" s="103"/>
      <c r="Y150" s="89"/>
      <c r="Z150" s="89"/>
    </row>
    <row r="151" ht="14.25" customHeight="1">
      <c r="A151" s="91"/>
      <c r="B151" s="91"/>
      <c r="C151" s="89"/>
      <c r="D151" s="89"/>
      <c r="E151" s="91"/>
      <c r="F151" s="102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103"/>
      <c r="X151" s="103"/>
      <c r="Y151" s="89"/>
      <c r="Z151" s="89"/>
    </row>
    <row r="152" ht="14.25" customHeight="1">
      <c r="A152" s="91"/>
      <c r="B152" s="91"/>
      <c r="C152" s="89"/>
      <c r="D152" s="89"/>
      <c r="E152" s="91"/>
      <c r="F152" s="102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103"/>
      <c r="X152" s="103"/>
      <c r="Y152" s="89"/>
      <c r="Z152" s="89"/>
    </row>
    <row r="153" ht="14.25" customHeight="1">
      <c r="A153" s="91"/>
      <c r="B153" s="91"/>
      <c r="C153" s="89"/>
      <c r="D153" s="89"/>
      <c r="E153" s="91"/>
      <c r="F153" s="102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103"/>
      <c r="X153" s="103"/>
      <c r="Y153" s="89"/>
      <c r="Z153" s="89"/>
    </row>
    <row r="154" ht="14.25" customHeight="1">
      <c r="A154" s="91"/>
      <c r="B154" s="91"/>
      <c r="C154" s="89"/>
      <c r="D154" s="89"/>
      <c r="E154" s="91"/>
      <c r="F154" s="102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103"/>
      <c r="X154" s="103"/>
      <c r="Y154" s="89"/>
      <c r="Z154" s="89"/>
    </row>
    <row r="155" ht="14.25" customHeight="1">
      <c r="A155" s="91"/>
      <c r="B155" s="91"/>
      <c r="C155" s="89"/>
      <c r="D155" s="89"/>
      <c r="E155" s="91"/>
      <c r="F155" s="102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103"/>
      <c r="X155" s="103"/>
      <c r="Y155" s="89"/>
      <c r="Z155" s="89"/>
    </row>
    <row r="156" ht="14.25" customHeight="1">
      <c r="A156" s="91"/>
      <c r="B156" s="91"/>
      <c r="C156" s="89"/>
      <c r="D156" s="89"/>
      <c r="E156" s="91"/>
      <c r="F156" s="102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103"/>
      <c r="X156" s="103"/>
      <c r="Y156" s="89"/>
      <c r="Z156" s="89"/>
    </row>
    <row r="157" ht="14.25" customHeight="1">
      <c r="A157" s="91"/>
      <c r="B157" s="91"/>
      <c r="C157" s="89"/>
      <c r="D157" s="89"/>
      <c r="E157" s="91"/>
      <c r="F157" s="102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103"/>
      <c r="X157" s="103"/>
      <c r="Y157" s="89"/>
      <c r="Z157" s="89"/>
    </row>
    <row r="158" ht="14.25" customHeight="1">
      <c r="A158" s="91"/>
      <c r="B158" s="91"/>
      <c r="C158" s="89"/>
      <c r="D158" s="89"/>
      <c r="E158" s="91"/>
      <c r="F158" s="102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103"/>
      <c r="X158" s="103"/>
      <c r="Y158" s="89"/>
      <c r="Z158" s="89"/>
    </row>
    <row r="159" ht="14.25" customHeight="1">
      <c r="A159" s="91"/>
      <c r="B159" s="91"/>
      <c r="C159" s="89"/>
      <c r="D159" s="89"/>
      <c r="E159" s="91"/>
      <c r="F159" s="102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103"/>
      <c r="X159" s="103"/>
      <c r="Y159" s="89"/>
      <c r="Z159" s="89"/>
    </row>
    <row r="160" ht="14.25" customHeight="1">
      <c r="A160" s="91"/>
      <c r="B160" s="91"/>
      <c r="C160" s="89"/>
      <c r="D160" s="89"/>
      <c r="E160" s="91"/>
      <c r="F160" s="102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103"/>
      <c r="X160" s="103"/>
      <c r="Y160" s="89"/>
      <c r="Z160" s="89"/>
    </row>
    <row r="161" ht="14.25" customHeight="1">
      <c r="A161" s="91"/>
      <c r="B161" s="91"/>
      <c r="C161" s="89"/>
      <c r="D161" s="89"/>
      <c r="E161" s="91"/>
      <c r="F161" s="102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103"/>
      <c r="X161" s="103"/>
      <c r="Y161" s="89"/>
      <c r="Z161" s="89"/>
    </row>
    <row r="162" ht="14.25" customHeight="1">
      <c r="A162" s="91"/>
      <c r="B162" s="91"/>
      <c r="C162" s="89"/>
      <c r="D162" s="89"/>
      <c r="E162" s="91"/>
      <c r="F162" s="102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103"/>
      <c r="X162" s="103"/>
      <c r="Y162" s="89"/>
      <c r="Z162" s="89"/>
    </row>
    <row r="163" ht="14.25" customHeight="1">
      <c r="A163" s="91"/>
      <c r="B163" s="91"/>
      <c r="C163" s="89"/>
      <c r="D163" s="89"/>
      <c r="E163" s="91"/>
      <c r="F163" s="102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103"/>
      <c r="X163" s="103"/>
      <c r="Y163" s="89"/>
      <c r="Z163" s="89"/>
    </row>
    <row r="164" ht="14.25" customHeight="1">
      <c r="A164" s="91"/>
      <c r="B164" s="91"/>
      <c r="C164" s="89"/>
      <c r="D164" s="89"/>
      <c r="E164" s="91"/>
      <c r="F164" s="102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103"/>
      <c r="X164" s="103"/>
      <c r="Y164" s="89"/>
      <c r="Z164" s="89"/>
    </row>
    <row r="165" ht="14.25" customHeight="1">
      <c r="A165" s="91"/>
      <c r="B165" s="91"/>
      <c r="C165" s="89"/>
      <c r="D165" s="89"/>
      <c r="E165" s="91"/>
      <c r="F165" s="102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103"/>
      <c r="X165" s="103"/>
      <c r="Y165" s="89"/>
      <c r="Z165" s="89"/>
    </row>
    <row r="166" ht="14.25" customHeight="1">
      <c r="A166" s="91"/>
      <c r="B166" s="91"/>
      <c r="C166" s="89"/>
      <c r="D166" s="89"/>
      <c r="E166" s="91"/>
      <c r="F166" s="102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103"/>
      <c r="X166" s="103"/>
      <c r="Y166" s="89"/>
      <c r="Z166" s="89"/>
    </row>
    <row r="167" ht="14.25" customHeight="1">
      <c r="A167" s="91"/>
      <c r="B167" s="91"/>
      <c r="C167" s="89"/>
      <c r="D167" s="89"/>
      <c r="E167" s="91"/>
      <c r="F167" s="102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103"/>
      <c r="X167" s="103"/>
      <c r="Y167" s="89"/>
      <c r="Z167" s="89"/>
    </row>
    <row r="168" ht="14.25" customHeight="1">
      <c r="A168" s="91"/>
      <c r="B168" s="91"/>
      <c r="C168" s="89"/>
      <c r="D168" s="89"/>
      <c r="E168" s="91"/>
      <c r="F168" s="102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103"/>
      <c r="X168" s="103"/>
      <c r="Y168" s="89"/>
      <c r="Z168" s="89"/>
    </row>
    <row r="169" ht="14.25" customHeight="1">
      <c r="A169" s="91"/>
      <c r="B169" s="91"/>
      <c r="C169" s="89"/>
      <c r="D169" s="89"/>
      <c r="E169" s="91"/>
      <c r="F169" s="102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103"/>
      <c r="X169" s="103"/>
      <c r="Y169" s="89"/>
      <c r="Z169" s="89"/>
    </row>
    <row r="170" ht="14.25" customHeight="1">
      <c r="A170" s="91"/>
      <c r="B170" s="91"/>
      <c r="C170" s="89"/>
      <c r="D170" s="89"/>
      <c r="E170" s="91"/>
      <c r="F170" s="102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103"/>
      <c r="X170" s="103"/>
      <c r="Y170" s="89"/>
      <c r="Z170" s="89"/>
    </row>
    <row r="171" ht="14.25" customHeight="1">
      <c r="A171" s="91"/>
      <c r="B171" s="91"/>
      <c r="C171" s="89"/>
      <c r="D171" s="89"/>
      <c r="E171" s="91"/>
      <c r="F171" s="102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103"/>
      <c r="X171" s="103"/>
      <c r="Y171" s="89"/>
      <c r="Z171" s="89"/>
    </row>
    <row r="172" ht="14.25" customHeight="1">
      <c r="A172" s="91"/>
      <c r="B172" s="91"/>
      <c r="C172" s="89"/>
      <c r="D172" s="89"/>
      <c r="E172" s="91"/>
      <c r="F172" s="102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103"/>
      <c r="X172" s="103"/>
      <c r="Y172" s="89"/>
      <c r="Z172" s="89"/>
    </row>
    <row r="173" ht="14.25" customHeight="1">
      <c r="A173" s="91"/>
      <c r="B173" s="91"/>
      <c r="C173" s="89"/>
      <c r="D173" s="89"/>
      <c r="E173" s="91"/>
      <c r="F173" s="102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103"/>
      <c r="X173" s="103"/>
      <c r="Y173" s="89"/>
      <c r="Z173" s="89"/>
    </row>
    <row r="174" ht="14.25" customHeight="1">
      <c r="A174" s="91"/>
      <c r="B174" s="91"/>
      <c r="C174" s="89"/>
      <c r="D174" s="89"/>
      <c r="E174" s="91"/>
      <c r="F174" s="102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103"/>
      <c r="X174" s="103"/>
      <c r="Y174" s="89"/>
      <c r="Z174" s="89"/>
    </row>
    <row r="175" ht="14.25" customHeight="1">
      <c r="A175" s="91"/>
      <c r="B175" s="91"/>
      <c r="C175" s="89"/>
      <c r="D175" s="89"/>
      <c r="E175" s="91"/>
      <c r="F175" s="102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103"/>
      <c r="X175" s="103"/>
      <c r="Y175" s="89"/>
      <c r="Z175" s="89"/>
    </row>
    <row r="176" ht="14.25" customHeight="1">
      <c r="A176" s="91"/>
      <c r="B176" s="91"/>
      <c r="C176" s="89"/>
      <c r="D176" s="89"/>
      <c r="E176" s="91"/>
      <c r="F176" s="102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103"/>
      <c r="X176" s="103"/>
      <c r="Y176" s="89"/>
      <c r="Z176" s="89"/>
    </row>
    <row r="177" ht="14.25" customHeight="1">
      <c r="A177" s="91"/>
      <c r="B177" s="91"/>
      <c r="C177" s="89"/>
      <c r="D177" s="89"/>
      <c r="E177" s="91"/>
      <c r="F177" s="102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103"/>
      <c r="X177" s="103"/>
      <c r="Y177" s="89"/>
      <c r="Z177" s="89"/>
    </row>
    <row r="178" ht="14.25" customHeight="1">
      <c r="A178" s="91"/>
      <c r="B178" s="91"/>
      <c r="C178" s="89"/>
      <c r="D178" s="89"/>
      <c r="E178" s="91"/>
      <c r="F178" s="102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103"/>
      <c r="X178" s="103"/>
      <c r="Y178" s="89"/>
      <c r="Z178" s="89"/>
    </row>
    <row r="179" ht="14.25" customHeight="1">
      <c r="A179" s="91"/>
      <c r="B179" s="91"/>
      <c r="C179" s="89"/>
      <c r="D179" s="89"/>
      <c r="E179" s="91"/>
      <c r="F179" s="102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103"/>
      <c r="X179" s="103"/>
      <c r="Y179" s="89"/>
      <c r="Z179" s="89"/>
    </row>
    <row r="180" ht="14.25" customHeight="1">
      <c r="A180" s="91"/>
      <c r="B180" s="91"/>
      <c r="C180" s="89"/>
      <c r="D180" s="89"/>
      <c r="E180" s="91"/>
      <c r="F180" s="102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103"/>
      <c r="X180" s="103"/>
      <c r="Y180" s="89"/>
      <c r="Z180" s="89"/>
    </row>
    <row r="181" ht="14.25" customHeight="1">
      <c r="A181" s="91"/>
      <c r="B181" s="91"/>
      <c r="C181" s="89"/>
      <c r="D181" s="89"/>
      <c r="E181" s="91"/>
      <c r="F181" s="102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103"/>
      <c r="X181" s="103"/>
      <c r="Y181" s="89"/>
      <c r="Z181" s="89"/>
    </row>
    <row r="182" ht="14.25" customHeight="1">
      <c r="A182" s="91"/>
      <c r="B182" s="91"/>
      <c r="C182" s="89"/>
      <c r="D182" s="89"/>
      <c r="E182" s="91"/>
      <c r="F182" s="102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103"/>
      <c r="X182" s="103"/>
      <c r="Y182" s="89"/>
      <c r="Z182" s="89"/>
    </row>
    <row r="183" ht="14.25" customHeight="1">
      <c r="A183" s="91"/>
      <c r="B183" s="91"/>
      <c r="C183" s="89"/>
      <c r="D183" s="89"/>
      <c r="E183" s="91"/>
      <c r="F183" s="102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103"/>
      <c r="X183" s="103"/>
      <c r="Y183" s="89"/>
      <c r="Z183" s="89"/>
    </row>
    <row r="184" ht="14.25" customHeight="1">
      <c r="A184" s="91"/>
      <c r="B184" s="91"/>
      <c r="C184" s="89"/>
      <c r="D184" s="89"/>
      <c r="E184" s="91"/>
      <c r="F184" s="102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103"/>
      <c r="X184" s="103"/>
      <c r="Y184" s="89"/>
      <c r="Z184" s="89"/>
    </row>
    <row r="185" ht="14.25" customHeight="1">
      <c r="A185" s="91"/>
      <c r="B185" s="91"/>
      <c r="C185" s="89"/>
      <c r="D185" s="89"/>
      <c r="E185" s="91"/>
      <c r="F185" s="102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103"/>
      <c r="X185" s="103"/>
      <c r="Y185" s="89"/>
      <c r="Z185" s="89"/>
    </row>
    <row r="186" ht="14.25" customHeight="1">
      <c r="A186" s="91"/>
      <c r="B186" s="91"/>
      <c r="C186" s="89"/>
      <c r="D186" s="89"/>
      <c r="E186" s="91"/>
      <c r="F186" s="102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103"/>
      <c r="X186" s="103"/>
      <c r="Y186" s="89"/>
      <c r="Z186" s="89"/>
    </row>
    <row r="187" ht="14.25" customHeight="1">
      <c r="A187" s="91"/>
      <c r="B187" s="91"/>
      <c r="C187" s="89"/>
      <c r="D187" s="89"/>
      <c r="E187" s="91"/>
      <c r="F187" s="102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103"/>
      <c r="X187" s="103"/>
      <c r="Y187" s="89"/>
      <c r="Z187" s="89"/>
    </row>
    <row r="188" ht="14.25" customHeight="1">
      <c r="A188" s="91"/>
      <c r="B188" s="91"/>
      <c r="C188" s="89"/>
      <c r="D188" s="89"/>
      <c r="E188" s="91"/>
      <c r="F188" s="102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103"/>
      <c r="X188" s="103"/>
      <c r="Y188" s="89"/>
      <c r="Z188" s="89"/>
    </row>
    <row r="189" ht="14.25" customHeight="1">
      <c r="A189" s="91"/>
      <c r="B189" s="91"/>
      <c r="C189" s="89"/>
      <c r="D189" s="89"/>
      <c r="E189" s="91"/>
      <c r="F189" s="102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103"/>
      <c r="X189" s="103"/>
      <c r="Y189" s="89"/>
      <c r="Z189" s="89"/>
    </row>
    <row r="190" ht="14.25" customHeight="1">
      <c r="A190" s="91"/>
      <c r="B190" s="91"/>
      <c r="C190" s="89"/>
      <c r="D190" s="89"/>
      <c r="E190" s="91"/>
      <c r="F190" s="102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103"/>
      <c r="X190" s="103"/>
      <c r="Y190" s="89"/>
      <c r="Z190" s="89"/>
    </row>
    <row r="191" ht="14.25" customHeight="1">
      <c r="A191" s="91"/>
      <c r="B191" s="91"/>
      <c r="C191" s="89"/>
      <c r="D191" s="89"/>
      <c r="E191" s="91"/>
      <c r="F191" s="102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103"/>
      <c r="X191" s="103"/>
      <c r="Y191" s="89"/>
      <c r="Z191" s="89"/>
    </row>
    <row r="192" ht="14.25" customHeight="1">
      <c r="A192" s="91"/>
      <c r="B192" s="91"/>
      <c r="C192" s="89"/>
      <c r="D192" s="89"/>
      <c r="E192" s="91"/>
      <c r="F192" s="102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103"/>
      <c r="X192" s="103"/>
      <c r="Y192" s="89"/>
      <c r="Z192" s="89"/>
    </row>
    <row r="193" ht="14.25" customHeight="1">
      <c r="A193" s="91"/>
      <c r="B193" s="91"/>
      <c r="C193" s="89"/>
      <c r="D193" s="89"/>
      <c r="E193" s="91"/>
      <c r="F193" s="102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103"/>
      <c r="X193" s="103"/>
      <c r="Y193" s="89"/>
      <c r="Z193" s="89"/>
    </row>
    <row r="194" ht="14.25" customHeight="1">
      <c r="A194" s="91"/>
      <c r="B194" s="91"/>
      <c r="C194" s="89"/>
      <c r="D194" s="89"/>
      <c r="E194" s="91"/>
      <c r="F194" s="102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103"/>
      <c r="X194" s="103"/>
      <c r="Y194" s="89"/>
      <c r="Z194" s="89"/>
    </row>
    <row r="195" ht="14.25" customHeight="1">
      <c r="A195" s="91"/>
      <c r="B195" s="91"/>
      <c r="C195" s="89"/>
      <c r="D195" s="89"/>
      <c r="E195" s="91"/>
      <c r="F195" s="102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103"/>
      <c r="X195" s="103"/>
      <c r="Y195" s="89"/>
      <c r="Z195" s="89"/>
    </row>
    <row r="196" ht="14.25" customHeight="1">
      <c r="A196" s="91"/>
      <c r="B196" s="91"/>
      <c r="C196" s="89"/>
      <c r="D196" s="89"/>
      <c r="E196" s="91"/>
      <c r="F196" s="102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103"/>
      <c r="X196" s="103"/>
      <c r="Y196" s="89"/>
      <c r="Z196" s="89"/>
    </row>
    <row r="197" ht="14.25" customHeight="1">
      <c r="A197" s="91"/>
      <c r="B197" s="91"/>
      <c r="C197" s="89"/>
      <c r="D197" s="89"/>
      <c r="E197" s="91"/>
      <c r="F197" s="102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103"/>
      <c r="X197" s="103"/>
      <c r="Y197" s="89"/>
      <c r="Z197" s="89"/>
    </row>
    <row r="198" ht="14.25" customHeight="1">
      <c r="A198" s="91"/>
      <c r="B198" s="91"/>
      <c r="C198" s="89"/>
      <c r="D198" s="89"/>
      <c r="E198" s="91"/>
      <c r="F198" s="102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103"/>
      <c r="X198" s="103"/>
      <c r="Y198" s="89"/>
      <c r="Z198" s="89"/>
    </row>
    <row r="199" ht="14.25" customHeight="1">
      <c r="A199" s="91"/>
      <c r="B199" s="91"/>
      <c r="C199" s="89"/>
      <c r="D199" s="89"/>
      <c r="E199" s="91"/>
      <c r="F199" s="102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103"/>
      <c r="X199" s="103"/>
      <c r="Y199" s="89"/>
      <c r="Z199" s="89"/>
    </row>
    <row r="200" ht="14.25" customHeight="1">
      <c r="A200" s="91"/>
      <c r="B200" s="91"/>
      <c r="C200" s="89"/>
      <c r="D200" s="89"/>
      <c r="E200" s="91"/>
      <c r="F200" s="102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103"/>
      <c r="X200" s="103"/>
      <c r="Y200" s="89"/>
      <c r="Z200" s="89"/>
    </row>
    <row r="201" ht="14.25" customHeight="1">
      <c r="A201" s="91"/>
      <c r="B201" s="91"/>
      <c r="C201" s="89"/>
      <c r="D201" s="89"/>
      <c r="E201" s="91"/>
      <c r="F201" s="102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103"/>
      <c r="X201" s="103"/>
      <c r="Y201" s="89"/>
      <c r="Z201" s="89"/>
    </row>
    <row r="202" ht="14.25" customHeight="1">
      <c r="A202" s="91"/>
      <c r="B202" s="91"/>
      <c r="C202" s="89"/>
      <c r="D202" s="89"/>
      <c r="E202" s="91"/>
      <c r="F202" s="102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103"/>
      <c r="X202" s="103"/>
      <c r="Y202" s="89"/>
      <c r="Z202" s="89"/>
    </row>
    <row r="203" ht="14.25" customHeight="1">
      <c r="A203" s="91"/>
      <c r="B203" s="91"/>
      <c r="C203" s="89"/>
      <c r="D203" s="89"/>
      <c r="E203" s="91"/>
      <c r="F203" s="102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103"/>
      <c r="X203" s="103"/>
      <c r="Y203" s="89"/>
      <c r="Z203" s="89"/>
    </row>
    <row r="204" ht="14.25" customHeight="1">
      <c r="A204" s="91"/>
      <c r="B204" s="91"/>
      <c r="C204" s="89"/>
      <c r="D204" s="89"/>
      <c r="E204" s="91"/>
      <c r="F204" s="102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103"/>
      <c r="X204" s="103"/>
      <c r="Y204" s="89"/>
      <c r="Z204" s="89"/>
    </row>
    <row r="205" ht="14.25" customHeight="1">
      <c r="A205" s="91"/>
      <c r="B205" s="91"/>
      <c r="C205" s="89"/>
      <c r="D205" s="89"/>
      <c r="E205" s="91"/>
      <c r="F205" s="102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103"/>
      <c r="X205" s="103"/>
      <c r="Y205" s="89"/>
      <c r="Z205" s="89"/>
    </row>
    <row r="206" ht="14.25" customHeight="1">
      <c r="A206" s="91"/>
      <c r="B206" s="91"/>
      <c r="C206" s="89"/>
      <c r="D206" s="89"/>
      <c r="E206" s="91"/>
      <c r="F206" s="102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103"/>
      <c r="X206" s="103"/>
      <c r="Y206" s="89"/>
      <c r="Z206" s="89"/>
    </row>
    <row r="207" ht="14.25" customHeight="1">
      <c r="A207" s="91"/>
      <c r="B207" s="91"/>
      <c r="C207" s="89"/>
      <c r="D207" s="89"/>
      <c r="E207" s="91"/>
      <c r="F207" s="102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103"/>
      <c r="X207" s="103"/>
      <c r="Y207" s="89"/>
      <c r="Z207" s="89"/>
    </row>
    <row r="208" ht="14.25" customHeight="1">
      <c r="A208" s="91"/>
      <c r="B208" s="91"/>
      <c r="C208" s="89"/>
      <c r="D208" s="89"/>
      <c r="E208" s="91"/>
      <c r="F208" s="102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103"/>
      <c r="X208" s="103"/>
      <c r="Y208" s="89"/>
      <c r="Z208" s="89"/>
    </row>
    <row r="209" ht="14.25" customHeight="1">
      <c r="A209" s="91"/>
      <c r="B209" s="91"/>
      <c r="C209" s="89"/>
      <c r="D209" s="89"/>
      <c r="E209" s="91"/>
      <c r="F209" s="102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103"/>
      <c r="X209" s="103"/>
      <c r="Y209" s="89"/>
      <c r="Z209" s="89"/>
    </row>
    <row r="210" ht="14.25" customHeight="1">
      <c r="A210" s="91"/>
      <c r="B210" s="91"/>
      <c r="C210" s="89"/>
      <c r="D210" s="89"/>
      <c r="E210" s="91"/>
      <c r="F210" s="102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103"/>
      <c r="X210" s="103"/>
      <c r="Y210" s="89"/>
      <c r="Z210" s="89"/>
    </row>
    <row r="211" ht="14.25" customHeight="1">
      <c r="A211" s="91"/>
      <c r="B211" s="91"/>
      <c r="C211" s="89"/>
      <c r="D211" s="89"/>
      <c r="E211" s="91"/>
      <c r="F211" s="102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103"/>
      <c r="X211" s="103"/>
      <c r="Y211" s="89"/>
      <c r="Z211" s="89"/>
    </row>
    <row r="212" ht="14.25" customHeight="1">
      <c r="A212" s="91"/>
      <c r="B212" s="91"/>
      <c r="C212" s="89"/>
      <c r="D212" s="89"/>
      <c r="E212" s="91"/>
      <c r="F212" s="102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103"/>
      <c r="X212" s="103"/>
      <c r="Y212" s="89"/>
      <c r="Z212" s="89"/>
    </row>
    <row r="213" ht="14.25" customHeight="1">
      <c r="A213" s="91"/>
      <c r="B213" s="91"/>
      <c r="C213" s="89"/>
      <c r="D213" s="89"/>
      <c r="E213" s="91"/>
      <c r="F213" s="102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103"/>
      <c r="X213" s="103"/>
      <c r="Y213" s="89"/>
      <c r="Z213" s="89"/>
    </row>
    <row r="214" ht="14.25" customHeight="1">
      <c r="A214" s="91"/>
      <c r="B214" s="91"/>
      <c r="C214" s="89"/>
      <c r="D214" s="89"/>
      <c r="E214" s="91"/>
      <c r="F214" s="102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103"/>
      <c r="X214" s="103"/>
      <c r="Y214" s="89"/>
      <c r="Z214" s="89"/>
    </row>
    <row r="215" ht="14.25" customHeight="1">
      <c r="A215" s="91"/>
      <c r="B215" s="91"/>
      <c r="C215" s="89"/>
      <c r="D215" s="89"/>
      <c r="E215" s="91"/>
      <c r="F215" s="102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103"/>
      <c r="X215" s="103"/>
      <c r="Y215" s="89"/>
      <c r="Z215" s="89"/>
    </row>
    <row r="216" ht="14.25" customHeight="1">
      <c r="A216" s="91"/>
      <c r="B216" s="91"/>
      <c r="C216" s="89"/>
      <c r="D216" s="89"/>
      <c r="E216" s="91"/>
      <c r="F216" s="102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103"/>
      <c r="X216" s="103"/>
      <c r="Y216" s="89"/>
      <c r="Z216" s="89"/>
    </row>
    <row r="217" ht="14.25" customHeight="1">
      <c r="A217" s="91"/>
      <c r="B217" s="91"/>
      <c r="C217" s="89"/>
      <c r="D217" s="89"/>
      <c r="E217" s="91"/>
      <c r="F217" s="102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103"/>
      <c r="X217" s="103"/>
      <c r="Y217" s="89"/>
      <c r="Z217" s="89"/>
    </row>
    <row r="218" ht="14.25" customHeight="1">
      <c r="A218" s="91"/>
      <c r="B218" s="91"/>
      <c r="C218" s="89"/>
      <c r="D218" s="89"/>
      <c r="E218" s="91"/>
      <c r="F218" s="102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103"/>
      <c r="X218" s="103"/>
      <c r="Y218" s="89"/>
      <c r="Z218" s="89"/>
    </row>
    <row r="219" ht="14.25" customHeight="1">
      <c r="A219" s="91"/>
      <c r="B219" s="91"/>
      <c r="C219" s="89"/>
      <c r="D219" s="89"/>
      <c r="E219" s="91"/>
      <c r="F219" s="102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103"/>
      <c r="X219" s="103"/>
      <c r="Y219" s="89"/>
      <c r="Z219" s="89"/>
    </row>
    <row r="220" ht="14.25" customHeight="1">
      <c r="A220" s="91"/>
      <c r="B220" s="91"/>
      <c r="C220" s="89"/>
      <c r="D220" s="89"/>
      <c r="E220" s="91"/>
      <c r="F220" s="102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103"/>
      <c r="X220" s="103"/>
      <c r="Y220" s="89"/>
      <c r="Z220" s="89"/>
    </row>
    <row r="221" ht="14.25" customHeight="1">
      <c r="A221" s="91"/>
      <c r="B221" s="91"/>
      <c r="C221" s="89"/>
      <c r="D221" s="89"/>
      <c r="E221" s="91"/>
      <c r="F221" s="102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103"/>
      <c r="X221" s="103"/>
      <c r="Y221" s="89"/>
      <c r="Z221" s="89"/>
    </row>
    <row r="222" ht="14.25" customHeight="1">
      <c r="A222" s="91"/>
      <c r="B222" s="91"/>
      <c r="C222" s="89"/>
      <c r="D222" s="89"/>
      <c r="E222" s="91"/>
      <c r="F222" s="102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103"/>
      <c r="X222" s="103"/>
      <c r="Y222" s="89"/>
      <c r="Z222" s="89"/>
    </row>
    <row r="223" ht="14.25" customHeight="1">
      <c r="A223" s="91"/>
      <c r="B223" s="91"/>
      <c r="C223" s="89"/>
      <c r="D223" s="89"/>
      <c r="E223" s="91"/>
      <c r="F223" s="102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103"/>
      <c r="X223" s="103"/>
      <c r="Y223" s="89"/>
      <c r="Z223" s="89"/>
    </row>
    <row r="224" ht="14.25" customHeight="1">
      <c r="A224" s="91"/>
      <c r="B224" s="91"/>
      <c r="C224" s="89"/>
      <c r="D224" s="89"/>
      <c r="E224" s="91"/>
      <c r="F224" s="102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103"/>
      <c r="X224" s="103"/>
      <c r="Y224" s="89"/>
      <c r="Z224" s="89"/>
    </row>
    <row r="225" ht="14.25" customHeight="1">
      <c r="A225" s="91"/>
      <c r="B225" s="91"/>
      <c r="C225" s="89"/>
      <c r="D225" s="89"/>
      <c r="E225" s="91"/>
      <c r="F225" s="102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103"/>
      <c r="X225" s="103"/>
      <c r="Y225" s="89"/>
      <c r="Z225" s="89"/>
    </row>
    <row r="226" ht="14.25" customHeight="1">
      <c r="A226" s="91"/>
      <c r="B226" s="91"/>
      <c r="C226" s="89"/>
      <c r="D226" s="89"/>
      <c r="E226" s="91"/>
      <c r="F226" s="102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103"/>
      <c r="X226" s="103"/>
      <c r="Y226" s="89"/>
      <c r="Z226" s="89"/>
    </row>
    <row r="227" ht="14.25" customHeight="1">
      <c r="A227" s="91"/>
      <c r="B227" s="91"/>
      <c r="C227" s="89"/>
      <c r="D227" s="89"/>
      <c r="E227" s="91"/>
      <c r="F227" s="102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103"/>
      <c r="X227" s="103"/>
      <c r="Y227" s="89"/>
      <c r="Z227" s="89"/>
    </row>
    <row r="228" ht="14.25" customHeight="1">
      <c r="A228" s="91"/>
      <c r="B228" s="91"/>
      <c r="C228" s="89"/>
      <c r="D228" s="89"/>
      <c r="E228" s="91"/>
      <c r="F228" s="102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103"/>
      <c r="X228" s="103"/>
      <c r="Y228" s="89"/>
      <c r="Z228" s="89"/>
    </row>
    <row r="229" ht="14.25" customHeight="1">
      <c r="A229" s="91"/>
      <c r="B229" s="91"/>
      <c r="C229" s="89"/>
      <c r="D229" s="89"/>
      <c r="E229" s="91"/>
      <c r="F229" s="102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103"/>
      <c r="X229" s="103"/>
      <c r="Y229" s="89"/>
      <c r="Z229" s="89"/>
    </row>
    <row r="230" ht="14.25" customHeight="1">
      <c r="A230" s="91"/>
      <c r="B230" s="91"/>
      <c r="C230" s="89"/>
      <c r="D230" s="89"/>
      <c r="E230" s="91"/>
      <c r="F230" s="102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103"/>
      <c r="X230" s="103"/>
      <c r="Y230" s="89"/>
      <c r="Z230" s="89"/>
    </row>
    <row r="231" ht="14.25" customHeight="1">
      <c r="A231" s="91"/>
      <c r="B231" s="91"/>
      <c r="C231" s="89"/>
      <c r="D231" s="89"/>
      <c r="E231" s="91"/>
      <c r="F231" s="102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103"/>
      <c r="X231" s="103"/>
      <c r="Y231" s="89"/>
      <c r="Z231" s="89"/>
    </row>
    <row r="232" ht="14.25" customHeight="1">
      <c r="A232" s="91"/>
      <c r="B232" s="91"/>
      <c r="C232" s="89"/>
      <c r="D232" s="89"/>
      <c r="E232" s="91"/>
      <c r="F232" s="102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103"/>
      <c r="X232" s="103"/>
      <c r="Y232" s="89"/>
      <c r="Z232" s="89"/>
    </row>
    <row r="233" ht="14.25" customHeight="1">
      <c r="A233" s="91"/>
      <c r="B233" s="91"/>
      <c r="C233" s="89"/>
      <c r="D233" s="89"/>
      <c r="E233" s="91"/>
      <c r="F233" s="102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103"/>
      <c r="X233" s="103"/>
      <c r="Y233" s="89"/>
      <c r="Z233" s="89"/>
    </row>
    <row r="234" ht="14.25" customHeight="1">
      <c r="A234" s="91"/>
      <c r="B234" s="91"/>
      <c r="C234" s="89"/>
      <c r="D234" s="89"/>
      <c r="E234" s="91"/>
      <c r="F234" s="102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103"/>
      <c r="X234" s="103"/>
      <c r="Y234" s="89"/>
      <c r="Z234" s="89"/>
    </row>
    <row r="235" ht="14.25" customHeight="1">
      <c r="A235" s="91"/>
      <c r="B235" s="91"/>
      <c r="C235" s="89"/>
      <c r="D235" s="89"/>
      <c r="E235" s="91"/>
      <c r="F235" s="102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103"/>
      <c r="X235" s="103"/>
      <c r="Y235" s="89"/>
      <c r="Z235" s="89"/>
    </row>
    <row r="236" ht="14.25" customHeight="1">
      <c r="A236" s="91"/>
      <c r="B236" s="91"/>
      <c r="C236" s="89"/>
      <c r="D236" s="89"/>
      <c r="E236" s="91"/>
      <c r="F236" s="102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103"/>
      <c r="X236" s="103"/>
      <c r="Y236" s="89"/>
      <c r="Z236" s="89"/>
    </row>
    <row r="237" ht="14.25" customHeight="1">
      <c r="A237" s="91"/>
      <c r="B237" s="91"/>
      <c r="C237" s="89"/>
      <c r="D237" s="89"/>
      <c r="E237" s="91"/>
      <c r="F237" s="102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103"/>
      <c r="X237" s="103"/>
      <c r="Y237" s="89"/>
      <c r="Z237" s="89"/>
    </row>
    <row r="238" ht="14.25" customHeight="1">
      <c r="A238" s="91"/>
      <c r="B238" s="91"/>
      <c r="C238" s="89"/>
      <c r="D238" s="89"/>
      <c r="E238" s="91"/>
      <c r="F238" s="102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103"/>
      <c r="X238" s="103"/>
      <c r="Y238" s="89"/>
      <c r="Z238" s="89"/>
    </row>
    <row r="239" ht="14.25" customHeight="1">
      <c r="A239" s="91"/>
      <c r="B239" s="91"/>
      <c r="C239" s="89"/>
      <c r="D239" s="89"/>
      <c r="E239" s="91"/>
      <c r="F239" s="102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103"/>
      <c r="X239" s="103"/>
      <c r="Y239" s="89"/>
      <c r="Z239" s="89"/>
    </row>
    <row r="240" ht="14.25" customHeight="1">
      <c r="A240" s="91"/>
      <c r="B240" s="91"/>
      <c r="C240" s="89"/>
      <c r="D240" s="89"/>
      <c r="E240" s="91"/>
      <c r="F240" s="102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103"/>
      <c r="X240" s="103"/>
      <c r="Y240" s="89"/>
      <c r="Z240" s="89"/>
    </row>
    <row r="241" ht="14.25" customHeight="1">
      <c r="A241" s="91"/>
      <c r="B241" s="91"/>
      <c r="C241" s="89"/>
      <c r="D241" s="89"/>
      <c r="E241" s="91"/>
      <c r="F241" s="102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103"/>
      <c r="X241" s="103"/>
      <c r="Y241" s="89"/>
      <c r="Z241" s="89"/>
    </row>
    <row r="242" ht="14.25" customHeight="1">
      <c r="A242" s="91"/>
      <c r="B242" s="91"/>
      <c r="C242" s="89"/>
      <c r="D242" s="89"/>
      <c r="E242" s="91"/>
      <c r="F242" s="102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103"/>
      <c r="X242" s="103"/>
      <c r="Y242" s="89"/>
      <c r="Z242" s="89"/>
    </row>
    <row r="243" ht="14.25" customHeight="1">
      <c r="A243" s="91"/>
      <c r="B243" s="91"/>
      <c r="C243" s="89"/>
      <c r="D243" s="89"/>
      <c r="E243" s="91"/>
      <c r="F243" s="102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103"/>
      <c r="X243" s="103"/>
      <c r="Y243" s="89"/>
      <c r="Z243" s="89"/>
    </row>
    <row r="244" ht="14.25" customHeight="1">
      <c r="A244" s="91"/>
      <c r="B244" s="91"/>
      <c r="C244" s="89"/>
      <c r="D244" s="89"/>
      <c r="E244" s="91"/>
      <c r="F244" s="102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103"/>
      <c r="X244" s="103"/>
      <c r="Y244" s="89"/>
      <c r="Z244" s="89"/>
    </row>
    <row r="245" ht="14.25" customHeight="1">
      <c r="A245" s="91"/>
      <c r="B245" s="91"/>
      <c r="C245" s="89"/>
      <c r="D245" s="89"/>
      <c r="E245" s="91"/>
      <c r="F245" s="102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103"/>
      <c r="X245" s="103"/>
      <c r="Y245" s="89"/>
      <c r="Z245" s="89"/>
    </row>
    <row r="246" ht="14.25" customHeight="1">
      <c r="A246" s="91"/>
      <c r="B246" s="91"/>
      <c r="C246" s="89"/>
      <c r="D246" s="89"/>
      <c r="E246" s="91"/>
      <c r="F246" s="102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103"/>
      <c r="X246" s="103"/>
      <c r="Y246" s="89"/>
      <c r="Z246" s="89"/>
    </row>
    <row r="247" ht="14.25" customHeight="1">
      <c r="A247" s="91"/>
      <c r="B247" s="91"/>
      <c r="C247" s="89"/>
      <c r="D247" s="89"/>
      <c r="E247" s="91"/>
      <c r="F247" s="102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103"/>
      <c r="X247" s="103"/>
      <c r="Y247" s="89"/>
      <c r="Z247" s="89"/>
    </row>
    <row r="248" ht="14.25" customHeight="1">
      <c r="A248" s="91"/>
      <c r="B248" s="91"/>
      <c r="C248" s="89"/>
      <c r="D248" s="89"/>
      <c r="E248" s="91"/>
      <c r="F248" s="102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103"/>
      <c r="X248" s="103"/>
      <c r="Y248" s="89"/>
      <c r="Z248" s="89"/>
    </row>
    <row r="249" ht="14.25" customHeight="1">
      <c r="A249" s="91"/>
      <c r="B249" s="91"/>
      <c r="C249" s="89"/>
      <c r="D249" s="89"/>
      <c r="E249" s="91"/>
      <c r="F249" s="102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103"/>
      <c r="X249" s="103"/>
      <c r="Y249" s="89"/>
      <c r="Z249" s="89"/>
    </row>
    <row r="250" ht="14.25" customHeight="1">
      <c r="A250" s="91"/>
      <c r="B250" s="91"/>
      <c r="C250" s="89"/>
      <c r="D250" s="89"/>
      <c r="E250" s="91"/>
      <c r="F250" s="102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103"/>
      <c r="X250" s="103"/>
      <c r="Y250" s="89"/>
      <c r="Z250" s="89"/>
    </row>
    <row r="251" ht="14.25" customHeight="1">
      <c r="A251" s="91"/>
      <c r="B251" s="91"/>
      <c r="C251" s="89"/>
      <c r="D251" s="89"/>
      <c r="E251" s="91"/>
      <c r="F251" s="102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103"/>
      <c r="X251" s="103"/>
      <c r="Y251" s="89"/>
      <c r="Z251" s="89"/>
    </row>
    <row r="252" ht="14.25" customHeight="1">
      <c r="A252" s="91"/>
      <c r="B252" s="91"/>
      <c r="C252" s="89"/>
      <c r="D252" s="89"/>
      <c r="E252" s="91"/>
      <c r="F252" s="102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103"/>
      <c r="X252" s="103"/>
      <c r="Y252" s="89"/>
      <c r="Z252" s="89"/>
    </row>
    <row r="253" ht="14.25" customHeight="1">
      <c r="A253" s="91"/>
      <c r="B253" s="91"/>
      <c r="C253" s="89"/>
      <c r="D253" s="89"/>
      <c r="E253" s="91"/>
      <c r="F253" s="102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103"/>
      <c r="X253" s="103"/>
      <c r="Y253" s="89"/>
      <c r="Z253" s="89"/>
    </row>
    <row r="254" ht="14.25" customHeight="1">
      <c r="A254" s="91"/>
      <c r="B254" s="91"/>
      <c r="C254" s="89"/>
      <c r="D254" s="89"/>
      <c r="E254" s="91"/>
      <c r="F254" s="102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103"/>
      <c r="X254" s="103"/>
      <c r="Y254" s="89"/>
      <c r="Z254" s="89"/>
    </row>
    <row r="255" ht="14.25" customHeight="1">
      <c r="A255" s="91"/>
      <c r="B255" s="91"/>
      <c r="C255" s="89"/>
      <c r="D255" s="89"/>
      <c r="E255" s="91"/>
      <c r="F255" s="102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103"/>
      <c r="X255" s="103"/>
      <c r="Y255" s="89"/>
      <c r="Z255" s="89"/>
    </row>
    <row r="256" ht="14.25" customHeight="1">
      <c r="A256" s="91"/>
      <c r="B256" s="91"/>
      <c r="C256" s="89"/>
      <c r="D256" s="89"/>
      <c r="E256" s="91"/>
      <c r="F256" s="102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103"/>
      <c r="X256" s="103"/>
      <c r="Y256" s="89"/>
      <c r="Z256" s="89"/>
    </row>
    <row r="257" ht="14.25" customHeight="1">
      <c r="A257" s="91"/>
      <c r="B257" s="91"/>
      <c r="C257" s="89"/>
      <c r="D257" s="89"/>
      <c r="E257" s="91"/>
      <c r="F257" s="102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103"/>
      <c r="X257" s="103"/>
      <c r="Y257" s="89"/>
      <c r="Z257" s="89"/>
    </row>
    <row r="258" ht="14.25" customHeight="1">
      <c r="A258" s="91"/>
      <c r="B258" s="91"/>
      <c r="C258" s="89"/>
      <c r="D258" s="89"/>
      <c r="E258" s="91"/>
      <c r="F258" s="102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103"/>
      <c r="X258" s="103"/>
      <c r="Y258" s="89"/>
      <c r="Z258" s="89"/>
    </row>
    <row r="259" ht="14.25" customHeight="1">
      <c r="A259" s="91"/>
      <c r="B259" s="91"/>
      <c r="C259" s="89"/>
      <c r="D259" s="89"/>
      <c r="E259" s="91"/>
      <c r="F259" s="102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103"/>
      <c r="X259" s="103"/>
      <c r="Y259" s="89"/>
      <c r="Z259" s="89"/>
    </row>
    <row r="260" ht="14.25" customHeight="1">
      <c r="A260" s="91"/>
      <c r="B260" s="91"/>
      <c r="C260" s="89"/>
      <c r="D260" s="89"/>
      <c r="E260" s="91"/>
      <c r="F260" s="102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103"/>
      <c r="X260" s="103"/>
      <c r="Y260" s="89"/>
      <c r="Z260" s="89"/>
    </row>
    <row r="261" ht="14.25" customHeight="1">
      <c r="A261" s="91"/>
      <c r="B261" s="91"/>
      <c r="C261" s="89"/>
      <c r="D261" s="89"/>
      <c r="E261" s="91"/>
      <c r="F261" s="102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103"/>
      <c r="X261" s="103"/>
      <c r="Y261" s="89"/>
      <c r="Z261" s="89"/>
    </row>
    <row r="262" ht="14.25" customHeight="1">
      <c r="A262" s="91"/>
      <c r="B262" s="91"/>
      <c r="C262" s="89"/>
      <c r="D262" s="89"/>
      <c r="E262" s="91"/>
      <c r="F262" s="102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103"/>
      <c r="X262" s="103"/>
      <c r="Y262" s="89"/>
      <c r="Z262" s="89"/>
    </row>
    <row r="263" ht="14.25" customHeight="1">
      <c r="A263" s="91"/>
      <c r="B263" s="91"/>
      <c r="C263" s="89"/>
      <c r="D263" s="89"/>
      <c r="E263" s="91"/>
      <c r="F263" s="102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103"/>
      <c r="X263" s="103"/>
      <c r="Y263" s="89"/>
      <c r="Z263" s="89"/>
    </row>
    <row r="264" ht="14.25" customHeight="1">
      <c r="A264" s="91"/>
      <c r="B264" s="91"/>
      <c r="C264" s="89"/>
      <c r="D264" s="89"/>
      <c r="E264" s="91"/>
      <c r="F264" s="102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103"/>
      <c r="X264" s="103"/>
      <c r="Y264" s="89"/>
      <c r="Z264" s="89"/>
    </row>
    <row r="265" ht="14.25" customHeight="1">
      <c r="A265" s="91"/>
      <c r="B265" s="91"/>
      <c r="C265" s="89"/>
      <c r="D265" s="89"/>
      <c r="E265" s="91"/>
      <c r="F265" s="102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103"/>
      <c r="X265" s="103"/>
      <c r="Y265" s="89"/>
      <c r="Z265" s="89"/>
    </row>
    <row r="266" ht="14.25" customHeight="1">
      <c r="A266" s="91"/>
      <c r="B266" s="91"/>
      <c r="C266" s="89"/>
      <c r="D266" s="89"/>
      <c r="E266" s="91"/>
      <c r="F266" s="102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103"/>
      <c r="X266" s="103"/>
      <c r="Y266" s="89"/>
      <c r="Z266" s="89"/>
    </row>
    <row r="267" ht="14.25" customHeight="1">
      <c r="A267" s="91"/>
      <c r="B267" s="91"/>
      <c r="C267" s="89"/>
      <c r="D267" s="89"/>
      <c r="E267" s="91"/>
      <c r="F267" s="102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103"/>
      <c r="X267" s="103"/>
      <c r="Y267" s="89"/>
      <c r="Z267" s="89"/>
    </row>
    <row r="268" ht="14.25" customHeight="1">
      <c r="A268" s="91"/>
      <c r="B268" s="91"/>
      <c r="C268" s="89"/>
      <c r="D268" s="89"/>
      <c r="E268" s="91"/>
      <c r="F268" s="102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103"/>
      <c r="X268" s="103"/>
      <c r="Y268" s="89"/>
      <c r="Z268" s="89"/>
    </row>
    <row r="269" ht="14.25" customHeight="1">
      <c r="A269" s="91"/>
      <c r="B269" s="91"/>
      <c r="C269" s="89"/>
      <c r="D269" s="89"/>
      <c r="E269" s="91"/>
      <c r="F269" s="102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103"/>
      <c r="X269" s="103"/>
      <c r="Y269" s="89"/>
      <c r="Z269" s="89"/>
    </row>
    <row r="270" ht="14.25" customHeight="1">
      <c r="A270" s="91"/>
      <c r="B270" s="91"/>
      <c r="C270" s="89"/>
      <c r="D270" s="89"/>
      <c r="E270" s="91"/>
      <c r="F270" s="102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103"/>
      <c r="X270" s="103"/>
      <c r="Y270" s="89"/>
      <c r="Z270" s="89"/>
    </row>
    <row r="271" ht="14.25" customHeight="1">
      <c r="A271" s="91"/>
      <c r="B271" s="91"/>
      <c r="C271" s="89"/>
      <c r="D271" s="89"/>
      <c r="E271" s="91"/>
      <c r="F271" s="102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103"/>
      <c r="X271" s="103"/>
      <c r="Y271" s="89"/>
      <c r="Z271" s="89"/>
    </row>
    <row r="272" ht="14.25" customHeight="1">
      <c r="A272" s="91"/>
      <c r="B272" s="91"/>
      <c r="C272" s="89"/>
      <c r="D272" s="89"/>
      <c r="E272" s="91"/>
      <c r="F272" s="102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103"/>
      <c r="X272" s="103"/>
      <c r="Y272" s="89"/>
      <c r="Z272" s="89"/>
    </row>
    <row r="273" ht="14.25" customHeight="1">
      <c r="A273" s="91"/>
      <c r="B273" s="91"/>
      <c r="C273" s="89"/>
      <c r="D273" s="89"/>
      <c r="E273" s="91"/>
      <c r="F273" s="102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103"/>
      <c r="X273" s="103"/>
      <c r="Y273" s="89"/>
      <c r="Z273" s="89"/>
    </row>
    <row r="274" ht="14.25" customHeight="1">
      <c r="A274" s="91"/>
      <c r="B274" s="91"/>
      <c r="C274" s="89"/>
      <c r="D274" s="89"/>
      <c r="E274" s="91"/>
      <c r="F274" s="102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103"/>
      <c r="X274" s="103"/>
      <c r="Y274" s="89"/>
      <c r="Z274" s="89"/>
    </row>
    <row r="275" ht="14.25" customHeight="1">
      <c r="A275" s="91"/>
      <c r="B275" s="91"/>
      <c r="C275" s="89"/>
      <c r="D275" s="89"/>
      <c r="E275" s="91"/>
      <c r="F275" s="102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103"/>
      <c r="X275" s="103"/>
      <c r="Y275" s="89"/>
      <c r="Z275" s="89"/>
    </row>
    <row r="276" ht="14.25" customHeight="1">
      <c r="A276" s="91"/>
      <c r="B276" s="91"/>
      <c r="C276" s="89"/>
      <c r="D276" s="89"/>
      <c r="E276" s="91"/>
      <c r="F276" s="102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103"/>
      <c r="X276" s="103"/>
      <c r="Y276" s="89"/>
      <c r="Z276" s="89"/>
    </row>
    <row r="277" ht="14.25" customHeight="1">
      <c r="A277" s="91"/>
      <c r="B277" s="91"/>
      <c r="C277" s="89"/>
      <c r="D277" s="89"/>
      <c r="E277" s="91"/>
      <c r="F277" s="102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103"/>
      <c r="X277" s="103"/>
      <c r="Y277" s="89"/>
      <c r="Z277" s="89"/>
    </row>
    <row r="278" ht="14.25" customHeight="1">
      <c r="A278" s="91"/>
      <c r="B278" s="91"/>
      <c r="C278" s="89"/>
      <c r="D278" s="89"/>
      <c r="E278" s="91"/>
      <c r="F278" s="102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103"/>
      <c r="X278" s="103"/>
      <c r="Y278" s="89"/>
      <c r="Z278" s="89"/>
    </row>
    <row r="279" ht="14.25" customHeight="1">
      <c r="A279" s="91"/>
      <c r="B279" s="91"/>
      <c r="C279" s="89"/>
      <c r="D279" s="89"/>
      <c r="E279" s="91"/>
      <c r="F279" s="102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103"/>
      <c r="X279" s="103"/>
      <c r="Y279" s="89"/>
      <c r="Z279" s="89"/>
    </row>
    <row r="280" ht="14.25" customHeight="1">
      <c r="A280" s="91"/>
      <c r="B280" s="91"/>
      <c r="C280" s="89"/>
      <c r="D280" s="89"/>
      <c r="E280" s="91"/>
      <c r="F280" s="102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103"/>
      <c r="X280" s="103"/>
      <c r="Y280" s="89"/>
      <c r="Z280" s="89"/>
    </row>
    <row r="281" ht="14.25" customHeight="1">
      <c r="A281" s="91"/>
      <c r="B281" s="91"/>
      <c r="C281" s="89"/>
      <c r="D281" s="89"/>
      <c r="E281" s="91"/>
      <c r="F281" s="102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103"/>
      <c r="X281" s="103"/>
      <c r="Y281" s="89"/>
      <c r="Z281" s="89"/>
    </row>
    <row r="282" ht="14.25" customHeight="1">
      <c r="A282" s="91"/>
      <c r="B282" s="91"/>
      <c r="C282" s="89"/>
      <c r="D282" s="89"/>
      <c r="E282" s="91"/>
      <c r="F282" s="102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103"/>
      <c r="X282" s="103"/>
      <c r="Y282" s="89"/>
      <c r="Z282" s="89"/>
    </row>
    <row r="283" ht="14.25" customHeight="1">
      <c r="A283" s="91"/>
      <c r="B283" s="91"/>
      <c r="C283" s="89"/>
      <c r="D283" s="89"/>
      <c r="E283" s="91"/>
      <c r="F283" s="102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103"/>
      <c r="X283" s="103"/>
      <c r="Y283" s="89"/>
      <c r="Z283" s="89"/>
    </row>
    <row r="284" ht="14.25" customHeight="1">
      <c r="A284" s="91"/>
      <c r="B284" s="91"/>
      <c r="C284" s="89"/>
      <c r="D284" s="89"/>
      <c r="E284" s="91"/>
      <c r="F284" s="102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103"/>
      <c r="X284" s="103"/>
      <c r="Y284" s="89"/>
      <c r="Z284" s="89"/>
    </row>
    <row r="285" ht="14.25" customHeight="1">
      <c r="A285" s="91"/>
      <c r="B285" s="91"/>
      <c r="C285" s="89"/>
      <c r="D285" s="89"/>
      <c r="E285" s="91"/>
      <c r="F285" s="102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103"/>
      <c r="X285" s="103"/>
      <c r="Y285" s="89"/>
      <c r="Z285" s="89"/>
    </row>
    <row r="286" ht="14.25" customHeight="1">
      <c r="A286" s="91"/>
      <c r="B286" s="91"/>
      <c r="C286" s="89"/>
      <c r="D286" s="89"/>
      <c r="E286" s="91"/>
      <c r="F286" s="102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103"/>
      <c r="X286" s="103"/>
      <c r="Y286" s="89"/>
      <c r="Z286" s="89"/>
    </row>
    <row r="287" ht="14.25" customHeight="1">
      <c r="A287" s="91"/>
      <c r="B287" s="91"/>
      <c r="C287" s="89"/>
      <c r="D287" s="89"/>
      <c r="E287" s="91"/>
      <c r="F287" s="102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103"/>
      <c r="X287" s="103"/>
      <c r="Y287" s="89"/>
      <c r="Z287" s="89"/>
    </row>
    <row r="288" ht="14.25" customHeight="1">
      <c r="A288" s="91"/>
      <c r="B288" s="91"/>
      <c r="C288" s="89"/>
      <c r="D288" s="89"/>
      <c r="E288" s="91"/>
      <c r="F288" s="102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103"/>
      <c r="X288" s="103"/>
      <c r="Y288" s="89"/>
      <c r="Z288" s="89"/>
    </row>
    <row r="289" ht="14.25" customHeight="1">
      <c r="A289" s="91"/>
      <c r="B289" s="91"/>
      <c r="C289" s="89"/>
      <c r="D289" s="89"/>
      <c r="E289" s="91"/>
      <c r="F289" s="102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103"/>
      <c r="X289" s="103"/>
      <c r="Y289" s="89"/>
      <c r="Z289" s="89"/>
    </row>
    <row r="290" ht="14.25" customHeight="1">
      <c r="A290" s="91"/>
      <c r="B290" s="91"/>
      <c r="C290" s="89"/>
      <c r="D290" s="89"/>
      <c r="E290" s="91"/>
      <c r="F290" s="102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103"/>
      <c r="X290" s="103"/>
      <c r="Y290" s="89"/>
      <c r="Z290" s="89"/>
    </row>
    <row r="291" ht="14.25" customHeight="1">
      <c r="A291" s="91"/>
      <c r="B291" s="91"/>
      <c r="C291" s="89"/>
      <c r="D291" s="89"/>
      <c r="E291" s="91"/>
      <c r="F291" s="102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103"/>
      <c r="X291" s="103"/>
      <c r="Y291" s="89"/>
      <c r="Z291" s="89"/>
    </row>
    <row r="292" ht="14.25" customHeight="1">
      <c r="A292" s="91"/>
      <c r="B292" s="91"/>
      <c r="C292" s="89"/>
      <c r="D292" s="89"/>
      <c r="E292" s="91"/>
      <c r="F292" s="102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103"/>
      <c r="X292" s="103"/>
      <c r="Y292" s="89"/>
      <c r="Z292" s="89"/>
    </row>
    <row r="293" ht="14.25" customHeight="1">
      <c r="A293" s="91"/>
      <c r="B293" s="91"/>
      <c r="C293" s="89"/>
      <c r="D293" s="89"/>
      <c r="E293" s="91"/>
      <c r="F293" s="102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103"/>
      <c r="X293" s="103"/>
      <c r="Y293" s="89"/>
      <c r="Z293" s="89"/>
    </row>
    <row r="294" ht="14.25" customHeight="1">
      <c r="A294" s="91"/>
      <c r="B294" s="91"/>
      <c r="C294" s="89"/>
      <c r="D294" s="89"/>
      <c r="E294" s="91"/>
      <c r="F294" s="102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103"/>
      <c r="X294" s="103"/>
      <c r="Y294" s="89"/>
      <c r="Z294" s="89"/>
    </row>
    <row r="295" ht="14.25" customHeight="1">
      <c r="A295" s="91"/>
      <c r="B295" s="91"/>
      <c r="C295" s="89"/>
      <c r="D295" s="89"/>
      <c r="E295" s="91"/>
      <c r="F295" s="102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103"/>
      <c r="X295" s="103"/>
      <c r="Y295" s="89"/>
      <c r="Z295" s="89"/>
    </row>
    <row r="296" ht="14.25" customHeight="1">
      <c r="A296" s="91"/>
      <c r="B296" s="91"/>
      <c r="C296" s="89"/>
      <c r="D296" s="89"/>
      <c r="E296" s="91"/>
      <c r="F296" s="102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103"/>
      <c r="X296" s="103"/>
      <c r="Y296" s="89"/>
      <c r="Z296" s="89"/>
    </row>
    <row r="297" ht="14.25" customHeight="1">
      <c r="A297" s="91"/>
      <c r="B297" s="91"/>
      <c r="C297" s="89"/>
      <c r="D297" s="89"/>
      <c r="E297" s="91"/>
      <c r="F297" s="102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103"/>
      <c r="X297" s="103"/>
      <c r="Y297" s="89"/>
      <c r="Z297" s="89"/>
    </row>
    <row r="298" ht="14.25" customHeight="1">
      <c r="A298" s="91"/>
      <c r="B298" s="91"/>
      <c r="C298" s="89"/>
      <c r="D298" s="89"/>
      <c r="E298" s="91"/>
      <c r="F298" s="102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103"/>
      <c r="X298" s="103"/>
      <c r="Y298" s="89"/>
      <c r="Z298" s="89"/>
    </row>
    <row r="299" ht="14.25" customHeight="1">
      <c r="A299" s="91"/>
      <c r="B299" s="91"/>
      <c r="C299" s="89"/>
      <c r="D299" s="89"/>
      <c r="E299" s="91"/>
      <c r="F299" s="102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103"/>
      <c r="X299" s="103"/>
      <c r="Y299" s="89"/>
      <c r="Z299" s="89"/>
    </row>
    <row r="300" ht="14.25" customHeight="1">
      <c r="A300" s="91"/>
      <c r="B300" s="91"/>
      <c r="C300" s="89"/>
      <c r="D300" s="89"/>
      <c r="E300" s="91"/>
      <c r="F300" s="102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103"/>
      <c r="X300" s="103"/>
      <c r="Y300" s="89"/>
      <c r="Z300" s="89"/>
    </row>
    <row r="301" ht="14.25" customHeight="1">
      <c r="A301" s="91"/>
      <c r="B301" s="91"/>
      <c r="C301" s="89"/>
      <c r="D301" s="89"/>
      <c r="E301" s="91"/>
      <c r="F301" s="102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103"/>
      <c r="X301" s="103"/>
      <c r="Y301" s="89"/>
      <c r="Z301" s="89"/>
    </row>
    <row r="302" ht="14.25" customHeight="1">
      <c r="A302" s="91"/>
      <c r="B302" s="91"/>
      <c r="C302" s="89"/>
      <c r="D302" s="89"/>
      <c r="E302" s="91"/>
      <c r="F302" s="102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103"/>
      <c r="X302" s="103"/>
      <c r="Y302" s="89"/>
      <c r="Z302" s="89"/>
    </row>
    <row r="303" ht="14.25" customHeight="1">
      <c r="A303" s="91"/>
      <c r="B303" s="91"/>
      <c r="C303" s="89"/>
      <c r="D303" s="89"/>
      <c r="E303" s="91"/>
      <c r="F303" s="102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103"/>
      <c r="X303" s="103"/>
      <c r="Y303" s="89"/>
      <c r="Z303" s="89"/>
    </row>
    <row r="304" ht="14.25" customHeight="1">
      <c r="A304" s="91"/>
      <c r="B304" s="91"/>
      <c r="C304" s="89"/>
      <c r="D304" s="89"/>
      <c r="E304" s="91"/>
      <c r="F304" s="102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103"/>
      <c r="X304" s="103"/>
      <c r="Y304" s="89"/>
      <c r="Z304" s="89"/>
    </row>
    <row r="305" ht="14.25" customHeight="1">
      <c r="A305" s="91"/>
      <c r="B305" s="91"/>
      <c r="C305" s="89"/>
      <c r="D305" s="89"/>
      <c r="E305" s="91"/>
      <c r="F305" s="102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103"/>
      <c r="X305" s="103"/>
      <c r="Y305" s="89"/>
      <c r="Z305" s="89"/>
    </row>
    <row r="306" ht="14.25" customHeight="1">
      <c r="A306" s="91"/>
      <c r="B306" s="91"/>
      <c r="C306" s="89"/>
      <c r="D306" s="89"/>
      <c r="E306" s="91"/>
      <c r="F306" s="102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103"/>
      <c r="X306" s="103"/>
      <c r="Y306" s="89"/>
      <c r="Z306" s="89"/>
    </row>
    <row r="307" ht="14.25" customHeight="1">
      <c r="A307" s="91"/>
      <c r="B307" s="91"/>
      <c r="C307" s="89"/>
      <c r="D307" s="89"/>
      <c r="E307" s="91"/>
      <c r="F307" s="102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103"/>
      <c r="X307" s="103"/>
      <c r="Y307" s="89"/>
      <c r="Z307" s="89"/>
    </row>
    <row r="308" ht="14.25" customHeight="1">
      <c r="A308" s="91"/>
      <c r="B308" s="91"/>
      <c r="C308" s="89"/>
      <c r="D308" s="89"/>
      <c r="E308" s="91"/>
      <c r="F308" s="102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103"/>
      <c r="X308" s="103"/>
      <c r="Y308" s="89"/>
      <c r="Z308" s="89"/>
    </row>
    <row r="309" ht="14.25" customHeight="1">
      <c r="A309" s="91"/>
      <c r="B309" s="91"/>
      <c r="C309" s="89"/>
      <c r="D309" s="89"/>
      <c r="E309" s="91"/>
      <c r="F309" s="102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103"/>
      <c r="X309" s="103"/>
      <c r="Y309" s="89"/>
      <c r="Z309" s="89"/>
    </row>
    <row r="310" ht="14.25" customHeight="1">
      <c r="A310" s="91"/>
      <c r="B310" s="91"/>
      <c r="C310" s="89"/>
      <c r="D310" s="89"/>
      <c r="E310" s="91"/>
      <c r="F310" s="102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103"/>
      <c r="X310" s="103"/>
      <c r="Y310" s="89"/>
      <c r="Z310" s="89"/>
    </row>
    <row r="311" ht="14.25" customHeight="1">
      <c r="A311" s="91"/>
      <c r="B311" s="91"/>
      <c r="C311" s="89"/>
      <c r="D311" s="89"/>
      <c r="E311" s="91"/>
      <c r="F311" s="102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103"/>
      <c r="X311" s="103"/>
      <c r="Y311" s="89"/>
      <c r="Z311" s="89"/>
    </row>
    <row r="312" ht="14.25" customHeight="1">
      <c r="A312" s="91"/>
      <c r="B312" s="91"/>
      <c r="C312" s="89"/>
      <c r="D312" s="89"/>
      <c r="E312" s="91"/>
      <c r="F312" s="102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103"/>
      <c r="X312" s="103"/>
      <c r="Y312" s="89"/>
      <c r="Z312" s="89"/>
    </row>
    <row r="313" ht="14.25" customHeight="1">
      <c r="A313" s="91"/>
      <c r="B313" s="91"/>
      <c r="C313" s="89"/>
      <c r="D313" s="89"/>
      <c r="E313" s="91"/>
      <c r="F313" s="102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103"/>
      <c r="X313" s="103"/>
      <c r="Y313" s="89"/>
      <c r="Z313" s="89"/>
    </row>
    <row r="314" ht="14.25" customHeight="1">
      <c r="A314" s="91"/>
      <c r="B314" s="91"/>
      <c r="C314" s="89"/>
      <c r="D314" s="89"/>
      <c r="E314" s="91"/>
      <c r="F314" s="102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103"/>
      <c r="X314" s="103"/>
      <c r="Y314" s="89"/>
      <c r="Z314" s="89"/>
    </row>
    <row r="315" ht="14.25" customHeight="1">
      <c r="A315" s="91"/>
      <c r="B315" s="91"/>
      <c r="C315" s="89"/>
      <c r="D315" s="89"/>
      <c r="E315" s="91"/>
      <c r="F315" s="102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103"/>
      <c r="X315" s="103"/>
      <c r="Y315" s="89"/>
      <c r="Z315" s="89"/>
    </row>
    <row r="316" ht="14.25" customHeight="1">
      <c r="A316" s="91"/>
      <c r="B316" s="91"/>
      <c r="C316" s="89"/>
      <c r="D316" s="89"/>
      <c r="E316" s="91"/>
      <c r="F316" s="102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103"/>
      <c r="X316" s="103"/>
      <c r="Y316" s="89"/>
      <c r="Z316" s="89"/>
    </row>
    <row r="317" ht="14.25" customHeight="1">
      <c r="A317" s="91"/>
      <c r="B317" s="91"/>
      <c r="C317" s="89"/>
      <c r="D317" s="89"/>
      <c r="E317" s="91"/>
      <c r="F317" s="102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103"/>
      <c r="X317" s="103"/>
      <c r="Y317" s="89"/>
      <c r="Z317" s="89"/>
    </row>
    <row r="318" ht="14.25" customHeight="1">
      <c r="A318" s="91"/>
      <c r="B318" s="91"/>
      <c r="C318" s="89"/>
      <c r="D318" s="89"/>
      <c r="E318" s="91"/>
      <c r="F318" s="102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103"/>
      <c r="X318" s="103"/>
      <c r="Y318" s="89"/>
      <c r="Z318" s="89"/>
    </row>
    <row r="319" ht="14.25" customHeight="1">
      <c r="A319" s="91"/>
      <c r="B319" s="91"/>
      <c r="C319" s="89"/>
      <c r="D319" s="89"/>
      <c r="E319" s="91"/>
      <c r="F319" s="102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103"/>
      <c r="X319" s="103"/>
      <c r="Y319" s="89"/>
      <c r="Z319" s="89"/>
    </row>
    <row r="320" ht="14.25" customHeight="1">
      <c r="A320" s="91"/>
      <c r="B320" s="91"/>
      <c r="C320" s="89"/>
      <c r="D320" s="89"/>
      <c r="E320" s="91"/>
      <c r="F320" s="102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103"/>
      <c r="X320" s="103"/>
      <c r="Y320" s="89"/>
      <c r="Z320" s="89"/>
    </row>
    <row r="321" ht="14.25" customHeight="1">
      <c r="A321" s="91"/>
      <c r="B321" s="91"/>
      <c r="C321" s="89"/>
      <c r="D321" s="89"/>
      <c r="E321" s="91"/>
      <c r="F321" s="102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103"/>
      <c r="X321" s="103"/>
      <c r="Y321" s="89"/>
      <c r="Z321" s="89"/>
    </row>
    <row r="322" ht="14.25" customHeight="1">
      <c r="A322" s="91"/>
      <c r="B322" s="91"/>
      <c r="C322" s="89"/>
      <c r="D322" s="89"/>
      <c r="E322" s="91"/>
      <c r="F322" s="102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103"/>
      <c r="X322" s="103"/>
      <c r="Y322" s="89"/>
      <c r="Z322" s="89"/>
    </row>
    <row r="323" ht="14.25" customHeight="1">
      <c r="A323" s="91"/>
      <c r="B323" s="91"/>
      <c r="C323" s="89"/>
      <c r="D323" s="89"/>
      <c r="E323" s="91"/>
      <c r="F323" s="102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103"/>
      <c r="X323" s="103"/>
      <c r="Y323" s="89"/>
      <c r="Z323" s="89"/>
    </row>
    <row r="324" ht="14.25" customHeight="1">
      <c r="A324" s="91"/>
      <c r="B324" s="91"/>
      <c r="C324" s="89"/>
      <c r="D324" s="89"/>
      <c r="E324" s="91"/>
      <c r="F324" s="102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103"/>
      <c r="X324" s="103"/>
      <c r="Y324" s="89"/>
      <c r="Z324" s="89"/>
    </row>
    <row r="325" ht="14.25" customHeight="1">
      <c r="A325" s="91"/>
      <c r="B325" s="91"/>
      <c r="C325" s="89"/>
      <c r="D325" s="89"/>
      <c r="E325" s="91"/>
      <c r="F325" s="102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103"/>
      <c r="X325" s="103"/>
      <c r="Y325" s="89"/>
      <c r="Z325" s="89"/>
    </row>
    <row r="326" ht="14.25" customHeight="1">
      <c r="A326" s="91"/>
      <c r="B326" s="91"/>
      <c r="C326" s="89"/>
      <c r="D326" s="89"/>
      <c r="E326" s="91"/>
      <c r="F326" s="102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103"/>
      <c r="X326" s="103"/>
      <c r="Y326" s="89"/>
      <c r="Z326" s="89"/>
    </row>
    <row r="327" ht="14.25" customHeight="1">
      <c r="A327" s="91"/>
      <c r="B327" s="91"/>
      <c r="C327" s="89"/>
      <c r="D327" s="89"/>
      <c r="E327" s="91"/>
      <c r="F327" s="102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103"/>
      <c r="X327" s="103"/>
      <c r="Y327" s="89"/>
      <c r="Z327" s="89"/>
    </row>
    <row r="328" ht="14.25" customHeight="1">
      <c r="A328" s="91"/>
      <c r="B328" s="91"/>
      <c r="C328" s="89"/>
      <c r="D328" s="89"/>
      <c r="E328" s="91"/>
      <c r="F328" s="102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103"/>
      <c r="X328" s="103"/>
      <c r="Y328" s="89"/>
      <c r="Z328" s="89"/>
    </row>
    <row r="329" ht="14.25" customHeight="1">
      <c r="A329" s="91"/>
      <c r="B329" s="91"/>
      <c r="C329" s="89"/>
      <c r="D329" s="89"/>
      <c r="E329" s="91"/>
      <c r="F329" s="102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103"/>
      <c r="X329" s="103"/>
      <c r="Y329" s="89"/>
      <c r="Z329" s="89"/>
    </row>
    <row r="330" ht="14.25" customHeight="1">
      <c r="A330" s="91"/>
      <c r="B330" s="91"/>
      <c r="C330" s="89"/>
      <c r="D330" s="89"/>
      <c r="E330" s="91"/>
      <c r="F330" s="102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103"/>
      <c r="X330" s="103"/>
      <c r="Y330" s="89"/>
      <c r="Z330" s="89"/>
    </row>
    <row r="331" ht="14.25" customHeight="1">
      <c r="A331" s="91"/>
      <c r="B331" s="91"/>
      <c r="C331" s="89"/>
      <c r="D331" s="89"/>
      <c r="E331" s="91"/>
      <c r="F331" s="102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103"/>
      <c r="X331" s="103"/>
      <c r="Y331" s="89"/>
      <c r="Z331" s="89"/>
    </row>
    <row r="332" ht="14.25" customHeight="1">
      <c r="A332" s="91"/>
      <c r="B332" s="91"/>
      <c r="C332" s="89"/>
      <c r="D332" s="89"/>
      <c r="E332" s="91"/>
      <c r="F332" s="102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103"/>
      <c r="X332" s="103"/>
      <c r="Y332" s="89"/>
      <c r="Z332" s="89"/>
    </row>
    <row r="333" ht="14.25" customHeight="1">
      <c r="A333" s="91"/>
      <c r="B333" s="91"/>
      <c r="C333" s="89"/>
      <c r="D333" s="89"/>
      <c r="E333" s="91"/>
      <c r="F333" s="102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103"/>
      <c r="X333" s="103"/>
      <c r="Y333" s="89"/>
      <c r="Z333" s="89"/>
    </row>
    <row r="334" ht="14.25" customHeight="1">
      <c r="A334" s="91"/>
      <c r="B334" s="91"/>
      <c r="C334" s="89"/>
      <c r="D334" s="89"/>
      <c r="E334" s="91"/>
      <c r="F334" s="102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103"/>
      <c r="X334" s="103"/>
      <c r="Y334" s="89"/>
      <c r="Z334" s="89"/>
    </row>
    <row r="335" ht="14.25" customHeight="1">
      <c r="A335" s="91"/>
      <c r="B335" s="91"/>
      <c r="C335" s="89"/>
      <c r="D335" s="89"/>
      <c r="E335" s="91"/>
      <c r="F335" s="102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103"/>
      <c r="X335" s="103"/>
      <c r="Y335" s="89"/>
      <c r="Z335" s="89"/>
    </row>
    <row r="336" ht="14.25" customHeight="1">
      <c r="A336" s="91"/>
      <c r="B336" s="91"/>
      <c r="C336" s="89"/>
      <c r="D336" s="89"/>
      <c r="E336" s="91"/>
      <c r="F336" s="102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103"/>
      <c r="X336" s="103"/>
      <c r="Y336" s="89"/>
      <c r="Z336" s="89"/>
    </row>
    <row r="337" ht="14.25" customHeight="1">
      <c r="A337" s="91"/>
      <c r="B337" s="91"/>
      <c r="C337" s="89"/>
      <c r="D337" s="89"/>
      <c r="E337" s="91"/>
      <c r="F337" s="102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103"/>
      <c r="X337" s="103"/>
      <c r="Y337" s="89"/>
      <c r="Z337" s="89"/>
    </row>
    <row r="338" ht="14.25" customHeight="1">
      <c r="A338" s="91"/>
      <c r="B338" s="91"/>
      <c r="C338" s="89"/>
      <c r="D338" s="89"/>
      <c r="E338" s="91"/>
      <c r="F338" s="102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103"/>
      <c r="X338" s="103"/>
      <c r="Y338" s="89"/>
      <c r="Z338" s="89"/>
    </row>
    <row r="339" ht="14.25" customHeight="1">
      <c r="A339" s="91"/>
      <c r="B339" s="91"/>
      <c r="C339" s="89"/>
      <c r="D339" s="89"/>
      <c r="E339" s="91"/>
      <c r="F339" s="102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103"/>
      <c r="X339" s="103"/>
      <c r="Y339" s="89"/>
      <c r="Z339" s="89"/>
    </row>
    <row r="340" ht="14.25" customHeight="1">
      <c r="A340" s="91"/>
      <c r="B340" s="91"/>
      <c r="C340" s="89"/>
      <c r="D340" s="89"/>
      <c r="E340" s="91"/>
      <c r="F340" s="102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103"/>
      <c r="X340" s="103"/>
      <c r="Y340" s="89"/>
      <c r="Z340" s="89"/>
    </row>
    <row r="341" ht="14.25" customHeight="1">
      <c r="A341" s="91"/>
      <c r="B341" s="91"/>
      <c r="C341" s="89"/>
      <c r="D341" s="89"/>
      <c r="E341" s="91"/>
      <c r="F341" s="102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103"/>
      <c r="X341" s="103"/>
      <c r="Y341" s="89"/>
      <c r="Z341" s="89"/>
    </row>
    <row r="342" ht="14.25" customHeight="1">
      <c r="A342" s="91"/>
      <c r="B342" s="91"/>
      <c r="C342" s="89"/>
      <c r="D342" s="89"/>
      <c r="E342" s="91"/>
      <c r="F342" s="102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103"/>
      <c r="X342" s="103"/>
      <c r="Y342" s="89"/>
      <c r="Z342" s="89"/>
    </row>
    <row r="343" ht="14.25" customHeight="1">
      <c r="A343" s="91"/>
      <c r="B343" s="91"/>
      <c r="C343" s="89"/>
      <c r="D343" s="89"/>
      <c r="E343" s="91"/>
      <c r="F343" s="102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103"/>
      <c r="X343" s="103"/>
      <c r="Y343" s="89"/>
      <c r="Z343" s="89"/>
    </row>
    <row r="344" ht="14.25" customHeight="1">
      <c r="A344" s="91"/>
      <c r="B344" s="91"/>
      <c r="C344" s="89"/>
      <c r="D344" s="89"/>
      <c r="E344" s="91"/>
      <c r="F344" s="102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103"/>
      <c r="X344" s="103"/>
      <c r="Y344" s="89"/>
      <c r="Z344" s="89"/>
    </row>
    <row r="345" ht="14.25" customHeight="1">
      <c r="A345" s="91"/>
      <c r="B345" s="91"/>
      <c r="C345" s="89"/>
      <c r="D345" s="89"/>
      <c r="E345" s="91"/>
      <c r="F345" s="102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103"/>
      <c r="X345" s="103"/>
      <c r="Y345" s="89"/>
      <c r="Z345" s="89"/>
    </row>
    <row r="346" ht="14.25" customHeight="1">
      <c r="A346" s="91"/>
      <c r="B346" s="91"/>
      <c r="C346" s="89"/>
      <c r="D346" s="89"/>
      <c r="E346" s="91"/>
      <c r="F346" s="102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103"/>
      <c r="X346" s="103"/>
      <c r="Y346" s="89"/>
      <c r="Z346" s="89"/>
    </row>
    <row r="347" ht="14.25" customHeight="1">
      <c r="A347" s="91"/>
      <c r="B347" s="91"/>
      <c r="C347" s="89"/>
      <c r="D347" s="89"/>
      <c r="E347" s="91"/>
      <c r="F347" s="102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103"/>
      <c r="X347" s="103"/>
      <c r="Y347" s="89"/>
      <c r="Z347" s="89"/>
    </row>
    <row r="348" ht="14.25" customHeight="1">
      <c r="A348" s="91"/>
      <c r="B348" s="91"/>
      <c r="C348" s="89"/>
      <c r="D348" s="89"/>
      <c r="E348" s="91"/>
      <c r="F348" s="102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103"/>
      <c r="X348" s="103"/>
      <c r="Y348" s="89"/>
      <c r="Z348" s="89"/>
    </row>
    <row r="349" ht="14.25" customHeight="1">
      <c r="A349" s="91"/>
      <c r="B349" s="91"/>
      <c r="C349" s="89"/>
      <c r="D349" s="89"/>
      <c r="E349" s="91"/>
      <c r="F349" s="102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103"/>
      <c r="X349" s="103"/>
      <c r="Y349" s="89"/>
      <c r="Z349" s="89"/>
    </row>
    <row r="350" ht="14.25" customHeight="1">
      <c r="A350" s="91"/>
      <c r="B350" s="91"/>
      <c r="C350" s="89"/>
      <c r="D350" s="89"/>
      <c r="E350" s="91"/>
      <c r="F350" s="102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103"/>
      <c r="X350" s="103"/>
      <c r="Y350" s="89"/>
      <c r="Z350" s="89"/>
    </row>
    <row r="351" ht="14.25" customHeight="1">
      <c r="A351" s="91"/>
      <c r="B351" s="91"/>
      <c r="C351" s="89"/>
      <c r="D351" s="89"/>
      <c r="E351" s="91"/>
      <c r="F351" s="102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103"/>
      <c r="X351" s="103"/>
      <c r="Y351" s="89"/>
      <c r="Z351" s="89"/>
    </row>
    <row r="352" ht="14.25" customHeight="1">
      <c r="A352" s="91"/>
      <c r="B352" s="91"/>
      <c r="C352" s="89"/>
      <c r="D352" s="89"/>
      <c r="E352" s="91"/>
      <c r="F352" s="102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103"/>
      <c r="X352" s="103"/>
      <c r="Y352" s="89"/>
      <c r="Z352" s="89"/>
    </row>
    <row r="353" ht="14.25" customHeight="1">
      <c r="A353" s="91"/>
      <c r="B353" s="91"/>
      <c r="C353" s="89"/>
      <c r="D353" s="89"/>
      <c r="E353" s="91"/>
      <c r="F353" s="102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103"/>
      <c r="X353" s="103"/>
      <c r="Y353" s="89"/>
      <c r="Z353" s="89"/>
    </row>
    <row r="354" ht="14.25" customHeight="1">
      <c r="A354" s="91"/>
      <c r="B354" s="91"/>
      <c r="C354" s="89"/>
      <c r="D354" s="89"/>
      <c r="E354" s="91"/>
      <c r="F354" s="102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103"/>
      <c r="X354" s="103"/>
      <c r="Y354" s="89"/>
      <c r="Z354" s="89"/>
    </row>
    <row r="355" ht="14.25" customHeight="1">
      <c r="A355" s="91"/>
      <c r="B355" s="91"/>
      <c r="C355" s="89"/>
      <c r="D355" s="89"/>
      <c r="E355" s="91"/>
      <c r="F355" s="102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103"/>
      <c r="X355" s="103"/>
      <c r="Y355" s="89"/>
      <c r="Z355" s="89"/>
    </row>
    <row r="356" ht="14.25" customHeight="1">
      <c r="A356" s="91"/>
      <c r="B356" s="91"/>
      <c r="C356" s="89"/>
      <c r="D356" s="89"/>
      <c r="E356" s="91"/>
      <c r="F356" s="102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103"/>
      <c r="X356" s="103"/>
      <c r="Y356" s="89"/>
      <c r="Z356" s="89"/>
    </row>
    <row r="357" ht="14.25" customHeight="1">
      <c r="A357" s="91"/>
      <c r="B357" s="91"/>
      <c r="C357" s="89"/>
      <c r="D357" s="89"/>
      <c r="E357" s="91"/>
      <c r="F357" s="102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103"/>
      <c r="X357" s="103"/>
      <c r="Y357" s="89"/>
      <c r="Z357" s="89"/>
    </row>
    <row r="358" ht="14.25" customHeight="1">
      <c r="A358" s="91"/>
      <c r="B358" s="91"/>
      <c r="C358" s="89"/>
      <c r="D358" s="89"/>
      <c r="E358" s="91"/>
      <c r="F358" s="102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103"/>
      <c r="X358" s="103"/>
      <c r="Y358" s="89"/>
      <c r="Z358" s="89"/>
    </row>
    <row r="359" ht="14.25" customHeight="1">
      <c r="A359" s="91"/>
      <c r="B359" s="91"/>
      <c r="C359" s="89"/>
      <c r="D359" s="89"/>
      <c r="E359" s="91"/>
      <c r="F359" s="102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103"/>
      <c r="X359" s="103"/>
      <c r="Y359" s="89"/>
      <c r="Z359" s="89"/>
    </row>
    <row r="360" ht="14.25" customHeight="1">
      <c r="A360" s="91"/>
      <c r="B360" s="91"/>
      <c r="C360" s="89"/>
      <c r="D360" s="89"/>
      <c r="E360" s="91"/>
      <c r="F360" s="102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103"/>
      <c r="X360" s="103"/>
      <c r="Y360" s="89"/>
      <c r="Z360" s="89"/>
    </row>
    <row r="361" ht="14.25" customHeight="1">
      <c r="A361" s="91"/>
      <c r="B361" s="91"/>
      <c r="C361" s="89"/>
      <c r="D361" s="89"/>
      <c r="E361" s="91"/>
      <c r="F361" s="102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103"/>
      <c r="X361" s="103"/>
      <c r="Y361" s="89"/>
      <c r="Z361" s="89"/>
    </row>
    <row r="362" ht="14.25" customHeight="1">
      <c r="A362" s="91"/>
      <c r="B362" s="91"/>
      <c r="C362" s="89"/>
      <c r="D362" s="89"/>
      <c r="E362" s="91"/>
      <c r="F362" s="102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103"/>
      <c r="X362" s="103"/>
      <c r="Y362" s="89"/>
      <c r="Z362" s="89"/>
    </row>
    <row r="363" ht="14.25" customHeight="1">
      <c r="A363" s="91"/>
      <c r="B363" s="91"/>
      <c r="C363" s="89"/>
      <c r="D363" s="89"/>
      <c r="E363" s="91"/>
      <c r="F363" s="102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103"/>
      <c r="X363" s="103"/>
      <c r="Y363" s="89"/>
      <c r="Z363" s="89"/>
    </row>
    <row r="364" ht="14.25" customHeight="1">
      <c r="A364" s="91"/>
      <c r="B364" s="91"/>
      <c r="C364" s="89"/>
      <c r="D364" s="89"/>
      <c r="E364" s="91"/>
      <c r="F364" s="102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103"/>
      <c r="X364" s="103"/>
      <c r="Y364" s="89"/>
      <c r="Z364" s="89"/>
    </row>
    <row r="365" ht="14.25" customHeight="1">
      <c r="A365" s="91"/>
      <c r="B365" s="91"/>
      <c r="C365" s="89"/>
      <c r="D365" s="89"/>
      <c r="E365" s="91"/>
      <c r="F365" s="102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103"/>
      <c r="X365" s="103"/>
      <c r="Y365" s="89"/>
      <c r="Z365" s="89"/>
    </row>
    <row r="366" ht="14.25" customHeight="1">
      <c r="A366" s="91"/>
      <c r="B366" s="91"/>
      <c r="C366" s="89"/>
      <c r="D366" s="89"/>
      <c r="E366" s="91"/>
      <c r="F366" s="102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103"/>
      <c r="X366" s="103"/>
      <c r="Y366" s="89"/>
      <c r="Z366" s="89"/>
    </row>
    <row r="367" ht="14.25" customHeight="1">
      <c r="A367" s="91"/>
      <c r="B367" s="91"/>
      <c r="C367" s="89"/>
      <c r="D367" s="89"/>
      <c r="E367" s="91"/>
      <c r="F367" s="102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103"/>
      <c r="X367" s="103"/>
      <c r="Y367" s="89"/>
      <c r="Z367" s="89"/>
    </row>
    <row r="368" ht="14.25" customHeight="1">
      <c r="A368" s="91"/>
      <c r="B368" s="91"/>
      <c r="C368" s="89"/>
      <c r="D368" s="89"/>
      <c r="E368" s="91"/>
      <c r="F368" s="102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103"/>
      <c r="X368" s="103"/>
      <c r="Y368" s="89"/>
      <c r="Z368" s="89"/>
    </row>
    <row r="369" ht="14.25" customHeight="1">
      <c r="A369" s="91"/>
      <c r="B369" s="91"/>
      <c r="C369" s="89"/>
      <c r="D369" s="89"/>
      <c r="E369" s="91"/>
      <c r="F369" s="102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103"/>
      <c r="X369" s="103"/>
      <c r="Y369" s="89"/>
      <c r="Z369" s="89"/>
    </row>
    <row r="370" ht="14.25" customHeight="1">
      <c r="A370" s="91"/>
      <c r="B370" s="91"/>
      <c r="C370" s="89"/>
      <c r="D370" s="89"/>
      <c r="E370" s="91"/>
      <c r="F370" s="102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103"/>
      <c r="X370" s="103"/>
      <c r="Y370" s="89"/>
      <c r="Z370" s="89"/>
    </row>
    <row r="371" ht="14.25" customHeight="1">
      <c r="A371" s="91"/>
      <c r="B371" s="91"/>
      <c r="C371" s="89"/>
      <c r="D371" s="89"/>
      <c r="E371" s="91"/>
      <c r="F371" s="102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103"/>
      <c r="X371" s="103"/>
      <c r="Y371" s="89"/>
      <c r="Z371" s="89"/>
    </row>
    <row r="372" ht="14.25" customHeight="1">
      <c r="A372" s="91"/>
      <c r="B372" s="91"/>
      <c r="C372" s="89"/>
      <c r="D372" s="89"/>
      <c r="E372" s="91"/>
      <c r="F372" s="102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103"/>
      <c r="X372" s="103"/>
      <c r="Y372" s="89"/>
      <c r="Z372" s="89"/>
    </row>
    <row r="373" ht="14.25" customHeight="1">
      <c r="A373" s="91"/>
      <c r="B373" s="91"/>
      <c r="C373" s="89"/>
      <c r="D373" s="89"/>
      <c r="E373" s="91"/>
      <c r="F373" s="102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103"/>
      <c r="X373" s="103"/>
      <c r="Y373" s="89"/>
      <c r="Z373" s="89"/>
    </row>
    <row r="374" ht="14.25" customHeight="1">
      <c r="A374" s="91"/>
      <c r="B374" s="91"/>
      <c r="C374" s="89"/>
      <c r="D374" s="89"/>
      <c r="E374" s="91"/>
      <c r="F374" s="102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103"/>
      <c r="X374" s="103"/>
      <c r="Y374" s="89"/>
      <c r="Z374" s="89"/>
    </row>
    <row r="375" ht="14.25" customHeight="1">
      <c r="A375" s="91"/>
      <c r="B375" s="91"/>
      <c r="C375" s="89"/>
      <c r="D375" s="89"/>
      <c r="E375" s="91"/>
      <c r="F375" s="102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103"/>
      <c r="X375" s="103"/>
      <c r="Y375" s="89"/>
      <c r="Z375" s="89"/>
    </row>
    <row r="376" ht="14.25" customHeight="1">
      <c r="A376" s="91"/>
      <c r="B376" s="91"/>
      <c r="C376" s="89"/>
      <c r="D376" s="89"/>
      <c r="E376" s="91"/>
      <c r="F376" s="102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103"/>
      <c r="X376" s="103"/>
      <c r="Y376" s="89"/>
      <c r="Z376" s="89"/>
    </row>
    <row r="377" ht="14.25" customHeight="1">
      <c r="A377" s="91"/>
      <c r="B377" s="91"/>
      <c r="C377" s="89"/>
      <c r="D377" s="89"/>
      <c r="E377" s="91"/>
      <c r="F377" s="102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103"/>
      <c r="X377" s="103"/>
      <c r="Y377" s="89"/>
      <c r="Z377" s="89"/>
    </row>
    <row r="378" ht="14.25" customHeight="1">
      <c r="A378" s="91"/>
      <c r="B378" s="91"/>
      <c r="C378" s="89"/>
      <c r="D378" s="89"/>
      <c r="E378" s="91"/>
      <c r="F378" s="102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103"/>
      <c r="X378" s="103"/>
      <c r="Y378" s="89"/>
      <c r="Z378" s="89"/>
    </row>
    <row r="379" ht="14.25" customHeight="1">
      <c r="A379" s="91"/>
      <c r="B379" s="91"/>
      <c r="C379" s="89"/>
      <c r="D379" s="89"/>
      <c r="E379" s="91"/>
      <c r="F379" s="102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103"/>
      <c r="X379" s="103"/>
      <c r="Y379" s="89"/>
      <c r="Z379" s="89"/>
    </row>
    <row r="380" ht="14.25" customHeight="1">
      <c r="A380" s="91"/>
      <c r="B380" s="91"/>
      <c r="C380" s="89"/>
      <c r="D380" s="89"/>
      <c r="E380" s="91"/>
      <c r="F380" s="102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103"/>
      <c r="X380" s="103"/>
      <c r="Y380" s="89"/>
      <c r="Z380" s="89"/>
    </row>
    <row r="381" ht="14.25" customHeight="1">
      <c r="A381" s="91"/>
      <c r="B381" s="91"/>
      <c r="C381" s="89"/>
      <c r="D381" s="89"/>
      <c r="E381" s="91"/>
      <c r="F381" s="102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103"/>
      <c r="X381" s="103"/>
      <c r="Y381" s="89"/>
      <c r="Z381" s="89"/>
    </row>
    <row r="382" ht="14.25" customHeight="1">
      <c r="A382" s="91"/>
      <c r="B382" s="91"/>
      <c r="C382" s="89"/>
      <c r="D382" s="89"/>
      <c r="E382" s="91"/>
      <c r="F382" s="102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103"/>
      <c r="X382" s="103"/>
      <c r="Y382" s="89"/>
      <c r="Z382" s="89"/>
    </row>
    <row r="383" ht="14.25" customHeight="1">
      <c r="A383" s="91"/>
      <c r="B383" s="91"/>
      <c r="C383" s="89"/>
      <c r="D383" s="89"/>
      <c r="E383" s="91"/>
      <c r="F383" s="102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103"/>
      <c r="X383" s="103"/>
      <c r="Y383" s="89"/>
      <c r="Z383" s="89"/>
    </row>
    <row r="384" ht="14.25" customHeight="1">
      <c r="A384" s="91"/>
      <c r="B384" s="91"/>
      <c r="C384" s="89"/>
      <c r="D384" s="89"/>
      <c r="E384" s="91"/>
      <c r="F384" s="102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103"/>
      <c r="X384" s="103"/>
      <c r="Y384" s="89"/>
      <c r="Z384" s="89"/>
    </row>
    <row r="385" ht="14.25" customHeight="1">
      <c r="A385" s="91"/>
      <c r="B385" s="91"/>
      <c r="C385" s="89"/>
      <c r="D385" s="89"/>
      <c r="E385" s="91"/>
      <c r="F385" s="102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103"/>
      <c r="X385" s="103"/>
      <c r="Y385" s="89"/>
      <c r="Z385" s="89"/>
    </row>
    <row r="386" ht="14.25" customHeight="1">
      <c r="A386" s="91"/>
      <c r="B386" s="91"/>
      <c r="C386" s="89"/>
      <c r="D386" s="89"/>
      <c r="E386" s="91"/>
      <c r="F386" s="102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103"/>
      <c r="X386" s="103"/>
      <c r="Y386" s="89"/>
      <c r="Z386" s="89"/>
    </row>
    <row r="387" ht="14.25" customHeight="1">
      <c r="A387" s="91"/>
      <c r="B387" s="91"/>
      <c r="C387" s="89"/>
      <c r="D387" s="89"/>
      <c r="E387" s="91"/>
      <c r="F387" s="102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103"/>
      <c r="X387" s="103"/>
      <c r="Y387" s="89"/>
      <c r="Z387" s="89"/>
    </row>
    <row r="388" ht="14.25" customHeight="1">
      <c r="A388" s="91"/>
      <c r="B388" s="91"/>
      <c r="C388" s="89"/>
      <c r="D388" s="89"/>
      <c r="E388" s="91"/>
      <c r="F388" s="102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103"/>
      <c r="X388" s="103"/>
      <c r="Y388" s="89"/>
      <c r="Z388" s="89"/>
    </row>
    <row r="389" ht="14.25" customHeight="1">
      <c r="A389" s="91"/>
      <c r="B389" s="91"/>
      <c r="C389" s="89"/>
      <c r="D389" s="89"/>
      <c r="E389" s="91"/>
      <c r="F389" s="102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103"/>
      <c r="X389" s="103"/>
      <c r="Y389" s="89"/>
      <c r="Z389" s="89"/>
    </row>
    <row r="390" ht="14.25" customHeight="1">
      <c r="A390" s="91"/>
      <c r="B390" s="91"/>
      <c r="C390" s="89"/>
      <c r="D390" s="89"/>
      <c r="E390" s="91"/>
      <c r="F390" s="102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103"/>
      <c r="X390" s="103"/>
      <c r="Y390" s="89"/>
      <c r="Z390" s="89"/>
    </row>
    <row r="391" ht="14.25" customHeight="1">
      <c r="A391" s="91"/>
      <c r="B391" s="91"/>
      <c r="C391" s="89"/>
      <c r="D391" s="89"/>
      <c r="E391" s="91"/>
      <c r="F391" s="102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103"/>
      <c r="X391" s="103"/>
      <c r="Y391" s="89"/>
      <c r="Z391" s="89"/>
    </row>
    <row r="392" ht="14.25" customHeight="1">
      <c r="A392" s="91"/>
      <c r="B392" s="91"/>
      <c r="C392" s="89"/>
      <c r="D392" s="89"/>
      <c r="E392" s="91"/>
      <c r="F392" s="102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103"/>
      <c r="X392" s="103"/>
      <c r="Y392" s="89"/>
      <c r="Z392" s="89"/>
    </row>
    <row r="393" ht="14.25" customHeight="1">
      <c r="A393" s="91"/>
      <c r="B393" s="91"/>
      <c r="C393" s="89"/>
      <c r="D393" s="89"/>
      <c r="E393" s="91"/>
      <c r="F393" s="102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103"/>
      <c r="X393" s="103"/>
      <c r="Y393" s="89"/>
      <c r="Z393" s="89"/>
    </row>
    <row r="394" ht="14.25" customHeight="1">
      <c r="A394" s="91"/>
      <c r="B394" s="91"/>
      <c r="C394" s="89"/>
      <c r="D394" s="89"/>
      <c r="E394" s="91"/>
      <c r="F394" s="102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103"/>
      <c r="X394" s="103"/>
      <c r="Y394" s="89"/>
      <c r="Z394" s="89"/>
    </row>
    <row r="395" ht="14.25" customHeight="1">
      <c r="A395" s="91"/>
      <c r="B395" s="91"/>
      <c r="C395" s="89"/>
      <c r="D395" s="89"/>
      <c r="E395" s="91"/>
      <c r="F395" s="102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103"/>
      <c r="X395" s="103"/>
      <c r="Y395" s="89"/>
      <c r="Z395" s="89"/>
    </row>
    <row r="396" ht="14.25" customHeight="1">
      <c r="A396" s="91"/>
      <c r="B396" s="91"/>
      <c r="C396" s="89"/>
      <c r="D396" s="89"/>
      <c r="E396" s="91"/>
      <c r="F396" s="102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103"/>
      <c r="X396" s="103"/>
      <c r="Y396" s="89"/>
      <c r="Z396" s="89"/>
    </row>
    <row r="397" ht="14.25" customHeight="1">
      <c r="A397" s="91"/>
      <c r="B397" s="91"/>
      <c r="C397" s="89"/>
      <c r="D397" s="89"/>
      <c r="E397" s="91"/>
      <c r="F397" s="102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103"/>
      <c r="X397" s="103"/>
      <c r="Y397" s="89"/>
      <c r="Z397" s="89"/>
    </row>
    <row r="398" ht="14.25" customHeight="1">
      <c r="A398" s="91"/>
      <c r="B398" s="91"/>
      <c r="C398" s="89"/>
      <c r="D398" s="89"/>
      <c r="E398" s="91"/>
      <c r="F398" s="102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103"/>
      <c r="X398" s="103"/>
      <c r="Y398" s="89"/>
      <c r="Z398" s="89"/>
    </row>
    <row r="399" ht="14.25" customHeight="1">
      <c r="A399" s="91"/>
      <c r="B399" s="91"/>
      <c r="C399" s="89"/>
      <c r="D399" s="89"/>
      <c r="E399" s="91"/>
      <c r="F399" s="102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103"/>
      <c r="X399" s="103"/>
      <c r="Y399" s="89"/>
      <c r="Z399" s="89"/>
    </row>
    <row r="400" ht="14.25" customHeight="1">
      <c r="A400" s="91"/>
      <c r="B400" s="91"/>
      <c r="C400" s="89"/>
      <c r="D400" s="89"/>
      <c r="E400" s="91"/>
      <c r="F400" s="102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103"/>
      <c r="X400" s="103"/>
      <c r="Y400" s="89"/>
      <c r="Z400" s="89"/>
    </row>
    <row r="401" ht="14.25" customHeight="1">
      <c r="A401" s="91"/>
      <c r="B401" s="91"/>
      <c r="C401" s="89"/>
      <c r="D401" s="89"/>
      <c r="E401" s="91"/>
      <c r="F401" s="102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103"/>
      <c r="X401" s="103"/>
      <c r="Y401" s="89"/>
      <c r="Z401" s="89"/>
    </row>
    <row r="402" ht="14.25" customHeight="1">
      <c r="A402" s="91"/>
      <c r="B402" s="91"/>
      <c r="C402" s="89"/>
      <c r="D402" s="89"/>
      <c r="E402" s="91"/>
      <c r="F402" s="102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103"/>
      <c r="X402" s="103"/>
      <c r="Y402" s="89"/>
      <c r="Z402" s="89"/>
    </row>
    <row r="403" ht="14.25" customHeight="1">
      <c r="A403" s="91"/>
      <c r="B403" s="91"/>
      <c r="C403" s="89"/>
      <c r="D403" s="89"/>
      <c r="E403" s="91"/>
      <c r="F403" s="102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103"/>
      <c r="X403" s="103"/>
      <c r="Y403" s="89"/>
      <c r="Z403" s="89"/>
    </row>
    <row r="404" ht="14.25" customHeight="1">
      <c r="A404" s="91"/>
      <c r="B404" s="91"/>
      <c r="C404" s="89"/>
      <c r="D404" s="89"/>
      <c r="E404" s="91"/>
      <c r="F404" s="102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103"/>
      <c r="X404" s="103"/>
      <c r="Y404" s="89"/>
      <c r="Z404" s="89"/>
    </row>
    <row r="405" ht="14.25" customHeight="1">
      <c r="A405" s="91"/>
      <c r="B405" s="91"/>
      <c r="C405" s="89"/>
      <c r="D405" s="89"/>
      <c r="E405" s="91"/>
      <c r="F405" s="102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103"/>
      <c r="X405" s="103"/>
      <c r="Y405" s="89"/>
      <c r="Z405" s="89"/>
    </row>
    <row r="406" ht="14.25" customHeight="1">
      <c r="A406" s="91"/>
      <c r="B406" s="91"/>
      <c r="C406" s="89"/>
      <c r="D406" s="89"/>
      <c r="E406" s="91"/>
      <c r="F406" s="102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103"/>
      <c r="X406" s="103"/>
      <c r="Y406" s="89"/>
      <c r="Z406" s="89"/>
    </row>
    <row r="407" ht="14.25" customHeight="1">
      <c r="A407" s="91"/>
      <c r="B407" s="91"/>
      <c r="C407" s="89"/>
      <c r="D407" s="89"/>
      <c r="E407" s="91"/>
      <c r="F407" s="102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103"/>
      <c r="X407" s="103"/>
      <c r="Y407" s="89"/>
      <c r="Z407" s="89"/>
    </row>
    <row r="408" ht="14.25" customHeight="1">
      <c r="A408" s="91"/>
      <c r="B408" s="91"/>
      <c r="C408" s="89"/>
      <c r="D408" s="89"/>
      <c r="E408" s="91"/>
      <c r="F408" s="102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103"/>
      <c r="X408" s="103"/>
      <c r="Y408" s="89"/>
      <c r="Z408" s="89"/>
    </row>
    <row r="409" ht="14.25" customHeight="1">
      <c r="A409" s="91"/>
      <c r="B409" s="91"/>
      <c r="C409" s="89"/>
      <c r="D409" s="89"/>
      <c r="E409" s="91"/>
      <c r="F409" s="102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103"/>
      <c r="X409" s="103"/>
      <c r="Y409" s="89"/>
      <c r="Z409" s="89"/>
    </row>
    <row r="410" ht="14.25" customHeight="1">
      <c r="A410" s="91"/>
      <c r="B410" s="91"/>
      <c r="C410" s="89"/>
      <c r="D410" s="89"/>
      <c r="E410" s="91"/>
      <c r="F410" s="102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103"/>
      <c r="X410" s="103"/>
      <c r="Y410" s="89"/>
      <c r="Z410" s="89"/>
    </row>
    <row r="411" ht="14.25" customHeight="1">
      <c r="A411" s="91"/>
      <c r="B411" s="91"/>
      <c r="C411" s="89"/>
      <c r="D411" s="89"/>
      <c r="E411" s="91"/>
      <c r="F411" s="102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103"/>
      <c r="X411" s="103"/>
      <c r="Y411" s="89"/>
      <c r="Z411" s="89"/>
    </row>
    <row r="412" ht="14.25" customHeight="1">
      <c r="A412" s="91"/>
      <c r="B412" s="91"/>
      <c r="C412" s="89"/>
      <c r="D412" s="89"/>
      <c r="E412" s="91"/>
      <c r="F412" s="102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103"/>
      <c r="X412" s="103"/>
      <c r="Y412" s="89"/>
      <c r="Z412" s="89"/>
    </row>
    <row r="413" ht="14.25" customHeight="1">
      <c r="A413" s="91"/>
      <c r="B413" s="91"/>
      <c r="C413" s="89"/>
      <c r="D413" s="89"/>
      <c r="E413" s="91"/>
      <c r="F413" s="102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103"/>
      <c r="X413" s="103"/>
      <c r="Y413" s="89"/>
      <c r="Z413" s="89"/>
    </row>
    <row r="414" ht="14.25" customHeight="1">
      <c r="A414" s="91"/>
      <c r="B414" s="91"/>
      <c r="C414" s="89"/>
      <c r="D414" s="89"/>
      <c r="E414" s="91"/>
      <c r="F414" s="102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103"/>
      <c r="X414" s="103"/>
      <c r="Y414" s="89"/>
      <c r="Z414" s="89"/>
    </row>
    <row r="415" ht="14.25" customHeight="1">
      <c r="A415" s="91"/>
      <c r="B415" s="91"/>
      <c r="C415" s="89"/>
      <c r="D415" s="89"/>
      <c r="E415" s="91"/>
      <c r="F415" s="102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103"/>
      <c r="X415" s="103"/>
      <c r="Y415" s="89"/>
      <c r="Z415" s="89"/>
    </row>
    <row r="416" ht="14.25" customHeight="1">
      <c r="A416" s="91"/>
      <c r="B416" s="91"/>
      <c r="C416" s="89"/>
      <c r="D416" s="89"/>
      <c r="E416" s="91"/>
      <c r="F416" s="102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103"/>
      <c r="X416" s="103"/>
      <c r="Y416" s="89"/>
      <c r="Z416" s="89"/>
    </row>
    <row r="417" ht="14.25" customHeight="1">
      <c r="A417" s="91"/>
      <c r="B417" s="91"/>
      <c r="C417" s="89"/>
      <c r="D417" s="89"/>
      <c r="E417" s="91"/>
      <c r="F417" s="102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103"/>
      <c r="X417" s="103"/>
      <c r="Y417" s="89"/>
      <c r="Z417" s="89"/>
    </row>
    <row r="418" ht="14.25" customHeight="1">
      <c r="A418" s="91"/>
      <c r="B418" s="91"/>
      <c r="C418" s="89"/>
      <c r="D418" s="89"/>
      <c r="E418" s="91"/>
      <c r="F418" s="102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103"/>
      <c r="X418" s="103"/>
      <c r="Y418" s="89"/>
      <c r="Z418" s="89"/>
    </row>
    <row r="419" ht="14.25" customHeight="1">
      <c r="A419" s="91"/>
      <c r="B419" s="91"/>
      <c r="C419" s="89"/>
      <c r="D419" s="89"/>
      <c r="E419" s="91"/>
      <c r="F419" s="102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103"/>
      <c r="X419" s="103"/>
      <c r="Y419" s="89"/>
      <c r="Z419" s="89"/>
    </row>
    <row r="420" ht="14.25" customHeight="1">
      <c r="A420" s="91"/>
      <c r="B420" s="91"/>
      <c r="C420" s="89"/>
      <c r="D420" s="89"/>
      <c r="E420" s="91"/>
      <c r="F420" s="102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103"/>
      <c r="X420" s="103"/>
      <c r="Y420" s="89"/>
      <c r="Z420" s="89"/>
    </row>
    <row r="421" ht="14.25" customHeight="1">
      <c r="A421" s="91"/>
      <c r="B421" s="91"/>
      <c r="C421" s="89"/>
      <c r="D421" s="89"/>
      <c r="E421" s="91"/>
      <c r="F421" s="102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103"/>
      <c r="X421" s="103"/>
      <c r="Y421" s="89"/>
      <c r="Z421" s="89"/>
    </row>
    <row r="422" ht="14.25" customHeight="1">
      <c r="A422" s="91"/>
      <c r="B422" s="91"/>
      <c r="C422" s="89"/>
      <c r="D422" s="89"/>
      <c r="E422" s="91"/>
      <c r="F422" s="102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103"/>
      <c r="X422" s="103"/>
      <c r="Y422" s="89"/>
      <c r="Z422" s="89"/>
    </row>
    <row r="423" ht="14.25" customHeight="1">
      <c r="A423" s="91"/>
      <c r="B423" s="91"/>
      <c r="C423" s="89"/>
      <c r="D423" s="89"/>
      <c r="E423" s="91"/>
      <c r="F423" s="102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103"/>
      <c r="X423" s="103"/>
      <c r="Y423" s="89"/>
      <c r="Z423" s="89"/>
    </row>
    <row r="424" ht="14.25" customHeight="1">
      <c r="A424" s="91"/>
      <c r="B424" s="91"/>
      <c r="C424" s="89"/>
      <c r="D424" s="89"/>
      <c r="E424" s="91"/>
      <c r="F424" s="102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103"/>
      <c r="X424" s="103"/>
      <c r="Y424" s="89"/>
      <c r="Z424" s="89"/>
    </row>
    <row r="425" ht="14.25" customHeight="1">
      <c r="A425" s="91"/>
      <c r="B425" s="91"/>
      <c r="C425" s="89"/>
      <c r="D425" s="89"/>
      <c r="E425" s="91"/>
      <c r="F425" s="102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103"/>
      <c r="X425" s="103"/>
      <c r="Y425" s="89"/>
      <c r="Z425" s="89"/>
    </row>
    <row r="426" ht="14.25" customHeight="1">
      <c r="A426" s="91"/>
      <c r="B426" s="91"/>
      <c r="C426" s="89"/>
      <c r="D426" s="89"/>
      <c r="E426" s="91"/>
      <c r="F426" s="102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103"/>
      <c r="X426" s="103"/>
      <c r="Y426" s="89"/>
      <c r="Z426" s="89"/>
    </row>
    <row r="427" ht="14.25" customHeight="1">
      <c r="A427" s="91"/>
      <c r="B427" s="91"/>
      <c r="C427" s="89"/>
      <c r="D427" s="89"/>
      <c r="E427" s="91"/>
      <c r="F427" s="102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103"/>
      <c r="X427" s="103"/>
      <c r="Y427" s="89"/>
      <c r="Z427" s="89"/>
    </row>
    <row r="428" ht="14.25" customHeight="1">
      <c r="A428" s="91"/>
      <c r="B428" s="91"/>
      <c r="C428" s="89"/>
      <c r="D428" s="89"/>
      <c r="E428" s="91"/>
      <c r="F428" s="102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103"/>
      <c r="X428" s="103"/>
      <c r="Y428" s="89"/>
      <c r="Z428" s="89"/>
    </row>
    <row r="429" ht="14.25" customHeight="1">
      <c r="A429" s="91"/>
      <c r="B429" s="91"/>
      <c r="C429" s="89"/>
      <c r="D429" s="89"/>
      <c r="E429" s="91"/>
      <c r="F429" s="102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103"/>
      <c r="X429" s="103"/>
      <c r="Y429" s="89"/>
      <c r="Z429" s="89"/>
    </row>
    <row r="430" ht="14.25" customHeight="1">
      <c r="A430" s="91"/>
      <c r="B430" s="91"/>
      <c r="C430" s="89"/>
      <c r="D430" s="89"/>
      <c r="E430" s="91"/>
      <c r="F430" s="102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103"/>
      <c r="X430" s="103"/>
      <c r="Y430" s="89"/>
      <c r="Z430" s="89"/>
    </row>
    <row r="431" ht="14.25" customHeight="1">
      <c r="A431" s="91"/>
      <c r="B431" s="91"/>
      <c r="C431" s="89"/>
      <c r="D431" s="89"/>
      <c r="E431" s="91"/>
      <c r="F431" s="102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103"/>
      <c r="X431" s="103"/>
      <c r="Y431" s="89"/>
      <c r="Z431" s="89"/>
    </row>
    <row r="432" ht="14.25" customHeight="1">
      <c r="A432" s="91"/>
      <c r="B432" s="91"/>
      <c r="C432" s="89"/>
      <c r="D432" s="89"/>
      <c r="E432" s="91"/>
      <c r="F432" s="102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103"/>
      <c r="X432" s="103"/>
      <c r="Y432" s="89"/>
      <c r="Z432" s="89"/>
    </row>
    <row r="433" ht="14.25" customHeight="1">
      <c r="A433" s="91"/>
      <c r="B433" s="91"/>
      <c r="C433" s="89"/>
      <c r="D433" s="89"/>
      <c r="E433" s="91"/>
      <c r="F433" s="102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103"/>
      <c r="X433" s="103"/>
      <c r="Y433" s="89"/>
      <c r="Z433" s="89"/>
    </row>
    <row r="434" ht="14.25" customHeight="1">
      <c r="A434" s="91"/>
      <c r="B434" s="91"/>
      <c r="C434" s="89"/>
      <c r="D434" s="89"/>
      <c r="E434" s="91"/>
      <c r="F434" s="102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103"/>
      <c r="X434" s="103"/>
      <c r="Y434" s="89"/>
      <c r="Z434" s="89"/>
    </row>
    <row r="435" ht="14.25" customHeight="1">
      <c r="A435" s="91"/>
      <c r="B435" s="91"/>
      <c r="C435" s="89"/>
      <c r="D435" s="89"/>
      <c r="E435" s="91"/>
      <c r="F435" s="102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103"/>
      <c r="X435" s="103"/>
      <c r="Y435" s="89"/>
      <c r="Z435" s="89"/>
    </row>
    <row r="436" ht="14.25" customHeight="1">
      <c r="A436" s="91"/>
      <c r="B436" s="91"/>
      <c r="C436" s="89"/>
      <c r="D436" s="89"/>
      <c r="E436" s="91"/>
      <c r="F436" s="102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103"/>
      <c r="X436" s="103"/>
      <c r="Y436" s="89"/>
      <c r="Z436" s="89"/>
    </row>
    <row r="437" ht="14.25" customHeight="1">
      <c r="A437" s="91"/>
      <c r="B437" s="91"/>
      <c r="C437" s="89"/>
      <c r="D437" s="89"/>
      <c r="E437" s="91"/>
      <c r="F437" s="102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103"/>
      <c r="X437" s="103"/>
      <c r="Y437" s="89"/>
      <c r="Z437" s="89"/>
    </row>
    <row r="438" ht="14.25" customHeight="1">
      <c r="A438" s="91"/>
      <c r="B438" s="91"/>
      <c r="C438" s="89"/>
      <c r="D438" s="89"/>
      <c r="E438" s="91"/>
      <c r="F438" s="102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103"/>
      <c r="X438" s="103"/>
      <c r="Y438" s="89"/>
      <c r="Z438" s="89"/>
    </row>
    <row r="439" ht="14.25" customHeight="1">
      <c r="A439" s="91"/>
      <c r="B439" s="91"/>
      <c r="C439" s="89"/>
      <c r="D439" s="89"/>
      <c r="E439" s="91"/>
      <c r="F439" s="102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103"/>
      <c r="X439" s="103"/>
      <c r="Y439" s="89"/>
      <c r="Z439" s="89"/>
    </row>
    <row r="440" ht="14.25" customHeight="1">
      <c r="A440" s="91"/>
      <c r="B440" s="91"/>
      <c r="C440" s="89"/>
      <c r="D440" s="89"/>
      <c r="E440" s="91"/>
      <c r="F440" s="102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103"/>
      <c r="X440" s="103"/>
      <c r="Y440" s="89"/>
      <c r="Z440" s="89"/>
    </row>
    <row r="441" ht="14.25" customHeight="1">
      <c r="A441" s="91"/>
      <c r="B441" s="91"/>
      <c r="C441" s="89"/>
      <c r="D441" s="89"/>
      <c r="E441" s="91"/>
      <c r="F441" s="102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103"/>
      <c r="X441" s="103"/>
      <c r="Y441" s="89"/>
      <c r="Z441" s="89"/>
    </row>
    <row r="442" ht="14.25" customHeight="1">
      <c r="A442" s="91"/>
      <c r="B442" s="91"/>
      <c r="C442" s="89"/>
      <c r="D442" s="89"/>
      <c r="E442" s="91"/>
      <c r="F442" s="102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103"/>
      <c r="X442" s="103"/>
      <c r="Y442" s="89"/>
      <c r="Z442" s="89"/>
    </row>
    <row r="443" ht="14.25" customHeight="1">
      <c r="A443" s="91"/>
      <c r="B443" s="91"/>
      <c r="C443" s="89"/>
      <c r="D443" s="89"/>
      <c r="E443" s="91"/>
      <c r="F443" s="102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103"/>
      <c r="X443" s="103"/>
      <c r="Y443" s="89"/>
      <c r="Z443" s="89"/>
    </row>
    <row r="444" ht="14.25" customHeight="1">
      <c r="A444" s="91"/>
      <c r="B444" s="91"/>
      <c r="C444" s="89"/>
      <c r="D444" s="89"/>
      <c r="E444" s="91"/>
      <c r="F444" s="102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103"/>
      <c r="X444" s="103"/>
      <c r="Y444" s="89"/>
      <c r="Z444" s="89"/>
    </row>
    <row r="445" ht="14.25" customHeight="1">
      <c r="A445" s="91"/>
      <c r="B445" s="91"/>
      <c r="C445" s="89"/>
      <c r="D445" s="89"/>
      <c r="E445" s="91"/>
      <c r="F445" s="102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103"/>
      <c r="X445" s="103"/>
      <c r="Y445" s="89"/>
      <c r="Z445" s="89"/>
    </row>
    <row r="446" ht="14.25" customHeight="1">
      <c r="A446" s="91"/>
      <c r="B446" s="91"/>
      <c r="C446" s="89"/>
      <c r="D446" s="89"/>
      <c r="E446" s="91"/>
      <c r="F446" s="102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103"/>
      <c r="X446" s="103"/>
      <c r="Y446" s="89"/>
      <c r="Z446" s="89"/>
    </row>
    <row r="447" ht="14.25" customHeight="1">
      <c r="A447" s="91"/>
      <c r="B447" s="91"/>
      <c r="C447" s="89"/>
      <c r="D447" s="89"/>
      <c r="E447" s="91"/>
      <c r="F447" s="102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103"/>
      <c r="X447" s="103"/>
      <c r="Y447" s="89"/>
      <c r="Z447" s="89"/>
    </row>
    <row r="448" ht="14.25" customHeight="1">
      <c r="A448" s="91"/>
      <c r="B448" s="91"/>
      <c r="C448" s="89"/>
      <c r="D448" s="89"/>
      <c r="E448" s="91"/>
      <c r="F448" s="102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103"/>
      <c r="X448" s="103"/>
      <c r="Y448" s="89"/>
      <c r="Z448" s="89"/>
    </row>
    <row r="449" ht="14.25" customHeight="1">
      <c r="A449" s="91"/>
      <c r="B449" s="91"/>
      <c r="C449" s="89"/>
      <c r="D449" s="89"/>
      <c r="E449" s="91"/>
      <c r="F449" s="102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103"/>
      <c r="X449" s="103"/>
      <c r="Y449" s="89"/>
      <c r="Z449" s="89"/>
    </row>
    <row r="450" ht="14.25" customHeight="1">
      <c r="A450" s="91"/>
      <c r="B450" s="91"/>
      <c r="C450" s="89"/>
      <c r="D450" s="89"/>
      <c r="E450" s="91"/>
      <c r="F450" s="102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103"/>
      <c r="X450" s="103"/>
      <c r="Y450" s="89"/>
      <c r="Z450" s="89"/>
    </row>
    <row r="451" ht="14.25" customHeight="1">
      <c r="A451" s="91"/>
      <c r="B451" s="91"/>
      <c r="C451" s="89"/>
      <c r="D451" s="89"/>
      <c r="E451" s="91"/>
      <c r="F451" s="102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103"/>
      <c r="X451" s="103"/>
      <c r="Y451" s="89"/>
      <c r="Z451" s="89"/>
    </row>
    <row r="452" ht="14.25" customHeight="1">
      <c r="A452" s="91"/>
      <c r="B452" s="91"/>
      <c r="C452" s="89"/>
      <c r="D452" s="89"/>
      <c r="E452" s="91"/>
      <c r="F452" s="102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103"/>
      <c r="X452" s="103"/>
      <c r="Y452" s="89"/>
      <c r="Z452" s="89"/>
    </row>
    <row r="453" ht="14.25" customHeight="1">
      <c r="A453" s="91"/>
      <c r="B453" s="91"/>
      <c r="C453" s="89"/>
      <c r="D453" s="89"/>
      <c r="E453" s="91"/>
      <c r="F453" s="102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103"/>
      <c r="X453" s="103"/>
      <c r="Y453" s="89"/>
      <c r="Z453" s="89"/>
    </row>
    <row r="454" ht="14.25" customHeight="1">
      <c r="A454" s="91"/>
      <c r="B454" s="91"/>
      <c r="C454" s="89"/>
      <c r="D454" s="89"/>
      <c r="E454" s="91"/>
      <c r="F454" s="102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103"/>
      <c r="X454" s="103"/>
      <c r="Y454" s="89"/>
      <c r="Z454" s="89"/>
    </row>
    <row r="455" ht="14.25" customHeight="1">
      <c r="A455" s="91"/>
      <c r="B455" s="91"/>
      <c r="C455" s="89"/>
      <c r="D455" s="89"/>
      <c r="E455" s="91"/>
      <c r="F455" s="102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103"/>
      <c r="X455" s="103"/>
      <c r="Y455" s="89"/>
      <c r="Z455" s="89"/>
    </row>
    <row r="456" ht="14.25" customHeight="1">
      <c r="A456" s="91"/>
      <c r="B456" s="91"/>
      <c r="C456" s="89"/>
      <c r="D456" s="89"/>
      <c r="E456" s="91"/>
      <c r="F456" s="102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103"/>
      <c r="X456" s="103"/>
      <c r="Y456" s="89"/>
      <c r="Z456" s="89"/>
    </row>
    <row r="457" ht="14.25" customHeight="1">
      <c r="A457" s="91"/>
      <c r="B457" s="91"/>
      <c r="C457" s="89"/>
      <c r="D457" s="89"/>
      <c r="E457" s="91"/>
      <c r="F457" s="102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103"/>
      <c r="X457" s="103"/>
      <c r="Y457" s="89"/>
      <c r="Z457" s="89"/>
    </row>
    <row r="458" ht="14.25" customHeight="1">
      <c r="A458" s="91"/>
      <c r="B458" s="91"/>
      <c r="C458" s="89"/>
      <c r="D458" s="89"/>
      <c r="E458" s="91"/>
      <c r="F458" s="102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103"/>
      <c r="X458" s="103"/>
      <c r="Y458" s="89"/>
      <c r="Z458" s="89"/>
    </row>
    <row r="459" ht="14.25" customHeight="1">
      <c r="A459" s="91"/>
      <c r="B459" s="91"/>
      <c r="C459" s="89"/>
      <c r="D459" s="89"/>
      <c r="E459" s="91"/>
      <c r="F459" s="102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103"/>
      <c r="X459" s="103"/>
      <c r="Y459" s="89"/>
      <c r="Z459" s="89"/>
    </row>
    <row r="460" ht="14.25" customHeight="1">
      <c r="A460" s="91"/>
      <c r="B460" s="91"/>
      <c r="C460" s="89"/>
      <c r="D460" s="89"/>
      <c r="E460" s="91"/>
      <c r="F460" s="102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103"/>
      <c r="X460" s="103"/>
      <c r="Y460" s="89"/>
      <c r="Z460" s="89"/>
    </row>
    <row r="461" ht="14.25" customHeight="1">
      <c r="A461" s="91"/>
      <c r="B461" s="91"/>
      <c r="C461" s="89"/>
      <c r="D461" s="89"/>
      <c r="E461" s="91"/>
      <c r="F461" s="102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103"/>
      <c r="X461" s="103"/>
      <c r="Y461" s="89"/>
      <c r="Z461" s="89"/>
    </row>
    <row r="462" ht="14.25" customHeight="1">
      <c r="A462" s="91"/>
      <c r="B462" s="91"/>
      <c r="C462" s="89"/>
      <c r="D462" s="89"/>
      <c r="E462" s="91"/>
      <c r="F462" s="102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103"/>
      <c r="X462" s="103"/>
      <c r="Y462" s="89"/>
      <c r="Z462" s="89"/>
    </row>
    <row r="463" ht="14.25" customHeight="1">
      <c r="A463" s="91"/>
      <c r="B463" s="91"/>
      <c r="C463" s="89"/>
      <c r="D463" s="89"/>
      <c r="E463" s="91"/>
      <c r="F463" s="102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103"/>
      <c r="X463" s="103"/>
      <c r="Y463" s="89"/>
      <c r="Z463" s="89"/>
    </row>
    <row r="464" ht="14.25" customHeight="1">
      <c r="A464" s="91"/>
      <c r="B464" s="91"/>
      <c r="C464" s="89"/>
      <c r="D464" s="89"/>
      <c r="E464" s="91"/>
      <c r="F464" s="102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103"/>
      <c r="X464" s="103"/>
      <c r="Y464" s="89"/>
      <c r="Z464" s="89"/>
    </row>
    <row r="465" ht="14.25" customHeight="1">
      <c r="A465" s="91"/>
      <c r="B465" s="91"/>
      <c r="C465" s="89"/>
      <c r="D465" s="89"/>
      <c r="E465" s="91"/>
      <c r="F465" s="102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103"/>
      <c r="X465" s="103"/>
      <c r="Y465" s="89"/>
      <c r="Z465" s="89"/>
    </row>
    <row r="466" ht="14.25" customHeight="1">
      <c r="A466" s="91"/>
      <c r="B466" s="91"/>
      <c r="C466" s="89"/>
      <c r="D466" s="89"/>
      <c r="E466" s="91"/>
      <c r="F466" s="102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103"/>
      <c r="X466" s="103"/>
      <c r="Y466" s="89"/>
      <c r="Z466" s="89"/>
    </row>
    <row r="467" ht="14.25" customHeight="1">
      <c r="A467" s="91"/>
      <c r="B467" s="91"/>
      <c r="C467" s="89"/>
      <c r="D467" s="89"/>
      <c r="E467" s="91"/>
      <c r="F467" s="102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103"/>
      <c r="X467" s="103"/>
      <c r="Y467" s="89"/>
      <c r="Z467" s="89"/>
    </row>
    <row r="468" ht="14.25" customHeight="1">
      <c r="A468" s="91"/>
      <c r="B468" s="91"/>
      <c r="C468" s="89"/>
      <c r="D468" s="89"/>
      <c r="E468" s="91"/>
      <c r="F468" s="102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103"/>
      <c r="X468" s="103"/>
      <c r="Y468" s="89"/>
      <c r="Z468" s="89"/>
    </row>
    <row r="469" ht="14.25" customHeight="1">
      <c r="A469" s="91"/>
      <c r="B469" s="91"/>
      <c r="C469" s="89"/>
      <c r="D469" s="89"/>
      <c r="E469" s="91"/>
      <c r="F469" s="102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103"/>
      <c r="X469" s="103"/>
      <c r="Y469" s="89"/>
      <c r="Z469" s="89"/>
    </row>
    <row r="470" ht="14.25" customHeight="1">
      <c r="A470" s="91"/>
      <c r="B470" s="91"/>
      <c r="C470" s="89"/>
      <c r="D470" s="89"/>
      <c r="E470" s="91"/>
      <c r="F470" s="102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103"/>
      <c r="X470" s="103"/>
      <c r="Y470" s="89"/>
      <c r="Z470" s="89"/>
    </row>
    <row r="471" ht="14.25" customHeight="1">
      <c r="A471" s="91"/>
      <c r="B471" s="91"/>
      <c r="C471" s="89"/>
      <c r="D471" s="89"/>
      <c r="E471" s="91"/>
      <c r="F471" s="102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103"/>
      <c r="X471" s="103"/>
      <c r="Y471" s="89"/>
      <c r="Z471" s="89"/>
    </row>
    <row r="472" ht="14.25" customHeight="1">
      <c r="A472" s="91"/>
      <c r="B472" s="91"/>
      <c r="C472" s="89"/>
      <c r="D472" s="89"/>
      <c r="E472" s="91"/>
      <c r="F472" s="102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103"/>
      <c r="X472" s="103"/>
      <c r="Y472" s="89"/>
      <c r="Z472" s="89"/>
    </row>
    <row r="473" ht="14.25" customHeight="1">
      <c r="A473" s="91"/>
      <c r="B473" s="91"/>
      <c r="C473" s="89"/>
      <c r="D473" s="89"/>
      <c r="E473" s="91"/>
      <c r="F473" s="102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103"/>
      <c r="X473" s="103"/>
      <c r="Y473" s="89"/>
      <c r="Z473" s="89"/>
    </row>
    <row r="474" ht="14.25" customHeight="1">
      <c r="A474" s="91"/>
      <c r="B474" s="91"/>
      <c r="C474" s="89"/>
      <c r="D474" s="89"/>
      <c r="E474" s="91"/>
      <c r="F474" s="102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103"/>
      <c r="X474" s="103"/>
      <c r="Y474" s="89"/>
      <c r="Z474" s="89"/>
    </row>
    <row r="475" ht="14.25" customHeight="1">
      <c r="A475" s="91"/>
      <c r="B475" s="91"/>
      <c r="C475" s="89"/>
      <c r="D475" s="89"/>
      <c r="E475" s="91"/>
      <c r="F475" s="102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103"/>
      <c r="X475" s="103"/>
      <c r="Y475" s="89"/>
      <c r="Z475" s="89"/>
    </row>
    <row r="476" ht="14.25" customHeight="1">
      <c r="A476" s="91"/>
      <c r="B476" s="91"/>
      <c r="C476" s="89"/>
      <c r="D476" s="89"/>
      <c r="E476" s="91"/>
      <c r="F476" s="102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103"/>
      <c r="X476" s="103"/>
      <c r="Y476" s="89"/>
      <c r="Z476" s="89"/>
    </row>
    <row r="477" ht="14.25" customHeight="1">
      <c r="A477" s="91"/>
      <c r="B477" s="91"/>
      <c r="C477" s="89"/>
      <c r="D477" s="89"/>
      <c r="E477" s="91"/>
      <c r="F477" s="102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103"/>
      <c r="X477" s="103"/>
      <c r="Y477" s="89"/>
      <c r="Z477" s="89"/>
    </row>
    <row r="478" ht="14.25" customHeight="1">
      <c r="A478" s="91"/>
      <c r="B478" s="91"/>
      <c r="C478" s="89"/>
      <c r="D478" s="89"/>
      <c r="E478" s="91"/>
      <c r="F478" s="102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103"/>
      <c r="X478" s="103"/>
      <c r="Y478" s="89"/>
      <c r="Z478" s="89"/>
    </row>
    <row r="479" ht="14.25" customHeight="1">
      <c r="A479" s="91"/>
      <c r="B479" s="91"/>
      <c r="C479" s="89"/>
      <c r="D479" s="89"/>
      <c r="E479" s="91"/>
      <c r="F479" s="102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103"/>
      <c r="X479" s="103"/>
      <c r="Y479" s="89"/>
      <c r="Z479" s="89"/>
    </row>
    <row r="480" ht="14.25" customHeight="1">
      <c r="A480" s="91"/>
      <c r="B480" s="91"/>
      <c r="C480" s="89"/>
      <c r="D480" s="89"/>
      <c r="E480" s="91"/>
      <c r="F480" s="102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103"/>
      <c r="X480" s="103"/>
      <c r="Y480" s="89"/>
      <c r="Z480" s="89"/>
    </row>
    <row r="481" ht="14.25" customHeight="1">
      <c r="A481" s="91"/>
      <c r="B481" s="91"/>
      <c r="C481" s="89"/>
      <c r="D481" s="89"/>
      <c r="E481" s="91"/>
      <c r="F481" s="102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103"/>
      <c r="X481" s="103"/>
      <c r="Y481" s="89"/>
      <c r="Z481" s="89"/>
    </row>
    <row r="482" ht="14.25" customHeight="1">
      <c r="A482" s="91"/>
      <c r="B482" s="91"/>
      <c r="C482" s="89"/>
      <c r="D482" s="89"/>
      <c r="E482" s="91"/>
      <c r="F482" s="102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103"/>
      <c r="X482" s="103"/>
      <c r="Y482" s="89"/>
      <c r="Z482" s="89"/>
    </row>
    <row r="483" ht="14.25" customHeight="1">
      <c r="A483" s="91"/>
      <c r="B483" s="91"/>
      <c r="C483" s="89"/>
      <c r="D483" s="89"/>
      <c r="E483" s="91"/>
      <c r="F483" s="102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103"/>
      <c r="X483" s="103"/>
      <c r="Y483" s="89"/>
      <c r="Z483" s="89"/>
    </row>
    <row r="484" ht="14.25" customHeight="1">
      <c r="A484" s="91"/>
      <c r="B484" s="91"/>
      <c r="C484" s="89"/>
      <c r="D484" s="89"/>
      <c r="E484" s="91"/>
      <c r="F484" s="102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103"/>
      <c r="X484" s="103"/>
      <c r="Y484" s="89"/>
      <c r="Z484" s="89"/>
    </row>
    <row r="485" ht="14.25" customHeight="1">
      <c r="A485" s="91"/>
      <c r="B485" s="91"/>
      <c r="C485" s="89"/>
      <c r="D485" s="89"/>
      <c r="E485" s="91"/>
      <c r="F485" s="102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103"/>
      <c r="X485" s="103"/>
      <c r="Y485" s="89"/>
      <c r="Z485" s="89"/>
    </row>
    <row r="486" ht="14.25" customHeight="1">
      <c r="A486" s="91"/>
      <c r="B486" s="91"/>
      <c r="C486" s="89"/>
      <c r="D486" s="89"/>
      <c r="E486" s="91"/>
      <c r="F486" s="102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103"/>
      <c r="X486" s="103"/>
      <c r="Y486" s="89"/>
      <c r="Z486" s="89"/>
    </row>
    <row r="487" ht="14.25" customHeight="1">
      <c r="A487" s="91"/>
      <c r="B487" s="91"/>
      <c r="C487" s="89"/>
      <c r="D487" s="89"/>
      <c r="E487" s="91"/>
      <c r="F487" s="102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103"/>
      <c r="X487" s="103"/>
      <c r="Y487" s="89"/>
      <c r="Z487" s="89"/>
    </row>
    <row r="488" ht="14.25" customHeight="1">
      <c r="A488" s="91"/>
      <c r="B488" s="91"/>
      <c r="C488" s="89"/>
      <c r="D488" s="89"/>
      <c r="E488" s="91"/>
      <c r="F488" s="102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103"/>
      <c r="X488" s="103"/>
      <c r="Y488" s="89"/>
      <c r="Z488" s="89"/>
    </row>
    <row r="489" ht="14.25" customHeight="1">
      <c r="A489" s="91"/>
      <c r="B489" s="91"/>
      <c r="C489" s="89"/>
      <c r="D489" s="89"/>
      <c r="E489" s="91"/>
      <c r="F489" s="102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103"/>
      <c r="X489" s="103"/>
      <c r="Y489" s="89"/>
      <c r="Z489" s="89"/>
    </row>
    <row r="490" ht="14.25" customHeight="1">
      <c r="A490" s="91"/>
      <c r="B490" s="91"/>
      <c r="C490" s="89"/>
      <c r="D490" s="89"/>
      <c r="E490" s="91"/>
      <c r="F490" s="102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103"/>
      <c r="X490" s="103"/>
      <c r="Y490" s="89"/>
      <c r="Z490" s="89"/>
    </row>
    <row r="491" ht="14.25" customHeight="1">
      <c r="A491" s="91"/>
      <c r="B491" s="91"/>
      <c r="C491" s="89"/>
      <c r="D491" s="89"/>
      <c r="E491" s="91"/>
      <c r="F491" s="102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103"/>
      <c r="X491" s="103"/>
      <c r="Y491" s="89"/>
      <c r="Z491" s="89"/>
    </row>
    <row r="492" ht="14.25" customHeight="1">
      <c r="A492" s="91"/>
      <c r="B492" s="91"/>
      <c r="C492" s="89"/>
      <c r="D492" s="89"/>
      <c r="E492" s="91"/>
      <c r="F492" s="102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103"/>
      <c r="X492" s="103"/>
      <c r="Y492" s="89"/>
      <c r="Z492" s="89"/>
    </row>
    <row r="493" ht="14.25" customHeight="1">
      <c r="A493" s="91"/>
      <c r="B493" s="91"/>
      <c r="C493" s="89"/>
      <c r="D493" s="89"/>
      <c r="E493" s="91"/>
      <c r="F493" s="102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103"/>
      <c r="X493" s="103"/>
      <c r="Y493" s="89"/>
      <c r="Z493" s="89"/>
    </row>
    <row r="494" ht="14.25" customHeight="1">
      <c r="A494" s="91"/>
      <c r="B494" s="91"/>
      <c r="C494" s="89"/>
      <c r="D494" s="89"/>
      <c r="E494" s="91"/>
      <c r="F494" s="102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103"/>
      <c r="X494" s="103"/>
      <c r="Y494" s="89"/>
      <c r="Z494" s="89"/>
    </row>
    <row r="495" ht="14.25" customHeight="1">
      <c r="A495" s="91"/>
      <c r="B495" s="91"/>
      <c r="C495" s="89"/>
      <c r="D495" s="89"/>
      <c r="E495" s="91"/>
      <c r="F495" s="102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103"/>
      <c r="X495" s="103"/>
      <c r="Y495" s="89"/>
      <c r="Z495" s="89"/>
    </row>
    <row r="496" ht="14.25" customHeight="1">
      <c r="A496" s="91"/>
      <c r="B496" s="91"/>
      <c r="C496" s="89"/>
      <c r="D496" s="89"/>
      <c r="E496" s="91"/>
      <c r="F496" s="102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103"/>
      <c r="X496" s="103"/>
      <c r="Y496" s="89"/>
      <c r="Z496" s="89"/>
    </row>
    <row r="497" ht="14.25" customHeight="1">
      <c r="A497" s="91"/>
      <c r="B497" s="91"/>
      <c r="C497" s="89"/>
      <c r="D497" s="89"/>
      <c r="E497" s="91"/>
      <c r="F497" s="102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103"/>
      <c r="X497" s="103"/>
      <c r="Y497" s="89"/>
      <c r="Z497" s="89"/>
    </row>
    <row r="498" ht="14.25" customHeight="1">
      <c r="A498" s="91"/>
      <c r="B498" s="91"/>
      <c r="C498" s="89"/>
      <c r="D498" s="89"/>
      <c r="E498" s="91"/>
      <c r="F498" s="102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103"/>
      <c r="X498" s="103"/>
      <c r="Y498" s="89"/>
      <c r="Z498" s="89"/>
    </row>
    <row r="499" ht="14.25" customHeight="1">
      <c r="A499" s="91"/>
      <c r="B499" s="91"/>
      <c r="C499" s="89"/>
      <c r="D499" s="89"/>
      <c r="E499" s="91"/>
      <c r="F499" s="102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103"/>
      <c r="X499" s="103"/>
      <c r="Y499" s="89"/>
      <c r="Z499" s="89"/>
    </row>
    <row r="500" ht="14.25" customHeight="1">
      <c r="A500" s="91"/>
      <c r="B500" s="91"/>
      <c r="C500" s="89"/>
      <c r="D500" s="89"/>
      <c r="E500" s="91"/>
      <c r="F500" s="102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103"/>
      <c r="X500" s="103"/>
      <c r="Y500" s="89"/>
      <c r="Z500" s="89"/>
    </row>
    <row r="501" ht="14.25" customHeight="1">
      <c r="A501" s="91"/>
      <c r="B501" s="91"/>
      <c r="C501" s="89"/>
      <c r="D501" s="89"/>
      <c r="E501" s="91"/>
      <c r="F501" s="102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103"/>
      <c r="X501" s="103"/>
      <c r="Y501" s="89"/>
      <c r="Z501" s="89"/>
    </row>
    <row r="502" ht="14.25" customHeight="1">
      <c r="A502" s="91"/>
      <c r="B502" s="91"/>
      <c r="C502" s="89"/>
      <c r="D502" s="89"/>
      <c r="E502" s="91"/>
      <c r="F502" s="102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103"/>
      <c r="X502" s="103"/>
      <c r="Y502" s="89"/>
      <c r="Z502" s="89"/>
    </row>
    <row r="503" ht="14.25" customHeight="1">
      <c r="A503" s="91"/>
      <c r="B503" s="91"/>
      <c r="C503" s="89"/>
      <c r="D503" s="89"/>
      <c r="E503" s="91"/>
      <c r="F503" s="102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103"/>
      <c r="X503" s="103"/>
      <c r="Y503" s="89"/>
      <c r="Z503" s="89"/>
    </row>
    <row r="504" ht="14.25" customHeight="1">
      <c r="A504" s="91"/>
      <c r="B504" s="91"/>
      <c r="C504" s="89"/>
      <c r="D504" s="89"/>
      <c r="E504" s="91"/>
      <c r="F504" s="102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103"/>
      <c r="X504" s="103"/>
      <c r="Y504" s="89"/>
      <c r="Z504" s="89"/>
    </row>
    <row r="505" ht="14.25" customHeight="1">
      <c r="A505" s="91"/>
      <c r="B505" s="91"/>
      <c r="C505" s="89"/>
      <c r="D505" s="89"/>
      <c r="E505" s="91"/>
      <c r="F505" s="102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103"/>
      <c r="X505" s="103"/>
      <c r="Y505" s="89"/>
      <c r="Z505" s="89"/>
    </row>
    <row r="506" ht="14.25" customHeight="1">
      <c r="A506" s="91"/>
      <c r="B506" s="91"/>
      <c r="C506" s="89"/>
      <c r="D506" s="89"/>
      <c r="E506" s="91"/>
      <c r="F506" s="102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103"/>
      <c r="X506" s="103"/>
      <c r="Y506" s="89"/>
      <c r="Z506" s="89"/>
    </row>
    <row r="507" ht="14.25" customHeight="1">
      <c r="A507" s="91"/>
      <c r="B507" s="91"/>
      <c r="C507" s="89"/>
      <c r="D507" s="89"/>
      <c r="E507" s="91"/>
      <c r="F507" s="102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103"/>
      <c r="X507" s="103"/>
      <c r="Y507" s="89"/>
      <c r="Z507" s="89"/>
    </row>
    <row r="508" ht="14.25" customHeight="1">
      <c r="A508" s="91"/>
      <c r="B508" s="91"/>
      <c r="C508" s="89"/>
      <c r="D508" s="89"/>
      <c r="E508" s="91"/>
      <c r="F508" s="102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103"/>
      <c r="X508" s="103"/>
      <c r="Y508" s="89"/>
      <c r="Z508" s="89"/>
    </row>
    <row r="509" ht="14.25" customHeight="1">
      <c r="A509" s="91"/>
      <c r="B509" s="91"/>
      <c r="C509" s="89"/>
      <c r="D509" s="89"/>
      <c r="E509" s="91"/>
      <c r="F509" s="102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103"/>
      <c r="X509" s="103"/>
      <c r="Y509" s="89"/>
      <c r="Z509" s="89"/>
    </row>
    <row r="510" ht="14.25" customHeight="1">
      <c r="A510" s="91"/>
      <c r="B510" s="91"/>
      <c r="C510" s="89"/>
      <c r="D510" s="89"/>
      <c r="E510" s="91"/>
      <c r="F510" s="102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103"/>
      <c r="X510" s="103"/>
      <c r="Y510" s="89"/>
      <c r="Z510" s="89"/>
    </row>
    <row r="511" ht="14.25" customHeight="1">
      <c r="A511" s="91"/>
      <c r="B511" s="91"/>
      <c r="C511" s="89"/>
      <c r="D511" s="89"/>
      <c r="E511" s="91"/>
      <c r="F511" s="102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103"/>
      <c r="X511" s="103"/>
      <c r="Y511" s="89"/>
      <c r="Z511" s="89"/>
    </row>
    <row r="512" ht="14.25" customHeight="1">
      <c r="A512" s="91"/>
      <c r="B512" s="91"/>
      <c r="C512" s="89"/>
      <c r="D512" s="89"/>
      <c r="E512" s="91"/>
      <c r="F512" s="102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103"/>
      <c r="X512" s="103"/>
      <c r="Y512" s="89"/>
      <c r="Z512" s="89"/>
    </row>
    <row r="513" ht="14.25" customHeight="1">
      <c r="A513" s="91"/>
      <c r="B513" s="91"/>
      <c r="C513" s="89"/>
      <c r="D513" s="89"/>
      <c r="E513" s="91"/>
      <c r="F513" s="102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103"/>
      <c r="X513" s="103"/>
      <c r="Y513" s="89"/>
      <c r="Z513" s="89"/>
    </row>
    <row r="514" ht="14.25" customHeight="1">
      <c r="A514" s="91"/>
      <c r="B514" s="91"/>
      <c r="C514" s="89"/>
      <c r="D514" s="89"/>
      <c r="E514" s="91"/>
      <c r="F514" s="102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103"/>
      <c r="X514" s="103"/>
      <c r="Y514" s="89"/>
      <c r="Z514" s="89"/>
    </row>
    <row r="515" ht="14.25" customHeight="1">
      <c r="A515" s="91"/>
      <c r="B515" s="91"/>
      <c r="C515" s="89"/>
      <c r="D515" s="89"/>
      <c r="E515" s="91"/>
      <c r="F515" s="102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103"/>
      <c r="X515" s="103"/>
      <c r="Y515" s="89"/>
      <c r="Z515" s="89"/>
    </row>
    <row r="516" ht="14.25" customHeight="1">
      <c r="A516" s="91"/>
      <c r="B516" s="91"/>
      <c r="C516" s="89"/>
      <c r="D516" s="89"/>
      <c r="E516" s="91"/>
      <c r="F516" s="102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103"/>
      <c r="X516" s="103"/>
      <c r="Y516" s="89"/>
      <c r="Z516" s="89"/>
    </row>
    <row r="517" ht="14.25" customHeight="1">
      <c r="A517" s="91"/>
      <c r="B517" s="91"/>
      <c r="C517" s="89"/>
      <c r="D517" s="89"/>
      <c r="E517" s="91"/>
      <c r="F517" s="102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103"/>
      <c r="X517" s="103"/>
      <c r="Y517" s="89"/>
      <c r="Z517" s="89"/>
    </row>
    <row r="518" ht="14.25" customHeight="1">
      <c r="A518" s="91"/>
      <c r="B518" s="91"/>
      <c r="C518" s="89"/>
      <c r="D518" s="89"/>
      <c r="E518" s="91"/>
      <c r="F518" s="102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103"/>
      <c r="X518" s="103"/>
      <c r="Y518" s="89"/>
      <c r="Z518" s="89"/>
    </row>
    <row r="519" ht="14.25" customHeight="1">
      <c r="A519" s="91"/>
      <c r="B519" s="91"/>
      <c r="C519" s="89"/>
      <c r="D519" s="89"/>
      <c r="E519" s="91"/>
      <c r="F519" s="102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103"/>
      <c r="X519" s="103"/>
      <c r="Y519" s="89"/>
      <c r="Z519" s="89"/>
    </row>
    <row r="520" ht="14.25" customHeight="1">
      <c r="A520" s="91"/>
      <c r="B520" s="91"/>
      <c r="C520" s="89"/>
      <c r="D520" s="89"/>
      <c r="E520" s="91"/>
      <c r="F520" s="102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103"/>
      <c r="X520" s="103"/>
      <c r="Y520" s="89"/>
      <c r="Z520" s="89"/>
    </row>
    <row r="521" ht="14.25" customHeight="1">
      <c r="A521" s="91"/>
      <c r="B521" s="91"/>
      <c r="C521" s="89"/>
      <c r="D521" s="89"/>
      <c r="E521" s="91"/>
      <c r="F521" s="102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103"/>
      <c r="X521" s="103"/>
      <c r="Y521" s="89"/>
      <c r="Z521" s="89"/>
    </row>
    <row r="522" ht="14.25" customHeight="1">
      <c r="A522" s="91"/>
      <c r="B522" s="91"/>
      <c r="C522" s="89"/>
      <c r="D522" s="89"/>
      <c r="E522" s="91"/>
      <c r="F522" s="102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103"/>
      <c r="X522" s="103"/>
      <c r="Y522" s="89"/>
      <c r="Z522" s="89"/>
    </row>
    <row r="523" ht="14.25" customHeight="1">
      <c r="A523" s="91"/>
      <c r="B523" s="91"/>
      <c r="C523" s="89"/>
      <c r="D523" s="89"/>
      <c r="E523" s="91"/>
      <c r="F523" s="102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103"/>
      <c r="X523" s="103"/>
      <c r="Y523" s="89"/>
      <c r="Z523" s="89"/>
    </row>
    <row r="524" ht="14.25" customHeight="1">
      <c r="A524" s="91"/>
      <c r="B524" s="91"/>
      <c r="C524" s="89"/>
      <c r="D524" s="89"/>
      <c r="E524" s="91"/>
      <c r="F524" s="102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103"/>
      <c r="X524" s="103"/>
      <c r="Y524" s="89"/>
      <c r="Z524" s="89"/>
    </row>
    <row r="525" ht="14.25" customHeight="1">
      <c r="A525" s="91"/>
      <c r="B525" s="91"/>
      <c r="C525" s="89"/>
      <c r="D525" s="89"/>
      <c r="E525" s="91"/>
      <c r="F525" s="102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103"/>
      <c r="X525" s="103"/>
      <c r="Y525" s="89"/>
      <c r="Z525" s="89"/>
    </row>
    <row r="526" ht="14.25" customHeight="1">
      <c r="A526" s="91"/>
      <c r="B526" s="91"/>
      <c r="C526" s="89"/>
      <c r="D526" s="89"/>
      <c r="E526" s="91"/>
      <c r="F526" s="102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103"/>
      <c r="X526" s="103"/>
      <c r="Y526" s="89"/>
      <c r="Z526" s="89"/>
    </row>
    <row r="527" ht="14.25" customHeight="1">
      <c r="A527" s="91"/>
      <c r="B527" s="91"/>
      <c r="C527" s="89"/>
      <c r="D527" s="89"/>
      <c r="E527" s="91"/>
      <c r="F527" s="102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103"/>
      <c r="X527" s="103"/>
      <c r="Y527" s="89"/>
      <c r="Z527" s="89"/>
    </row>
    <row r="528" ht="14.25" customHeight="1">
      <c r="A528" s="91"/>
      <c r="B528" s="91"/>
      <c r="C528" s="89"/>
      <c r="D528" s="89"/>
      <c r="E528" s="91"/>
      <c r="F528" s="102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103"/>
      <c r="X528" s="103"/>
      <c r="Y528" s="89"/>
      <c r="Z528" s="89"/>
    </row>
    <row r="529" ht="14.25" customHeight="1">
      <c r="A529" s="91"/>
      <c r="B529" s="91"/>
      <c r="C529" s="89"/>
      <c r="D529" s="89"/>
      <c r="E529" s="91"/>
      <c r="F529" s="102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103"/>
      <c r="X529" s="103"/>
      <c r="Y529" s="89"/>
      <c r="Z529" s="89"/>
    </row>
    <row r="530" ht="14.25" customHeight="1">
      <c r="A530" s="91"/>
      <c r="B530" s="91"/>
      <c r="C530" s="89"/>
      <c r="D530" s="89"/>
      <c r="E530" s="91"/>
      <c r="F530" s="102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103"/>
      <c r="X530" s="103"/>
      <c r="Y530" s="89"/>
      <c r="Z530" s="89"/>
    </row>
    <row r="531" ht="14.25" customHeight="1">
      <c r="A531" s="91"/>
      <c r="B531" s="91"/>
      <c r="C531" s="89"/>
      <c r="D531" s="89"/>
      <c r="E531" s="91"/>
      <c r="F531" s="102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103"/>
      <c r="X531" s="103"/>
      <c r="Y531" s="89"/>
      <c r="Z531" s="89"/>
    </row>
    <row r="532" ht="14.25" customHeight="1">
      <c r="A532" s="91"/>
      <c r="B532" s="91"/>
      <c r="C532" s="89"/>
      <c r="D532" s="89"/>
      <c r="E532" s="91"/>
      <c r="F532" s="102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103"/>
      <c r="X532" s="103"/>
      <c r="Y532" s="89"/>
      <c r="Z532" s="89"/>
    </row>
    <row r="533" ht="14.25" customHeight="1">
      <c r="A533" s="91"/>
      <c r="B533" s="91"/>
      <c r="C533" s="89"/>
      <c r="D533" s="89"/>
      <c r="E533" s="91"/>
      <c r="F533" s="102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103"/>
      <c r="X533" s="103"/>
      <c r="Y533" s="89"/>
      <c r="Z533" s="89"/>
    </row>
    <row r="534" ht="14.25" customHeight="1">
      <c r="A534" s="91"/>
      <c r="B534" s="91"/>
      <c r="C534" s="89"/>
      <c r="D534" s="89"/>
      <c r="E534" s="91"/>
      <c r="F534" s="102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103"/>
      <c r="X534" s="103"/>
      <c r="Y534" s="89"/>
      <c r="Z534" s="89"/>
    </row>
    <row r="535" ht="14.25" customHeight="1">
      <c r="A535" s="91"/>
      <c r="B535" s="91"/>
      <c r="C535" s="89"/>
      <c r="D535" s="89"/>
      <c r="E535" s="91"/>
      <c r="F535" s="102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103"/>
      <c r="X535" s="103"/>
      <c r="Y535" s="89"/>
      <c r="Z535" s="89"/>
    </row>
    <row r="536" ht="14.25" customHeight="1">
      <c r="A536" s="91"/>
      <c r="B536" s="91"/>
      <c r="C536" s="89"/>
      <c r="D536" s="89"/>
      <c r="E536" s="91"/>
      <c r="F536" s="102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103"/>
      <c r="X536" s="103"/>
      <c r="Y536" s="89"/>
      <c r="Z536" s="89"/>
    </row>
    <row r="537" ht="14.25" customHeight="1">
      <c r="A537" s="91"/>
      <c r="B537" s="91"/>
      <c r="C537" s="89"/>
      <c r="D537" s="89"/>
      <c r="E537" s="91"/>
      <c r="F537" s="102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103"/>
      <c r="X537" s="103"/>
      <c r="Y537" s="89"/>
      <c r="Z537" s="89"/>
    </row>
    <row r="538" ht="14.25" customHeight="1">
      <c r="A538" s="91"/>
      <c r="B538" s="91"/>
      <c r="C538" s="89"/>
      <c r="D538" s="89"/>
      <c r="E538" s="91"/>
      <c r="F538" s="102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103"/>
      <c r="X538" s="103"/>
      <c r="Y538" s="89"/>
      <c r="Z538" s="89"/>
    </row>
    <row r="539" ht="14.25" customHeight="1">
      <c r="A539" s="91"/>
      <c r="B539" s="91"/>
      <c r="C539" s="89"/>
      <c r="D539" s="89"/>
      <c r="E539" s="91"/>
      <c r="F539" s="102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103"/>
      <c r="X539" s="103"/>
      <c r="Y539" s="89"/>
      <c r="Z539" s="89"/>
    </row>
    <row r="540" ht="14.25" customHeight="1">
      <c r="A540" s="91"/>
      <c r="B540" s="91"/>
      <c r="C540" s="89"/>
      <c r="D540" s="89"/>
      <c r="E540" s="91"/>
      <c r="F540" s="102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103"/>
      <c r="X540" s="103"/>
      <c r="Y540" s="89"/>
      <c r="Z540" s="89"/>
    </row>
    <row r="541" ht="14.25" customHeight="1">
      <c r="A541" s="91"/>
      <c r="B541" s="91"/>
      <c r="C541" s="89"/>
      <c r="D541" s="89"/>
      <c r="E541" s="91"/>
      <c r="F541" s="102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103"/>
      <c r="X541" s="103"/>
      <c r="Y541" s="89"/>
      <c r="Z541" s="89"/>
    </row>
    <row r="542" ht="14.25" customHeight="1">
      <c r="A542" s="91"/>
      <c r="B542" s="91"/>
      <c r="C542" s="89"/>
      <c r="D542" s="89"/>
      <c r="E542" s="91"/>
      <c r="F542" s="102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103"/>
      <c r="X542" s="103"/>
      <c r="Y542" s="89"/>
      <c r="Z542" s="89"/>
    </row>
    <row r="543" ht="14.25" customHeight="1">
      <c r="A543" s="91"/>
      <c r="B543" s="91"/>
      <c r="C543" s="89"/>
      <c r="D543" s="89"/>
      <c r="E543" s="91"/>
      <c r="F543" s="102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103"/>
      <c r="X543" s="103"/>
      <c r="Y543" s="89"/>
      <c r="Z543" s="89"/>
    </row>
    <row r="544" ht="14.25" customHeight="1">
      <c r="A544" s="91"/>
      <c r="B544" s="91"/>
      <c r="C544" s="89"/>
      <c r="D544" s="89"/>
      <c r="E544" s="91"/>
      <c r="F544" s="102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103"/>
      <c r="X544" s="103"/>
      <c r="Y544" s="89"/>
      <c r="Z544" s="89"/>
    </row>
    <row r="545" ht="14.25" customHeight="1">
      <c r="A545" s="91"/>
      <c r="B545" s="91"/>
      <c r="C545" s="89"/>
      <c r="D545" s="89"/>
      <c r="E545" s="91"/>
      <c r="F545" s="102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103"/>
      <c r="X545" s="103"/>
      <c r="Y545" s="89"/>
      <c r="Z545" s="89"/>
    </row>
    <row r="546" ht="14.25" customHeight="1">
      <c r="A546" s="91"/>
      <c r="B546" s="91"/>
      <c r="C546" s="89"/>
      <c r="D546" s="89"/>
      <c r="E546" s="91"/>
      <c r="F546" s="102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103"/>
      <c r="X546" s="103"/>
      <c r="Y546" s="89"/>
      <c r="Z546" s="89"/>
    </row>
    <row r="547" ht="14.25" customHeight="1">
      <c r="A547" s="91"/>
      <c r="B547" s="91"/>
      <c r="C547" s="89"/>
      <c r="D547" s="89"/>
      <c r="E547" s="91"/>
      <c r="F547" s="102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103"/>
      <c r="X547" s="103"/>
      <c r="Y547" s="89"/>
      <c r="Z547" s="89"/>
    </row>
    <row r="548" ht="14.25" customHeight="1">
      <c r="A548" s="91"/>
      <c r="B548" s="91"/>
      <c r="C548" s="89"/>
      <c r="D548" s="89"/>
      <c r="E548" s="91"/>
      <c r="F548" s="102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103"/>
      <c r="X548" s="103"/>
      <c r="Y548" s="89"/>
      <c r="Z548" s="89"/>
    </row>
    <row r="549" ht="14.25" customHeight="1">
      <c r="A549" s="91"/>
      <c r="B549" s="91"/>
      <c r="C549" s="89"/>
      <c r="D549" s="89"/>
      <c r="E549" s="91"/>
      <c r="F549" s="102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103"/>
      <c r="X549" s="103"/>
      <c r="Y549" s="89"/>
      <c r="Z549" s="89"/>
    </row>
    <row r="550" ht="14.25" customHeight="1">
      <c r="A550" s="91"/>
      <c r="B550" s="91"/>
      <c r="C550" s="89"/>
      <c r="D550" s="89"/>
      <c r="E550" s="91"/>
      <c r="F550" s="102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103"/>
      <c r="X550" s="103"/>
      <c r="Y550" s="89"/>
      <c r="Z550" s="89"/>
    </row>
    <row r="551" ht="14.25" customHeight="1">
      <c r="A551" s="91"/>
      <c r="B551" s="91"/>
      <c r="C551" s="89"/>
      <c r="D551" s="89"/>
      <c r="E551" s="91"/>
      <c r="F551" s="102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103"/>
      <c r="X551" s="103"/>
      <c r="Y551" s="89"/>
      <c r="Z551" s="89"/>
    </row>
    <row r="552" ht="14.25" customHeight="1">
      <c r="A552" s="91"/>
      <c r="B552" s="91"/>
      <c r="C552" s="89"/>
      <c r="D552" s="89"/>
      <c r="E552" s="91"/>
      <c r="F552" s="102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103"/>
      <c r="X552" s="103"/>
      <c r="Y552" s="89"/>
      <c r="Z552" s="89"/>
    </row>
    <row r="553" ht="14.25" customHeight="1">
      <c r="A553" s="91"/>
      <c r="B553" s="91"/>
      <c r="C553" s="89"/>
      <c r="D553" s="89"/>
      <c r="E553" s="91"/>
      <c r="F553" s="102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103"/>
      <c r="X553" s="103"/>
      <c r="Y553" s="89"/>
      <c r="Z553" s="89"/>
    </row>
    <row r="554" ht="14.25" customHeight="1">
      <c r="A554" s="91"/>
      <c r="B554" s="91"/>
      <c r="C554" s="89"/>
      <c r="D554" s="89"/>
      <c r="E554" s="91"/>
      <c r="F554" s="102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103"/>
      <c r="X554" s="103"/>
      <c r="Y554" s="89"/>
      <c r="Z554" s="89"/>
    </row>
    <row r="555" ht="14.25" customHeight="1">
      <c r="A555" s="91"/>
      <c r="B555" s="91"/>
      <c r="C555" s="89"/>
      <c r="D555" s="89"/>
      <c r="E555" s="91"/>
      <c r="F555" s="102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103"/>
      <c r="X555" s="103"/>
      <c r="Y555" s="89"/>
      <c r="Z555" s="89"/>
    </row>
    <row r="556" ht="14.25" customHeight="1">
      <c r="A556" s="91"/>
      <c r="B556" s="91"/>
      <c r="C556" s="89"/>
      <c r="D556" s="89"/>
      <c r="E556" s="91"/>
      <c r="F556" s="102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103"/>
      <c r="X556" s="103"/>
      <c r="Y556" s="89"/>
      <c r="Z556" s="89"/>
    </row>
    <row r="557" ht="14.25" customHeight="1">
      <c r="A557" s="91"/>
      <c r="B557" s="91"/>
      <c r="C557" s="89"/>
      <c r="D557" s="89"/>
      <c r="E557" s="91"/>
      <c r="F557" s="102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103"/>
      <c r="X557" s="103"/>
      <c r="Y557" s="89"/>
      <c r="Z557" s="89"/>
    </row>
    <row r="558" ht="14.25" customHeight="1">
      <c r="A558" s="91"/>
      <c r="B558" s="91"/>
      <c r="C558" s="89"/>
      <c r="D558" s="89"/>
      <c r="E558" s="91"/>
      <c r="F558" s="102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103"/>
      <c r="X558" s="103"/>
      <c r="Y558" s="89"/>
      <c r="Z558" s="89"/>
    </row>
    <row r="559" ht="14.25" customHeight="1">
      <c r="A559" s="91"/>
      <c r="B559" s="91"/>
      <c r="C559" s="89"/>
      <c r="D559" s="89"/>
      <c r="E559" s="91"/>
      <c r="F559" s="102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103"/>
      <c r="X559" s="103"/>
      <c r="Y559" s="89"/>
      <c r="Z559" s="89"/>
    </row>
    <row r="560" ht="14.25" customHeight="1">
      <c r="A560" s="91"/>
      <c r="B560" s="91"/>
      <c r="C560" s="89"/>
      <c r="D560" s="89"/>
      <c r="E560" s="91"/>
      <c r="F560" s="102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103"/>
      <c r="X560" s="103"/>
      <c r="Y560" s="89"/>
      <c r="Z560" s="89"/>
    </row>
    <row r="561" ht="14.25" customHeight="1">
      <c r="A561" s="91"/>
      <c r="B561" s="91"/>
      <c r="C561" s="89"/>
      <c r="D561" s="89"/>
      <c r="E561" s="91"/>
      <c r="F561" s="102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103"/>
      <c r="X561" s="103"/>
      <c r="Y561" s="89"/>
      <c r="Z561" s="89"/>
    </row>
    <row r="562" ht="14.25" customHeight="1">
      <c r="A562" s="91"/>
      <c r="B562" s="91"/>
      <c r="C562" s="89"/>
      <c r="D562" s="89"/>
      <c r="E562" s="91"/>
      <c r="F562" s="102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103"/>
      <c r="X562" s="103"/>
      <c r="Y562" s="89"/>
      <c r="Z562" s="89"/>
    </row>
    <row r="563" ht="14.25" customHeight="1">
      <c r="A563" s="91"/>
      <c r="B563" s="91"/>
      <c r="C563" s="89"/>
      <c r="D563" s="89"/>
      <c r="E563" s="91"/>
      <c r="F563" s="102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103"/>
      <c r="X563" s="103"/>
      <c r="Y563" s="89"/>
      <c r="Z563" s="89"/>
    </row>
    <row r="564" ht="14.25" customHeight="1">
      <c r="A564" s="91"/>
      <c r="B564" s="91"/>
      <c r="C564" s="89"/>
      <c r="D564" s="89"/>
      <c r="E564" s="91"/>
      <c r="F564" s="102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103"/>
      <c r="X564" s="103"/>
      <c r="Y564" s="89"/>
      <c r="Z564" s="89"/>
    </row>
    <row r="565" ht="14.25" customHeight="1">
      <c r="A565" s="91"/>
      <c r="B565" s="91"/>
      <c r="C565" s="89"/>
      <c r="D565" s="89"/>
      <c r="E565" s="91"/>
      <c r="F565" s="102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103"/>
      <c r="X565" s="103"/>
      <c r="Y565" s="89"/>
      <c r="Z565" s="89"/>
    </row>
    <row r="566" ht="14.25" customHeight="1">
      <c r="A566" s="91"/>
      <c r="B566" s="91"/>
      <c r="C566" s="89"/>
      <c r="D566" s="89"/>
      <c r="E566" s="91"/>
      <c r="F566" s="102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103"/>
      <c r="X566" s="103"/>
      <c r="Y566" s="89"/>
      <c r="Z566" s="89"/>
    </row>
    <row r="567" ht="14.25" customHeight="1">
      <c r="A567" s="91"/>
      <c r="B567" s="91"/>
      <c r="C567" s="89"/>
      <c r="D567" s="89"/>
      <c r="E567" s="91"/>
      <c r="F567" s="102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103"/>
      <c r="X567" s="103"/>
      <c r="Y567" s="89"/>
      <c r="Z567" s="89"/>
    </row>
    <row r="568" ht="14.25" customHeight="1">
      <c r="A568" s="91"/>
      <c r="B568" s="91"/>
      <c r="C568" s="89"/>
      <c r="D568" s="89"/>
      <c r="E568" s="91"/>
      <c r="F568" s="102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103"/>
      <c r="X568" s="103"/>
      <c r="Y568" s="89"/>
      <c r="Z568" s="89"/>
    </row>
    <row r="569" ht="14.25" customHeight="1">
      <c r="A569" s="91"/>
      <c r="B569" s="91"/>
      <c r="C569" s="89"/>
      <c r="D569" s="89"/>
      <c r="E569" s="91"/>
      <c r="F569" s="102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103"/>
      <c r="X569" s="103"/>
      <c r="Y569" s="89"/>
      <c r="Z569" s="89"/>
    </row>
    <row r="570" ht="14.25" customHeight="1">
      <c r="A570" s="91"/>
      <c r="B570" s="91"/>
      <c r="C570" s="89"/>
      <c r="D570" s="89"/>
      <c r="E570" s="91"/>
      <c r="F570" s="102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103"/>
      <c r="X570" s="103"/>
      <c r="Y570" s="89"/>
      <c r="Z570" s="89"/>
    </row>
    <row r="571" ht="14.25" customHeight="1">
      <c r="A571" s="91"/>
      <c r="B571" s="91"/>
      <c r="C571" s="89"/>
      <c r="D571" s="89"/>
      <c r="E571" s="91"/>
      <c r="F571" s="102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103"/>
      <c r="X571" s="103"/>
      <c r="Y571" s="89"/>
      <c r="Z571" s="89"/>
    </row>
    <row r="572" ht="14.25" customHeight="1">
      <c r="A572" s="91"/>
      <c r="B572" s="91"/>
      <c r="C572" s="89"/>
      <c r="D572" s="89"/>
      <c r="E572" s="91"/>
      <c r="F572" s="102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103"/>
      <c r="X572" s="103"/>
      <c r="Y572" s="89"/>
      <c r="Z572" s="89"/>
    </row>
    <row r="573" ht="14.25" customHeight="1">
      <c r="A573" s="91"/>
      <c r="B573" s="91"/>
      <c r="C573" s="89"/>
      <c r="D573" s="89"/>
      <c r="E573" s="91"/>
      <c r="F573" s="102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103"/>
      <c r="X573" s="103"/>
      <c r="Y573" s="89"/>
      <c r="Z573" s="89"/>
    </row>
    <row r="574" ht="14.25" customHeight="1">
      <c r="A574" s="91"/>
      <c r="B574" s="91"/>
      <c r="C574" s="89"/>
      <c r="D574" s="89"/>
      <c r="E574" s="91"/>
      <c r="F574" s="102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103"/>
      <c r="X574" s="103"/>
      <c r="Y574" s="89"/>
      <c r="Z574" s="89"/>
    </row>
    <row r="575" ht="14.25" customHeight="1">
      <c r="A575" s="91"/>
      <c r="B575" s="91"/>
      <c r="C575" s="89"/>
      <c r="D575" s="89"/>
      <c r="E575" s="91"/>
      <c r="F575" s="102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103"/>
      <c r="X575" s="103"/>
      <c r="Y575" s="89"/>
      <c r="Z575" s="89"/>
    </row>
    <row r="576" ht="14.25" customHeight="1">
      <c r="A576" s="91"/>
      <c r="B576" s="91"/>
      <c r="C576" s="89"/>
      <c r="D576" s="89"/>
      <c r="E576" s="91"/>
      <c r="F576" s="102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103"/>
      <c r="X576" s="103"/>
      <c r="Y576" s="89"/>
      <c r="Z576" s="89"/>
    </row>
    <row r="577" ht="14.25" customHeight="1">
      <c r="A577" s="91"/>
      <c r="B577" s="91"/>
      <c r="C577" s="89"/>
      <c r="D577" s="89"/>
      <c r="E577" s="91"/>
      <c r="F577" s="102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103"/>
      <c r="X577" s="103"/>
      <c r="Y577" s="89"/>
      <c r="Z577" s="89"/>
    </row>
    <row r="578" ht="14.25" customHeight="1">
      <c r="A578" s="91"/>
      <c r="B578" s="91"/>
      <c r="C578" s="89"/>
      <c r="D578" s="89"/>
      <c r="E578" s="91"/>
      <c r="F578" s="102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103"/>
      <c r="X578" s="103"/>
      <c r="Y578" s="89"/>
      <c r="Z578" s="89"/>
    </row>
    <row r="579" ht="14.25" customHeight="1">
      <c r="A579" s="91"/>
      <c r="B579" s="91"/>
      <c r="C579" s="89"/>
      <c r="D579" s="89"/>
      <c r="E579" s="91"/>
      <c r="F579" s="102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103"/>
      <c r="X579" s="103"/>
      <c r="Y579" s="89"/>
      <c r="Z579" s="89"/>
    </row>
    <row r="580" ht="14.25" customHeight="1">
      <c r="A580" s="91"/>
      <c r="B580" s="91"/>
      <c r="C580" s="89"/>
      <c r="D580" s="89"/>
      <c r="E580" s="91"/>
      <c r="F580" s="102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103"/>
      <c r="X580" s="103"/>
      <c r="Y580" s="89"/>
      <c r="Z580" s="89"/>
    </row>
    <row r="581" ht="14.25" customHeight="1">
      <c r="A581" s="91"/>
      <c r="B581" s="91"/>
      <c r="C581" s="89"/>
      <c r="D581" s="89"/>
      <c r="E581" s="91"/>
      <c r="F581" s="102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103"/>
      <c r="X581" s="103"/>
      <c r="Y581" s="89"/>
      <c r="Z581" s="89"/>
    </row>
    <row r="582" ht="14.25" customHeight="1">
      <c r="A582" s="91"/>
      <c r="B582" s="91"/>
      <c r="C582" s="89"/>
      <c r="D582" s="89"/>
      <c r="E582" s="91"/>
      <c r="F582" s="102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103"/>
      <c r="X582" s="103"/>
      <c r="Y582" s="89"/>
      <c r="Z582" s="89"/>
    </row>
    <row r="583" ht="14.25" customHeight="1">
      <c r="A583" s="91"/>
      <c r="B583" s="91"/>
      <c r="C583" s="89"/>
      <c r="D583" s="89"/>
      <c r="E583" s="91"/>
      <c r="F583" s="102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103"/>
      <c r="X583" s="103"/>
      <c r="Y583" s="89"/>
      <c r="Z583" s="89"/>
    </row>
    <row r="584" ht="14.25" customHeight="1">
      <c r="A584" s="91"/>
      <c r="B584" s="91"/>
      <c r="C584" s="89"/>
      <c r="D584" s="89"/>
      <c r="E584" s="91"/>
      <c r="F584" s="102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103"/>
      <c r="X584" s="103"/>
      <c r="Y584" s="89"/>
      <c r="Z584" s="89"/>
    </row>
    <row r="585" ht="14.25" customHeight="1">
      <c r="A585" s="91"/>
      <c r="B585" s="91"/>
      <c r="C585" s="89"/>
      <c r="D585" s="89"/>
      <c r="E585" s="91"/>
      <c r="F585" s="102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103"/>
      <c r="X585" s="103"/>
      <c r="Y585" s="89"/>
      <c r="Z585" s="89"/>
    </row>
    <row r="586" ht="14.25" customHeight="1">
      <c r="A586" s="91"/>
      <c r="B586" s="91"/>
      <c r="C586" s="89"/>
      <c r="D586" s="89"/>
      <c r="E586" s="91"/>
      <c r="F586" s="102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103"/>
      <c r="X586" s="103"/>
      <c r="Y586" s="89"/>
      <c r="Z586" s="89"/>
    </row>
    <row r="587" ht="14.25" customHeight="1">
      <c r="A587" s="91"/>
      <c r="B587" s="91"/>
      <c r="C587" s="89"/>
      <c r="D587" s="89"/>
      <c r="E587" s="91"/>
      <c r="F587" s="102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103"/>
      <c r="X587" s="103"/>
      <c r="Y587" s="89"/>
      <c r="Z587" s="89"/>
    </row>
    <row r="588" ht="14.25" customHeight="1">
      <c r="A588" s="91"/>
      <c r="B588" s="91"/>
      <c r="C588" s="89"/>
      <c r="D588" s="89"/>
      <c r="E588" s="91"/>
      <c r="F588" s="102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103"/>
      <c r="X588" s="103"/>
      <c r="Y588" s="89"/>
      <c r="Z588" s="89"/>
    </row>
    <row r="589" ht="14.25" customHeight="1">
      <c r="A589" s="91"/>
      <c r="B589" s="91"/>
      <c r="C589" s="89"/>
      <c r="D589" s="89"/>
      <c r="E589" s="91"/>
      <c r="F589" s="102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103"/>
      <c r="X589" s="103"/>
      <c r="Y589" s="89"/>
      <c r="Z589" s="89"/>
    </row>
    <row r="590" ht="14.25" customHeight="1">
      <c r="A590" s="91"/>
      <c r="B590" s="91"/>
      <c r="C590" s="89"/>
      <c r="D590" s="89"/>
      <c r="E590" s="91"/>
      <c r="F590" s="102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103"/>
      <c r="X590" s="103"/>
      <c r="Y590" s="89"/>
      <c r="Z590" s="89"/>
    </row>
    <row r="591" ht="14.25" customHeight="1">
      <c r="A591" s="91"/>
      <c r="B591" s="91"/>
      <c r="C591" s="89"/>
      <c r="D591" s="89"/>
      <c r="E591" s="91"/>
      <c r="F591" s="102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103"/>
      <c r="X591" s="103"/>
      <c r="Y591" s="89"/>
      <c r="Z591" s="89"/>
    </row>
    <row r="592" ht="14.25" customHeight="1">
      <c r="A592" s="91"/>
      <c r="B592" s="91"/>
      <c r="C592" s="89"/>
      <c r="D592" s="89"/>
      <c r="E592" s="91"/>
      <c r="F592" s="102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103"/>
      <c r="X592" s="103"/>
      <c r="Y592" s="89"/>
      <c r="Z592" s="89"/>
    </row>
    <row r="593" ht="14.25" customHeight="1">
      <c r="A593" s="91"/>
      <c r="B593" s="91"/>
      <c r="C593" s="89"/>
      <c r="D593" s="89"/>
      <c r="E593" s="91"/>
      <c r="F593" s="102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103"/>
      <c r="X593" s="103"/>
      <c r="Y593" s="89"/>
      <c r="Z593" s="89"/>
    </row>
    <row r="594" ht="14.25" customHeight="1">
      <c r="A594" s="91"/>
      <c r="B594" s="91"/>
      <c r="C594" s="89"/>
      <c r="D594" s="89"/>
      <c r="E594" s="91"/>
      <c r="F594" s="102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103"/>
      <c r="X594" s="103"/>
      <c r="Y594" s="89"/>
      <c r="Z594" s="89"/>
    </row>
    <row r="595" ht="14.25" customHeight="1">
      <c r="A595" s="91"/>
      <c r="B595" s="91"/>
      <c r="C595" s="89"/>
      <c r="D595" s="89"/>
      <c r="E595" s="91"/>
      <c r="F595" s="102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103"/>
      <c r="X595" s="103"/>
      <c r="Y595" s="89"/>
      <c r="Z595" s="89"/>
    </row>
    <row r="596" ht="14.25" customHeight="1">
      <c r="A596" s="91"/>
      <c r="B596" s="91"/>
      <c r="C596" s="89"/>
      <c r="D596" s="89"/>
      <c r="E596" s="91"/>
      <c r="F596" s="102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103"/>
      <c r="X596" s="103"/>
      <c r="Y596" s="89"/>
      <c r="Z596" s="89"/>
    </row>
    <row r="597" ht="14.25" customHeight="1">
      <c r="A597" s="91"/>
      <c r="B597" s="91"/>
      <c r="C597" s="89"/>
      <c r="D597" s="89"/>
      <c r="E597" s="91"/>
      <c r="F597" s="102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103"/>
      <c r="X597" s="103"/>
      <c r="Y597" s="89"/>
      <c r="Z597" s="89"/>
    </row>
    <row r="598" ht="14.25" customHeight="1">
      <c r="A598" s="91"/>
      <c r="B598" s="91"/>
      <c r="C598" s="89"/>
      <c r="D598" s="89"/>
      <c r="E598" s="91"/>
      <c r="F598" s="102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103"/>
      <c r="X598" s="103"/>
      <c r="Y598" s="89"/>
      <c r="Z598" s="89"/>
    </row>
    <row r="599" ht="14.25" customHeight="1">
      <c r="A599" s="91"/>
      <c r="B599" s="91"/>
      <c r="C599" s="89"/>
      <c r="D599" s="89"/>
      <c r="E599" s="91"/>
      <c r="F599" s="102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103"/>
      <c r="X599" s="103"/>
      <c r="Y599" s="89"/>
      <c r="Z599" s="89"/>
    </row>
    <row r="600" ht="14.25" customHeight="1">
      <c r="A600" s="91"/>
      <c r="B600" s="91"/>
      <c r="C600" s="89"/>
      <c r="D600" s="89"/>
      <c r="E600" s="91"/>
      <c r="F600" s="102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103"/>
      <c r="X600" s="103"/>
      <c r="Y600" s="89"/>
      <c r="Z600" s="89"/>
    </row>
    <row r="601" ht="14.25" customHeight="1">
      <c r="A601" s="91"/>
      <c r="B601" s="91"/>
      <c r="C601" s="89"/>
      <c r="D601" s="89"/>
      <c r="E601" s="91"/>
      <c r="F601" s="102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103"/>
      <c r="X601" s="103"/>
      <c r="Y601" s="89"/>
      <c r="Z601" s="89"/>
    </row>
    <row r="602" ht="14.25" customHeight="1">
      <c r="A602" s="91"/>
      <c r="B602" s="91"/>
      <c r="C602" s="89"/>
      <c r="D602" s="89"/>
      <c r="E602" s="91"/>
      <c r="F602" s="102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103"/>
      <c r="X602" s="103"/>
      <c r="Y602" s="89"/>
      <c r="Z602" s="89"/>
    </row>
    <row r="603" ht="14.25" customHeight="1">
      <c r="A603" s="91"/>
      <c r="B603" s="91"/>
      <c r="C603" s="89"/>
      <c r="D603" s="89"/>
      <c r="E603" s="91"/>
      <c r="F603" s="102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103"/>
      <c r="X603" s="103"/>
      <c r="Y603" s="89"/>
      <c r="Z603" s="89"/>
    </row>
    <row r="604" ht="14.25" customHeight="1">
      <c r="A604" s="91"/>
      <c r="B604" s="91"/>
      <c r="C604" s="89"/>
      <c r="D604" s="89"/>
      <c r="E604" s="91"/>
      <c r="F604" s="102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103"/>
      <c r="X604" s="103"/>
      <c r="Y604" s="89"/>
      <c r="Z604" s="89"/>
    </row>
    <row r="605" ht="14.25" customHeight="1">
      <c r="A605" s="91"/>
      <c r="B605" s="91"/>
      <c r="C605" s="89"/>
      <c r="D605" s="89"/>
      <c r="E605" s="91"/>
      <c r="F605" s="102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103"/>
      <c r="X605" s="103"/>
      <c r="Y605" s="89"/>
      <c r="Z605" s="89"/>
    </row>
    <row r="606" ht="14.25" customHeight="1">
      <c r="A606" s="91"/>
      <c r="B606" s="91"/>
      <c r="C606" s="89"/>
      <c r="D606" s="89"/>
      <c r="E606" s="91"/>
      <c r="F606" s="102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103"/>
      <c r="X606" s="103"/>
      <c r="Y606" s="89"/>
      <c r="Z606" s="89"/>
    </row>
    <row r="607" ht="14.25" customHeight="1">
      <c r="A607" s="91"/>
      <c r="B607" s="91"/>
      <c r="C607" s="89"/>
      <c r="D607" s="89"/>
      <c r="E607" s="91"/>
      <c r="F607" s="102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103"/>
      <c r="X607" s="103"/>
      <c r="Y607" s="89"/>
      <c r="Z607" s="89"/>
    </row>
    <row r="608" ht="14.25" customHeight="1">
      <c r="A608" s="91"/>
      <c r="B608" s="91"/>
      <c r="C608" s="89"/>
      <c r="D608" s="89"/>
      <c r="E608" s="91"/>
      <c r="F608" s="102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103"/>
      <c r="X608" s="103"/>
      <c r="Y608" s="89"/>
      <c r="Z608" s="89"/>
    </row>
    <row r="609" ht="14.25" customHeight="1">
      <c r="A609" s="91"/>
      <c r="B609" s="91"/>
      <c r="C609" s="89"/>
      <c r="D609" s="89"/>
      <c r="E609" s="91"/>
      <c r="F609" s="102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103"/>
      <c r="X609" s="103"/>
      <c r="Y609" s="89"/>
      <c r="Z609" s="89"/>
    </row>
    <row r="610" ht="14.25" customHeight="1">
      <c r="A610" s="91"/>
      <c r="B610" s="91"/>
      <c r="C610" s="89"/>
      <c r="D610" s="89"/>
      <c r="E610" s="91"/>
      <c r="F610" s="102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103"/>
      <c r="X610" s="103"/>
      <c r="Y610" s="89"/>
      <c r="Z610" s="89"/>
    </row>
    <row r="611" ht="14.25" customHeight="1">
      <c r="A611" s="91"/>
      <c r="B611" s="91"/>
      <c r="C611" s="89"/>
      <c r="D611" s="89"/>
      <c r="E611" s="91"/>
      <c r="F611" s="102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103"/>
      <c r="X611" s="103"/>
      <c r="Y611" s="89"/>
      <c r="Z611" s="89"/>
    </row>
    <row r="612" ht="14.25" customHeight="1">
      <c r="A612" s="91"/>
      <c r="B612" s="91"/>
      <c r="C612" s="89"/>
      <c r="D612" s="89"/>
      <c r="E612" s="91"/>
      <c r="F612" s="102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103"/>
      <c r="X612" s="103"/>
      <c r="Y612" s="89"/>
      <c r="Z612" s="89"/>
    </row>
    <row r="613" ht="14.25" customHeight="1">
      <c r="A613" s="91"/>
      <c r="B613" s="91"/>
      <c r="C613" s="89"/>
      <c r="D613" s="89"/>
      <c r="E613" s="91"/>
      <c r="F613" s="102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103"/>
      <c r="X613" s="103"/>
      <c r="Y613" s="89"/>
      <c r="Z613" s="89"/>
    </row>
    <row r="614" ht="14.25" customHeight="1">
      <c r="A614" s="91"/>
      <c r="B614" s="91"/>
      <c r="C614" s="89"/>
      <c r="D614" s="89"/>
      <c r="E614" s="91"/>
      <c r="F614" s="102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103"/>
      <c r="X614" s="103"/>
      <c r="Y614" s="89"/>
      <c r="Z614" s="89"/>
    </row>
    <row r="615" ht="14.25" customHeight="1">
      <c r="A615" s="91"/>
      <c r="B615" s="91"/>
      <c r="C615" s="89"/>
      <c r="D615" s="89"/>
      <c r="E615" s="91"/>
      <c r="F615" s="102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103"/>
      <c r="X615" s="103"/>
      <c r="Y615" s="89"/>
      <c r="Z615" s="89"/>
    </row>
    <row r="616" ht="14.25" customHeight="1">
      <c r="A616" s="91"/>
      <c r="B616" s="91"/>
      <c r="C616" s="89"/>
      <c r="D616" s="89"/>
      <c r="E616" s="91"/>
      <c r="F616" s="102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103"/>
      <c r="X616" s="103"/>
      <c r="Y616" s="89"/>
      <c r="Z616" s="89"/>
    </row>
    <row r="617" ht="14.25" customHeight="1">
      <c r="A617" s="91"/>
      <c r="B617" s="91"/>
      <c r="C617" s="89"/>
      <c r="D617" s="89"/>
      <c r="E617" s="91"/>
      <c r="F617" s="102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103"/>
      <c r="X617" s="103"/>
      <c r="Y617" s="89"/>
      <c r="Z617" s="89"/>
    </row>
    <row r="618" ht="14.25" customHeight="1">
      <c r="A618" s="91"/>
      <c r="B618" s="91"/>
      <c r="C618" s="89"/>
      <c r="D618" s="89"/>
      <c r="E618" s="91"/>
      <c r="F618" s="102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103"/>
      <c r="X618" s="103"/>
      <c r="Y618" s="89"/>
      <c r="Z618" s="89"/>
    </row>
    <row r="619" ht="14.25" customHeight="1">
      <c r="A619" s="91"/>
      <c r="B619" s="91"/>
      <c r="C619" s="89"/>
      <c r="D619" s="89"/>
      <c r="E619" s="91"/>
      <c r="F619" s="102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103"/>
      <c r="X619" s="103"/>
      <c r="Y619" s="89"/>
      <c r="Z619" s="89"/>
    </row>
    <row r="620" ht="14.25" customHeight="1">
      <c r="A620" s="91"/>
      <c r="B620" s="91"/>
      <c r="C620" s="89"/>
      <c r="D620" s="89"/>
      <c r="E620" s="91"/>
      <c r="F620" s="102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103"/>
      <c r="X620" s="103"/>
      <c r="Y620" s="89"/>
      <c r="Z620" s="89"/>
    </row>
    <row r="621" ht="14.25" customHeight="1">
      <c r="A621" s="91"/>
      <c r="B621" s="91"/>
      <c r="C621" s="89"/>
      <c r="D621" s="89"/>
      <c r="E621" s="91"/>
      <c r="F621" s="102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103"/>
      <c r="X621" s="103"/>
      <c r="Y621" s="89"/>
      <c r="Z621" s="89"/>
    </row>
    <row r="622" ht="14.25" customHeight="1">
      <c r="A622" s="91"/>
      <c r="B622" s="91"/>
      <c r="C622" s="89"/>
      <c r="D622" s="89"/>
      <c r="E622" s="91"/>
      <c r="F622" s="102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103"/>
      <c r="X622" s="103"/>
      <c r="Y622" s="89"/>
      <c r="Z622" s="89"/>
    </row>
    <row r="623" ht="14.25" customHeight="1">
      <c r="A623" s="91"/>
      <c r="B623" s="91"/>
      <c r="C623" s="89"/>
      <c r="D623" s="89"/>
      <c r="E623" s="91"/>
      <c r="F623" s="102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103"/>
      <c r="X623" s="103"/>
      <c r="Y623" s="89"/>
      <c r="Z623" s="89"/>
    </row>
    <row r="624" ht="14.25" customHeight="1">
      <c r="A624" s="91"/>
      <c r="B624" s="91"/>
      <c r="C624" s="89"/>
      <c r="D624" s="89"/>
      <c r="E624" s="91"/>
      <c r="F624" s="102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103"/>
      <c r="X624" s="103"/>
      <c r="Y624" s="89"/>
      <c r="Z624" s="89"/>
    </row>
    <row r="625" ht="14.25" customHeight="1">
      <c r="A625" s="91"/>
      <c r="B625" s="91"/>
      <c r="C625" s="89"/>
      <c r="D625" s="89"/>
      <c r="E625" s="91"/>
      <c r="F625" s="102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103"/>
      <c r="X625" s="103"/>
      <c r="Y625" s="89"/>
      <c r="Z625" s="89"/>
    </row>
    <row r="626" ht="14.25" customHeight="1">
      <c r="A626" s="91"/>
      <c r="B626" s="91"/>
      <c r="C626" s="89"/>
      <c r="D626" s="89"/>
      <c r="E626" s="91"/>
      <c r="F626" s="102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103"/>
      <c r="X626" s="103"/>
      <c r="Y626" s="89"/>
      <c r="Z626" s="89"/>
    </row>
    <row r="627" ht="14.25" customHeight="1">
      <c r="A627" s="91"/>
      <c r="B627" s="91"/>
      <c r="C627" s="89"/>
      <c r="D627" s="89"/>
      <c r="E627" s="91"/>
      <c r="F627" s="102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103"/>
      <c r="X627" s="103"/>
      <c r="Y627" s="89"/>
      <c r="Z627" s="89"/>
    </row>
    <row r="628" ht="14.25" customHeight="1">
      <c r="A628" s="91"/>
      <c r="B628" s="91"/>
      <c r="C628" s="89"/>
      <c r="D628" s="89"/>
      <c r="E628" s="91"/>
      <c r="F628" s="102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103"/>
      <c r="X628" s="103"/>
      <c r="Y628" s="89"/>
      <c r="Z628" s="89"/>
    </row>
    <row r="629" ht="14.25" customHeight="1">
      <c r="A629" s="91"/>
      <c r="B629" s="91"/>
      <c r="C629" s="89"/>
      <c r="D629" s="89"/>
      <c r="E629" s="91"/>
      <c r="F629" s="102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103"/>
      <c r="X629" s="103"/>
      <c r="Y629" s="89"/>
      <c r="Z629" s="89"/>
    </row>
    <row r="630" ht="14.25" customHeight="1">
      <c r="A630" s="91"/>
      <c r="B630" s="91"/>
      <c r="C630" s="89"/>
      <c r="D630" s="89"/>
      <c r="E630" s="91"/>
      <c r="F630" s="102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103"/>
      <c r="X630" s="103"/>
      <c r="Y630" s="89"/>
      <c r="Z630" s="89"/>
    </row>
    <row r="631" ht="14.25" customHeight="1">
      <c r="A631" s="91"/>
      <c r="B631" s="91"/>
      <c r="C631" s="89"/>
      <c r="D631" s="89"/>
      <c r="E631" s="91"/>
      <c r="F631" s="102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103"/>
      <c r="X631" s="103"/>
      <c r="Y631" s="89"/>
      <c r="Z631" s="89"/>
    </row>
    <row r="632" ht="14.25" customHeight="1">
      <c r="A632" s="91"/>
      <c r="B632" s="91"/>
      <c r="C632" s="89"/>
      <c r="D632" s="89"/>
      <c r="E632" s="91"/>
      <c r="F632" s="102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103"/>
      <c r="X632" s="103"/>
      <c r="Y632" s="89"/>
      <c r="Z632" s="89"/>
    </row>
    <row r="633" ht="14.25" customHeight="1">
      <c r="A633" s="91"/>
      <c r="B633" s="91"/>
      <c r="C633" s="89"/>
      <c r="D633" s="89"/>
      <c r="E633" s="91"/>
      <c r="F633" s="102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103"/>
      <c r="X633" s="103"/>
      <c r="Y633" s="89"/>
      <c r="Z633" s="89"/>
    </row>
    <row r="634" ht="14.25" customHeight="1">
      <c r="A634" s="91"/>
      <c r="B634" s="91"/>
      <c r="C634" s="89"/>
      <c r="D634" s="89"/>
      <c r="E634" s="91"/>
      <c r="F634" s="102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103"/>
      <c r="X634" s="103"/>
      <c r="Y634" s="89"/>
      <c r="Z634" s="89"/>
    </row>
    <row r="635" ht="14.25" customHeight="1">
      <c r="A635" s="91"/>
      <c r="B635" s="91"/>
      <c r="C635" s="89"/>
      <c r="D635" s="89"/>
      <c r="E635" s="91"/>
      <c r="F635" s="102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103"/>
      <c r="X635" s="103"/>
      <c r="Y635" s="89"/>
      <c r="Z635" s="89"/>
    </row>
    <row r="636" ht="14.25" customHeight="1">
      <c r="A636" s="91"/>
      <c r="B636" s="91"/>
      <c r="C636" s="89"/>
      <c r="D636" s="89"/>
      <c r="E636" s="91"/>
      <c r="F636" s="102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103"/>
      <c r="X636" s="103"/>
      <c r="Y636" s="89"/>
      <c r="Z636" s="89"/>
    </row>
    <row r="637" ht="14.25" customHeight="1">
      <c r="A637" s="91"/>
      <c r="B637" s="91"/>
      <c r="C637" s="89"/>
      <c r="D637" s="89"/>
      <c r="E637" s="91"/>
      <c r="F637" s="102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103"/>
      <c r="X637" s="103"/>
      <c r="Y637" s="89"/>
      <c r="Z637" s="89"/>
    </row>
    <row r="638" ht="14.25" customHeight="1">
      <c r="A638" s="91"/>
      <c r="B638" s="91"/>
      <c r="C638" s="89"/>
      <c r="D638" s="89"/>
      <c r="E638" s="91"/>
      <c r="F638" s="102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103"/>
      <c r="X638" s="103"/>
      <c r="Y638" s="89"/>
      <c r="Z638" s="89"/>
    </row>
    <row r="639" ht="14.25" customHeight="1">
      <c r="A639" s="91"/>
      <c r="B639" s="91"/>
      <c r="C639" s="89"/>
      <c r="D639" s="89"/>
      <c r="E639" s="91"/>
      <c r="F639" s="102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103"/>
      <c r="X639" s="103"/>
      <c r="Y639" s="89"/>
      <c r="Z639" s="89"/>
    </row>
    <row r="640" ht="14.25" customHeight="1">
      <c r="A640" s="91"/>
      <c r="B640" s="91"/>
      <c r="C640" s="89"/>
      <c r="D640" s="89"/>
      <c r="E640" s="91"/>
      <c r="F640" s="102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103"/>
      <c r="X640" s="103"/>
      <c r="Y640" s="89"/>
      <c r="Z640" s="89"/>
    </row>
    <row r="641" ht="14.25" customHeight="1">
      <c r="A641" s="91"/>
      <c r="B641" s="91"/>
      <c r="C641" s="89"/>
      <c r="D641" s="89"/>
      <c r="E641" s="91"/>
      <c r="F641" s="102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103"/>
      <c r="X641" s="103"/>
      <c r="Y641" s="89"/>
      <c r="Z641" s="89"/>
    </row>
    <row r="642" ht="14.25" customHeight="1">
      <c r="A642" s="91"/>
      <c r="B642" s="91"/>
      <c r="C642" s="89"/>
      <c r="D642" s="89"/>
      <c r="E642" s="91"/>
      <c r="F642" s="102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103"/>
      <c r="X642" s="103"/>
      <c r="Y642" s="89"/>
      <c r="Z642" s="89"/>
    </row>
    <row r="643" ht="14.25" customHeight="1">
      <c r="A643" s="91"/>
      <c r="B643" s="91"/>
      <c r="C643" s="89"/>
      <c r="D643" s="89"/>
      <c r="E643" s="91"/>
      <c r="F643" s="102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103"/>
      <c r="X643" s="103"/>
      <c r="Y643" s="89"/>
      <c r="Z643" s="89"/>
    </row>
    <row r="644" ht="14.25" customHeight="1">
      <c r="A644" s="91"/>
      <c r="B644" s="91"/>
      <c r="C644" s="89"/>
      <c r="D644" s="89"/>
      <c r="E644" s="91"/>
      <c r="F644" s="102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103"/>
      <c r="X644" s="103"/>
      <c r="Y644" s="89"/>
      <c r="Z644" s="89"/>
    </row>
    <row r="645" ht="14.25" customHeight="1">
      <c r="A645" s="91"/>
      <c r="B645" s="91"/>
      <c r="C645" s="89"/>
      <c r="D645" s="89"/>
      <c r="E645" s="91"/>
      <c r="F645" s="102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103"/>
      <c r="X645" s="103"/>
      <c r="Y645" s="89"/>
      <c r="Z645" s="89"/>
    </row>
    <row r="646" ht="14.25" customHeight="1">
      <c r="A646" s="91"/>
      <c r="B646" s="91"/>
      <c r="C646" s="89"/>
      <c r="D646" s="89"/>
      <c r="E646" s="91"/>
      <c r="F646" s="102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103"/>
      <c r="X646" s="103"/>
      <c r="Y646" s="89"/>
      <c r="Z646" s="89"/>
    </row>
    <row r="647" ht="14.25" customHeight="1">
      <c r="A647" s="91"/>
      <c r="B647" s="91"/>
      <c r="C647" s="89"/>
      <c r="D647" s="89"/>
      <c r="E647" s="91"/>
      <c r="F647" s="102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103"/>
      <c r="X647" s="103"/>
      <c r="Y647" s="89"/>
      <c r="Z647" s="89"/>
    </row>
    <row r="648" ht="14.25" customHeight="1">
      <c r="A648" s="91"/>
      <c r="B648" s="91"/>
      <c r="C648" s="89"/>
      <c r="D648" s="89"/>
      <c r="E648" s="91"/>
      <c r="F648" s="102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103"/>
      <c r="X648" s="103"/>
      <c r="Y648" s="89"/>
      <c r="Z648" s="89"/>
    </row>
    <row r="649" ht="14.25" customHeight="1">
      <c r="A649" s="91"/>
      <c r="B649" s="91"/>
      <c r="C649" s="89"/>
      <c r="D649" s="89"/>
      <c r="E649" s="91"/>
      <c r="F649" s="102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103"/>
      <c r="X649" s="103"/>
      <c r="Y649" s="89"/>
      <c r="Z649" s="89"/>
    </row>
    <row r="650" ht="14.25" customHeight="1">
      <c r="A650" s="91"/>
      <c r="B650" s="91"/>
      <c r="C650" s="89"/>
      <c r="D650" s="89"/>
      <c r="E650" s="91"/>
      <c r="F650" s="102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103"/>
      <c r="X650" s="103"/>
      <c r="Y650" s="89"/>
      <c r="Z650" s="89"/>
    </row>
    <row r="651" ht="14.25" customHeight="1">
      <c r="A651" s="91"/>
      <c r="B651" s="91"/>
      <c r="C651" s="89"/>
      <c r="D651" s="89"/>
      <c r="E651" s="91"/>
      <c r="F651" s="102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103"/>
      <c r="X651" s="103"/>
      <c r="Y651" s="89"/>
      <c r="Z651" s="89"/>
    </row>
    <row r="652" ht="14.25" customHeight="1">
      <c r="A652" s="91"/>
      <c r="B652" s="91"/>
      <c r="C652" s="89"/>
      <c r="D652" s="89"/>
      <c r="E652" s="91"/>
      <c r="F652" s="102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103"/>
      <c r="X652" s="103"/>
      <c r="Y652" s="89"/>
      <c r="Z652" s="89"/>
    </row>
    <row r="653" ht="14.25" customHeight="1">
      <c r="A653" s="91"/>
      <c r="B653" s="91"/>
      <c r="C653" s="89"/>
      <c r="D653" s="89"/>
      <c r="E653" s="91"/>
      <c r="F653" s="102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103"/>
      <c r="X653" s="103"/>
      <c r="Y653" s="89"/>
      <c r="Z653" s="89"/>
    </row>
    <row r="654" ht="14.25" customHeight="1">
      <c r="A654" s="91"/>
      <c r="B654" s="91"/>
      <c r="C654" s="89"/>
      <c r="D654" s="89"/>
      <c r="E654" s="91"/>
      <c r="F654" s="102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103"/>
      <c r="X654" s="103"/>
      <c r="Y654" s="89"/>
      <c r="Z654" s="89"/>
    </row>
    <row r="655" ht="14.25" customHeight="1">
      <c r="A655" s="91"/>
      <c r="B655" s="91"/>
      <c r="C655" s="89"/>
      <c r="D655" s="89"/>
      <c r="E655" s="91"/>
      <c r="F655" s="102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103"/>
      <c r="X655" s="103"/>
      <c r="Y655" s="89"/>
      <c r="Z655" s="89"/>
    </row>
    <row r="656" ht="14.25" customHeight="1">
      <c r="A656" s="91"/>
      <c r="B656" s="91"/>
      <c r="C656" s="89"/>
      <c r="D656" s="89"/>
      <c r="E656" s="91"/>
      <c r="F656" s="102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103"/>
      <c r="X656" s="103"/>
      <c r="Y656" s="89"/>
      <c r="Z656" s="89"/>
    </row>
    <row r="657" ht="14.25" customHeight="1">
      <c r="A657" s="91"/>
      <c r="B657" s="91"/>
      <c r="C657" s="89"/>
      <c r="D657" s="89"/>
      <c r="E657" s="91"/>
      <c r="F657" s="102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103"/>
      <c r="X657" s="103"/>
      <c r="Y657" s="89"/>
      <c r="Z657" s="89"/>
    </row>
    <row r="658" ht="14.25" customHeight="1">
      <c r="A658" s="91"/>
      <c r="B658" s="91"/>
      <c r="C658" s="89"/>
      <c r="D658" s="89"/>
      <c r="E658" s="91"/>
      <c r="F658" s="102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103"/>
      <c r="X658" s="103"/>
      <c r="Y658" s="89"/>
      <c r="Z658" s="89"/>
    </row>
    <row r="659" ht="14.25" customHeight="1">
      <c r="A659" s="91"/>
      <c r="B659" s="91"/>
      <c r="C659" s="89"/>
      <c r="D659" s="89"/>
      <c r="E659" s="91"/>
      <c r="F659" s="102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103"/>
      <c r="X659" s="103"/>
      <c r="Y659" s="89"/>
      <c r="Z659" s="89"/>
    </row>
    <row r="660" ht="14.25" customHeight="1">
      <c r="A660" s="91"/>
      <c r="B660" s="91"/>
      <c r="C660" s="89"/>
      <c r="D660" s="89"/>
      <c r="E660" s="91"/>
      <c r="F660" s="102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103"/>
      <c r="X660" s="103"/>
      <c r="Y660" s="89"/>
      <c r="Z660" s="89"/>
    </row>
    <row r="661" ht="14.25" customHeight="1">
      <c r="A661" s="91"/>
      <c r="B661" s="91"/>
      <c r="C661" s="89"/>
      <c r="D661" s="89"/>
      <c r="E661" s="91"/>
      <c r="F661" s="102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103"/>
      <c r="X661" s="103"/>
      <c r="Y661" s="89"/>
      <c r="Z661" s="89"/>
    </row>
    <row r="662" ht="14.25" customHeight="1">
      <c r="A662" s="91"/>
      <c r="B662" s="91"/>
      <c r="C662" s="89"/>
      <c r="D662" s="89"/>
      <c r="E662" s="91"/>
      <c r="F662" s="102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103"/>
      <c r="X662" s="103"/>
      <c r="Y662" s="89"/>
      <c r="Z662" s="89"/>
    </row>
    <row r="663" ht="14.25" customHeight="1">
      <c r="A663" s="91"/>
      <c r="B663" s="91"/>
      <c r="C663" s="89"/>
      <c r="D663" s="89"/>
      <c r="E663" s="91"/>
      <c r="F663" s="102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103"/>
      <c r="X663" s="103"/>
      <c r="Y663" s="89"/>
      <c r="Z663" s="89"/>
    </row>
    <row r="664" ht="14.25" customHeight="1">
      <c r="A664" s="91"/>
      <c r="B664" s="91"/>
      <c r="C664" s="89"/>
      <c r="D664" s="89"/>
      <c r="E664" s="91"/>
      <c r="F664" s="102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103"/>
      <c r="X664" s="103"/>
      <c r="Y664" s="89"/>
      <c r="Z664" s="89"/>
    </row>
    <row r="665" ht="14.25" customHeight="1">
      <c r="A665" s="91"/>
      <c r="B665" s="91"/>
      <c r="C665" s="89"/>
      <c r="D665" s="89"/>
      <c r="E665" s="91"/>
      <c r="F665" s="102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103"/>
      <c r="X665" s="103"/>
      <c r="Y665" s="89"/>
      <c r="Z665" s="89"/>
    </row>
    <row r="666" ht="14.25" customHeight="1">
      <c r="A666" s="91"/>
      <c r="B666" s="91"/>
      <c r="C666" s="89"/>
      <c r="D666" s="89"/>
      <c r="E666" s="91"/>
      <c r="F666" s="102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103"/>
      <c r="X666" s="103"/>
      <c r="Y666" s="89"/>
      <c r="Z666" s="89"/>
    </row>
    <row r="667" ht="14.25" customHeight="1">
      <c r="A667" s="91"/>
      <c r="B667" s="91"/>
      <c r="C667" s="89"/>
      <c r="D667" s="89"/>
      <c r="E667" s="91"/>
      <c r="F667" s="102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103"/>
      <c r="X667" s="103"/>
      <c r="Y667" s="89"/>
      <c r="Z667" s="89"/>
    </row>
    <row r="668" ht="14.25" customHeight="1">
      <c r="A668" s="91"/>
      <c r="B668" s="91"/>
      <c r="C668" s="89"/>
      <c r="D668" s="89"/>
      <c r="E668" s="91"/>
      <c r="F668" s="102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103"/>
      <c r="X668" s="103"/>
      <c r="Y668" s="89"/>
      <c r="Z668" s="89"/>
    </row>
    <row r="669" ht="14.25" customHeight="1">
      <c r="A669" s="91"/>
      <c r="B669" s="91"/>
      <c r="C669" s="89"/>
      <c r="D669" s="89"/>
      <c r="E669" s="91"/>
      <c r="F669" s="102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103"/>
      <c r="X669" s="103"/>
      <c r="Y669" s="89"/>
      <c r="Z669" s="89"/>
    </row>
    <row r="670" ht="14.25" customHeight="1">
      <c r="A670" s="91"/>
      <c r="B670" s="91"/>
      <c r="C670" s="89"/>
      <c r="D670" s="89"/>
      <c r="E670" s="91"/>
      <c r="F670" s="102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103"/>
      <c r="X670" s="103"/>
      <c r="Y670" s="89"/>
      <c r="Z670" s="89"/>
    </row>
    <row r="671" ht="14.25" customHeight="1">
      <c r="A671" s="91"/>
      <c r="B671" s="91"/>
      <c r="C671" s="89"/>
      <c r="D671" s="89"/>
      <c r="E671" s="91"/>
      <c r="F671" s="102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103"/>
      <c r="X671" s="103"/>
      <c r="Y671" s="89"/>
      <c r="Z671" s="89"/>
    </row>
    <row r="672" ht="14.25" customHeight="1">
      <c r="A672" s="91"/>
      <c r="B672" s="91"/>
      <c r="C672" s="89"/>
      <c r="D672" s="89"/>
      <c r="E672" s="91"/>
      <c r="F672" s="102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103"/>
      <c r="X672" s="103"/>
      <c r="Y672" s="89"/>
      <c r="Z672" s="89"/>
    </row>
    <row r="673" ht="14.25" customHeight="1">
      <c r="A673" s="91"/>
      <c r="B673" s="91"/>
      <c r="C673" s="89"/>
      <c r="D673" s="89"/>
      <c r="E673" s="91"/>
      <c r="F673" s="102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103"/>
      <c r="X673" s="103"/>
      <c r="Y673" s="89"/>
      <c r="Z673" s="89"/>
    </row>
    <row r="674" ht="14.25" customHeight="1">
      <c r="A674" s="91"/>
      <c r="B674" s="91"/>
      <c r="C674" s="89"/>
      <c r="D674" s="89"/>
      <c r="E674" s="91"/>
      <c r="F674" s="102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103"/>
      <c r="X674" s="103"/>
      <c r="Y674" s="89"/>
      <c r="Z674" s="89"/>
    </row>
    <row r="675" ht="14.25" customHeight="1">
      <c r="A675" s="91"/>
      <c r="B675" s="91"/>
      <c r="C675" s="89"/>
      <c r="D675" s="89"/>
      <c r="E675" s="91"/>
      <c r="F675" s="102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103"/>
      <c r="X675" s="103"/>
      <c r="Y675" s="89"/>
      <c r="Z675" s="89"/>
    </row>
    <row r="676" ht="14.25" customHeight="1">
      <c r="A676" s="91"/>
      <c r="B676" s="91"/>
      <c r="C676" s="89"/>
      <c r="D676" s="89"/>
      <c r="E676" s="91"/>
      <c r="F676" s="102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103"/>
      <c r="X676" s="103"/>
      <c r="Y676" s="89"/>
      <c r="Z676" s="89"/>
    </row>
    <row r="677" ht="14.25" customHeight="1">
      <c r="A677" s="91"/>
      <c r="B677" s="91"/>
      <c r="C677" s="89"/>
      <c r="D677" s="89"/>
      <c r="E677" s="91"/>
      <c r="F677" s="102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103"/>
      <c r="X677" s="103"/>
      <c r="Y677" s="89"/>
      <c r="Z677" s="89"/>
    </row>
    <row r="678" ht="14.25" customHeight="1">
      <c r="A678" s="91"/>
      <c r="B678" s="91"/>
      <c r="C678" s="89"/>
      <c r="D678" s="89"/>
      <c r="E678" s="91"/>
      <c r="F678" s="102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103"/>
      <c r="X678" s="103"/>
      <c r="Y678" s="89"/>
      <c r="Z678" s="89"/>
    </row>
    <row r="679" ht="14.25" customHeight="1">
      <c r="A679" s="91"/>
      <c r="B679" s="91"/>
      <c r="C679" s="89"/>
      <c r="D679" s="89"/>
      <c r="E679" s="91"/>
      <c r="F679" s="102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103"/>
      <c r="X679" s="103"/>
      <c r="Y679" s="89"/>
      <c r="Z679" s="89"/>
    </row>
    <row r="680" ht="14.25" customHeight="1">
      <c r="A680" s="91"/>
      <c r="B680" s="91"/>
      <c r="C680" s="89"/>
      <c r="D680" s="89"/>
      <c r="E680" s="91"/>
      <c r="F680" s="102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103"/>
      <c r="X680" s="103"/>
      <c r="Y680" s="89"/>
      <c r="Z680" s="89"/>
    </row>
    <row r="681" ht="14.25" customHeight="1">
      <c r="A681" s="91"/>
      <c r="B681" s="91"/>
      <c r="C681" s="89"/>
      <c r="D681" s="89"/>
      <c r="E681" s="91"/>
      <c r="F681" s="102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103"/>
      <c r="X681" s="103"/>
      <c r="Y681" s="89"/>
      <c r="Z681" s="89"/>
    </row>
    <row r="682" ht="14.25" customHeight="1">
      <c r="A682" s="91"/>
      <c r="B682" s="91"/>
      <c r="C682" s="89"/>
      <c r="D682" s="89"/>
      <c r="E682" s="91"/>
      <c r="F682" s="102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103"/>
      <c r="X682" s="103"/>
      <c r="Y682" s="89"/>
      <c r="Z682" s="89"/>
    </row>
    <row r="683" ht="14.25" customHeight="1">
      <c r="A683" s="91"/>
      <c r="B683" s="91"/>
      <c r="C683" s="89"/>
      <c r="D683" s="89"/>
      <c r="E683" s="91"/>
      <c r="F683" s="102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103"/>
      <c r="X683" s="103"/>
      <c r="Y683" s="89"/>
      <c r="Z683" s="89"/>
    </row>
    <row r="684" ht="14.25" customHeight="1">
      <c r="A684" s="91"/>
      <c r="B684" s="91"/>
      <c r="C684" s="89"/>
      <c r="D684" s="89"/>
      <c r="E684" s="91"/>
      <c r="F684" s="102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103"/>
      <c r="X684" s="103"/>
      <c r="Y684" s="89"/>
      <c r="Z684" s="89"/>
    </row>
    <row r="685" ht="14.25" customHeight="1">
      <c r="A685" s="91"/>
      <c r="B685" s="91"/>
      <c r="C685" s="89"/>
      <c r="D685" s="89"/>
      <c r="E685" s="91"/>
      <c r="F685" s="102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103"/>
      <c r="X685" s="103"/>
      <c r="Y685" s="89"/>
      <c r="Z685" s="89"/>
    </row>
    <row r="686" ht="14.25" customHeight="1">
      <c r="A686" s="91"/>
      <c r="B686" s="91"/>
      <c r="C686" s="89"/>
      <c r="D686" s="89"/>
      <c r="E686" s="91"/>
      <c r="F686" s="102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103"/>
      <c r="X686" s="103"/>
      <c r="Y686" s="89"/>
      <c r="Z686" s="89"/>
    </row>
    <row r="687" ht="14.25" customHeight="1">
      <c r="A687" s="91"/>
      <c r="B687" s="91"/>
      <c r="C687" s="89"/>
      <c r="D687" s="89"/>
      <c r="E687" s="91"/>
      <c r="F687" s="102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103"/>
      <c r="X687" s="103"/>
      <c r="Y687" s="89"/>
      <c r="Z687" s="89"/>
    </row>
    <row r="688" ht="14.25" customHeight="1">
      <c r="A688" s="91"/>
      <c r="B688" s="91"/>
      <c r="C688" s="89"/>
      <c r="D688" s="89"/>
      <c r="E688" s="91"/>
      <c r="F688" s="102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103"/>
      <c r="X688" s="103"/>
      <c r="Y688" s="89"/>
      <c r="Z688" s="89"/>
    </row>
    <row r="689" ht="14.25" customHeight="1">
      <c r="A689" s="91"/>
      <c r="B689" s="91"/>
      <c r="C689" s="89"/>
      <c r="D689" s="89"/>
      <c r="E689" s="91"/>
      <c r="F689" s="102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103"/>
      <c r="X689" s="103"/>
      <c r="Y689" s="89"/>
      <c r="Z689" s="89"/>
    </row>
    <row r="690" ht="14.25" customHeight="1">
      <c r="A690" s="91"/>
      <c r="B690" s="91"/>
      <c r="C690" s="89"/>
      <c r="D690" s="89"/>
      <c r="E690" s="91"/>
      <c r="F690" s="102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103"/>
      <c r="X690" s="103"/>
      <c r="Y690" s="89"/>
      <c r="Z690" s="89"/>
    </row>
    <row r="691" ht="14.25" customHeight="1">
      <c r="A691" s="91"/>
      <c r="B691" s="91"/>
      <c r="C691" s="89"/>
      <c r="D691" s="89"/>
      <c r="E691" s="91"/>
      <c r="F691" s="102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103"/>
      <c r="X691" s="103"/>
      <c r="Y691" s="89"/>
      <c r="Z691" s="89"/>
    </row>
    <row r="692" ht="14.25" customHeight="1">
      <c r="A692" s="91"/>
      <c r="B692" s="91"/>
      <c r="C692" s="89"/>
      <c r="D692" s="89"/>
      <c r="E692" s="91"/>
      <c r="F692" s="102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103"/>
      <c r="X692" s="103"/>
      <c r="Y692" s="89"/>
      <c r="Z692" s="89"/>
    </row>
    <row r="693" ht="14.25" customHeight="1">
      <c r="A693" s="91"/>
      <c r="B693" s="91"/>
      <c r="C693" s="89"/>
      <c r="D693" s="89"/>
      <c r="E693" s="91"/>
      <c r="F693" s="102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103"/>
      <c r="X693" s="103"/>
      <c r="Y693" s="89"/>
      <c r="Z693" s="89"/>
    </row>
    <row r="694" ht="14.25" customHeight="1">
      <c r="A694" s="91"/>
      <c r="B694" s="91"/>
      <c r="C694" s="89"/>
      <c r="D694" s="89"/>
      <c r="E694" s="91"/>
      <c r="F694" s="102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103"/>
      <c r="X694" s="103"/>
      <c r="Y694" s="89"/>
      <c r="Z694" s="89"/>
    </row>
    <row r="695" ht="14.25" customHeight="1">
      <c r="A695" s="91"/>
      <c r="B695" s="91"/>
      <c r="C695" s="89"/>
      <c r="D695" s="89"/>
      <c r="E695" s="91"/>
      <c r="F695" s="102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103"/>
      <c r="X695" s="103"/>
      <c r="Y695" s="89"/>
      <c r="Z695" s="89"/>
    </row>
    <row r="696" ht="14.25" customHeight="1">
      <c r="A696" s="91"/>
      <c r="B696" s="91"/>
      <c r="C696" s="89"/>
      <c r="D696" s="89"/>
      <c r="E696" s="91"/>
      <c r="F696" s="102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103"/>
      <c r="X696" s="103"/>
      <c r="Y696" s="89"/>
      <c r="Z696" s="89"/>
    </row>
    <row r="697" ht="14.25" customHeight="1">
      <c r="A697" s="91"/>
      <c r="B697" s="91"/>
      <c r="C697" s="89"/>
      <c r="D697" s="89"/>
      <c r="E697" s="91"/>
      <c r="F697" s="102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103"/>
      <c r="X697" s="103"/>
      <c r="Y697" s="89"/>
      <c r="Z697" s="89"/>
    </row>
    <row r="698" ht="14.25" customHeight="1">
      <c r="A698" s="91"/>
      <c r="B698" s="91"/>
      <c r="C698" s="89"/>
      <c r="D698" s="89"/>
      <c r="E698" s="91"/>
      <c r="F698" s="102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103"/>
      <c r="X698" s="103"/>
      <c r="Y698" s="89"/>
      <c r="Z698" s="89"/>
    </row>
    <row r="699" ht="14.25" customHeight="1">
      <c r="A699" s="91"/>
      <c r="B699" s="91"/>
      <c r="C699" s="89"/>
      <c r="D699" s="89"/>
      <c r="E699" s="91"/>
      <c r="F699" s="102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103"/>
      <c r="X699" s="103"/>
      <c r="Y699" s="89"/>
      <c r="Z699" s="89"/>
    </row>
    <row r="700" ht="14.25" customHeight="1">
      <c r="A700" s="91"/>
      <c r="B700" s="91"/>
      <c r="C700" s="89"/>
      <c r="D700" s="89"/>
      <c r="E700" s="91"/>
      <c r="F700" s="102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103"/>
      <c r="X700" s="103"/>
      <c r="Y700" s="89"/>
      <c r="Z700" s="89"/>
    </row>
    <row r="701" ht="14.25" customHeight="1">
      <c r="A701" s="91"/>
      <c r="B701" s="91"/>
      <c r="C701" s="89"/>
      <c r="D701" s="89"/>
      <c r="E701" s="91"/>
      <c r="F701" s="102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103"/>
      <c r="X701" s="103"/>
      <c r="Y701" s="89"/>
      <c r="Z701" s="89"/>
    </row>
    <row r="702" ht="14.25" customHeight="1">
      <c r="A702" s="91"/>
      <c r="B702" s="91"/>
      <c r="C702" s="89"/>
      <c r="D702" s="89"/>
      <c r="E702" s="91"/>
      <c r="F702" s="102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103"/>
      <c r="X702" s="103"/>
      <c r="Y702" s="89"/>
      <c r="Z702" s="89"/>
    </row>
    <row r="703" ht="14.25" customHeight="1">
      <c r="A703" s="91"/>
      <c r="B703" s="91"/>
      <c r="C703" s="89"/>
      <c r="D703" s="89"/>
      <c r="E703" s="91"/>
      <c r="F703" s="102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103"/>
      <c r="X703" s="103"/>
      <c r="Y703" s="89"/>
      <c r="Z703" s="89"/>
    </row>
    <row r="704" ht="14.25" customHeight="1">
      <c r="A704" s="91"/>
      <c r="B704" s="91"/>
      <c r="C704" s="89"/>
      <c r="D704" s="89"/>
      <c r="E704" s="91"/>
      <c r="F704" s="102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103"/>
      <c r="X704" s="103"/>
      <c r="Y704" s="89"/>
      <c r="Z704" s="89"/>
    </row>
    <row r="705" ht="14.25" customHeight="1">
      <c r="A705" s="91"/>
      <c r="B705" s="91"/>
      <c r="C705" s="89"/>
      <c r="D705" s="89"/>
      <c r="E705" s="91"/>
      <c r="F705" s="102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103"/>
      <c r="X705" s="103"/>
      <c r="Y705" s="89"/>
      <c r="Z705" s="89"/>
    </row>
    <row r="706" ht="14.25" customHeight="1">
      <c r="A706" s="91"/>
      <c r="B706" s="91"/>
      <c r="C706" s="89"/>
      <c r="D706" s="89"/>
      <c r="E706" s="91"/>
      <c r="F706" s="102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103"/>
      <c r="X706" s="103"/>
      <c r="Y706" s="89"/>
      <c r="Z706" s="89"/>
    </row>
    <row r="707" ht="14.25" customHeight="1">
      <c r="A707" s="91"/>
      <c r="B707" s="91"/>
      <c r="C707" s="89"/>
      <c r="D707" s="89"/>
      <c r="E707" s="91"/>
      <c r="F707" s="102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103"/>
      <c r="X707" s="103"/>
      <c r="Y707" s="89"/>
      <c r="Z707" s="89"/>
    </row>
    <row r="708" ht="14.25" customHeight="1">
      <c r="A708" s="91"/>
      <c r="B708" s="91"/>
      <c r="C708" s="89"/>
      <c r="D708" s="89"/>
      <c r="E708" s="91"/>
      <c r="F708" s="102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103"/>
      <c r="X708" s="103"/>
      <c r="Y708" s="89"/>
      <c r="Z708" s="89"/>
    </row>
    <row r="709" ht="14.25" customHeight="1">
      <c r="A709" s="91"/>
      <c r="B709" s="91"/>
      <c r="C709" s="89"/>
      <c r="D709" s="89"/>
      <c r="E709" s="91"/>
      <c r="F709" s="102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103"/>
      <c r="X709" s="103"/>
      <c r="Y709" s="89"/>
      <c r="Z709" s="89"/>
    </row>
    <row r="710" ht="14.25" customHeight="1">
      <c r="A710" s="91"/>
      <c r="B710" s="91"/>
      <c r="C710" s="89"/>
      <c r="D710" s="89"/>
      <c r="E710" s="91"/>
      <c r="F710" s="102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103"/>
      <c r="X710" s="103"/>
      <c r="Y710" s="89"/>
      <c r="Z710" s="89"/>
    </row>
    <row r="711" ht="14.25" customHeight="1">
      <c r="A711" s="91"/>
      <c r="B711" s="91"/>
      <c r="C711" s="89"/>
      <c r="D711" s="89"/>
      <c r="E711" s="91"/>
      <c r="F711" s="102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103"/>
      <c r="X711" s="103"/>
      <c r="Y711" s="89"/>
      <c r="Z711" s="89"/>
    </row>
    <row r="712" ht="14.25" customHeight="1">
      <c r="A712" s="91"/>
      <c r="B712" s="91"/>
      <c r="C712" s="89"/>
      <c r="D712" s="89"/>
      <c r="E712" s="91"/>
      <c r="F712" s="102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103"/>
      <c r="X712" s="103"/>
      <c r="Y712" s="89"/>
      <c r="Z712" s="89"/>
    </row>
    <row r="713" ht="14.25" customHeight="1">
      <c r="A713" s="91"/>
      <c r="B713" s="91"/>
      <c r="C713" s="89"/>
      <c r="D713" s="89"/>
      <c r="E713" s="91"/>
      <c r="F713" s="102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103"/>
      <c r="X713" s="103"/>
      <c r="Y713" s="89"/>
      <c r="Z713" s="89"/>
    </row>
    <row r="714" ht="14.25" customHeight="1">
      <c r="A714" s="91"/>
      <c r="B714" s="91"/>
      <c r="C714" s="89"/>
      <c r="D714" s="89"/>
      <c r="E714" s="91"/>
      <c r="F714" s="102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103"/>
      <c r="X714" s="103"/>
      <c r="Y714" s="89"/>
      <c r="Z714" s="89"/>
    </row>
    <row r="715" ht="14.25" customHeight="1">
      <c r="A715" s="91"/>
      <c r="B715" s="91"/>
      <c r="C715" s="89"/>
      <c r="D715" s="89"/>
      <c r="E715" s="91"/>
      <c r="F715" s="102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103"/>
      <c r="X715" s="103"/>
      <c r="Y715" s="89"/>
      <c r="Z715" s="89"/>
    </row>
    <row r="716" ht="14.25" customHeight="1">
      <c r="A716" s="91"/>
      <c r="B716" s="91"/>
      <c r="C716" s="89"/>
      <c r="D716" s="89"/>
      <c r="E716" s="91"/>
      <c r="F716" s="102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103"/>
      <c r="X716" s="103"/>
      <c r="Y716" s="89"/>
      <c r="Z716" s="89"/>
    </row>
    <row r="717" ht="14.25" customHeight="1">
      <c r="A717" s="91"/>
      <c r="B717" s="91"/>
      <c r="C717" s="89"/>
      <c r="D717" s="89"/>
      <c r="E717" s="91"/>
      <c r="F717" s="102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103"/>
      <c r="X717" s="103"/>
      <c r="Y717" s="89"/>
      <c r="Z717" s="89"/>
    </row>
    <row r="718" ht="14.25" customHeight="1">
      <c r="A718" s="91"/>
      <c r="B718" s="91"/>
      <c r="C718" s="89"/>
      <c r="D718" s="89"/>
      <c r="E718" s="91"/>
      <c r="F718" s="102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103"/>
      <c r="X718" s="103"/>
      <c r="Y718" s="89"/>
      <c r="Z718" s="89"/>
    </row>
    <row r="719" ht="14.25" customHeight="1">
      <c r="A719" s="91"/>
      <c r="B719" s="91"/>
      <c r="C719" s="89"/>
      <c r="D719" s="89"/>
      <c r="E719" s="91"/>
      <c r="F719" s="102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103"/>
      <c r="X719" s="103"/>
      <c r="Y719" s="89"/>
      <c r="Z719" s="89"/>
    </row>
    <row r="720" ht="14.25" customHeight="1">
      <c r="A720" s="91"/>
      <c r="B720" s="91"/>
      <c r="C720" s="89"/>
      <c r="D720" s="89"/>
      <c r="E720" s="91"/>
      <c r="F720" s="102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103"/>
      <c r="X720" s="103"/>
      <c r="Y720" s="89"/>
      <c r="Z720" s="89"/>
    </row>
    <row r="721" ht="14.25" customHeight="1">
      <c r="A721" s="91"/>
      <c r="B721" s="91"/>
      <c r="C721" s="89"/>
      <c r="D721" s="89"/>
      <c r="E721" s="91"/>
      <c r="F721" s="102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103"/>
      <c r="X721" s="103"/>
      <c r="Y721" s="89"/>
      <c r="Z721" s="89"/>
    </row>
    <row r="722" ht="14.25" customHeight="1">
      <c r="A722" s="91"/>
      <c r="B722" s="91"/>
      <c r="C722" s="89"/>
      <c r="D722" s="89"/>
      <c r="E722" s="91"/>
      <c r="F722" s="102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103"/>
      <c r="X722" s="103"/>
      <c r="Y722" s="89"/>
      <c r="Z722" s="89"/>
    </row>
    <row r="723" ht="14.25" customHeight="1">
      <c r="A723" s="91"/>
      <c r="B723" s="91"/>
      <c r="C723" s="89"/>
      <c r="D723" s="89"/>
      <c r="E723" s="91"/>
      <c r="F723" s="102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103"/>
      <c r="X723" s="103"/>
      <c r="Y723" s="89"/>
      <c r="Z723" s="89"/>
    </row>
    <row r="724" ht="14.25" customHeight="1">
      <c r="A724" s="91"/>
      <c r="B724" s="91"/>
      <c r="C724" s="89"/>
      <c r="D724" s="89"/>
      <c r="E724" s="91"/>
      <c r="F724" s="102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103"/>
      <c r="X724" s="103"/>
      <c r="Y724" s="89"/>
      <c r="Z724" s="89"/>
    </row>
    <row r="725" ht="14.25" customHeight="1">
      <c r="A725" s="91"/>
      <c r="B725" s="91"/>
      <c r="C725" s="89"/>
      <c r="D725" s="89"/>
      <c r="E725" s="91"/>
      <c r="F725" s="102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103"/>
      <c r="X725" s="103"/>
      <c r="Y725" s="89"/>
      <c r="Z725" s="89"/>
    </row>
    <row r="726" ht="14.25" customHeight="1">
      <c r="A726" s="91"/>
      <c r="B726" s="91"/>
      <c r="C726" s="89"/>
      <c r="D726" s="89"/>
      <c r="E726" s="91"/>
      <c r="F726" s="102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103"/>
      <c r="X726" s="103"/>
      <c r="Y726" s="89"/>
      <c r="Z726" s="89"/>
    </row>
    <row r="727" ht="14.25" customHeight="1">
      <c r="A727" s="91"/>
      <c r="B727" s="91"/>
      <c r="C727" s="89"/>
      <c r="D727" s="89"/>
      <c r="E727" s="91"/>
      <c r="F727" s="102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103"/>
      <c r="X727" s="103"/>
      <c r="Y727" s="89"/>
      <c r="Z727" s="89"/>
    </row>
    <row r="728" ht="14.25" customHeight="1">
      <c r="A728" s="91"/>
      <c r="B728" s="91"/>
      <c r="C728" s="89"/>
      <c r="D728" s="89"/>
      <c r="E728" s="91"/>
      <c r="F728" s="102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103"/>
      <c r="X728" s="103"/>
      <c r="Y728" s="89"/>
      <c r="Z728" s="89"/>
    </row>
    <row r="729" ht="14.25" customHeight="1">
      <c r="A729" s="91"/>
      <c r="B729" s="91"/>
      <c r="C729" s="89"/>
      <c r="D729" s="89"/>
      <c r="E729" s="91"/>
      <c r="F729" s="102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103"/>
      <c r="X729" s="103"/>
      <c r="Y729" s="89"/>
      <c r="Z729" s="89"/>
    </row>
    <row r="730" ht="14.25" customHeight="1">
      <c r="A730" s="91"/>
      <c r="B730" s="91"/>
      <c r="C730" s="89"/>
      <c r="D730" s="89"/>
      <c r="E730" s="91"/>
      <c r="F730" s="102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103"/>
      <c r="X730" s="103"/>
      <c r="Y730" s="89"/>
      <c r="Z730" s="89"/>
    </row>
    <row r="731" ht="14.25" customHeight="1">
      <c r="A731" s="91"/>
      <c r="B731" s="91"/>
      <c r="C731" s="89"/>
      <c r="D731" s="89"/>
      <c r="E731" s="91"/>
      <c r="F731" s="102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103"/>
      <c r="X731" s="103"/>
      <c r="Y731" s="89"/>
      <c r="Z731" s="89"/>
    </row>
    <row r="732" ht="14.25" customHeight="1">
      <c r="A732" s="91"/>
      <c r="B732" s="91"/>
      <c r="C732" s="89"/>
      <c r="D732" s="89"/>
      <c r="E732" s="91"/>
      <c r="F732" s="102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103"/>
      <c r="X732" s="103"/>
      <c r="Y732" s="89"/>
      <c r="Z732" s="89"/>
    </row>
    <row r="733" ht="14.25" customHeight="1">
      <c r="A733" s="91"/>
      <c r="B733" s="91"/>
      <c r="C733" s="89"/>
      <c r="D733" s="89"/>
      <c r="E733" s="91"/>
      <c r="F733" s="102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103"/>
      <c r="X733" s="103"/>
      <c r="Y733" s="89"/>
      <c r="Z733" s="89"/>
    </row>
    <row r="734" ht="14.25" customHeight="1">
      <c r="A734" s="91"/>
      <c r="B734" s="91"/>
      <c r="C734" s="89"/>
      <c r="D734" s="89"/>
      <c r="E734" s="91"/>
      <c r="F734" s="102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103"/>
      <c r="X734" s="103"/>
      <c r="Y734" s="89"/>
      <c r="Z734" s="89"/>
    </row>
    <row r="735" ht="14.25" customHeight="1">
      <c r="A735" s="91"/>
      <c r="B735" s="91"/>
      <c r="C735" s="89"/>
      <c r="D735" s="89"/>
      <c r="E735" s="91"/>
      <c r="F735" s="102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103"/>
      <c r="X735" s="103"/>
      <c r="Y735" s="89"/>
      <c r="Z735" s="89"/>
    </row>
    <row r="736" ht="14.25" customHeight="1">
      <c r="A736" s="91"/>
      <c r="B736" s="91"/>
      <c r="C736" s="89"/>
      <c r="D736" s="89"/>
      <c r="E736" s="91"/>
      <c r="F736" s="102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103"/>
      <c r="X736" s="103"/>
      <c r="Y736" s="89"/>
      <c r="Z736" s="89"/>
    </row>
    <row r="737" ht="14.25" customHeight="1">
      <c r="A737" s="91"/>
      <c r="B737" s="91"/>
      <c r="C737" s="89"/>
      <c r="D737" s="89"/>
      <c r="E737" s="91"/>
      <c r="F737" s="102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103"/>
      <c r="X737" s="103"/>
      <c r="Y737" s="89"/>
      <c r="Z737" s="89"/>
    </row>
    <row r="738" ht="14.25" customHeight="1">
      <c r="A738" s="91"/>
      <c r="B738" s="91"/>
      <c r="C738" s="89"/>
      <c r="D738" s="89"/>
      <c r="E738" s="91"/>
      <c r="F738" s="102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103"/>
      <c r="X738" s="103"/>
      <c r="Y738" s="89"/>
      <c r="Z738" s="89"/>
    </row>
    <row r="739" ht="14.25" customHeight="1">
      <c r="A739" s="91"/>
      <c r="B739" s="91"/>
      <c r="C739" s="89"/>
      <c r="D739" s="89"/>
      <c r="E739" s="91"/>
      <c r="F739" s="102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103"/>
      <c r="X739" s="103"/>
      <c r="Y739" s="89"/>
      <c r="Z739" s="89"/>
    </row>
    <row r="740" ht="14.25" customHeight="1">
      <c r="A740" s="91"/>
      <c r="B740" s="91"/>
      <c r="C740" s="89"/>
      <c r="D740" s="89"/>
      <c r="E740" s="91"/>
      <c r="F740" s="102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103"/>
      <c r="X740" s="103"/>
      <c r="Y740" s="89"/>
      <c r="Z740" s="89"/>
    </row>
    <row r="741" ht="14.25" customHeight="1">
      <c r="A741" s="91"/>
      <c r="B741" s="91"/>
      <c r="C741" s="89"/>
      <c r="D741" s="89"/>
      <c r="E741" s="91"/>
      <c r="F741" s="102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103"/>
      <c r="X741" s="103"/>
      <c r="Y741" s="89"/>
      <c r="Z741" s="89"/>
    </row>
    <row r="742" ht="14.25" customHeight="1">
      <c r="A742" s="91"/>
      <c r="B742" s="91"/>
      <c r="C742" s="89"/>
      <c r="D742" s="89"/>
      <c r="E742" s="91"/>
      <c r="F742" s="102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103"/>
      <c r="X742" s="103"/>
      <c r="Y742" s="89"/>
      <c r="Z742" s="89"/>
    </row>
    <row r="743" ht="14.25" customHeight="1">
      <c r="A743" s="91"/>
      <c r="B743" s="91"/>
      <c r="C743" s="89"/>
      <c r="D743" s="89"/>
      <c r="E743" s="91"/>
      <c r="F743" s="102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103"/>
      <c r="X743" s="103"/>
      <c r="Y743" s="89"/>
      <c r="Z743" s="89"/>
    </row>
    <row r="744" ht="14.25" customHeight="1">
      <c r="A744" s="91"/>
      <c r="B744" s="91"/>
      <c r="C744" s="89"/>
      <c r="D744" s="89"/>
      <c r="E744" s="91"/>
      <c r="F744" s="102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103"/>
      <c r="X744" s="103"/>
      <c r="Y744" s="89"/>
      <c r="Z744" s="89"/>
    </row>
    <row r="745" ht="14.25" customHeight="1">
      <c r="A745" s="91"/>
      <c r="B745" s="91"/>
      <c r="C745" s="89"/>
      <c r="D745" s="89"/>
      <c r="E745" s="91"/>
      <c r="F745" s="102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103"/>
      <c r="X745" s="103"/>
      <c r="Y745" s="89"/>
      <c r="Z745" s="89"/>
    </row>
    <row r="746" ht="14.25" customHeight="1">
      <c r="A746" s="91"/>
      <c r="B746" s="91"/>
      <c r="C746" s="89"/>
      <c r="D746" s="89"/>
      <c r="E746" s="91"/>
      <c r="F746" s="102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103"/>
      <c r="X746" s="103"/>
      <c r="Y746" s="89"/>
      <c r="Z746" s="89"/>
    </row>
    <row r="747" ht="14.25" customHeight="1">
      <c r="A747" s="91"/>
      <c r="B747" s="91"/>
      <c r="C747" s="89"/>
      <c r="D747" s="89"/>
      <c r="E747" s="91"/>
      <c r="F747" s="102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103"/>
      <c r="X747" s="103"/>
      <c r="Y747" s="89"/>
      <c r="Z747" s="89"/>
    </row>
    <row r="748" ht="14.25" customHeight="1">
      <c r="A748" s="91"/>
      <c r="B748" s="91"/>
      <c r="C748" s="89"/>
      <c r="D748" s="89"/>
      <c r="E748" s="91"/>
      <c r="F748" s="102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103"/>
      <c r="X748" s="103"/>
      <c r="Y748" s="89"/>
      <c r="Z748" s="89"/>
    </row>
    <row r="749" ht="14.25" customHeight="1">
      <c r="A749" s="91"/>
      <c r="B749" s="91"/>
      <c r="C749" s="89"/>
      <c r="D749" s="89"/>
      <c r="E749" s="91"/>
      <c r="F749" s="102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103"/>
      <c r="X749" s="103"/>
      <c r="Y749" s="89"/>
      <c r="Z749" s="89"/>
    </row>
    <row r="750" ht="14.25" customHeight="1">
      <c r="A750" s="91"/>
      <c r="B750" s="91"/>
      <c r="C750" s="89"/>
      <c r="D750" s="89"/>
      <c r="E750" s="91"/>
      <c r="F750" s="102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103"/>
      <c r="X750" s="103"/>
      <c r="Y750" s="89"/>
      <c r="Z750" s="89"/>
    </row>
    <row r="751" ht="14.25" customHeight="1">
      <c r="A751" s="91"/>
      <c r="B751" s="91"/>
      <c r="C751" s="89"/>
      <c r="D751" s="89"/>
      <c r="E751" s="91"/>
      <c r="F751" s="102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103"/>
      <c r="X751" s="103"/>
      <c r="Y751" s="89"/>
      <c r="Z751" s="89"/>
    </row>
    <row r="752" ht="14.25" customHeight="1">
      <c r="A752" s="91"/>
      <c r="B752" s="91"/>
      <c r="C752" s="89"/>
      <c r="D752" s="89"/>
      <c r="E752" s="91"/>
      <c r="F752" s="102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103"/>
      <c r="X752" s="103"/>
      <c r="Y752" s="89"/>
      <c r="Z752" s="89"/>
    </row>
    <row r="753" ht="14.25" customHeight="1">
      <c r="A753" s="91"/>
      <c r="B753" s="91"/>
      <c r="C753" s="89"/>
      <c r="D753" s="89"/>
      <c r="E753" s="91"/>
      <c r="F753" s="102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103"/>
      <c r="X753" s="103"/>
      <c r="Y753" s="89"/>
      <c r="Z753" s="89"/>
    </row>
    <row r="754" ht="14.25" customHeight="1">
      <c r="A754" s="91"/>
      <c r="B754" s="91"/>
      <c r="C754" s="89"/>
      <c r="D754" s="89"/>
      <c r="E754" s="91"/>
      <c r="F754" s="102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103"/>
      <c r="X754" s="103"/>
      <c r="Y754" s="89"/>
      <c r="Z754" s="89"/>
    </row>
    <row r="755" ht="14.25" customHeight="1">
      <c r="A755" s="91"/>
      <c r="B755" s="91"/>
      <c r="C755" s="89"/>
      <c r="D755" s="89"/>
      <c r="E755" s="91"/>
      <c r="F755" s="102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103"/>
      <c r="X755" s="103"/>
      <c r="Y755" s="89"/>
      <c r="Z755" s="89"/>
    </row>
    <row r="756" ht="14.25" customHeight="1">
      <c r="A756" s="91"/>
      <c r="B756" s="91"/>
      <c r="C756" s="89"/>
      <c r="D756" s="89"/>
      <c r="E756" s="91"/>
      <c r="F756" s="102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103"/>
      <c r="X756" s="103"/>
      <c r="Y756" s="89"/>
      <c r="Z756" s="89"/>
    </row>
    <row r="757" ht="14.25" customHeight="1">
      <c r="A757" s="91"/>
      <c r="B757" s="91"/>
      <c r="C757" s="89"/>
      <c r="D757" s="89"/>
      <c r="E757" s="91"/>
      <c r="F757" s="102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103"/>
      <c r="X757" s="103"/>
      <c r="Y757" s="89"/>
      <c r="Z757" s="89"/>
    </row>
    <row r="758" ht="14.25" customHeight="1">
      <c r="A758" s="91"/>
      <c r="B758" s="91"/>
      <c r="C758" s="89"/>
      <c r="D758" s="89"/>
      <c r="E758" s="91"/>
      <c r="F758" s="102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103"/>
      <c r="X758" s="103"/>
      <c r="Y758" s="89"/>
      <c r="Z758" s="89"/>
    </row>
    <row r="759" ht="14.25" customHeight="1">
      <c r="A759" s="91"/>
      <c r="B759" s="91"/>
      <c r="C759" s="89"/>
      <c r="D759" s="89"/>
      <c r="E759" s="91"/>
      <c r="F759" s="102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103"/>
      <c r="X759" s="103"/>
      <c r="Y759" s="89"/>
      <c r="Z759" s="89"/>
    </row>
    <row r="760" ht="14.25" customHeight="1">
      <c r="A760" s="91"/>
      <c r="B760" s="91"/>
      <c r="C760" s="89"/>
      <c r="D760" s="89"/>
      <c r="E760" s="91"/>
      <c r="F760" s="102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103"/>
      <c r="X760" s="103"/>
      <c r="Y760" s="89"/>
      <c r="Z760" s="89"/>
    </row>
    <row r="761" ht="14.25" customHeight="1">
      <c r="A761" s="91"/>
      <c r="B761" s="91"/>
      <c r="C761" s="89"/>
      <c r="D761" s="89"/>
      <c r="E761" s="91"/>
      <c r="F761" s="102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103"/>
      <c r="X761" s="103"/>
      <c r="Y761" s="89"/>
      <c r="Z761" s="89"/>
    </row>
    <row r="762" ht="14.25" customHeight="1">
      <c r="A762" s="91"/>
      <c r="B762" s="91"/>
      <c r="C762" s="89"/>
      <c r="D762" s="89"/>
      <c r="E762" s="91"/>
      <c r="F762" s="102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103"/>
      <c r="X762" s="103"/>
      <c r="Y762" s="89"/>
      <c r="Z762" s="89"/>
    </row>
    <row r="763" ht="14.25" customHeight="1">
      <c r="A763" s="91"/>
      <c r="B763" s="91"/>
      <c r="C763" s="89"/>
      <c r="D763" s="89"/>
      <c r="E763" s="91"/>
      <c r="F763" s="102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103"/>
      <c r="X763" s="103"/>
      <c r="Y763" s="89"/>
      <c r="Z763" s="89"/>
    </row>
    <row r="764" ht="14.25" customHeight="1">
      <c r="A764" s="91"/>
      <c r="B764" s="91"/>
      <c r="C764" s="89"/>
      <c r="D764" s="89"/>
      <c r="E764" s="91"/>
      <c r="F764" s="102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103"/>
      <c r="X764" s="103"/>
      <c r="Y764" s="89"/>
      <c r="Z764" s="89"/>
    </row>
    <row r="765" ht="14.25" customHeight="1">
      <c r="A765" s="91"/>
      <c r="B765" s="91"/>
      <c r="C765" s="89"/>
      <c r="D765" s="89"/>
      <c r="E765" s="91"/>
      <c r="F765" s="102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103"/>
      <c r="X765" s="103"/>
      <c r="Y765" s="89"/>
      <c r="Z765" s="89"/>
    </row>
    <row r="766" ht="14.25" customHeight="1">
      <c r="A766" s="91"/>
      <c r="B766" s="91"/>
      <c r="C766" s="89"/>
      <c r="D766" s="89"/>
      <c r="E766" s="91"/>
      <c r="F766" s="102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103"/>
      <c r="X766" s="103"/>
      <c r="Y766" s="89"/>
      <c r="Z766" s="89"/>
    </row>
    <row r="767" ht="14.25" customHeight="1">
      <c r="A767" s="91"/>
      <c r="B767" s="91"/>
      <c r="C767" s="89"/>
      <c r="D767" s="89"/>
      <c r="E767" s="91"/>
      <c r="F767" s="102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103"/>
      <c r="X767" s="103"/>
      <c r="Y767" s="89"/>
      <c r="Z767" s="89"/>
    </row>
    <row r="768" ht="14.25" customHeight="1">
      <c r="A768" s="91"/>
      <c r="B768" s="91"/>
      <c r="C768" s="89"/>
      <c r="D768" s="89"/>
      <c r="E768" s="91"/>
      <c r="F768" s="102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103"/>
      <c r="X768" s="103"/>
      <c r="Y768" s="89"/>
      <c r="Z768" s="89"/>
    </row>
    <row r="769" ht="14.25" customHeight="1">
      <c r="A769" s="91"/>
      <c r="B769" s="91"/>
      <c r="C769" s="89"/>
      <c r="D769" s="89"/>
      <c r="E769" s="91"/>
      <c r="F769" s="102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103"/>
      <c r="X769" s="103"/>
      <c r="Y769" s="89"/>
      <c r="Z769" s="89"/>
    </row>
    <row r="770" ht="14.25" customHeight="1">
      <c r="A770" s="91"/>
      <c r="B770" s="91"/>
      <c r="C770" s="89"/>
      <c r="D770" s="89"/>
      <c r="E770" s="91"/>
      <c r="F770" s="102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103"/>
      <c r="X770" s="103"/>
      <c r="Y770" s="89"/>
      <c r="Z770" s="89"/>
    </row>
    <row r="771" ht="14.25" customHeight="1">
      <c r="A771" s="91"/>
      <c r="B771" s="91"/>
      <c r="C771" s="89"/>
      <c r="D771" s="89"/>
      <c r="E771" s="91"/>
      <c r="F771" s="102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103"/>
      <c r="X771" s="103"/>
      <c r="Y771" s="89"/>
      <c r="Z771" s="89"/>
    </row>
    <row r="772" ht="14.25" customHeight="1">
      <c r="A772" s="91"/>
      <c r="B772" s="91"/>
      <c r="C772" s="89"/>
      <c r="D772" s="89"/>
      <c r="E772" s="91"/>
      <c r="F772" s="102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103"/>
      <c r="X772" s="103"/>
      <c r="Y772" s="89"/>
      <c r="Z772" s="89"/>
    </row>
    <row r="773" ht="14.25" customHeight="1">
      <c r="A773" s="91"/>
      <c r="B773" s="91"/>
      <c r="C773" s="89"/>
      <c r="D773" s="89"/>
      <c r="E773" s="91"/>
      <c r="F773" s="102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103"/>
      <c r="X773" s="103"/>
      <c r="Y773" s="89"/>
      <c r="Z773" s="89"/>
    </row>
    <row r="774" ht="14.25" customHeight="1">
      <c r="A774" s="91"/>
      <c r="B774" s="91"/>
      <c r="C774" s="89"/>
      <c r="D774" s="89"/>
      <c r="E774" s="91"/>
      <c r="F774" s="102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103"/>
      <c r="X774" s="103"/>
      <c r="Y774" s="89"/>
      <c r="Z774" s="89"/>
    </row>
    <row r="775" ht="14.25" customHeight="1">
      <c r="A775" s="91"/>
      <c r="B775" s="91"/>
      <c r="C775" s="89"/>
      <c r="D775" s="89"/>
      <c r="E775" s="91"/>
      <c r="F775" s="102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103"/>
      <c r="X775" s="103"/>
      <c r="Y775" s="89"/>
      <c r="Z775" s="89"/>
    </row>
    <row r="776" ht="14.25" customHeight="1">
      <c r="A776" s="91"/>
      <c r="B776" s="91"/>
      <c r="C776" s="89"/>
      <c r="D776" s="89"/>
      <c r="E776" s="91"/>
      <c r="F776" s="102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103"/>
      <c r="X776" s="103"/>
      <c r="Y776" s="89"/>
      <c r="Z776" s="89"/>
    </row>
    <row r="777" ht="14.25" customHeight="1">
      <c r="A777" s="91"/>
      <c r="B777" s="91"/>
      <c r="C777" s="89"/>
      <c r="D777" s="89"/>
      <c r="E777" s="91"/>
      <c r="F777" s="102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103"/>
      <c r="X777" s="103"/>
      <c r="Y777" s="89"/>
      <c r="Z777" s="89"/>
    </row>
    <row r="778" ht="14.25" customHeight="1">
      <c r="A778" s="91"/>
      <c r="B778" s="91"/>
      <c r="C778" s="89"/>
      <c r="D778" s="89"/>
      <c r="E778" s="91"/>
      <c r="F778" s="102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103"/>
      <c r="X778" s="103"/>
      <c r="Y778" s="89"/>
      <c r="Z778" s="89"/>
    </row>
    <row r="779" ht="14.25" customHeight="1">
      <c r="A779" s="91"/>
      <c r="B779" s="91"/>
      <c r="C779" s="89"/>
      <c r="D779" s="89"/>
      <c r="E779" s="91"/>
      <c r="F779" s="102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103"/>
      <c r="X779" s="103"/>
      <c r="Y779" s="89"/>
      <c r="Z779" s="89"/>
    </row>
    <row r="780" ht="14.25" customHeight="1">
      <c r="A780" s="91"/>
      <c r="B780" s="91"/>
      <c r="C780" s="89"/>
      <c r="D780" s="89"/>
      <c r="E780" s="91"/>
      <c r="F780" s="102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103"/>
      <c r="X780" s="103"/>
      <c r="Y780" s="89"/>
      <c r="Z780" s="89"/>
    </row>
    <row r="781" ht="14.25" customHeight="1">
      <c r="A781" s="91"/>
      <c r="B781" s="91"/>
      <c r="C781" s="89"/>
      <c r="D781" s="89"/>
      <c r="E781" s="91"/>
      <c r="F781" s="102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103"/>
      <c r="X781" s="103"/>
      <c r="Y781" s="89"/>
      <c r="Z781" s="89"/>
    </row>
    <row r="782" ht="14.25" customHeight="1">
      <c r="A782" s="91"/>
      <c r="B782" s="91"/>
      <c r="C782" s="89"/>
      <c r="D782" s="89"/>
      <c r="E782" s="91"/>
      <c r="F782" s="102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103"/>
      <c r="X782" s="103"/>
      <c r="Y782" s="89"/>
      <c r="Z782" s="89"/>
    </row>
    <row r="783" ht="14.25" customHeight="1">
      <c r="A783" s="91"/>
      <c r="B783" s="91"/>
      <c r="C783" s="89"/>
      <c r="D783" s="89"/>
      <c r="E783" s="91"/>
      <c r="F783" s="102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103"/>
      <c r="X783" s="103"/>
      <c r="Y783" s="89"/>
      <c r="Z783" s="89"/>
    </row>
    <row r="784" ht="14.25" customHeight="1">
      <c r="A784" s="91"/>
      <c r="B784" s="91"/>
      <c r="C784" s="89"/>
      <c r="D784" s="89"/>
      <c r="E784" s="91"/>
      <c r="F784" s="102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103"/>
      <c r="X784" s="103"/>
      <c r="Y784" s="89"/>
      <c r="Z784" s="89"/>
    </row>
    <row r="785" ht="14.25" customHeight="1">
      <c r="A785" s="91"/>
      <c r="B785" s="91"/>
      <c r="C785" s="89"/>
      <c r="D785" s="89"/>
      <c r="E785" s="91"/>
      <c r="F785" s="102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103"/>
      <c r="X785" s="103"/>
      <c r="Y785" s="89"/>
      <c r="Z785" s="89"/>
    </row>
    <row r="786" ht="14.25" customHeight="1">
      <c r="A786" s="91"/>
      <c r="B786" s="91"/>
      <c r="C786" s="89"/>
      <c r="D786" s="89"/>
      <c r="E786" s="91"/>
      <c r="F786" s="102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103"/>
      <c r="X786" s="103"/>
      <c r="Y786" s="89"/>
      <c r="Z786" s="89"/>
    </row>
    <row r="787" ht="14.25" customHeight="1">
      <c r="A787" s="91"/>
      <c r="B787" s="91"/>
      <c r="C787" s="89"/>
      <c r="D787" s="89"/>
      <c r="E787" s="91"/>
      <c r="F787" s="102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103"/>
      <c r="X787" s="103"/>
      <c r="Y787" s="89"/>
      <c r="Z787" s="89"/>
    </row>
    <row r="788" ht="14.25" customHeight="1">
      <c r="A788" s="91"/>
      <c r="B788" s="91"/>
      <c r="C788" s="89"/>
      <c r="D788" s="89"/>
      <c r="E788" s="91"/>
      <c r="F788" s="102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103"/>
      <c r="X788" s="103"/>
      <c r="Y788" s="89"/>
      <c r="Z788" s="89"/>
    </row>
    <row r="789" ht="14.25" customHeight="1">
      <c r="A789" s="91"/>
      <c r="B789" s="91"/>
      <c r="C789" s="89"/>
      <c r="D789" s="89"/>
      <c r="E789" s="91"/>
      <c r="F789" s="102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103"/>
      <c r="X789" s="103"/>
      <c r="Y789" s="89"/>
      <c r="Z789" s="89"/>
    </row>
    <row r="790" ht="14.25" customHeight="1">
      <c r="A790" s="91"/>
      <c r="B790" s="91"/>
      <c r="C790" s="89"/>
      <c r="D790" s="89"/>
      <c r="E790" s="91"/>
      <c r="F790" s="102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103"/>
      <c r="X790" s="103"/>
      <c r="Y790" s="89"/>
      <c r="Z790" s="89"/>
    </row>
    <row r="791" ht="14.25" customHeight="1">
      <c r="A791" s="91"/>
      <c r="B791" s="91"/>
      <c r="C791" s="89"/>
      <c r="D791" s="89"/>
      <c r="E791" s="91"/>
      <c r="F791" s="102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103"/>
      <c r="X791" s="103"/>
      <c r="Y791" s="89"/>
      <c r="Z791" s="89"/>
    </row>
    <row r="792" ht="14.25" customHeight="1">
      <c r="A792" s="91"/>
      <c r="B792" s="91"/>
      <c r="C792" s="89"/>
      <c r="D792" s="89"/>
      <c r="E792" s="91"/>
      <c r="F792" s="102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103"/>
      <c r="X792" s="103"/>
      <c r="Y792" s="89"/>
      <c r="Z792" s="89"/>
    </row>
    <row r="793" ht="14.25" customHeight="1">
      <c r="A793" s="91"/>
      <c r="B793" s="91"/>
      <c r="C793" s="89"/>
      <c r="D793" s="89"/>
      <c r="E793" s="91"/>
      <c r="F793" s="102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103"/>
      <c r="X793" s="103"/>
      <c r="Y793" s="89"/>
      <c r="Z793" s="89"/>
    </row>
    <row r="794" ht="14.25" customHeight="1">
      <c r="A794" s="91"/>
      <c r="B794" s="91"/>
      <c r="C794" s="89"/>
      <c r="D794" s="89"/>
      <c r="E794" s="91"/>
      <c r="F794" s="102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103"/>
      <c r="X794" s="103"/>
      <c r="Y794" s="89"/>
      <c r="Z794" s="89"/>
    </row>
    <row r="795" ht="14.25" customHeight="1">
      <c r="A795" s="91"/>
      <c r="B795" s="91"/>
      <c r="C795" s="89"/>
      <c r="D795" s="89"/>
      <c r="E795" s="91"/>
      <c r="F795" s="102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103"/>
      <c r="X795" s="103"/>
      <c r="Y795" s="89"/>
      <c r="Z795" s="89"/>
    </row>
    <row r="796" ht="14.25" customHeight="1">
      <c r="A796" s="91"/>
      <c r="B796" s="91"/>
      <c r="C796" s="89"/>
      <c r="D796" s="89"/>
      <c r="E796" s="91"/>
      <c r="F796" s="102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103"/>
      <c r="X796" s="103"/>
      <c r="Y796" s="89"/>
      <c r="Z796" s="89"/>
    </row>
    <row r="797" ht="14.25" customHeight="1">
      <c r="A797" s="91"/>
      <c r="B797" s="91"/>
      <c r="C797" s="89"/>
      <c r="D797" s="89"/>
      <c r="E797" s="91"/>
      <c r="F797" s="102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103"/>
      <c r="X797" s="103"/>
      <c r="Y797" s="89"/>
      <c r="Z797" s="89"/>
    </row>
    <row r="798" ht="14.25" customHeight="1">
      <c r="A798" s="91"/>
      <c r="B798" s="91"/>
      <c r="C798" s="89"/>
      <c r="D798" s="89"/>
      <c r="E798" s="91"/>
      <c r="F798" s="102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103"/>
      <c r="X798" s="103"/>
      <c r="Y798" s="89"/>
      <c r="Z798" s="89"/>
    </row>
    <row r="799" ht="14.25" customHeight="1">
      <c r="A799" s="91"/>
      <c r="B799" s="91"/>
      <c r="C799" s="89"/>
      <c r="D799" s="89"/>
      <c r="E799" s="91"/>
      <c r="F799" s="102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103"/>
      <c r="X799" s="103"/>
      <c r="Y799" s="89"/>
      <c r="Z799" s="89"/>
    </row>
    <row r="800" ht="14.25" customHeight="1">
      <c r="A800" s="91"/>
      <c r="B800" s="91"/>
      <c r="C800" s="89"/>
      <c r="D800" s="89"/>
      <c r="E800" s="91"/>
      <c r="F800" s="102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103"/>
      <c r="X800" s="103"/>
      <c r="Y800" s="89"/>
      <c r="Z800" s="89"/>
    </row>
    <row r="801" ht="14.25" customHeight="1">
      <c r="A801" s="91"/>
      <c r="B801" s="91"/>
      <c r="C801" s="89"/>
      <c r="D801" s="89"/>
      <c r="E801" s="91"/>
      <c r="F801" s="102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103"/>
      <c r="X801" s="103"/>
      <c r="Y801" s="89"/>
      <c r="Z801" s="89"/>
    </row>
    <row r="802" ht="14.25" customHeight="1">
      <c r="A802" s="91"/>
      <c r="B802" s="91"/>
      <c r="C802" s="89"/>
      <c r="D802" s="89"/>
      <c r="E802" s="91"/>
      <c r="F802" s="102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103"/>
      <c r="X802" s="103"/>
      <c r="Y802" s="89"/>
      <c r="Z802" s="89"/>
    </row>
    <row r="803" ht="14.25" customHeight="1">
      <c r="A803" s="91"/>
      <c r="B803" s="91"/>
      <c r="C803" s="89"/>
      <c r="D803" s="89"/>
      <c r="E803" s="91"/>
      <c r="F803" s="102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103"/>
      <c r="X803" s="103"/>
      <c r="Y803" s="89"/>
      <c r="Z803" s="89"/>
    </row>
    <row r="804" ht="14.25" customHeight="1">
      <c r="A804" s="91"/>
      <c r="B804" s="91"/>
      <c r="C804" s="89"/>
      <c r="D804" s="89"/>
      <c r="E804" s="91"/>
      <c r="F804" s="102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103"/>
      <c r="X804" s="103"/>
      <c r="Y804" s="89"/>
      <c r="Z804" s="89"/>
    </row>
    <row r="805" ht="14.25" customHeight="1">
      <c r="A805" s="91"/>
      <c r="B805" s="91"/>
      <c r="C805" s="89"/>
      <c r="D805" s="89"/>
      <c r="E805" s="91"/>
      <c r="F805" s="102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103"/>
      <c r="X805" s="103"/>
      <c r="Y805" s="89"/>
      <c r="Z805" s="89"/>
    </row>
    <row r="806" ht="14.25" customHeight="1">
      <c r="A806" s="91"/>
      <c r="B806" s="91"/>
      <c r="C806" s="89"/>
      <c r="D806" s="89"/>
      <c r="E806" s="91"/>
      <c r="F806" s="102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103"/>
      <c r="X806" s="103"/>
      <c r="Y806" s="89"/>
      <c r="Z806" s="89"/>
    </row>
    <row r="807" ht="14.25" customHeight="1">
      <c r="A807" s="91"/>
      <c r="B807" s="91"/>
      <c r="C807" s="89"/>
      <c r="D807" s="89"/>
      <c r="E807" s="91"/>
      <c r="F807" s="102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103"/>
      <c r="X807" s="103"/>
      <c r="Y807" s="89"/>
      <c r="Z807" s="89"/>
    </row>
    <row r="808" ht="14.25" customHeight="1">
      <c r="A808" s="91"/>
      <c r="B808" s="91"/>
      <c r="C808" s="89"/>
      <c r="D808" s="89"/>
      <c r="E808" s="91"/>
      <c r="F808" s="102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103"/>
      <c r="X808" s="103"/>
      <c r="Y808" s="89"/>
      <c r="Z808" s="89"/>
    </row>
    <row r="809" ht="14.25" customHeight="1">
      <c r="A809" s="91"/>
      <c r="B809" s="91"/>
      <c r="C809" s="89"/>
      <c r="D809" s="89"/>
      <c r="E809" s="91"/>
      <c r="F809" s="102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103"/>
      <c r="X809" s="103"/>
      <c r="Y809" s="89"/>
      <c r="Z809" s="89"/>
    </row>
    <row r="810" ht="14.25" customHeight="1">
      <c r="A810" s="91"/>
      <c r="B810" s="91"/>
      <c r="C810" s="89"/>
      <c r="D810" s="89"/>
      <c r="E810" s="91"/>
      <c r="F810" s="102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103"/>
      <c r="X810" s="103"/>
      <c r="Y810" s="89"/>
      <c r="Z810" s="89"/>
    </row>
    <row r="811" ht="14.25" customHeight="1">
      <c r="A811" s="91"/>
      <c r="B811" s="91"/>
      <c r="C811" s="89"/>
      <c r="D811" s="89"/>
      <c r="E811" s="91"/>
      <c r="F811" s="102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103"/>
      <c r="X811" s="103"/>
      <c r="Y811" s="89"/>
      <c r="Z811" s="89"/>
    </row>
    <row r="812" ht="14.25" customHeight="1">
      <c r="A812" s="91"/>
      <c r="B812" s="91"/>
      <c r="C812" s="89"/>
      <c r="D812" s="89"/>
      <c r="E812" s="91"/>
      <c r="F812" s="102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103"/>
      <c r="X812" s="103"/>
      <c r="Y812" s="89"/>
      <c r="Z812" s="89"/>
    </row>
    <row r="813" ht="14.25" customHeight="1">
      <c r="A813" s="91"/>
      <c r="B813" s="91"/>
      <c r="C813" s="89"/>
      <c r="D813" s="89"/>
      <c r="E813" s="91"/>
      <c r="F813" s="102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103"/>
      <c r="X813" s="103"/>
      <c r="Y813" s="89"/>
      <c r="Z813" s="89"/>
    </row>
    <row r="814" ht="14.25" customHeight="1">
      <c r="A814" s="91"/>
      <c r="B814" s="91"/>
      <c r="C814" s="89"/>
      <c r="D814" s="89"/>
      <c r="E814" s="91"/>
      <c r="F814" s="102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103"/>
      <c r="X814" s="103"/>
      <c r="Y814" s="89"/>
      <c r="Z814" s="89"/>
    </row>
    <row r="815" ht="14.25" customHeight="1">
      <c r="A815" s="91"/>
      <c r="B815" s="91"/>
      <c r="C815" s="89"/>
      <c r="D815" s="89"/>
      <c r="E815" s="91"/>
      <c r="F815" s="102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103"/>
      <c r="X815" s="103"/>
      <c r="Y815" s="89"/>
      <c r="Z815" s="89"/>
    </row>
    <row r="816" ht="14.25" customHeight="1">
      <c r="A816" s="91"/>
      <c r="B816" s="91"/>
      <c r="C816" s="89"/>
      <c r="D816" s="89"/>
      <c r="E816" s="91"/>
      <c r="F816" s="102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103"/>
      <c r="X816" s="103"/>
      <c r="Y816" s="89"/>
      <c r="Z816" s="89"/>
    </row>
    <row r="817" ht="14.25" customHeight="1">
      <c r="A817" s="91"/>
      <c r="B817" s="91"/>
      <c r="C817" s="89"/>
      <c r="D817" s="89"/>
      <c r="E817" s="91"/>
      <c r="F817" s="102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103"/>
      <c r="X817" s="103"/>
      <c r="Y817" s="89"/>
      <c r="Z817" s="89"/>
    </row>
    <row r="818" ht="14.25" customHeight="1">
      <c r="A818" s="91"/>
      <c r="B818" s="91"/>
      <c r="C818" s="89"/>
      <c r="D818" s="89"/>
      <c r="E818" s="91"/>
      <c r="F818" s="102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103"/>
      <c r="X818" s="103"/>
      <c r="Y818" s="89"/>
      <c r="Z818" s="89"/>
    </row>
    <row r="819" ht="14.25" customHeight="1">
      <c r="A819" s="91"/>
      <c r="B819" s="91"/>
      <c r="C819" s="89"/>
      <c r="D819" s="89"/>
      <c r="E819" s="91"/>
      <c r="F819" s="102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103"/>
      <c r="X819" s="103"/>
      <c r="Y819" s="89"/>
      <c r="Z819" s="89"/>
    </row>
    <row r="820" ht="14.25" customHeight="1">
      <c r="A820" s="91"/>
      <c r="B820" s="91"/>
      <c r="C820" s="89"/>
      <c r="D820" s="89"/>
      <c r="E820" s="91"/>
      <c r="F820" s="102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103"/>
      <c r="X820" s="103"/>
      <c r="Y820" s="89"/>
      <c r="Z820" s="89"/>
    </row>
    <row r="821" ht="14.25" customHeight="1">
      <c r="A821" s="91"/>
      <c r="B821" s="91"/>
      <c r="C821" s="89"/>
      <c r="D821" s="89"/>
      <c r="E821" s="91"/>
      <c r="F821" s="102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103"/>
      <c r="X821" s="103"/>
      <c r="Y821" s="89"/>
      <c r="Z821" s="89"/>
    </row>
    <row r="822" ht="14.25" customHeight="1">
      <c r="A822" s="91"/>
      <c r="B822" s="91"/>
      <c r="C822" s="89"/>
      <c r="D822" s="89"/>
      <c r="E822" s="91"/>
      <c r="F822" s="102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103"/>
      <c r="X822" s="103"/>
      <c r="Y822" s="89"/>
      <c r="Z822" s="89"/>
    </row>
    <row r="823" ht="14.25" customHeight="1">
      <c r="A823" s="91"/>
      <c r="B823" s="91"/>
      <c r="C823" s="89"/>
      <c r="D823" s="89"/>
      <c r="E823" s="91"/>
      <c r="F823" s="102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103"/>
      <c r="X823" s="103"/>
      <c r="Y823" s="89"/>
      <c r="Z823" s="89"/>
    </row>
    <row r="824" ht="14.25" customHeight="1">
      <c r="A824" s="91"/>
      <c r="B824" s="91"/>
      <c r="C824" s="89"/>
      <c r="D824" s="89"/>
      <c r="E824" s="91"/>
      <c r="F824" s="102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103"/>
      <c r="X824" s="103"/>
      <c r="Y824" s="89"/>
      <c r="Z824" s="89"/>
    </row>
    <row r="825" ht="14.25" customHeight="1">
      <c r="A825" s="91"/>
      <c r="B825" s="91"/>
      <c r="C825" s="89"/>
      <c r="D825" s="89"/>
      <c r="E825" s="91"/>
      <c r="F825" s="102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103"/>
      <c r="X825" s="103"/>
      <c r="Y825" s="89"/>
      <c r="Z825" s="89"/>
    </row>
    <row r="826" ht="14.25" customHeight="1">
      <c r="A826" s="91"/>
      <c r="B826" s="91"/>
      <c r="C826" s="89"/>
      <c r="D826" s="89"/>
      <c r="E826" s="91"/>
      <c r="F826" s="102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103"/>
      <c r="X826" s="103"/>
      <c r="Y826" s="89"/>
      <c r="Z826" s="89"/>
    </row>
    <row r="827" ht="14.25" customHeight="1">
      <c r="A827" s="91"/>
      <c r="B827" s="91"/>
      <c r="C827" s="89"/>
      <c r="D827" s="89"/>
      <c r="E827" s="91"/>
      <c r="F827" s="102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103"/>
      <c r="X827" s="103"/>
      <c r="Y827" s="89"/>
      <c r="Z827" s="89"/>
    </row>
    <row r="828" ht="14.25" customHeight="1">
      <c r="A828" s="91"/>
      <c r="B828" s="91"/>
      <c r="C828" s="89"/>
      <c r="D828" s="89"/>
      <c r="E828" s="91"/>
      <c r="F828" s="102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103"/>
      <c r="X828" s="103"/>
      <c r="Y828" s="89"/>
      <c r="Z828" s="89"/>
    </row>
    <row r="829" ht="14.25" customHeight="1">
      <c r="A829" s="91"/>
      <c r="B829" s="91"/>
      <c r="C829" s="89"/>
      <c r="D829" s="89"/>
      <c r="E829" s="91"/>
      <c r="F829" s="102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103"/>
      <c r="X829" s="103"/>
      <c r="Y829" s="89"/>
      <c r="Z829" s="89"/>
    </row>
    <row r="830" ht="14.25" customHeight="1">
      <c r="A830" s="91"/>
      <c r="B830" s="91"/>
      <c r="C830" s="89"/>
      <c r="D830" s="89"/>
      <c r="E830" s="91"/>
      <c r="F830" s="102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103"/>
      <c r="X830" s="103"/>
      <c r="Y830" s="89"/>
      <c r="Z830" s="89"/>
    </row>
    <row r="831" ht="14.25" customHeight="1">
      <c r="A831" s="91"/>
      <c r="B831" s="91"/>
      <c r="C831" s="89"/>
      <c r="D831" s="89"/>
      <c r="E831" s="91"/>
      <c r="F831" s="102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103"/>
      <c r="X831" s="103"/>
      <c r="Y831" s="89"/>
      <c r="Z831" s="89"/>
    </row>
    <row r="832" ht="14.25" customHeight="1">
      <c r="A832" s="91"/>
      <c r="B832" s="91"/>
      <c r="C832" s="89"/>
      <c r="D832" s="89"/>
      <c r="E832" s="91"/>
      <c r="F832" s="102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103"/>
      <c r="X832" s="103"/>
      <c r="Y832" s="89"/>
      <c r="Z832" s="89"/>
    </row>
    <row r="833" ht="14.25" customHeight="1">
      <c r="A833" s="91"/>
      <c r="B833" s="91"/>
      <c r="C833" s="89"/>
      <c r="D833" s="89"/>
      <c r="E833" s="91"/>
      <c r="F833" s="102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103"/>
      <c r="X833" s="103"/>
      <c r="Y833" s="89"/>
      <c r="Z833" s="89"/>
    </row>
    <row r="834" ht="14.25" customHeight="1">
      <c r="A834" s="91"/>
      <c r="B834" s="91"/>
      <c r="C834" s="89"/>
      <c r="D834" s="89"/>
      <c r="E834" s="91"/>
      <c r="F834" s="102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103"/>
      <c r="X834" s="103"/>
      <c r="Y834" s="89"/>
      <c r="Z834" s="89"/>
    </row>
    <row r="835" ht="14.25" customHeight="1">
      <c r="A835" s="91"/>
      <c r="B835" s="91"/>
      <c r="C835" s="89"/>
      <c r="D835" s="89"/>
      <c r="E835" s="91"/>
      <c r="F835" s="102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103"/>
      <c r="X835" s="103"/>
      <c r="Y835" s="89"/>
      <c r="Z835" s="89"/>
    </row>
    <row r="836" ht="14.25" customHeight="1">
      <c r="A836" s="91"/>
      <c r="B836" s="91"/>
      <c r="C836" s="89"/>
      <c r="D836" s="89"/>
      <c r="E836" s="91"/>
      <c r="F836" s="102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103"/>
      <c r="X836" s="103"/>
      <c r="Y836" s="89"/>
      <c r="Z836" s="89"/>
    </row>
    <row r="837" ht="14.25" customHeight="1">
      <c r="A837" s="91"/>
      <c r="B837" s="91"/>
      <c r="C837" s="89"/>
      <c r="D837" s="89"/>
      <c r="E837" s="91"/>
      <c r="F837" s="102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103"/>
      <c r="X837" s="103"/>
      <c r="Y837" s="89"/>
      <c r="Z837" s="89"/>
    </row>
    <row r="838" ht="14.25" customHeight="1">
      <c r="A838" s="91"/>
      <c r="B838" s="91"/>
      <c r="C838" s="89"/>
      <c r="D838" s="89"/>
      <c r="E838" s="91"/>
      <c r="F838" s="102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103"/>
      <c r="X838" s="103"/>
      <c r="Y838" s="89"/>
      <c r="Z838" s="89"/>
    </row>
    <row r="839" ht="14.25" customHeight="1">
      <c r="A839" s="91"/>
      <c r="B839" s="91"/>
      <c r="C839" s="89"/>
      <c r="D839" s="89"/>
      <c r="E839" s="91"/>
      <c r="F839" s="102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103"/>
      <c r="X839" s="103"/>
      <c r="Y839" s="89"/>
      <c r="Z839" s="89"/>
    </row>
    <row r="840" ht="14.25" customHeight="1">
      <c r="A840" s="91"/>
      <c r="B840" s="91"/>
      <c r="C840" s="89"/>
      <c r="D840" s="89"/>
      <c r="E840" s="91"/>
      <c r="F840" s="102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103"/>
      <c r="X840" s="103"/>
      <c r="Y840" s="89"/>
      <c r="Z840" s="89"/>
    </row>
    <row r="841" ht="14.25" customHeight="1">
      <c r="A841" s="91"/>
      <c r="B841" s="91"/>
      <c r="C841" s="89"/>
      <c r="D841" s="89"/>
      <c r="E841" s="91"/>
      <c r="F841" s="102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103"/>
      <c r="X841" s="103"/>
      <c r="Y841" s="89"/>
      <c r="Z841" s="89"/>
    </row>
    <row r="842" ht="14.25" customHeight="1">
      <c r="A842" s="91"/>
      <c r="B842" s="91"/>
      <c r="C842" s="89"/>
      <c r="D842" s="89"/>
      <c r="E842" s="91"/>
      <c r="F842" s="102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103"/>
      <c r="X842" s="103"/>
      <c r="Y842" s="89"/>
      <c r="Z842" s="89"/>
    </row>
    <row r="843" ht="14.25" customHeight="1">
      <c r="A843" s="91"/>
      <c r="B843" s="91"/>
      <c r="C843" s="89"/>
      <c r="D843" s="89"/>
      <c r="E843" s="91"/>
      <c r="F843" s="102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103"/>
      <c r="X843" s="103"/>
      <c r="Y843" s="89"/>
      <c r="Z843" s="89"/>
    </row>
    <row r="844" ht="14.25" customHeight="1">
      <c r="A844" s="91"/>
      <c r="B844" s="91"/>
      <c r="C844" s="89"/>
      <c r="D844" s="89"/>
      <c r="E844" s="91"/>
      <c r="F844" s="102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103"/>
      <c r="X844" s="103"/>
      <c r="Y844" s="89"/>
      <c r="Z844" s="89"/>
    </row>
    <row r="845" ht="14.25" customHeight="1">
      <c r="A845" s="91"/>
      <c r="B845" s="91"/>
      <c r="C845" s="89"/>
      <c r="D845" s="89"/>
      <c r="E845" s="91"/>
      <c r="F845" s="102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103"/>
      <c r="X845" s="103"/>
      <c r="Y845" s="89"/>
      <c r="Z845" s="89"/>
    </row>
    <row r="846" ht="14.25" customHeight="1">
      <c r="A846" s="91"/>
      <c r="B846" s="91"/>
      <c r="C846" s="89"/>
      <c r="D846" s="89"/>
      <c r="E846" s="91"/>
      <c r="F846" s="102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103"/>
      <c r="X846" s="103"/>
      <c r="Y846" s="89"/>
      <c r="Z846" s="89"/>
    </row>
    <row r="847" ht="14.25" customHeight="1">
      <c r="A847" s="91"/>
      <c r="B847" s="91"/>
      <c r="C847" s="89"/>
      <c r="D847" s="89"/>
      <c r="E847" s="91"/>
      <c r="F847" s="102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103"/>
      <c r="X847" s="103"/>
      <c r="Y847" s="89"/>
      <c r="Z847" s="89"/>
    </row>
    <row r="848" ht="14.25" customHeight="1">
      <c r="A848" s="91"/>
      <c r="B848" s="91"/>
      <c r="C848" s="89"/>
      <c r="D848" s="89"/>
      <c r="E848" s="91"/>
      <c r="F848" s="102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103"/>
      <c r="X848" s="103"/>
      <c r="Y848" s="89"/>
      <c r="Z848" s="89"/>
    </row>
    <row r="849" ht="14.25" customHeight="1">
      <c r="A849" s="91"/>
      <c r="B849" s="91"/>
      <c r="C849" s="89"/>
      <c r="D849" s="89"/>
      <c r="E849" s="91"/>
      <c r="F849" s="102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103"/>
      <c r="X849" s="103"/>
      <c r="Y849" s="89"/>
      <c r="Z849" s="89"/>
    </row>
    <row r="850" ht="14.25" customHeight="1">
      <c r="A850" s="91"/>
      <c r="B850" s="91"/>
      <c r="C850" s="89"/>
      <c r="D850" s="89"/>
      <c r="E850" s="91"/>
      <c r="F850" s="102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103"/>
      <c r="X850" s="103"/>
      <c r="Y850" s="89"/>
      <c r="Z850" s="89"/>
    </row>
    <row r="851" ht="14.25" customHeight="1">
      <c r="A851" s="91"/>
      <c r="B851" s="91"/>
      <c r="C851" s="89"/>
      <c r="D851" s="89"/>
      <c r="E851" s="91"/>
      <c r="F851" s="102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103"/>
      <c r="X851" s="103"/>
      <c r="Y851" s="89"/>
      <c r="Z851" s="89"/>
    </row>
    <row r="852" ht="14.25" customHeight="1">
      <c r="A852" s="91"/>
      <c r="B852" s="91"/>
      <c r="C852" s="89"/>
      <c r="D852" s="89"/>
      <c r="E852" s="91"/>
      <c r="F852" s="102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103"/>
      <c r="X852" s="103"/>
      <c r="Y852" s="89"/>
      <c r="Z852" s="89"/>
    </row>
    <row r="853" ht="14.25" customHeight="1">
      <c r="A853" s="91"/>
      <c r="B853" s="91"/>
      <c r="C853" s="89"/>
      <c r="D853" s="89"/>
      <c r="E853" s="91"/>
      <c r="F853" s="102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103"/>
      <c r="X853" s="103"/>
      <c r="Y853" s="89"/>
      <c r="Z853" s="89"/>
    </row>
    <row r="854" ht="14.25" customHeight="1">
      <c r="A854" s="91"/>
      <c r="B854" s="91"/>
      <c r="C854" s="89"/>
      <c r="D854" s="89"/>
      <c r="E854" s="91"/>
      <c r="F854" s="102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103"/>
      <c r="X854" s="103"/>
      <c r="Y854" s="89"/>
      <c r="Z854" s="89"/>
    </row>
    <row r="855" ht="14.25" customHeight="1">
      <c r="A855" s="91"/>
      <c r="B855" s="91"/>
      <c r="C855" s="89"/>
      <c r="D855" s="89"/>
      <c r="E855" s="91"/>
      <c r="F855" s="102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103"/>
      <c r="X855" s="103"/>
      <c r="Y855" s="89"/>
      <c r="Z855" s="89"/>
    </row>
    <row r="856" ht="14.25" customHeight="1">
      <c r="A856" s="91"/>
      <c r="B856" s="91"/>
      <c r="C856" s="89"/>
      <c r="D856" s="89"/>
      <c r="E856" s="91"/>
      <c r="F856" s="102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103"/>
      <c r="X856" s="103"/>
      <c r="Y856" s="89"/>
      <c r="Z856" s="89"/>
    </row>
    <row r="857" ht="14.25" customHeight="1">
      <c r="A857" s="91"/>
      <c r="B857" s="91"/>
      <c r="C857" s="89"/>
      <c r="D857" s="89"/>
      <c r="E857" s="91"/>
      <c r="F857" s="102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103"/>
      <c r="X857" s="103"/>
      <c r="Y857" s="89"/>
      <c r="Z857" s="89"/>
    </row>
    <row r="858" ht="14.25" customHeight="1">
      <c r="A858" s="91"/>
      <c r="B858" s="91"/>
      <c r="C858" s="89"/>
      <c r="D858" s="89"/>
      <c r="E858" s="91"/>
      <c r="F858" s="102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103"/>
      <c r="X858" s="103"/>
      <c r="Y858" s="89"/>
      <c r="Z858" s="89"/>
    </row>
    <row r="859" ht="14.25" customHeight="1">
      <c r="A859" s="91"/>
      <c r="B859" s="91"/>
      <c r="C859" s="89"/>
      <c r="D859" s="89"/>
      <c r="E859" s="91"/>
      <c r="F859" s="102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103"/>
      <c r="X859" s="103"/>
      <c r="Y859" s="89"/>
      <c r="Z859" s="89"/>
    </row>
    <row r="860" ht="14.25" customHeight="1">
      <c r="A860" s="91"/>
      <c r="B860" s="91"/>
      <c r="C860" s="89"/>
      <c r="D860" s="89"/>
      <c r="E860" s="91"/>
      <c r="F860" s="102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103"/>
      <c r="X860" s="103"/>
      <c r="Y860" s="89"/>
      <c r="Z860" s="89"/>
    </row>
    <row r="861" ht="14.25" customHeight="1">
      <c r="A861" s="91"/>
      <c r="B861" s="91"/>
      <c r="C861" s="89"/>
      <c r="D861" s="89"/>
      <c r="E861" s="91"/>
      <c r="F861" s="102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103"/>
      <c r="X861" s="103"/>
      <c r="Y861" s="89"/>
      <c r="Z861" s="89"/>
    </row>
    <row r="862" ht="14.25" customHeight="1">
      <c r="A862" s="91"/>
      <c r="B862" s="91"/>
      <c r="C862" s="89"/>
      <c r="D862" s="89"/>
      <c r="E862" s="91"/>
      <c r="F862" s="102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103"/>
      <c r="X862" s="103"/>
      <c r="Y862" s="89"/>
      <c r="Z862" s="89"/>
    </row>
    <row r="863" ht="14.25" customHeight="1">
      <c r="A863" s="91"/>
      <c r="B863" s="91"/>
      <c r="C863" s="89"/>
      <c r="D863" s="89"/>
      <c r="E863" s="91"/>
      <c r="F863" s="102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103"/>
      <c r="X863" s="103"/>
      <c r="Y863" s="89"/>
      <c r="Z863" s="89"/>
    </row>
    <row r="864" ht="14.25" customHeight="1">
      <c r="A864" s="91"/>
      <c r="B864" s="91"/>
      <c r="C864" s="89"/>
      <c r="D864" s="89"/>
      <c r="E864" s="91"/>
      <c r="F864" s="102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103"/>
      <c r="X864" s="103"/>
      <c r="Y864" s="89"/>
      <c r="Z864" s="89"/>
    </row>
    <row r="865" ht="14.25" customHeight="1">
      <c r="A865" s="91"/>
      <c r="B865" s="91"/>
      <c r="C865" s="89"/>
      <c r="D865" s="89"/>
      <c r="E865" s="91"/>
      <c r="F865" s="102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103"/>
      <c r="X865" s="103"/>
      <c r="Y865" s="89"/>
      <c r="Z865" s="89"/>
    </row>
    <row r="866" ht="14.25" customHeight="1">
      <c r="A866" s="91"/>
      <c r="B866" s="91"/>
      <c r="C866" s="89"/>
      <c r="D866" s="89"/>
      <c r="E866" s="91"/>
      <c r="F866" s="102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103"/>
      <c r="X866" s="103"/>
      <c r="Y866" s="89"/>
      <c r="Z866" s="89"/>
    </row>
    <row r="867" ht="14.25" customHeight="1">
      <c r="A867" s="91"/>
      <c r="B867" s="91"/>
      <c r="C867" s="89"/>
      <c r="D867" s="89"/>
      <c r="E867" s="91"/>
      <c r="F867" s="102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103"/>
      <c r="X867" s="103"/>
      <c r="Y867" s="89"/>
      <c r="Z867" s="89"/>
    </row>
    <row r="868" ht="14.25" customHeight="1">
      <c r="A868" s="91"/>
      <c r="B868" s="91"/>
      <c r="C868" s="89"/>
      <c r="D868" s="89"/>
      <c r="E868" s="91"/>
      <c r="F868" s="102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103"/>
      <c r="X868" s="103"/>
      <c r="Y868" s="89"/>
      <c r="Z868" s="89"/>
    </row>
    <row r="869" ht="14.25" customHeight="1">
      <c r="A869" s="91"/>
      <c r="B869" s="91"/>
      <c r="C869" s="89"/>
      <c r="D869" s="89"/>
      <c r="E869" s="91"/>
      <c r="F869" s="102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103"/>
      <c r="X869" s="103"/>
      <c r="Y869" s="89"/>
      <c r="Z869" s="89"/>
    </row>
    <row r="870" ht="14.25" customHeight="1">
      <c r="A870" s="91"/>
      <c r="B870" s="91"/>
      <c r="C870" s="89"/>
      <c r="D870" s="89"/>
      <c r="E870" s="91"/>
      <c r="F870" s="102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103"/>
      <c r="X870" s="103"/>
      <c r="Y870" s="89"/>
      <c r="Z870" s="89"/>
    </row>
    <row r="871" ht="14.25" customHeight="1">
      <c r="A871" s="91"/>
      <c r="B871" s="91"/>
      <c r="C871" s="89"/>
      <c r="D871" s="89"/>
      <c r="E871" s="91"/>
      <c r="F871" s="102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103"/>
      <c r="X871" s="103"/>
      <c r="Y871" s="89"/>
      <c r="Z871" s="89"/>
    </row>
    <row r="872" ht="14.25" customHeight="1">
      <c r="A872" s="91"/>
      <c r="B872" s="91"/>
      <c r="C872" s="89"/>
      <c r="D872" s="89"/>
      <c r="E872" s="91"/>
      <c r="F872" s="102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103"/>
      <c r="X872" s="103"/>
      <c r="Y872" s="89"/>
      <c r="Z872" s="89"/>
    </row>
    <row r="873" ht="14.25" customHeight="1">
      <c r="A873" s="91"/>
      <c r="B873" s="91"/>
      <c r="C873" s="89"/>
      <c r="D873" s="89"/>
      <c r="E873" s="91"/>
      <c r="F873" s="102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103"/>
      <c r="X873" s="103"/>
      <c r="Y873" s="89"/>
      <c r="Z873" s="89"/>
    </row>
    <row r="874" ht="14.25" customHeight="1">
      <c r="A874" s="91"/>
      <c r="B874" s="91"/>
      <c r="C874" s="89"/>
      <c r="D874" s="89"/>
      <c r="E874" s="91"/>
      <c r="F874" s="102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103"/>
      <c r="X874" s="103"/>
      <c r="Y874" s="89"/>
      <c r="Z874" s="89"/>
    </row>
    <row r="875" ht="14.25" customHeight="1">
      <c r="A875" s="91"/>
      <c r="B875" s="91"/>
      <c r="C875" s="89"/>
      <c r="D875" s="89"/>
      <c r="E875" s="91"/>
      <c r="F875" s="102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103"/>
      <c r="X875" s="103"/>
      <c r="Y875" s="89"/>
      <c r="Z875" s="89"/>
    </row>
    <row r="876" ht="14.25" customHeight="1">
      <c r="A876" s="91"/>
      <c r="B876" s="91"/>
      <c r="C876" s="89"/>
      <c r="D876" s="89"/>
      <c r="E876" s="91"/>
      <c r="F876" s="102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103"/>
      <c r="X876" s="103"/>
      <c r="Y876" s="89"/>
      <c r="Z876" s="89"/>
    </row>
    <row r="877" ht="14.25" customHeight="1">
      <c r="A877" s="91"/>
      <c r="B877" s="91"/>
      <c r="C877" s="89"/>
      <c r="D877" s="89"/>
      <c r="E877" s="91"/>
      <c r="F877" s="102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103"/>
      <c r="X877" s="103"/>
      <c r="Y877" s="89"/>
      <c r="Z877" s="89"/>
    </row>
    <row r="878" ht="14.25" customHeight="1">
      <c r="A878" s="91"/>
      <c r="B878" s="91"/>
      <c r="C878" s="89"/>
      <c r="D878" s="89"/>
      <c r="E878" s="91"/>
      <c r="F878" s="102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103"/>
      <c r="X878" s="103"/>
      <c r="Y878" s="89"/>
      <c r="Z878" s="89"/>
    </row>
    <row r="879" ht="14.25" customHeight="1">
      <c r="A879" s="91"/>
      <c r="B879" s="91"/>
      <c r="C879" s="89"/>
      <c r="D879" s="89"/>
      <c r="E879" s="91"/>
      <c r="F879" s="102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103"/>
      <c r="X879" s="103"/>
      <c r="Y879" s="89"/>
      <c r="Z879" s="89"/>
    </row>
    <row r="880" ht="14.25" customHeight="1">
      <c r="A880" s="91"/>
      <c r="B880" s="91"/>
      <c r="C880" s="89"/>
      <c r="D880" s="89"/>
      <c r="E880" s="91"/>
      <c r="F880" s="102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103"/>
      <c r="X880" s="103"/>
      <c r="Y880" s="89"/>
      <c r="Z880" s="89"/>
    </row>
    <row r="881" ht="14.25" customHeight="1">
      <c r="A881" s="91"/>
      <c r="B881" s="91"/>
      <c r="C881" s="89"/>
      <c r="D881" s="89"/>
      <c r="E881" s="91"/>
      <c r="F881" s="102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103"/>
      <c r="X881" s="103"/>
      <c r="Y881" s="89"/>
      <c r="Z881" s="89"/>
    </row>
    <row r="882" ht="14.25" customHeight="1">
      <c r="A882" s="91"/>
      <c r="B882" s="91"/>
      <c r="C882" s="89"/>
      <c r="D882" s="89"/>
      <c r="E882" s="91"/>
      <c r="F882" s="102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103"/>
      <c r="X882" s="103"/>
      <c r="Y882" s="89"/>
      <c r="Z882" s="89"/>
    </row>
    <row r="883" ht="14.25" customHeight="1">
      <c r="A883" s="91"/>
      <c r="B883" s="91"/>
      <c r="C883" s="89"/>
      <c r="D883" s="89"/>
      <c r="E883" s="91"/>
      <c r="F883" s="102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103"/>
      <c r="X883" s="103"/>
      <c r="Y883" s="89"/>
      <c r="Z883" s="89"/>
    </row>
    <row r="884" ht="14.25" customHeight="1">
      <c r="A884" s="91"/>
      <c r="B884" s="91"/>
      <c r="C884" s="89"/>
      <c r="D884" s="89"/>
      <c r="E884" s="91"/>
      <c r="F884" s="102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103"/>
      <c r="X884" s="103"/>
      <c r="Y884" s="89"/>
      <c r="Z884" s="89"/>
    </row>
    <row r="885" ht="14.25" customHeight="1">
      <c r="A885" s="91"/>
      <c r="B885" s="91"/>
      <c r="C885" s="89"/>
      <c r="D885" s="89"/>
      <c r="E885" s="91"/>
      <c r="F885" s="102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103"/>
      <c r="X885" s="103"/>
      <c r="Y885" s="89"/>
      <c r="Z885" s="89"/>
    </row>
    <row r="886" ht="14.25" customHeight="1">
      <c r="A886" s="91"/>
      <c r="B886" s="91"/>
      <c r="C886" s="89"/>
      <c r="D886" s="89"/>
      <c r="E886" s="91"/>
      <c r="F886" s="102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103"/>
      <c r="X886" s="103"/>
      <c r="Y886" s="89"/>
      <c r="Z886" s="89"/>
    </row>
    <row r="887" ht="14.25" customHeight="1">
      <c r="A887" s="91"/>
      <c r="B887" s="91"/>
      <c r="C887" s="89"/>
      <c r="D887" s="89"/>
      <c r="E887" s="91"/>
      <c r="F887" s="102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103"/>
      <c r="X887" s="103"/>
      <c r="Y887" s="89"/>
      <c r="Z887" s="89"/>
    </row>
    <row r="888" ht="14.25" customHeight="1">
      <c r="A888" s="91"/>
      <c r="B888" s="91"/>
      <c r="C888" s="89"/>
      <c r="D888" s="89"/>
      <c r="E888" s="91"/>
      <c r="F888" s="102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103"/>
      <c r="X888" s="103"/>
      <c r="Y888" s="89"/>
      <c r="Z888" s="89"/>
    </row>
    <row r="889" ht="14.25" customHeight="1">
      <c r="A889" s="91"/>
      <c r="B889" s="91"/>
      <c r="C889" s="89"/>
      <c r="D889" s="89"/>
      <c r="E889" s="91"/>
      <c r="F889" s="102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103"/>
      <c r="X889" s="103"/>
      <c r="Y889" s="89"/>
      <c r="Z889" s="89"/>
    </row>
    <row r="890" ht="14.25" customHeight="1">
      <c r="A890" s="91"/>
      <c r="B890" s="91"/>
      <c r="C890" s="89"/>
      <c r="D890" s="89"/>
      <c r="E890" s="91"/>
      <c r="F890" s="102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103"/>
      <c r="X890" s="103"/>
      <c r="Y890" s="89"/>
      <c r="Z890" s="89"/>
    </row>
    <row r="891" ht="14.25" customHeight="1">
      <c r="A891" s="91"/>
      <c r="B891" s="91"/>
      <c r="C891" s="89"/>
      <c r="D891" s="89"/>
      <c r="E891" s="91"/>
      <c r="F891" s="102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103"/>
      <c r="X891" s="103"/>
      <c r="Y891" s="89"/>
      <c r="Z891" s="89"/>
    </row>
    <row r="892" ht="14.25" customHeight="1">
      <c r="A892" s="91"/>
      <c r="B892" s="91"/>
      <c r="C892" s="89"/>
      <c r="D892" s="89"/>
      <c r="E892" s="91"/>
      <c r="F892" s="102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103"/>
      <c r="X892" s="103"/>
      <c r="Y892" s="89"/>
      <c r="Z892" s="89"/>
    </row>
    <row r="893" ht="14.25" customHeight="1">
      <c r="A893" s="91"/>
      <c r="B893" s="91"/>
      <c r="C893" s="89"/>
      <c r="D893" s="89"/>
      <c r="E893" s="91"/>
      <c r="F893" s="102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103"/>
      <c r="X893" s="103"/>
      <c r="Y893" s="89"/>
      <c r="Z893" s="89"/>
    </row>
    <row r="894" ht="14.25" customHeight="1">
      <c r="A894" s="91"/>
      <c r="B894" s="91"/>
      <c r="C894" s="89"/>
      <c r="D894" s="89"/>
      <c r="E894" s="91"/>
      <c r="F894" s="102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103"/>
      <c r="X894" s="103"/>
      <c r="Y894" s="89"/>
      <c r="Z894" s="89"/>
    </row>
    <row r="895" ht="14.25" customHeight="1">
      <c r="A895" s="91"/>
      <c r="B895" s="91"/>
      <c r="C895" s="89"/>
      <c r="D895" s="89"/>
      <c r="E895" s="91"/>
      <c r="F895" s="102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103"/>
      <c r="X895" s="103"/>
      <c r="Y895" s="89"/>
      <c r="Z895" s="89"/>
    </row>
    <row r="896" ht="14.25" customHeight="1">
      <c r="A896" s="91"/>
      <c r="B896" s="91"/>
      <c r="C896" s="89"/>
      <c r="D896" s="89"/>
      <c r="E896" s="91"/>
      <c r="F896" s="102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103"/>
      <c r="X896" s="103"/>
      <c r="Y896" s="89"/>
      <c r="Z896" s="89"/>
    </row>
    <row r="897" ht="14.25" customHeight="1">
      <c r="A897" s="91"/>
      <c r="B897" s="91"/>
      <c r="C897" s="89"/>
      <c r="D897" s="89"/>
      <c r="E897" s="91"/>
      <c r="F897" s="102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103"/>
      <c r="X897" s="103"/>
      <c r="Y897" s="89"/>
      <c r="Z897" s="89"/>
    </row>
    <row r="898" ht="14.25" customHeight="1">
      <c r="A898" s="91"/>
      <c r="B898" s="91"/>
      <c r="C898" s="89"/>
      <c r="D898" s="89"/>
      <c r="E898" s="91"/>
      <c r="F898" s="102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103"/>
      <c r="X898" s="103"/>
      <c r="Y898" s="89"/>
      <c r="Z898" s="89"/>
    </row>
    <row r="899" ht="14.25" customHeight="1">
      <c r="A899" s="91"/>
      <c r="B899" s="91"/>
      <c r="C899" s="89"/>
      <c r="D899" s="89"/>
      <c r="E899" s="91"/>
      <c r="F899" s="102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103"/>
      <c r="X899" s="103"/>
      <c r="Y899" s="89"/>
      <c r="Z899" s="89"/>
    </row>
    <row r="900" ht="14.25" customHeight="1">
      <c r="A900" s="91"/>
      <c r="B900" s="91"/>
      <c r="C900" s="89"/>
      <c r="D900" s="89"/>
      <c r="E900" s="91"/>
      <c r="F900" s="102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103"/>
      <c r="X900" s="103"/>
      <c r="Y900" s="89"/>
      <c r="Z900" s="89"/>
    </row>
    <row r="901" ht="14.25" customHeight="1">
      <c r="A901" s="91"/>
      <c r="B901" s="91"/>
      <c r="C901" s="89"/>
      <c r="D901" s="89"/>
      <c r="E901" s="91"/>
      <c r="F901" s="102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103"/>
      <c r="X901" s="103"/>
      <c r="Y901" s="89"/>
      <c r="Z901" s="89"/>
    </row>
    <row r="902" ht="14.25" customHeight="1">
      <c r="A902" s="91"/>
      <c r="B902" s="91"/>
      <c r="C902" s="89"/>
      <c r="D902" s="89"/>
      <c r="E902" s="91"/>
      <c r="F902" s="102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103"/>
      <c r="X902" s="103"/>
      <c r="Y902" s="89"/>
      <c r="Z902" s="89"/>
    </row>
    <row r="903" ht="14.25" customHeight="1">
      <c r="A903" s="91"/>
      <c r="B903" s="91"/>
      <c r="C903" s="89"/>
      <c r="D903" s="89"/>
      <c r="E903" s="91"/>
      <c r="F903" s="102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103"/>
      <c r="X903" s="103"/>
      <c r="Y903" s="89"/>
      <c r="Z903" s="89"/>
    </row>
    <row r="904" ht="14.25" customHeight="1">
      <c r="A904" s="91"/>
      <c r="B904" s="91"/>
      <c r="C904" s="89"/>
      <c r="D904" s="89"/>
      <c r="E904" s="91"/>
      <c r="F904" s="102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103"/>
      <c r="X904" s="103"/>
      <c r="Y904" s="89"/>
      <c r="Z904" s="89"/>
    </row>
    <row r="905" ht="14.25" customHeight="1">
      <c r="A905" s="91"/>
      <c r="B905" s="91"/>
      <c r="C905" s="89"/>
      <c r="D905" s="89"/>
      <c r="E905" s="91"/>
      <c r="F905" s="102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103"/>
      <c r="X905" s="103"/>
      <c r="Y905" s="89"/>
      <c r="Z905" s="89"/>
    </row>
    <row r="906" ht="14.25" customHeight="1">
      <c r="A906" s="91"/>
      <c r="B906" s="91"/>
      <c r="C906" s="89"/>
      <c r="D906" s="89"/>
      <c r="E906" s="91"/>
      <c r="F906" s="102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103"/>
      <c r="X906" s="103"/>
      <c r="Y906" s="89"/>
      <c r="Z906" s="89"/>
    </row>
    <row r="907" ht="14.25" customHeight="1">
      <c r="A907" s="91"/>
      <c r="B907" s="91"/>
      <c r="C907" s="89"/>
      <c r="D907" s="89"/>
      <c r="E907" s="91"/>
      <c r="F907" s="102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103"/>
      <c r="X907" s="103"/>
      <c r="Y907" s="89"/>
      <c r="Z907" s="89"/>
    </row>
    <row r="908" ht="14.25" customHeight="1">
      <c r="A908" s="91"/>
      <c r="B908" s="91"/>
      <c r="C908" s="89"/>
      <c r="D908" s="89"/>
      <c r="E908" s="91"/>
      <c r="F908" s="102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103"/>
      <c r="X908" s="103"/>
      <c r="Y908" s="89"/>
      <c r="Z908" s="89"/>
    </row>
    <row r="909" ht="14.25" customHeight="1">
      <c r="A909" s="91"/>
      <c r="B909" s="91"/>
      <c r="C909" s="89"/>
      <c r="D909" s="89"/>
      <c r="E909" s="91"/>
      <c r="F909" s="102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103"/>
      <c r="X909" s="103"/>
      <c r="Y909" s="89"/>
      <c r="Z909" s="89"/>
    </row>
    <row r="910" ht="14.25" customHeight="1">
      <c r="A910" s="91"/>
      <c r="B910" s="91"/>
      <c r="C910" s="89"/>
      <c r="D910" s="89"/>
      <c r="E910" s="91"/>
      <c r="F910" s="102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103"/>
      <c r="X910" s="103"/>
      <c r="Y910" s="89"/>
      <c r="Z910" s="89"/>
    </row>
    <row r="911" ht="14.25" customHeight="1">
      <c r="A911" s="91"/>
      <c r="B911" s="91"/>
      <c r="C911" s="89"/>
      <c r="D911" s="89"/>
      <c r="E911" s="91"/>
      <c r="F911" s="102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103"/>
      <c r="X911" s="103"/>
      <c r="Y911" s="89"/>
      <c r="Z911" s="89"/>
    </row>
    <row r="912" ht="14.25" customHeight="1">
      <c r="A912" s="91"/>
      <c r="B912" s="91"/>
      <c r="C912" s="89"/>
      <c r="D912" s="89"/>
      <c r="E912" s="91"/>
      <c r="F912" s="102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103"/>
      <c r="X912" s="103"/>
      <c r="Y912" s="89"/>
      <c r="Z912" s="89"/>
    </row>
    <row r="913" ht="14.25" customHeight="1">
      <c r="A913" s="91"/>
      <c r="B913" s="91"/>
      <c r="C913" s="89"/>
      <c r="D913" s="89"/>
      <c r="E913" s="91"/>
      <c r="F913" s="102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103"/>
      <c r="X913" s="103"/>
      <c r="Y913" s="89"/>
      <c r="Z913" s="89"/>
    </row>
    <row r="914" ht="14.25" customHeight="1">
      <c r="A914" s="91"/>
      <c r="B914" s="91"/>
      <c r="C914" s="89"/>
      <c r="D914" s="89"/>
      <c r="E914" s="91"/>
      <c r="F914" s="102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103"/>
      <c r="X914" s="103"/>
      <c r="Y914" s="89"/>
      <c r="Z914" s="89"/>
    </row>
    <row r="915" ht="14.25" customHeight="1">
      <c r="A915" s="91"/>
      <c r="B915" s="91"/>
      <c r="C915" s="89"/>
      <c r="D915" s="89"/>
      <c r="E915" s="91"/>
      <c r="F915" s="102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103"/>
      <c r="X915" s="103"/>
      <c r="Y915" s="89"/>
      <c r="Z915" s="89"/>
    </row>
    <row r="916" ht="14.25" customHeight="1">
      <c r="A916" s="91"/>
      <c r="B916" s="91"/>
      <c r="C916" s="89"/>
      <c r="D916" s="89"/>
      <c r="E916" s="91"/>
      <c r="F916" s="102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103"/>
      <c r="X916" s="103"/>
      <c r="Y916" s="89"/>
      <c r="Z916" s="89"/>
    </row>
    <row r="917" ht="14.25" customHeight="1">
      <c r="A917" s="91"/>
      <c r="B917" s="91"/>
      <c r="C917" s="89"/>
      <c r="D917" s="89"/>
      <c r="E917" s="91"/>
      <c r="F917" s="102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103"/>
      <c r="X917" s="103"/>
      <c r="Y917" s="89"/>
      <c r="Z917" s="89"/>
    </row>
    <row r="918" ht="14.25" customHeight="1">
      <c r="A918" s="91"/>
      <c r="B918" s="91"/>
      <c r="C918" s="89"/>
      <c r="D918" s="89"/>
      <c r="E918" s="91"/>
      <c r="F918" s="102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103"/>
      <c r="X918" s="103"/>
      <c r="Y918" s="89"/>
      <c r="Z918" s="89"/>
    </row>
    <row r="919" ht="14.25" customHeight="1">
      <c r="A919" s="91"/>
      <c r="B919" s="91"/>
      <c r="C919" s="89"/>
      <c r="D919" s="89"/>
      <c r="E919" s="91"/>
      <c r="F919" s="102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103"/>
      <c r="X919" s="103"/>
      <c r="Y919" s="89"/>
      <c r="Z919" s="89"/>
    </row>
    <row r="920" ht="14.25" customHeight="1">
      <c r="A920" s="91"/>
      <c r="B920" s="91"/>
      <c r="C920" s="89"/>
      <c r="D920" s="89"/>
      <c r="E920" s="91"/>
      <c r="F920" s="102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103"/>
      <c r="X920" s="103"/>
      <c r="Y920" s="89"/>
      <c r="Z920" s="89"/>
    </row>
    <row r="921" ht="14.25" customHeight="1">
      <c r="A921" s="91"/>
      <c r="B921" s="91"/>
      <c r="C921" s="89"/>
      <c r="D921" s="89"/>
      <c r="E921" s="91"/>
      <c r="F921" s="102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103"/>
      <c r="X921" s="103"/>
      <c r="Y921" s="89"/>
      <c r="Z921" s="89"/>
    </row>
    <row r="922" ht="14.25" customHeight="1">
      <c r="A922" s="91"/>
      <c r="B922" s="91"/>
      <c r="C922" s="89"/>
      <c r="D922" s="89"/>
      <c r="E922" s="91"/>
      <c r="F922" s="102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103"/>
      <c r="X922" s="103"/>
      <c r="Y922" s="89"/>
      <c r="Z922" s="89"/>
    </row>
    <row r="923" ht="14.25" customHeight="1">
      <c r="A923" s="91"/>
      <c r="B923" s="91"/>
      <c r="C923" s="89"/>
      <c r="D923" s="89"/>
      <c r="E923" s="91"/>
      <c r="F923" s="102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103"/>
      <c r="X923" s="103"/>
      <c r="Y923" s="89"/>
      <c r="Z923" s="89"/>
    </row>
    <row r="924" ht="14.25" customHeight="1">
      <c r="A924" s="91"/>
      <c r="B924" s="91"/>
      <c r="C924" s="89"/>
      <c r="D924" s="89"/>
      <c r="E924" s="91"/>
      <c r="F924" s="102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103"/>
      <c r="X924" s="103"/>
      <c r="Y924" s="89"/>
      <c r="Z924" s="89"/>
    </row>
    <row r="925" ht="14.25" customHeight="1">
      <c r="A925" s="91"/>
      <c r="B925" s="91"/>
      <c r="C925" s="89"/>
      <c r="D925" s="89"/>
      <c r="E925" s="91"/>
      <c r="F925" s="102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103"/>
      <c r="X925" s="103"/>
      <c r="Y925" s="89"/>
      <c r="Z925" s="89"/>
    </row>
    <row r="926" ht="14.25" customHeight="1">
      <c r="A926" s="91"/>
      <c r="B926" s="91"/>
      <c r="C926" s="89"/>
      <c r="D926" s="89"/>
      <c r="E926" s="91"/>
      <c r="F926" s="102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103"/>
      <c r="X926" s="103"/>
      <c r="Y926" s="89"/>
      <c r="Z926" s="89"/>
    </row>
    <row r="927" ht="14.25" customHeight="1">
      <c r="A927" s="91"/>
      <c r="B927" s="91"/>
      <c r="C927" s="89"/>
      <c r="D927" s="89"/>
      <c r="E927" s="91"/>
      <c r="F927" s="102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103"/>
      <c r="X927" s="103"/>
      <c r="Y927" s="89"/>
      <c r="Z927" s="89"/>
    </row>
    <row r="928" ht="14.25" customHeight="1">
      <c r="A928" s="91"/>
      <c r="B928" s="91"/>
      <c r="C928" s="89"/>
      <c r="D928" s="89"/>
      <c r="E928" s="91"/>
      <c r="F928" s="102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103"/>
      <c r="X928" s="103"/>
      <c r="Y928" s="89"/>
      <c r="Z928" s="89"/>
    </row>
    <row r="929" ht="14.25" customHeight="1">
      <c r="A929" s="91"/>
      <c r="B929" s="91"/>
      <c r="C929" s="89"/>
      <c r="D929" s="89"/>
      <c r="E929" s="91"/>
      <c r="F929" s="102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103"/>
      <c r="X929" s="103"/>
      <c r="Y929" s="89"/>
      <c r="Z929" s="89"/>
    </row>
    <row r="930" ht="14.25" customHeight="1">
      <c r="A930" s="91"/>
      <c r="B930" s="91"/>
      <c r="C930" s="89"/>
      <c r="D930" s="89"/>
      <c r="E930" s="91"/>
      <c r="F930" s="102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103"/>
      <c r="X930" s="103"/>
      <c r="Y930" s="89"/>
      <c r="Z930" s="89"/>
    </row>
    <row r="931" ht="14.25" customHeight="1">
      <c r="A931" s="91"/>
      <c r="B931" s="91"/>
      <c r="C931" s="89"/>
      <c r="D931" s="89"/>
      <c r="E931" s="91"/>
      <c r="F931" s="102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103"/>
      <c r="X931" s="103"/>
      <c r="Y931" s="89"/>
      <c r="Z931" s="89"/>
    </row>
    <row r="932" ht="14.25" customHeight="1">
      <c r="A932" s="91"/>
      <c r="B932" s="91"/>
      <c r="C932" s="89"/>
      <c r="D932" s="89"/>
      <c r="E932" s="91"/>
      <c r="F932" s="102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103"/>
      <c r="X932" s="103"/>
      <c r="Y932" s="89"/>
      <c r="Z932" s="89"/>
    </row>
    <row r="933" ht="14.25" customHeight="1">
      <c r="A933" s="91"/>
      <c r="B933" s="91"/>
      <c r="C933" s="89"/>
      <c r="D933" s="89"/>
      <c r="E933" s="91"/>
      <c r="F933" s="102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103"/>
      <c r="X933" s="103"/>
      <c r="Y933" s="89"/>
      <c r="Z933" s="89"/>
    </row>
    <row r="934" ht="14.25" customHeight="1">
      <c r="A934" s="91"/>
      <c r="B934" s="91"/>
      <c r="C934" s="89"/>
      <c r="D934" s="89"/>
      <c r="E934" s="91"/>
      <c r="F934" s="102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103"/>
      <c r="X934" s="103"/>
      <c r="Y934" s="89"/>
      <c r="Z934" s="89"/>
    </row>
    <row r="935" ht="14.25" customHeight="1">
      <c r="A935" s="91"/>
      <c r="B935" s="91"/>
      <c r="C935" s="89"/>
      <c r="D935" s="89"/>
      <c r="E935" s="91"/>
      <c r="F935" s="102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103"/>
      <c r="X935" s="103"/>
      <c r="Y935" s="89"/>
      <c r="Z935" s="89"/>
    </row>
    <row r="936" ht="14.25" customHeight="1">
      <c r="A936" s="91"/>
      <c r="B936" s="91"/>
      <c r="C936" s="89"/>
      <c r="D936" s="89"/>
      <c r="E936" s="91"/>
      <c r="F936" s="102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103"/>
      <c r="X936" s="103"/>
      <c r="Y936" s="89"/>
      <c r="Z936" s="89"/>
    </row>
    <row r="937" ht="14.25" customHeight="1">
      <c r="A937" s="91"/>
      <c r="B937" s="91"/>
      <c r="C937" s="89"/>
      <c r="D937" s="89"/>
      <c r="E937" s="91"/>
      <c r="F937" s="102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103"/>
      <c r="X937" s="103"/>
      <c r="Y937" s="89"/>
      <c r="Z937" s="89"/>
    </row>
    <row r="938" ht="14.25" customHeight="1">
      <c r="A938" s="91"/>
      <c r="B938" s="91"/>
      <c r="C938" s="89"/>
      <c r="D938" s="89"/>
      <c r="E938" s="91"/>
      <c r="F938" s="102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103"/>
      <c r="X938" s="103"/>
      <c r="Y938" s="89"/>
      <c r="Z938" s="89"/>
    </row>
    <row r="939" ht="14.25" customHeight="1">
      <c r="A939" s="91"/>
      <c r="B939" s="91"/>
      <c r="C939" s="89"/>
      <c r="D939" s="89"/>
      <c r="E939" s="91"/>
      <c r="F939" s="102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103"/>
      <c r="X939" s="103"/>
      <c r="Y939" s="89"/>
      <c r="Z939" s="89"/>
    </row>
    <row r="940" ht="14.25" customHeight="1">
      <c r="A940" s="91"/>
      <c r="B940" s="91"/>
      <c r="C940" s="89"/>
      <c r="D940" s="89"/>
      <c r="E940" s="91"/>
      <c r="F940" s="102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103"/>
      <c r="X940" s="103"/>
      <c r="Y940" s="89"/>
      <c r="Z940" s="89"/>
    </row>
    <row r="941" ht="14.25" customHeight="1">
      <c r="A941" s="91"/>
      <c r="B941" s="91"/>
      <c r="C941" s="89"/>
      <c r="D941" s="89"/>
      <c r="E941" s="91"/>
      <c r="F941" s="102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103"/>
      <c r="X941" s="103"/>
      <c r="Y941" s="89"/>
      <c r="Z941" s="89"/>
    </row>
    <row r="942" ht="14.25" customHeight="1">
      <c r="A942" s="91"/>
      <c r="B942" s="91"/>
      <c r="C942" s="89"/>
      <c r="D942" s="89"/>
      <c r="E942" s="91"/>
      <c r="F942" s="102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103"/>
      <c r="X942" s="103"/>
      <c r="Y942" s="89"/>
      <c r="Z942" s="89"/>
    </row>
    <row r="943" ht="14.25" customHeight="1">
      <c r="A943" s="91"/>
      <c r="B943" s="91"/>
      <c r="C943" s="89"/>
      <c r="D943" s="89"/>
      <c r="E943" s="91"/>
      <c r="F943" s="102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103"/>
      <c r="X943" s="103"/>
      <c r="Y943" s="89"/>
      <c r="Z943" s="89"/>
    </row>
    <row r="944" ht="14.25" customHeight="1">
      <c r="A944" s="91"/>
      <c r="B944" s="91"/>
      <c r="C944" s="89"/>
      <c r="D944" s="89"/>
      <c r="E944" s="91"/>
      <c r="F944" s="102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103"/>
      <c r="X944" s="103"/>
      <c r="Y944" s="89"/>
      <c r="Z944" s="89"/>
    </row>
    <row r="945" ht="14.25" customHeight="1">
      <c r="A945" s="91"/>
      <c r="B945" s="91"/>
      <c r="C945" s="89"/>
      <c r="D945" s="89"/>
      <c r="E945" s="91"/>
      <c r="F945" s="102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103"/>
      <c r="X945" s="103"/>
      <c r="Y945" s="89"/>
      <c r="Z945" s="89"/>
    </row>
    <row r="946" ht="14.25" customHeight="1">
      <c r="A946" s="91"/>
      <c r="B946" s="91"/>
      <c r="C946" s="89"/>
      <c r="D946" s="89"/>
      <c r="E946" s="91"/>
      <c r="F946" s="102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103"/>
      <c r="X946" s="103"/>
      <c r="Y946" s="89"/>
      <c r="Z946" s="89"/>
    </row>
    <row r="947" ht="14.25" customHeight="1">
      <c r="A947" s="91"/>
      <c r="B947" s="91"/>
      <c r="C947" s="89"/>
      <c r="D947" s="89"/>
      <c r="E947" s="91"/>
      <c r="F947" s="102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103"/>
      <c r="X947" s="103"/>
      <c r="Y947" s="89"/>
      <c r="Z947" s="89"/>
    </row>
    <row r="948" ht="14.25" customHeight="1">
      <c r="A948" s="91"/>
      <c r="B948" s="91"/>
      <c r="C948" s="89"/>
      <c r="D948" s="89"/>
      <c r="E948" s="91"/>
      <c r="F948" s="102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103"/>
      <c r="X948" s="103"/>
      <c r="Y948" s="89"/>
      <c r="Z948" s="89"/>
    </row>
    <row r="949" ht="14.25" customHeight="1">
      <c r="A949" s="91"/>
      <c r="B949" s="91"/>
      <c r="C949" s="89"/>
      <c r="D949" s="89"/>
      <c r="E949" s="91"/>
      <c r="F949" s="102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103"/>
      <c r="X949" s="103"/>
      <c r="Y949" s="89"/>
      <c r="Z949" s="89"/>
    </row>
    <row r="950" ht="14.25" customHeight="1">
      <c r="A950" s="91"/>
      <c r="B950" s="91"/>
      <c r="C950" s="89"/>
      <c r="D950" s="89"/>
      <c r="E950" s="91"/>
      <c r="F950" s="102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103"/>
      <c r="X950" s="103"/>
      <c r="Y950" s="89"/>
      <c r="Z950" s="89"/>
    </row>
    <row r="951" ht="14.25" customHeight="1">
      <c r="A951" s="91"/>
      <c r="B951" s="91"/>
      <c r="C951" s="89"/>
      <c r="D951" s="89"/>
      <c r="E951" s="91"/>
      <c r="F951" s="102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103"/>
      <c r="X951" s="103"/>
      <c r="Y951" s="89"/>
      <c r="Z951" s="89"/>
    </row>
    <row r="952" ht="14.25" customHeight="1">
      <c r="A952" s="91"/>
      <c r="B952" s="91"/>
      <c r="C952" s="89"/>
      <c r="D952" s="89"/>
      <c r="E952" s="91"/>
      <c r="F952" s="102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103"/>
      <c r="X952" s="103"/>
      <c r="Y952" s="89"/>
      <c r="Z952" s="89"/>
    </row>
    <row r="953" ht="14.25" customHeight="1">
      <c r="A953" s="91"/>
      <c r="B953" s="91"/>
      <c r="C953" s="89"/>
      <c r="D953" s="89"/>
      <c r="E953" s="91"/>
      <c r="F953" s="102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103"/>
      <c r="X953" s="103"/>
      <c r="Y953" s="89"/>
      <c r="Z953" s="89"/>
    </row>
    <row r="954" ht="14.25" customHeight="1">
      <c r="A954" s="91"/>
      <c r="B954" s="91"/>
      <c r="C954" s="89"/>
      <c r="D954" s="89"/>
      <c r="E954" s="91"/>
      <c r="F954" s="102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103"/>
      <c r="X954" s="103"/>
      <c r="Y954" s="89"/>
      <c r="Z954" s="89"/>
    </row>
    <row r="955" ht="14.25" customHeight="1">
      <c r="A955" s="91"/>
      <c r="B955" s="91"/>
      <c r="C955" s="89"/>
      <c r="D955" s="89"/>
      <c r="E955" s="91"/>
      <c r="F955" s="102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103"/>
      <c r="X955" s="103"/>
      <c r="Y955" s="89"/>
      <c r="Z955" s="89"/>
    </row>
    <row r="956" ht="14.25" customHeight="1">
      <c r="A956" s="91"/>
      <c r="B956" s="91"/>
      <c r="C956" s="89"/>
      <c r="D956" s="89"/>
      <c r="E956" s="91"/>
      <c r="F956" s="102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103"/>
      <c r="X956" s="103"/>
      <c r="Y956" s="89"/>
      <c r="Z956" s="89"/>
    </row>
    <row r="957" ht="14.25" customHeight="1">
      <c r="A957" s="91"/>
      <c r="B957" s="91"/>
      <c r="C957" s="89"/>
      <c r="D957" s="89"/>
      <c r="E957" s="91"/>
      <c r="F957" s="102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103"/>
      <c r="X957" s="103"/>
      <c r="Y957" s="89"/>
      <c r="Z957" s="89"/>
    </row>
    <row r="958" ht="14.25" customHeight="1">
      <c r="A958" s="91"/>
      <c r="B958" s="91"/>
      <c r="C958" s="89"/>
      <c r="D958" s="89"/>
      <c r="E958" s="91"/>
      <c r="F958" s="102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103"/>
      <c r="X958" s="103"/>
      <c r="Y958" s="89"/>
      <c r="Z958" s="89"/>
    </row>
    <row r="959" ht="14.25" customHeight="1">
      <c r="A959" s="91"/>
      <c r="B959" s="91"/>
      <c r="C959" s="89"/>
      <c r="D959" s="89"/>
      <c r="E959" s="91"/>
      <c r="F959" s="102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103"/>
      <c r="X959" s="103"/>
      <c r="Y959" s="89"/>
      <c r="Z959" s="89"/>
    </row>
    <row r="960" ht="14.25" customHeight="1">
      <c r="A960" s="91"/>
      <c r="B960" s="91"/>
      <c r="C960" s="89"/>
      <c r="D960" s="89"/>
      <c r="E960" s="91"/>
      <c r="F960" s="102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103"/>
      <c r="X960" s="103"/>
      <c r="Y960" s="89"/>
      <c r="Z960" s="89"/>
    </row>
    <row r="961" ht="14.25" customHeight="1">
      <c r="A961" s="91"/>
      <c r="B961" s="91"/>
      <c r="C961" s="89"/>
      <c r="D961" s="89"/>
      <c r="E961" s="91"/>
      <c r="F961" s="102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103"/>
      <c r="X961" s="103"/>
      <c r="Y961" s="89"/>
      <c r="Z961" s="89"/>
    </row>
    <row r="962" ht="14.25" customHeight="1">
      <c r="A962" s="91"/>
      <c r="B962" s="91"/>
      <c r="C962" s="89"/>
      <c r="D962" s="89"/>
      <c r="E962" s="91"/>
      <c r="F962" s="102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103"/>
      <c r="X962" s="103"/>
      <c r="Y962" s="89"/>
      <c r="Z962" s="89"/>
    </row>
    <row r="963" ht="14.25" customHeight="1">
      <c r="A963" s="91"/>
      <c r="B963" s="91"/>
      <c r="C963" s="89"/>
      <c r="D963" s="89"/>
      <c r="E963" s="91"/>
      <c r="F963" s="102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103"/>
      <c r="X963" s="103"/>
      <c r="Y963" s="89"/>
      <c r="Z963" s="89"/>
    </row>
    <row r="964" ht="14.25" customHeight="1">
      <c r="A964" s="91"/>
      <c r="B964" s="91"/>
      <c r="C964" s="89"/>
      <c r="D964" s="89"/>
      <c r="E964" s="91"/>
      <c r="F964" s="102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103"/>
      <c r="X964" s="103"/>
      <c r="Y964" s="89"/>
      <c r="Z964" s="89"/>
    </row>
    <row r="965" ht="14.25" customHeight="1">
      <c r="A965" s="91"/>
      <c r="B965" s="91"/>
      <c r="C965" s="89"/>
      <c r="D965" s="89"/>
      <c r="E965" s="91"/>
      <c r="F965" s="102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103"/>
      <c r="X965" s="103"/>
      <c r="Y965" s="89"/>
      <c r="Z965" s="89"/>
    </row>
    <row r="966" ht="14.25" customHeight="1">
      <c r="A966" s="91"/>
      <c r="B966" s="91"/>
      <c r="C966" s="89"/>
      <c r="D966" s="89"/>
      <c r="E966" s="91"/>
      <c r="F966" s="102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103"/>
      <c r="X966" s="103"/>
      <c r="Y966" s="89"/>
      <c r="Z966" s="89"/>
    </row>
    <row r="967" ht="14.25" customHeight="1">
      <c r="A967" s="91"/>
      <c r="B967" s="91"/>
      <c r="C967" s="89"/>
      <c r="D967" s="89"/>
      <c r="E967" s="91"/>
      <c r="F967" s="102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103"/>
      <c r="X967" s="103"/>
      <c r="Y967" s="89"/>
      <c r="Z967" s="89"/>
    </row>
    <row r="968" ht="14.25" customHeight="1">
      <c r="A968" s="91"/>
      <c r="B968" s="91"/>
      <c r="C968" s="89"/>
      <c r="D968" s="89"/>
      <c r="E968" s="91"/>
      <c r="F968" s="102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103"/>
      <c r="X968" s="103"/>
      <c r="Y968" s="89"/>
      <c r="Z968" s="89"/>
    </row>
    <row r="969" ht="14.25" customHeight="1">
      <c r="A969" s="91"/>
      <c r="B969" s="91"/>
      <c r="C969" s="89"/>
      <c r="D969" s="89"/>
      <c r="E969" s="91"/>
      <c r="F969" s="102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103"/>
      <c r="X969" s="103"/>
      <c r="Y969" s="89"/>
      <c r="Z969" s="89"/>
    </row>
    <row r="970" ht="14.25" customHeight="1">
      <c r="A970" s="91"/>
      <c r="B970" s="91"/>
      <c r="C970" s="89"/>
      <c r="D970" s="89"/>
      <c r="E970" s="91"/>
      <c r="F970" s="102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103"/>
      <c r="X970" s="103"/>
      <c r="Y970" s="89"/>
      <c r="Z970" s="89"/>
    </row>
    <row r="971" ht="14.25" customHeight="1">
      <c r="A971" s="91"/>
      <c r="B971" s="91"/>
      <c r="C971" s="89"/>
      <c r="D971" s="89"/>
      <c r="E971" s="91"/>
      <c r="F971" s="102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103"/>
      <c r="X971" s="103"/>
      <c r="Y971" s="89"/>
      <c r="Z971" s="89"/>
    </row>
    <row r="972" ht="14.25" customHeight="1">
      <c r="A972" s="91"/>
      <c r="B972" s="91"/>
      <c r="C972" s="89"/>
      <c r="D972" s="89"/>
      <c r="E972" s="91"/>
      <c r="F972" s="102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103"/>
      <c r="X972" s="103"/>
      <c r="Y972" s="89"/>
      <c r="Z972" s="89"/>
    </row>
    <row r="973" ht="14.25" customHeight="1">
      <c r="A973" s="91"/>
      <c r="B973" s="91"/>
      <c r="C973" s="89"/>
      <c r="D973" s="89"/>
      <c r="E973" s="91"/>
      <c r="F973" s="102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103"/>
      <c r="X973" s="103"/>
      <c r="Y973" s="89"/>
      <c r="Z973" s="89"/>
    </row>
    <row r="974" ht="14.25" customHeight="1">
      <c r="A974" s="91"/>
      <c r="B974" s="91"/>
      <c r="C974" s="89"/>
      <c r="D974" s="89"/>
      <c r="E974" s="91"/>
      <c r="F974" s="102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103"/>
      <c r="X974" s="103"/>
      <c r="Y974" s="89"/>
      <c r="Z974" s="89"/>
    </row>
    <row r="975" ht="14.25" customHeight="1">
      <c r="A975" s="91"/>
      <c r="B975" s="91"/>
      <c r="C975" s="89"/>
      <c r="D975" s="89"/>
      <c r="E975" s="91"/>
      <c r="F975" s="102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103"/>
      <c r="X975" s="103"/>
      <c r="Y975" s="89"/>
      <c r="Z975" s="89"/>
    </row>
    <row r="976" ht="14.25" customHeight="1">
      <c r="A976" s="91"/>
      <c r="B976" s="91"/>
      <c r="C976" s="89"/>
      <c r="D976" s="89"/>
      <c r="E976" s="91"/>
      <c r="F976" s="102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103"/>
      <c r="X976" s="103"/>
      <c r="Y976" s="89"/>
      <c r="Z976" s="89"/>
    </row>
    <row r="977" ht="14.25" customHeight="1">
      <c r="A977" s="91"/>
      <c r="B977" s="91"/>
      <c r="C977" s="89"/>
      <c r="D977" s="89"/>
      <c r="E977" s="91"/>
      <c r="F977" s="102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103"/>
      <c r="X977" s="103"/>
      <c r="Y977" s="89"/>
      <c r="Z977" s="89"/>
    </row>
    <row r="978" ht="14.25" customHeight="1">
      <c r="A978" s="91"/>
      <c r="B978" s="91"/>
      <c r="C978" s="89"/>
      <c r="D978" s="89"/>
      <c r="E978" s="91"/>
      <c r="F978" s="102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103"/>
      <c r="X978" s="103"/>
      <c r="Y978" s="89"/>
      <c r="Z978" s="89"/>
    </row>
    <row r="979" ht="14.25" customHeight="1">
      <c r="A979" s="91"/>
      <c r="B979" s="91"/>
      <c r="C979" s="89"/>
      <c r="D979" s="89"/>
      <c r="E979" s="91"/>
      <c r="F979" s="102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103"/>
      <c r="X979" s="103"/>
      <c r="Y979" s="89"/>
      <c r="Z979" s="89"/>
    </row>
    <row r="980" ht="14.25" customHeight="1">
      <c r="A980" s="91"/>
      <c r="B980" s="91"/>
      <c r="C980" s="89"/>
      <c r="D980" s="89"/>
      <c r="E980" s="91"/>
      <c r="F980" s="102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103"/>
      <c r="X980" s="103"/>
      <c r="Y980" s="89"/>
      <c r="Z980" s="89"/>
    </row>
    <row r="981" ht="14.25" customHeight="1">
      <c r="A981" s="91"/>
      <c r="B981" s="91"/>
      <c r="C981" s="89"/>
      <c r="D981" s="89"/>
      <c r="E981" s="91"/>
      <c r="F981" s="102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103"/>
      <c r="X981" s="103"/>
      <c r="Y981" s="89"/>
      <c r="Z981" s="89"/>
    </row>
    <row r="982" ht="14.25" customHeight="1">
      <c r="A982" s="91"/>
      <c r="B982" s="91"/>
      <c r="C982" s="89"/>
      <c r="D982" s="89"/>
      <c r="E982" s="91"/>
      <c r="F982" s="102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103"/>
      <c r="X982" s="103"/>
      <c r="Y982" s="89"/>
      <c r="Z982" s="89"/>
    </row>
    <row r="983" ht="14.25" customHeight="1">
      <c r="A983" s="91"/>
      <c r="B983" s="91"/>
      <c r="C983" s="89"/>
      <c r="D983" s="89"/>
      <c r="E983" s="91"/>
      <c r="F983" s="102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103"/>
      <c r="X983" s="103"/>
      <c r="Y983" s="89"/>
      <c r="Z983" s="89"/>
    </row>
    <row r="984" ht="14.25" customHeight="1">
      <c r="A984" s="91"/>
      <c r="B984" s="91"/>
      <c r="C984" s="89"/>
      <c r="D984" s="89"/>
      <c r="E984" s="91"/>
      <c r="F984" s="102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103"/>
      <c r="X984" s="103"/>
      <c r="Y984" s="89"/>
      <c r="Z984" s="89"/>
    </row>
    <row r="985" ht="14.25" customHeight="1">
      <c r="A985" s="91"/>
      <c r="B985" s="91"/>
      <c r="C985" s="89"/>
      <c r="D985" s="89"/>
      <c r="E985" s="91"/>
      <c r="F985" s="102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103"/>
      <c r="X985" s="103"/>
      <c r="Y985" s="89"/>
      <c r="Z985" s="89"/>
    </row>
    <row r="986" ht="14.25" customHeight="1">
      <c r="A986" s="91"/>
      <c r="B986" s="91"/>
      <c r="C986" s="89"/>
      <c r="D986" s="89"/>
      <c r="E986" s="91"/>
      <c r="F986" s="102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103"/>
      <c r="X986" s="103"/>
      <c r="Y986" s="89"/>
      <c r="Z986" s="89"/>
    </row>
    <row r="987" ht="14.25" customHeight="1">
      <c r="A987" s="91"/>
      <c r="B987" s="91"/>
      <c r="C987" s="89"/>
      <c r="D987" s="89"/>
      <c r="E987" s="91"/>
      <c r="F987" s="102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103"/>
      <c r="X987" s="103"/>
      <c r="Y987" s="89"/>
      <c r="Z987" s="89"/>
    </row>
    <row r="988" ht="14.25" customHeight="1">
      <c r="A988" s="91"/>
      <c r="B988" s="91"/>
      <c r="C988" s="89"/>
      <c r="D988" s="89"/>
      <c r="E988" s="91"/>
      <c r="F988" s="102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103"/>
      <c r="X988" s="103"/>
      <c r="Y988" s="89"/>
      <c r="Z988" s="89"/>
    </row>
    <row r="989" ht="14.25" customHeight="1">
      <c r="A989" s="91"/>
      <c r="B989" s="91"/>
      <c r="C989" s="89"/>
      <c r="D989" s="89"/>
      <c r="E989" s="91"/>
      <c r="F989" s="102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103"/>
      <c r="X989" s="103"/>
      <c r="Y989" s="89"/>
      <c r="Z989" s="89"/>
    </row>
    <row r="990" ht="14.25" customHeight="1">
      <c r="A990" s="91"/>
      <c r="B990" s="91"/>
      <c r="C990" s="89"/>
      <c r="D990" s="89"/>
      <c r="E990" s="91"/>
      <c r="F990" s="102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103"/>
      <c r="X990" s="103"/>
      <c r="Y990" s="89"/>
      <c r="Z990" s="89"/>
    </row>
    <row r="991" ht="14.25" customHeight="1">
      <c r="A991" s="91"/>
      <c r="B991" s="91"/>
      <c r="C991" s="89"/>
      <c r="D991" s="89"/>
      <c r="E991" s="91"/>
      <c r="F991" s="102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103"/>
      <c r="X991" s="103"/>
      <c r="Y991" s="89"/>
      <c r="Z991" s="89"/>
    </row>
    <row r="992" ht="14.25" customHeight="1">
      <c r="A992" s="91"/>
      <c r="B992" s="91"/>
      <c r="C992" s="89"/>
      <c r="D992" s="89"/>
      <c r="E992" s="91"/>
      <c r="F992" s="102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103"/>
      <c r="X992" s="103"/>
      <c r="Y992" s="89"/>
      <c r="Z992" s="89"/>
    </row>
    <row r="993" ht="14.25" customHeight="1">
      <c r="A993" s="91"/>
      <c r="B993" s="91"/>
      <c r="C993" s="89"/>
      <c r="D993" s="89"/>
      <c r="E993" s="91"/>
      <c r="F993" s="102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103"/>
      <c r="X993" s="103"/>
      <c r="Y993" s="89"/>
      <c r="Z993" s="89"/>
    </row>
    <row r="994" ht="14.25" customHeight="1">
      <c r="A994" s="91"/>
      <c r="B994" s="91"/>
      <c r="C994" s="89"/>
      <c r="D994" s="89"/>
      <c r="E994" s="91"/>
      <c r="F994" s="102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103"/>
      <c r="X994" s="103"/>
      <c r="Y994" s="89"/>
      <c r="Z994" s="89"/>
    </row>
    <row r="995" ht="14.25" customHeight="1">
      <c r="A995" s="91"/>
      <c r="B995" s="91"/>
      <c r="C995" s="89"/>
      <c r="D995" s="89"/>
      <c r="E995" s="91"/>
      <c r="F995" s="102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103"/>
      <c r="X995" s="103"/>
      <c r="Y995" s="89"/>
      <c r="Z995" s="89"/>
    </row>
    <row r="996" ht="14.25" customHeight="1">
      <c r="A996" s="91"/>
      <c r="B996" s="91"/>
      <c r="C996" s="89"/>
      <c r="D996" s="89"/>
      <c r="E996" s="91"/>
      <c r="F996" s="102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103"/>
      <c r="X996" s="103"/>
      <c r="Y996" s="89"/>
      <c r="Z996" s="89"/>
    </row>
    <row r="997" ht="14.25" customHeight="1">
      <c r="A997" s="91"/>
      <c r="B997" s="91"/>
      <c r="C997" s="89"/>
      <c r="D997" s="89"/>
      <c r="E997" s="91"/>
      <c r="F997" s="102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103"/>
      <c r="X997" s="103"/>
      <c r="Y997" s="89"/>
      <c r="Z997" s="89"/>
    </row>
    <row r="998" ht="14.25" customHeight="1">
      <c r="A998" s="91"/>
      <c r="B998" s="91"/>
      <c r="C998" s="89"/>
      <c r="D998" s="89"/>
      <c r="E998" s="91"/>
      <c r="F998" s="102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103"/>
      <c r="X998" s="103"/>
      <c r="Y998" s="89"/>
      <c r="Z998" s="89"/>
    </row>
    <row r="999" ht="14.25" customHeight="1">
      <c r="A999" s="91"/>
      <c r="B999" s="91"/>
      <c r="C999" s="89"/>
      <c r="D999" s="89"/>
      <c r="E999" s="91"/>
      <c r="F999" s="102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103"/>
      <c r="X999" s="103"/>
      <c r="Y999" s="89"/>
      <c r="Z999" s="89"/>
    </row>
    <row r="1000" ht="14.25" customHeight="1">
      <c r="A1000" s="91"/>
      <c r="B1000" s="91"/>
      <c r="C1000" s="89"/>
      <c r="D1000" s="89"/>
      <c r="E1000" s="91"/>
      <c r="F1000" s="102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103"/>
      <c r="X1000" s="103"/>
      <c r="Y1000" s="89"/>
      <c r="Z1000" s="89"/>
    </row>
  </sheetData>
  <autoFilter ref="$A$1:$U$77"/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carina cheng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0x010100CE6DD4BBE9CDF8498F15274797DE2586</vt:lpwstr>
  </property>
  <property fmtid="{D5CDD505-2E9C-101B-9397-08002B2CF9AE}" pid="3" name="MediaServiceImageTags">
    <vt:lpwstr/>
  </property>
</Properties>
</file>